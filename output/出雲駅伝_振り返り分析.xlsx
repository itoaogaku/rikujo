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年別まとめ" sheetId="2" state="visible" r:id="rId4"/>
    <sheet name="出雲区間記録" sheetId="3" state="visible" r:id="rId5"/>
    <sheet name="5000m比較" sheetId="4" state="visible" r:id="rId6"/>
    <sheet name="合宿走行距離" sheetId="5" state="visible" r:id="rId7"/>
    <sheet name="合宿距離×区間順位" sheetId="6" state="visible" r:id="rId8"/>
    <sheet name="合宿距離_上位35人" sheetId="7" state="visible" r:id="rId9"/>
    <sheet name="合宿距離ランキング_全員" sheetId="8" state="visible" r:id="rId10"/>
    <sheet name="チーム平均推移" sheetId="9" state="visible" r:id="rId11"/>
    <sheet name="合宿消化率" sheetId="10" state="visible" r:id="rId12"/>
    <sheet name="月間走行距離" sheetId="11" state="visible" r:id="rId13"/>
    <sheet name="区間順位との相関" sheetId="12" state="visible" r:id="rId14"/>
    <sheet name="合宿メニュー_2023" sheetId="13" state="visible" r:id="rId15"/>
    <sheet name="合宿メニュー_2024" sheetId="14" state="visible" r:id="rId16"/>
    <sheet name="合宿メニュー_2025" sheetId="15" state="visible" r:id="rId17"/>
    <sheet name="合宿メニュー_2026" sheetId="16" state="visible" r:id="rId18"/>
    <sheet name="選手一覧" sheetId="17" state="visible" r:id="rId19"/>
  </sheets>
  <definedNames>
    <definedName function="false" hidden="true" localSheetId="3" name="_xlnm._FilterDatabase" vbProcedure="false">5000m比較!$A$4:$L$34</definedName>
    <definedName function="false" hidden="true" localSheetId="2" name="_xlnm._FilterDatabase" vbProcedure="false">出雲区間記録!$A$4:$M$34</definedName>
    <definedName function="false" hidden="true" localSheetId="9" name="_xlnm._FilterDatabase" vbProcedure="false">合宿消化率!$A$4:$G$28</definedName>
    <definedName function="false" hidden="true" localSheetId="4" name="_xlnm._FilterDatabase" vbProcedure="false">合宿走行距離!$A$4:$G$28</definedName>
    <definedName function="false" hidden="true" localSheetId="5" name="_xlnm._FilterDatabase" vbProcedure="false">'合宿距離×区間順位'!$A$4:$J$28</definedName>
    <definedName function="false" hidden="true" localSheetId="10" name="_xlnm._FilterDatabase" vbProcedure="false">月間走行距離!$A$4:$P$22</definedName>
    <definedName function="false" hidden="true" localSheetId="16" name="_xlnm._FilterDatabase" vbProcedure="false">選手一覧!$A$5:$AD$35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5" authorId="0">
      <text>
        <r>
          <rPr>
            <sz val="10"/>
            <rFont val="WenQuanYi Zen Hei"/>
            <family val="2"/>
          </rPr>
          <t xml:space="preserve">出典：各年の出雲駅伝公式リザルト</t>
        </r>
        <r>
          <rPr>
            <sz val="10"/>
            <rFont val="Arial"/>
            <family val="2"/>
          </rPr>
          <t xml:space="preserve">PDF</t>
        </r>
      </text>
    </comment>
    <comment ref="B6" authorId="0">
      <text>
        <r>
          <rPr>
            <sz val="10"/>
            <rFont val="WenQuanYi Zen Hei"/>
            <family val="2"/>
          </rPr>
          <t xml:space="preserve">出典：各年の出雲駅伝公式リザルト</t>
        </r>
        <r>
          <rPr>
            <sz val="10"/>
            <rFont val="Arial"/>
            <family val="2"/>
          </rPr>
          <t xml:space="preserve">PDF</t>
        </r>
      </text>
    </comment>
    <comment ref="B7" authorId="0">
      <text>
        <r>
          <rPr>
            <sz val="10"/>
            <rFont val="WenQuanYi Zen Hei"/>
            <family val="2"/>
          </rPr>
          <t xml:space="preserve">出典：各年の出雲駅伝公式リザルト</t>
        </r>
        <r>
          <rPr>
            <sz val="10"/>
            <rFont val="Arial"/>
            <family val="2"/>
          </rPr>
          <t xml:space="preserve">PDF</t>
        </r>
      </text>
    </comment>
    <comment ref="B8" authorId="0">
      <text>
        <r>
          <rPr>
            <sz val="10"/>
            <rFont val="WenQuanYi Zen Hei"/>
            <family val="2"/>
          </rPr>
          <t xml:space="preserve">出典：各年の出雲駅伝公式リザルト</t>
        </r>
        <r>
          <rPr>
            <sz val="10"/>
            <rFont val="Arial"/>
            <family val="2"/>
          </rPr>
          <t xml:space="preserve">PDF</t>
        </r>
      </text>
    </comment>
    <comment ref="B9" authorId="0">
      <text>
        <r>
          <rPr>
            <sz val="10"/>
            <rFont val="WenQuanYi Zen Hei"/>
            <family val="2"/>
          </rPr>
          <t xml:space="preserve">出典：各年の出雲駅伝公式リザルト</t>
        </r>
        <r>
          <rPr>
            <sz val="10"/>
            <rFont val="Arial"/>
            <family val="2"/>
          </rPr>
          <t xml:space="preserve">PDF</t>
        </r>
      </text>
    </comment>
    <comment ref="H6" authorId="0">
      <text>
        <r>
          <rPr>
            <sz val="10"/>
            <rFont val="WenQuanYi Zen Hei"/>
            <family val="2"/>
          </rPr>
          <t xml:space="preserve">出典：各年の</t>
        </r>
        <r>
          <rPr>
            <sz val="10"/>
            <rFont val="Arial"/>
            <family val="2"/>
          </rPr>
          <t xml:space="preserve">1</t>
        </r>
        <r>
          <rPr>
            <sz val="10"/>
            <rFont val="WenQuanYi Zen Hei"/>
            <family val="2"/>
          </rPr>
          <t xml:space="preserve">次合宿走行距離ランキングに記載の「チーム平均（全体平均）」</t>
        </r>
      </text>
    </comment>
    <comment ref="H7" authorId="0">
      <text>
        <r>
          <rPr>
            <sz val="10"/>
            <rFont val="WenQuanYi Zen Hei"/>
            <family val="2"/>
          </rPr>
          <t xml:space="preserve">出典：各年の</t>
        </r>
        <r>
          <rPr>
            <sz val="10"/>
            <rFont val="Arial"/>
            <family val="2"/>
          </rPr>
          <t xml:space="preserve">1</t>
        </r>
        <r>
          <rPr>
            <sz val="10"/>
            <rFont val="WenQuanYi Zen Hei"/>
            <family val="2"/>
          </rPr>
          <t xml:space="preserve">次合宿走行距離ランキングに記載の「チーム平均（全体平均）」</t>
        </r>
      </text>
    </comment>
    <comment ref="H8" authorId="0">
      <text>
        <r>
          <rPr>
            <sz val="10"/>
            <rFont val="WenQuanYi Zen Hei"/>
            <family val="2"/>
          </rPr>
          <t xml:space="preserve">出典：各年の</t>
        </r>
        <r>
          <rPr>
            <sz val="10"/>
            <rFont val="Arial"/>
            <family val="2"/>
          </rPr>
          <t xml:space="preserve">1</t>
        </r>
        <r>
          <rPr>
            <sz val="10"/>
            <rFont val="WenQuanYi Zen Hei"/>
            <family val="2"/>
          </rPr>
          <t xml:space="preserve">次合宿走行距離ランキングに記載の「チーム平均（全体平均）」</t>
        </r>
      </text>
    </comment>
    <comment ref="H9" authorId="0">
      <text>
        <r>
          <rPr>
            <sz val="10"/>
            <rFont val="WenQuanYi Zen Hei"/>
            <family val="2"/>
          </rPr>
          <t xml:space="preserve">出典：各年の</t>
        </r>
        <r>
          <rPr>
            <sz val="10"/>
            <rFont val="Arial"/>
            <family val="2"/>
          </rPr>
          <t xml:space="preserve">1</t>
        </r>
        <r>
          <rPr>
            <sz val="10"/>
            <rFont val="WenQuanYi Zen Hei"/>
            <family val="2"/>
          </rPr>
          <t xml:space="preserve">次合宿走行距離ランキングに記載の「チーム平均（全体平均）」</t>
        </r>
      </text>
    </comment>
    <comment ref="O6" authorId="0">
      <text>
        <r>
          <rPr>
            <sz val="10"/>
            <rFont val="WenQuanYi Zen Hei"/>
            <family val="2"/>
          </rPr>
          <t xml:space="preserve">出典：各年の</t>
        </r>
        <r>
          <rPr>
            <sz val="10"/>
            <rFont val="Arial"/>
            <family val="2"/>
          </rPr>
          <t xml:space="preserve">3</t>
        </r>
        <r>
          <rPr>
            <sz val="10"/>
            <rFont val="WenQuanYi Zen Hei"/>
            <family val="2"/>
          </rPr>
          <t xml:space="preserve">次合宿消化率（選抜組の最終ポイント練習日）。</t>
        </r>
        <r>
          <rPr>
            <sz val="10"/>
            <rFont val="Arial"/>
            <family val="2"/>
          </rPr>
          <t xml:space="preserve">2022</t>
        </r>
        <r>
          <rPr>
            <sz val="10"/>
            <rFont val="WenQuanYi Zen Hei"/>
            <family val="2"/>
          </rPr>
          <t xml:space="preserve">年は未提供</t>
        </r>
      </text>
    </comment>
    <comment ref="O7" authorId="0">
      <text>
        <r>
          <rPr>
            <sz val="10"/>
            <rFont val="WenQuanYi Zen Hei"/>
            <family val="2"/>
          </rPr>
          <t xml:space="preserve">出典：各年の</t>
        </r>
        <r>
          <rPr>
            <sz val="10"/>
            <rFont val="Arial"/>
            <family val="2"/>
          </rPr>
          <t xml:space="preserve">3</t>
        </r>
        <r>
          <rPr>
            <sz val="10"/>
            <rFont val="WenQuanYi Zen Hei"/>
            <family val="2"/>
          </rPr>
          <t xml:space="preserve">次合宿消化率（選抜組の最終ポイント練習日）。</t>
        </r>
        <r>
          <rPr>
            <sz val="10"/>
            <rFont val="Arial"/>
            <family val="2"/>
          </rPr>
          <t xml:space="preserve">2022</t>
        </r>
        <r>
          <rPr>
            <sz val="10"/>
            <rFont val="WenQuanYi Zen Hei"/>
            <family val="2"/>
          </rPr>
          <t xml:space="preserve">年は未提供</t>
        </r>
      </text>
    </comment>
    <comment ref="O8" authorId="0">
      <text>
        <r>
          <rPr>
            <sz val="10"/>
            <rFont val="WenQuanYi Zen Hei"/>
            <family val="2"/>
          </rPr>
          <t xml:space="preserve">出典：各年の</t>
        </r>
        <r>
          <rPr>
            <sz val="10"/>
            <rFont val="Arial"/>
            <family val="2"/>
          </rPr>
          <t xml:space="preserve">3</t>
        </r>
        <r>
          <rPr>
            <sz val="10"/>
            <rFont val="WenQuanYi Zen Hei"/>
            <family val="2"/>
          </rPr>
          <t xml:space="preserve">次合宿消化率（選抜組の最終ポイント練習日）。</t>
        </r>
        <r>
          <rPr>
            <sz val="10"/>
            <rFont val="Arial"/>
            <family val="2"/>
          </rPr>
          <t xml:space="preserve">2022</t>
        </r>
        <r>
          <rPr>
            <sz val="10"/>
            <rFont val="WenQuanYi Zen Hei"/>
            <family val="2"/>
          </rPr>
          <t xml:space="preserve">年は未提供</t>
        </r>
      </text>
    </comment>
    <comment ref="O9" authorId="0">
      <text>
        <r>
          <rPr>
            <sz val="10"/>
            <rFont val="WenQuanYi Zen Hei"/>
            <family val="2"/>
          </rPr>
          <t xml:space="preserve">出典：各年の</t>
        </r>
        <r>
          <rPr>
            <sz val="10"/>
            <rFont val="Arial"/>
            <family val="2"/>
          </rPr>
          <t xml:space="preserve">3</t>
        </r>
        <r>
          <rPr>
            <sz val="10"/>
            <rFont val="WenQuanYi Zen Hei"/>
            <family val="2"/>
          </rPr>
          <t xml:space="preserve">次合宿消化率（選抜組の最終ポイント練習日）。</t>
        </r>
        <r>
          <rPr>
            <sz val="10"/>
            <rFont val="Arial"/>
            <family val="2"/>
          </rPr>
          <t xml:space="preserve">2022</t>
        </r>
        <r>
          <rPr>
            <sz val="10"/>
            <rFont val="WenQuanYi Zen Hei"/>
            <family val="2"/>
          </rPr>
          <t xml:space="preserve">年は未提供</t>
        </r>
      </text>
    </comment>
  </commentList>
</comments>
</file>

<file path=xl/sharedStrings.xml><?xml version="1.0" encoding="utf-8"?>
<sst xmlns="http://schemas.openxmlformats.org/spreadsheetml/2006/main" count="2358" uniqueCount="632">
  <si>
    <r>
      <rPr>
        <b val="true"/>
        <sz val="16"/>
        <color rgb="FF000000"/>
        <rFont val="WenQuanYi Zen Hei"/>
        <family val="2"/>
      </rPr>
      <t xml:space="preserve">出雲駅伝 振り返り分析（</t>
    </r>
    <r>
      <rPr>
        <b val="true"/>
        <sz val="16"/>
        <color rgb="FF000000"/>
        <rFont val="HGPｺﾞｼｯｸM"/>
        <family val="0"/>
        <charset val="1"/>
      </rPr>
      <t xml:space="preserve">2022</t>
    </r>
    <r>
      <rPr>
        <b val="true"/>
        <sz val="16"/>
        <color rgb="FF000000"/>
        <rFont val="WenQuanYi Zen Hei"/>
        <family val="2"/>
      </rPr>
      <t xml:space="preserve">〜</t>
    </r>
    <r>
      <rPr>
        <b val="true"/>
        <sz val="16"/>
        <color rgb="FF000000"/>
        <rFont val="HGPｺﾞｼｯｸM"/>
        <family val="0"/>
        <charset val="1"/>
      </rPr>
      <t xml:space="preserve">2026</t>
    </r>
    <r>
      <rPr>
        <b val="true"/>
        <sz val="16"/>
        <color rgb="FF000000"/>
        <rFont val="WenQuanYi Zen Hei"/>
        <family val="2"/>
      </rPr>
      <t xml:space="preserve">年）</t>
    </r>
  </si>
  <si>
    <r>
      <rPr>
        <sz val="10"/>
        <rFont val="WenQuanYi Zen Hei"/>
        <family val="2"/>
      </rPr>
      <t xml:space="preserve">目的：近年ピーキングが合わず順位が伸びない原因を、</t>
    </r>
    <r>
      <rPr>
        <sz val="10"/>
        <rFont val="HGPｺﾞｼｯｸM"/>
        <family val="0"/>
        <charset val="1"/>
      </rPr>
      <t xml:space="preserve">2</t>
    </r>
    <r>
      <rPr>
        <sz val="10"/>
        <rFont val="WenQuanYi Zen Hei"/>
        <family val="2"/>
      </rPr>
      <t xml:space="preserve">週間前の</t>
    </r>
    <r>
      <rPr>
        <sz val="10"/>
        <rFont val="HGPｺﾞｼｯｸM"/>
        <family val="0"/>
        <charset val="1"/>
      </rPr>
      <t xml:space="preserve">5000m</t>
    </r>
    <r>
      <rPr>
        <sz val="10"/>
        <rFont val="WenQuanYi Zen Hei"/>
        <family val="2"/>
      </rPr>
      <t xml:space="preserve">と夏合宿のデータから探る</t>
    </r>
  </si>
  <si>
    <t xml:space="preserve">シート一覧</t>
  </si>
  <si>
    <t xml:space="preserve">年別まとめ</t>
  </si>
  <si>
    <r>
      <rPr>
        <sz val="10"/>
        <color rgb="FF000000"/>
        <rFont val="WenQuanYi Zen Hei"/>
        <family val="2"/>
      </rPr>
      <t xml:space="preserve">年ごとの総合順位・区間差・悪化率・合宿の負荷を</t>
    </r>
    <r>
      <rPr>
        <sz val="10"/>
        <color rgb="FF000000"/>
        <rFont val="HGPｺﾞｼｯｸM"/>
        <family val="0"/>
        <charset val="1"/>
      </rPr>
      <t xml:space="preserve">1</t>
    </r>
    <r>
      <rPr>
        <sz val="10"/>
        <color rgb="FF000000"/>
        <rFont val="WenQuanYi Zen Hei"/>
        <family val="2"/>
      </rPr>
      <t xml:space="preserve">表に集約。相関係数と区間別平均つき</t>
    </r>
  </si>
  <si>
    <t xml:space="preserve">出雲区間記録</t>
  </si>
  <si>
    <r>
      <rPr>
        <sz val="10"/>
        <color rgb="FF000000"/>
        <rFont val="WenQuanYi Zen Hei"/>
        <family val="2"/>
      </rPr>
      <t xml:space="preserve">各区間の日本人トップと青学選手のタイム、</t>
    </r>
    <r>
      <rPr>
        <sz val="10"/>
        <color rgb="FF000000"/>
        <rFont val="HGPｺﾞｼｯｸM"/>
        <family val="0"/>
        <charset val="1"/>
      </rPr>
      <t xml:space="preserve">5km</t>
    </r>
    <r>
      <rPr>
        <sz val="10"/>
        <color rgb="FF000000"/>
        <rFont val="WenQuanYi Zen Hei"/>
        <family val="2"/>
      </rPr>
      <t xml:space="preserve">（</t>
    </r>
    <r>
      <rPr>
        <sz val="10"/>
        <color rgb="FF000000"/>
        <rFont val="HGPｺﾞｼｯｸM"/>
        <family val="0"/>
        <charset val="1"/>
      </rPr>
      <t xml:space="preserve">6</t>
    </r>
    <r>
      <rPr>
        <sz val="10"/>
        <color rgb="FF000000"/>
        <rFont val="WenQuanYi Zen Hei"/>
        <family val="2"/>
      </rPr>
      <t xml:space="preserve">区は</t>
    </r>
    <r>
      <rPr>
        <sz val="10"/>
        <color rgb="FF000000"/>
        <rFont val="HGPｺﾞｼｯｸM"/>
        <family val="0"/>
        <charset val="1"/>
      </rPr>
      <t xml:space="preserve">10km</t>
    </r>
    <r>
      <rPr>
        <sz val="10"/>
        <color rgb="FF000000"/>
        <rFont val="WenQuanYi Zen Hei"/>
        <family val="2"/>
      </rPr>
      <t xml:space="preserve">）換算と差</t>
    </r>
  </si>
  <si>
    <r>
      <rPr>
        <b val="true"/>
        <sz val="10"/>
        <rFont val="HGPｺﾞｼｯｸM"/>
        <family val="0"/>
        <charset val="1"/>
      </rPr>
      <t xml:space="preserve">5000m</t>
    </r>
    <r>
      <rPr>
        <b val="true"/>
        <sz val="10"/>
        <rFont val="WenQuanYi Zen Hei"/>
        <family val="2"/>
      </rPr>
      <t xml:space="preserve">比較</t>
    </r>
  </si>
  <si>
    <r>
      <rPr>
        <sz val="10"/>
        <color rgb="FF000000"/>
        <rFont val="WenQuanYi Zen Hei"/>
        <family val="2"/>
      </rPr>
      <t xml:space="preserve">出雲メンバーの</t>
    </r>
    <r>
      <rPr>
        <sz val="10"/>
        <color rgb="FF000000"/>
        <rFont val="HGPｺﾞｼｯｸM"/>
        <family val="0"/>
        <charset val="1"/>
      </rPr>
      <t xml:space="preserve">2</t>
    </r>
    <r>
      <rPr>
        <sz val="10"/>
        <color rgb="FF000000"/>
        <rFont val="WenQuanYi Zen Hei"/>
        <family val="2"/>
      </rPr>
      <t xml:space="preserve">週間前</t>
    </r>
    <r>
      <rPr>
        <sz val="10"/>
        <color rgb="FF000000"/>
        <rFont val="HGPｺﾞｼｯｸM"/>
        <family val="0"/>
        <charset val="1"/>
      </rPr>
      <t xml:space="preserve">5000m</t>
    </r>
    <r>
      <rPr>
        <sz val="10"/>
        <color rgb="FF000000"/>
        <rFont val="WenQuanYi Zen Hei"/>
        <family val="2"/>
      </rPr>
      <t xml:space="preserve">（</t>
    </r>
    <r>
      <rPr>
        <sz val="10"/>
        <color rgb="FF000000"/>
        <rFont val="HGPｺﾞｼｯｸM"/>
        <family val="0"/>
        <charset val="1"/>
      </rPr>
      <t xml:space="preserve">5km</t>
    </r>
    <r>
      <rPr>
        <sz val="10"/>
        <color rgb="FF000000"/>
        <rFont val="WenQuanYi Zen Hei"/>
        <family val="2"/>
      </rPr>
      <t xml:space="preserve">）と組内順位、出雲</t>
    </r>
    <r>
      <rPr>
        <sz val="10"/>
        <color rgb="FF000000"/>
        <rFont val="HGPｺﾞｼｯｸM"/>
        <family val="0"/>
        <charset val="1"/>
      </rPr>
      <t xml:space="preserve">5km</t>
    </r>
    <r>
      <rPr>
        <sz val="10"/>
        <color rgb="FF000000"/>
        <rFont val="WenQuanYi Zen Hei"/>
        <family val="2"/>
      </rPr>
      <t xml:space="preserve">換算ペース、悪化率</t>
    </r>
  </si>
  <si>
    <t xml:space="preserve">合宿走行距離</t>
  </si>
  <si>
    <r>
      <rPr>
        <sz val="10"/>
        <color rgb="FF000000"/>
        <rFont val="WenQuanYi Zen Hei"/>
        <family val="2"/>
      </rPr>
      <t xml:space="preserve">出雲メンバーの</t>
    </r>
    <r>
      <rPr>
        <sz val="10"/>
        <color rgb="FF000000"/>
        <rFont val="HGPｺﾞｼｯｸM"/>
        <family val="0"/>
        <charset val="1"/>
      </rPr>
      <t xml:space="preserve">1</t>
    </r>
    <r>
      <rPr>
        <sz val="10"/>
        <color rgb="FF000000"/>
        <rFont val="WenQuanYi Zen Hei"/>
        <family val="2"/>
      </rPr>
      <t xml:space="preserve">次・</t>
    </r>
    <r>
      <rPr>
        <sz val="10"/>
        <color rgb="FF000000"/>
        <rFont val="HGPｺﾞｼｯｸM"/>
        <family val="0"/>
        <charset val="1"/>
      </rPr>
      <t xml:space="preserve">2</t>
    </r>
    <r>
      <rPr>
        <sz val="10"/>
        <color rgb="FF000000"/>
        <rFont val="WenQuanYi Zen Hei"/>
        <family val="2"/>
      </rPr>
      <t xml:space="preserve">次合宿の距離（</t>
    </r>
    <r>
      <rPr>
        <sz val="10"/>
        <color rgb="FF000000"/>
        <rFont val="HGPｺﾞｼｯｸM"/>
        <family val="0"/>
        <charset val="1"/>
      </rPr>
      <t xml:space="preserve">2023</t>
    </r>
    <r>
      <rPr>
        <sz val="10"/>
        <color rgb="FF000000"/>
        <rFont val="WenQuanYi Zen Hei"/>
        <family val="2"/>
      </rPr>
      <t xml:space="preserve">〜</t>
    </r>
    <r>
      <rPr>
        <sz val="10"/>
        <color rgb="FF000000"/>
        <rFont val="HGPｺﾞｼｯｸM"/>
        <family val="0"/>
        <charset val="1"/>
      </rPr>
      <t xml:space="preserve">2026</t>
    </r>
    <r>
      <rPr>
        <sz val="10"/>
        <color rgb="FF000000"/>
        <rFont val="WenQuanYi Zen Hei"/>
        <family val="2"/>
      </rPr>
      <t xml:space="preserve">年）</t>
    </r>
  </si>
  <si>
    <r>
      <rPr>
        <b val="true"/>
        <sz val="10"/>
        <rFont val="WenQuanYi Zen Hei"/>
        <family val="2"/>
      </rPr>
      <t xml:space="preserve">合宿距離</t>
    </r>
    <r>
      <rPr>
        <b val="true"/>
        <sz val="10"/>
        <rFont val="HGPｺﾞｼｯｸM"/>
        <family val="0"/>
        <charset val="1"/>
      </rPr>
      <t xml:space="preserve">×</t>
    </r>
    <r>
      <rPr>
        <b val="true"/>
        <sz val="10"/>
        <rFont val="WenQuanYi Zen Hei"/>
        <family val="2"/>
      </rPr>
      <t xml:space="preserve">区間順位</t>
    </r>
  </si>
  <si>
    <r>
      <rPr>
        <sz val="10"/>
        <color rgb="FF000000"/>
        <rFont val="HGPｺﾞｼｯｸM"/>
        <family val="0"/>
        <charset val="1"/>
      </rPr>
      <t xml:space="preserve">1</t>
    </r>
    <r>
      <rPr>
        <sz val="10"/>
        <color rgb="FF000000"/>
        <rFont val="WenQuanYi Zen Hei"/>
        <family val="2"/>
      </rPr>
      <t xml:space="preserve">次・</t>
    </r>
    <r>
      <rPr>
        <sz val="10"/>
        <color rgb="FF000000"/>
        <rFont val="HGPｺﾞｼｯｸM"/>
        <family val="0"/>
        <charset val="1"/>
      </rPr>
      <t xml:space="preserve">2</t>
    </r>
    <r>
      <rPr>
        <sz val="10"/>
        <color rgb="FF000000"/>
        <rFont val="WenQuanYi Zen Hei"/>
        <family val="2"/>
      </rPr>
      <t xml:space="preserve">次合宿の距離と区間順位・日本人トップとの差・悪化率を</t>
    </r>
    <r>
      <rPr>
        <sz val="10"/>
        <color rgb="FF000000"/>
        <rFont val="HGPｺﾞｼｯｸM"/>
        <family val="0"/>
        <charset val="1"/>
      </rPr>
      <t xml:space="preserve">1</t>
    </r>
    <r>
      <rPr>
        <sz val="10"/>
        <color rgb="FF000000"/>
        <rFont val="WenQuanYi Zen Hei"/>
        <family val="2"/>
      </rPr>
      <t xml:space="preserve">表に。年平均、相関係数、区間</t>
    </r>
    <r>
      <rPr>
        <sz val="10"/>
        <color rgb="FF000000"/>
        <rFont val="HGPｺﾞｼｯｸM"/>
        <family val="0"/>
        <charset val="1"/>
      </rPr>
      <t xml:space="preserve">3</t>
    </r>
    <r>
      <rPr>
        <sz val="10"/>
        <color rgb="FF000000"/>
        <rFont val="WenQuanYi Zen Hei"/>
        <family val="2"/>
      </rPr>
      <t xml:space="preserve">位以内との比較つき</t>
    </r>
  </si>
  <si>
    <t xml:space="preserve">合宿消化率</t>
  </si>
  <si>
    <r>
      <rPr>
        <sz val="10"/>
        <color rgb="FF000000"/>
        <rFont val="WenQuanYi Zen Hei"/>
        <family val="2"/>
      </rPr>
      <t xml:space="preserve">出雲メンバーの</t>
    </r>
    <r>
      <rPr>
        <sz val="10"/>
        <color rgb="FF000000"/>
        <rFont val="HGPｺﾞｼｯｸM"/>
        <family val="0"/>
        <charset val="1"/>
      </rPr>
      <t xml:space="preserve">1</t>
    </r>
    <r>
      <rPr>
        <sz val="10"/>
        <color rgb="FF000000"/>
        <rFont val="WenQuanYi Zen Hei"/>
        <family val="2"/>
      </rPr>
      <t xml:space="preserve">〜</t>
    </r>
    <r>
      <rPr>
        <sz val="10"/>
        <color rgb="FF000000"/>
        <rFont val="HGPｺﾞｼｯｸM"/>
        <family val="0"/>
        <charset val="1"/>
      </rPr>
      <t xml:space="preserve">3</t>
    </r>
    <r>
      <rPr>
        <sz val="10"/>
        <color rgb="FF000000"/>
        <rFont val="WenQuanYi Zen Hei"/>
        <family val="2"/>
      </rPr>
      <t xml:space="preserve">次合宿の消化率（</t>
    </r>
    <r>
      <rPr>
        <sz val="10"/>
        <color rgb="FF000000"/>
        <rFont val="HGPｺﾞｼｯｸM"/>
        <family val="0"/>
        <charset val="1"/>
      </rPr>
      <t xml:space="preserve">2023</t>
    </r>
    <r>
      <rPr>
        <sz val="10"/>
        <color rgb="FF000000"/>
        <rFont val="WenQuanYi Zen Hei"/>
        <family val="2"/>
      </rPr>
      <t xml:space="preserve">〜</t>
    </r>
    <r>
      <rPr>
        <sz val="10"/>
        <color rgb="FF000000"/>
        <rFont val="HGPｺﾞｼｯｸM"/>
        <family val="0"/>
        <charset val="1"/>
      </rPr>
      <t xml:space="preserve">2026</t>
    </r>
    <r>
      <rPr>
        <sz val="10"/>
        <color rgb="FF000000"/>
        <rFont val="WenQuanYi Zen Hei"/>
        <family val="2"/>
      </rPr>
      <t xml:space="preserve">年）</t>
    </r>
  </si>
  <si>
    <t xml:space="preserve">月間走行距離</t>
  </si>
  <si>
    <r>
      <rPr>
        <sz val="10"/>
        <color rgb="FF000000"/>
        <rFont val="WenQuanYi Zen Hei"/>
        <family val="2"/>
      </rPr>
      <t xml:space="preserve">出雲メンバーの月間走行距離（</t>
    </r>
    <r>
      <rPr>
        <sz val="10"/>
        <color rgb="FF000000"/>
        <rFont val="HGPｺﾞｼｯｸM"/>
        <family val="0"/>
        <charset val="1"/>
      </rPr>
      <t xml:space="preserve">2022</t>
    </r>
    <r>
      <rPr>
        <sz val="10"/>
        <color rgb="FF000000"/>
        <rFont val="WenQuanYi Zen Hei"/>
        <family val="2"/>
      </rPr>
      <t xml:space="preserve">・</t>
    </r>
    <r>
      <rPr>
        <sz val="10"/>
        <color rgb="FF000000"/>
        <rFont val="HGPｺﾞｼｯｸM"/>
        <family val="0"/>
        <charset val="1"/>
      </rPr>
      <t xml:space="preserve">2023</t>
    </r>
    <r>
      <rPr>
        <sz val="10"/>
        <color rgb="FF000000"/>
        <rFont val="WenQuanYi Zen Hei"/>
        <family val="2"/>
      </rPr>
      <t xml:space="preserve">年通年、</t>
    </r>
    <r>
      <rPr>
        <sz val="10"/>
        <color rgb="FF000000"/>
        <rFont val="HGPｺﾞｼｯｸM"/>
        <family val="0"/>
        <charset val="1"/>
      </rPr>
      <t xml:space="preserve">2024</t>
    </r>
    <r>
      <rPr>
        <sz val="10"/>
        <color rgb="FF000000"/>
        <rFont val="WenQuanYi Zen Hei"/>
        <family val="2"/>
      </rPr>
      <t xml:space="preserve">年</t>
    </r>
    <r>
      <rPr>
        <sz val="10"/>
        <color rgb="FF000000"/>
        <rFont val="HGPｺﾞｼｯｸM"/>
        <family val="0"/>
        <charset val="1"/>
      </rPr>
      <t xml:space="preserve">1</t>
    </r>
    <r>
      <rPr>
        <sz val="10"/>
        <color rgb="FF000000"/>
        <rFont val="WenQuanYi Zen Hei"/>
        <family val="2"/>
      </rPr>
      <t xml:space="preserve">〜</t>
    </r>
    <r>
      <rPr>
        <sz val="10"/>
        <color rgb="FF000000"/>
        <rFont val="HGPｺﾞｼｯｸM"/>
        <family val="0"/>
        <charset val="1"/>
      </rPr>
      <t xml:space="preserve">6</t>
    </r>
    <r>
      <rPr>
        <sz val="10"/>
        <color rgb="FF000000"/>
        <rFont val="WenQuanYi Zen Hei"/>
        <family val="2"/>
      </rPr>
      <t xml:space="preserve">月）</t>
    </r>
  </si>
  <si>
    <r>
      <rPr>
        <b val="true"/>
        <sz val="10"/>
        <rFont val="WenQuanYi Zen Hei"/>
        <family val="2"/>
      </rPr>
      <t xml:space="preserve">合宿距離</t>
    </r>
    <r>
      <rPr>
        <b val="true"/>
        <sz val="10"/>
        <rFont val="HGPｺﾞｼｯｸM"/>
        <family val="0"/>
        <charset val="1"/>
      </rPr>
      <t xml:space="preserve">_</t>
    </r>
    <r>
      <rPr>
        <b val="true"/>
        <sz val="10"/>
        <rFont val="WenQuanYi Zen Hei"/>
        <family val="2"/>
      </rPr>
      <t xml:space="preserve">上位</t>
    </r>
    <r>
      <rPr>
        <b val="true"/>
        <sz val="10"/>
        <rFont val="HGPｺﾞｼｯｸM"/>
        <family val="0"/>
        <charset val="1"/>
      </rPr>
      <t xml:space="preserve">35</t>
    </r>
    <r>
      <rPr>
        <b val="true"/>
        <sz val="10"/>
        <rFont val="WenQuanYi Zen Hei"/>
        <family val="2"/>
      </rPr>
      <t xml:space="preserve">人</t>
    </r>
  </si>
  <si>
    <r>
      <rPr>
        <sz val="10"/>
        <color rgb="FF000000"/>
        <rFont val="HGPｺﾞｼｯｸM"/>
        <family val="0"/>
        <charset val="1"/>
      </rPr>
      <t xml:space="preserve">1</t>
    </r>
    <r>
      <rPr>
        <sz val="10"/>
        <color rgb="FF000000"/>
        <rFont val="WenQuanYi Zen Hei"/>
        <family val="2"/>
      </rPr>
      <t xml:space="preserve">次・</t>
    </r>
    <r>
      <rPr>
        <sz val="10"/>
        <color rgb="FF000000"/>
        <rFont val="HGPｺﾞｼｯｸM"/>
        <family val="0"/>
        <charset val="1"/>
      </rPr>
      <t xml:space="preserve">2</t>
    </r>
    <r>
      <rPr>
        <sz val="10"/>
        <color rgb="FF000000"/>
        <rFont val="WenQuanYi Zen Hei"/>
        <family val="2"/>
      </rPr>
      <t xml:space="preserve">次合宿の</t>
    </r>
    <r>
      <rPr>
        <sz val="10"/>
        <color rgb="FF000000"/>
        <rFont val="HGPｺﾞｼｯｸM"/>
        <family val="0"/>
        <charset val="1"/>
      </rPr>
      <t xml:space="preserve">1</t>
    </r>
    <r>
      <rPr>
        <sz val="10"/>
        <color rgb="FF000000"/>
        <rFont val="WenQuanYi Zen Hei"/>
        <family val="2"/>
      </rPr>
      <t xml:space="preserve">日あたり走行距離の上位</t>
    </r>
    <r>
      <rPr>
        <sz val="10"/>
        <color rgb="FF000000"/>
        <rFont val="HGPｺﾞｼｯｸM"/>
        <family val="0"/>
        <charset val="1"/>
      </rPr>
      <t xml:space="preserve">35</t>
    </r>
    <r>
      <rPr>
        <sz val="10"/>
        <color rgb="FF000000"/>
        <rFont val="WenQuanYi Zen Hei"/>
        <family val="2"/>
      </rPr>
      <t xml:space="preserve">人（出雲メンバー以外も含む）</t>
    </r>
  </si>
  <si>
    <r>
      <rPr>
        <b val="true"/>
        <sz val="10"/>
        <rFont val="WenQuanYi Zen Hei"/>
        <family val="2"/>
      </rPr>
      <t xml:space="preserve">合宿距離ランキング</t>
    </r>
    <r>
      <rPr>
        <b val="true"/>
        <sz val="10"/>
        <rFont val="HGPｺﾞｼｯｸM"/>
        <family val="0"/>
        <charset val="1"/>
      </rPr>
      <t xml:space="preserve">_</t>
    </r>
    <r>
      <rPr>
        <b val="true"/>
        <sz val="10"/>
        <rFont val="WenQuanYi Zen Hei"/>
        <family val="2"/>
      </rPr>
      <t xml:space="preserve">全員</t>
    </r>
  </si>
  <si>
    <r>
      <rPr>
        <sz val="10"/>
        <color rgb="FF000000"/>
        <rFont val="WenQuanYi Zen Hei"/>
        <family val="2"/>
      </rPr>
      <t xml:space="preserve">年度ごとの全部員の走行距離ランキング（</t>
    </r>
    <r>
      <rPr>
        <sz val="10"/>
        <color rgb="FF000000"/>
        <rFont val="HGPｺﾞｼｯｸM"/>
        <family val="0"/>
        <charset val="1"/>
      </rPr>
      <t xml:space="preserve">1</t>
    </r>
    <r>
      <rPr>
        <sz val="10"/>
        <color rgb="FF000000"/>
        <rFont val="WenQuanYi Zen Hei"/>
        <family val="2"/>
      </rPr>
      <t xml:space="preserve">次・</t>
    </r>
    <r>
      <rPr>
        <sz val="10"/>
        <color rgb="FF000000"/>
        <rFont val="HGPｺﾞｼｯｸM"/>
        <family val="0"/>
        <charset val="1"/>
      </rPr>
      <t xml:space="preserve">2</t>
    </r>
    <r>
      <rPr>
        <sz val="10"/>
        <color rgb="FF000000"/>
        <rFont val="WenQuanYi Zen Hei"/>
        <family val="2"/>
      </rPr>
      <t xml:space="preserve">次・</t>
    </r>
    <r>
      <rPr>
        <sz val="10"/>
        <color rgb="FF000000"/>
        <rFont val="HGPｺﾞｼｯｸM"/>
        <family val="0"/>
        <charset val="1"/>
      </rPr>
      <t xml:space="preserve">1</t>
    </r>
    <r>
      <rPr>
        <sz val="10"/>
        <color rgb="FF000000"/>
        <rFont val="WenQuanYi Zen Hei"/>
        <family val="2"/>
      </rPr>
      <t xml:space="preserve">次</t>
    </r>
    <r>
      <rPr>
        <sz val="10"/>
        <color rgb="FF000000"/>
        <rFont val="HGPｺﾞｼｯｸM"/>
        <family val="0"/>
        <charset val="1"/>
      </rPr>
      <t xml:space="preserve">+2</t>
    </r>
    <r>
      <rPr>
        <sz val="10"/>
        <color rgb="FF000000"/>
        <rFont val="WenQuanYi Zen Hei"/>
        <family val="2"/>
      </rPr>
      <t xml:space="preserve">次）。出雲メンバーは黄色</t>
    </r>
  </si>
  <si>
    <t xml:space="preserve">チーム平均推移</t>
  </si>
  <si>
    <r>
      <rPr>
        <sz val="10"/>
        <color rgb="FF000000"/>
        <rFont val="WenQuanYi Zen Hei"/>
        <family val="2"/>
      </rPr>
      <t xml:space="preserve">夏合宿・月間のチーム平均走行距離の推移と、上位</t>
    </r>
    <r>
      <rPr>
        <sz val="10"/>
        <color rgb="FF000000"/>
        <rFont val="HGPｺﾞｼｯｸM"/>
        <family val="0"/>
        <charset val="1"/>
      </rPr>
      <t xml:space="preserve">35</t>
    </r>
    <r>
      <rPr>
        <sz val="10"/>
        <color rgb="FF000000"/>
        <rFont val="WenQuanYi Zen Hei"/>
        <family val="2"/>
      </rPr>
      <t xml:space="preserve">人・出雲メンバーとの比較</t>
    </r>
  </si>
  <si>
    <t xml:space="preserve">区間順位との相関</t>
  </si>
  <si>
    <r>
      <rPr>
        <sz val="10"/>
        <color rgb="FF000000"/>
        <rFont val="WenQuanYi Zen Hei"/>
        <family val="2"/>
      </rPr>
      <t xml:space="preserve">区間順位と各項目（</t>
    </r>
    <r>
      <rPr>
        <sz val="10"/>
        <color rgb="FF000000"/>
        <rFont val="HGPｺﾞｼｯｸM"/>
        <family val="0"/>
        <charset val="1"/>
      </rPr>
      <t xml:space="preserve">5000m</t>
    </r>
    <r>
      <rPr>
        <sz val="10"/>
        <color rgb="FF000000"/>
        <rFont val="WenQuanYi Zen Hei"/>
        <family val="2"/>
      </rPr>
      <t xml:space="preserve">、悪化率、合宿距離、消化率、月間距離）の相関一覧</t>
    </r>
  </si>
  <si>
    <r>
      <rPr>
        <b val="true"/>
        <sz val="10"/>
        <rFont val="WenQuanYi Zen Hei"/>
        <family val="2"/>
      </rPr>
      <t xml:space="preserve">合宿メニュー</t>
    </r>
    <r>
      <rPr>
        <b val="true"/>
        <sz val="10"/>
        <rFont val="HGPｺﾞｼｯｸM"/>
        <family val="0"/>
        <charset val="1"/>
      </rPr>
      <t xml:space="preserve">_2023</t>
    </r>
    <r>
      <rPr>
        <b val="true"/>
        <sz val="10"/>
        <rFont val="WenQuanYi Zen Hei"/>
        <family val="2"/>
      </rPr>
      <t xml:space="preserve">〜</t>
    </r>
    <r>
      <rPr>
        <b val="true"/>
        <sz val="10"/>
        <rFont val="HGPｺﾞｼｯｸM"/>
        <family val="0"/>
        <charset val="1"/>
      </rPr>
      <t xml:space="preserve">2026</t>
    </r>
  </si>
  <si>
    <r>
      <rPr>
        <sz val="10"/>
        <color rgb="FF000000"/>
        <rFont val="HGPｺﾞｼｯｸM"/>
        <family val="0"/>
        <charset val="1"/>
      </rPr>
      <t xml:space="preserve">1</t>
    </r>
    <r>
      <rPr>
        <sz val="10"/>
        <color rgb="FF000000"/>
        <rFont val="WenQuanYi Zen Hei"/>
        <family val="2"/>
      </rPr>
      <t xml:space="preserve">〜</t>
    </r>
    <r>
      <rPr>
        <sz val="10"/>
        <color rgb="FF000000"/>
        <rFont val="HGPｺﾞｼｯｸM"/>
        <family val="0"/>
        <charset val="1"/>
      </rPr>
      <t xml:space="preserve">3</t>
    </r>
    <r>
      <rPr>
        <sz val="10"/>
        <color rgb="FF000000"/>
        <rFont val="WenQuanYi Zen Hei"/>
        <family val="2"/>
      </rPr>
      <t xml:space="preserve">次合宿のポイント練習と、出雲メンバー</t>
    </r>
    <r>
      <rPr>
        <sz val="10"/>
        <color rgb="FF000000"/>
        <rFont val="HGPｺﾞｼｯｸM"/>
        <family val="0"/>
        <charset val="1"/>
      </rPr>
      <t xml:space="preserve">6</t>
    </r>
    <r>
      <rPr>
        <sz val="10"/>
        <color rgb="FF000000"/>
        <rFont val="WenQuanYi Zen Hei"/>
        <family val="2"/>
      </rPr>
      <t xml:space="preserve">人の組・消化率</t>
    </r>
  </si>
  <si>
    <t xml:space="preserve">選手一覧</t>
  </si>
  <si>
    <r>
      <rPr>
        <sz val="10"/>
        <color rgb="FF000000"/>
        <rFont val="WenQuanYi Zen Hei"/>
        <family val="2"/>
      </rPr>
      <t xml:space="preserve">出雲出走選手</t>
    </r>
    <r>
      <rPr>
        <sz val="10"/>
        <color rgb="FF000000"/>
        <rFont val="HGPｺﾞｼｯｸM"/>
        <family val="0"/>
        <charset val="1"/>
      </rPr>
      <t xml:space="preserve">30</t>
    </r>
    <r>
      <rPr>
        <sz val="10"/>
        <color rgb="FF000000"/>
        <rFont val="WenQuanYi Zen Hei"/>
        <family val="2"/>
      </rPr>
      <t xml:space="preserve">人（</t>
    </r>
    <r>
      <rPr>
        <sz val="10"/>
        <color rgb="FF000000"/>
        <rFont val="HGPｺﾞｼｯｸM"/>
        <family val="0"/>
        <charset val="1"/>
      </rPr>
      <t xml:space="preserve">2022</t>
    </r>
    <r>
      <rPr>
        <sz val="10"/>
        <color rgb="FF000000"/>
        <rFont val="WenQuanYi Zen Hei"/>
        <family val="2"/>
      </rPr>
      <t xml:space="preserve">〜</t>
    </r>
    <r>
      <rPr>
        <sz val="10"/>
        <color rgb="FF000000"/>
        <rFont val="HGPｺﾞｼｯｸM"/>
        <family val="0"/>
        <charset val="1"/>
      </rPr>
      <t xml:space="preserve">2026</t>
    </r>
    <r>
      <rPr>
        <sz val="10"/>
        <color rgb="FF000000"/>
        <rFont val="WenQuanYi Zen Hei"/>
        <family val="2"/>
      </rPr>
      <t xml:space="preserve">年）の情報を</t>
    </r>
    <r>
      <rPr>
        <sz val="10"/>
        <color rgb="FF000000"/>
        <rFont val="HGPｺﾞｼｯｸM"/>
        <family val="0"/>
        <charset val="1"/>
      </rPr>
      <t xml:space="preserve">1</t>
    </r>
    <r>
      <rPr>
        <sz val="10"/>
        <color rgb="FF000000"/>
        <rFont val="WenQuanYi Zen Hei"/>
        <family val="2"/>
      </rPr>
      <t xml:space="preserve">行</t>
    </r>
    <r>
      <rPr>
        <sz val="10"/>
        <color rgb="FF000000"/>
        <rFont val="HGPｺﾞｼｯｸM"/>
        <family val="0"/>
        <charset val="1"/>
      </rPr>
      <t xml:space="preserve">1</t>
    </r>
    <r>
      <rPr>
        <sz val="10"/>
        <color rgb="FF000000"/>
        <rFont val="WenQuanYi Zen Hei"/>
        <family val="2"/>
      </rPr>
      <t xml:space="preserve">人で集約した一覧表</t>
    </r>
  </si>
  <si>
    <t xml:space="preserve">用語と計算方法</t>
  </si>
  <si>
    <t xml:space="preserve">換算タイム</t>
  </si>
  <si>
    <r>
      <rPr>
        <sz val="10"/>
        <color rgb="FF000000"/>
        <rFont val="WenQuanYi Zen Hei"/>
        <family val="2"/>
      </rPr>
      <t xml:space="preserve">実タイム</t>
    </r>
    <r>
      <rPr>
        <sz val="10"/>
        <color rgb="FF000000"/>
        <rFont val="HGPｺﾞｼｯｸM"/>
        <family val="0"/>
        <charset val="1"/>
      </rPr>
      <t xml:space="preserve">×</t>
    </r>
    <r>
      <rPr>
        <sz val="10"/>
        <color rgb="FF000000"/>
        <rFont val="WenQuanYi Zen Hei"/>
        <family val="2"/>
      </rPr>
      <t xml:space="preserve">換算距離</t>
    </r>
    <r>
      <rPr>
        <sz val="10"/>
        <color rgb="FF000000"/>
        <rFont val="HGPｺﾞｼｯｸM"/>
        <family val="0"/>
        <charset val="1"/>
      </rPr>
      <t xml:space="preserve">÷</t>
    </r>
    <r>
      <rPr>
        <sz val="10"/>
        <color rgb="FF000000"/>
        <rFont val="WenQuanYi Zen Hei"/>
        <family val="2"/>
      </rPr>
      <t xml:space="preserve">区間距離。</t>
    </r>
    <r>
      <rPr>
        <sz val="10"/>
        <color rgb="FF000000"/>
        <rFont val="HGPｺﾞｼｯｸM"/>
        <family val="0"/>
        <charset val="1"/>
      </rPr>
      <t xml:space="preserve">1</t>
    </r>
    <r>
      <rPr>
        <sz val="10"/>
        <color rgb="FF000000"/>
        <rFont val="WenQuanYi Zen Hei"/>
        <family val="2"/>
      </rPr>
      <t xml:space="preserve">〜</t>
    </r>
    <r>
      <rPr>
        <sz val="10"/>
        <color rgb="FF000000"/>
        <rFont val="HGPｺﾞｼｯｸM"/>
        <family val="0"/>
        <charset val="1"/>
      </rPr>
      <t xml:space="preserve">5</t>
    </r>
    <r>
      <rPr>
        <sz val="10"/>
        <color rgb="FF000000"/>
        <rFont val="WenQuanYi Zen Hei"/>
        <family val="2"/>
      </rPr>
      <t xml:space="preserve">区は</t>
    </r>
    <r>
      <rPr>
        <sz val="10"/>
        <color rgb="FF000000"/>
        <rFont val="HGPｺﾞｼｯｸM"/>
        <family val="0"/>
        <charset val="1"/>
      </rPr>
      <t xml:space="preserve">5km</t>
    </r>
    <r>
      <rPr>
        <sz val="10"/>
        <color rgb="FF000000"/>
        <rFont val="WenQuanYi Zen Hei"/>
        <family val="2"/>
      </rPr>
      <t xml:space="preserve">、</t>
    </r>
    <r>
      <rPr>
        <sz val="10"/>
        <color rgb="FF000000"/>
        <rFont val="HGPｺﾞｼｯｸM"/>
        <family val="0"/>
        <charset val="1"/>
      </rPr>
      <t xml:space="preserve">6</t>
    </r>
    <r>
      <rPr>
        <sz val="10"/>
        <color rgb="FF000000"/>
        <rFont val="WenQuanYi Zen Hei"/>
        <family val="2"/>
      </rPr>
      <t xml:space="preserve">区は</t>
    </r>
    <r>
      <rPr>
        <sz val="10"/>
        <color rgb="FF000000"/>
        <rFont val="HGPｺﾞｼｯｸM"/>
        <family val="0"/>
        <charset val="1"/>
      </rPr>
      <t xml:space="preserve">10km</t>
    </r>
    <r>
      <rPr>
        <sz val="10"/>
        <color rgb="FF000000"/>
        <rFont val="WenQuanYi Zen Hei"/>
        <family val="2"/>
      </rPr>
      <t xml:space="preserve">あたり</t>
    </r>
  </si>
  <si>
    <t xml:space="preserve">日本人トップ</t>
  </si>
  <si>
    <r>
      <rPr>
        <sz val="10"/>
        <color rgb="FF000000"/>
        <rFont val="WenQuanYi Zen Hei"/>
        <family val="2"/>
      </rPr>
      <t xml:space="preserve">留学生を除いた区間最速の選手（区間賞が留学生だったのは</t>
    </r>
    <r>
      <rPr>
        <sz val="10"/>
        <color rgb="FF000000"/>
        <rFont val="HGPｺﾞｼｯｸM"/>
        <family val="0"/>
        <charset val="1"/>
      </rPr>
      <t xml:space="preserve">5</t>
    </r>
    <r>
      <rPr>
        <sz val="10"/>
        <color rgb="FF000000"/>
        <rFont val="WenQuanYi Zen Hei"/>
        <family val="2"/>
      </rPr>
      <t xml:space="preserve">年とも</t>
    </r>
    <r>
      <rPr>
        <sz val="10"/>
        <color rgb="FF000000"/>
        <rFont val="HGPｺﾞｼｯｸM"/>
        <family val="0"/>
        <charset val="1"/>
      </rPr>
      <t xml:space="preserve">3</t>
    </r>
    <r>
      <rPr>
        <sz val="10"/>
        <color rgb="FF000000"/>
        <rFont val="WenQuanYi Zen Hei"/>
        <family val="2"/>
      </rPr>
      <t xml:space="preserve">区のみ）</t>
    </r>
  </si>
  <si>
    <t xml:space="preserve">悪化率</t>
  </si>
  <si>
    <r>
      <rPr>
        <sz val="10"/>
        <color rgb="FF000000"/>
        <rFont val="WenQuanYi Zen Hei"/>
        <family val="2"/>
      </rPr>
      <t xml:space="preserve">出雲の</t>
    </r>
    <r>
      <rPr>
        <sz val="10"/>
        <color rgb="FF000000"/>
        <rFont val="HGPｺﾞｼｯｸM"/>
        <family val="0"/>
        <charset val="1"/>
      </rPr>
      <t xml:space="preserve">5km</t>
    </r>
    <r>
      <rPr>
        <sz val="10"/>
        <color rgb="FF000000"/>
        <rFont val="WenQuanYi Zen Hei"/>
        <family val="2"/>
      </rPr>
      <t xml:space="preserve">換算ペース</t>
    </r>
    <r>
      <rPr>
        <sz val="10"/>
        <color rgb="FF000000"/>
        <rFont val="HGPｺﾞｼｯｸM"/>
        <family val="0"/>
        <charset val="1"/>
      </rPr>
      <t xml:space="preserve">÷2</t>
    </r>
    <r>
      <rPr>
        <sz val="10"/>
        <color rgb="FF000000"/>
        <rFont val="WenQuanYi Zen Hei"/>
        <family val="2"/>
      </rPr>
      <t xml:space="preserve">週間前</t>
    </r>
    <r>
      <rPr>
        <sz val="10"/>
        <color rgb="FF000000"/>
        <rFont val="HGPｺﾞｼｯｸM"/>
        <family val="0"/>
        <charset val="1"/>
      </rPr>
      <t xml:space="preserve">5000m</t>
    </r>
    <r>
      <rPr>
        <sz val="10"/>
        <color rgb="FF000000"/>
        <rFont val="WenQuanYi Zen Hei"/>
        <family val="2"/>
      </rPr>
      <t xml:space="preserve">記録−</t>
    </r>
    <r>
      <rPr>
        <sz val="10"/>
        <color rgb="FF000000"/>
        <rFont val="HGPｺﾞｼｯｸM"/>
        <family val="0"/>
        <charset val="1"/>
      </rPr>
      <t xml:space="preserve">1</t>
    </r>
    <r>
      <rPr>
        <sz val="10"/>
        <color rgb="FF000000"/>
        <rFont val="WenQuanYi Zen Hei"/>
        <family val="2"/>
      </rPr>
      <t xml:space="preserve">。大きいほど本番で落ちている</t>
    </r>
  </si>
  <si>
    <t xml:space="preserve">チーム比</t>
  </si>
  <si>
    <r>
      <rPr>
        <sz val="10"/>
        <color rgb="FF000000"/>
        <rFont val="WenQuanYi Zen Hei"/>
        <family val="2"/>
      </rPr>
      <t xml:space="preserve">出雲メンバー</t>
    </r>
    <r>
      <rPr>
        <sz val="10"/>
        <color rgb="FF000000"/>
        <rFont val="HGPｺﾞｼｯｸM"/>
        <family val="0"/>
        <charset val="1"/>
      </rPr>
      <t xml:space="preserve">6</t>
    </r>
    <r>
      <rPr>
        <sz val="10"/>
        <color rgb="FF000000"/>
        <rFont val="WenQuanYi Zen Hei"/>
        <family val="2"/>
      </rPr>
      <t xml:space="preserve">人の</t>
    </r>
    <r>
      <rPr>
        <sz val="10"/>
        <color rgb="FF000000"/>
        <rFont val="HGPｺﾞｼｯｸM"/>
        <family val="0"/>
        <charset val="1"/>
      </rPr>
      <t xml:space="preserve">1</t>
    </r>
    <r>
      <rPr>
        <sz val="10"/>
        <color rgb="FF000000"/>
        <rFont val="WenQuanYi Zen Hei"/>
        <family val="2"/>
      </rPr>
      <t xml:space="preserve">次合宿距離の平均</t>
    </r>
    <r>
      <rPr>
        <sz val="10"/>
        <color rgb="FF000000"/>
        <rFont val="HGPｺﾞｼｯｸM"/>
        <family val="0"/>
        <charset val="1"/>
      </rPr>
      <t xml:space="preserve">÷</t>
    </r>
    <r>
      <rPr>
        <sz val="10"/>
        <color rgb="FF000000"/>
        <rFont val="WenQuanYi Zen Hei"/>
        <family val="2"/>
      </rPr>
      <t xml:space="preserve">チーム全体の平均</t>
    </r>
  </si>
  <si>
    <t xml:space="preserve">対象</t>
  </si>
  <si>
    <r>
      <rPr>
        <sz val="10"/>
        <color rgb="FF000000"/>
        <rFont val="WenQuanYi Zen Hei"/>
        <family val="2"/>
      </rPr>
      <t xml:space="preserve">出雲駅伝に出走した青学の選手（各年</t>
    </r>
    <r>
      <rPr>
        <sz val="10"/>
        <color rgb="FF000000"/>
        <rFont val="HGPｺﾞｼｯｸM"/>
        <family val="0"/>
        <charset val="1"/>
      </rPr>
      <t xml:space="preserve">6</t>
    </r>
    <r>
      <rPr>
        <sz val="10"/>
        <color rgb="FF000000"/>
        <rFont val="WenQuanYi Zen Hei"/>
        <family val="2"/>
      </rPr>
      <t xml:space="preserve">人）のみ。比較用に日本人トップの区間記録、チーム平均距離、「合宿距離</t>
    </r>
    <r>
      <rPr>
        <sz val="10"/>
        <color rgb="FF000000"/>
        <rFont val="HGPｺﾞｼｯｸM"/>
        <family val="0"/>
        <charset val="1"/>
      </rPr>
      <t xml:space="preserve">_</t>
    </r>
    <r>
      <rPr>
        <sz val="10"/>
        <color rgb="FF000000"/>
        <rFont val="WenQuanYi Zen Hei"/>
        <family val="2"/>
      </rPr>
      <t xml:space="preserve">上位</t>
    </r>
    <r>
      <rPr>
        <sz val="10"/>
        <color rgb="FF000000"/>
        <rFont val="HGPｺﾞｼｯｸM"/>
        <family val="0"/>
        <charset val="1"/>
      </rPr>
      <t xml:space="preserve">35</t>
    </r>
    <r>
      <rPr>
        <sz val="10"/>
        <color rgb="FF000000"/>
        <rFont val="WenQuanYi Zen Hei"/>
        <family val="2"/>
      </rPr>
      <t xml:space="preserve">人」「合宿距離ランキング</t>
    </r>
    <r>
      <rPr>
        <sz val="10"/>
        <color rgb="FF000000"/>
        <rFont val="HGPｺﾞｼｯｸM"/>
        <family val="0"/>
        <charset val="1"/>
      </rPr>
      <t xml:space="preserve">_</t>
    </r>
    <r>
      <rPr>
        <sz val="10"/>
        <color rgb="FF000000"/>
        <rFont val="WenQuanYi Zen Hei"/>
        <family val="2"/>
      </rPr>
      <t xml:space="preserve">全員」シートだけは他の部員も含む</t>
    </r>
  </si>
  <si>
    <t xml:space="preserve">色の意味</t>
  </si>
  <si>
    <t xml:space="preserve">緑〜赤の背景色は良い〜悪い。区間賞は黄色の背景</t>
  </si>
  <si>
    <t xml:space="preserve">これまでの分析で見えたこと（仮説）</t>
  </si>
  <si>
    <t xml:space="preserve">・</t>
  </si>
  <si>
    <r>
      <rPr>
        <sz val="10"/>
        <color rgb="FF000000"/>
        <rFont val="HGPｺﾞｼｯｸM"/>
        <family val="0"/>
        <charset val="1"/>
      </rPr>
      <t xml:space="preserve">2</t>
    </r>
    <r>
      <rPr>
        <sz val="10"/>
        <color rgb="FF000000"/>
        <rFont val="WenQuanYi Zen Hei"/>
        <family val="2"/>
      </rPr>
      <t xml:space="preserve">週間前の</t>
    </r>
    <r>
      <rPr>
        <sz val="10"/>
        <color rgb="FF000000"/>
        <rFont val="HGPｺﾞｼｯｸM"/>
        <family val="0"/>
        <charset val="1"/>
      </rPr>
      <t xml:space="preserve">5000m</t>
    </r>
    <r>
      <rPr>
        <sz val="10"/>
        <color rgb="FF000000"/>
        <rFont val="WenQuanYi Zen Hei"/>
        <family val="2"/>
      </rPr>
      <t xml:space="preserve">が速い年ほど出雲での悪化率が大きい（年単位で強い負の相関）。個人単位では関係がほぼない</t>
    </r>
  </si>
  <si>
    <r>
      <rPr>
        <sz val="10"/>
        <color rgb="FF000000"/>
        <rFont val="WenQuanYi Zen Hei"/>
        <family val="2"/>
      </rPr>
      <t xml:space="preserve">総合</t>
    </r>
    <r>
      <rPr>
        <sz val="10"/>
        <color rgb="FF000000"/>
        <rFont val="HGPｺﾞｼｯｸM"/>
        <family val="0"/>
        <charset val="1"/>
      </rPr>
      <t xml:space="preserve">3</t>
    </r>
    <r>
      <rPr>
        <sz val="10"/>
        <color rgb="FF000000"/>
        <rFont val="WenQuanYi Zen Hei"/>
        <family val="2"/>
      </rPr>
      <t xml:space="preserve">位の</t>
    </r>
    <r>
      <rPr>
        <sz val="10"/>
        <color rgb="FF000000"/>
        <rFont val="HGPｺﾞｼｯｸM"/>
        <family val="0"/>
        <charset val="1"/>
      </rPr>
      <t xml:space="preserve">2024</t>
    </r>
    <r>
      <rPr>
        <sz val="10"/>
        <color rgb="FF000000"/>
        <rFont val="WenQuanYi Zen Hei"/>
        <family val="2"/>
      </rPr>
      <t xml:space="preserve">年だけ、出雲メンバーの</t>
    </r>
    <r>
      <rPr>
        <sz val="10"/>
        <color rgb="FF000000"/>
        <rFont val="HGPｺﾞｼｯｸM"/>
        <family val="0"/>
        <charset val="1"/>
      </rPr>
      <t xml:space="preserve">1</t>
    </r>
    <r>
      <rPr>
        <sz val="10"/>
        <color rgb="FF000000"/>
        <rFont val="WenQuanYi Zen Hei"/>
        <family val="2"/>
      </rPr>
      <t xml:space="preserve">次合宿距離がチーム平均を下回った（</t>
    </r>
    <r>
      <rPr>
        <sz val="10"/>
        <color rgb="FF000000"/>
        <rFont val="HGPｺﾞｼｯｸM"/>
        <family val="0"/>
        <charset val="1"/>
      </rPr>
      <t xml:space="preserve">93%</t>
    </r>
    <r>
      <rPr>
        <sz val="10"/>
        <color rgb="FF000000"/>
        <rFont val="WenQuanYi Zen Hei"/>
        <family val="2"/>
      </rPr>
      <t xml:space="preserve">）。他の年は</t>
    </r>
    <r>
      <rPr>
        <sz val="10"/>
        <color rgb="FF000000"/>
        <rFont val="HGPｺﾞｼｯｸM"/>
        <family val="0"/>
        <charset val="1"/>
      </rPr>
      <t xml:space="preserve">113</t>
    </r>
    <r>
      <rPr>
        <sz val="10"/>
        <color rgb="FF000000"/>
        <rFont val="WenQuanYi Zen Hei"/>
        <family val="2"/>
      </rPr>
      <t xml:space="preserve">〜</t>
    </r>
    <r>
      <rPr>
        <sz val="10"/>
        <color rgb="FF000000"/>
        <rFont val="HGPｺﾞｼｯｸM"/>
        <family val="0"/>
        <charset val="1"/>
      </rPr>
      <t xml:space="preserve">121%</t>
    </r>
  </si>
  <si>
    <r>
      <rPr>
        <sz val="10"/>
        <color rgb="FF000000"/>
        <rFont val="HGPｺﾞｼｯｸM"/>
        <family val="0"/>
        <charset val="1"/>
      </rPr>
      <t xml:space="preserve">3</t>
    </r>
    <r>
      <rPr>
        <sz val="10"/>
        <color rgb="FF000000"/>
        <rFont val="WenQuanYi Zen Hei"/>
        <family val="2"/>
      </rPr>
      <t xml:space="preserve">次合宿の骨組み（距離走→変化走→スピード）と消化率は</t>
    </r>
    <r>
      <rPr>
        <sz val="10"/>
        <color rgb="FF000000"/>
        <rFont val="HGPｺﾞｼｯｸM"/>
        <family val="0"/>
        <charset val="1"/>
      </rPr>
      <t xml:space="preserve">4</t>
    </r>
    <r>
      <rPr>
        <sz val="10"/>
        <color rgb="FF000000"/>
        <rFont val="WenQuanYi Zen Hei"/>
        <family val="2"/>
      </rPr>
      <t xml:space="preserve">年とも大差なく、</t>
    </r>
    <r>
      <rPr>
        <sz val="10"/>
        <color rgb="FF000000"/>
        <rFont val="HGPｺﾞｼｯｸM"/>
        <family val="0"/>
        <charset val="1"/>
      </rPr>
      <t xml:space="preserve">2024</t>
    </r>
    <r>
      <rPr>
        <sz val="10"/>
        <color rgb="FF000000"/>
        <rFont val="WenQuanYi Zen Hei"/>
        <family val="2"/>
      </rPr>
      <t xml:space="preserve">年も最終日は強い練習だった</t>
    </r>
  </si>
  <si>
    <r>
      <rPr>
        <sz val="10"/>
        <color rgb="FF000000"/>
        <rFont val="HGPｺﾞｼｯｸM"/>
        <family val="0"/>
        <charset val="1"/>
      </rPr>
      <t xml:space="preserve">2026</t>
    </r>
    <r>
      <rPr>
        <sz val="10"/>
        <color rgb="FF000000"/>
        <rFont val="WenQuanYi Zen Hei"/>
        <family val="2"/>
      </rPr>
      <t xml:space="preserve">年は</t>
    </r>
    <r>
      <rPr>
        <sz val="10"/>
        <color rgb="FF000000"/>
        <rFont val="HGPｺﾞｼｯｸM"/>
        <family val="0"/>
        <charset val="1"/>
      </rPr>
      <t xml:space="preserve">3</t>
    </r>
    <r>
      <rPr>
        <sz val="10"/>
        <color rgb="FF000000"/>
        <rFont val="WenQuanYi Zen Hei"/>
        <family val="2"/>
      </rPr>
      <t xml:space="preserve">次合宿の最終日が</t>
    </r>
    <r>
      <rPr>
        <sz val="10"/>
        <color rgb="FF000000"/>
        <rFont val="HGPｺﾞｼｯｸM"/>
        <family val="0"/>
        <charset val="1"/>
      </rPr>
      <t xml:space="preserve">9/23</t>
    </r>
    <r>
      <rPr>
        <sz val="10"/>
        <color rgb="FF000000"/>
        <rFont val="WenQuanYi Zen Hei"/>
        <family val="2"/>
      </rPr>
      <t xml:space="preserve">と遅く、出雲まで</t>
    </r>
    <r>
      <rPr>
        <sz val="10"/>
        <color rgb="FF000000"/>
        <rFont val="HGPｺﾞｼｯｸM"/>
        <family val="0"/>
        <charset val="1"/>
      </rPr>
      <t xml:space="preserve">19</t>
    </r>
    <r>
      <rPr>
        <sz val="10"/>
        <color rgb="FF000000"/>
        <rFont val="WenQuanYi Zen Hei"/>
        <family val="2"/>
      </rPr>
      <t xml:space="preserve">日（他の年は</t>
    </r>
    <r>
      <rPr>
        <sz val="10"/>
        <color rgb="FF000000"/>
        <rFont val="HGPｺﾞｼｯｸM"/>
        <family val="0"/>
        <charset val="1"/>
      </rPr>
      <t xml:space="preserve">22</t>
    </r>
    <r>
      <rPr>
        <sz val="10"/>
        <color rgb="FF000000"/>
        <rFont val="WenQuanYi Zen Hei"/>
        <family val="2"/>
      </rPr>
      <t xml:space="preserve">〜</t>
    </r>
    <r>
      <rPr>
        <sz val="10"/>
        <color rgb="FF000000"/>
        <rFont val="HGPｺﾞｼｯｸM"/>
        <family val="0"/>
        <charset val="1"/>
      </rPr>
      <t xml:space="preserve">23</t>
    </r>
    <r>
      <rPr>
        <sz val="10"/>
        <color rgb="FF000000"/>
        <rFont val="WenQuanYi Zen Hei"/>
        <family val="2"/>
      </rPr>
      <t xml:space="preserve">日）。最後の練習の</t>
    </r>
    <r>
      <rPr>
        <sz val="10"/>
        <color rgb="FF000000"/>
        <rFont val="HGPｺﾞｼｯｸM"/>
        <family val="0"/>
        <charset val="1"/>
      </rPr>
      <t xml:space="preserve">4</t>
    </r>
    <r>
      <rPr>
        <sz val="10"/>
        <color rgb="FF000000"/>
        <rFont val="WenQuanYi Zen Hei"/>
        <family val="2"/>
      </rPr>
      <t xml:space="preserve">日後の</t>
    </r>
    <r>
      <rPr>
        <sz val="10"/>
        <color rgb="FF000000"/>
        <rFont val="HGPｺﾞｼｯｸM"/>
        <family val="0"/>
        <charset val="1"/>
      </rPr>
      <t xml:space="preserve">5km</t>
    </r>
    <r>
      <rPr>
        <sz val="10"/>
        <color rgb="FF000000"/>
        <rFont val="WenQuanYi Zen Hei"/>
        <family val="2"/>
      </rPr>
      <t xml:space="preserve">で</t>
    </r>
    <r>
      <rPr>
        <sz val="10"/>
        <color rgb="FF000000"/>
        <rFont val="HGPｺﾞｼｯｸM"/>
        <family val="0"/>
        <charset val="1"/>
      </rPr>
      <t xml:space="preserve">6</t>
    </r>
    <r>
      <rPr>
        <sz val="10"/>
        <color rgb="FF000000"/>
        <rFont val="WenQuanYi Zen Hei"/>
        <family val="2"/>
      </rPr>
      <t xml:space="preserve">人中</t>
    </r>
    <r>
      <rPr>
        <sz val="10"/>
        <color rgb="FF000000"/>
        <rFont val="HGPｺﾞｼｯｸM"/>
        <family val="0"/>
        <charset val="1"/>
      </rPr>
      <t xml:space="preserve">5</t>
    </r>
    <r>
      <rPr>
        <sz val="10"/>
        <color rgb="FF000000"/>
        <rFont val="WenQuanYi Zen Hei"/>
        <family val="2"/>
      </rPr>
      <t xml:space="preserve">人が自己ベスト</t>
    </r>
  </si>
  <si>
    <r>
      <rPr>
        <sz val="10"/>
        <color rgb="FF000000"/>
        <rFont val="WenQuanYi Zen Hei"/>
        <family val="2"/>
      </rPr>
      <t xml:space="preserve">注意：年単位の比較は</t>
    </r>
    <r>
      <rPr>
        <sz val="10"/>
        <color rgb="FF000000"/>
        <rFont val="HGPｺﾞｼｯｸM"/>
        <family val="0"/>
        <charset val="1"/>
      </rPr>
      <t xml:space="preserve">4</t>
    </r>
    <r>
      <rPr>
        <sz val="10"/>
        <color rgb="FF000000"/>
        <rFont val="WenQuanYi Zen Hei"/>
        <family val="2"/>
      </rPr>
      <t xml:space="preserve">〜</t>
    </r>
    <r>
      <rPr>
        <sz val="10"/>
        <color rgb="FF000000"/>
        <rFont val="HGPｺﾞｼｯｸM"/>
        <family val="0"/>
        <charset val="1"/>
      </rPr>
      <t xml:space="preserve">5</t>
    </r>
    <r>
      <rPr>
        <sz val="10"/>
        <color rgb="FF000000"/>
        <rFont val="WenQuanYi Zen Hei"/>
        <family val="2"/>
      </rPr>
      <t xml:space="preserve">年分しかなく、統計的に確かとは言えない</t>
    </r>
  </si>
  <si>
    <t xml:space="preserve">未提供のデータ</t>
  </si>
  <si>
    <r>
      <rPr>
        <sz val="10"/>
        <color rgb="FF000000"/>
        <rFont val="HGPｺﾞｼｯｸM"/>
        <family val="0"/>
        <charset val="1"/>
      </rPr>
      <t xml:space="preserve">2023</t>
    </r>
    <r>
      <rPr>
        <sz val="10"/>
        <color rgb="FF000000"/>
        <rFont val="WenQuanYi Zen Hei"/>
        <family val="2"/>
      </rPr>
      <t xml:space="preserve">〜</t>
    </r>
    <r>
      <rPr>
        <sz val="10"/>
        <color rgb="FF000000"/>
        <rFont val="HGPｺﾞｼｯｸM"/>
        <family val="0"/>
        <charset val="1"/>
      </rPr>
      <t xml:space="preserve">2025</t>
    </r>
    <r>
      <rPr>
        <sz val="10"/>
        <color rgb="FF000000"/>
        <rFont val="WenQuanYi Zen Hei"/>
        <family val="2"/>
      </rPr>
      <t xml:space="preserve">年の</t>
    </r>
    <r>
      <rPr>
        <sz val="10"/>
        <color rgb="FF000000"/>
        <rFont val="HGPｺﾞｼｯｸM"/>
        <family val="0"/>
        <charset val="1"/>
      </rPr>
      <t xml:space="preserve">5000m</t>
    </r>
    <r>
      <rPr>
        <sz val="10"/>
        <color rgb="FF000000"/>
        <rFont val="WenQuanYi Zen Hei"/>
        <family val="2"/>
      </rPr>
      <t xml:space="preserve">記録会の日付</t>
    </r>
  </si>
  <si>
    <r>
      <rPr>
        <sz val="10"/>
        <color rgb="FF000000"/>
        <rFont val="HGPｺﾞｼｯｸM"/>
        <family val="0"/>
        <charset val="1"/>
      </rPr>
      <t xml:space="preserve">3</t>
    </r>
    <r>
      <rPr>
        <sz val="10"/>
        <color rgb="FF000000"/>
        <rFont val="WenQuanYi Zen Hei"/>
        <family val="2"/>
      </rPr>
      <t xml:space="preserve">次合宿終了から出雲までの練習内容（</t>
    </r>
    <r>
      <rPr>
        <sz val="10"/>
        <color rgb="FF000000"/>
        <rFont val="HGPｺﾞｼｯｸM"/>
        <family val="0"/>
        <charset val="1"/>
      </rPr>
      <t xml:space="preserve">2024</t>
    </r>
    <r>
      <rPr>
        <sz val="10"/>
        <color rgb="FF000000"/>
        <rFont val="WenQuanYi Zen Hei"/>
        <family val="2"/>
      </rPr>
      <t xml:space="preserve">〜</t>
    </r>
    <r>
      <rPr>
        <sz val="10"/>
        <color rgb="FF000000"/>
        <rFont val="HGPｺﾞｼｯｸM"/>
        <family val="0"/>
        <charset val="1"/>
      </rPr>
      <t xml:space="preserve">2026</t>
    </r>
    <r>
      <rPr>
        <sz val="10"/>
        <color rgb="FF000000"/>
        <rFont val="WenQuanYi Zen Hei"/>
        <family val="2"/>
      </rPr>
      <t xml:space="preserve">年、</t>
    </r>
    <r>
      <rPr>
        <sz val="10"/>
        <color rgb="FF000000"/>
        <rFont val="HGPｺﾞｼｯｸM"/>
        <family val="0"/>
        <charset val="1"/>
      </rPr>
      <t xml:space="preserve">2023</t>
    </r>
    <r>
      <rPr>
        <sz val="10"/>
        <color rgb="FF000000"/>
        <rFont val="WenQuanYi Zen Hei"/>
        <family val="2"/>
      </rPr>
      <t xml:space="preserve">年の</t>
    </r>
    <r>
      <rPr>
        <sz val="10"/>
        <color rgb="FF000000"/>
        <rFont val="HGPｺﾞｼｯｸM"/>
        <family val="0"/>
        <charset val="1"/>
      </rPr>
      <t xml:space="preserve">9/18</t>
    </r>
    <r>
      <rPr>
        <sz val="10"/>
        <color rgb="FF000000"/>
        <rFont val="WenQuanYi Zen Hei"/>
        <family val="2"/>
      </rPr>
      <t xml:space="preserve">〜</t>
    </r>
    <r>
      <rPr>
        <sz val="10"/>
        <color rgb="FF000000"/>
        <rFont val="HGPｺﾞｼｯｸM"/>
        <family val="0"/>
        <charset val="1"/>
      </rPr>
      <t xml:space="preserve">9/29</t>
    </r>
    <r>
      <rPr>
        <sz val="10"/>
        <color rgb="FF000000"/>
        <rFont val="WenQuanYi Zen Hei"/>
        <family val="2"/>
      </rPr>
      <t xml:space="preserve">）</t>
    </r>
  </si>
  <si>
    <r>
      <rPr>
        <sz val="10"/>
        <color rgb="FF000000"/>
        <rFont val="HGPｺﾞｼｯｸM"/>
        <family val="0"/>
        <charset val="1"/>
      </rPr>
      <t xml:space="preserve">2024</t>
    </r>
    <r>
      <rPr>
        <sz val="10"/>
        <color rgb="FF000000"/>
        <rFont val="WenQuanYi Zen Hei"/>
        <family val="2"/>
      </rPr>
      <t xml:space="preserve">年</t>
    </r>
    <r>
      <rPr>
        <sz val="10"/>
        <color rgb="FF000000"/>
        <rFont val="HGPｺﾞｼｯｸM"/>
        <family val="0"/>
        <charset val="1"/>
      </rPr>
      <t xml:space="preserve">7</t>
    </r>
    <r>
      <rPr>
        <sz val="10"/>
        <color rgb="FF000000"/>
        <rFont val="WenQuanYi Zen Hei"/>
        <family val="2"/>
      </rPr>
      <t xml:space="preserve">〜</t>
    </r>
    <r>
      <rPr>
        <sz val="10"/>
        <color rgb="FF000000"/>
        <rFont val="HGPｺﾞｼｯｸM"/>
        <family val="0"/>
        <charset val="1"/>
      </rPr>
      <t xml:space="preserve">10</t>
    </r>
    <r>
      <rPr>
        <sz val="10"/>
        <color rgb="FF000000"/>
        <rFont val="WenQuanYi Zen Hei"/>
        <family val="2"/>
      </rPr>
      <t xml:space="preserve">月、</t>
    </r>
    <r>
      <rPr>
        <sz val="10"/>
        <color rgb="FF000000"/>
        <rFont val="HGPｺﾞｼｯｸM"/>
        <family val="0"/>
        <charset val="1"/>
      </rPr>
      <t xml:space="preserve">2025</t>
    </r>
    <r>
      <rPr>
        <sz val="10"/>
        <color rgb="FF000000"/>
        <rFont val="WenQuanYi Zen Hei"/>
        <family val="2"/>
      </rPr>
      <t xml:space="preserve">・</t>
    </r>
    <r>
      <rPr>
        <sz val="10"/>
        <color rgb="FF000000"/>
        <rFont val="HGPｺﾞｼｯｸM"/>
        <family val="0"/>
        <charset val="1"/>
      </rPr>
      <t xml:space="preserve">2026</t>
    </r>
    <r>
      <rPr>
        <sz val="10"/>
        <color rgb="FF000000"/>
        <rFont val="WenQuanYi Zen Hei"/>
        <family val="2"/>
      </rPr>
      <t xml:space="preserve">年の月間走行距離</t>
    </r>
  </si>
  <si>
    <r>
      <rPr>
        <sz val="10"/>
        <color rgb="FF000000"/>
        <rFont val="HGPｺﾞｼｯｸM"/>
        <family val="0"/>
        <charset val="1"/>
      </rPr>
      <t xml:space="preserve">2022</t>
    </r>
    <r>
      <rPr>
        <sz val="10"/>
        <color rgb="FF000000"/>
        <rFont val="WenQuanYi Zen Hei"/>
        <family val="2"/>
      </rPr>
      <t xml:space="preserve">年の合宿データ（走行距離・消化率・</t>
    </r>
    <r>
      <rPr>
        <sz val="10"/>
        <color rgb="FF000000"/>
        <rFont val="HGPｺﾞｼｯｸM"/>
        <family val="0"/>
        <charset val="1"/>
      </rPr>
      <t xml:space="preserve">3</t>
    </r>
    <r>
      <rPr>
        <sz val="10"/>
        <color rgb="FF000000"/>
        <rFont val="WenQuanYi Zen Hei"/>
        <family val="2"/>
      </rPr>
      <t xml:space="preserve">次合宿日程）</t>
    </r>
  </si>
  <si>
    <r>
      <rPr>
        <b val="true"/>
        <sz val="14"/>
        <color rgb="FF000000"/>
        <rFont val="WenQuanYi Zen Hei"/>
        <family val="2"/>
      </rPr>
      <t xml:space="preserve">年別まとめ：出雲の成績と、</t>
    </r>
    <r>
      <rPr>
        <b val="true"/>
        <sz val="14"/>
        <color rgb="FF000000"/>
        <rFont val="HGPｺﾞｼｯｸM"/>
        <family val="0"/>
        <charset val="1"/>
      </rPr>
      <t xml:space="preserve">2</t>
    </r>
    <r>
      <rPr>
        <b val="true"/>
        <sz val="14"/>
        <color rgb="FF000000"/>
        <rFont val="WenQuanYi Zen Hei"/>
        <family val="2"/>
      </rPr>
      <t xml:space="preserve">週間前</t>
    </r>
    <r>
      <rPr>
        <b val="true"/>
        <sz val="14"/>
        <color rgb="FF000000"/>
        <rFont val="HGPｺﾞｼｯｸM"/>
        <family val="0"/>
        <charset val="1"/>
      </rPr>
      <t xml:space="preserve">5000m</t>
    </r>
    <r>
      <rPr>
        <b val="true"/>
        <sz val="14"/>
        <color rgb="FF000000"/>
        <rFont val="WenQuanYi Zen Hei"/>
        <family val="2"/>
      </rPr>
      <t xml:space="preserve">・合宿データの比較</t>
    </r>
  </si>
  <si>
    <r>
      <rPr>
        <sz val="9"/>
        <color rgb="FF000000"/>
        <rFont val="WenQuanYi Zen Hei"/>
        <family val="2"/>
      </rPr>
      <t xml:space="preserve">メンバー＝その年の出雲出走</t>
    </r>
    <r>
      <rPr>
        <sz val="9"/>
        <color rgb="FF000000"/>
        <rFont val="HGPｺﾞｼｯｸM"/>
        <family val="0"/>
        <charset val="1"/>
      </rPr>
      <t xml:space="preserve">6</t>
    </r>
    <r>
      <rPr>
        <sz val="9"/>
        <color rgb="FF000000"/>
        <rFont val="WenQuanYi Zen Hei"/>
        <family val="2"/>
      </rPr>
      <t xml:space="preserve">人。順位・チーム平均・日付は元資料からの入力値（出典は各セルのコメント）、それ以外は他シートからの集計式。空欄はデータ未提供</t>
    </r>
  </si>
  <si>
    <t xml:space="preserve">年</t>
  </si>
  <si>
    <t xml:space="preserve">出雲
総合順位</t>
  </si>
  <si>
    <r>
      <rPr>
        <b val="true"/>
        <sz val="10"/>
        <color rgb="FF000000"/>
        <rFont val="HGPｺﾞｼｯｸM"/>
        <family val="0"/>
        <charset val="1"/>
      </rPr>
      <t xml:space="preserve">1</t>
    </r>
    <r>
      <rPr>
        <b val="true"/>
        <sz val="10"/>
        <color rgb="FF000000"/>
        <rFont val="WenQuanYi Zen Hei"/>
        <family val="2"/>
      </rPr>
      <t xml:space="preserve">〜</t>
    </r>
    <r>
      <rPr>
        <b val="true"/>
        <sz val="10"/>
        <color rgb="FF000000"/>
        <rFont val="HGPｺﾞｼｯｸM"/>
        <family val="0"/>
        <charset val="1"/>
      </rPr>
      <t xml:space="preserve">5</t>
    </r>
    <r>
      <rPr>
        <b val="true"/>
        <sz val="10"/>
        <color rgb="FF000000"/>
        <rFont val="WenQuanYi Zen Hei"/>
        <family val="2"/>
      </rPr>
      <t xml:space="preserve">区
平均差
</t>
    </r>
    <r>
      <rPr>
        <b val="true"/>
        <sz val="10"/>
        <color rgb="FF000000"/>
        <rFont val="HGPｺﾞｼｯｸM"/>
        <family val="0"/>
        <charset val="1"/>
      </rPr>
      <t xml:space="preserve">(</t>
    </r>
    <r>
      <rPr>
        <b val="true"/>
        <sz val="10"/>
        <color rgb="FF000000"/>
        <rFont val="WenQuanYi Zen Hei"/>
        <family val="2"/>
      </rPr>
      <t xml:space="preserve">秒</t>
    </r>
    <r>
      <rPr>
        <b val="true"/>
        <sz val="10"/>
        <color rgb="FF000000"/>
        <rFont val="HGPｺﾞｼｯｸM"/>
        <family val="0"/>
        <charset val="1"/>
      </rPr>
      <t xml:space="preserve">/5km)</t>
    </r>
  </si>
  <si>
    <r>
      <rPr>
        <b val="true"/>
        <sz val="10"/>
        <color rgb="FF000000"/>
        <rFont val="HGPｺﾞｼｯｸM"/>
        <family val="0"/>
        <charset val="1"/>
      </rPr>
      <t xml:space="preserve">6</t>
    </r>
    <r>
      <rPr>
        <b val="true"/>
        <sz val="10"/>
        <color rgb="FF000000"/>
        <rFont val="WenQuanYi Zen Hei"/>
        <family val="2"/>
      </rPr>
      <t xml:space="preserve">区差
</t>
    </r>
    <r>
      <rPr>
        <b val="true"/>
        <sz val="10"/>
        <color rgb="FF000000"/>
        <rFont val="HGPｺﾞｼｯｸM"/>
        <family val="0"/>
        <charset val="1"/>
      </rPr>
      <t xml:space="preserve">(</t>
    </r>
    <r>
      <rPr>
        <b val="true"/>
        <sz val="10"/>
        <color rgb="FF000000"/>
        <rFont val="WenQuanYi Zen Hei"/>
        <family val="2"/>
      </rPr>
      <t xml:space="preserve">秒</t>
    </r>
    <r>
      <rPr>
        <b val="true"/>
        <sz val="10"/>
        <color rgb="FF000000"/>
        <rFont val="HGPｺﾞｼｯｸM"/>
        <family val="0"/>
        <charset val="1"/>
      </rPr>
      <t xml:space="preserve">/10km)</t>
    </r>
  </si>
  <si>
    <r>
      <rPr>
        <b val="true"/>
        <sz val="10"/>
        <color rgb="FF000000"/>
        <rFont val="WenQuanYi Zen Hei"/>
        <family val="2"/>
      </rPr>
      <t xml:space="preserve">メンバー
</t>
    </r>
    <r>
      <rPr>
        <b val="true"/>
        <sz val="10"/>
        <color rgb="FF000000"/>
        <rFont val="HGPｺﾞｼｯｸM"/>
        <family val="0"/>
        <charset val="1"/>
      </rPr>
      <t xml:space="preserve">5000m</t>
    </r>
    <r>
      <rPr>
        <b val="true"/>
        <sz val="10"/>
        <color rgb="FF000000"/>
        <rFont val="WenQuanYi Zen Hei"/>
        <family val="2"/>
      </rPr>
      <t xml:space="preserve">平均</t>
    </r>
  </si>
  <si>
    <t xml:space="preserve">悪化率
平均</t>
  </si>
  <si>
    <r>
      <rPr>
        <b val="true"/>
        <sz val="10"/>
        <color rgb="FF000000"/>
        <rFont val="WenQuanYi Zen Hei"/>
        <family val="2"/>
      </rPr>
      <t xml:space="preserve">メンバー
</t>
    </r>
    <r>
      <rPr>
        <b val="true"/>
        <sz val="10"/>
        <color rgb="FF000000"/>
        <rFont val="HGPｺﾞｼｯｸM"/>
        <family val="0"/>
        <charset val="1"/>
      </rPr>
      <t xml:space="preserve">1</t>
    </r>
    <r>
      <rPr>
        <b val="true"/>
        <sz val="10"/>
        <color rgb="FF000000"/>
        <rFont val="WenQuanYi Zen Hei"/>
        <family val="2"/>
      </rPr>
      <t xml:space="preserve">次距離
</t>
    </r>
    <r>
      <rPr>
        <b val="true"/>
        <sz val="10"/>
        <color rgb="FF000000"/>
        <rFont val="HGPｺﾞｼｯｸM"/>
        <family val="0"/>
        <charset val="1"/>
      </rPr>
      <t xml:space="preserve">(km)</t>
    </r>
  </si>
  <si>
    <r>
      <rPr>
        <b val="true"/>
        <sz val="10"/>
        <color rgb="FF000000"/>
        <rFont val="WenQuanYi Zen Hei"/>
        <family val="2"/>
      </rPr>
      <t xml:space="preserve">チーム
</t>
    </r>
    <r>
      <rPr>
        <b val="true"/>
        <sz val="10"/>
        <color rgb="FF000000"/>
        <rFont val="HGPｺﾞｼｯｸM"/>
        <family val="0"/>
        <charset val="1"/>
      </rPr>
      <t xml:space="preserve">1</t>
    </r>
    <r>
      <rPr>
        <b val="true"/>
        <sz val="10"/>
        <color rgb="FF000000"/>
        <rFont val="WenQuanYi Zen Hei"/>
        <family val="2"/>
      </rPr>
      <t xml:space="preserve">次平均
</t>
    </r>
    <r>
      <rPr>
        <b val="true"/>
        <sz val="10"/>
        <color rgb="FF000000"/>
        <rFont val="HGPｺﾞｼｯｸM"/>
        <family val="0"/>
        <charset val="1"/>
      </rPr>
      <t xml:space="preserve">(km)</t>
    </r>
  </si>
  <si>
    <r>
      <rPr>
        <b val="true"/>
        <sz val="10"/>
        <color rgb="FF000000"/>
        <rFont val="HGPｺﾞｼｯｸM"/>
        <family val="0"/>
        <charset val="1"/>
      </rPr>
      <t xml:space="preserve">1</t>
    </r>
    <r>
      <rPr>
        <b val="true"/>
        <sz val="10"/>
        <color rgb="FF000000"/>
        <rFont val="WenQuanYi Zen Hei"/>
        <family val="2"/>
      </rPr>
      <t xml:space="preserve">次距離
チーム比</t>
    </r>
  </si>
  <si>
    <r>
      <rPr>
        <b val="true"/>
        <sz val="10"/>
        <color rgb="FF000000"/>
        <rFont val="WenQuanYi Zen Hei"/>
        <family val="2"/>
      </rPr>
      <t xml:space="preserve">メンバー
</t>
    </r>
    <r>
      <rPr>
        <b val="true"/>
        <sz val="10"/>
        <color rgb="FF000000"/>
        <rFont val="HGPｺﾞｼｯｸM"/>
        <family val="0"/>
        <charset val="1"/>
      </rPr>
      <t xml:space="preserve">2</t>
    </r>
    <r>
      <rPr>
        <b val="true"/>
        <sz val="10"/>
        <color rgb="FF000000"/>
        <rFont val="WenQuanYi Zen Hei"/>
        <family val="2"/>
      </rPr>
      <t xml:space="preserve">次距離
</t>
    </r>
    <r>
      <rPr>
        <b val="true"/>
        <sz val="10"/>
        <color rgb="FF000000"/>
        <rFont val="HGPｺﾞｼｯｸM"/>
        <family val="0"/>
        <charset val="1"/>
      </rPr>
      <t xml:space="preserve">(km)</t>
    </r>
  </si>
  <si>
    <t xml:space="preserve">メンバー
夏消化率</t>
  </si>
  <si>
    <r>
      <rPr>
        <b val="true"/>
        <sz val="10"/>
        <color rgb="FF000000"/>
        <rFont val="WenQuanYi Zen Hei"/>
        <family val="2"/>
      </rPr>
      <t xml:space="preserve">メンバー
</t>
    </r>
    <r>
      <rPr>
        <b val="true"/>
        <sz val="10"/>
        <color rgb="FF000000"/>
        <rFont val="HGPｺﾞｼｯｸM"/>
        <family val="0"/>
        <charset val="1"/>
      </rPr>
      <t xml:space="preserve">8</t>
    </r>
    <r>
      <rPr>
        <b val="true"/>
        <sz val="10"/>
        <color rgb="FF000000"/>
        <rFont val="WenQuanYi Zen Hei"/>
        <family val="2"/>
      </rPr>
      <t xml:space="preserve">月月間
</t>
    </r>
    <r>
      <rPr>
        <b val="true"/>
        <sz val="10"/>
        <color rgb="FF000000"/>
        <rFont val="HGPｺﾞｼｯｸM"/>
        <family val="0"/>
        <charset val="1"/>
      </rPr>
      <t xml:space="preserve">(km)</t>
    </r>
  </si>
  <si>
    <r>
      <rPr>
        <b val="true"/>
        <sz val="10"/>
        <color rgb="FF000000"/>
        <rFont val="WenQuanYi Zen Hei"/>
        <family val="2"/>
      </rPr>
      <t xml:space="preserve">メンバー
</t>
    </r>
    <r>
      <rPr>
        <b val="true"/>
        <sz val="10"/>
        <color rgb="FF000000"/>
        <rFont val="HGPｺﾞｼｯｸM"/>
        <family val="0"/>
        <charset val="1"/>
      </rPr>
      <t xml:space="preserve">9</t>
    </r>
    <r>
      <rPr>
        <b val="true"/>
        <sz val="10"/>
        <color rgb="FF000000"/>
        <rFont val="WenQuanYi Zen Hei"/>
        <family val="2"/>
      </rPr>
      <t xml:space="preserve">月月間
</t>
    </r>
    <r>
      <rPr>
        <b val="true"/>
        <sz val="10"/>
        <color rgb="FF000000"/>
        <rFont val="HGPｺﾞｼｯｸM"/>
        <family val="0"/>
        <charset val="1"/>
      </rPr>
      <t xml:space="preserve">(km)</t>
    </r>
  </si>
  <si>
    <r>
      <rPr>
        <b val="true"/>
        <sz val="10"/>
        <color rgb="FF000000"/>
        <rFont val="HGPｺﾞｼｯｸM"/>
        <family val="0"/>
        <charset val="1"/>
      </rPr>
      <t xml:space="preserve">9</t>
    </r>
    <r>
      <rPr>
        <b val="true"/>
        <sz val="10"/>
        <color rgb="FF000000"/>
        <rFont val="WenQuanYi Zen Hei"/>
        <family val="2"/>
      </rPr>
      <t xml:space="preserve">月</t>
    </r>
    <r>
      <rPr>
        <b val="true"/>
        <sz val="10"/>
        <color rgb="FF000000"/>
        <rFont val="HGPｺﾞｼｯｸM"/>
        <family val="0"/>
        <charset val="1"/>
      </rPr>
      <t xml:space="preserve">÷8</t>
    </r>
    <r>
      <rPr>
        <b val="true"/>
        <sz val="10"/>
        <color rgb="FF000000"/>
        <rFont val="WenQuanYi Zen Hei"/>
        <family val="2"/>
      </rPr>
      <t xml:space="preserve">月</t>
    </r>
  </si>
  <si>
    <r>
      <rPr>
        <b val="true"/>
        <sz val="10"/>
        <color rgb="FF000000"/>
        <rFont val="HGPｺﾞｼｯｸM"/>
        <family val="0"/>
        <charset val="1"/>
      </rPr>
      <t xml:space="preserve">3</t>
    </r>
    <r>
      <rPr>
        <b val="true"/>
        <sz val="10"/>
        <color rgb="FF000000"/>
        <rFont val="WenQuanYi Zen Hei"/>
        <family val="2"/>
      </rPr>
      <t xml:space="preserve">次合宿
最終日</t>
    </r>
  </si>
  <si>
    <t xml:space="preserve">出雲
開催日</t>
  </si>
  <si>
    <r>
      <rPr>
        <b val="true"/>
        <sz val="10"/>
        <color rgb="FF000000"/>
        <rFont val="HGPｺﾞｼｯｸM"/>
        <family val="0"/>
        <charset val="1"/>
      </rPr>
      <t xml:space="preserve">3</t>
    </r>
    <r>
      <rPr>
        <b val="true"/>
        <sz val="10"/>
        <color rgb="FF000000"/>
        <rFont val="WenQuanYi Zen Hei"/>
        <family val="2"/>
      </rPr>
      <t xml:space="preserve">次終了→
出雲</t>
    </r>
    <r>
      <rPr>
        <b val="true"/>
        <sz val="10"/>
        <color rgb="FF000000"/>
        <rFont val="HGPｺﾞｼｯｸM"/>
        <family val="0"/>
        <charset val="1"/>
      </rPr>
      <t xml:space="preserve">(</t>
    </r>
    <r>
      <rPr>
        <b val="true"/>
        <sz val="10"/>
        <color rgb="FF000000"/>
        <rFont val="WenQuanYi Zen Hei"/>
        <family val="2"/>
      </rPr>
      <t xml:space="preserve">日</t>
    </r>
    <r>
      <rPr>
        <b val="true"/>
        <sz val="10"/>
        <color rgb="FF000000"/>
        <rFont val="HGPｺﾞｼｯｸM"/>
        <family val="0"/>
        <charset val="1"/>
      </rPr>
      <t xml:space="preserve">)</t>
    </r>
  </si>
  <si>
    <t xml:space="preserve">2022</t>
  </si>
  <si>
    <t xml:space="preserve">2023</t>
  </si>
  <si>
    <t xml:space="preserve">2024</t>
  </si>
  <si>
    <t xml:space="preserve">2025</t>
  </si>
  <si>
    <t xml:space="preserve">2026</t>
  </si>
  <si>
    <t xml:space="preserve">年単位の相関係数（データのある年のみ。年数が少ないため参考値）</t>
  </si>
  <si>
    <t xml:space="preserve">組み合わせ</t>
  </si>
  <si>
    <t xml:space="preserve">対象年</t>
  </si>
  <si>
    <t xml:space="preserve">相関係数</t>
  </si>
  <si>
    <r>
      <rPr>
        <sz val="10"/>
        <color rgb="FF000000"/>
        <rFont val="WenQuanYi Zen Hei"/>
        <family val="2"/>
      </rPr>
      <t xml:space="preserve">メンバー</t>
    </r>
    <r>
      <rPr>
        <sz val="10"/>
        <color rgb="FF000000"/>
        <rFont val="HGPｺﾞｼｯｸM"/>
        <family val="0"/>
        <charset val="1"/>
      </rPr>
      <t xml:space="preserve">5000m</t>
    </r>
    <r>
      <rPr>
        <sz val="10"/>
        <color rgb="FF000000"/>
        <rFont val="WenQuanYi Zen Hei"/>
        <family val="2"/>
      </rPr>
      <t xml:space="preserve">平均 </t>
    </r>
    <r>
      <rPr>
        <sz val="10"/>
        <color rgb="FF000000"/>
        <rFont val="HGPｺﾞｼｯｸM"/>
        <family val="0"/>
        <charset val="1"/>
      </rPr>
      <t xml:space="preserve">× </t>
    </r>
    <r>
      <rPr>
        <sz val="10"/>
        <color rgb="FF000000"/>
        <rFont val="WenQuanYi Zen Hei"/>
        <family val="2"/>
      </rPr>
      <t xml:space="preserve">悪化率平均</t>
    </r>
  </si>
  <si>
    <r>
      <rPr>
        <sz val="10"/>
        <color rgb="FF000000"/>
        <rFont val="HGPｺﾞｼｯｸM"/>
        <family val="0"/>
        <charset val="1"/>
      </rPr>
      <t xml:space="preserve">2022</t>
    </r>
    <r>
      <rPr>
        <sz val="10"/>
        <color rgb="FF000000"/>
        <rFont val="WenQuanYi Zen Hei"/>
        <family val="2"/>
      </rPr>
      <t xml:space="preserve">〜</t>
    </r>
    <r>
      <rPr>
        <sz val="10"/>
        <color rgb="FF000000"/>
        <rFont val="HGPｺﾞｼｯｸM"/>
        <family val="0"/>
        <charset val="1"/>
      </rPr>
      <t xml:space="preserve">26</t>
    </r>
    <r>
      <rPr>
        <sz val="10"/>
        <color rgb="FF000000"/>
        <rFont val="WenQuanYi Zen Hei"/>
        <family val="2"/>
      </rPr>
      <t xml:space="preserve">年</t>
    </r>
  </si>
  <si>
    <r>
      <rPr>
        <sz val="10"/>
        <color rgb="FF000000"/>
        <rFont val="WenQuanYi Zen Hei"/>
        <family val="2"/>
      </rPr>
      <t xml:space="preserve">メンバー</t>
    </r>
    <r>
      <rPr>
        <sz val="10"/>
        <color rgb="FF000000"/>
        <rFont val="HGPｺﾞｼｯｸM"/>
        <family val="0"/>
        <charset val="1"/>
      </rPr>
      <t xml:space="preserve">5000m</t>
    </r>
    <r>
      <rPr>
        <sz val="10"/>
        <color rgb="FF000000"/>
        <rFont val="WenQuanYi Zen Hei"/>
        <family val="2"/>
      </rPr>
      <t xml:space="preserve">平均 </t>
    </r>
    <r>
      <rPr>
        <sz val="10"/>
        <color rgb="FF000000"/>
        <rFont val="HGPｺﾞｼｯｸM"/>
        <family val="0"/>
        <charset val="1"/>
      </rPr>
      <t xml:space="preserve">× </t>
    </r>
    <r>
      <rPr>
        <sz val="10"/>
        <color rgb="FF000000"/>
        <rFont val="WenQuanYi Zen Hei"/>
        <family val="2"/>
      </rPr>
      <t xml:space="preserve">総合順位</t>
    </r>
  </si>
  <si>
    <r>
      <rPr>
        <sz val="10"/>
        <color rgb="FF000000"/>
        <rFont val="WenQuanYi Zen Hei"/>
        <family val="2"/>
      </rPr>
      <t xml:space="preserve">悪化率平均 </t>
    </r>
    <r>
      <rPr>
        <sz val="10"/>
        <color rgb="FF000000"/>
        <rFont val="HGPｺﾞｼｯｸM"/>
        <family val="0"/>
        <charset val="1"/>
      </rPr>
      <t xml:space="preserve">× </t>
    </r>
    <r>
      <rPr>
        <sz val="10"/>
        <color rgb="FF000000"/>
        <rFont val="WenQuanYi Zen Hei"/>
        <family val="2"/>
      </rPr>
      <t xml:space="preserve">総合順位</t>
    </r>
  </si>
  <si>
    <r>
      <rPr>
        <sz val="10"/>
        <color rgb="FF000000"/>
        <rFont val="HGPｺﾞｼｯｸM"/>
        <family val="0"/>
        <charset val="1"/>
      </rPr>
      <t xml:space="preserve">1</t>
    </r>
    <r>
      <rPr>
        <sz val="10"/>
        <color rgb="FF000000"/>
        <rFont val="WenQuanYi Zen Hei"/>
        <family val="2"/>
      </rPr>
      <t xml:space="preserve">次距離チーム比 </t>
    </r>
    <r>
      <rPr>
        <sz val="10"/>
        <color rgb="FF000000"/>
        <rFont val="HGPｺﾞｼｯｸM"/>
        <family val="0"/>
        <charset val="1"/>
      </rPr>
      <t xml:space="preserve">× </t>
    </r>
    <r>
      <rPr>
        <sz val="10"/>
        <color rgb="FF000000"/>
        <rFont val="WenQuanYi Zen Hei"/>
        <family val="2"/>
      </rPr>
      <t xml:space="preserve">総合順位</t>
    </r>
  </si>
  <si>
    <r>
      <rPr>
        <sz val="10"/>
        <color rgb="FF000000"/>
        <rFont val="HGPｺﾞｼｯｸM"/>
        <family val="0"/>
        <charset val="1"/>
      </rPr>
      <t xml:space="preserve">2023</t>
    </r>
    <r>
      <rPr>
        <sz val="10"/>
        <color rgb="FF000000"/>
        <rFont val="WenQuanYi Zen Hei"/>
        <family val="2"/>
      </rPr>
      <t xml:space="preserve">〜</t>
    </r>
    <r>
      <rPr>
        <sz val="10"/>
        <color rgb="FF000000"/>
        <rFont val="HGPｺﾞｼｯｸM"/>
        <family val="0"/>
        <charset val="1"/>
      </rPr>
      <t xml:space="preserve">26</t>
    </r>
    <r>
      <rPr>
        <sz val="10"/>
        <color rgb="FF000000"/>
        <rFont val="WenQuanYi Zen Hei"/>
        <family val="2"/>
      </rPr>
      <t xml:space="preserve">年</t>
    </r>
  </si>
  <si>
    <r>
      <rPr>
        <sz val="10"/>
        <color rgb="FF000000"/>
        <rFont val="HGPｺﾞｼｯｸM"/>
        <family val="0"/>
        <charset val="1"/>
      </rPr>
      <t xml:space="preserve">1</t>
    </r>
    <r>
      <rPr>
        <sz val="10"/>
        <color rgb="FF000000"/>
        <rFont val="WenQuanYi Zen Hei"/>
        <family val="2"/>
      </rPr>
      <t xml:space="preserve">次距離チーム比 </t>
    </r>
    <r>
      <rPr>
        <sz val="10"/>
        <color rgb="FF000000"/>
        <rFont val="HGPｺﾞｼｯｸM"/>
        <family val="0"/>
        <charset val="1"/>
      </rPr>
      <t xml:space="preserve">× </t>
    </r>
    <r>
      <rPr>
        <sz val="10"/>
        <color rgb="FF000000"/>
        <rFont val="WenQuanYi Zen Hei"/>
        <family val="2"/>
      </rPr>
      <t xml:space="preserve">悪化率平均</t>
    </r>
  </si>
  <si>
    <r>
      <rPr>
        <b val="true"/>
        <sz val="11"/>
        <color rgb="FF000000"/>
        <rFont val="WenQuanYi Zen Hei"/>
        <family val="2"/>
      </rPr>
      <t xml:space="preserve">区間別の平均（</t>
    </r>
    <r>
      <rPr>
        <b val="true"/>
        <sz val="11"/>
        <color rgb="FF000000"/>
        <rFont val="HGPｺﾞｼｯｸM"/>
        <family val="0"/>
        <charset val="1"/>
      </rPr>
      <t xml:space="preserve">5</t>
    </r>
    <r>
      <rPr>
        <b val="true"/>
        <sz val="11"/>
        <color rgb="FF000000"/>
        <rFont val="WenQuanYi Zen Hei"/>
        <family val="2"/>
      </rPr>
      <t xml:space="preserve">年間）</t>
    </r>
  </si>
  <si>
    <t xml:space="preserve">区間</t>
  </si>
  <si>
    <r>
      <rPr>
        <b val="true"/>
        <sz val="10"/>
        <color rgb="FF000000"/>
        <rFont val="WenQuanYi Zen Hei"/>
        <family val="2"/>
      </rPr>
      <t xml:space="preserve">距離
</t>
    </r>
    <r>
      <rPr>
        <b val="true"/>
        <sz val="10"/>
        <color rgb="FF000000"/>
        <rFont val="HGPｺﾞｼｯｸM"/>
        <family val="0"/>
        <charset val="1"/>
      </rPr>
      <t xml:space="preserve">(km)</t>
    </r>
  </si>
  <si>
    <r>
      <rPr>
        <b val="true"/>
        <sz val="10"/>
        <color rgb="FF000000"/>
        <rFont val="WenQuanYi Zen Hei"/>
        <family val="2"/>
      </rPr>
      <t xml:space="preserve">日本人
トップとの
平均差</t>
    </r>
    <r>
      <rPr>
        <b val="true"/>
        <sz val="10"/>
        <color rgb="FF000000"/>
        <rFont val="HGPｺﾞｼｯｸM"/>
        <family val="0"/>
        <charset val="1"/>
      </rPr>
      <t xml:space="preserve">(</t>
    </r>
    <r>
      <rPr>
        <b val="true"/>
        <sz val="10"/>
        <color rgb="FF000000"/>
        <rFont val="WenQuanYi Zen Hei"/>
        <family val="2"/>
      </rPr>
      <t xml:space="preserve">秒</t>
    </r>
    <r>
      <rPr>
        <b val="true"/>
        <sz val="10"/>
        <color rgb="FF000000"/>
        <rFont val="HGPｺﾞｼｯｸM"/>
        <family val="0"/>
        <charset val="1"/>
      </rPr>
      <t xml:space="preserve">)</t>
    </r>
  </si>
  <si>
    <t xml:space="preserve">区間賞
回数</t>
  </si>
  <si>
    <r>
      <rPr>
        <sz val="9"/>
        <color rgb="FF000000"/>
        <rFont val="HGPｺﾞｼｯｸM"/>
        <family val="0"/>
        <charset val="1"/>
      </rPr>
      <t xml:space="preserve">※6</t>
    </r>
    <r>
      <rPr>
        <sz val="9"/>
        <color rgb="FF000000"/>
        <rFont val="WenQuanYi Zen Hei"/>
        <family val="2"/>
      </rPr>
      <t xml:space="preserve">区の平均差は</t>
    </r>
    <r>
      <rPr>
        <sz val="9"/>
        <color rgb="FF000000"/>
        <rFont val="HGPｺﾞｼｯｸM"/>
        <family val="0"/>
        <charset val="1"/>
      </rPr>
      <t xml:space="preserve">10km</t>
    </r>
    <r>
      <rPr>
        <sz val="9"/>
        <color rgb="FF000000"/>
        <rFont val="WenQuanYi Zen Hei"/>
        <family val="2"/>
      </rPr>
      <t xml:space="preserve">あたり。悪化率は全区間とも</t>
    </r>
    <r>
      <rPr>
        <sz val="9"/>
        <color rgb="FF000000"/>
        <rFont val="HGPｺﾞｼｯｸM"/>
        <family val="0"/>
        <charset val="1"/>
      </rPr>
      <t xml:space="preserve">5km</t>
    </r>
    <r>
      <rPr>
        <sz val="9"/>
        <color rgb="FF000000"/>
        <rFont val="WenQuanYi Zen Hei"/>
        <family val="2"/>
      </rPr>
      <t xml:space="preserve">あたりで比較</t>
    </r>
  </si>
  <si>
    <r>
      <rPr>
        <b val="true"/>
        <sz val="14"/>
        <color rgb="FF000000"/>
        <rFont val="WenQuanYi Zen Hei"/>
        <family val="2"/>
      </rPr>
      <t xml:space="preserve">出雲駅伝 区間記録：日本人トップと青学の比較（</t>
    </r>
    <r>
      <rPr>
        <b val="true"/>
        <sz val="14"/>
        <color rgb="FF000000"/>
        <rFont val="HGPｺﾞｼｯｸM"/>
        <family val="0"/>
        <charset val="1"/>
      </rPr>
      <t xml:space="preserve">2022</t>
    </r>
    <r>
      <rPr>
        <b val="true"/>
        <sz val="14"/>
        <color rgb="FF000000"/>
        <rFont val="WenQuanYi Zen Hei"/>
        <family val="2"/>
      </rPr>
      <t xml:space="preserve">〜</t>
    </r>
    <r>
      <rPr>
        <b val="true"/>
        <sz val="14"/>
        <color rgb="FF000000"/>
        <rFont val="HGPｺﾞｼｯｸM"/>
        <family val="0"/>
        <charset val="1"/>
      </rPr>
      <t xml:space="preserve">2026</t>
    </r>
    <r>
      <rPr>
        <b val="true"/>
        <sz val="14"/>
        <color rgb="FF000000"/>
        <rFont val="WenQuanYi Zen Hei"/>
        <family val="2"/>
      </rPr>
      <t xml:space="preserve">）</t>
    </r>
  </si>
  <si>
    <r>
      <rPr>
        <sz val="9"/>
        <color rgb="FF000000"/>
        <rFont val="WenQuanYi Zen Hei"/>
        <family val="2"/>
      </rPr>
      <t xml:space="preserve">換算タイム＝実タイム</t>
    </r>
    <r>
      <rPr>
        <sz val="9"/>
        <color rgb="FF000000"/>
        <rFont val="HGPｺﾞｼｯｸM"/>
        <family val="0"/>
        <charset val="1"/>
      </rPr>
      <t xml:space="preserve">×</t>
    </r>
    <r>
      <rPr>
        <sz val="9"/>
        <color rgb="FF000000"/>
        <rFont val="WenQuanYi Zen Hei"/>
        <family val="2"/>
      </rPr>
      <t xml:space="preserve">換算距離</t>
    </r>
    <r>
      <rPr>
        <sz val="9"/>
        <color rgb="FF000000"/>
        <rFont val="HGPｺﾞｼｯｸM"/>
        <family val="0"/>
        <charset val="1"/>
      </rPr>
      <t xml:space="preserve">÷</t>
    </r>
    <r>
      <rPr>
        <sz val="9"/>
        <color rgb="FF000000"/>
        <rFont val="WenQuanYi Zen Hei"/>
        <family val="2"/>
      </rPr>
      <t xml:space="preserve">区間距離（</t>
    </r>
    <r>
      <rPr>
        <sz val="9"/>
        <color rgb="FF000000"/>
        <rFont val="HGPｺﾞｼｯｸM"/>
        <family val="0"/>
        <charset val="1"/>
      </rPr>
      <t xml:space="preserve">1</t>
    </r>
    <r>
      <rPr>
        <sz val="9"/>
        <color rgb="FF000000"/>
        <rFont val="WenQuanYi Zen Hei"/>
        <family val="2"/>
      </rPr>
      <t xml:space="preserve">〜</t>
    </r>
    <r>
      <rPr>
        <sz val="9"/>
        <color rgb="FF000000"/>
        <rFont val="HGPｺﾞｼｯｸM"/>
        <family val="0"/>
        <charset val="1"/>
      </rPr>
      <t xml:space="preserve">5</t>
    </r>
    <r>
      <rPr>
        <sz val="9"/>
        <color rgb="FF000000"/>
        <rFont val="WenQuanYi Zen Hei"/>
        <family val="2"/>
      </rPr>
      <t xml:space="preserve">区は</t>
    </r>
    <r>
      <rPr>
        <sz val="9"/>
        <color rgb="FF000000"/>
        <rFont val="HGPｺﾞｼｯｸM"/>
        <family val="0"/>
        <charset val="1"/>
      </rPr>
      <t xml:space="preserve">5km</t>
    </r>
    <r>
      <rPr>
        <sz val="9"/>
        <color rgb="FF000000"/>
        <rFont val="WenQuanYi Zen Hei"/>
        <family val="2"/>
      </rPr>
      <t xml:space="preserve">、</t>
    </r>
    <r>
      <rPr>
        <sz val="9"/>
        <color rgb="FF000000"/>
        <rFont val="HGPｺﾞｼｯｸM"/>
        <family val="0"/>
        <charset val="1"/>
      </rPr>
      <t xml:space="preserve">6</t>
    </r>
    <r>
      <rPr>
        <sz val="9"/>
        <color rgb="FF000000"/>
        <rFont val="WenQuanYi Zen Hei"/>
        <family val="2"/>
      </rPr>
      <t xml:space="preserve">区は</t>
    </r>
    <r>
      <rPr>
        <sz val="9"/>
        <color rgb="FF000000"/>
        <rFont val="HGPｺﾞｼｯｸM"/>
        <family val="0"/>
        <charset val="1"/>
      </rPr>
      <t xml:space="preserve">10km</t>
    </r>
    <r>
      <rPr>
        <sz val="9"/>
        <color rgb="FF000000"/>
        <rFont val="WenQuanYi Zen Hei"/>
        <family val="2"/>
      </rPr>
      <t xml:space="preserve">）。差＝換算後の青学−日本人トップ（秒）。日本人トップ＝留学生を除いた区間最速。区間順位は留学生を含む公式記録。出典：各年の公式リザルト</t>
    </r>
    <r>
      <rPr>
        <sz val="9"/>
        <color rgb="FF000000"/>
        <rFont val="HGPｺﾞｼｯｸM"/>
        <family val="0"/>
        <charset val="1"/>
      </rPr>
      <t xml:space="preserve">PDF</t>
    </r>
  </si>
  <si>
    <r>
      <rPr>
        <b val="true"/>
        <sz val="10"/>
        <color rgb="FF000000"/>
        <rFont val="WenQuanYi Zen Hei"/>
        <family val="2"/>
      </rPr>
      <t xml:space="preserve">換算距離
</t>
    </r>
    <r>
      <rPr>
        <b val="true"/>
        <sz val="10"/>
        <color rgb="FF000000"/>
        <rFont val="HGPｺﾞｼｯｸM"/>
        <family val="0"/>
        <charset val="1"/>
      </rPr>
      <t xml:space="preserve">(km)</t>
    </r>
  </si>
  <si>
    <t xml:space="preserve">所属</t>
  </si>
  <si>
    <t xml:space="preserve">実タイム</t>
  </si>
  <si>
    <t xml:space="preserve">換算</t>
  </si>
  <si>
    <t xml:space="preserve">青学選手</t>
  </si>
  <si>
    <t xml:space="preserve">区間順位</t>
  </si>
  <si>
    <t xml:space="preserve">差（秒）</t>
  </si>
  <si>
    <t xml:space="preserve">吉居 大和</t>
  </si>
  <si>
    <t xml:space="preserve">中央大学</t>
  </si>
  <si>
    <t xml:space="preserve">目片 将大</t>
  </si>
  <si>
    <t xml:space="preserve">佐藤 圭汰</t>
  </si>
  <si>
    <t xml:space="preserve">駒澤大学</t>
  </si>
  <si>
    <t xml:space="preserve">横田 俊吾</t>
  </si>
  <si>
    <t xml:space="preserve">田澤 廉</t>
  </si>
  <si>
    <t xml:space="preserve">近藤 幸太郎</t>
  </si>
  <si>
    <t xml:space="preserve">中西 大翔</t>
  </si>
  <si>
    <t xml:space="preserve">國學院大學</t>
  </si>
  <si>
    <t xml:space="preserve">志貴 勇斗</t>
  </si>
  <si>
    <t xml:space="preserve">安原 太陽</t>
  </si>
  <si>
    <t xml:space="preserve">田中 悠登</t>
  </si>
  <si>
    <t xml:space="preserve">鈴木 芽吹</t>
  </si>
  <si>
    <t xml:space="preserve">中村 唯翔</t>
  </si>
  <si>
    <t xml:space="preserve">篠原 倖太朗</t>
  </si>
  <si>
    <t xml:space="preserve">野村 昭夢</t>
  </si>
  <si>
    <t xml:space="preserve">佐藤 圭汰／黒田 朝日</t>
  </si>
  <si>
    <t xml:space="preserve">駒澤大学／青山学院大学</t>
  </si>
  <si>
    <t xml:space="preserve">黒田 朝日</t>
  </si>
  <si>
    <t xml:space="preserve">山川 拓馬</t>
  </si>
  <si>
    <t xml:space="preserve">佐藤 一世</t>
  </si>
  <si>
    <t xml:space="preserve">山内 健登</t>
  </si>
  <si>
    <t xml:space="preserve">青山学院大学</t>
  </si>
  <si>
    <t xml:space="preserve">鳥井 健太</t>
  </si>
  <si>
    <t xml:space="preserve">鶴川 正也</t>
  </si>
  <si>
    <t xml:space="preserve">吉田 響</t>
  </si>
  <si>
    <t xml:space="preserve">創価大学</t>
  </si>
  <si>
    <t xml:space="preserve">野中 恒亨</t>
  </si>
  <si>
    <t xml:space="preserve">宇田川 瞬矢</t>
  </si>
  <si>
    <t xml:space="preserve">上原 琉翔</t>
  </si>
  <si>
    <t xml:space="preserve">若林 宏樹</t>
  </si>
  <si>
    <t xml:space="preserve">平林 清澄</t>
  </si>
  <si>
    <t xml:space="preserve">太田 蒼生</t>
  </si>
  <si>
    <t xml:space="preserve">岡田 開成</t>
  </si>
  <si>
    <t xml:space="preserve">小河原 陽琉</t>
  </si>
  <si>
    <t xml:space="preserve">山口 智規</t>
  </si>
  <si>
    <t xml:space="preserve">早稲田大学</t>
  </si>
  <si>
    <t xml:space="preserve">折田 壮太</t>
  </si>
  <si>
    <t xml:space="preserve">飯田 翔大</t>
  </si>
  <si>
    <t xml:space="preserve">辻原 輝</t>
  </si>
  <si>
    <t xml:space="preserve">神邑 亮佑</t>
  </si>
  <si>
    <t xml:space="preserve">塩出 翔太</t>
  </si>
  <si>
    <t xml:space="preserve">鈴木 大翔</t>
  </si>
  <si>
    <t xml:space="preserve">石川 浩輝</t>
  </si>
  <si>
    <t xml:space="preserve">本田 桜二郎</t>
  </si>
  <si>
    <t xml:space="preserve">楠岡 由浩</t>
  </si>
  <si>
    <t xml:space="preserve">帝京大学</t>
  </si>
  <si>
    <t xml:space="preserve">新妻 遼己</t>
  </si>
  <si>
    <t xml:space="preserve">山口 竣平</t>
  </si>
  <si>
    <t xml:space="preserve">黒田 然</t>
  </si>
  <si>
    <t xml:space="preserve">工藤 慎作</t>
  </si>
  <si>
    <t xml:space="preserve">前川 竜之将</t>
  </si>
  <si>
    <r>
      <rPr>
        <b val="true"/>
        <sz val="14"/>
        <color rgb="FF000000"/>
        <rFont val="HGPｺﾞｼｯｸM"/>
        <family val="0"/>
        <charset val="1"/>
      </rPr>
      <t xml:space="preserve">2</t>
    </r>
    <r>
      <rPr>
        <b val="true"/>
        <sz val="14"/>
        <color rgb="FF000000"/>
        <rFont val="WenQuanYi Zen Hei"/>
        <family val="2"/>
      </rPr>
      <t xml:space="preserve">週間前の</t>
    </r>
    <r>
      <rPr>
        <b val="true"/>
        <sz val="14"/>
        <color rgb="FF000000"/>
        <rFont val="HGPｺﾞｼｯｸM"/>
        <family val="0"/>
        <charset val="1"/>
      </rPr>
      <t xml:space="preserve">5000m</t>
    </r>
    <r>
      <rPr>
        <b val="true"/>
        <sz val="14"/>
        <color rgb="FF000000"/>
        <rFont val="WenQuanYi Zen Hei"/>
        <family val="2"/>
      </rPr>
      <t xml:space="preserve">（</t>
    </r>
    <r>
      <rPr>
        <b val="true"/>
        <sz val="14"/>
        <color rgb="FF000000"/>
        <rFont val="HGPｺﾞｼｯｸM"/>
        <family val="0"/>
        <charset val="1"/>
      </rPr>
      <t xml:space="preserve">5km</t>
    </r>
    <r>
      <rPr>
        <b val="true"/>
        <sz val="14"/>
        <color rgb="FF000000"/>
        <rFont val="WenQuanYi Zen Hei"/>
        <family val="2"/>
      </rPr>
      <t xml:space="preserve">）と出雲の比較：出雲出走メンバー</t>
    </r>
  </si>
  <si>
    <r>
      <rPr>
        <sz val="9"/>
        <color rgb="FF000000"/>
        <rFont val="WenQuanYi Zen Hei"/>
        <family val="2"/>
      </rPr>
      <t xml:space="preserve">出雲</t>
    </r>
    <r>
      <rPr>
        <sz val="9"/>
        <color rgb="FF000000"/>
        <rFont val="HGPｺﾞｼｯｸM"/>
        <family val="0"/>
        <charset val="1"/>
      </rPr>
      <t xml:space="preserve">5km</t>
    </r>
    <r>
      <rPr>
        <sz val="9"/>
        <color rgb="FF000000"/>
        <rFont val="WenQuanYi Zen Hei"/>
        <family val="2"/>
      </rPr>
      <t xml:space="preserve">換算＝出雲の実タイム</t>
    </r>
    <r>
      <rPr>
        <sz val="9"/>
        <color rgb="FF000000"/>
        <rFont val="HGPｺﾞｼｯｸM"/>
        <family val="0"/>
        <charset val="1"/>
      </rPr>
      <t xml:space="preserve">×5÷</t>
    </r>
    <r>
      <rPr>
        <sz val="9"/>
        <color rgb="FF000000"/>
        <rFont val="WenQuanYi Zen Hei"/>
        <family val="2"/>
      </rPr>
      <t xml:space="preserve">区間距離（</t>
    </r>
    <r>
      <rPr>
        <sz val="9"/>
        <color rgb="FF000000"/>
        <rFont val="HGPｺﾞｼｯｸM"/>
        <family val="0"/>
        <charset val="1"/>
      </rPr>
      <t xml:space="preserve">6</t>
    </r>
    <r>
      <rPr>
        <sz val="9"/>
        <color rgb="FF000000"/>
        <rFont val="WenQuanYi Zen Hei"/>
        <family val="2"/>
      </rPr>
      <t xml:space="preserve">区も</t>
    </r>
    <r>
      <rPr>
        <sz val="9"/>
        <color rgb="FF000000"/>
        <rFont val="HGPｺﾞｼｯｸM"/>
        <family val="0"/>
        <charset val="1"/>
      </rPr>
      <t xml:space="preserve">5km</t>
    </r>
    <r>
      <rPr>
        <sz val="9"/>
        <color rgb="FF000000"/>
        <rFont val="WenQuanYi Zen Hei"/>
        <family val="2"/>
      </rPr>
      <t xml:space="preserve">あたりに換算）。悪化率＝出雲</t>
    </r>
    <r>
      <rPr>
        <sz val="9"/>
        <color rgb="FF000000"/>
        <rFont val="HGPｺﾞｼｯｸM"/>
        <family val="0"/>
        <charset val="1"/>
      </rPr>
      <t xml:space="preserve">5km</t>
    </r>
    <r>
      <rPr>
        <sz val="9"/>
        <color rgb="FF000000"/>
        <rFont val="WenQuanYi Zen Hei"/>
        <family val="2"/>
      </rPr>
      <t xml:space="preserve">換算</t>
    </r>
    <r>
      <rPr>
        <sz val="9"/>
        <color rgb="FF000000"/>
        <rFont val="HGPｺﾞｼｯｸM"/>
        <family val="0"/>
        <charset val="1"/>
      </rPr>
      <t xml:space="preserve">÷2</t>
    </r>
    <r>
      <rPr>
        <sz val="9"/>
        <color rgb="FF000000"/>
        <rFont val="WenQuanYi Zen Hei"/>
        <family val="2"/>
      </rPr>
      <t xml:space="preserve">週間前</t>
    </r>
    <r>
      <rPr>
        <sz val="9"/>
        <color rgb="FF000000"/>
        <rFont val="HGPｺﾞｼｯｸM"/>
        <family val="0"/>
        <charset val="1"/>
      </rPr>
      <t xml:space="preserve">5000m−1</t>
    </r>
    <r>
      <rPr>
        <sz val="9"/>
        <color rgb="FF000000"/>
        <rFont val="WenQuanYi Zen Hei"/>
        <family val="2"/>
      </rPr>
      <t xml:space="preserve">。</t>
    </r>
    <r>
      <rPr>
        <sz val="9"/>
        <color rgb="FF000000"/>
        <rFont val="HGPｺﾞｼｯｸM"/>
        <family val="0"/>
        <charset val="1"/>
      </rPr>
      <t xml:space="preserve">2026</t>
    </r>
    <r>
      <rPr>
        <sz val="9"/>
        <color rgb="FF000000"/>
        <rFont val="WenQuanYi Zen Hei"/>
        <family val="2"/>
      </rPr>
      <t xml:space="preserve">年はロード</t>
    </r>
    <r>
      <rPr>
        <sz val="9"/>
        <color rgb="FF000000"/>
        <rFont val="HGPｺﾞｼｯｸM"/>
        <family val="0"/>
        <charset val="1"/>
      </rPr>
      <t xml:space="preserve">5km</t>
    </r>
    <r>
      <rPr>
        <sz val="9"/>
        <color rgb="FF000000"/>
        <rFont val="WenQuanYi Zen Hei"/>
        <family val="2"/>
      </rPr>
      <t xml:space="preserve">、他の年はトラック</t>
    </r>
    <r>
      <rPr>
        <sz val="9"/>
        <color rgb="FF000000"/>
        <rFont val="HGPｺﾞｼｯｸM"/>
        <family val="0"/>
        <charset val="1"/>
      </rPr>
      <t xml:space="preserve">5000m</t>
    </r>
    <r>
      <rPr>
        <sz val="9"/>
        <color rgb="FF000000"/>
        <rFont val="WenQuanYi Zen Hei"/>
        <family val="2"/>
      </rPr>
      <t xml:space="preserve">。組内順位は留学生・他大学を含むその組の順位。出典：各年の記録会リザルト、出雲公式リザルト</t>
    </r>
  </si>
  <si>
    <t xml:space="preserve">選手</t>
  </si>
  <si>
    <r>
      <rPr>
        <b val="true"/>
        <sz val="10"/>
        <color rgb="FF000000"/>
        <rFont val="HGPｺﾞｼｯｸM"/>
        <family val="0"/>
        <charset val="1"/>
      </rPr>
      <t xml:space="preserve">2</t>
    </r>
    <r>
      <rPr>
        <b val="true"/>
        <sz val="10"/>
        <color rgb="FF000000"/>
        <rFont val="WenQuanYi Zen Hei"/>
        <family val="2"/>
      </rPr>
      <t xml:space="preserve">週間前
</t>
    </r>
    <r>
      <rPr>
        <b val="true"/>
        <sz val="10"/>
        <color rgb="FF000000"/>
        <rFont val="HGPｺﾞｼｯｸM"/>
        <family val="0"/>
        <charset val="1"/>
      </rPr>
      <t xml:space="preserve">5000m</t>
    </r>
  </si>
  <si>
    <t xml:space="preserve">レース種別</t>
  </si>
  <si>
    <t xml:space="preserve">出雲
実タイム</t>
  </si>
  <si>
    <r>
      <rPr>
        <b val="true"/>
        <sz val="10"/>
        <color rgb="FF000000"/>
        <rFont val="WenQuanYi Zen Hei"/>
        <family val="2"/>
      </rPr>
      <t xml:space="preserve">区間距離
</t>
    </r>
    <r>
      <rPr>
        <b val="true"/>
        <sz val="10"/>
        <color rgb="FF000000"/>
        <rFont val="HGPｺﾞｼｯｸM"/>
        <family val="0"/>
        <charset val="1"/>
      </rPr>
      <t xml:space="preserve">(km)</t>
    </r>
  </si>
  <si>
    <r>
      <rPr>
        <b val="true"/>
        <sz val="10"/>
        <color rgb="FF000000"/>
        <rFont val="WenQuanYi Zen Hei"/>
        <family val="2"/>
      </rPr>
      <t xml:space="preserve">出雲
</t>
    </r>
    <r>
      <rPr>
        <b val="true"/>
        <sz val="10"/>
        <color rgb="FF000000"/>
        <rFont val="HGPｺﾞｼｯｸM"/>
        <family val="0"/>
        <charset val="1"/>
      </rPr>
      <t xml:space="preserve">5km</t>
    </r>
    <r>
      <rPr>
        <b val="true"/>
        <sz val="10"/>
        <color rgb="FF000000"/>
        <rFont val="WenQuanYi Zen Hei"/>
        <family val="2"/>
      </rPr>
      <t xml:space="preserve">換算</t>
    </r>
  </si>
  <si>
    <r>
      <rPr>
        <b val="true"/>
        <sz val="10"/>
        <color rgb="FF000000"/>
        <rFont val="HGPｺﾞｼｯｸM"/>
        <family val="0"/>
        <charset val="1"/>
      </rPr>
      <t xml:space="preserve">5000m
</t>
    </r>
    <r>
      <rPr>
        <b val="true"/>
        <sz val="10"/>
        <color rgb="FF000000"/>
        <rFont val="WenQuanYi Zen Hei"/>
        <family val="2"/>
      </rPr>
      <t xml:space="preserve">組内順位</t>
    </r>
  </si>
  <si>
    <t xml:space="preserve">目片将大</t>
  </si>
  <si>
    <r>
      <rPr>
        <sz val="10"/>
        <color rgb="FF000000"/>
        <rFont val="WenQuanYi Zen Hei"/>
        <family val="2"/>
      </rPr>
      <t xml:space="preserve">トラック</t>
    </r>
    <r>
      <rPr>
        <sz val="10"/>
        <color rgb="FF000000"/>
        <rFont val="HGPｺﾞｼｯｸM"/>
        <family val="0"/>
        <charset val="1"/>
      </rPr>
      <t xml:space="preserve">5000m</t>
    </r>
    <r>
      <rPr>
        <sz val="10"/>
        <color rgb="FF000000"/>
        <rFont val="WenQuanYi Zen Hei"/>
        <family val="2"/>
      </rPr>
      <t xml:space="preserve">（</t>
    </r>
    <r>
      <rPr>
        <sz val="10"/>
        <color rgb="FF000000"/>
        <rFont val="HGPｺﾞｼｯｸM"/>
        <family val="0"/>
        <charset val="1"/>
      </rPr>
      <t xml:space="preserve">4</t>
    </r>
    <r>
      <rPr>
        <sz val="10"/>
        <color rgb="FF000000"/>
        <rFont val="WenQuanYi Zen Hei"/>
        <family val="2"/>
      </rPr>
      <t xml:space="preserve">組）</t>
    </r>
  </si>
  <si>
    <t xml:space="preserve">横田俊吾</t>
  </si>
  <si>
    <t xml:space="preserve">近藤幸太郎</t>
  </si>
  <si>
    <t xml:space="preserve">志貴勇斗</t>
  </si>
  <si>
    <t xml:space="preserve">田中悠登</t>
  </si>
  <si>
    <t xml:space="preserve">中村唯翔</t>
  </si>
  <si>
    <t xml:space="preserve">野村昭夢</t>
  </si>
  <si>
    <r>
      <rPr>
        <sz val="10"/>
        <color rgb="FF000000"/>
        <rFont val="WenQuanYi Zen Hei"/>
        <family val="2"/>
      </rPr>
      <t xml:space="preserve">トラック</t>
    </r>
    <r>
      <rPr>
        <sz val="10"/>
        <color rgb="FF000000"/>
        <rFont val="HGPｺﾞｼｯｸM"/>
        <family val="0"/>
        <charset val="1"/>
      </rPr>
      <t xml:space="preserve">5000m</t>
    </r>
    <r>
      <rPr>
        <sz val="10"/>
        <color rgb="FF000000"/>
        <rFont val="WenQuanYi Zen Hei"/>
        <family val="2"/>
      </rPr>
      <t xml:space="preserve">（</t>
    </r>
    <r>
      <rPr>
        <sz val="10"/>
        <color rgb="FF000000"/>
        <rFont val="HGPｺﾞｼｯｸM"/>
        <family val="0"/>
        <charset val="1"/>
      </rPr>
      <t xml:space="preserve">3</t>
    </r>
    <r>
      <rPr>
        <sz val="10"/>
        <color rgb="FF000000"/>
        <rFont val="WenQuanYi Zen Hei"/>
        <family val="2"/>
      </rPr>
      <t xml:space="preserve">組）</t>
    </r>
  </si>
  <si>
    <t xml:space="preserve">黒田朝日</t>
  </si>
  <si>
    <t xml:space="preserve">佐藤一世</t>
  </si>
  <si>
    <t xml:space="preserve">山内健登</t>
  </si>
  <si>
    <t xml:space="preserve">鳥井健太</t>
  </si>
  <si>
    <t xml:space="preserve">鶴川正也</t>
  </si>
  <si>
    <r>
      <rPr>
        <sz val="10"/>
        <color rgb="FF000000"/>
        <rFont val="WenQuanYi Zen Hei"/>
        <family val="2"/>
      </rPr>
      <t xml:space="preserve">トラック</t>
    </r>
    <r>
      <rPr>
        <sz val="10"/>
        <color rgb="FF000000"/>
        <rFont val="HGPｺﾞｼｯｸM"/>
        <family val="0"/>
        <charset val="1"/>
      </rPr>
      <t xml:space="preserve">5000m</t>
    </r>
    <r>
      <rPr>
        <sz val="10"/>
        <color rgb="FF000000"/>
        <rFont val="WenQuanYi Zen Hei"/>
        <family val="2"/>
      </rPr>
      <t xml:space="preserve">（</t>
    </r>
    <r>
      <rPr>
        <sz val="10"/>
        <color rgb="FF000000"/>
        <rFont val="HGPｺﾞｼｯｸM"/>
        <family val="0"/>
        <charset val="1"/>
      </rPr>
      <t xml:space="preserve">6</t>
    </r>
    <r>
      <rPr>
        <sz val="10"/>
        <color rgb="FF000000"/>
        <rFont val="WenQuanYi Zen Hei"/>
        <family val="2"/>
      </rPr>
      <t xml:space="preserve">組）</t>
    </r>
  </si>
  <si>
    <r>
      <rPr>
        <sz val="10"/>
        <color rgb="FF000000"/>
        <rFont val="WenQuanYi Zen Hei"/>
        <family val="2"/>
      </rPr>
      <t xml:space="preserve">トラック</t>
    </r>
    <r>
      <rPr>
        <sz val="10"/>
        <color rgb="FF000000"/>
        <rFont val="HGPｺﾞｼｯｸM"/>
        <family val="0"/>
        <charset val="1"/>
      </rPr>
      <t xml:space="preserve">5000m</t>
    </r>
    <r>
      <rPr>
        <sz val="10"/>
        <color rgb="FF000000"/>
        <rFont val="WenQuanYi Zen Hei"/>
        <family val="2"/>
      </rPr>
      <t xml:space="preserve">（</t>
    </r>
    <r>
      <rPr>
        <sz val="10"/>
        <color rgb="FF000000"/>
        <rFont val="HGPｺﾞｼｯｸM"/>
        <family val="0"/>
        <charset val="1"/>
      </rPr>
      <t xml:space="preserve">7</t>
    </r>
    <r>
      <rPr>
        <sz val="10"/>
        <color rgb="FF000000"/>
        <rFont val="WenQuanYi Zen Hei"/>
        <family val="2"/>
      </rPr>
      <t xml:space="preserve">組）</t>
    </r>
  </si>
  <si>
    <t xml:space="preserve">宇田川瞬矢</t>
  </si>
  <si>
    <t xml:space="preserve">若林宏樹</t>
  </si>
  <si>
    <t xml:space="preserve">太田蒼生</t>
  </si>
  <si>
    <t xml:space="preserve">小河原陽琉</t>
  </si>
  <si>
    <t xml:space="preserve">折田壮太</t>
  </si>
  <si>
    <t xml:space="preserve">飯田翔大</t>
  </si>
  <si>
    <t xml:space="preserve">神邑亮佑</t>
  </si>
  <si>
    <t xml:space="preserve">塩出翔太</t>
  </si>
  <si>
    <t xml:space="preserve">石川浩輝</t>
  </si>
  <si>
    <r>
      <rPr>
        <sz val="10"/>
        <color rgb="FF000000"/>
        <rFont val="WenQuanYi Zen Hei"/>
        <family val="2"/>
      </rPr>
      <t xml:space="preserve">ロード</t>
    </r>
    <r>
      <rPr>
        <sz val="10"/>
        <color rgb="FF000000"/>
        <rFont val="HGPｺﾞｼｯｸM"/>
        <family val="0"/>
        <charset val="1"/>
      </rPr>
      <t xml:space="preserve">5km</t>
    </r>
    <r>
      <rPr>
        <sz val="10"/>
        <color rgb="FF000000"/>
        <rFont val="WenQuanYi Zen Hei"/>
        <family val="2"/>
      </rPr>
      <t xml:space="preserve">（</t>
    </r>
    <r>
      <rPr>
        <sz val="10"/>
        <color rgb="FF000000"/>
        <rFont val="HGPｺﾞｼｯｸM"/>
        <family val="0"/>
        <charset val="1"/>
      </rPr>
      <t xml:space="preserve">adizero 5K</t>
    </r>
    <r>
      <rPr>
        <sz val="10"/>
        <color rgb="FF000000"/>
        <rFont val="WenQuanYi Zen Hei"/>
        <family val="2"/>
      </rPr>
      <t xml:space="preserve">、</t>
    </r>
    <r>
      <rPr>
        <sz val="10"/>
        <color rgb="FF000000"/>
        <rFont val="HGPｺﾞｼｯｸM"/>
        <family val="0"/>
        <charset val="1"/>
      </rPr>
      <t xml:space="preserve">9/27</t>
    </r>
    <r>
      <rPr>
        <sz val="10"/>
        <color rgb="FF000000"/>
        <rFont val="WenQuanYi Zen Hei"/>
        <family val="2"/>
      </rPr>
      <t xml:space="preserve">）</t>
    </r>
  </si>
  <si>
    <t xml:space="preserve">黒田然</t>
  </si>
  <si>
    <t xml:space="preserve">前川竜之将</t>
  </si>
  <si>
    <r>
      <rPr>
        <b val="true"/>
        <sz val="14"/>
        <color rgb="FF000000"/>
        <rFont val="WenQuanYi Zen Hei"/>
        <family val="2"/>
      </rPr>
      <t xml:space="preserve">夏合宿 走行距離（</t>
    </r>
    <r>
      <rPr>
        <b val="true"/>
        <sz val="14"/>
        <color rgb="FF000000"/>
        <rFont val="HGPｺﾞｼｯｸM"/>
        <family val="0"/>
        <charset val="1"/>
      </rPr>
      <t xml:space="preserve">1</t>
    </r>
    <r>
      <rPr>
        <b val="true"/>
        <sz val="14"/>
        <color rgb="FF000000"/>
        <rFont val="WenQuanYi Zen Hei"/>
        <family val="2"/>
      </rPr>
      <t xml:space="preserve">次・</t>
    </r>
    <r>
      <rPr>
        <b val="true"/>
        <sz val="14"/>
        <color rgb="FF000000"/>
        <rFont val="HGPｺﾞｼｯｸM"/>
        <family val="0"/>
        <charset val="1"/>
      </rPr>
      <t xml:space="preserve">2</t>
    </r>
    <r>
      <rPr>
        <b val="true"/>
        <sz val="14"/>
        <color rgb="FF000000"/>
        <rFont val="WenQuanYi Zen Hei"/>
        <family val="2"/>
      </rPr>
      <t xml:space="preserve">次）：出雲メンバー</t>
    </r>
  </si>
  <si>
    <r>
      <rPr>
        <sz val="9"/>
        <color rgb="FF000000"/>
        <rFont val="WenQuanYi Zen Hei"/>
        <family val="2"/>
      </rPr>
      <t xml:space="preserve">出雲出走メンバーのみ。出雲区間＝その年に走った区間。</t>
    </r>
    <r>
      <rPr>
        <sz val="9"/>
        <color rgb="FF000000"/>
        <rFont val="HGPｺﾞｼｯｸM"/>
        <family val="0"/>
        <charset val="1"/>
      </rPr>
      <t xml:space="preserve">1</t>
    </r>
    <r>
      <rPr>
        <sz val="9"/>
        <color rgb="FF000000"/>
        <rFont val="WenQuanYi Zen Hei"/>
        <family val="2"/>
      </rPr>
      <t xml:space="preserve">次合宿の期間：</t>
    </r>
    <r>
      <rPr>
        <sz val="9"/>
        <color rgb="FF000000"/>
        <rFont val="HGPｺﾞｼｯｸM"/>
        <family val="0"/>
        <charset val="1"/>
      </rPr>
      <t xml:space="preserve">2023</t>
    </r>
    <r>
      <rPr>
        <sz val="9"/>
        <color rgb="FF000000"/>
        <rFont val="WenQuanYi Zen Hei"/>
        <family val="2"/>
      </rPr>
      <t xml:space="preserve">年 </t>
    </r>
    <r>
      <rPr>
        <sz val="9"/>
        <color rgb="FF000000"/>
        <rFont val="HGPｺﾞｼｯｸM"/>
        <family val="0"/>
        <charset val="1"/>
      </rPr>
      <t xml:space="preserve">7/26</t>
    </r>
    <r>
      <rPr>
        <sz val="9"/>
        <color rgb="FF000000"/>
        <rFont val="WenQuanYi Zen Hei"/>
        <family val="2"/>
      </rPr>
      <t xml:space="preserve">〜</t>
    </r>
    <r>
      <rPr>
        <sz val="9"/>
        <color rgb="FF000000"/>
        <rFont val="HGPｺﾞｼｯｸM"/>
        <family val="0"/>
        <charset val="1"/>
      </rPr>
      <t xml:space="preserve">8/16</t>
    </r>
    <r>
      <rPr>
        <sz val="9"/>
        <color rgb="FF000000"/>
        <rFont val="WenQuanYi Zen Hei"/>
        <family val="2"/>
      </rPr>
      <t xml:space="preserve">（</t>
    </r>
    <r>
      <rPr>
        <sz val="9"/>
        <color rgb="FF000000"/>
        <rFont val="HGPｺﾞｼｯｸM"/>
        <family val="0"/>
        <charset val="1"/>
      </rPr>
      <t xml:space="preserve">22</t>
    </r>
    <r>
      <rPr>
        <sz val="9"/>
        <color rgb="FF000000"/>
        <rFont val="WenQuanYi Zen Hei"/>
        <family val="2"/>
      </rPr>
      <t xml:space="preserve">日）、</t>
    </r>
    <r>
      <rPr>
        <sz val="9"/>
        <color rgb="FF000000"/>
        <rFont val="HGPｺﾞｼｯｸM"/>
        <family val="0"/>
        <charset val="1"/>
      </rPr>
      <t xml:space="preserve">2024</t>
    </r>
    <r>
      <rPr>
        <sz val="9"/>
        <color rgb="FF000000"/>
        <rFont val="WenQuanYi Zen Hei"/>
        <family val="2"/>
      </rPr>
      <t xml:space="preserve">・</t>
    </r>
    <r>
      <rPr>
        <sz val="9"/>
        <color rgb="FF000000"/>
        <rFont val="HGPｺﾞｼｯｸM"/>
        <family val="0"/>
        <charset val="1"/>
      </rPr>
      <t xml:space="preserve">2025</t>
    </r>
    <r>
      <rPr>
        <sz val="9"/>
        <color rgb="FF000000"/>
        <rFont val="WenQuanYi Zen Hei"/>
        <family val="2"/>
      </rPr>
      <t xml:space="preserve">年 </t>
    </r>
    <r>
      <rPr>
        <sz val="9"/>
        <color rgb="FF000000"/>
        <rFont val="HGPｺﾞｼｯｸM"/>
        <family val="0"/>
        <charset val="1"/>
      </rPr>
      <t xml:space="preserve">8/1</t>
    </r>
    <r>
      <rPr>
        <sz val="9"/>
        <color rgb="FF000000"/>
        <rFont val="WenQuanYi Zen Hei"/>
        <family val="2"/>
      </rPr>
      <t xml:space="preserve">〜</t>
    </r>
    <r>
      <rPr>
        <sz val="9"/>
        <color rgb="FF000000"/>
        <rFont val="HGPｺﾞｼｯｸM"/>
        <family val="0"/>
        <charset val="1"/>
      </rPr>
      <t xml:space="preserve">8/19</t>
    </r>
    <r>
      <rPr>
        <sz val="9"/>
        <color rgb="FF000000"/>
        <rFont val="WenQuanYi Zen Hei"/>
        <family val="2"/>
      </rPr>
      <t xml:space="preserve">（</t>
    </r>
    <r>
      <rPr>
        <sz val="9"/>
        <color rgb="FF000000"/>
        <rFont val="HGPｺﾞｼｯｸM"/>
        <family val="0"/>
        <charset val="1"/>
      </rPr>
      <t xml:space="preserve">19</t>
    </r>
    <r>
      <rPr>
        <sz val="9"/>
        <color rgb="FF000000"/>
        <rFont val="WenQuanYi Zen Hei"/>
        <family val="2"/>
      </rPr>
      <t xml:space="preserve">日）、</t>
    </r>
    <r>
      <rPr>
        <sz val="9"/>
        <color rgb="FF000000"/>
        <rFont val="HGPｺﾞｼｯｸM"/>
        <family val="0"/>
        <charset val="1"/>
      </rPr>
      <t xml:space="preserve">2026</t>
    </r>
    <r>
      <rPr>
        <sz val="9"/>
        <color rgb="FF000000"/>
        <rFont val="WenQuanYi Zen Hei"/>
        <family val="2"/>
      </rPr>
      <t xml:space="preserve">年 </t>
    </r>
    <r>
      <rPr>
        <sz val="9"/>
        <color rgb="FF000000"/>
        <rFont val="HGPｺﾞｼｯｸM"/>
        <family val="0"/>
        <charset val="1"/>
      </rPr>
      <t xml:space="preserve">8/2</t>
    </r>
    <r>
      <rPr>
        <sz val="9"/>
        <color rgb="FF000000"/>
        <rFont val="WenQuanYi Zen Hei"/>
        <family val="2"/>
      </rPr>
      <t xml:space="preserve">〜</t>
    </r>
    <r>
      <rPr>
        <sz val="9"/>
        <color rgb="FF000000"/>
        <rFont val="HGPｺﾞｼｯｸM"/>
        <family val="0"/>
        <charset val="1"/>
      </rPr>
      <t xml:space="preserve">8/19</t>
    </r>
    <r>
      <rPr>
        <sz val="9"/>
        <color rgb="FF000000"/>
        <rFont val="WenQuanYi Zen Hei"/>
        <family val="2"/>
      </rPr>
      <t xml:space="preserve">（</t>
    </r>
    <r>
      <rPr>
        <sz val="9"/>
        <color rgb="FF000000"/>
        <rFont val="HGPｺﾞｼｯｸM"/>
        <family val="0"/>
        <charset val="1"/>
      </rPr>
      <t xml:space="preserve">18</t>
    </r>
    <r>
      <rPr>
        <sz val="9"/>
        <color rgb="FF000000"/>
        <rFont val="WenQuanYi Zen Hei"/>
        <family val="2"/>
      </rPr>
      <t xml:space="preserve">日）。</t>
    </r>
    <r>
      <rPr>
        <sz val="9"/>
        <color rgb="FF000000"/>
        <rFont val="HGPｺﾞｼｯｸM"/>
        <family val="0"/>
        <charset val="1"/>
      </rPr>
      <t xml:space="preserve">2</t>
    </r>
    <r>
      <rPr>
        <sz val="9"/>
        <color rgb="FF000000"/>
        <rFont val="WenQuanYi Zen Hei"/>
        <family val="2"/>
      </rPr>
      <t xml:space="preserve">次合宿は各年</t>
    </r>
    <r>
      <rPr>
        <sz val="9"/>
        <color rgb="FF000000"/>
        <rFont val="HGPｺﾞｼｯｸM"/>
        <family val="0"/>
        <charset val="1"/>
      </rPr>
      <t xml:space="preserve">10</t>
    </r>
    <r>
      <rPr>
        <sz val="9"/>
        <color rgb="FF000000"/>
        <rFont val="WenQuanYi Zen Hei"/>
        <family val="2"/>
      </rPr>
      <t xml:space="preserve">〜</t>
    </r>
    <r>
      <rPr>
        <sz val="9"/>
        <color rgb="FF000000"/>
        <rFont val="HGPｺﾞｼｯｸM"/>
        <family val="0"/>
        <charset val="1"/>
      </rPr>
      <t xml:space="preserve">12</t>
    </r>
    <r>
      <rPr>
        <sz val="9"/>
        <color rgb="FF000000"/>
        <rFont val="WenQuanYi Zen Hei"/>
        <family val="2"/>
      </rPr>
      <t xml:space="preserve">日。出典：各年の走行距離ランキング（</t>
    </r>
    <r>
      <rPr>
        <sz val="9"/>
        <color rgb="FF000000"/>
        <rFont val="HGPｺﾞｼｯｸM"/>
        <family val="0"/>
        <charset val="1"/>
      </rPr>
      <t xml:space="preserve">Excel</t>
    </r>
    <r>
      <rPr>
        <sz val="9"/>
        <color rgb="FF000000"/>
        <rFont val="WenQuanYi Zen Hei"/>
        <family val="2"/>
      </rPr>
      <t xml:space="preserve">・</t>
    </r>
    <r>
      <rPr>
        <sz val="9"/>
        <color rgb="FF000000"/>
        <rFont val="HGPｺﾞｼｯｸM"/>
        <family val="0"/>
        <charset val="1"/>
      </rPr>
      <t xml:space="preserve">PDF</t>
    </r>
    <r>
      <rPr>
        <sz val="9"/>
        <color rgb="FF000000"/>
        <rFont val="WenQuanYi Zen Hei"/>
        <family val="2"/>
      </rPr>
      <t xml:space="preserve">）</t>
    </r>
  </si>
  <si>
    <r>
      <rPr>
        <b val="true"/>
        <sz val="10"/>
        <color rgb="FF000000"/>
        <rFont val="HGPｺﾞｼｯｸM"/>
        <family val="0"/>
        <charset val="1"/>
      </rPr>
      <t xml:space="preserve">1</t>
    </r>
    <r>
      <rPr>
        <b val="true"/>
        <sz val="10"/>
        <color rgb="FF000000"/>
        <rFont val="WenQuanYi Zen Hei"/>
        <family val="2"/>
      </rPr>
      <t xml:space="preserve">次合宿
</t>
    </r>
    <r>
      <rPr>
        <b val="true"/>
        <sz val="10"/>
        <color rgb="FF000000"/>
        <rFont val="HGPｺﾞｼｯｸM"/>
        <family val="0"/>
        <charset val="1"/>
      </rPr>
      <t xml:space="preserve">(km)</t>
    </r>
  </si>
  <si>
    <r>
      <rPr>
        <b val="true"/>
        <sz val="10"/>
        <color rgb="FF000000"/>
        <rFont val="HGPｺﾞｼｯｸM"/>
        <family val="0"/>
        <charset val="1"/>
      </rPr>
      <t xml:space="preserve">2</t>
    </r>
    <r>
      <rPr>
        <b val="true"/>
        <sz val="10"/>
        <color rgb="FF000000"/>
        <rFont val="WenQuanYi Zen Hei"/>
        <family val="2"/>
      </rPr>
      <t xml:space="preserve">次合宿
</t>
    </r>
    <r>
      <rPr>
        <b val="true"/>
        <sz val="10"/>
        <color rgb="FF000000"/>
        <rFont val="HGPｺﾞｼｯｸM"/>
        <family val="0"/>
        <charset val="1"/>
      </rPr>
      <t xml:space="preserve">(km)</t>
    </r>
  </si>
  <si>
    <r>
      <rPr>
        <b val="true"/>
        <sz val="10"/>
        <color rgb="FF000000"/>
        <rFont val="HGPｺﾞｼｯｸM"/>
        <family val="0"/>
        <charset val="1"/>
      </rPr>
      <t xml:space="preserve">1</t>
    </r>
    <r>
      <rPr>
        <b val="true"/>
        <sz val="10"/>
        <color rgb="FF000000"/>
        <rFont val="WenQuanYi Zen Hei"/>
        <family val="2"/>
      </rPr>
      <t xml:space="preserve">次
日数</t>
    </r>
  </si>
  <si>
    <r>
      <rPr>
        <b val="true"/>
        <sz val="10"/>
        <color rgb="FF000000"/>
        <rFont val="HGPｺﾞｼｯｸM"/>
        <family val="0"/>
        <charset val="1"/>
      </rPr>
      <t xml:space="preserve">1</t>
    </r>
    <r>
      <rPr>
        <b val="true"/>
        <sz val="10"/>
        <color rgb="FF000000"/>
        <rFont val="WenQuanYi Zen Hei"/>
        <family val="2"/>
      </rPr>
      <t xml:space="preserve">次
</t>
    </r>
    <r>
      <rPr>
        <b val="true"/>
        <sz val="10"/>
        <color rgb="FF000000"/>
        <rFont val="HGPｺﾞｼｯｸM"/>
        <family val="0"/>
        <charset val="1"/>
      </rPr>
      <t xml:space="preserve">1</t>
    </r>
    <r>
      <rPr>
        <b val="true"/>
        <sz val="10"/>
        <color rgb="FF000000"/>
        <rFont val="WenQuanYi Zen Hei"/>
        <family val="2"/>
      </rPr>
      <t xml:space="preserve">日あたり</t>
    </r>
  </si>
  <si>
    <t xml:space="preserve">出雲
区間</t>
  </si>
  <si>
    <r>
      <rPr>
        <b val="true"/>
        <sz val="14"/>
        <color rgb="FF000000"/>
        <rFont val="WenQuanYi Zen Hei"/>
        <family val="2"/>
      </rPr>
      <t xml:space="preserve">夏合宿の走行距離と出雲の区間順位：出雲メンバー（</t>
    </r>
    <r>
      <rPr>
        <b val="true"/>
        <sz val="14"/>
        <color rgb="FF000000"/>
        <rFont val="HGPｺﾞｼｯｸM"/>
        <family val="0"/>
        <charset val="1"/>
      </rPr>
      <t xml:space="preserve">2023</t>
    </r>
    <r>
      <rPr>
        <b val="true"/>
        <sz val="14"/>
        <color rgb="FF000000"/>
        <rFont val="WenQuanYi Zen Hei"/>
        <family val="2"/>
      </rPr>
      <t xml:space="preserve">〜</t>
    </r>
    <r>
      <rPr>
        <b val="true"/>
        <sz val="14"/>
        <color rgb="FF000000"/>
        <rFont val="HGPｺﾞｼｯｸM"/>
        <family val="0"/>
        <charset val="1"/>
      </rPr>
      <t xml:space="preserve">2026</t>
    </r>
    <r>
      <rPr>
        <b val="true"/>
        <sz val="14"/>
        <color rgb="FF000000"/>
        <rFont val="WenQuanYi Zen Hei"/>
        <family val="2"/>
      </rPr>
      <t xml:space="preserve">）</t>
    </r>
  </si>
  <si>
    <r>
      <rPr>
        <sz val="9"/>
        <color rgb="FF000000"/>
        <rFont val="WenQuanYi Zen Hei"/>
        <family val="2"/>
      </rPr>
      <t xml:space="preserve">値はすべて「合宿走行距離」「</t>
    </r>
    <r>
      <rPr>
        <sz val="9"/>
        <color rgb="FF000000"/>
        <rFont val="HGPｺﾞｼｯｸM"/>
        <family val="0"/>
        <charset val="1"/>
      </rPr>
      <t xml:space="preserve">5000m</t>
    </r>
    <r>
      <rPr>
        <sz val="9"/>
        <color rgb="FF000000"/>
        <rFont val="WenQuanYi Zen Hei"/>
        <family val="2"/>
      </rPr>
      <t xml:space="preserve">比較」「出雲区間記録」シートからの参照式。区間順位は留学生を含む公式記録。日本人トップとの差は</t>
    </r>
    <r>
      <rPr>
        <sz val="9"/>
        <color rgb="FF000000"/>
        <rFont val="HGPｺﾞｼｯｸM"/>
        <family val="0"/>
        <charset val="1"/>
      </rPr>
      <t xml:space="preserve">1</t>
    </r>
    <r>
      <rPr>
        <sz val="9"/>
        <color rgb="FF000000"/>
        <rFont val="WenQuanYi Zen Hei"/>
        <family val="2"/>
      </rPr>
      <t xml:space="preserve">〜</t>
    </r>
    <r>
      <rPr>
        <sz val="9"/>
        <color rgb="FF000000"/>
        <rFont val="HGPｺﾞｼｯｸM"/>
        <family val="0"/>
        <charset val="1"/>
      </rPr>
      <t xml:space="preserve">5</t>
    </r>
    <r>
      <rPr>
        <sz val="9"/>
        <color rgb="FF000000"/>
        <rFont val="WenQuanYi Zen Hei"/>
        <family val="2"/>
      </rPr>
      <t xml:space="preserve">区が</t>
    </r>
    <r>
      <rPr>
        <sz val="9"/>
        <color rgb="FF000000"/>
        <rFont val="HGPｺﾞｼｯｸM"/>
        <family val="0"/>
        <charset val="1"/>
      </rPr>
      <t xml:space="preserve">5km</t>
    </r>
    <r>
      <rPr>
        <sz val="9"/>
        <color rgb="FF000000"/>
        <rFont val="WenQuanYi Zen Hei"/>
        <family val="2"/>
      </rPr>
      <t xml:space="preserve">あたり、</t>
    </r>
    <r>
      <rPr>
        <sz val="9"/>
        <color rgb="FF000000"/>
        <rFont val="HGPｺﾞｼｯｸM"/>
        <family val="0"/>
        <charset val="1"/>
      </rPr>
      <t xml:space="preserve">6</t>
    </r>
    <r>
      <rPr>
        <sz val="9"/>
        <color rgb="FF000000"/>
        <rFont val="WenQuanYi Zen Hei"/>
        <family val="2"/>
      </rPr>
      <t xml:space="preserve">区が</t>
    </r>
    <r>
      <rPr>
        <sz val="9"/>
        <color rgb="FF000000"/>
        <rFont val="HGPｺﾞｼｯｸM"/>
        <family val="0"/>
        <charset val="1"/>
      </rPr>
      <t xml:space="preserve">10km</t>
    </r>
    <r>
      <rPr>
        <sz val="9"/>
        <color rgb="FF000000"/>
        <rFont val="WenQuanYi Zen Hei"/>
        <family val="2"/>
      </rPr>
      <t xml:space="preserve">あたりの秒差。悪化率＝出雲</t>
    </r>
    <r>
      <rPr>
        <sz val="9"/>
        <color rgb="FF000000"/>
        <rFont val="HGPｺﾞｼｯｸM"/>
        <family val="0"/>
        <charset val="1"/>
      </rPr>
      <t xml:space="preserve">5km</t>
    </r>
    <r>
      <rPr>
        <sz val="9"/>
        <color rgb="FF000000"/>
        <rFont val="WenQuanYi Zen Hei"/>
        <family val="2"/>
      </rPr>
      <t xml:space="preserve">換算</t>
    </r>
    <r>
      <rPr>
        <sz val="9"/>
        <color rgb="FF000000"/>
        <rFont val="HGPｺﾞｼｯｸM"/>
        <family val="0"/>
        <charset val="1"/>
      </rPr>
      <t xml:space="preserve">÷2</t>
    </r>
    <r>
      <rPr>
        <sz val="9"/>
        <color rgb="FF000000"/>
        <rFont val="WenQuanYi Zen Hei"/>
        <family val="2"/>
      </rPr>
      <t xml:space="preserve">週間前</t>
    </r>
    <r>
      <rPr>
        <sz val="9"/>
        <color rgb="FF000000"/>
        <rFont val="HGPｺﾞｼｯｸM"/>
        <family val="0"/>
        <charset val="1"/>
      </rPr>
      <t xml:space="preserve">5000m−1</t>
    </r>
  </si>
  <si>
    <r>
      <rPr>
        <b val="true"/>
        <sz val="10"/>
        <color rgb="FF000000"/>
        <rFont val="HGPｺﾞｼｯｸM"/>
        <family val="0"/>
        <charset val="1"/>
      </rPr>
      <t xml:space="preserve">1</t>
    </r>
    <r>
      <rPr>
        <b val="true"/>
        <sz val="10"/>
        <color rgb="FF000000"/>
        <rFont val="WenQuanYi Zen Hei"/>
        <family val="2"/>
      </rPr>
      <t xml:space="preserve">次
</t>
    </r>
    <r>
      <rPr>
        <b val="true"/>
        <sz val="10"/>
        <color rgb="FF000000"/>
        <rFont val="HGPｺﾞｼｯｸM"/>
        <family val="0"/>
        <charset val="1"/>
      </rPr>
      <t xml:space="preserve">1</t>
    </r>
    <r>
      <rPr>
        <b val="true"/>
        <sz val="10"/>
        <color rgb="FF000000"/>
        <rFont val="WenQuanYi Zen Hei"/>
        <family val="2"/>
      </rPr>
      <t xml:space="preserve">日あたり
</t>
    </r>
    <r>
      <rPr>
        <b val="true"/>
        <sz val="10"/>
        <color rgb="FF000000"/>
        <rFont val="HGPｺﾞｼｯｸM"/>
        <family val="0"/>
        <charset val="1"/>
      </rPr>
      <t xml:space="preserve">(km)</t>
    </r>
  </si>
  <si>
    <r>
      <rPr>
        <b val="true"/>
        <sz val="10"/>
        <color rgb="FF000000"/>
        <rFont val="HGPｺﾞｼｯｸM"/>
        <family val="0"/>
        <charset val="1"/>
      </rPr>
      <t xml:space="preserve">1</t>
    </r>
    <r>
      <rPr>
        <b val="true"/>
        <sz val="10"/>
        <color rgb="FF000000"/>
        <rFont val="WenQuanYi Zen Hei"/>
        <family val="2"/>
      </rPr>
      <t xml:space="preserve">次</t>
    </r>
    <r>
      <rPr>
        <b val="true"/>
        <sz val="10"/>
        <color rgb="FF000000"/>
        <rFont val="HGPｺﾞｼｯｸM"/>
        <family val="0"/>
        <charset val="1"/>
      </rPr>
      <t xml:space="preserve">+2</t>
    </r>
    <r>
      <rPr>
        <b val="true"/>
        <sz val="10"/>
        <color rgb="FF000000"/>
        <rFont val="WenQuanYi Zen Hei"/>
        <family val="2"/>
      </rPr>
      <t xml:space="preserve">次
合計</t>
    </r>
    <r>
      <rPr>
        <b val="true"/>
        <sz val="10"/>
        <color rgb="FF000000"/>
        <rFont val="HGPｺﾞｼｯｸM"/>
        <family val="0"/>
        <charset val="1"/>
      </rPr>
      <t xml:space="preserve">(km)</t>
    </r>
  </si>
  <si>
    <r>
      <rPr>
        <b val="true"/>
        <sz val="10"/>
        <color rgb="FF000000"/>
        <rFont val="WenQuanYi Zen Hei"/>
        <family val="2"/>
      </rPr>
      <t xml:space="preserve">日本人トップ
との差</t>
    </r>
    <r>
      <rPr>
        <b val="true"/>
        <sz val="10"/>
        <color rgb="FF000000"/>
        <rFont val="HGPｺﾞｼｯｸM"/>
        <family val="0"/>
        <charset val="1"/>
      </rPr>
      <t xml:space="preserve">(</t>
    </r>
    <r>
      <rPr>
        <b val="true"/>
        <sz val="10"/>
        <color rgb="FF000000"/>
        <rFont val="WenQuanYi Zen Hei"/>
        <family val="2"/>
      </rPr>
      <t xml:space="preserve">秒</t>
    </r>
    <r>
      <rPr>
        <b val="true"/>
        <sz val="10"/>
        <color rgb="FF000000"/>
        <rFont val="HGPｺﾞｼｯｸM"/>
        <family val="0"/>
        <charset val="1"/>
      </rPr>
      <t xml:space="preserve">)</t>
    </r>
  </si>
  <si>
    <r>
      <rPr>
        <b val="true"/>
        <sz val="11"/>
        <color rgb="FF000000"/>
        <rFont val="WenQuanYi Zen Hei"/>
        <family val="2"/>
      </rPr>
      <t xml:space="preserve">年ごとの</t>
    </r>
    <r>
      <rPr>
        <b val="true"/>
        <sz val="11"/>
        <color rgb="FF000000"/>
        <rFont val="HGPｺﾞｼｯｸM"/>
        <family val="0"/>
        <charset val="1"/>
      </rPr>
      <t xml:space="preserve">6</t>
    </r>
    <r>
      <rPr>
        <b val="true"/>
        <sz val="11"/>
        <color rgb="FF000000"/>
        <rFont val="WenQuanYi Zen Hei"/>
        <family val="2"/>
      </rPr>
      <t xml:space="preserve">人平均</t>
    </r>
  </si>
  <si>
    <t xml:space="preserve">区間順位
平均</t>
  </si>
  <si>
    <r>
      <rPr>
        <b val="true"/>
        <sz val="11"/>
        <color rgb="FF000000"/>
        <rFont val="WenQuanYi Zen Hei"/>
        <family val="2"/>
      </rPr>
      <t xml:space="preserve">区間順位との相関係数（延べ</t>
    </r>
    <r>
      <rPr>
        <b val="true"/>
        <sz val="11"/>
        <color rgb="FF000000"/>
        <rFont val="HGPｺﾞｼｯｸM"/>
        <family val="0"/>
        <charset val="1"/>
      </rPr>
      <t xml:space="preserve">24</t>
    </r>
    <r>
      <rPr>
        <b val="true"/>
        <sz val="11"/>
        <color rgb="FF000000"/>
        <rFont val="WenQuanYi Zen Hei"/>
        <family val="2"/>
      </rPr>
      <t xml:space="preserve">人）</t>
    </r>
  </si>
  <si>
    <t xml:space="preserve">指標</t>
  </si>
  <si>
    <r>
      <rPr>
        <sz val="10"/>
        <color rgb="FF000000"/>
        <rFont val="HGPｺﾞｼｯｸM"/>
        <family val="0"/>
        <charset val="1"/>
      </rPr>
      <t xml:space="preserve">1</t>
    </r>
    <r>
      <rPr>
        <sz val="10"/>
        <color rgb="FF000000"/>
        <rFont val="WenQuanYi Zen Hei"/>
        <family val="2"/>
      </rPr>
      <t xml:space="preserve">次合宿の距離</t>
    </r>
  </si>
  <si>
    <r>
      <rPr>
        <sz val="10"/>
        <color rgb="FF000000"/>
        <rFont val="HGPｺﾞｼｯｸM"/>
        <family val="0"/>
        <charset val="1"/>
      </rPr>
      <t xml:space="preserve">1</t>
    </r>
    <r>
      <rPr>
        <sz val="10"/>
        <color rgb="FF000000"/>
        <rFont val="WenQuanYi Zen Hei"/>
        <family val="2"/>
      </rPr>
      <t xml:space="preserve">次合宿の</t>
    </r>
    <r>
      <rPr>
        <sz val="10"/>
        <color rgb="FF000000"/>
        <rFont val="HGPｺﾞｼｯｸM"/>
        <family val="0"/>
        <charset val="1"/>
      </rPr>
      <t xml:space="preserve">1</t>
    </r>
    <r>
      <rPr>
        <sz val="10"/>
        <color rgb="FF000000"/>
        <rFont val="WenQuanYi Zen Hei"/>
        <family val="2"/>
      </rPr>
      <t xml:space="preserve">日あたり距離</t>
    </r>
  </si>
  <si>
    <r>
      <rPr>
        <sz val="10"/>
        <color rgb="FF000000"/>
        <rFont val="HGPｺﾞｼｯｸM"/>
        <family val="0"/>
        <charset val="1"/>
      </rPr>
      <t xml:space="preserve">2</t>
    </r>
    <r>
      <rPr>
        <sz val="10"/>
        <color rgb="FF000000"/>
        <rFont val="WenQuanYi Zen Hei"/>
        <family val="2"/>
      </rPr>
      <t xml:space="preserve">次合宿の距離</t>
    </r>
  </si>
  <si>
    <r>
      <rPr>
        <sz val="10"/>
        <color rgb="FF000000"/>
        <rFont val="HGPｺﾞｼｯｸM"/>
        <family val="0"/>
        <charset val="1"/>
      </rPr>
      <t xml:space="preserve">1</t>
    </r>
    <r>
      <rPr>
        <sz val="10"/>
        <color rgb="FF000000"/>
        <rFont val="WenQuanYi Zen Hei"/>
        <family val="2"/>
      </rPr>
      <t xml:space="preserve">次</t>
    </r>
    <r>
      <rPr>
        <sz val="10"/>
        <color rgb="FF000000"/>
        <rFont val="HGPｺﾞｼｯｸM"/>
        <family val="0"/>
        <charset val="1"/>
      </rPr>
      <t xml:space="preserve">+2</t>
    </r>
    <r>
      <rPr>
        <sz val="10"/>
        <color rgb="FF000000"/>
        <rFont val="WenQuanYi Zen Hei"/>
        <family val="2"/>
      </rPr>
      <t xml:space="preserve">次の合計</t>
    </r>
  </si>
  <si>
    <r>
      <rPr>
        <sz val="9"/>
        <color rgb="FF000000"/>
        <rFont val="WenQuanYi Zen Hei"/>
        <family val="2"/>
      </rPr>
      <t xml:space="preserve">※正の値＝その指標が大きい選手ほど区間順位が悪い。</t>
    </r>
    <r>
      <rPr>
        <sz val="9"/>
        <color rgb="FF000000"/>
        <rFont val="HGPｺﾞｼｯｸM"/>
        <family val="0"/>
        <charset val="1"/>
      </rPr>
      <t xml:space="preserve">2026</t>
    </r>
    <r>
      <rPr>
        <sz val="9"/>
        <color rgb="FF000000"/>
        <rFont val="WenQuanYi Zen Hei"/>
        <family val="2"/>
      </rPr>
      <t xml:space="preserve">年は順位・距離ともに全体が高く、年の影響が混ざっている点に注意</t>
    </r>
  </si>
  <si>
    <r>
      <rPr>
        <b val="true"/>
        <sz val="11"/>
        <color rgb="FF000000"/>
        <rFont val="WenQuanYi Zen Hei"/>
        <family val="2"/>
      </rPr>
      <t xml:space="preserve">区間</t>
    </r>
    <r>
      <rPr>
        <b val="true"/>
        <sz val="11"/>
        <color rgb="FF000000"/>
        <rFont val="HGPｺﾞｼｯｸM"/>
        <family val="0"/>
        <charset val="1"/>
      </rPr>
      <t xml:space="preserve">3</t>
    </r>
    <r>
      <rPr>
        <b val="true"/>
        <sz val="11"/>
        <color rgb="FF000000"/>
        <rFont val="WenQuanYi Zen Hei"/>
        <family val="2"/>
      </rPr>
      <t xml:space="preserve">位以内とそれ以外の比較</t>
    </r>
  </si>
  <si>
    <t xml:space="preserve">区分</t>
  </si>
  <si>
    <t xml:space="preserve">人数</t>
  </si>
  <si>
    <r>
      <rPr>
        <sz val="10"/>
        <color rgb="FF000000"/>
        <rFont val="WenQuanYi Zen Hei"/>
        <family val="2"/>
      </rPr>
      <t xml:space="preserve">区間</t>
    </r>
    <r>
      <rPr>
        <sz val="10"/>
        <color rgb="FF000000"/>
        <rFont val="HGPｺﾞｼｯｸM"/>
        <family val="0"/>
        <charset val="1"/>
      </rPr>
      <t xml:space="preserve">1</t>
    </r>
    <r>
      <rPr>
        <sz val="10"/>
        <color rgb="FF000000"/>
        <rFont val="WenQuanYi Zen Hei"/>
        <family val="2"/>
      </rPr>
      <t xml:space="preserve">〜</t>
    </r>
    <r>
      <rPr>
        <sz val="10"/>
        <color rgb="FF000000"/>
        <rFont val="HGPｺﾞｼｯｸM"/>
        <family val="0"/>
        <charset val="1"/>
      </rPr>
      <t xml:space="preserve">3</t>
    </r>
    <r>
      <rPr>
        <sz val="10"/>
        <color rgb="FF000000"/>
        <rFont val="WenQuanYi Zen Hei"/>
        <family val="2"/>
      </rPr>
      <t xml:space="preserve">位</t>
    </r>
  </si>
  <si>
    <r>
      <rPr>
        <sz val="10"/>
        <color rgb="FF000000"/>
        <rFont val="WenQuanYi Zen Hei"/>
        <family val="2"/>
      </rPr>
      <t xml:space="preserve">区間</t>
    </r>
    <r>
      <rPr>
        <sz val="10"/>
        <color rgb="FF000000"/>
        <rFont val="HGPｺﾞｼｯｸM"/>
        <family val="0"/>
        <charset val="1"/>
      </rPr>
      <t xml:space="preserve">4</t>
    </r>
    <r>
      <rPr>
        <sz val="10"/>
        <color rgb="FF000000"/>
        <rFont val="WenQuanYi Zen Hei"/>
        <family val="2"/>
      </rPr>
      <t xml:space="preserve">位以下</t>
    </r>
  </si>
  <si>
    <r>
      <rPr>
        <b val="true"/>
        <sz val="14"/>
        <color rgb="FF000000"/>
        <rFont val="WenQuanYi Zen Hei"/>
        <family val="2"/>
      </rPr>
      <t xml:space="preserve">夏合宿 </t>
    </r>
    <r>
      <rPr>
        <b val="true"/>
        <sz val="14"/>
        <color rgb="FF000000"/>
        <rFont val="HGPｺﾞｼｯｸM"/>
        <family val="0"/>
        <charset val="1"/>
      </rPr>
      <t xml:space="preserve">1</t>
    </r>
    <r>
      <rPr>
        <b val="true"/>
        <sz val="14"/>
        <color rgb="FF000000"/>
        <rFont val="WenQuanYi Zen Hei"/>
        <family val="2"/>
      </rPr>
      <t xml:space="preserve">日あたり走行距離 上位</t>
    </r>
    <r>
      <rPr>
        <b val="true"/>
        <sz val="14"/>
        <color rgb="FF000000"/>
        <rFont val="HGPｺﾞｼｯｸM"/>
        <family val="0"/>
        <charset val="1"/>
      </rPr>
      <t xml:space="preserve">35</t>
    </r>
    <r>
      <rPr>
        <b val="true"/>
        <sz val="14"/>
        <color rgb="FF000000"/>
        <rFont val="WenQuanYi Zen Hei"/>
        <family val="2"/>
      </rPr>
      <t xml:space="preserve">人（</t>
    </r>
    <r>
      <rPr>
        <b val="true"/>
        <sz val="14"/>
        <color rgb="FF000000"/>
        <rFont val="HGPｺﾞｼｯｸM"/>
        <family val="0"/>
        <charset val="1"/>
      </rPr>
      <t xml:space="preserve">2023</t>
    </r>
    <r>
      <rPr>
        <b val="true"/>
        <sz val="14"/>
        <color rgb="FF000000"/>
        <rFont val="WenQuanYi Zen Hei"/>
        <family val="2"/>
      </rPr>
      <t xml:space="preserve">〜</t>
    </r>
    <r>
      <rPr>
        <b val="true"/>
        <sz val="14"/>
        <color rgb="FF000000"/>
        <rFont val="HGPｺﾞｼｯｸM"/>
        <family val="0"/>
        <charset val="1"/>
      </rPr>
      <t xml:space="preserve">2026</t>
    </r>
    <r>
      <rPr>
        <b val="true"/>
        <sz val="14"/>
        <color rgb="FF000000"/>
        <rFont val="WenQuanYi Zen Hei"/>
        <family val="2"/>
      </rPr>
      <t xml:space="preserve">）</t>
    </r>
  </si>
  <si>
    <r>
      <rPr>
        <sz val="9"/>
        <color rgb="FF000000"/>
        <rFont val="WenQuanYi Zen Hei"/>
        <family val="2"/>
      </rPr>
      <t xml:space="preserve">このシートのみ出雲メンバー以外の部員も含む（全部員の中での位置を見るため）。黄色の背景＝その年の出雲出走メンバー。</t>
    </r>
    <r>
      <rPr>
        <sz val="9"/>
        <color rgb="FF000000"/>
        <rFont val="HGPｺﾞｼｯｸM"/>
        <family val="0"/>
        <charset val="1"/>
      </rPr>
      <t xml:space="preserve">1</t>
    </r>
    <r>
      <rPr>
        <sz val="9"/>
        <color rgb="FF000000"/>
        <rFont val="WenQuanYi Zen Hei"/>
        <family val="2"/>
      </rPr>
      <t xml:space="preserve">日あたり＝合宿距離</t>
    </r>
    <r>
      <rPr>
        <sz val="9"/>
        <color rgb="FF000000"/>
        <rFont val="HGPｺﾞｼｯｸM"/>
        <family val="0"/>
        <charset val="1"/>
      </rPr>
      <t xml:space="preserve">÷</t>
    </r>
    <r>
      <rPr>
        <sz val="9"/>
        <color rgb="FF000000"/>
        <rFont val="WenQuanYi Zen Hei"/>
        <family val="2"/>
      </rPr>
      <t xml:space="preserve">日数（</t>
    </r>
    <r>
      <rPr>
        <sz val="9"/>
        <color rgb="FF000000"/>
        <rFont val="HGPｺﾞｼｯｸM"/>
        <family val="0"/>
        <charset val="1"/>
      </rPr>
      <t xml:space="preserve">1</t>
    </r>
    <r>
      <rPr>
        <sz val="9"/>
        <color rgb="FF000000"/>
        <rFont val="WenQuanYi Zen Hei"/>
        <family val="2"/>
      </rPr>
      <t xml:space="preserve">次：</t>
    </r>
    <r>
      <rPr>
        <sz val="9"/>
        <color rgb="FF000000"/>
        <rFont val="HGPｺﾞｼｯｸM"/>
        <family val="0"/>
        <charset val="1"/>
      </rPr>
      <t xml:space="preserve">2023</t>
    </r>
    <r>
      <rPr>
        <sz val="9"/>
        <color rgb="FF000000"/>
        <rFont val="WenQuanYi Zen Hei"/>
        <family val="2"/>
      </rPr>
      <t xml:space="preserve">年</t>
    </r>
    <r>
      <rPr>
        <sz val="9"/>
        <color rgb="FF000000"/>
        <rFont val="HGPｺﾞｼｯｸM"/>
        <family val="0"/>
        <charset val="1"/>
      </rPr>
      <t xml:space="preserve">22</t>
    </r>
    <r>
      <rPr>
        <sz val="9"/>
        <color rgb="FF000000"/>
        <rFont val="WenQuanYi Zen Hei"/>
        <family val="2"/>
      </rPr>
      <t xml:space="preserve">日、</t>
    </r>
    <r>
      <rPr>
        <sz val="9"/>
        <color rgb="FF000000"/>
        <rFont val="HGPｺﾞｼｯｸM"/>
        <family val="0"/>
        <charset val="1"/>
      </rPr>
      <t xml:space="preserve">2024</t>
    </r>
    <r>
      <rPr>
        <sz val="9"/>
        <color rgb="FF000000"/>
        <rFont val="WenQuanYi Zen Hei"/>
        <family val="2"/>
      </rPr>
      <t xml:space="preserve">・</t>
    </r>
    <r>
      <rPr>
        <sz val="9"/>
        <color rgb="FF000000"/>
        <rFont val="HGPｺﾞｼｯｸM"/>
        <family val="0"/>
        <charset val="1"/>
      </rPr>
      <t xml:space="preserve">2025</t>
    </r>
    <r>
      <rPr>
        <sz val="9"/>
        <color rgb="FF000000"/>
        <rFont val="WenQuanYi Zen Hei"/>
        <family val="2"/>
      </rPr>
      <t xml:space="preserve">年</t>
    </r>
    <r>
      <rPr>
        <sz val="9"/>
        <color rgb="FF000000"/>
        <rFont val="HGPｺﾞｼｯｸM"/>
        <family val="0"/>
        <charset val="1"/>
      </rPr>
      <t xml:space="preserve">19</t>
    </r>
    <r>
      <rPr>
        <sz val="9"/>
        <color rgb="FF000000"/>
        <rFont val="WenQuanYi Zen Hei"/>
        <family val="2"/>
      </rPr>
      <t xml:space="preserve">日、</t>
    </r>
    <r>
      <rPr>
        <sz val="9"/>
        <color rgb="FF000000"/>
        <rFont val="HGPｺﾞｼｯｸM"/>
        <family val="0"/>
        <charset val="1"/>
      </rPr>
      <t xml:space="preserve">2026</t>
    </r>
    <r>
      <rPr>
        <sz val="9"/>
        <color rgb="FF000000"/>
        <rFont val="WenQuanYi Zen Hei"/>
        <family val="2"/>
      </rPr>
      <t xml:space="preserve">年</t>
    </r>
    <r>
      <rPr>
        <sz val="9"/>
        <color rgb="FF000000"/>
        <rFont val="HGPｺﾞｼｯｸM"/>
        <family val="0"/>
        <charset val="1"/>
      </rPr>
      <t xml:space="preserve">18</t>
    </r>
    <r>
      <rPr>
        <sz val="9"/>
        <color rgb="FF000000"/>
        <rFont val="WenQuanYi Zen Hei"/>
        <family val="2"/>
      </rPr>
      <t xml:space="preserve">日／</t>
    </r>
    <r>
      <rPr>
        <sz val="9"/>
        <color rgb="FF000000"/>
        <rFont val="HGPｺﾞｼｯｸM"/>
        <family val="0"/>
        <charset val="1"/>
      </rPr>
      <t xml:space="preserve">2</t>
    </r>
    <r>
      <rPr>
        <sz val="9"/>
        <color rgb="FF000000"/>
        <rFont val="WenQuanYi Zen Hei"/>
        <family val="2"/>
      </rPr>
      <t xml:space="preserve">次：各年</t>
    </r>
    <r>
      <rPr>
        <sz val="9"/>
        <color rgb="FF000000"/>
        <rFont val="HGPｺﾞｼｯｸM"/>
        <family val="0"/>
        <charset val="1"/>
      </rPr>
      <t xml:space="preserve">10</t>
    </r>
    <r>
      <rPr>
        <sz val="9"/>
        <color rgb="FF000000"/>
        <rFont val="WenQuanYi Zen Hei"/>
        <family val="2"/>
      </rPr>
      <t xml:space="preserve">日、</t>
    </r>
    <r>
      <rPr>
        <sz val="9"/>
        <color rgb="FF000000"/>
        <rFont val="HGPｺﾞｼｯｸM"/>
        <family val="0"/>
        <charset val="1"/>
      </rPr>
      <t xml:space="preserve">2026</t>
    </r>
    <r>
      <rPr>
        <sz val="9"/>
        <color rgb="FF000000"/>
        <rFont val="WenQuanYi Zen Hei"/>
        <family val="2"/>
      </rPr>
      <t xml:space="preserve">年チャレンジ組のみ</t>
    </r>
    <r>
      <rPr>
        <sz val="9"/>
        <color rgb="FF000000"/>
        <rFont val="HGPｺﾞｼｯｸM"/>
        <family val="0"/>
        <charset val="1"/>
      </rPr>
      <t xml:space="preserve">12</t>
    </r>
    <r>
      <rPr>
        <sz val="9"/>
        <color rgb="FF000000"/>
        <rFont val="WenQuanYi Zen Hei"/>
        <family val="2"/>
      </rPr>
      <t xml:space="preserve">日）。</t>
    </r>
    <r>
      <rPr>
        <sz val="9"/>
        <color rgb="FF000000"/>
        <rFont val="HGPｺﾞｼｯｸM"/>
        <family val="0"/>
        <charset val="1"/>
      </rPr>
      <t xml:space="preserve">2026</t>
    </r>
    <r>
      <rPr>
        <sz val="9"/>
        <color rgb="FF000000"/>
        <rFont val="WenQuanYi Zen Hei"/>
        <family val="2"/>
      </rPr>
      <t xml:space="preserve">年は女子選手を除く</t>
    </r>
  </si>
  <si>
    <r>
      <rPr>
        <b val="true"/>
        <sz val="11"/>
        <color rgb="FF000000"/>
        <rFont val="HGPｺﾞｼｯｸM"/>
        <family val="0"/>
        <charset val="1"/>
      </rPr>
      <t xml:space="preserve">1</t>
    </r>
    <r>
      <rPr>
        <b val="true"/>
        <sz val="11"/>
        <color rgb="FF000000"/>
        <rFont val="WenQuanYi Zen Hei"/>
        <family val="2"/>
      </rPr>
      <t xml:space="preserve">次合宿（</t>
    </r>
    <r>
      <rPr>
        <b val="true"/>
        <sz val="11"/>
        <color rgb="FF000000"/>
        <rFont val="HGPｺﾞｼｯｸM"/>
        <family val="0"/>
        <charset val="1"/>
      </rPr>
      <t xml:space="preserve">km/</t>
    </r>
    <r>
      <rPr>
        <b val="true"/>
        <sz val="11"/>
        <color rgb="FF000000"/>
        <rFont val="WenQuanYi Zen Hei"/>
        <family val="2"/>
      </rPr>
      <t xml:space="preserve">日）</t>
    </r>
  </si>
  <si>
    <t xml:space="preserve">順位</t>
  </si>
  <si>
    <r>
      <rPr>
        <b val="true"/>
        <sz val="10"/>
        <color rgb="FF000000"/>
        <rFont val="HGPｺﾞｼｯｸM"/>
        <family val="0"/>
        <charset val="1"/>
      </rPr>
      <t xml:space="preserve">2023
7/26</t>
    </r>
    <r>
      <rPr>
        <b val="true"/>
        <sz val="10"/>
        <color rgb="FF000000"/>
        <rFont val="WenQuanYi Zen Hei"/>
        <family val="2"/>
      </rPr>
      <t xml:space="preserve">〜</t>
    </r>
    <r>
      <rPr>
        <b val="true"/>
        <sz val="10"/>
        <color rgb="FF000000"/>
        <rFont val="HGPｺﾞｼｯｸM"/>
        <family val="0"/>
        <charset val="1"/>
      </rPr>
      <t xml:space="preserve">8/16</t>
    </r>
  </si>
  <si>
    <r>
      <rPr>
        <b val="true"/>
        <sz val="10"/>
        <color rgb="FF000000"/>
        <rFont val="HGPｺﾞｼｯｸM"/>
        <family val="0"/>
        <charset val="1"/>
      </rPr>
      <t xml:space="preserve">km/</t>
    </r>
    <r>
      <rPr>
        <b val="true"/>
        <sz val="10"/>
        <color rgb="FF000000"/>
        <rFont val="WenQuanYi Zen Hei"/>
        <family val="2"/>
      </rPr>
      <t xml:space="preserve">日</t>
    </r>
  </si>
  <si>
    <r>
      <rPr>
        <b val="true"/>
        <sz val="10"/>
        <color rgb="FF000000"/>
        <rFont val="HGPｺﾞｼｯｸM"/>
        <family val="0"/>
        <charset val="1"/>
      </rPr>
      <t xml:space="preserve">2024
8/1</t>
    </r>
    <r>
      <rPr>
        <b val="true"/>
        <sz val="10"/>
        <color rgb="FF000000"/>
        <rFont val="WenQuanYi Zen Hei"/>
        <family val="2"/>
      </rPr>
      <t xml:space="preserve">〜</t>
    </r>
    <r>
      <rPr>
        <b val="true"/>
        <sz val="10"/>
        <color rgb="FF000000"/>
        <rFont val="HGPｺﾞｼｯｸM"/>
        <family val="0"/>
        <charset val="1"/>
      </rPr>
      <t xml:space="preserve">8/19</t>
    </r>
  </si>
  <si>
    <r>
      <rPr>
        <b val="true"/>
        <sz val="10"/>
        <color rgb="FF000000"/>
        <rFont val="HGPｺﾞｼｯｸM"/>
        <family val="0"/>
        <charset val="1"/>
      </rPr>
      <t xml:space="preserve">2025
8/1</t>
    </r>
    <r>
      <rPr>
        <b val="true"/>
        <sz val="10"/>
        <color rgb="FF000000"/>
        <rFont val="WenQuanYi Zen Hei"/>
        <family val="2"/>
      </rPr>
      <t xml:space="preserve">〜</t>
    </r>
    <r>
      <rPr>
        <b val="true"/>
        <sz val="10"/>
        <color rgb="FF000000"/>
        <rFont val="HGPｺﾞｼｯｸM"/>
        <family val="0"/>
        <charset val="1"/>
      </rPr>
      <t xml:space="preserve">8/19</t>
    </r>
  </si>
  <si>
    <r>
      <rPr>
        <b val="true"/>
        <sz val="10"/>
        <color rgb="FF000000"/>
        <rFont val="HGPｺﾞｼｯｸM"/>
        <family val="0"/>
        <charset val="1"/>
      </rPr>
      <t xml:space="preserve">2026
8/2</t>
    </r>
    <r>
      <rPr>
        <b val="true"/>
        <sz val="10"/>
        <color rgb="FF000000"/>
        <rFont val="WenQuanYi Zen Hei"/>
        <family val="2"/>
      </rPr>
      <t xml:space="preserve">〜</t>
    </r>
    <r>
      <rPr>
        <b val="true"/>
        <sz val="10"/>
        <color rgb="FF000000"/>
        <rFont val="HGPｺﾞｼｯｸM"/>
        <family val="0"/>
        <charset val="1"/>
      </rPr>
      <t xml:space="preserve">8/19</t>
    </r>
  </si>
  <si>
    <t xml:space="preserve">白石光星</t>
  </si>
  <si>
    <t xml:space="preserve">本間創</t>
  </si>
  <si>
    <t xml:space="preserve">福冨翔</t>
  </si>
  <si>
    <t xml:space="preserve">松田煌希</t>
  </si>
  <si>
    <t xml:space="preserve">喜多村慧</t>
  </si>
  <si>
    <t xml:space="preserve">笹川洸成</t>
  </si>
  <si>
    <t xml:space="preserve">佐藤有一</t>
  </si>
  <si>
    <t xml:space="preserve">熊井渓人</t>
  </si>
  <si>
    <t xml:space="preserve">松下勇樹</t>
  </si>
  <si>
    <t xml:space="preserve">村上直弥</t>
  </si>
  <si>
    <t xml:space="preserve">田中智稀</t>
  </si>
  <si>
    <t xml:space="preserve">阿戶将太朗</t>
  </si>
  <si>
    <t xml:space="preserve">植村真登</t>
  </si>
  <si>
    <t xml:space="preserve">佐々木大輝</t>
  </si>
  <si>
    <t xml:space="preserve">松並昂勢</t>
  </si>
  <si>
    <t xml:space="preserve">白石将隆</t>
  </si>
  <si>
    <t xml:space="preserve">中村海斗</t>
  </si>
  <si>
    <t xml:space="preserve">平松享祐</t>
  </si>
  <si>
    <t xml:space="preserve">大竹実吹</t>
  </si>
  <si>
    <t xml:space="preserve">船越碧</t>
  </si>
  <si>
    <t xml:space="preserve">花本史龍</t>
  </si>
  <si>
    <t xml:space="preserve">池澤悠冬</t>
  </si>
  <si>
    <t xml:space="preserve">浜川舜斗</t>
  </si>
  <si>
    <t xml:space="preserve">谷口僚哉</t>
  </si>
  <si>
    <t xml:space="preserve">遠藤大成</t>
  </si>
  <si>
    <t xml:space="preserve">若林良樹</t>
  </si>
  <si>
    <t xml:space="preserve">石原正翔</t>
  </si>
  <si>
    <t xml:space="preserve">坂本康太</t>
  </si>
  <si>
    <t xml:space="preserve">多田奏太</t>
  </si>
  <si>
    <t xml:space="preserve">大島福</t>
  </si>
  <si>
    <t xml:space="preserve">橋本昊太</t>
  </si>
  <si>
    <t xml:space="preserve">前田蒼空</t>
  </si>
  <si>
    <t xml:space="preserve">小原響</t>
  </si>
  <si>
    <t xml:space="preserve">皆渡星七</t>
  </si>
  <si>
    <t xml:space="preserve">上野山拳士朗</t>
  </si>
  <si>
    <t xml:space="preserve">榅山一颯</t>
  </si>
  <si>
    <t xml:space="preserve">倉本玄太</t>
  </si>
  <si>
    <t xml:space="preserve">神田大地</t>
  </si>
  <si>
    <t xml:space="preserve">岡本龍聖</t>
  </si>
  <si>
    <t xml:space="preserve">村岡大雅</t>
  </si>
  <si>
    <t xml:space="preserve">松田祐真</t>
  </si>
  <si>
    <t xml:space="preserve">西澤マハロ</t>
  </si>
  <si>
    <t xml:space="preserve">片山宗哉</t>
  </si>
  <si>
    <t xml:space="preserve">大須賀風葵</t>
  </si>
  <si>
    <t xml:space="preserve">新見春陽</t>
  </si>
  <si>
    <t xml:space="preserve">古川陽樹</t>
  </si>
  <si>
    <t xml:space="preserve">徳本陽</t>
  </si>
  <si>
    <t xml:space="preserve">荒巻朋煕</t>
  </si>
  <si>
    <t xml:space="preserve">鈴木千翔</t>
  </si>
  <si>
    <t xml:space="preserve">大藪遙斗</t>
  </si>
  <si>
    <t xml:space="preserve">佐々木塁</t>
  </si>
  <si>
    <t xml:space="preserve">横畑僚大</t>
  </si>
  <si>
    <t xml:space="preserve">櫨元優馬</t>
  </si>
  <si>
    <t xml:space="preserve">平均</t>
  </si>
  <si>
    <r>
      <rPr>
        <b val="true"/>
        <sz val="11"/>
        <color rgb="FF000000"/>
        <rFont val="HGPｺﾞｼｯｸM"/>
        <family val="0"/>
        <charset val="1"/>
      </rPr>
      <t xml:space="preserve">2</t>
    </r>
    <r>
      <rPr>
        <b val="true"/>
        <sz val="11"/>
        <color rgb="FF000000"/>
        <rFont val="WenQuanYi Zen Hei"/>
        <family val="2"/>
      </rPr>
      <t xml:space="preserve">次合宿（</t>
    </r>
    <r>
      <rPr>
        <b val="true"/>
        <sz val="11"/>
        <color rgb="FF000000"/>
        <rFont val="HGPｺﾞｼｯｸM"/>
        <family val="0"/>
        <charset val="1"/>
      </rPr>
      <t xml:space="preserve">km/</t>
    </r>
    <r>
      <rPr>
        <b val="true"/>
        <sz val="11"/>
        <color rgb="FF000000"/>
        <rFont val="WenQuanYi Zen Hei"/>
        <family val="2"/>
      </rPr>
      <t xml:space="preserve">日）</t>
    </r>
  </si>
  <si>
    <r>
      <rPr>
        <b val="true"/>
        <sz val="10"/>
        <color rgb="FF000000"/>
        <rFont val="HGPｺﾞｼｯｸM"/>
        <family val="0"/>
        <charset val="1"/>
      </rPr>
      <t xml:space="preserve">2023
8/25</t>
    </r>
    <r>
      <rPr>
        <b val="true"/>
        <sz val="10"/>
        <color rgb="FF000000"/>
        <rFont val="WenQuanYi Zen Hei"/>
        <family val="2"/>
      </rPr>
      <t xml:space="preserve">〜</t>
    </r>
    <r>
      <rPr>
        <b val="true"/>
        <sz val="10"/>
        <color rgb="FF000000"/>
        <rFont val="HGPｺﾞｼｯｸM"/>
        <family val="0"/>
        <charset val="1"/>
      </rPr>
      <t xml:space="preserve">9/3</t>
    </r>
  </si>
  <si>
    <r>
      <rPr>
        <b val="true"/>
        <sz val="10"/>
        <color rgb="FF000000"/>
        <rFont val="HGPｺﾞｼｯｸM"/>
        <family val="0"/>
        <charset val="1"/>
      </rPr>
      <t xml:space="preserve">2024
8/27</t>
    </r>
    <r>
      <rPr>
        <b val="true"/>
        <sz val="10"/>
        <color rgb="FF000000"/>
        <rFont val="WenQuanYi Zen Hei"/>
        <family val="2"/>
      </rPr>
      <t xml:space="preserve">〜</t>
    </r>
    <r>
      <rPr>
        <b val="true"/>
        <sz val="10"/>
        <color rgb="FF000000"/>
        <rFont val="HGPｺﾞｼｯｸM"/>
        <family val="0"/>
        <charset val="1"/>
      </rPr>
      <t xml:space="preserve">9/5</t>
    </r>
  </si>
  <si>
    <r>
      <rPr>
        <b val="true"/>
        <sz val="10"/>
        <color rgb="FF000000"/>
        <rFont val="HGPｺﾞｼｯｸM"/>
        <family val="0"/>
        <charset val="1"/>
      </rPr>
      <t xml:space="preserve">2025
8/26</t>
    </r>
    <r>
      <rPr>
        <b val="true"/>
        <sz val="10"/>
        <color rgb="FF000000"/>
        <rFont val="WenQuanYi Zen Hei"/>
        <family val="2"/>
      </rPr>
      <t xml:space="preserve">〜</t>
    </r>
    <r>
      <rPr>
        <b val="true"/>
        <sz val="10"/>
        <color rgb="FF000000"/>
        <rFont val="HGPｺﾞｼｯｸM"/>
        <family val="0"/>
        <charset val="1"/>
      </rPr>
      <t xml:space="preserve">9/4</t>
    </r>
  </si>
  <si>
    <r>
      <rPr>
        <b val="true"/>
        <sz val="10"/>
        <color rgb="FF000000"/>
        <rFont val="HGPｺﾞｼｯｸM"/>
        <family val="0"/>
        <charset val="1"/>
      </rPr>
      <t xml:space="preserve">2026
</t>
    </r>
    <r>
      <rPr>
        <b val="true"/>
        <sz val="10"/>
        <color rgb="FF000000"/>
        <rFont val="WenQuanYi Zen Hei"/>
        <family val="2"/>
      </rPr>
      <t xml:space="preserve">選抜</t>
    </r>
    <r>
      <rPr>
        <b val="true"/>
        <sz val="10"/>
        <color rgb="FF000000"/>
        <rFont val="HGPｺﾞｼｯｸM"/>
        <family val="0"/>
        <charset val="1"/>
      </rPr>
      <t xml:space="preserve">8/27</t>
    </r>
    <r>
      <rPr>
        <b val="true"/>
        <sz val="10"/>
        <color rgb="FF000000"/>
        <rFont val="WenQuanYi Zen Hei"/>
        <family val="2"/>
      </rPr>
      <t xml:space="preserve">〜</t>
    </r>
    <r>
      <rPr>
        <b val="true"/>
        <sz val="10"/>
        <color rgb="FF000000"/>
        <rFont val="HGPｺﾞｼｯｸM"/>
        <family val="0"/>
        <charset val="1"/>
      </rPr>
      <t xml:space="preserve">9/5</t>
    </r>
    <r>
      <rPr>
        <b val="true"/>
        <sz val="10"/>
        <color rgb="FF000000"/>
        <rFont val="WenQuanYi Zen Hei"/>
        <family val="2"/>
      </rPr>
      <t xml:space="preserve">・チャレンジ</t>
    </r>
    <r>
      <rPr>
        <b val="true"/>
        <sz val="10"/>
        <color rgb="FF000000"/>
        <rFont val="HGPｺﾞｼｯｸM"/>
        <family val="0"/>
        <charset val="1"/>
      </rPr>
      <t xml:space="preserve">8/26</t>
    </r>
    <r>
      <rPr>
        <b val="true"/>
        <sz val="10"/>
        <color rgb="FF000000"/>
        <rFont val="WenQuanYi Zen Hei"/>
        <family val="2"/>
      </rPr>
      <t xml:space="preserve">〜</t>
    </r>
    <r>
      <rPr>
        <b val="true"/>
        <sz val="10"/>
        <color rgb="FF000000"/>
        <rFont val="HGPｺﾞｼｯｸM"/>
        <family val="0"/>
        <charset val="1"/>
      </rPr>
      <t xml:space="preserve">9/6</t>
    </r>
  </si>
  <si>
    <t xml:space="preserve">山下悠河</t>
  </si>
  <si>
    <t xml:space="preserve">佐藤愛斗</t>
  </si>
  <si>
    <t xml:space="preserve">藤岡孝太郎</t>
  </si>
  <si>
    <t xml:space="preserve">日向春空</t>
  </si>
  <si>
    <t xml:space="preserve">斎藤晴樹</t>
  </si>
  <si>
    <r>
      <rPr>
        <b val="true"/>
        <sz val="14"/>
        <color rgb="FF000000"/>
        <rFont val="WenQuanYi Zen Hei"/>
        <family val="2"/>
      </rPr>
      <t xml:space="preserve">夏合宿 走行距離ランキング：全部員（</t>
    </r>
    <r>
      <rPr>
        <b val="true"/>
        <sz val="14"/>
        <color rgb="FF000000"/>
        <rFont val="HGPｺﾞｼｯｸM"/>
        <family val="0"/>
        <charset val="1"/>
      </rPr>
      <t xml:space="preserve">1</t>
    </r>
    <r>
      <rPr>
        <b val="true"/>
        <sz val="14"/>
        <color rgb="FF000000"/>
        <rFont val="WenQuanYi Zen Hei"/>
        <family val="2"/>
      </rPr>
      <t xml:space="preserve">次・</t>
    </r>
    <r>
      <rPr>
        <b val="true"/>
        <sz val="14"/>
        <color rgb="FF000000"/>
        <rFont val="HGPｺﾞｼｯｸM"/>
        <family val="0"/>
        <charset val="1"/>
      </rPr>
      <t xml:space="preserve">2</t>
    </r>
    <r>
      <rPr>
        <b val="true"/>
        <sz val="14"/>
        <color rgb="FF000000"/>
        <rFont val="WenQuanYi Zen Hei"/>
        <family val="2"/>
      </rPr>
      <t xml:space="preserve">次・</t>
    </r>
    <r>
      <rPr>
        <b val="true"/>
        <sz val="14"/>
        <color rgb="FF000000"/>
        <rFont val="HGPｺﾞｼｯｸM"/>
        <family val="0"/>
        <charset val="1"/>
      </rPr>
      <t xml:space="preserve">1</t>
    </r>
    <r>
      <rPr>
        <b val="true"/>
        <sz val="14"/>
        <color rgb="FF000000"/>
        <rFont val="WenQuanYi Zen Hei"/>
        <family val="2"/>
      </rPr>
      <t xml:space="preserve">次</t>
    </r>
    <r>
      <rPr>
        <b val="true"/>
        <sz val="14"/>
        <color rgb="FF000000"/>
        <rFont val="HGPｺﾞｼｯｸM"/>
        <family val="0"/>
        <charset val="1"/>
      </rPr>
      <t xml:space="preserve">+2</t>
    </r>
    <r>
      <rPr>
        <b val="true"/>
        <sz val="14"/>
        <color rgb="FF000000"/>
        <rFont val="WenQuanYi Zen Hei"/>
        <family val="2"/>
      </rPr>
      <t xml:space="preserve">次、</t>
    </r>
    <r>
      <rPr>
        <b val="true"/>
        <sz val="14"/>
        <color rgb="FF000000"/>
        <rFont val="HGPｺﾞｼｯｸM"/>
        <family val="0"/>
        <charset val="1"/>
      </rPr>
      <t xml:space="preserve">2023</t>
    </r>
    <r>
      <rPr>
        <b val="true"/>
        <sz val="14"/>
        <color rgb="FF000000"/>
        <rFont val="WenQuanYi Zen Hei"/>
        <family val="2"/>
      </rPr>
      <t xml:space="preserve">〜</t>
    </r>
    <r>
      <rPr>
        <b val="true"/>
        <sz val="14"/>
        <color rgb="FF000000"/>
        <rFont val="HGPｺﾞｼｯｸM"/>
        <family val="0"/>
        <charset val="1"/>
      </rPr>
      <t xml:space="preserve">2026</t>
    </r>
    <r>
      <rPr>
        <b val="true"/>
        <sz val="14"/>
        <color rgb="FF000000"/>
        <rFont val="WenQuanYi Zen Hei"/>
        <family val="2"/>
      </rPr>
      <t xml:space="preserve">年）</t>
    </r>
  </si>
  <si>
    <r>
      <rPr>
        <sz val="9"/>
        <color rgb="FF000000"/>
        <rFont val="WenQuanYi Zen Hei"/>
        <family val="2"/>
      </rPr>
      <t xml:space="preserve">黄色の背景＝その年の出雲出走メンバー。同じ距離は同順位。</t>
    </r>
    <r>
      <rPr>
        <sz val="9"/>
        <color rgb="FF000000"/>
        <rFont val="HGPｺﾞｼｯｸM"/>
        <family val="0"/>
        <charset val="1"/>
      </rPr>
      <t xml:space="preserve">1</t>
    </r>
    <r>
      <rPr>
        <sz val="9"/>
        <color rgb="FF000000"/>
        <rFont val="WenQuanYi Zen Hei"/>
        <family val="2"/>
      </rPr>
      <t xml:space="preserve">日あたり＝距離</t>
    </r>
    <r>
      <rPr>
        <sz val="9"/>
        <color rgb="FF000000"/>
        <rFont val="HGPｺﾞｼｯｸM"/>
        <family val="0"/>
        <charset val="1"/>
      </rPr>
      <t xml:space="preserve">÷</t>
    </r>
    <r>
      <rPr>
        <sz val="9"/>
        <color rgb="FF000000"/>
        <rFont val="WenQuanYi Zen Hei"/>
        <family val="2"/>
      </rPr>
      <t xml:space="preserve">合宿日数（</t>
    </r>
    <r>
      <rPr>
        <sz val="9"/>
        <color rgb="FF000000"/>
        <rFont val="HGPｺﾞｼｯｸM"/>
        <family val="0"/>
        <charset val="1"/>
      </rPr>
      <t xml:space="preserve">1</t>
    </r>
    <r>
      <rPr>
        <sz val="9"/>
        <color rgb="FF000000"/>
        <rFont val="WenQuanYi Zen Hei"/>
        <family val="2"/>
      </rPr>
      <t xml:space="preserve">次：</t>
    </r>
    <r>
      <rPr>
        <sz val="9"/>
        <color rgb="FF000000"/>
        <rFont val="HGPｺﾞｼｯｸM"/>
        <family val="0"/>
        <charset val="1"/>
      </rPr>
      <t xml:space="preserve">2023</t>
    </r>
    <r>
      <rPr>
        <sz val="9"/>
        <color rgb="FF000000"/>
        <rFont val="WenQuanYi Zen Hei"/>
        <family val="2"/>
      </rPr>
      <t xml:space="preserve">年</t>
    </r>
    <r>
      <rPr>
        <sz val="9"/>
        <color rgb="FF000000"/>
        <rFont val="HGPｺﾞｼｯｸM"/>
        <family val="0"/>
        <charset val="1"/>
      </rPr>
      <t xml:space="preserve">22</t>
    </r>
    <r>
      <rPr>
        <sz val="9"/>
        <color rgb="FF000000"/>
        <rFont val="WenQuanYi Zen Hei"/>
        <family val="2"/>
      </rPr>
      <t xml:space="preserve">日、</t>
    </r>
    <r>
      <rPr>
        <sz val="9"/>
        <color rgb="FF000000"/>
        <rFont val="HGPｺﾞｼｯｸM"/>
        <family val="0"/>
        <charset val="1"/>
      </rPr>
      <t xml:space="preserve">2024</t>
    </r>
    <r>
      <rPr>
        <sz val="9"/>
        <color rgb="FF000000"/>
        <rFont val="WenQuanYi Zen Hei"/>
        <family val="2"/>
      </rPr>
      <t xml:space="preserve">・</t>
    </r>
    <r>
      <rPr>
        <sz val="9"/>
        <color rgb="FF000000"/>
        <rFont val="HGPｺﾞｼｯｸM"/>
        <family val="0"/>
        <charset val="1"/>
      </rPr>
      <t xml:space="preserve">2025</t>
    </r>
    <r>
      <rPr>
        <sz val="9"/>
        <color rgb="FF000000"/>
        <rFont val="WenQuanYi Zen Hei"/>
        <family val="2"/>
      </rPr>
      <t xml:space="preserve">年</t>
    </r>
    <r>
      <rPr>
        <sz val="9"/>
        <color rgb="FF000000"/>
        <rFont val="HGPｺﾞｼｯｸM"/>
        <family val="0"/>
        <charset val="1"/>
      </rPr>
      <t xml:space="preserve">19</t>
    </r>
    <r>
      <rPr>
        <sz val="9"/>
        <color rgb="FF000000"/>
        <rFont val="WenQuanYi Zen Hei"/>
        <family val="2"/>
      </rPr>
      <t xml:space="preserve">日、</t>
    </r>
    <r>
      <rPr>
        <sz val="9"/>
        <color rgb="FF000000"/>
        <rFont val="HGPｺﾞｼｯｸM"/>
        <family val="0"/>
        <charset val="1"/>
      </rPr>
      <t xml:space="preserve">2026</t>
    </r>
    <r>
      <rPr>
        <sz val="9"/>
        <color rgb="FF000000"/>
        <rFont val="WenQuanYi Zen Hei"/>
        <family val="2"/>
      </rPr>
      <t xml:space="preserve">年</t>
    </r>
    <r>
      <rPr>
        <sz val="9"/>
        <color rgb="FF000000"/>
        <rFont val="HGPｺﾞｼｯｸM"/>
        <family val="0"/>
        <charset val="1"/>
      </rPr>
      <t xml:space="preserve">18</t>
    </r>
    <r>
      <rPr>
        <sz val="9"/>
        <color rgb="FF000000"/>
        <rFont val="WenQuanYi Zen Hei"/>
        <family val="2"/>
      </rPr>
      <t xml:space="preserve">日／</t>
    </r>
    <r>
      <rPr>
        <sz val="9"/>
        <color rgb="FF000000"/>
        <rFont val="HGPｺﾞｼｯｸM"/>
        <family val="0"/>
        <charset val="1"/>
      </rPr>
      <t xml:space="preserve">2</t>
    </r>
    <r>
      <rPr>
        <sz val="9"/>
        <color rgb="FF000000"/>
        <rFont val="WenQuanYi Zen Hei"/>
        <family val="2"/>
      </rPr>
      <t xml:space="preserve">次：各年</t>
    </r>
    <r>
      <rPr>
        <sz val="9"/>
        <color rgb="FF000000"/>
        <rFont val="HGPｺﾞｼｯｸM"/>
        <family val="0"/>
        <charset val="1"/>
      </rPr>
      <t xml:space="preserve">10</t>
    </r>
    <r>
      <rPr>
        <sz val="9"/>
        <color rgb="FF000000"/>
        <rFont val="WenQuanYi Zen Hei"/>
        <family val="2"/>
      </rPr>
      <t xml:space="preserve">日、</t>
    </r>
    <r>
      <rPr>
        <sz val="9"/>
        <color rgb="FF000000"/>
        <rFont val="HGPｺﾞｼｯｸM"/>
        <family val="0"/>
        <charset val="1"/>
      </rPr>
      <t xml:space="preserve">2026</t>
    </r>
    <r>
      <rPr>
        <sz val="9"/>
        <color rgb="FF000000"/>
        <rFont val="WenQuanYi Zen Hei"/>
        <family val="2"/>
      </rPr>
      <t xml:space="preserve">年チャレンジ組のみ</t>
    </r>
    <r>
      <rPr>
        <sz val="9"/>
        <color rgb="FF000000"/>
        <rFont val="HGPｺﾞｼｯｸM"/>
        <family val="0"/>
        <charset val="1"/>
      </rPr>
      <t xml:space="preserve">12</t>
    </r>
    <r>
      <rPr>
        <sz val="9"/>
        <color rgb="FF000000"/>
        <rFont val="WenQuanYi Zen Hei"/>
        <family val="2"/>
      </rPr>
      <t xml:space="preserve">日）。※＝</t>
    </r>
    <r>
      <rPr>
        <sz val="9"/>
        <color rgb="FF000000"/>
        <rFont val="HGPｺﾞｼｯｸM"/>
        <family val="0"/>
        <charset val="1"/>
      </rPr>
      <t xml:space="preserve">2</t>
    </r>
    <r>
      <rPr>
        <sz val="9"/>
        <color rgb="FF000000"/>
        <rFont val="WenQuanYi Zen Hei"/>
        <family val="2"/>
      </rPr>
      <t xml:space="preserve">次合宿の記録なし（</t>
    </r>
    <r>
      <rPr>
        <sz val="9"/>
        <color rgb="FF000000"/>
        <rFont val="HGPｺﾞｼｯｸM"/>
        <family val="0"/>
        <charset val="1"/>
      </rPr>
      <t xml:space="preserve">1</t>
    </r>
    <r>
      <rPr>
        <sz val="9"/>
        <color rgb="FF000000"/>
        <rFont val="WenQuanYi Zen Hei"/>
        <family val="2"/>
      </rPr>
      <t xml:space="preserve">次のみで合計）。</t>
    </r>
    <r>
      <rPr>
        <sz val="9"/>
        <color rgb="FF000000"/>
        <rFont val="HGPｺﾞｼｯｸM"/>
        <family val="0"/>
        <charset val="1"/>
      </rPr>
      <t xml:space="preserve">2026</t>
    </r>
    <r>
      <rPr>
        <sz val="9"/>
        <color rgb="FF000000"/>
        <rFont val="WenQuanYi Zen Hei"/>
        <family val="2"/>
      </rPr>
      <t xml:space="preserve">年の女子選手（芦田・池野）は除く。出典：各年の走行距離ランキング</t>
    </r>
  </si>
  <si>
    <r>
      <rPr>
        <b val="true"/>
        <sz val="11"/>
        <color rgb="FF000000"/>
        <rFont val="HGPｺﾞｼｯｸM"/>
        <family val="0"/>
        <charset val="1"/>
      </rPr>
      <t xml:space="preserve">2023</t>
    </r>
    <r>
      <rPr>
        <b val="true"/>
        <sz val="11"/>
        <color rgb="FF000000"/>
        <rFont val="WenQuanYi Zen Hei"/>
        <family val="2"/>
      </rPr>
      <t xml:space="preserve">年（出雲 総合</t>
    </r>
    <r>
      <rPr>
        <b val="true"/>
        <sz val="11"/>
        <color rgb="FF000000"/>
        <rFont val="HGPｺﾞｼｯｸM"/>
        <family val="0"/>
        <charset val="1"/>
      </rPr>
      <t xml:space="preserve">4</t>
    </r>
    <r>
      <rPr>
        <b val="true"/>
        <sz val="11"/>
        <color rgb="FF000000"/>
        <rFont val="WenQuanYi Zen Hei"/>
        <family val="2"/>
      </rPr>
      <t xml:space="preserve">位）　</t>
    </r>
    <r>
      <rPr>
        <b val="true"/>
        <sz val="11"/>
        <color rgb="FF000000"/>
        <rFont val="HGPｺﾞｼｯｸM"/>
        <family val="0"/>
        <charset val="1"/>
      </rPr>
      <t xml:space="preserve">1</t>
    </r>
    <r>
      <rPr>
        <b val="true"/>
        <sz val="11"/>
        <color rgb="FF000000"/>
        <rFont val="WenQuanYi Zen Hei"/>
        <family val="2"/>
      </rPr>
      <t xml:space="preserve">次合宿 </t>
    </r>
    <r>
      <rPr>
        <b val="true"/>
        <sz val="11"/>
        <color rgb="FF000000"/>
        <rFont val="HGPｺﾞｼｯｸM"/>
        <family val="0"/>
        <charset val="1"/>
      </rPr>
      <t xml:space="preserve">7/26</t>
    </r>
    <r>
      <rPr>
        <b val="true"/>
        <sz val="11"/>
        <color rgb="FF000000"/>
        <rFont val="WenQuanYi Zen Hei"/>
        <family val="2"/>
      </rPr>
      <t xml:space="preserve">〜</t>
    </r>
    <r>
      <rPr>
        <b val="true"/>
        <sz val="11"/>
        <color rgb="FF000000"/>
        <rFont val="HGPｺﾞｼｯｸM"/>
        <family val="0"/>
        <charset val="1"/>
      </rPr>
      <t xml:space="preserve">8/16</t>
    </r>
    <r>
      <rPr>
        <b val="true"/>
        <sz val="11"/>
        <color rgb="FF000000"/>
        <rFont val="WenQuanYi Zen Hei"/>
        <family val="2"/>
      </rPr>
      <t xml:space="preserve">（</t>
    </r>
    <r>
      <rPr>
        <b val="true"/>
        <sz val="11"/>
        <color rgb="FF000000"/>
        <rFont val="HGPｺﾞｼｯｸM"/>
        <family val="0"/>
        <charset val="1"/>
      </rPr>
      <t xml:space="preserve">22</t>
    </r>
    <r>
      <rPr>
        <b val="true"/>
        <sz val="11"/>
        <color rgb="FF000000"/>
        <rFont val="WenQuanYi Zen Hei"/>
        <family val="2"/>
      </rPr>
      <t xml:space="preserve">日）／</t>
    </r>
    <r>
      <rPr>
        <b val="true"/>
        <sz val="11"/>
        <color rgb="FF000000"/>
        <rFont val="HGPｺﾞｼｯｸM"/>
        <family val="0"/>
        <charset val="1"/>
      </rPr>
      <t xml:space="preserve">2</t>
    </r>
    <r>
      <rPr>
        <b val="true"/>
        <sz val="11"/>
        <color rgb="FF000000"/>
        <rFont val="WenQuanYi Zen Hei"/>
        <family val="2"/>
      </rPr>
      <t xml:space="preserve">次合宿 </t>
    </r>
    <r>
      <rPr>
        <b val="true"/>
        <sz val="11"/>
        <color rgb="FF000000"/>
        <rFont val="HGPｺﾞｼｯｸM"/>
        <family val="0"/>
        <charset val="1"/>
      </rPr>
      <t xml:space="preserve">8/25</t>
    </r>
    <r>
      <rPr>
        <b val="true"/>
        <sz val="11"/>
        <color rgb="FF000000"/>
        <rFont val="WenQuanYi Zen Hei"/>
        <family val="2"/>
      </rPr>
      <t xml:space="preserve">〜</t>
    </r>
    <r>
      <rPr>
        <b val="true"/>
        <sz val="11"/>
        <color rgb="FF000000"/>
        <rFont val="HGPｺﾞｼｯｸM"/>
        <family val="0"/>
        <charset val="1"/>
      </rPr>
      <t xml:space="preserve">9/3</t>
    </r>
  </si>
  <si>
    <r>
      <rPr>
        <b val="true"/>
        <sz val="10"/>
        <color rgb="FF000000"/>
        <rFont val="HGPｺﾞｼｯｸM"/>
        <family val="0"/>
        <charset val="1"/>
      </rPr>
      <t xml:space="preserve">1</t>
    </r>
    <r>
      <rPr>
        <b val="true"/>
        <sz val="10"/>
        <color rgb="FF000000"/>
        <rFont val="WenQuanYi Zen Hei"/>
        <family val="2"/>
      </rPr>
      <t xml:space="preserve">次合宿</t>
    </r>
  </si>
  <si>
    <t xml:space="preserve">km</t>
  </si>
  <si>
    <r>
      <rPr>
        <b val="true"/>
        <sz val="10"/>
        <color rgb="FF000000"/>
        <rFont val="HGPｺﾞｼｯｸM"/>
        <family val="0"/>
        <charset val="1"/>
      </rPr>
      <t xml:space="preserve">2</t>
    </r>
    <r>
      <rPr>
        <b val="true"/>
        <sz val="10"/>
        <color rgb="FF000000"/>
        <rFont val="WenQuanYi Zen Hei"/>
        <family val="2"/>
      </rPr>
      <t xml:space="preserve">次合宿</t>
    </r>
  </si>
  <si>
    <r>
      <rPr>
        <b val="true"/>
        <sz val="10"/>
        <color rgb="FF000000"/>
        <rFont val="HGPｺﾞｼｯｸM"/>
        <family val="0"/>
        <charset val="1"/>
      </rPr>
      <t xml:space="preserve">1</t>
    </r>
    <r>
      <rPr>
        <b val="true"/>
        <sz val="10"/>
        <color rgb="FF000000"/>
        <rFont val="WenQuanYi Zen Hei"/>
        <family val="2"/>
      </rPr>
      <t xml:space="preserve">次</t>
    </r>
    <r>
      <rPr>
        <b val="true"/>
        <sz val="10"/>
        <color rgb="FF000000"/>
        <rFont val="HGPｺﾞｼｯｸM"/>
        <family val="0"/>
        <charset val="1"/>
      </rPr>
      <t xml:space="preserve">+2</t>
    </r>
    <r>
      <rPr>
        <b val="true"/>
        <sz val="10"/>
        <color rgb="FF000000"/>
        <rFont val="WenQuanYi Zen Hei"/>
        <family val="2"/>
      </rPr>
      <t xml:space="preserve">次</t>
    </r>
  </si>
  <si>
    <t xml:space="preserve">白石光星※</t>
  </si>
  <si>
    <t xml:space="preserve">阿戶将太朗※</t>
  </si>
  <si>
    <t xml:space="preserve">白石優樹</t>
  </si>
  <si>
    <t xml:space="preserve">鈴木⻯太朗</t>
  </si>
  <si>
    <t xml:space="preserve">池田知史</t>
  </si>
  <si>
    <t xml:space="preserve">白石優樹※</t>
  </si>
  <si>
    <t xml:space="preserve">徳丸涼大</t>
  </si>
  <si>
    <t xml:space="preserve">鈴木⻯太朗※</t>
  </si>
  <si>
    <r>
      <rPr>
        <b val="true"/>
        <sz val="11"/>
        <color rgb="FF000000"/>
        <rFont val="HGPｺﾞｼｯｸM"/>
        <family val="0"/>
        <charset val="1"/>
      </rPr>
      <t xml:space="preserve">2024</t>
    </r>
    <r>
      <rPr>
        <b val="true"/>
        <sz val="11"/>
        <color rgb="FF000000"/>
        <rFont val="WenQuanYi Zen Hei"/>
        <family val="2"/>
      </rPr>
      <t xml:space="preserve">年（出雲 総合</t>
    </r>
    <r>
      <rPr>
        <b val="true"/>
        <sz val="11"/>
        <color rgb="FF000000"/>
        <rFont val="HGPｺﾞｼｯｸM"/>
        <family val="0"/>
        <charset val="1"/>
      </rPr>
      <t xml:space="preserve">3</t>
    </r>
    <r>
      <rPr>
        <b val="true"/>
        <sz val="11"/>
        <color rgb="FF000000"/>
        <rFont val="WenQuanYi Zen Hei"/>
        <family val="2"/>
      </rPr>
      <t xml:space="preserve">位）　</t>
    </r>
    <r>
      <rPr>
        <b val="true"/>
        <sz val="11"/>
        <color rgb="FF000000"/>
        <rFont val="HGPｺﾞｼｯｸM"/>
        <family val="0"/>
        <charset val="1"/>
      </rPr>
      <t xml:space="preserve">1</t>
    </r>
    <r>
      <rPr>
        <b val="true"/>
        <sz val="11"/>
        <color rgb="FF000000"/>
        <rFont val="WenQuanYi Zen Hei"/>
        <family val="2"/>
      </rPr>
      <t xml:space="preserve">次合宿 </t>
    </r>
    <r>
      <rPr>
        <b val="true"/>
        <sz val="11"/>
        <color rgb="FF000000"/>
        <rFont val="HGPｺﾞｼｯｸM"/>
        <family val="0"/>
        <charset val="1"/>
      </rPr>
      <t xml:space="preserve">8/1</t>
    </r>
    <r>
      <rPr>
        <b val="true"/>
        <sz val="11"/>
        <color rgb="FF000000"/>
        <rFont val="WenQuanYi Zen Hei"/>
        <family val="2"/>
      </rPr>
      <t xml:space="preserve">〜</t>
    </r>
    <r>
      <rPr>
        <b val="true"/>
        <sz val="11"/>
        <color rgb="FF000000"/>
        <rFont val="HGPｺﾞｼｯｸM"/>
        <family val="0"/>
        <charset val="1"/>
      </rPr>
      <t xml:space="preserve">8/19</t>
    </r>
    <r>
      <rPr>
        <b val="true"/>
        <sz val="11"/>
        <color rgb="FF000000"/>
        <rFont val="WenQuanYi Zen Hei"/>
        <family val="2"/>
      </rPr>
      <t xml:space="preserve">（</t>
    </r>
    <r>
      <rPr>
        <b val="true"/>
        <sz val="11"/>
        <color rgb="FF000000"/>
        <rFont val="HGPｺﾞｼｯｸM"/>
        <family val="0"/>
        <charset val="1"/>
      </rPr>
      <t xml:space="preserve">19</t>
    </r>
    <r>
      <rPr>
        <b val="true"/>
        <sz val="11"/>
        <color rgb="FF000000"/>
        <rFont val="WenQuanYi Zen Hei"/>
        <family val="2"/>
      </rPr>
      <t xml:space="preserve">日）／</t>
    </r>
    <r>
      <rPr>
        <b val="true"/>
        <sz val="11"/>
        <color rgb="FF000000"/>
        <rFont val="HGPｺﾞｼｯｸM"/>
        <family val="0"/>
        <charset val="1"/>
      </rPr>
      <t xml:space="preserve">2</t>
    </r>
    <r>
      <rPr>
        <b val="true"/>
        <sz val="11"/>
        <color rgb="FF000000"/>
        <rFont val="WenQuanYi Zen Hei"/>
        <family val="2"/>
      </rPr>
      <t xml:space="preserve">次合宿 </t>
    </r>
    <r>
      <rPr>
        <b val="true"/>
        <sz val="11"/>
        <color rgb="FF000000"/>
        <rFont val="HGPｺﾞｼｯｸM"/>
        <family val="0"/>
        <charset val="1"/>
      </rPr>
      <t xml:space="preserve">8/27</t>
    </r>
    <r>
      <rPr>
        <b val="true"/>
        <sz val="11"/>
        <color rgb="FF000000"/>
        <rFont val="WenQuanYi Zen Hei"/>
        <family val="2"/>
      </rPr>
      <t xml:space="preserve">〜</t>
    </r>
    <r>
      <rPr>
        <b val="true"/>
        <sz val="11"/>
        <color rgb="FF000000"/>
        <rFont val="HGPｺﾞｼｯｸM"/>
        <family val="0"/>
        <charset val="1"/>
      </rPr>
      <t xml:space="preserve">9/5</t>
    </r>
  </si>
  <si>
    <t xml:space="preserve">安島莉玖</t>
  </si>
  <si>
    <r>
      <rPr>
        <b val="true"/>
        <sz val="11"/>
        <color rgb="FF000000"/>
        <rFont val="HGPｺﾞｼｯｸM"/>
        <family val="0"/>
        <charset val="1"/>
      </rPr>
      <t xml:space="preserve">2025</t>
    </r>
    <r>
      <rPr>
        <b val="true"/>
        <sz val="11"/>
        <color rgb="FF000000"/>
        <rFont val="WenQuanYi Zen Hei"/>
        <family val="2"/>
      </rPr>
      <t xml:space="preserve">年（出雲 総合</t>
    </r>
    <r>
      <rPr>
        <b val="true"/>
        <sz val="11"/>
        <color rgb="FF000000"/>
        <rFont val="HGPｺﾞｼｯｸM"/>
        <family val="0"/>
        <charset val="1"/>
      </rPr>
      <t xml:space="preserve">7</t>
    </r>
    <r>
      <rPr>
        <b val="true"/>
        <sz val="11"/>
        <color rgb="FF000000"/>
        <rFont val="WenQuanYi Zen Hei"/>
        <family val="2"/>
      </rPr>
      <t xml:space="preserve">位）　</t>
    </r>
    <r>
      <rPr>
        <b val="true"/>
        <sz val="11"/>
        <color rgb="FF000000"/>
        <rFont val="HGPｺﾞｼｯｸM"/>
        <family val="0"/>
        <charset val="1"/>
      </rPr>
      <t xml:space="preserve">1</t>
    </r>
    <r>
      <rPr>
        <b val="true"/>
        <sz val="11"/>
        <color rgb="FF000000"/>
        <rFont val="WenQuanYi Zen Hei"/>
        <family val="2"/>
      </rPr>
      <t xml:space="preserve">次合宿 </t>
    </r>
    <r>
      <rPr>
        <b val="true"/>
        <sz val="11"/>
        <color rgb="FF000000"/>
        <rFont val="HGPｺﾞｼｯｸM"/>
        <family val="0"/>
        <charset val="1"/>
      </rPr>
      <t xml:space="preserve">8/1</t>
    </r>
    <r>
      <rPr>
        <b val="true"/>
        <sz val="11"/>
        <color rgb="FF000000"/>
        <rFont val="WenQuanYi Zen Hei"/>
        <family val="2"/>
      </rPr>
      <t xml:space="preserve">〜</t>
    </r>
    <r>
      <rPr>
        <b val="true"/>
        <sz val="11"/>
        <color rgb="FF000000"/>
        <rFont val="HGPｺﾞｼｯｸM"/>
        <family val="0"/>
        <charset val="1"/>
      </rPr>
      <t xml:space="preserve">8/19</t>
    </r>
    <r>
      <rPr>
        <b val="true"/>
        <sz val="11"/>
        <color rgb="FF000000"/>
        <rFont val="WenQuanYi Zen Hei"/>
        <family val="2"/>
      </rPr>
      <t xml:space="preserve">（</t>
    </r>
    <r>
      <rPr>
        <b val="true"/>
        <sz val="11"/>
        <color rgb="FF000000"/>
        <rFont val="HGPｺﾞｼｯｸM"/>
        <family val="0"/>
        <charset val="1"/>
      </rPr>
      <t xml:space="preserve">19</t>
    </r>
    <r>
      <rPr>
        <b val="true"/>
        <sz val="11"/>
        <color rgb="FF000000"/>
        <rFont val="WenQuanYi Zen Hei"/>
        <family val="2"/>
      </rPr>
      <t xml:space="preserve">日）／</t>
    </r>
    <r>
      <rPr>
        <b val="true"/>
        <sz val="11"/>
        <color rgb="FF000000"/>
        <rFont val="HGPｺﾞｼｯｸM"/>
        <family val="0"/>
        <charset val="1"/>
      </rPr>
      <t xml:space="preserve">2</t>
    </r>
    <r>
      <rPr>
        <b val="true"/>
        <sz val="11"/>
        <color rgb="FF000000"/>
        <rFont val="WenQuanYi Zen Hei"/>
        <family val="2"/>
      </rPr>
      <t xml:space="preserve">次合宿 </t>
    </r>
    <r>
      <rPr>
        <b val="true"/>
        <sz val="11"/>
        <color rgb="FF000000"/>
        <rFont val="HGPｺﾞｼｯｸM"/>
        <family val="0"/>
        <charset val="1"/>
      </rPr>
      <t xml:space="preserve">8/26</t>
    </r>
    <r>
      <rPr>
        <b val="true"/>
        <sz val="11"/>
        <color rgb="FF000000"/>
        <rFont val="WenQuanYi Zen Hei"/>
        <family val="2"/>
      </rPr>
      <t xml:space="preserve">〜</t>
    </r>
    <r>
      <rPr>
        <b val="true"/>
        <sz val="11"/>
        <color rgb="FF000000"/>
        <rFont val="HGPｺﾞｼｯｸM"/>
        <family val="0"/>
        <charset val="1"/>
      </rPr>
      <t xml:space="preserve">9/4</t>
    </r>
  </si>
  <si>
    <t xml:space="preserve">本宮優心</t>
  </si>
  <si>
    <r>
      <rPr>
        <b val="true"/>
        <sz val="11"/>
        <color rgb="FF000000"/>
        <rFont val="HGPｺﾞｼｯｸM"/>
        <family val="0"/>
        <charset val="1"/>
      </rPr>
      <t xml:space="preserve">2026</t>
    </r>
    <r>
      <rPr>
        <b val="true"/>
        <sz val="11"/>
        <color rgb="FF000000"/>
        <rFont val="WenQuanYi Zen Hei"/>
        <family val="2"/>
      </rPr>
      <t xml:space="preserve">年（出雲 総合</t>
    </r>
    <r>
      <rPr>
        <b val="true"/>
        <sz val="11"/>
        <color rgb="FF000000"/>
        <rFont val="HGPｺﾞｼｯｸM"/>
        <family val="0"/>
        <charset val="1"/>
      </rPr>
      <t xml:space="preserve">11</t>
    </r>
    <r>
      <rPr>
        <b val="true"/>
        <sz val="11"/>
        <color rgb="FF000000"/>
        <rFont val="WenQuanYi Zen Hei"/>
        <family val="2"/>
      </rPr>
      <t xml:space="preserve">位）　</t>
    </r>
    <r>
      <rPr>
        <b val="true"/>
        <sz val="11"/>
        <color rgb="FF000000"/>
        <rFont val="HGPｺﾞｼｯｸM"/>
        <family val="0"/>
        <charset val="1"/>
      </rPr>
      <t xml:space="preserve">1</t>
    </r>
    <r>
      <rPr>
        <b val="true"/>
        <sz val="11"/>
        <color rgb="FF000000"/>
        <rFont val="WenQuanYi Zen Hei"/>
        <family val="2"/>
      </rPr>
      <t xml:space="preserve">次合宿 </t>
    </r>
    <r>
      <rPr>
        <b val="true"/>
        <sz val="11"/>
        <color rgb="FF000000"/>
        <rFont val="HGPｺﾞｼｯｸM"/>
        <family val="0"/>
        <charset val="1"/>
      </rPr>
      <t xml:space="preserve">8/2</t>
    </r>
    <r>
      <rPr>
        <b val="true"/>
        <sz val="11"/>
        <color rgb="FF000000"/>
        <rFont val="WenQuanYi Zen Hei"/>
        <family val="2"/>
      </rPr>
      <t xml:space="preserve">〜</t>
    </r>
    <r>
      <rPr>
        <b val="true"/>
        <sz val="11"/>
        <color rgb="FF000000"/>
        <rFont val="HGPｺﾞｼｯｸM"/>
        <family val="0"/>
        <charset val="1"/>
      </rPr>
      <t xml:space="preserve">8/19</t>
    </r>
    <r>
      <rPr>
        <b val="true"/>
        <sz val="11"/>
        <color rgb="FF000000"/>
        <rFont val="WenQuanYi Zen Hei"/>
        <family val="2"/>
      </rPr>
      <t xml:space="preserve">（</t>
    </r>
    <r>
      <rPr>
        <b val="true"/>
        <sz val="11"/>
        <color rgb="FF000000"/>
        <rFont val="HGPｺﾞｼｯｸM"/>
        <family val="0"/>
        <charset val="1"/>
      </rPr>
      <t xml:space="preserve">18</t>
    </r>
    <r>
      <rPr>
        <b val="true"/>
        <sz val="11"/>
        <color rgb="FF000000"/>
        <rFont val="WenQuanYi Zen Hei"/>
        <family val="2"/>
      </rPr>
      <t xml:space="preserve">日）／</t>
    </r>
    <r>
      <rPr>
        <b val="true"/>
        <sz val="11"/>
        <color rgb="FF000000"/>
        <rFont val="HGPｺﾞｼｯｸM"/>
        <family val="0"/>
        <charset val="1"/>
      </rPr>
      <t xml:space="preserve">2</t>
    </r>
    <r>
      <rPr>
        <b val="true"/>
        <sz val="11"/>
        <color rgb="FF000000"/>
        <rFont val="WenQuanYi Zen Hei"/>
        <family val="2"/>
      </rPr>
      <t xml:space="preserve">次合宿 選抜</t>
    </r>
    <r>
      <rPr>
        <b val="true"/>
        <sz val="11"/>
        <color rgb="FF000000"/>
        <rFont val="HGPｺﾞｼｯｸM"/>
        <family val="0"/>
        <charset val="1"/>
      </rPr>
      <t xml:space="preserve">8/27</t>
    </r>
    <r>
      <rPr>
        <b val="true"/>
        <sz val="11"/>
        <color rgb="FF000000"/>
        <rFont val="WenQuanYi Zen Hei"/>
        <family val="2"/>
      </rPr>
      <t xml:space="preserve">〜</t>
    </r>
    <r>
      <rPr>
        <b val="true"/>
        <sz val="11"/>
        <color rgb="FF000000"/>
        <rFont val="HGPｺﾞｼｯｸM"/>
        <family val="0"/>
        <charset val="1"/>
      </rPr>
      <t xml:space="preserve">9/5</t>
    </r>
    <r>
      <rPr>
        <b val="true"/>
        <sz val="11"/>
        <color rgb="FF000000"/>
        <rFont val="WenQuanYi Zen Hei"/>
        <family val="2"/>
      </rPr>
      <t xml:space="preserve">・チャレンジ</t>
    </r>
    <r>
      <rPr>
        <b val="true"/>
        <sz val="11"/>
        <color rgb="FF000000"/>
        <rFont val="HGPｺﾞｼｯｸM"/>
        <family val="0"/>
        <charset val="1"/>
      </rPr>
      <t xml:space="preserve">8/26</t>
    </r>
    <r>
      <rPr>
        <b val="true"/>
        <sz val="11"/>
        <color rgb="FF000000"/>
        <rFont val="WenQuanYi Zen Hei"/>
        <family val="2"/>
      </rPr>
      <t xml:space="preserve">〜</t>
    </r>
    <r>
      <rPr>
        <b val="true"/>
        <sz val="11"/>
        <color rgb="FF000000"/>
        <rFont val="HGPｺﾞｼｯｸM"/>
        <family val="0"/>
        <charset val="1"/>
      </rPr>
      <t xml:space="preserve">9/6</t>
    </r>
  </si>
  <si>
    <t xml:space="preserve">栗林凛太朗</t>
  </si>
  <si>
    <t xml:space="preserve">寺内頼</t>
  </si>
  <si>
    <t xml:space="preserve">チーム平均の走行距離の推移（夏合宿・月間）</t>
  </si>
  <si>
    <r>
      <rPr>
        <sz val="9"/>
        <color rgb="FF000000"/>
        <rFont val="WenQuanYi Zen Hei"/>
        <family val="2"/>
      </rPr>
      <t xml:space="preserve">合宿のチーム平均・選抜組／チャレンジ組平均と月間のチーム平均は、元資料に記載の値（出典：各年の走行距離ランキング、月間走行距離</t>
    </r>
    <r>
      <rPr>
        <sz val="9"/>
        <color rgb="FF000000"/>
        <rFont val="HGPｺﾞｼｯｸM"/>
        <family val="0"/>
        <charset val="1"/>
      </rPr>
      <t xml:space="preserve">Excel</t>
    </r>
    <r>
      <rPr>
        <sz val="9"/>
        <color rgb="FF000000"/>
        <rFont val="WenQuanYi Zen Hei"/>
        <family val="2"/>
      </rPr>
      <t xml:space="preserve">）。上位</t>
    </r>
    <r>
      <rPr>
        <sz val="9"/>
        <color rgb="FF000000"/>
        <rFont val="HGPｺﾞｼｯｸM"/>
        <family val="0"/>
        <charset val="1"/>
      </rPr>
      <t xml:space="preserve">35</t>
    </r>
    <r>
      <rPr>
        <sz val="9"/>
        <color rgb="FF000000"/>
        <rFont val="WenQuanYi Zen Hei"/>
        <family val="2"/>
      </rPr>
      <t xml:space="preserve">人平均は全部員の選手別データから算出（</t>
    </r>
    <r>
      <rPr>
        <sz val="9"/>
        <color rgb="FF000000"/>
        <rFont val="HGPｺﾞｼｯｸM"/>
        <family val="0"/>
        <charset val="1"/>
      </rPr>
      <t xml:space="preserve">2026</t>
    </r>
    <r>
      <rPr>
        <sz val="9"/>
        <color rgb="FF000000"/>
        <rFont val="WenQuanYi Zen Hei"/>
        <family val="2"/>
      </rPr>
      <t xml:space="preserve">年は女子選手を除く）。</t>
    </r>
    <r>
      <rPr>
        <sz val="9"/>
        <color rgb="FF000000"/>
        <rFont val="HGPｺﾞｼｯｸM"/>
        <family val="0"/>
        <charset val="1"/>
      </rPr>
      <t xml:space="preserve">1</t>
    </r>
    <r>
      <rPr>
        <sz val="9"/>
        <color rgb="FF000000"/>
        <rFont val="WenQuanYi Zen Hei"/>
        <family val="2"/>
      </rPr>
      <t xml:space="preserve">日あたり＝距離</t>
    </r>
    <r>
      <rPr>
        <sz val="9"/>
        <color rgb="FF000000"/>
        <rFont val="HGPｺﾞｼｯｸM"/>
        <family val="0"/>
        <charset val="1"/>
      </rPr>
      <t xml:space="preserve">÷</t>
    </r>
    <r>
      <rPr>
        <sz val="9"/>
        <color rgb="FF000000"/>
        <rFont val="WenQuanYi Zen Hei"/>
        <family val="2"/>
      </rPr>
      <t xml:space="preserve">合宿日数</t>
    </r>
  </si>
  <si>
    <r>
      <rPr>
        <b val="true"/>
        <sz val="10"/>
        <color rgb="FF000000"/>
        <rFont val="HGPｺﾞｼｯｸM"/>
        <family val="0"/>
        <charset val="1"/>
      </rPr>
      <t xml:space="preserve">1</t>
    </r>
    <r>
      <rPr>
        <b val="true"/>
        <sz val="10"/>
        <color rgb="FF000000"/>
        <rFont val="WenQuanYi Zen Hei"/>
        <family val="2"/>
      </rPr>
      <t xml:space="preserve">次合宿
期間</t>
    </r>
  </si>
  <si>
    <r>
      <rPr>
        <b val="true"/>
        <sz val="10"/>
        <color rgb="FF000000"/>
        <rFont val="HGPｺﾞｼｯｸM"/>
        <family val="0"/>
        <charset val="1"/>
      </rPr>
      <t xml:space="preserve">1</t>
    </r>
    <r>
      <rPr>
        <b val="true"/>
        <sz val="10"/>
        <color rgb="FF000000"/>
        <rFont val="WenQuanYi Zen Hei"/>
        <family val="2"/>
      </rPr>
      <t xml:space="preserve">次
チーム平均
</t>
    </r>
    <r>
      <rPr>
        <b val="true"/>
        <sz val="10"/>
        <color rgb="FF000000"/>
        <rFont val="HGPｺﾞｼｯｸM"/>
        <family val="0"/>
        <charset val="1"/>
      </rPr>
      <t xml:space="preserve">(km)</t>
    </r>
  </si>
  <si>
    <r>
      <rPr>
        <b val="true"/>
        <sz val="10"/>
        <color rgb="FF000000"/>
        <rFont val="HGPｺﾞｼｯｸM"/>
        <family val="0"/>
        <charset val="1"/>
      </rPr>
      <t xml:space="preserve">1</t>
    </r>
    <r>
      <rPr>
        <b val="true"/>
        <sz val="10"/>
        <color rgb="FF000000"/>
        <rFont val="WenQuanYi Zen Hei"/>
        <family val="2"/>
      </rPr>
      <t xml:space="preserve">次
チーム平均
</t>
    </r>
    <r>
      <rPr>
        <b val="true"/>
        <sz val="10"/>
        <color rgb="FF000000"/>
        <rFont val="HGPｺﾞｼｯｸM"/>
        <family val="0"/>
        <charset val="1"/>
      </rPr>
      <t xml:space="preserve">1</t>
    </r>
    <r>
      <rPr>
        <b val="true"/>
        <sz val="10"/>
        <color rgb="FF000000"/>
        <rFont val="WenQuanYi Zen Hei"/>
        <family val="2"/>
      </rPr>
      <t xml:space="preserve">日あたり</t>
    </r>
  </si>
  <si>
    <r>
      <rPr>
        <b val="true"/>
        <sz val="10"/>
        <color rgb="FF000000"/>
        <rFont val="HGPｺﾞｼｯｸM"/>
        <family val="0"/>
        <charset val="1"/>
      </rPr>
      <t xml:space="preserve">1</t>
    </r>
    <r>
      <rPr>
        <b val="true"/>
        <sz val="10"/>
        <color rgb="FF000000"/>
        <rFont val="WenQuanYi Zen Hei"/>
        <family val="2"/>
      </rPr>
      <t xml:space="preserve">次
上位</t>
    </r>
    <r>
      <rPr>
        <b val="true"/>
        <sz val="10"/>
        <color rgb="FF000000"/>
        <rFont val="HGPｺﾞｼｯｸM"/>
        <family val="0"/>
        <charset val="1"/>
      </rPr>
      <t xml:space="preserve">35</t>
    </r>
    <r>
      <rPr>
        <b val="true"/>
        <sz val="10"/>
        <color rgb="FF000000"/>
        <rFont val="WenQuanYi Zen Hei"/>
        <family val="2"/>
      </rPr>
      <t xml:space="preserve">人
</t>
    </r>
    <r>
      <rPr>
        <b val="true"/>
        <sz val="10"/>
        <color rgb="FF000000"/>
        <rFont val="HGPｺﾞｼｯｸM"/>
        <family val="0"/>
        <charset val="1"/>
      </rPr>
      <t xml:space="preserve">1</t>
    </r>
    <r>
      <rPr>
        <b val="true"/>
        <sz val="10"/>
        <color rgb="FF000000"/>
        <rFont val="WenQuanYi Zen Hei"/>
        <family val="2"/>
      </rPr>
      <t xml:space="preserve">日あたり</t>
    </r>
  </si>
  <si>
    <r>
      <rPr>
        <b val="true"/>
        <sz val="10"/>
        <color rgb="FF000000"/>
        <rFont val="HGPｺﾞｼｯｸM"/>
        <family val="0"/>
        <charset val="1"/>
      </rPr>
      <t xml:space="preserve">1</t>
    </r>
    <r>
      <rPr>
        <b val="true"/>
        <sz val="10"/>
        <color rgb="FF000000"/>
        <rFont val="WenQuanYi Zen Hei"/>
        <family val="2"/>
      </rPr>
      <t xml:space="preserve">次
出雲メンバー
</t>
    </r>
    <r>
      <rPr>
        <b val="true"/>
        <sz val="10"/>
        <color rgb="FF000000"/>
        <rFont val="HGPｺﾞｼｯｸM"/>
        <family val="0"/>
        <charset val="1"/>
      </rPr>
      <t xml:space="preserve">1</t>
    </r>
    <r>
      <rPr>
        <b val="true"/>
        <sz val="10"/>
        <color rgb="FF000000"/>
        <rFont val="WenQuanYi Zen Hei"/>
        <family val="2"/>
      </rPr>
      <t xml:space="preserve">日あたり</t>
    </r>
  </si>
  <si>
    <r>
      <rPr>
        <b val="true"/>
        <sz val="10"/>
        <color rgb="FF000000"/>
        <rFont val="WenQuanYi Zen Hei"/>
        <family val="2"/>
      </rPr>
      <t xml:space="preserve">メンバーの
チーム比
</t>
    </r>
    <r>
      <rPr>
        <b val="true"/>
        <sz val="10"/>
        <color rgb="FF000000"/>
        <rFont val="HGPｺﾞｼｯｸM"/>
        <family val="0"/>
        <charset val="1"/>
      </rPr>
      <t xml:space="preserve">(1</t>
    </r>
    <r>
      <rPr>
        <b val="true"/>
        <sz val="10"/>
        <color rgb="FF000000"/>
        <rFont val="WenQuanYi Zen Hei"/>
        <family val="2"/>
      </rPr>
      <t xml:space="preserve">日あたり</t>
    </r>
    <r>
      <rPr>
        <b val="true"/>
        <sz val="10"/>
        <color rgb="FF000000"/>
        <rFont val="HGPｺﾞｼｯｸM"/>
        <family val="0"/>
        <charset val="1"/>
      </rPr>
      <t xml:space="preserve">)</t>
    </r>
  </si>
  <si>
    <r>
      <rPr>
        <b val="true"/>
        <sz val="10"/>
        <color rgb="FF000000"/>
        <rFont val="HGPｺﾞｼｯｸM"/>
        <family val="0"/>
        <charset val="1"/>
      </rPr>
      <t xml:space="preserve">2</t>
    </r>
    <r>
      <rPr>
        <b val="true"/>
        <sz val="10"/>
        <color rgb="FF000000"/>
        <rFont val="WenQuanYi Zen Hei"/>
        <family val="2"/>
      </rPr>
      <t xml:space="preserve">次
チーム全体
平均</t>
    </r>
    <r>
      <rPr>
        <b val="true"/>
        <sz val="10"/>
        <color rgb="FF000000"/>
        <rFont val="HGPｺﾞｼｯｸM"/>
        <family val="0"/>
        <charset val="1"/>
      </rPr>
      <t xml:space="preserve">(km)</t>
    </r>
  </si>
  <si>
    <r>
      <rPr>
        <b val="true"/>
        <sz val="10"/>
        <color rgb="FF000000"/>
        <rFont val="HGPｺﾞｼｯｸM"/>
        <family val="0"/>
        <charset val="1"/>
      </rPr>
      <t xml:space="preserve">2</t>
    </r>
    <r>
      <rPr>
        <b val="true"/>
        <sz val="10"/>
        <color rgb="FF000000"/>
        <rFont val="WenQuanYi Zen Hei"/>
        <family val="2"/>
      </rPr>
      <t xml:space="preserve">次
選抜組
平均</t>
    </r>
    <r>
      <rPr>
        <b val="true"/>
        <sz val="10"/>
        <color rgb="FF000000"/>
        <rFont val="HGPｺﾞｼｯｸM"/>
        <family val="0"/>
        <charset val="1"/>
      </rPr>
      <t xml:space="preserve">(km)</t>
    </r>
  </si>
  <si>
    <r>
      <rPr>
        <b val="true"/>
        <sz val="10"/>
        <color rgb="FF000000"/>
        <rFont val="HGPｺﾞｼｯｸM"/>
        <family val="0"/>
        <charset val="1"/>
      </rPr>
      <t xml:space="preserve">2</t>
    </r>
    <r>
      <rPr>
        <b val="true"/>
        <sz val="10"/>
        <color rgb="FF000000"/>
        <rFont val="WenQuanYi Zen Hei"/>
        <family val="2"/>
      </rPr>
      <t xml:space="preserve">次
チャレンジ組
平均</t>
    </r>
    <r>
      <rPr>
        <b val="true"/>
        <sz val="10"/>
        <color rgb="FF000000"/>
        <rFont val="HGPｺﾞｼｯｸM"/>
        <family val="0"/>
        <charset val="1"/>
      </rPr>
      <t xml:space="preserve">(km)</t>
    </r>
  </si>
  <si>
    <r>
      <rPr>
        <sz val="10"/>
        <color rgb="FF000000"/>
        <rFont val="HGPｺﾞｼｯｸM"/>
        <family val="0"/>
        <charset val="1"/>
      </rPr>
      <t xml:space="preserve">7/26</t>
    </r>
    <r>
      <rPr>
        <sz val="10"/>
        <color rgb="FF000000"/>
        <rFont val="WenQuanYi Zen Hei"/>
        <family val="2"/>
      </rPr>
      <t xml:space="preserve">〜</t>
    </r>
    <r>
      <rPr>
        <sz val="10"/>
        <color rgb="FF000000"/>
        <rFont val="HGPｺﾞｼｯｸM"/>
        <family val="0"/>
        <charset val="1"/>
      </rPr>
      <t xml:space="preserve">8/16</t>
    </r>
  </si>
  <si>
    <r>
      <rPr>
        <sz val="10"/>
        <color rgb="FF000000"/>
        <rFont val="HGPｺﾞｼｯｸM"/>
        <family val="0"/>
        <charset val="1"/>
      </rPr>
      <t xml:space="preserve">8/1</t>
    </r>
    <r>
      <rPr>
        <sz val="10"/>
        <color rgb="FF000000"/>
        <rFont val="WenQuanYi Zen Hei"/>
        <family val="2"/>
      </rPr>
      <t xml:space="preserve">〜</t>
    </r>
    <r>
      <rPr>
        <sz val="10"/>
        <color rgb="FF000000"/>
        <rFont val="HGPｺﾞｼｯｸM"/>
        <family val="0"/>
        <charset val="1"/>
      </rPr>
      <t xml:space="preserve">8/19</t>
    </r>
  </si>
  <si>
    <r>
      <rPr>
        <sz val="10"/>
        <color rgb="FF000000"/>
        <rFont val="HGPｺﾞｼｯｸM"/>
        <family val="0"/>
        <charset val="1"/>
      </rPr>
      <t xml:space="preserve">8/2</t>
    </r>
    <r>
      <rPr>
        <sz val="10"/>
        <color rgb="FF000000"/>
        <rFont val="WenQuanYi Zen Hei"/>
        <family val="2"/>
      </rPr>
      <t xml:space="preserve">〜</t>
    </r>
    <r>
      <rPr>
        <sz val="10"/>
        <color rgb="FF000000"/>
        <rFont val="HGPｺﾞｼｯｸM"/>
        <family val="0"/>
        <charset val="1"/>
      </rPr>
      <t xml:space="preserve">8/19</t>
    </r>
  </si>
  <si>
    <r>
      <rPr>
        <b val="true"/>
        <sz val="11"/>
        <color rgb="FF000000"/>
        <rFont val="WenQuanYi Zen Hei"/>
        <family val="2"/>
      </rPr>
      <t xml:space="preserve">月間走行距離のチーム平均（</t>
    </r>
    <r>
      <rPr>
        <b val="true"/>
        <sz val="11"/>
        <color rgb="FF000000"/>
        <rFont val="HGPｺﾞｼｯｸM"/>
        <family val="0"/>
        <charset val="1"/>
      </rPr>
      <t xml:space="preserve">km</t>
    </r>
    <r>
      <rPr>
        <b val="true"/>
        <sz val="11"/>
        <color rgb="FF000000"/>
        <rFont val="WenQuanYi Zen Hei"/>
        <family val="2"/>
      </rPr>
      <t xml:space="preserve">）</t>
    </r>
  </si>
  <si>
    <r>
      <rPr>
        <b val="true"/>
        <sz val="10"/>
        <color rgb="FF000000"/>
        <rFont val="HGPｺﾞｼｯｸM"/>
        <family val="0"/>
        <charset val="1"/>
      </rPr>
      <t xml:space="preserve">1</t>
    </r>
    <r>
      <rPr>
        <b val="true"/>
        <sz val="10"/>
        <color rgb="FF000000"/>
        <rFont val="WenQuanYi Zen Hei"/>
        <family val="2"/>
      </rPr>
      <t xml:space="preserve">月</t>
    </r>
  </si>
  <si>
    <r>
      <rPr>
        <b val="true"/>
        <sz val="10"/>
        <color rgb="FF000000"/>
        <rFont val="HGPｺﾞｼｯｸM"/>
        <family val="0"/>
        <charset val="1"/>
      </rPr>
      <t xml:space="preserve">2</t>
    </r>
    <r>
      <rPr>
        <b val="true"/>
        <sz val="10"/>
        <color rgb="FF000000"/>
        <rFont val="WenQuanYi Zen Hei"/>
        <family val="2"/>
      </rPr>
      <t xml:space="preserve">月</t>
    </r>
  </si>
  <si>
    <r>
      <rPr>
        <b val="true"/>
        <sz val="10"/>
        <color rgb="FF000000"/>
        <rFont val="HGPｺﾞｼｯｸM"/>
        <family val="0"/>
        <charset val="1"/>
      </rPr>
      <t xml:space="preserve">3</t>
    </r>
    <r>
      <rPr>
        <b val="true"/>
        <sz val="10"/>
        <color rgb="FF000000"/>
        <rFont val="WenQuanYi Zen Hei"/>
        <family val="2"/>
      </rPr>
      <t xml:space="preserve">月</t>
    </r>
  </si>
  <si>
    <r>
      <rPr>
        <b val="true"/>
        <sz val="10"/>
        <color rgb="FF000000"/>
        <rFont val="HGPｺﾞｼｯｸM"/>
        <family val="0"/>
        <charset val="1"/>
      </rPr>
      <t xml:space="preserve">4</t>
    </r>
    <r>
      <rPr>
        <b val="true"/>
        <sz val="10"/>
        <color rgb="FF000000"/>
        <rFont val="WenQuanYi Zen Hei"/>
        <family val="2"/>
      </rPr>
      <t xml:space="preserve">月</t>
    </r>
  </si>
  <si>
    <r>
      <rPr>
        <b val="true"/>
        <sz val="10"/>
        <color rgb="FF000000"/>
        <rFont val="HGPｺﾞｼｯｸM"/>
        <family val="0"/>
        <charset val="1"/>
      </rPr>
      <t xml:space="preserve">5</t>
    </r>
    <r>
      <rPr>
        <b val="true"/>
        <sz val="10"/>
        <color rgb="FF000000"/>
        <rFont val="WenQuanYi Zen Hei"/>
        <family val="2"/>
      </rPr>
      <t xml:space="preserve">月</t>
    </r>
  </si>
  <si>
    <r>
      <rPr>
        <b val="true"/>
        <sz val="10"/>
        <color rgb="FF000000"/>
        <rFont val="HGPｺﾞｼｯｸM"/>
        <family val="0"/>
        <charset val="1"/>
      </rPr>
      <t xml:space="preserve">6</t>
    </r>
    <r>
      <rPr>
        <b val="true"/>
        <sz val="10"/>
        <color rgb="FF000000"/>
        <rFont val="WenQuanYi Zen Hei"/>
        <family val="2"/>
      </rPr>
      <t xml:space="preserve">月</t>
    </r>
  </si>
  <si>
    <r>
      <rPr>
        <b val="true"/>
        <sz val="10"/>
        <color rgb="FF000000"/>
        <rFont val="HGPｺﾞｼｯｸM"/>
        <family val="0"/>
        <charset val="1"/>
      </rPr>
      <t xml:space="preserve">7</t>
    </r>
    <r>
      <rPr>
        <b val="true"/>
        <sz val="10"/>
        <color rgb="FF000000"/>
        <rFont val="WenQuanYi Zen Hei"/>
        <family val="2"/>
      </rPr>
      <t xml:space="preserve">月</t>
    </r>
  </si>
  <si>
    <r>
      <rPr>
        <b val="true"/>
        <sz val="10"/>
        <color rgb="FF000000"/>
        <rFont val="HGPｺﾞｼｯｸM"/>
        <family val="0"/>
        <charset val="1"/>
      </rPr>
      <t xml:space="preserve">8</t>
    </r>
    <r>
      <rPr>
        <b val="true"/>
        <sz val="10"/>
        <color rgb="FF000000"/>
        <rFont val="WenQuanYi Zen Hei"/>
        <family val="2"/>
      </rPr>
      <t xml:space="preserve">月</t>
    </r>
  </si>
  <si>
    <r>
      <rPr>
        <b val="true"/>
        <sz val="10"/>
        <color rgb="FF000000"/>
        <rFont val="HGPｺﾞｼｯｸM"/>
        <family val="0"/>
        <charset val="1"/>
      </rPr>
      <t xml:space="preserve">9</t>
    </r>
    <r>
      <rPr>
        <b val="true"/>
        <sz val="10"/>
        <color rgb="FF000000"/>
        <rFont val="WenQuanYi Zen Hei"/>
        <family val="2"/>
      </rPr>
      <t xml:space="preserve">月</t>
    </r>
  </si>
  <si>
    <r>
      <rPr>
        <b val="true"/>
        <sz val="10"/>
        <color rgb="FF000000"/>
        <rFont val="HGPｺﾞｼｯｸM"/>
        <family val="0"/>
        <charset val="1"/>
      </rPr>
      <t xml:space="preserve">10</t>
    </r>
    <r>
      <rPr>
        <b val="true"/>
        <sz val="10"/>
        <color rgb="FF000000"/>
        <rFont val="WenQuanYi Zen Hei"/>
        <family val="2"/>
      </rPr>
      <t xml:space="preserve">月</t>
    </r>
  </si>
  <si>
    <r>
      <rPr>
        <b val="true"/>
        <sz val="10"/>
        <color rgb="FF000000"/>
        <rFont val="HGPｺﾞｼｯｸM"/>
        <family val="0"/>
        <charset val="1"/>
      </rPr>
      <t xml:space="preserve">11</t>
    </r>
    <r>
      <rPr>
        <b val="true"/>
        <sz val="10"/>
        <color rgb="FF000000"/>
        <rFont val="WenQuanYi Zen Hei"/>
        <family val="2"/>
      </rPr>
      <t xml:space="preserve">月</t>
    </r>
  </si>
  <si>
    <r>
      <rPr>
        <b val="true"/>
        <sz val="10"/>
        <color rgb="FF000000"/>
        <rFont val="HGPｺﾞｼｯｸM"/>
        <family val="0"/>
        <charset val="1"/>
      </rPr>
      <t xml:space="preserve">12</t>
    </r>
    <r>
      <rPr>
        <b val="true"/>
        <sz val="10"/>
        <color rgb="FF000000"/>
        <rFont val="WenQuanYi Zen Hei"/>
        <family val="2"/>
      </rPr>
      <t xml:space="preserve">月</t>
    </r>
  </si>
  <si>
    <r>
      <rPr>
        <sz val="9"/>
        <color rgb="FF000000"/>
        <rFont val="HGPｺﾞｼｯｸM"/>
        <family val="0"/>
        <charset val="1"/>
      </rPr>
      <t xml:space="preserve">※2023</t>
    </r>
    <r>
      <rPr>
        <sz val="9"/>
        <color rgb="FF000000"/>
        <rFont val="WenQuanYi Zen Hei"/>
        <family val="2"/>
      </rPr>
      <t xml:space="preserve">年</t>
    </r>
    <r>
      <rPr>
        <sz val="9"/>
        <color rgb="FF000000"/>
        <rFont val="HGPｺﾞｼｯｸM"/>
        <family val="0"/>
        <charset val="1"/>
      </rPr>
      <t xml:space="preserve">12</t>
    </r>
    <r>
      <rPr>
        <sz val="9"/>
        <color rgb="FF000000"/>
        <rFont val="WenQuanYi Zen Hei"/>
        <family val="2"/>
      </rPr>
      <t xml:space="preserve">月、</t>
    </r>
    <r>
      <rPr>
        <sz val="9"/>
        <color rgb="FF000000"/>
        <rFont val="HGPｺﾞｼｯｸM"/>
        <family val="0"/>
        <charset val="1"/>
      </rPr>
      <t xml:space="preserve">2024</t>
    </r>
    <r>
      <rPr>
        <sz val="9"/>
        <color rgb="FF000000"/>
        <rFont val="WenQuanYi Zen Hei"/>
        <family val="2"/>
      </rPr>
      <t xml:space="preserve">年</t>
    </r>
    <r>
      <rPr>
        <sz val="9"/>
        <color rgb="FF000000"/>
        <rFont val="HGPｺﾞｼｯｸM"/>
        <family val="0"/>
        <charset val="1"/>
      </rPr>
      <t xml:space="preserve">7</t>
    </r>
    <r>
      <rPr>
        <sz val="9"/>
        <color rgb="FF000000"/>
        <rFont val="WenQuanYi Zen Hei"/>
        <family val="2"/>
      </rPr>
      <t xml:space="preserve">月以降、</t>
    </r>
    <r>
      <rPr>
        <sz val="9"/>
        <color rgb="FF000000"/>
        <rFont val="HGPｺﾞｼｯｸM"/>
        <family val="0"/>
        <charset val="1"/>
      </rPr>
      <t xml:space="preserve">2025</t>
    </r>
    <r>
      <rPr>
        <sz val="9"/>
        <color rgb="FF000000"/>
        <rFont val="WenQuanYi Zen Hei"/>
        <family val="2"/>
      </rPr>
      <t xml:space="preserve">・</t>
    </r>
    <r>
      <rPr>
        <sz val="9"/>
        <color rgb="FF000000"/>
        <rFont val="HGPｺﾞｼｯｸM"/>
        <family val="0"/>
        <charset val="1"/>
      </rPr>
      <t xml:space="preserve">2026</t>
    </r>
    <r>
      <rPr>
        <sz val="9"/>
        <color rgb="FF000000"/>
        <rFont val="WenQuanYi Zen Hei"/>
        <family val="2"/>
      </rPr>
      <t xml:space="preserve">年は未提供</t>
    </r>
  </si>
  <si>
    <r>
      <rPr>
        <b val="true"/>
        <sz val="14"/>
        <color rgb="FF000000"/>
        <rFont val="WenQuanYi Zen Hei"/>
        <family val="2"/>
      </rPr>
      <t xml:space="preserve">夏合宿 消化率（</t>
    </r>
    <r>
      <rPr>
        <b val="true"/>
        <sz val="14"/>
        <color rgb="FF000000"/>
        <rFont val="HGPｺﾞｼｯｸM"/>
        <family val="0"/>
        <charset val="1"/>
      </rPr>
      <t xml:space="preserve">1</t>
    </r>
    <r>
      <rPr>
        <b val="true"/>
        <sz val="14"/>
        <color rgb="FF000000"/>
        <rFont val="WenQuanYi Zen Hei"/>
        <family val="2"/>
      </rPr>
      <t xml:space="preserve">〜</t>
    </r>
    <r>
      <rPr>
        <b val="true"/>
        <sz val="14"/>
        <color rgb="FF000000"/>
        <rFont val="HGPｺﾞｼｯｸM"/>
        <family val="0"/>
        <charset val="1"/>
      </rPr>
      <t xml:space="preserve">3</t>
    </r>
    <r>
      <rPr>
        <b val="true"/>
        <sz val="14"/>
        <color rgb="FF000000"/>
        <rFont val="WenQuanYi Zen Hei"/>
        <family val="2"/>
      </rPr>
      <t xml:space="preserve">次）：出雲メンバー</t>
    </r>
  </si>
  <si>
    <r>
      <rPr>
        <sz val="9"/>
        <color rgb="FF000000"/>
        <rFont val="WenQuanYi Zen Hei"/>
        <family val="2"/>
      </rPr>
      <t xml:space="preserve">出雲出走メンバーのみ。消化率はポイント練習の実施度（</t>
    </r>
    <r>
      <rPr>
        <sz val="9"/>
        <color rgb="FF000000"/>
        <rFont val="HGPｺﾞｼｯｸM"/>
        <family val="0"/>
        <charset val="1"/>
      </rPr>
      <t xml:space="preserve">100%</t>
    </r>
    <r>
      <rPr>
        <sz val="9"/>
        <color rgb="FF000000"/>
        <rFont val="WenQuanYi Zen Hei"/>
        <family val="2"/>
      </rPr>
      <t xml:space="preserve">＝全メニュー完遂）。出典：各年の合宿消化率（</t>
    </r>
    <r>
      <rPr>
        <sz val="9"/>
        <color rgb="FF000000"/>
        <rFont val="HGPｺﾞｼｯｸM"/>
        <family val="0"/>
        <charset val="1"/>
      </rPr>
      <t xml:space="preserve">2023</t>
    </r>
    <r>
      <rPr>
        <sz val="9"/>
        <color rgb="FF000000"/>
        <rFont val="WenQuanYi Zen Hei"/>
        <family val="2"/>
      </rPr>
      <t xml:space="preserve">・</t>
    </r>
    <r>
      <rPr>
        <sz val="9"/>
        <color rgb="FF000000"/>
        <rFont val="HGPｺﾞｼｯｸM"/>
        <family val="0"/>
        <charset val="1"/>
      </rPr>
      <t xml:space="preserve">2025</t>
    </r>
    <r>
      <rPr>
        <sz val="9"/>
        <color rgb="FF000000"/>
        <rFont val="WenQuanYi Zen Hei"/>
        <family val="2"/>
      </rPr>
      <t xml:space="preserve">年は</t>
    </r>
    <r>
      <rPr>
        <sz val="9"/>
        <color rgb="FF000000"/>
        <rFont val="HGPｺﾞｼｯｸM"/>
        <family val="0"/>
        <charset val="1"/>
      </rPr>
      <t xml:space="preserve">Excel</t>
    </r>
    <r>
      <rPr>
        <sz val="9"/>
        <color rgb="FF000000"/>
        <rFont val="WenQuanYi Zen Hei"/>
        <family val="2"/>
      </rPr>
      <t xml:space="preserve">、</t>
    </r>
    <r>
      <rPr>
        <sz val="9"/>
        <color rgb="FF000000"/>
        <rFont val="HGPｺﾞｼｯｸM"/>
        <family val="0"/>
        <charset val="1"/>
      </rPr>
      <t xml:space="preserve">2024</t>
    </r>
    <r>
      <rPr>
        <sz val="9"/>
        <color rgb="FF000000"/>
        <rFont val="WenQuanYi Zen Hei"/>
        <family val="2"/>
      </rPr>
      <t xml:space="preserve">・</t>
    </r>
    <r>
      <rPr>
        <sz val="9"/>
        <color rgb="FF000000"/>
        <rFont val="HGPｺﾞｼｯｸM"/>
        <family val="0"/>
        <charset val="1"/>
      </rPr>
      <t xml:space="preserve">2026</t>
    </r>
    <r>
      <rPr>
        <sz val="9"/>
        <color rgb="FF000000"/>
        <rFont val="WenQuanYi Zen Hei"/>
        <family val="2"/>
      </rPr>
      <t xml:space="preserve">年は</t>
    </r>
    <r>
      <rPr>
        <sz val="9"/>
        <color rgb="FF000000"/>
        <rFont val="HGPｺﾞｼｯｸM"/>
        <family val="0"/>
        <charset val="1"/>
      </rPr>
      <t xml:space="preserve">PDF</t>
    </r>
    <r>
      <rPr>
        <sz val="9"/>
        <color rgb="FF000000"/>
        <rFont val="WenQuanYi Zen Hei"/>
        <family val="2"/>
      </rPr>
      <t xml:space="preserve">）</t>
    </r>
  </si>
  <si>
    <r>
      <rPr>
        <b val="true"/>
        <sz val="10"/>
        <color rgb="FF000000"/>
        <rFont val="HGPｺﾞｼｯｸM"/>
        <family val="0"/>
        <charset val="1"/>
      </rPr>
      <t xml:space="preserve">3</t>
    </r>
    <r>
      <rPr>
        <b val="true"/>
        <sz val="10"/>
        <color rgb="FF000000"/>
        <rFont val="WenQuanYi Zen Hei"/>
        <family val="2"/>
      </rPr>
      <t xml:space="preserve">次合宿</t>
    </r>
  </si>
  <si>
    <t xml:space="preserve">夏合宿
平均</t>
  </si>
  <si>
    <r>
      <rPr>
        <b val="true"/>
        <sz val="14"/>
        <color rgb="FF000000"/>
        <rFont val="WenQuanYi Zen Hei"/>
        <family val="2"/>
      </rPr>
      <t xml:space="preserve">月間走行距離：出雲メンバー（</t>
    </r>
    <r>
      <rPr>
        <b val="true"/>
        <sz val="14"/>
        <color rgb="FF000000"/>
        <rFont val="HGPｺﾞｼｯｸM"/>
        <family val="0"/>
        <charset val="1"/>
      </rPr>
      <t xml:space="preserve">2022</t>
    </r>
    <r>
      <rPr>
        <b val="true"/>
        <sz val="14"/>
        <color rgb="FF000000"/>
        <rFont val="WenQuanYi Zen Hei"/>
        <family val="2"/>
      </rPr>
      <t xml:space="preserve">・</t>
    </r>
    <r>
      <rPr>
        <b val="true"/>
        <sz val="14"/>
        <color rgb="FF000000"/>
        <rFont val="HGPｺﾞｼｯｸM"/>
        <family val="0"/>
        <charset val="1"/>
      </rPr>
      <t xml:space="preserve">2023</t>
    </r>
    <r>
      <rPr>
        <b val="true"/>
        <sz val="14"/>
        <color rgb="FF000000"/>
        <rFont val="WenQuanYi Zen Hei"/>
        <family val="2"/>
      </rPr>
      <t xml:space="preserve">年は通年、</t>
    </r>
    <r>
      <rPr>
        <b val="true"/>
        <sz val="14"/>
        <color rgb="FF000000"/>
        <rFont val="HGPｺﾞｼｯｸM"/>
        <family val="0"/>
        <charset val="1"/>
      </rPr>
      <t xml:space="preserve">2024</t>
    </r>
    <r>
      <rPr>
        <b val="true"/>
        <sz val="14"/>
        <color rgb="FF000000"/>
        <rFont val="WenQuanYi Zen Hei"/>
        <family val="2"/>
      </rPr>
      <t xml:space="preserve">年は</t>
    </r>
    <r>
      <rPr>
        <b val="true"/>
        <sz val="14"/>
        <color rgb="FF000000"/>
        <rFont val="HGPｺﾞｼｯｸM"/>
        <family val="0"/>
        <charset val="1"/>
      </rPr>
      <t xml:space="preserve">1</t>
    </r>
    <r>
      <rPr>
        <b val="true"/>
        <sz val="14"/>
        <color rgb="FF000000"/>
        <rFont val="WenQuanYi Zen Hei"/>
        <family val="2"/>
      </rPr>
      <t xml:space="preserve">〜</t>
    </r>
    <r>
      <rPr>
        <b val="true"/>
        <sz val="14"/>
        <color rgb="FF000000"/>
        <rFont val="HGPｺﾞｼｯｸM"/>
        <family val="0"/>
        <charset val="1"/>
      </rPr>
      <t xml:space="preserve">6</t>
    </r>
    <r>
      <rPr>
        <b val="true"/>
        <sz val="14"/>
        <color rgb="FF000000"/>
        <rFont val="WenQuanYi Zen Hei"/>
        <family val="2"/>
      </rPr>
      <t xml:space="preserve">月のみ）</t>
    </r>
  </si>
  <si>
    <r>
      <rPr>
        <sz val="9"/>
        <color rgb="FF000000"/>
        <rFont val="WenQuanYi Zen Hei"/>
        <family val="2"/>
      </rPr>
      <t xml:space="preserve">出雲出走メンバーのみ。出典：月間走行距離</t>
    </r>
    <r>
      <rPr>
        <sz val="9"/>
        <color rgb="FF000000"/>
        <rFont val="HGPｺﾞｼｯｸM"/>
        <family val="0"/>
        <charset val="1"/>
      </rPr>
      <t xml:space="preserve">Excel</t>
    </r>
    <r>
      <rPr>
        <sz val="9"/>
        <color rgb="FF000000"/>
        <rFont val="WenQuanYi Zen Hei"/>
        <family val="2"/>
      </rPr>
      <t xml:space="preserve">。</t>
    </r>
    <r>
      <rPr>
        <sz val="9"/>
        <color rgb="FF000000"/>
        <rFont val="HGPｺﾞｼｯｸM"/>
        <family val="0"/>
        <charset val="1"/>
      </rPr>
      <t xml:space="preserve">2024</t>
    </r>
    <r>
      <rPr>
        <sz val="9"/>
        <color rgb="FF000000"/>
        <rFont val="WenQuanYi Zen Hei"/>
        <family val="2"/>
      </rPr>
      <t xml:space="preserve">年</t>
    </r>
    <r>
      <rPr>
        <sz val="9"/>
        <color rgb="FF000000"/>
        <rFont val="HGPｺﾞｼｯｸM"/>
        <family val="0"/>
        <charset val="1"/>
      </rPr>
      <t xml:space="preserve">7</t>
    </r>
    <r>
      <rPr>
        <sz val="9"/>
        <color rgb="FF000000"/>
        <rFont val="WenQuanYi Zen Hei"/>
        <family val="2"/>
      </rPr>
      <t xml:space="preserve">月以降と</t>
    </r>
    <r>
      <rPr>
        <sz val="9"/>
        <color rgb="FF000000"/>
        <rFont val="HGPｺﾞｼｯｸM"/>
        <family val="0"/>
        <charset val="1"/>
      </rPr>
      <t xml:space="preserve">2025</t>
    </r>
    <r>
      <rPr>
        <sz val="9"/>
        <color rgb="FF000000"/>
        <rFont val="WenQuanYi Zen Hei"/>
        <family val="2"/>
      </rPr>
      <t xml:space="preserve">・</t>
    </r>
    <r>
      <rPr>
        <sz val="9"/>
        <color rgb="FF000000"/>
        <rFont val="HGPｺﾞｼｯｸM"/>
        <family val="0"/>
        <charset val="1"/>
      </rPr>
      <t xml:space="preserve">2026</t>
    </r>
    <r>
      <rPr>
        <sz val="9"/>
        <color rgb="FF000000"/>
        <rFont val="WenQuanYi Zen Hei"/>
        <family val="2"/>
      </rPr>
      <t xml:space="preserve">年はデータ未提供</t>
    </r>
  </si>
  <si>
    <r>
      <rPr>
        <b val="true"/>
        <sz val="14"/>
        <color rgb="FF000000"/>
        <rFont val="WenQuanYi Zen Hei"/>
        <family val="2"/>
      </rPr>
      <t xml:space="preserve">区間順位と各項目の相関（出雲メンバー延べ</t>
    </r>
    <r>
      <rPr>
        <b val="true"/>
        <sz val="14"/>
        <color rgb="FF000000"/>
        <rFont val="HGPｺﾞｼｯｸM"/>
        <family val="0"/>
        <charset val="1"/>
      </rPr>
      <t xml:space="preserve">12</t>
    </r>
    <r>
      <rPr>
        <b val="true"/>
        <sz val="14"/>
        <color rgb="FF000000"/>
        <rFont val="WenQuanYi Zen Hei"/>
        <family val="2"/>
      </rPr>
      <t xml:space="preserve">〜</t>
    </r>
    <r>
      <rPr>
        <b val="true"/>
        <sz val="14"/>
        <color rgb="FF000000"/>
        <rFont val="HGPｺﾞｼｯｸM"/>
        <family val="0"/>
        <charset val="1"/>
      </rPr>
      <t xml:space="preserve">30</t>
    </r>
    <r>
      <rPr>
        <b val="true"/>
        <sz val="14"/>
        <color rgb="FF000000"/>
        <rFont val="WenQuanYi Zen Hei"/>
        <family val="2"/>
      </rPr>
      <t xml:space="preserve">人）</t>
    </r>
  </si>
  <si>
    <r>
      <rPr>
        <sz val="9"/>
        <color rgb="FF000000"/>
        <rFont val="WenQuanYi Zen Hei"/>
        <family val="2"/>
      </rPr>
      <t xml:space="preserve">相関係数は「選手一覧」シートから</t>
    </r>
    <r>
      <rPr>
        <sz val="9"/>
        <color rgb="FF000000"/>
        <rFont val="HGPｺﾞｼｯｸM"/>
        <family val="0"/>
        <charset val="1"/>
      </rPr>
      <t xml:space="preserve">CORREL</t>
    </r>
    <r>
      <rPr>
        <sz val="9"/>
        <color rgb="FF000000"/>
        <rFont val="WenQuanYi Zen Hei"/>
        <family val="2"/>
      </rPr>
      <t xml:space="preserve">関数で計算（空欄の選手は除外）。正の値＝その値が大きい選手ほど区間順位が悪い。年の影響を除いた相関＝各年の</t>
    </r>
    <r>
      <rPr>
        <sz val="9"/>
        <color rgb="FF000000"/>
        <rFont val="HGPｺﾞｼｯｸM"/>
        <family val="0"/>
        <charset val="1"/>
      </rPr>
      <t xml:space="preserve">6</t>
    </r>
    <r>
      <rPr>
        <sz val="9"/>
        <color rgb="FF000000"/>
        <rFont val="WenQuanYi Zen Hei"/>
        <family val="2"/>
      </rPr>
      <t xml:space="preserve">人の平均との差どうしで計算した値。偶然の可能性＝相関が偶然に生じる確率（両側</t>
    </r>
    <r>
      <rPr>
        <sz val="9"/>
        <color rgb="FF000000"/>
        <rFont val="HGPｺﾞｼｯｸM"/>
        <family val="0"/>
        <charset val="1"/>
      </rPr>
      <t xml:space="preserve">p</t>
    </r>
    <r>
      <rPr>
        <sz val="9"/>
        <color rgb="FF000000"/>
        <rFont val="WenQuanYi Zen Hei"/>
        <family val="2"/>
      </rPr>
      <t xml:space="preserve">値）。この</t>
    </r>
    <r>
      <rPr>
        <sz val="9"/>
        <color rgb="FF000000"/>
        <rFont val="HGPｺﾞｼｯｸM"/>
        <family val="0"/>
        <charset val="1"/>
      </rPr>
      <t xml:space="preserve">2</t>
    </r>
    <r>
      <rPr>
        <sz val="9"/>
        <color rgb="FF000000"/>
        <rFont val="WenQuanYi Zen Hei"/>
        <family val="2"/>
      </rPr>
      <t xml:space="preserve">列は</t>
    </r>
    <r>
      <rPr>
        <sz val="9"/>
        <color rgb="FF000000"/>
        <rFont val="HGPｺﾞｼｯｸM"/>
        <family val="0"/>
        <charset val="1"/>
      </rPr>
      <t xml:space="preserve">Python</t>
    </r>
    <r>
      <rPr>
        <sz val="9"/>
        <color rgb="FF000000"/>
        <rFont val="WenQuanYi Zen Hei"/>
        <family val="2"/>
      </rPr>
      <t xml:space="preserve">で計算した値</t>
    </r>
  </si>
  <si>
    <t xml:space="preserve">項目</t>
  </si>
  <si>
    <t xml:space="preserve">年の影響を
除いた相関</t>
  </si>
  <si>
    <t xml:space="preserve">偶然の可能性
（そのまま）</t>
  </si>
  <si>
    <t xml:space="preserve">偶然の可能性
（年の影響除去後）</t>
  </si>
  <si>
    <t xml:space="preserve">判定</t>
  </si>
  <si>
    <r>
      <rPr>
        <sz val="10"/>
        <color rgb="FF000000"/>
        <rFont val="HGPｺﾞｼｯｸM"/>
        <family val="0"/>
        <charset val="1"/>
      </rPr>
      <t xml:space="preserve">2</t>
    </r>
    <r>
      <rPr>
        <sz val="10"/>
        <color rgb="FF000000"/>
        <rFont val="WenQuanYi Zen Hei"/>
        <family val="2"/>
      </rPr>
      <t xml:space="preserve">週間前</t>
    </r>
    <r>
      <rPr>
        <sz val="10"/>
        <color rgb="FF000000"/>
        <rFont val="HGPｺﾞｼｯｸM"/>
        <family val="0"/>
        <charset val="1"/>
      </rPr>
      <t xml:space="preserve">5000m</t>
    </r>
    <r>
      <rPr>
        <sz val="10"/>
        <color rgb="FF000000"/>
        <rFont val="WenQuanYi Zen Hei"/>
        <family val="2"/>
      </rPr>
      <t xml:space="preserve">のタイム</t>
    </r>
  </si>
  <si>
    <r>
      <rPr>
        <sz val="10"/>
        <color rgb="FF000000"/>
        <rFont val="WenQuanYi Zen Hei"/>
        <family val="2"/>
      </rPr>
      <t xml:space="preserve">関係ありそう（</t>
    </r>
    <r>
      <rPr>
        <sz val="10"/>
        <color rgb="FF000000"/>
        <rFont val="HGPｺﾞｼｯｸM"/>
        <family val="0"/>
        <charset val="1"/>
      </rPr>
      <t xml:space="preserve">5</t>
    </r>
    <r>
      <rPr>
        <sz val="10"/>
        <color rgb="FF000000"/>
        <rFont val="WenQuanYi Zen Hei"/>
        <family val="2"/>
      </rPr>
      <t xml:space="preserve">〜</t>
    </r>
    <r>
      <rPr>
        <sz val="10"/>
        <color rgb="FF000000"/>
        <rFont val="HGPｺﾞｼｯｸM"/>
        <family val="0"/>
        <charset val="1"/>
      </rPr>
      <t xml:space="preserve">10%</t>
    </r>
    <r>
      <rPr>
        <sz val="10"/>
        <color rgb="FF000000"/>
        <rFont val="WenQuanYi Zen Hei"/>
        <family val="2"/>
      </rPr>
      <t xml:space="preserve">）</t>
    </r>
  </si>
  <si>
    <r>
      <rPr>
        <sz val="10"/>
        <color rgb="FF000000"/>
        <rFont val="HGPｺﾞｼｯｸM"/>
        <family val="0"/>
        <charset val="1"/>
      </rPr>
      <t xml:space="preserve">2</t>
    </r>
    <r>
      <rPr>
        <sz val="10"/>
        <color rgb="FF000000"/>
        <rFont val="WenQuanYi Zen Hei"/>
        <family val="2"/>
      </rPr>
      <t xml:space="preserve">週間前</t>
    </r>
    <r>
      <rPr>
        <sz val="10"/>
        <color rgb="FF000000"/>
        <rFont val="HGPｺﾞｼｯｸM"/>
        <family val="0"/>
        <charset val="1"/>
      </rPr>
      <t xml:space="preserve">5000m</t>
    </r>
    <r>
      <rPr>
        <sz val="10"/>
        <color rgb="FF000000"/>
        <rFont val="WenQuanYi Zen Hei"/>
        <family val="2"/>
      </rPr>
      <t xml:space="preserve">の組内順位</t>
    </r>
  </si>
  <si>
    <r>
      <rPr>
        <sz val="10"/>
        <color rgb="FF000000"/>
        <rFont val="WenQuanYi Zen Hei"/>
        <family val="2"/>
      </rPr>
      <t xml:space="preserve">関係あり（</t>
    </r>
    <r>
      <rPr>
        <sz val="10"/>
        <color rgb="FF000000"/>
        <rFont val="HGPｺﾞｼｯｸM"/>
        <family val="0"/>
        <charset val="1"/>
      </rPr>
      <t xml:space="preserve">5%</t>
    </r>
    <r>
      <rPr>
        <sz val="10"/>
        <color rgb="FF000000"/>
        <rFont val="WenQuanYi Zen Hei"/>
        <family val="2"/>
      </rPr>
      <t xml:space="preserve">未満）</t>
    </r>
  </si>
  <si>
    <t xml:space="preserve">区間（何区か）</t>
  </si>
  <si>
    <t xml:space="preserve">関係は弱い・なし</t>
  </si>
  <si>
    <r>
      <rPr>
        <sz val="10"/>
        <color rgb="FF000000"/>
        <rFont val="HGPｺﾞｼｯｸM"/>
        <family val="0"/>
        <charset val="1"/>
      </rPr>
      <t xml:space="preserve">1</t>
    </r>
    <r>
      <rPr>
        <sz val="10"/>
        <color rgb="FF000000"/>
        <rFont val="WenQuanYi Zen Hei"/>
        <family val="2"/>
      </rPr>
      <t xml:space="preserve">次合宿の消化率</t>
    </r>
  </si>
  <si>
    <r>
      <rPr>
        <sz val="10"/>
        <color rgb="FF000000"/>
        <rFont val="HGPｺﾞｼｯｸM"/>
        <family val="0"/>
        <charset val="1"/>
      </rPr>
      <t xml:space="preserve">2</t>
    </r>
    <r>
      <rPr>
        <sz val="10"/>
        <color rgb="FF000000"/>
        <rFont val="WenQuanYi Zen Hei"/>
        <family val="2"/>
      </rPr>
      <t xml:space="preserve">次合宿の消化率</t>
    </r>
  </si>
  <si>
    <r>
      <rPr>
        <sz val="10"/>
        <color rgb="FF000000"/>
        <rFont val="HGPｺﾞｼｯｸM"/>
        <family val="0"/>
        <charset val="1"/>
      </rPr>
      <t xml:space="preserve">3</t>
    </r>
    <r>
      <rPr>
        <sz val="10"/>
        <color rgb="FF000000"/>
        <rFont val="WenQuanYi Zen Hei"/>
        <family val="2"/>
      </rPr>
      <t xml:space="preserve">次合宿の消化率</t>
    </r>
  </si>
  <si>
    <t xml:space="preserve">夏合宿の消化率（平均）</t>
  </si>
  <si>
    <r>
      <rPr>
        <sz val="10"/>
        <color rgb="FF000000"/>
        <rFont val="HGPｺﾞｼｯｸM"/>
        <family val="0"/>
        <charset val="1"/>
      </rPr>
      <t xml:space="preserve">7</t>
    </r>
    <r>
      <rPr>
        <sz val="10"/>
        <color rgb="FF000000"/>
        <rFont val="WenQuanYi Zen Hei"/>
        <family val="2"/>
      </rPr>
      <t xml:space="preserve">月の月間走行距離</t>
    </r>
  </si>
  <si>
    <r>
      <rPr>
        <sz val="10"/>
        <color rgb="FF000000"/>
        <rFont val="HGPｺﾞｼｯｸM"/>
        <family val="0"/>
        <charset val="1"/>
      </rPr>
      <t xml:space="preserve">8</t>
    </r>
    <r>
      <rPr>
        <sz val="10"/>
        <color rgb="FF000000"/>
        <rFont val="WenQuanYi Zen Hei"/>
        <family val="2"/>
      </rPr>
      <t xml:space="preserve">月の月間走行距離</t>
    </r>
  </si>
  <si>
    <r>
      <rPr>
        <sz val="10"/>
        <color rgb="FF000000"/>
        <rFont val="HGPｺﾞｼｯｸM"/>
        <family val="0"/>
        <charset val="1"/>
      </rPr>
      <t xml:space="preserve">9</t>
    </r>
    <r>
      <rPr>
        <sz val="10"/>
        <color rgb="FF000000"/>
        <rFont val="WenQuanYi Zen Hei"/>
        <family val="2"/>
      </rPr>
      <t xml:space="preserve">月の月間走行距離</t>
    </r>
  </si>
  <si>
    <r>
      <rPr>
        <sz val="10"/>
        <color rgb="FF000000"/>
        <rFont val="HGPｺﾞｼｯｸM"/>
        <family val="0"/>
        <charset val="1"/>
      </rPr>
      <t xml:space="preserve">9</t>
    </r>
    <r>
      <rPr>
        <sz val="10"/>
        <color rgb="FF000000"/>
        <rFont val="WenQuanYi Zen Hei"/>
        <family val="2"/>
      </rPr>
      <t xml:space="preserve">月</t>
    </r>
    <r>
      <rPr>
        <sz val="10"/>
        <color rgb="FF000000"/>
        <rFont val="HGPｺﾞｼｯｸM"/>
        <family val="0"/>
        <charset val="1"/>
      </rPr>
      <t xml:space="preserve">÷8</t>
    </r>
    <r>
      <rPr>
        <sz val="10"/>
        <color rgb="FF000000"/>
        <rFont val="WenQuanYi Zen Hei"/>
        <family val="2"/>
      </rPr>
      <t xml:space="preserve">月</t>
    </r>
  </si>
  <si>
    <r>
      <rPr>
        <sz val="9"/>
        <color rgb="FF000000"/>
        <rFont val="WenQuanYi Zen Hei"/>
        <family val="2"/>
      </rPr>
      <t xml:space="preserve">※人数が少なく多くの項目を同時に調べているため、偶然</t>
    </r>
    <r>
      <rPr>
        <sz val="9"/>
        <color rgb="FF000000"/>
        <rFont val="HGPｺﾞｼｯｸM"/>
        <family val="0"/>
        <charset val="1"/>
      </rPr>
      <t xml:space="preserve">5%</t>
    </r>
    <r>
      <rPr>
        <sz val="9"/>
        <color rgb="FF000000"/>
        <rFont val="WenQuanYi Zen Hei"/>
        <family val="2"/>
      </rPr>
      <t xml:space="preserve">を下回る項目が出ることもある。悪化率は出雲のタイムから計算しているので区間順位と関係が出やすい</t>
    </r>
  </si>
  <si>
    <r>
      <rPr>
        <sz val="9"/>
        <color rgb="FF000000"/>
        <rFont val="HGPｺﾞｼｯｸM"/>
        <family val="0"/>
        <charset val="1"/>
      </rPr>
      <t xml:space="preserve">※5000m</t>
    </r>
    <r>
      <rPr>
        <sz val="9"/>
        <color rgb="FF000000"/>
        <rFont val="WenQuanYi Zen Hei"/>
        <family val="2"/>
      </rPr>
      <t xml:space="preserve">の組内順位は組ごとに出場選手の強さが違う。</t>
    </r>
    <r>
      <rPr>
        <sz val="9"/>
        <color rgb="FF000000"/>
        <rFont val="HGPｺﾞｼｯｸM"/>
        <family val="0"/>
        <charset val="1"/>
      </rPr>
      <t xml:space="preserve">2026</t>
    </r>
    <r>
      <rPr>
        <sz val="9"/>
        <color rgb="FF000000"/>
        <rFont val="WenQuanYi Zen Hei"/>
        <family val="2"/>
      </rPr>
      <t xml:space="preserve">年はロード</t>
    </r>
    <r>
      <rPr>
        <sz val="9"/>
        <color rgb="FF000000"/>
        <rFont val="HGPｺﾞｼｯｸM"/>
        <family val="0"/>
        <charset val="1"/>
      </rPr>
      <t xml:space="preserve">5km</t>
    </r>
    <r>
      <rPr>
        <sz val="9"/>
        <color rgb="FF000000"/>
        <rFont val="WenQuanYi Zen Hei"/>
        <family val="2"/>
      </rPr>
      <t xml:space="preserve">で他の年とレースの性格が異なる</t>
    </r>
  </si>
  <si>
    <r>
      <rPr>
        <b val="true"/>
        <sz val="14"/>
        <color rgb="FF000000"/>
        <rFont val="HGPｺﾞｼｯｸM"/>
        <family val="0"/>
        <charset val="1"/>
      </rPr>
      <t xml:space="preserve">2023</t>
    </r>
    <r>
      <rPr>
        <b val="true"/>
        <sz val="14"/>
        <color rgb="FF000000"/>
        <rFont val="WenQuanYi Zen Hei"/>
        <family val="2"/>
      </rPr>
      <t xml:space="preserve">年 夏合宿ポイント練習：出雲メンバー</t>
    </r>
    <r>
      <rPr>
        <b val="true"/>
        <sz val="14"/>
        <color rgb="FF000000"/>
        <rFont val="HGPｺﾞｼｯｸM"/>
        <family val="0"/>
        <charset val="1"/>
      </rPr>
      <t xml:space="preserve">6</t>
    </r>
    <r>
      <rPr>
        <b val="true"/>
        <sz val="14"/>
        <color rgb="FF000000"/>
        <rFont val="WenQuanYi Zen Hei"/>
        <family val="2"/>
      </rPr>
      <t xml:space="preserve">人の組・消化率</t>
    </r>
  </si>
  <si>
    <r>
      <rPr>
        <sz val="9"/>
        <color rgb="FF000000"/>
        <rFont val="WenQuanYi Zen Hei"/>
        <family val="2"/>
      </rPr>
      <t xml:space="preserve">※ 各セルは「組 消化率」。坂</t>
    </r>
    <r>
      <rPr>
        <sz val="9"/>
        <color rgb="FF000000"/>
        <rFont val="HGPｺﾞｼｯｸM"/>
        <family val="0"/>
        <charset val="1"/>
      </rPr>
      <t xml:space="preserve">PTT</t>
    </r>
    <r>
      <rPr>
        <sz val="9"/>
        <color rgb="FF000000"/>
        <rFont val="WenQuanYi Zen Hei"/>
        <family val="2"/>
      </rPr>
      <t xml:space="preserve">は「坂</t>
    </r>
    <r>
      <rPr>
        <sz val="9"/>
        <color rgb="FF000000"/>
        <rFont val="HGPｺﾞｼｯｸM"/>
        <family val="0"/>
        <charset val="1"/>
      </rPr>
      <t xml:space="preserve">TT/</t>
    </r>
    <r>
      <rPr>
        <sz val="9"/>
        <color rgb="FF000000"/>
        <rFont val="WenQuanYi Zen Hei"/>
        <family val="2"/>
      </rPr>
      <t xml:space="preserve">トータル」タイム、</t>
    </r>
    <r>
      <rPr>
        <sz val="9"/>
        <color rgb="FF000000"/>
        <rFont val="HGPｺﾞｼｯｸM"/>
        <family val="0"/>
        <charset val="1"/>
      </rPr>
      <t xml:space="preserve">2026</t>
    </r>
    <r>
      <rPr>
        <sz val="9"/>
        <color rgb="FF000000"/>
        <rFont val="WenQuanYi Zen Hei"/>
        <family val="2"/>
      </rPr>
      <t xml:space="preserve">年</t>
    </r>
    <r>
      <rPr>
        <sz val="9"/>
        <color rgb="FF000000"/>
        <rFont val="HGPｺﾞｼｯｸM"/>
        <family val="0"/>
        <charset val="1"/>
      </rPr>
      <t xml:space="preserve">2</t>
    </r>
    <r>
      <rPr>
        <sz val="9"/>
        <color rgb="FF000000"/>
        <rFont val="WenQuanYi Zen Hei"/>
        <family val="2"/>
      </rPr>
      <t xml:space="preserve">次の</t>
    </r>
    <r>
      <rPr>
        <sz val="9"/>
        <color rgb="FF000000"/>
        <rFont val="HGPｺﾞｼｯｸM"/>
        <family val="0"/>
        <charset val="1"/>
      </rPr>
      <t xml:space="preserve">3000m+12000m</t>
    </r>
    <r>
      <rPr>
        <sz val="9"/>
        <color rgb="FF000000"/>
        <rFont val="WenQuanYi Zen Hei"/>
        <family val="2"/>
      </rPr>
      <t xml:space="preserve">ビルドアップは最後の</t>
    </r>
    <r>
      <rPr>
        <sz val="9"/>
        <color rgb="FF000000"/>
        <rFont val="HGPｺﾞｼｯｸM"/>
        <family val="0"/>
        <charset val="1"/>
      </rPr>
      <t xml:space="preserve">1km</t>
    </r>
    <r>
      <rPr>
        <sz val="9"/>
        <color rgb="FF000000"/>
        <rFont val="WenQuanYi Zen Hei"/>
        <family val="2"/>
      </rPr>
      <t xml:space="preserve">のタイム</t>
    </r>
  </si>
  <si>
    <r>
      <rPr>
        <sz val="9"/>
        <color rgb="FF000000"/>
        <rFont val="WenQuanYi Zen Hei"/>
        <family val="2"/>
      </rPr>
      <t xml:space="preserve">※ 「–」は記録なし（その練習に入っていない）。</t>
    </r>
    <r>
      <rPr>
        <sz val="9"/>
        <color rgb="FF000000"/>
        <rFont val="HGPｺﾞｼｯｸM"/>
        <family val="0"/>
        <charset val="1"/>
      </rPr>
      <t xml:space="preserve">0%</t>
    </r>
    <r>
      <rPr>
        <sz val="9"/>
        <color rgb="FF000000"/>
        <rFont val="WenQuanYi Zen Hei"/>
        <family val="2"/>
      </rPr>
      <t xml:space="preserve">・</t>
    </r>
    <r>
      <rPr>
        <sz val="9"/>
        <color rgb="FF000000"/>
        <rFont val="HGPｺﾞｼｯｸM"/>
        <family val="0"/>
        <charset val="1"/>
      </rPr>
      <t xml:space="preserve">30%</t>
    </r>
    <r>
      <rPr>
        <sz val="9"/>
        <color rgb="FF000000"/>
        <rFont val="WenQuanYi Zen Hei"/>
        <family val="2"/>
      </rPr>
      <t xml:space="preserve">は実施なし・部分実施</t>
    </r>
  </si>
  <si>
    <r>
      <rPr>
        <sz val="9"/>
        <color rgb="FF000000"/>
        <rFont val="WenQuanYi Zen Hei"/>
        <family val="2"/>
      </rPr>
      <t xml:space="preserve">※ 出典：各年の合宿消化率（</t>
    </r>
    <r>
      <rPr>
        <sz val="9"/>
        <color rgb="FF000000"/>
        <rFont val="HGPｺﾞｼｯｸM"/>
        <family val="0"/>
        <charset val="1"/>
      </rPr>
      <t xml:space="preserve">2023</t>
    </r>
    <r>
      <rPr>
        <sz val="9"/>
        <color rgb="FF000000"/>
        <rFont val="WenQuanYi Zen Hei"/>
        <family val="2"/>
      </rPr>
      <t xml:space="preserve">・</t>
    </r>
    <r>
      <rPr>
        <sz val="9"/>
        <color rgb="FF000000"/>
        <rFont val="HGPｺﾞｼｯｸM"/>
        <family val="0"/>
        <charset val="1"/>
      </rPr>
      <t xml:space="preserve">2025</t>
    </r>
    <r>
      <rPr>
        <sz val="9"/>
        <color rgb="FF000000"/>
        <rFont val="WenQuanYi Zen Hei"/>
        <family val="2"/>
      </rPr>
      <t xml:space="preserve">年は</t>
    </r>
    <r>
      <rPr>
        <sz val="9"/>
        <color rgb="FF000000"/>
        <rFont val="HGPｺﾞｼｯｸM"/>
        <family val="0"/>
        <charset val="1"/>
      </rPr>
      <t xml:space="preserve">Excel</t>
    </r>
    <r>
      <rPr>
        <sz val="9"/>
        <color rgb="FF000000"/>
        <rFont val="WenQuanYi Zen Hei"/>
        <family val="2"/>
      </rPr>
      <t xml:space="preserve">、</t>
    </r>
    <r>
      <rPr>
        <sz val="9"/>
        <color rgb="FF000000"/>
        <rFont val="HGPｺﾞｼｯｸM"/>
        <family val="0"/>
        <charset val="1"/>
      </rPr>
      <t xml:space="preserve">2024</t>
    </r>
    <r>
      <rPr>
        <sz val="9"/>
        <color rgb="FF000000"/>
        <rFont val="WenQuanYi Zen Hei"/>
        <family val="2"/>
      </rPr>
      <t xml:space="preserve">・</t>
    </r>
    <r>
      <rPr>
        <sz val="9"/>
        <color rgb="FF000000"/>
        <rFont val="HGPｺﾞｼｯｸM"/>
        <family val="0"/>
        <charset val="1"/>
      </rPr>
      <t xml:space="preserve">2026</t>
    </r>
    <r>
      <rPr>
        <sz val="9"/>
        <color rgb="FF000000"/>
        <rFont val="WenQuanYi Zen Hei"/>
        <family val="2"/>
      </rPr>
      <t xml:space="preserve">年は</t>
    </r>
    <r>
      <rPr>
        <sz val="9"/>
        <color rgb="FF000000"/>
        <rFont val="HGPｺﾞｼｯｸM"/>
        <family val="0"/>
        <charset val="1"/>
      </rPr>
      <t xml:space="preserve">PDF</t>
    </r>
    <r>
      <rPr>
        <sz val="9"/>
        <color rgb="FF000000"/>
        <rFont val="WenQuanYi Zen Hei"/>
        <family val="2"/>
      </rPr>
      <t xml:space="preserve">）</t>
    </r>
  </si>
  <si>
    <r>
      <rPr>
        <sz val="9"/>
        <color rgb="FF000000"/>
        <rFont val="HGPｺﾞｼｯｸM"/>
        <family val="0"/>
        <charset val="1"/>
      </rPr>
      <t xml:space="preserve">※ 2025</t>
    </r>
    <r>
      <rPr>
        <sz val="9"/>
        <color rgb="FF000000"/>
        <rFont val="WenQuanYi Zen Hei"/>
        <family val="2"/>
      </rPr>
      <t xml:space="preserve">年</t>
    </r>
    <r>
      <rPr>
        <sz val="9"/>
        <color rgb="FF000000"/>
        <rFont val="HGPｺﾞｼｯｸM"/>
        <family val="0"/>
        <charset val="1"/>
      </rPr>
      <t xml:space="preserve">2</t>
    </r>
    <r>
      <rPr>
        <sz val="9"/>
        <color rgb="FF000000"/>
        <rFont val="WenQuanYi Zen Hei"/>
        <family val="2"/>
      </rPr>
      <t xml:space="preserve">次合宿は、元データの日付欄が</t>
    </r>
    <r>
      <rPr>
        <sz val="9"/>
        <color rgb="FF000000"/>
        <rFont val="HGPｺﾞｼｯｸM"/>
        <family val="0"/>
        <charset val="1"/>
      </rPr>
      <t xml:space="preserve">2023</t>
    </r>
    <r>
      <rPr>
        <sz val="9"/>
        <color rgb="FF000000"/>
        <rFont val="WenQuanYi Zen Hei"/>
        <family val="2"/>
      </rPr>
      <t xml:space="preserve">年の日付のまま残っていたため、日付を「—」とし実施順に並べた</t>
    </r>
  </si>
  <si>
    <r>
      <rPr>
        <sz val="9"/>
        <color rgb="FF000000"/>
        <rFont val="HGPｺﾞｼｯｸM"/>
        <family val="0"/>
        <charset val="1"/>
      </rPr>
      <t xml:space="preserve">※ 2024</t>
    </r>
    <r>
      <rPr>
        <sz val="9"/>
        <color rgb="FF000000"/>
        <rFont val="WenQuanYi Zen Hei"/>
        <family val="2"/>
      </rPr>
      <t xml:space="preserve">年</t>
    </r>
    <r>
      <rPr>
        <sz val="9"/>
        <color rgb="FF000000"/>
        <rFont val="HGPｺﾞｼｯｸM"/>
        <family val="0"/>
        <charset val="1"/>
      </rPr>
      <t xml:space="preserve">2</t>
    </r>
    <r>
      <rPr>
        <sz val="9"/>
        <color rgb="FF000000"/>
        <rFont val="WenQuanYi Zen Hei"/>
        <family val="2"/>
      </rPr>
      <t xml:space="preserve">次合宿と</t>
    </r>
    <r>
      <rPr>
        <sz val="9"/>
        <color rgb="FF000000"/>
        <rFont val="HGPｺﾞｼｯｸM"/>
        <family val="0"/>
        <charset val="1"/>
      </rPr>
      <t xml:space="preserve">2026</t>
    </r>
    <r>
      <rPr>
        <sz val="9"/>
        <color rgb="FF000000"/>
        <rFont val="WenQuanYi Zen Hei"/>
        <family val="2"/>
      </rPr>
      <t xml:space="preserve">年</t>
    </r>
    <r>
      <rPr>
        <sz val="9"/>
        <color rgb="FF000000"/>
        <rFont val="HGPｺﾞｼｯｸM"/>
        <family val="0"/>
        <charset val="1"/>
      </rPr>
      <t xml:space="preserve">3</t>
    </r>
    <r>
      <rPr>
        <sz val="9"/>
        <color rgb="FF000000"/>
        <rFont val="WenQuanYi Zen Hei"/>
        <family val="2"/>
      </rPr>
      <t xml:space="preserve">次合宿は、</t>
    </r>
    <r>
      <rPr>
        <sz val="9"/>
        <color rgb="FF000000"/>
        <rFont val="HGPｺﾞｼｯｸM"/>
        <family val="0"/>
        <charset val="1"/>
      </rPr>
      <t xml:space="preserve">PDF</t>
    </r>
    <r>
      <rPr>
        <sz val="9"/>
        <color rgb="FF000000"/>
        <rFont val="WenQuanYi Zen Hei"/>
        <family val="2"/>
      </rPr>
      <t xml:space="preserve">で日付欄が複数メニューにまたがっていたため、天候の記録時刻と並び順から日付を判断した</t>
    </r>
  </si>
  <si>
    <r>
      <rPr>
        <b val="true"/>
        <sz val="10"/>
        <rFont val="HGPｺﾞｼｯｸM"/>
        <family val="0"/>
        <charset val="1"/>
      </rPr>
      <t xml:space="preserve">2023</t>
    </r>
    <r>
      <rPr>
        <b val="true"/>
        <sz val="10"/>
        <rFont val="WenQuanYi Zen Hei"/>
        <family val="2"/>
      </rPr>
      <t xml:space="preserve">年（出雲 総合</t>
    </r>
    <r>
      <rPr>
        <b val="true"/>
        <sz val="10"/>
        <rFont val="HGPｺﾞｼｯｸM"/>
        <family val="0"/>
        <charset val="1"/>
      </rPr>
      <t xml:space="preserve">4</t>
    </r>
    <r>
      <rPr>
        <b val="true"/>
        <sz val="10"/>
        <rFont val="WenQuanYi Zen Hei"/>
        <family val="2"/>
      </rPr>
      <t xml:space="preserve">位）　メンバー：</t>
    </r>
    <r>
      <rPr>
        <b val="true"/>
        <sz val="10"/>
        <rFont val="HGPｺﾞｼｯｸM"/>
        <family val="0"/>
        <charset val="1"/>
      </rPr>
      <t xml:space="preserve">1</t>
    </r>
    <r>
      <rPr>
        <b val="true"/>
        <sz val="10"/>
        <rFont val="WenQuanYi Zen Hei"/>
        <family val="2"/>
      </rPr>
      <t xml:space="preserve">区 野村昭夢／</t>
    </r>
    <r>
      <rPr>
        <b val="true"/>
        <sz val="10"/>
        <rFont val="HGPｺﾞｼｯｸM"/>
        <family val="0"/>
        <charset val="1"/>
      </rPr>
      <t xml:space="preserve">2</t>
    </r>
    <r>
      <rPr>
        <b val="true"/>
        <sz val="10"/>
        <rFont val="WenQuanYi Zen Hei"/>
        <family val="2"/>
      </rPr>
      <t xml:space="preserve">区 黒田朝日／</t>
    </r>
    <r>
      <rPr>
        <b val="true"/>
        <sz val="10"/>
        <rFont val="HGPｺﾞｼｯｸM"/>
        <family val="0"/>
        <charset val="1"/>
      </rPr>
      <t xml:space="preserve">3</t>
    </r>
    <r>
      <rPr>
        <b val="true"/>
        <sz val="10"/>
        <rFont val="WenQuanYi Zen Hei"/>
        <family val="2"/>
      </rPr>
      <t xml:space="preserve">区 佐藤一世／</t>
    </r>
    <r>
      <rPr>
        <b val="true"/>
        <sz val="10"/>
        <rFont val="HGPｺﾞｼｯｸM"/>
        <family val="0"/>
        <charset val="1"/>
      </rPr>
      <t xml:space="preserve">4</t>
    </r>
    <r>
      <rPr>
        <b val="true"/>
        <sz val="10"/>
        <rFont val="WenQuanYi Zen Hei"/>
        <family val="2"/>
      </rPr>
      <t xml:space="preserve">区 山内健登／</t>
    </r>
    <r>
      <rPr>
        <b val="true"/>
        <sz val="10"/>
        <rFont val="HGPｺﾞｼｯｸM"/>
        <family val="0"/>
        <charset val="1"/>
      </rPr>
      <t xml:space="preserve">5</t>
    </r>
    <r>
      <rPr>
        <b val="true"/>
        <sz val="10"/>
        <rFont val="WenQuanYi Zen Hei"/>
        <family val="2"/>
      </rPr>
      <t xml:space="preserve">区 鳥井健太／</t>
    </r>
    <r>
      <rPr>
        <b val="true"/>
        <sz val="10"/>
        <rFont val="HGPｺﾞｼｯｸM"/>
        <family val="0"/>
        <charset val="1"/>
      </rPr>
      <t xml:space="preserve">6</t>
    </r>
    <r>
      <rPr>
        <b val="true"/>
        <sz val="10"/>
        <rFont val="WenQuanYi Zen Hei"/>
        <family val="2"/>
      </rPr>
      <t xml:space="preserve">区 鶴川正也</t>
    </r>
  </si>
  <si>
    <r>
      <rPr>
        <b val="true"/>
        <sz val="11"/>
        <color rgb="FF000000"/>
        <rFont val="HGPｺﾞｼｯｸM"/>
        <family val="0"/>
        <charset val="1"/>
      </rPr>
      <t xml:space="preserve">1</t>
    </r>
    <r>
      <rPr>
        <b val="true"/>
        <sz val="11"/>
        <color rgb="FF000000"/>
        <rFont val="WenQuanYi Zen Hei"/>
        <family val="2"/>
      </rPr>
      <t xml:space="preserve">次合宿（</t>
    </r>
    <r>
      <rPr>
        <b val="true"/>
        <sz val="11"/>
        <color rgb="FF000000"/>
        <rFont val="HGPｺﾞｼｯｸM"/>
        <family val="0"/>
        <charset val="1"/>
      </rPr>
      <t xml:space="preserve">7/26</t>
    </r>
    <r>
      <rPr>
        <b val="true"/>
        <sz val="11"/>
        <color rgb="FF000000"/>
        <rFont val="WenQuanYi Zen Hei"/>
        <family val="2"/>
      </rPr>
      <t xml:space="preserve">〜</t>
    </r>
    <r>
      <rPr>
        <b val="true"/>
        <sz val="11"/>
        <color rgb="FF000000"/>
        <rFont val="HGPｺﾞｼｯｸM"/>
        <family val="0"/>
        <charset val="1"/>
      </rPr>
      <t xml:space="preserve">8/16</t>
    </r>
    <r>
      <rPr>
        <b val="true"/>
        <sz val="11"/>
        <color rgb="FF000000"/>
        <rFont val="WenQuanYi Zen Hei"/>
        <family val="2"/>
      </rPr>
      <t xml:space="preserve">）</t>
    </r>
  </si>
  <si>
    <t xml:space="preserve">日付</t>
  </si>
  <si>
    <t xml:space="preserve">メニュー（設定）</t>
  </si>
  <si>
    <t xml:space="preserve">野村</t>
  </si>
  <si>
    <t xml:space="preserve">黒田朝</t>
  </si>
  <si>
    <t xml:space="preserve">佐藤一</t>
  </si>
  <si>
    <t xml:space="preserve">山内</t>
  </si>
  <si>
    <t xml:space="preserve">鳥井</t>
  </si>
  <si>
    <t xml:space="preserve">鶴川</t>
  </si>
  <si>
    <t xml:space="preserve">7/26</t>
  </si>
  <si>
    <r>
      <rPr>
        <sz val="10"/>
        <color rgb="FF000000"/>
        <rFont val="HGPｺﾞｼｯｸM"/>
        <family val="0"/>
        <charset val="1"/>
      </rPr>
      <t xml:space="preserve">16km+200m×5</t>
    </r>
    <r>
      <rPr>
        <sz val="10"/>
        <color rgb="FF000000"/>
        <rFont val="WenQuanYi Zen Hei"/>
        <family val="2"/>
      </rPr>
      <t xml:space="preserve">（</t>
    </r>
    <r>
      <rPr>
        <sz val="10"/>
        <color rgb="FF000000"/>
        <rFont val="HGPｺﾞｼｯｸM"/>
        <family val="0"/>
        <charset val="1"/>
      </rPr>
      <t xml:space="preserve">3:36→3:30</t>
    </r>
    <r>
      <rPr>
        <sz val="10"/>
        <color rgb="FF000000"/>
        <rFont val="WenQuanYi Zen Hei"/>
        <family val="2"/>
      </rPr>
      <t xml:space="preserve">）</t>
    </r>
  </si>
  <si>
    <t xml:space="preserve">30%</t>
  </si>
  <si>
    <t xml:space="preserve">A 100%</t>
  </si>
  <si>
    <t xml:space="preserve">0%</t>
  </si>
  <si>
    <t xml:space="preserve">8/3</t>
  </si>
  <si>
    <r>
      <rPr>
        <sz val="10"/>
        <color rgb="FF000000"/>
        <rFont val="HGPｺﾞｼｯｸM"/>
        <family val="0"/>
        <charset val="1"/>
      </rPr>
      <t xml:space="preserve">CC24km</t>
    </r>
    <r>
      <rPr>
        <sz val="10"/>
        <color rgb="FF000000"/>
        <rFont val="WenQuanYi Zen Hei"/>
        <family val="2"/>
      </rPr>
      <t xml:space="preserve">（</t>
    </r>
    <r>
      <rPr>
        <sz val="10"/>
        <color rgb="FF000000"/>
        <rFont val="HGPｺﾞｼｯｸM"/>
        <family val="0"/>
        <charset val="1"/>
      </rPr>
      <t xml:space="preserve">A 3:36→3:30</t>
    </r>
    <r>
      <rPr>
        <sz val="10"/>
        <color rgb="FF000000"/>
        <rFont val="WenQuanYi Zen Hei"/>
        <family val="2"/>
      </rPr>
      <t xml:space="preserve">／</t>
    </r>
    <r>
      <rPr>
        <sz val="10"/>
        <color rgb="FF000000"/>
        <rFont val="HGPｺﾞｼｯｸM"/>
        <family val="0"/>
        <charset val="1"/>
      </rPr>
      <t xml:space="preserve">B 3:48→3:30</t>
    </r>
    <r>
      <rPr>
        <sz val="10"/>
        <color rgb="FF000000"/>
        <rFont val="WenQuanYi Zen Hei"/>
        <family val="2"/>
      </rPr>
      <t xml:space="preserve">）</t>
    </r>
  </si>
  <si>
    <t xml:space="preserve">B1(16km) 30%</t>
  </si>
  <si>
    <t xml:space="preserve">A1 100%</t>
  </si>
  <si>
    <t xml:space="preserve">B1 100%</t>
  </si>
  <si>
    <t xml:space="preserve">8/5</t>
  </si>
  <si>
    <r>
      <rPr>
        <sz val="10"/>
        <color rgb="FF000000"/>
        <rFont val="HGPｺﾞｼｯｸM"/>
        <family val="0"/>
        <charset val="1"/>
      </rPr>
      <t xml:space="preserve">25km </t>
    </r>
    <r>
      <rPr>
        <sz val="10"/>
        <color rgb="FF000000"/>
        <rFont val="WenQuanYi Zen Hei"/>
        <family val="2"/>
      </rPr>
      <t xml:space="preserve">中</t>
    </r>
    <r>
      <rPr>
        <sz val="10"/>
        <color rgb="FF000000"/>
        <rFont val="HGPｺﾞｼｯｸM"/>
        <family val="0"/>
        <charset val="1"/>
      </rPr>
      <t xml:space="preserve">×4</t>
    </r>
    <r>
      <rPr>
        <sz val="10"/>
        <color rgb="FF000000"/>
        <rFont val="WenQuanYi Zen Hei"/>
        <family val="2"/>
      </rPr>
      <t xml:space="preserve">（</t>
    </r>
    <r>
      <rPr>
        <sz val="10"/>
        <color rgb="FF000000"/>
        <rFont val="HGPｺﾞｼｯｸM"/>
        <family val="0"/>
        <charset val="1"/>
      </rPr>
      <t xml:space="preserve">A 3:30</t>
    </r>
    <r>
      <rPr>
        <sz val="10"/>
        <color rgb="FF000000"/>
        <rFont val="WenQuanYi Zen Hei"/>
        <family val="2"/>
      </rPr>
      <t xml:space="preserve">通し／</t>
    </r>
    <r>
      <rPr>
        <sz val="10"/>
        <color rgb="FF000000"/>
        <rFont val="HGPｺﾞｼｯｸM"/>
        <family val="0"/>
        <charset val="1"/>
      </rPr>
      <t xml:space="preserve">B 3:36→3:30</t>
    </r>
    <r>
      <rPr>
        <sz val="10"/>
        <color rgb="FF000000"/>
        <rFont val="WenQuanYi Zen Hei"/>
        <family val="2"/>
      </rPr>
      <t xml:space="preserve">）</t>
    </r>
  </si>
  <si>
    <t xml:space="preserve">B(22.75km) 70%</t>
  </si>
  <si>
    <t xml:space="preserve">B 100%</t>
  </si>
  <si>
    <t xml:space="preserve">8/8</t>
  </si>
  <si>
    <r>
      <rPr>
        <sz val="10"/>
        <color rgb="FF000000"/>
        <rFont val="HGPｺﾞｼｯｸM"/>
        <family val="0"/>
        <charset val="1"/>
      </rPr>
      <t xml:space="preserve">20km</t>
    </r>
    <r>
      <rPr>
        <sz val="10"/>
        <color rgb="FF000000"/>
        <rFont val="WenQuanYi Zen Hei"/>
        <family val="2"/>
      </rPr>
      <t xml:space="preserve">坂</t>
    </r>
    <r>
      <rPr>
        <sz val="10"/>
        <color rgb="FF000000"/>
        <rFont val="HGPｺﾞｼｯｸM"/>
        <family val="0"/>
        <charset val="1"/>
      </rPr>
      <t xml:space="preserve">PTT</t>
    </r>
    <r>
      <rPr>
        <sz val="10"/>
        <color rgb="FF000000"/>
        <rFont val="WenQuanYi Zen Hei"/>
        <family val="2"/>
      </rPr>
      <t xml:space="preserve">（</t>
    </r>
    <r>
      <rPr>
        <sz val="10"/>
        <color rgb="FF000000"/>
        <rFont val="HGPｺﾞｼｯｸM"/>
        <family val="0"/>
        <charset val="1"/>
      </rPr>
      <t xml:space="preserve">3:42→3:36</t>
    </r>
    <r>
      <rPr>
        <sz val="10"/>
        <color rgb="FF000000"/>
        <rFont val="WenQuanYi Zen Hei"/>
        <family val="2"/>
      </rPr>
      <t xml:space="preserve">）</t>
    </r>
  </si>
  <si>
    <t xml:space="preserve">11:03/1:13:42 100%</t>
  </si>
  <si>
    <t xml:space="preserve">10:11/1:12:49 100%</t>
  </si>
  <si>
    <t xml:space="preserve">11:15/1:13:54 100%</t>
  </si>
  <si>
    <t xml:space="preserve">11:42/1:14:20 100%</t>
  </si>
  <si>
    <t xml:space="preserve">10:39/1:13:17 100%</t>
  </si>
  <si>
    <t xml:space="preserve">10:53/1:13:31 30%</t>
  </si>
  <si>
    <t xml:space="preserve">8/10</t>
  </si>
  <si>
    <r>
      <rPr>
        <sz val="10"/>
        <color rgb="FF000000"/>
        <rFont val="HGPｺﾞｼｯｸM"/>
        <family val="0"/>
        <charset val="1"/>
      </rPr>
      <t xml:space="preserve">30km</t>
    </r>
    <r>
      <rPr>
        <sz val="10"/>
        <color rgb="FF000000"/>
        <rFont val="WenQuanYi Zen Hei"/>
        <family val="2"/>
      </rPr>
      <t xml:space="preserve">（</t>
    </r>
    <r>
      <rPr>
        <sz val="10"/>
        <color rgb="FF000000"/>
        <rFont val="HGPｺﾞｼｯｸM"/>
        <family val="0"/>
        <charset val="1"/>
      </rPr>
      <t xml:space="preserve">A 3:42→3:36→3:30</t>
    </r>
    <r>
      <rPr>
        <sz val="10"/>
        <color rgb="FF000000"/>
        <rFont val="WenQuanYi Zen Hei"/>
        <family val="2"/>
      </rPr>
      <t xml:space="preserve">）</t>
    </r>
  </si>
  <si>
    <t xml:space="preserve">A(22km) 70%</t>
  </si>
  <si>
    <t xml:space="preserve">8/13</t>
  </si>
  <si>
    <t xml:space="preserve">11:16/1:14:39 100%</t>
  </si>
  <si>
    <t xml:space="preserve">10:00/1:13:23 100%</t>
  </si>
  <si>
    <t xml:space="preserve">11:05/1:14:28 100%</t>
  </si>
  <si>
    <t xml:space="preserve">11:54/1:15:17 100%</t>
  </si>
  <si>
    <t xml:space="preserve">10:39/1:14:02 100%</t>
  </si>
  <si>
    <t xml:space="preserve">10:41/1:14:04 100%</t>
  </si>
  <si>
    <t xml:space="preserve">8/15</t>
  </si>
  <si>
    <r>
      <rPr>
        <sz val="10"/>
        <color rgb="FF000000"/>
        <rFont val="HGPｺﾞｼｯｸM"/>
        <family val="0"/>
        <charset val="1"/>
      </rPr>
      <t xml:space="preserve">42.195km</t>
    </r>
    <r>
      <rPr>
        <sz val="10"/>
        <color rgb="FF000000"/>
        <rFont val="WenQuanYi Zen Hei"/>
        <family val="2"/>
      </rPr>
      <t xml:space="preserve">（</t>
    </r>
    <r>
      <rPr>
        <sz val="10"/>
        <color rgb="FF000000"/>
        <rFont val="HGPｺﾞｼｯｸM"/>
        <family val="0"/>
        <charset val="1"/>
      </rPr>
      <t xml:space="preserve">4:00</t>
    </r>
    <r>
      <rPr>
        <sz val="10"/>
        <color rgb="FF000000"/>
        <rFont val="WenQuanYi Zen Hei"/>
        <family val="2"/>
      </rPr>
      <t xml:space="preserve">目安）</t>
    </r>
  </si>
  <si>
    <t xml:space="preserve">21km+1km 30%</t>
  </si>
  <si>
    <t xml:space="preserve">100%</t>
  </si>
  <si>
    <r>
      <rPr>
        <b val="true"/>
        <sz val="11"/>
        <color rgb="FF000000"/>
        <rFont val="HGPｺﾞｼｯｸM"/>
        <family val="0"/>
        <charset val="1"/>
      </rPr>
      <t xml:space="preserve">2</t>
    </r>
    <r>
      <rPr>
        <b val="true"/>
        <sz val="11"/>
        <color rgb="FF000000"/>
        <rFont val="WenQuanYi Zen Hei"/>
        <family val="2"/>
      </rPr>
      <t xml:space="preserve">次合宿（</t>
    </r>
    <r>
      <rPr>
        <b val="true"/>
        <sz val="11"/>
        <color rgb="FF000000"/>
        <rFont val="HGPｺﾞｼｯｸM"/>
        <family val="0"/>
        <charset val="1"/>
      </rPr>
      <t xml:space="preserve">8/25</t>
    </r>
    <r>
      <rPr>
        <b val="true"/>
        <sz val="11"/>
        <color rgb="FF000000"/>
        <rFont val="WenQuanYi Zen Hei"/>
        <family val="2"/>
      </rPr>
      <t xml:space="preserve">〜</t>
    </r>
    <r>
      <rPr>
        <b val="true"/>
        <sz val="11"/>
        <color rgb="FF000000"/>
        <rFont val="HGPｺﾞｼｯｸM"/>
        <family val="0"/>
        <charset val="1"/>
      </rPr>
      <t xml:space="preserve">9/3</t>
    </r>
    <r>
      <rPr>
        <b val="true"/>
        <sz val="11"/>
        <color rgb="FF000000"/>
        <rFont val="WenQuanYi Zen Hei"/>
        <family val="2"/>
      </rPr>
      <t xml:space="preserve">）</t>
    </r>
  </si>
  <si>
    <t xml:space="preserve">8/26</t>
  </si>
  <si>
    <r>
      <rPr>
        <sz val="10"/>
        <color rgb="FF000000"/>
        <rFont val="HGPｺﾞｼｯｸM"/>
        <family val="0"/>
        <charset val="1"/>
      </rPr>
      <t xml:space="preserve">16km+200m×5</t>
    </r>
    <r>
      <rPr>
        <sz val="10"/>
        <color rgb="FF000000"/>
        <rFont val="WenQuanYi Zen Hei"/>
        <family val="2"/>
      </rPr>
      <t xml:space="preserve">（</t>
    </r>
    <r>
      <rPr>
        <sz val="10"/>
        <color rgb="FF000000"/>
        <rFont val="HGPｺﾞｼｯｸM"/>
        <family val="0"/>
        <charset val="1"/>
      </rPr>
      <t xml:space="preserve">3:30→3:10</t>
    </r>
    <r>
      <rPr>
        <sz val="10"/>
        <color rgb="FF000000"/>
        <rFont val="WenQuanYi Zen Hei"/>
        <family val="2"/>
      </rPr>
      <t xml:space="preserve">）</t>
    </r>
  </si>
  <si>
    <t xml:space="preserve">A 70%</t>
  </si>
  <si>
    <t xml:space="preserve">8/27</t>
  </si>
  <si>
    <r>
      <rPr>
        <sz val="10"/>
        <color rgb="FF000000"/>
        <rFont val="HGPｺﾞｼｯｸM"/>
        <family val="0"/>
        <charset val="1"/>
      </rPr>
      <t xml:space="preserve">CC30km</t>
    </r>
    <r>
      <rPr>
        <sz val="10"/>
        <color rgb="FF000000"/>
        <rFont val="WenQuanYi Zen Hei"/>
        <family val="2"/>
      </rPr>
      <t xml:space="preserve">（</t>
    </r>
    <r>
      <rPr>
        <sz val="10"/>
        <color rgb="FF000000"/>
        <rFont val="HGPｺﾞｼｯｸM"/>
        <family val="0"/>
        <charset val="1"/>
      </rPr>
      <t xml:space="preserve">3:42→3:36→3:30</t>
    </r>
    <r>
      <rPr>
        <sz val="10"/>
        <color rgb="FF000000"/>
        <rFont val="WenQuanYi Zen Hei"/>
        <family val="2"/>
      </rPr>
      <t xml:space="preserve">）</t>
    </r>
  </si>
  <si>
    <t xml:space="preserve">8/30</t>
  </si>
  <si>
    <r>
      <rPr>
        <sz val="10"/>
        <color rgb="FF000000"/>
        <rFont val="HGPｺﾞｼｯｸM"/>
        <family val="0"/>
        <charset val="1"/>
      </rPr>
      <t xml:space="preserve">24000m</t>
    </r>
    <r>
      <rPr>
        <sz val="10"/>
        <color rgb="FF000000"/>
        <rFont val="WenQuanYi Zen Hei"/>
        <family val="2"/>
      </rPr>
      <t xml:space="preserve">ペース走</t>
    </r>
    <r>
      <rPr>
        <sz val="10"/>
        <color rgb="FF000000"/>
        <rFont val="HGPｺﾞｼｯｸM"/>
        <family val="0"/>
        <charset val="1"/>
      </rPr>
      <t xml:space="preserve">+1000m×2</t>
    </r>
    <r>
      <rPr>
        <sz val="10"/>
        <color rgb="FF000000"/>
        <rFont val="WenQuanYi Zen Hei"/>
        <family val="2"/>
      </rPr>
      <t xml:space="preserve">（</t>
    </r>
    <r>
      <rPr>
        <sz val="10"/>
        <color rgb="FF000000"/>
        <rFont val="HGPｺﾞｼｯｸM"/>
        <family val="0"/>
        <charset val="1"/>
      </rPr>
      <t xml:space="preserve">3:30→3:10</t>
    </r>
    <r>
      <rPr>
        <sz val="10"/>
        <color rgb="FF000000"/>
        <rFont val="WenQuanYi Zen Hei"/>
        <family val="2"/>
      </rPr>
      <t xml:space="preserve">／</t>
    </r>
    <r>
      <rPr>
        <sz val="10"/>
        <color rgb="FF000000"/>
        <rFont val="HGPｺﾞｼｯｸM"/>
        <family val="0"/>
        <charset val="1"/>
      </rPr>
      <t xml:space="preserve">2:50</t>
    </r>
    <r>
      <rPr>
        <sz val="10"/>
        <color rgb="FF000000"/>
        <rFont val="WenQuanYi Zen Hei"/>
        <family val="2"/>
      </rPr>
      <t xml:space="preserve">）</t>
    </r>
  </si>
  <si>
    <t xml:space="preserve">9/2</t>
  </si>
  <si>
    <r>
      <rPr>
        <b val="true"/>
        <sz val="11"/>
        <color rgb="FF000000"/>
        <rFont val="HGPｺﾞｼｯｸM"/>
        <family val="0"/>
        <charset val="1"/>
      </rPr>
      <t xml:space="preserve">3</t>
    </r>
    <r>
      <rPr>
        <b val="true"/>
        <sz val="11"/>
        <color rgb="FF000000"/>
        <rFont val="WenQuanYi Zen Hei"/>
        <family val="2"/>
      </rPr>
      <t xml:space="preserve">次合宿（</t>
    </r>
    <r>
      <rPr>
        <b val="true"/>
        <sz val="11"/>
        <color rgb="FF000000"/>
        <rFont val="HGPｺﾞｼｯｸM"/>
        <family val="0"/>
        <charset val="1"/>
      </rPr>
      <t xml:space="preserve">9/12</t>
    </r>
    <r>
      <rPr>
        <b val="true"/>
        <sz val="11"/>
        <color rgb="FF000000"/>
        <rFont val="WenQuanYi Zen Hei"/>
        <family val="2"/>
      </rPr>
      <t xml:space="preserve">〜</t>
    </r>
    <r>
      <rPr>
        <b val="true"/>
        <sz val="11"/>
        <color rgb="FF000000"/>
        <rFont val="HGPｺﾞｼｯｸM"/>
        <family val="0"/>
        <charset val="1"/>
      </rPr>
      <t xml:space="preserve">9/17</t>
    </r>
    <r>
      <rPr>
        <b val="true"/>
        <sz val="11"/>
        <color rgb="FF000000"/>
        <rFont val="WenQuanYi Zen Hei"/>
        <family val="2"/>
      </rPr>
      <t xml:space="preserve">）</t>
    </r>
  </si>
  <si>
    <t xml:space="preserve">9/12</t>
  </si>
  <si>
    <r>
      <rPr>
        <sz val="10"/>
        <color rgb="FF000000"/>
        <rFont val="HGPｺﾞｼｯｸM"/>
        <family val="0"/>
        <charset val="1"/>
      </rPr>
      <t xml:space="preserve">15km+150m×3</t>
    </r>
    <r>
      <rPr>
        <sz val="10"/>
        <color rgb="FF000000"/>
        <rFont val="WenQuanYi Zen Hei"/>
        <family val="2"/>
      </rPr>
      <t xml:space="preserve">（</t>
    </r>
    <r>
      <rPr>
        <sz val="10"/>
        <color rgb="FF000000"/>
        <rFont val="HGPｺﾞｼｯｸM"/>
        <family val="0"/>
        <charset val="1"/>
      </rPr>
      <t xml:space="preserve">3:30→3:20</t>
    </r>
    <r>
      <rPr>
        <sz val="10"/>
        <color rgb="FF000000"/>
        <rFont val="WenQuanYi Zen Hei"/>
        <family val="2"/>
      </rPr>
      <t xml:space="preserve">）</t>
    </r>
  </si>
  <si>
    <t xml:space="preserve">9/13</t>
  </si>
  <si>
    <r>
      <rPr>
        <sz val="10"/>
        <color rgb="FF000000"/>
        <rFont val="HGPｺﾞｼｯｸM"/>
        <family val="0"/>
        <charset val="1"/>
      </rPr>
      <t xml:space="preserve">1000m+12000m+400m+200m×5</t>
    </r>
    <r>
      <rPr>
        <sz val="10"/>
        <color rgb="FF000000"/>
        <rFont val="WenQuanYi Zen Hei"/>
        <family val="2"/>
      </rPr>
      <t xml:space="preserve">（</t>
    </r>
    <r>
      <rPr>
        <sz val="10"/>
        <color rgb="FF000000"/>
        <rFont val="HGPｺﾞｼｯｸM"/>
        <family val="0"/>
        <charset val="1"/>
      </rPr>
      <t xml:space="preserve">2:40</t>
    </r>
    <r>
      <rPr>
        <sz val="10"/>
        <color rgb="FF000000"/>
        <rFont val="WenQuanYi Zen Hei"/>
        <family val="2"/>
      </rPr>
      <t xml:space="preserve">／</t>
    </r>
    <r>
      <rPr>
        <sz val="10"/>
        <color rgb="FF000000"/>
        <rFont val="HGPｺﾞｼｯｸM"/>
        <family val="0"/>
        <charset val="1"/>
      </rPr>
      <t xml:space="preserve">3:20→3:10</t>
    </r>
    <r>
      <rPr>
        <sz val="10"/>
        <color rgb="FF000000"/>
        <rFont val="WenQuanYi Zen Hei"/>
        <family val="2"/>
      </rPr>
      <t xml:space="preserve">／</t>
    </r>
    <r>
      <rPr>
        <sz val="10"/>
        <color rgb="FF000000"/>
        <rFont val="HGPｺﾞｼｯｸM"/>
        <family val="0"/>
        <charset val="1"/>
      </rPr>
      <t xml:space="preserve">58</t>
    </r>
    <r>
      <rPr>
        <sz val="10"/>
        <color rgb="FF000000"/>
        <rFont val="WenQuanYi Zen Hei"/>
        <family val="2"/>
      </rPr>
      <t xml:space="preserve">）</t>
    </r>
  </si>
  <si>
    <r>
      <rPr>
        <sz val="10"/>
        <color rgb="FF000000"/>
        <rFont val="HGPｺﾞｼｯｸM"/>
        <family val="0"/>
        <charset val="1"/>
      </rPr>
      <t xml:space="preserve">12000m</t>
    </r>
    <r>
      <rPr>
        <sz val="10"/>
        <color rgb="FF000000"/>
        <rFont val="WenQuanYi Zen Hei"/>
        <family val="2"/>
      </rPr>
      <t xml:space="preserve">以降のみ </t>
    </r>
    <r>
      <rPr>
        <sz val="10"/>
        <color rgb="FF000000"/>
        <rFont val="HGPｺﾞｼｯｸM"/>
        <family val="0"/>
        <charset val="1"/>
      </rPr>
      <t xml:space="preserve">70%</t>
    </r>
  </si>
  <si>
    <t xml:space="preserve">9/15</t>
  </si>
  <si>
    <r>
      <rPr>
        <sz val="10"/>
        <color rgb="FF000000"/>
        <rFont val="HGPｺﾞｼｯｸM"/>
        <family val="0"/>
        <charset val="1"/>
      </rPr>
      <t xml:space="preserve">20km+1000m+200m×5</t>
    </r>
    <r>
      <rPr>
        <sz val="10"/>
        <color rgb="FF000000"/>
        <rFont val="WenQuanYi Zen Hei"/>
        <family val="2"/>
      </rPr>
      <t xml:space="preserve">（</t>
    </r>
    <r>
      <rPr>
        <sz val="10"/>
        <color rgb="FF000000"/>
        <rFont val="HGPｺﾞｼｯｸM"/>
        <family val="0"/>
        <charset val="1"/>
      </rPr>
      <t xml:space="preserve">3:30</t>
    </r>
    <r>
      <rPr>
        <sz val="10"/>
        <color rgb="FF000000"/>
        <rFont val="WenQuanYi Zen Hei"/>
        <family val="2"/>
      </rPr>
      <t xml:space="preserve">／</t>
    </r>
    <r>
      <rPr>
        <sz val="10"/>
        <color rgb="FF000000"/>
        <rFont val="HGPｺﾞｼｯｸM"/>
        <family val="0"/>
        <charset val="1"/>
      </rPr>
      <t xml:space="preserve">2:45</t>
    </r>
    <r>
      <rPr>
        <sz val="10"/>
        <color rgb="FF000000"/>
        <rFont val="WenQuanYi Zen Hei"/>
        <family val="2"/>
      </rPr>
      <t xml:space="preserve">／</t>
    </r>
    <r>
      <rPr>
        <sz val="10"/>
        <color rgb="FF000000"/>
        <rFont val="HGPｺﾞｼｯｸM"/>
        <family val="0"/>
        <charset val="1"/>
      </rPr>
      <t xml:space="preserve">30-28</t>
    </r>
    <r>
      <rPr>
        <sz val="10"/>
        <color rgb="FF000000"/>
        <rFont val="WenQuanYi Zen Hei"/>
        <family val="2"/>
      </rPr>
      <t xml:space="preserve">）</t>
    </r>
  </si>
  <si>
    <t xml:space="preserve">A1 70%</t>
  </si>
  <si>
    <t xml:space="preserve">A2 100%</t>
  </si>
  <si>
    <t xml:space="preserve">9/17</t>
  </si>
  <si>
    <r>
      <rPr>
        <sz val="10"/>
        <color rgb="FF000000"/>
        <rFont val="HGPｺﾞｼｯｸM"/>
        <family val="0"/>
        <charset val="1"/>
      </rPr>
      <t xml:space="preserve">400m×12</t>
    </r>
    <r>
      <rPr>
        <sz val="10"/>
        <color rgb="FF000000"/>
        <rFont val="WenQuanYi Zen Hei"/>
        <family val="2"/>
      </rPr>
      <t xml:space="preserve">（</t>
    </r>
    <r>
      <rPr>
        <sz val="10"/>
        <color rgb="FF000000"/>
        <rFont val="HGPｺﾞｼｯｸM"/>
        <family val="0"/>
        <charset val="1"/>
      </rPr>
      <t xml:space="preserve">66</t>
    </r>
    <r>
      <rPr>
        <sz val="10"/>
        <color rgb="FF000000"/>
        <rFont val="WenQuanYi Zen Hei"/>
        <family val="2"/>
      </rPr>
      <t xml:space="preserve">）</t>
    </r>
    <r>
      <rPr>
        <sz val="10"/>
        <color rgb="FF000000"/>
        <rFont val="HGPｺﾞｼｯｸM"/>
        <family val="0"/>
        <charset val="1"/>
      </rPr>
      <t xml:space="preserve">R100m</t>
    </r>
  </si>
  <si>
    <r>
      <rPr>
        <b val="true"/>
        <sz val="14"/>
        <color rgb="FF000000"/>
        <rFont val="HGPｺﾞｼｯｸM"/>
        <family val="0"/>
        <charset val="1"/>
      </rPr>
      <t xml:space="preserve">2024</t>
    </r>
    <r>
      <rPr>
        <b val="true"/>
        <sz val="14"/>
        <color rgb="FF000000"/>
        <rFont val="WenQuanYi Zen Hei"/>
        <family val="2"/>
      </rPr>
      <t xml:space="preserve">年 夏合宿ポイント練習：出雲メンバー</t>
    </r>
    <r>
      <rPr>
        <b val="true"/>
        <sz val="14"/>
        <color rgb="FF000000"/>
        <rFont val="HGPｺﾞｼｯｸM"/>
        <family val="0"/>
        <charset val="1"/>
      </rPr>
      <t xml:space="preserve">6</t>
    </r>
    <r>
      <rPr>
        <b val="true"/>
        <sz val="14"/>
        <color rgb="FF000000"/>
        <rFont val="WenQuanYi Zen Hei"/>
        <family val="2"/>
      </rPr>
      <t xml:space="preserve">人の組・消化率</t>
    </r>
  </si>
  <si>
    <r>
      <rPr>
        <b val="true"/>
        <sz val="10"/>
        <rFont val="HGPｺﾞｼｯｸM"/>
        <family val="0"/>
        <charset val="1"/>
      </rPr>
      <t xml:space="preserve">2024</t>
    </r>
    <r>
      <rPr>
        <b val="true"/>
        <sz val="10"/>
        <rFont val="WenQuanYi Zen Hei"/>
        <family val="2"/>
      </rPr>
      <t xml:space="preserve">年（出雲 総合</t>
    </r>
    <r>
      <rPr>
        <b val="true"/>
        <sz val="10"/>
        <rFont val="HGPｺﾞｼｯｸM"/>
        <family val="0"/>
        <charset val="1"/>
      </rPr>
      <t xml:space="preserve">3</t>
    </r>
    <r>
      <rPr>
        <b val="true"/>
        <sz val="10"/>
        <rFont val="WenQuanYi Zen Hei"/>
        <family val="2"/>
      </rPr>
      <t xml:space="preserve">位）　メンバー：</t>
    </r>
    <r>
      <rPr>
        <b val="true"/>
        <sz val="10"/>
        <rFont val="HGPｺﾞｼｯｸM"/>
        <family val="0"/>
        <charset val="1"/>
      </rPr>
      <t xml:space="preserve">1</t>
    </r>
    <r>
      <rPr>
        <b val="true"/>
        <sz val="10"/>
        <rFont val="WenQuanYi Zen Hei"/>
        <family val="2"/>
      </rPr>
      <t xml:space="preserve">区 鶴川正也／</t>
    </r>
    <r>
      <rPr>
        <b val="true"/>
        <sz val="10"/>
        <rFont val="HGPｺﾞｼｯｸM"/>
        <family val="0"/>
        <charset val="1"/>
      </rPr>
      <t xml:space="preserve">2</t>
    </r>
    <r>
      <rPr>
        <b val="true"/>
        <sz val="10"/>
        <rFont val="WenQuanYi Zen Hei"/>
        <family val="2"/>
      </rPr>
      <t xml:space="preserve">区 野村昭夢／</t>
    </r>
    <r>
      <rPr>
        <b val="true"/>
        <sz val="10"/>
        <rFont val="HGPｺﾞｼｯｸM"/>
        <family val="0"/>
        <charset val="1"/>
      </rPr>
      <t xml:space="preserve">3</t>
    </r>
    <r>
      <rPr>
        <b val="true"/>
        <sz val="10"/>
        <rFont val="WenQuanYi Zen Hei"/>
        <family val="2"/>
      </rPr>
      <t xml:space="preserve">区 黒田朝日／</t>
    </r>
    <r>
      <rPr>
        <b val="true"/>
        <sz val="10"/>
        <rFont val="HGPｺﾞｼｯｸM"/>
        <family val="0"/>
        <charset val="1"/>
      </rPr>
      <t xml:space="preserve">4</t>
    </r>
    <r>
      <rPr>
        <b val="true"/>
        <sz val="10"/>
        <rFont val="WenQuanYi Zen Hei"/>
        <family val="2"/>
      </rPr>
      <t xml:space="preserve">区 宇田川瞬矢／</t>
    </r>
    <r>
      <rPr>
        <b val="true"/>
        <sz val="10"/>
        <rFont val="HGPｺﾞｼｯｸM"/>
        <family val="0"/>
        <charset val="1"/>
      </rPr>
      <t xml:space="preserve">5</t>
    </r>
    <r>
      <rPr>
        <b val="true"/>
        <sz val="10"/>
        <rFont val="WenQuanYi Zen Hei"/>
        <family val="2"/>
      </rPr>
      <t xml:space="preserve">区 若林宏樹／</t>
    </r>
    <r>
      <rPr>
        <b val="true"/>
        <sz val="10"/>
        <rFont val="HGPｺﾞｼｯｸM"/>
        <family val="0"/>
        <charset val="1"/>
      </rPr>
      <t xml:space="preserve">6</t>
    </r>
    <r>
      <rPr>
        <b val="true"/>
        <sz val="10"/>
        <rFont val="WenQuanYi Zen Hei"/>
        <family val="2"/>
      </rPr>
      <t xml:space="preserve">区 太田蒼生</t>
    </r>
  </si>
  <si>
    <r>
      <rPr>
        <b val="true"/>
        <sz val="11"/>
        <color rgb="FF000000"/>
        <rFont val="HGPｺﾞｼｯｸM"/>
        <family val="0"/>
        <charset val="1"/>
      </rPr>
      <t xml:space="preserve">1</t>
    </r>
    <r>
      <rPr>
        <b val="true"/>
        <sz val="11"/>
        <color rgb="FF000000"/>
        <rFont val="WenQuanYi Zen Hei"/>
        <family val="2"/>
      </rPr>
      <t xml:space="preserve">次合宿（</t>
    </r>
    <r>
      <rPr>
        <b val="true"/>
        <sz val="11"/>
        <color rgb="FF000000"/>
        <rFont val="HGPｺﾞｼｯｸM"/>
        <family val="0"/>
        <charset val="1"/>
      </rPr>
      <t xml:space="preserve">8/1</t>
    </r>
    <r>
      <rPr>
        <b val="true"/>
        <sz val="11"/>
        <color rgb="FF000000"/>
        <rFont val="WenQuanYi Zen Hei"/>
        <family val="2"/>
      </rPr>
      <t xml:space="preserve">〜</t>
    </r>
    <r>
      <rPr>
        <b val="true"/>
        <sz val="11"/>
        <color rgb="FF000000"/>
        <rFont val="HGPｺﾞｼｯｸM"/>
        <family val="0"/>
        <charset val="1"/>
      </rPr>
      <t xml:space="preserve">8/19</t>
    </r>
    <r>
      <rPr>
        <b val="true"/>
        <sz val="11"/>
        <color rgb="FF000000"/>
        <rFont val="WenQuanYi Zen Hei"/>
        <family val="2"/>
      </rPr>
      <t xml:space="preserve">、消化率の記録は</t>
    </r>
    <r>
      <rPr>
        <b val="true"/>
        <sz val="11"/>
        <color rgb="FF000000"/>
        <rFont val="HGPｺﾞｼｯｸM"/>
        <family val="0"/>
        <charset val="1"/>
      </rPr>
      <t xml:space="preserve">8/11</t>
    </r>
    <r>
      <rPr>
        <b val="true"/>
        <sz val="11"/>
        <color rgb="FF000000"/>
        <rFont val="WenQuanYi Zen Hei"/>
        <family val="2"/>
      </rPr>
      <t xml:space="preserve">以降）</t>
    </r>
  </si>
  <si>
    <t xml:space="preserve">宇田川</t>
  </si>
  <si>
    <t xml:space="preserve">若林</t>
  </si>
  <si>
    <t xml:space="preserve">太田</t>
  </si>
  <si>
    <t xml:space="preserve">8/11</t>
  </si>
  <si>
    <r>
      <rPr>
        <sz val="10"/>
        <color rgb="FF000000"/>
        <rFont val="HGPｺﾞｼｯｸM"/>
        <family val="0"/>
        <charset val="1"/>
      </rPr>
      <t xml:space="preserve">21km</t>
    </r>
    <r>
      <rPr>
        <sz val="10"/>
        <color rgb="FF000000"/>
        <rFont val="WenQuanYi Zen Hei"/>
        <family val="2"/>
      </rPr>
      <t xml:space="preserve">坂</t>
    </r>
    <r>
      <rPr>
        <sz val="10"/>
        <color rgb="FF000000"/>
        <rFont val="HGPｺﾞｼｯｸM"/>
        <family val="0"/>
        <charset val="1"/>
      </rPr>
      <t xml:space="preserve">PTT</t>
    </r>
    <r>
      <rPr>
        <sz val="10"/>
        <color rgb="FF000000"/>
        <rFont val="WenQuanYi Zen Hei"/>
        <family val="2"/>
      </rPr>
      <t xml:space="preserve">（</t>
    </r>
    <r>
      <rPr>
        <sz val="10"/>
        <color rgb="FF000000"/>
        <rFont val="HGPｺﾞｼｯｸM"/>
        <family val="0"/>
        <charset val="1"/>
      </rPr>
      <t xml:space="preserve">3:42→3:36</t>
    </r>
    <r>
      <rPr>
        <sz val="10"/>
        <color rgb="FF000000"/>
        <rFont val="WenQuanYi Zen Hei"/>
        <family val="2"/>
      </rPr>
      <t xml:space="preserve">）</t>
    </r>
  </si>
  <si>
    <t xml:space="preserve">10:35/1:13:56 100%</t>
  </si>
  <si>
    <t xml:space="preserve">10:40/1:14:01 100%</t>
  </si>
  <si>
    <t xml:space="preserve">9:56/1:13:17 100%</t>
  </si>
  <si>
    <t xml:space="preserve">11:18/1:14:39 100%</t>
  </si>
  <si>
    <t xml:space="preserve">10:29/1:13:50 100%</t>
  </si>
  <si>
    <t xml:space="preserve">70%</t>
  </si>
  <si>
    <r>
      <rPr>
        <sz val="10"/>
        <color rgb="FF000000"/>
        <rFont val="HGPｺﾞｼｯｸM"/>
        <family val="0"/>
        <charset val="1"/>
      </rPr>
      <t xml:space="preserve">25km</t>
    </r>
    <r>
      <rPr>
        <sz val="10"/>
        <color rgb="FF000000"/>
        <rFont val="WenQuanYi Zen Hei"/>
        <family val="2"/>
      </rPr>
      <t xml:space="preserve">（</t>
    </r>
    <r>
      <rPr>
        <sz val="10"/>
        <color rgb="FF000000"/>
        <rFont val="HGPｺﾞｼｯｸM"/>
        <family val="0"/>
        <charset val="1"/>
      </rPr>
      <t xml:space="preserve">3:36→3:30</t>
    </r>
    <r>
      <rPr>
        <sz val="10"/>
        <color rgb="FF000000"/>
        <rFont val="WenQuanYi Zen Hei"/>
        <family val="2"/>
      </rPr>
      <t xml:space="preserve">）／</t>
    </r>
    <r>
      <rPr>
        <sz val="10"/>
        <color rgb="FF000000"/>
        <rFont val="HGPｺﾞｼｯｸM"/>
        <family val="0"/>
        <charset val="1"/>
      </rPr>
      <t xml:space="preserve">30km</t>
    </r>
    <r>
      <rPr>
        <sz val="10"/>
        <color rgb="FF000000"/>
        <rFont val="WenQuanYi Zen Hei"/>
        <family val="2"/>
      </rPr>
      <t xml:space="preserve">組</t>
    </r>
  </si>
  <si>
    <t xml:space="preserve">A(30km) 100%</t>
  </si>
  <si>
    <t xml:space="preserve">10:19/1:13:56 100%</t>
  </si>
  <si>
    <t xml:space="preserve">10:59/1:14:36 100%</t>
  </si>
  <si>
    <t xml:space="preserve">10:06/1:13:43 100%</t>
  </si>
  <si>
    <t xml:space="preserve">11:23/1:15:00 100%</t>
  </si>
  <si>
    <t xml:space="preserve">10:51/1:14:28 100%</t>
  </si>
  <si>
    <t xml:space="preserve">10:57/1:14:34 100%</t>
  </si>
  <si>
    <t xml:space="preserve">8/18</t>
  </si>
  <si>
    <r>
      <rPr>
        <sz val="10"/>
        <color rgb="FF000000"/>
        <rFont val="HGPｺﾞｼｯｸM"/>
        <family val="0"/>
        <charset val="1"/>
      </rPr>
      <t xml:space="preserve">42.195km</t>
    </r>
    <r>
      <rPr>
        <sz val="10"/>
        <color rgb="FF000000"/>
        <rFont val="WenQuanYi Zen Hei"/>
        <family val="2"/>
      </rPr>
      <t xml:space="preserve">（</t>
    </r>
    <r>
      <rPr>
        <sz val="10"/>
        <color rgb="FF000000"/>
        <rFont val="HGPｺﾞｼｯｸM"/>
        <family val="0"/>
        <charset val="1"/>
      </rPr>
      <t xml:space="preserve">2:45:00</t>
    </r>
    <r>
      <rPr>
        <sz val="10"/>
        <color rgb="FF000000"/>
        <rFont val="WenQuanYi Zen Hei"/>
        <family val="2"/>
      </rPr>
      <t xml:space="preserve">目安）</t>
    </r>
  </si>
  <si>
    <r>
      <rPr>
        <sz val="10"/>
        <color rgb="FF000000"/>
        <rFont val="HGPｺﾞｼｯｸM"/>
        <family val="0"/>
        <charset val="1"/>
      </rPr>
      <t xml:space="preserve">2</t>
    </r>
    <r>
      <rPr>
        <sz val="10"/>
        <color rgb="FF000000"/>
        <rFont val="WenQuanYi Zen Hei"/>
        <family val="2"/>
      </rPr>
      <t xml:space="preserve">周目以降山</t>
    </r>
    <r>
      <rPr>
        <sz val="10"/>
        <color rgb="FF000000"/>
        <rFont val="HGPｺﾞｼｯｸM"/>
        <family val="0"/>
        <charset val="1"/>
      </rPr>
      <t xml:space="preserve">jog 30%</t>
    </r>
  </si>
  <si>
    <r>
      <rPr>
        <b val="true"/>
        <sz val="11"/>
        <color rgb="FF000000"/>
        <rFont val="HGPｺﾞｼｯｸM"/>
        <family val="0"/>
        <charset val="1"/>
      </rPr>
      <t xml:space="preserve">2</t>
    </r>
    <r>
      <rPr>
        <b val="true"/>
        <sz val="11"/>
        <color rgb="FF000000"/>
        <rFont val="WenQuanYi Zen Hei"/>
        <family val="2"/>
      </rPr>
      <t xml:space="preserve">次合宿（</t>
    </r>
    <r>
      <rPr>
        <b val="true"/>
        <sz val="11"/>
        <color rgb="FF000000"/>
        <rFont val="HGPｺﾞｼｯｸM"/>
        <family val="0"/>
        <charset val="1"/>
      </rPr>
      <t xml:space="preserve">8/27</t>
    </r>
    <r>
      <rPr>
        <b val="true"/>
        <sz val="11"/>
        <color rgb="FF000000"/>
        <rFont val="WenQuanYi Zen Hei"/>
        <family val="2"/>
      </rPr>
      <t xml:space="preserve">〜</t>
    </r>
    <r>
      <rPr>
        <b val="true"/>
        <sz val="11"/>
        <color rgb="FF000000"/>
        <rFont val="HGPｺﾞｼｯｸM"/>
        <family val="0"/>
        <charset val="1"/>
      </rPr>
      <t xml:space="preserve">9/5</t>
    </r>
    <r>
      <rPr>
        <b val="true"/>
        <sz val="11"/>
        <color rgb="FF000000"/>
        <rFont val="WenQuanYi Zen Hei"/>
        <family val="2"/>
      </rPr>
      <t xml:space="preserve">）</t>
    </r>
  </si>
  <si>
    <t xml:space="preserve">8/28</t>
  </si>
  <si>
    <r>
      <rPr>
        <sz val="10"/>
        <color rgb="FF000000"/>
        <rFont val="HGPｺﾞｼｯｸM"/>
        <family val="0"/>
        <charset val="1"/>
      </rPr>
      <t xml:space="preserve">CC25km</t>
    </r>
    <r>
      <rPr>
        <sz val="10"/>
        <color rgb="FF000000"/>
        <rFont val="WenQuanYi Zen Hei"/>
        <family val="2"/>
      </rPr>
      <t xml:space="preserve">（</t>
    </r>
    <r>
      <rPr>
        <sz val="10"/>
        <color rgb="FF000000"/>
        <rFont val="HGPｺﾞｼｯｸM"/>
        <family val="0"/>
        <charset val="1"/>
      </rPr>
      <t xml:space="preserve">3:36→3:30</t>
    </r>
    <r>
      <rPr>
        <sz val="10"/>
        <color rgb="FF000000"/>
        <rFont val="WenQuanYi Zen Hei"/>
        <family val="2"/>
      </rPr>
      <t xml:space="preserve">）</t>
    </r>
  </si>
  <si>
    <r>
      <rPr>
        <sz val="10"/>
        <color rgb="FF000000"/>
        <rFont val="HGPｺﾞｼｯｸM"/>
        <family val="0"/>
        <charset val="1"/>
      </rPr>
      <t xml:space="preserve">400m×12</t>
    </r>
    <r>
      <rPr>
        <sz val="10"/>
        <color rgb="FF000000"/>
        <rFont val="WenQuanYi Zen Hei"/>
        <family val="2"/>
      </rPr>
      <t xml:space="preserve">（</t>
    </r>
    <r>
      <rPr>
        <sz val="10"/>
        <color rgb="FF000000"/>
        <rFont val="HGPｺﾞｼｯｸM"/>
        <family val="0"/>
        <charset val="1"/>
      </rPr>
      <t xml:space="preserve">A 65</t>
    </r>
    <r>
      <rPr>
        <sz val="10"/>
        <color rgb="FF000000"/>
        <rFont val="WenQuanYi Zen Hei"/>
        <family val="2"/>
      </rPr>
      <t xml:space="preserve">）</t>
    </r>
    <r>
      <rPr>
        <sz val="10"/>
        <color rgb="FF000000"/>
        <rFont val="HGPｺﾞｼｯｸM"/>
        <family val="0"/>
        <charset val="1"/>
      </rPr>
      <t xml:space="preserve">R200m</t>
    </r>
  </si>
  <si>
    <t xml:space="preserve">9/1</t>
  </si>
  <si>
    <r>
      <rPr>
        <sz val="10"/>
        <color rgb="FF000000"/>
        <rFont val="HGPｺﾞｼｯｸM"/>
        <family val="0"/>
        <charset val="1"/>
      </rPr>
      <t xml:space="preserve">CC21km+3000m</t>
    </r>
    <r>
      <rPr>
        <sz val="10"/>
        <color rgb="FF000000"/>
        <rFont val="WenQuanYi Zen Hei"/>
        <family val="2"/>
      </rPr>
      <t xml:space="preserve">（</t>
    </r>
    <r>
      <rPr>
        <sz val="10"/>
        <color rgb="FF000000"/>
        <rFont val="HGPｺﾞｼｯｸM"/>
        <family val="0"/>
        <charset val="1"/>
      </rPr>
      <t xml:space="preserve">3:36→3:30</t>
    </r>
    <r>
      <rPr>
        <sz val="10"/>
        <color rgb="FF000000"/>
        <rFont val="WenQuanYi Zen Hei"/>
        <family val="2"/>
      </rPr>
      <t xml:space="preserve">／</t>
    </r>
    <r>
      <rPr>
        <sz val="10"/>
        <color rgb="FF000000"/>
        <rFont val="HGPｺﾞｼｯｸM"/>
        <family val="0"/>
        <charset val="1"/>
      </rPr>
      <t xml:space="preserve">A 8:50</t>
    </r>
    <r>
      <rPr>
        <sz val="10"/>
        <color rgb="FF000000"/>
        <rFont val="WenQuanYi Zen Hei"/>
        <family val="2"/>
      </rPr>
      <t xml:space="preserve">）</t>
    </r>
  </si>
  <si>
    <t xml:space="preserve">A2 90%</t>
  </si>
  <si>
    <t xml:space="preserve">9/4</t>
  </si>
  <si>
    <t xml:space="preserve">A1 30%</t>
  </si>
  <si>
    <r>
      <rPr>
        <b val="true"/>
        <sz val="11"/>
        <color rgb="FF000000"/>
        <rFont val="HGPｺﾞｼｯｸM"/>
        <family val="0"/>
        <charset val="1"/>
      </rPr>
      <t xml:space="preserve">3</t>
    </r>
    <r>
      <rPr>
        <b val="true"/>
        <sz val="11"/>
        <color rgb="FF000000"/>
        <rFont val="WenQuanYi Zen Hei"/>
        <family val="2"/>
      </rPr>
      <t xml:space="preserve">次合宿（</t>
    </r>
    <r>
      <rPr>
        <b val="true"/>
        <sz val="11"/>
        <color rgb="FF000000"/>
        <rFont val="HGPｺﾞｼｯｸM"/>
        <family val="0"/>
        <charset val="1"/>
      </rPr>
      <t xml:space="preserve">9/13</t>
    </r>
    <r>
      <rPr>
        <b val="true"/>
        <sz val="11"/>
        <color rgb="FF000000"/>
        <rFont val="WenQuanYi Zen Hei"/>
        <family val="2"/>
      </rPr>
      <t xml:space="preserve">〜</t>
    </r>
    <r>
      <rPr>
        <b val="true"/>
        <sz val="11"/>
        <color rgb="FF000000"/>
        <rFont val="HGPｺﾞｼｯｸM"/>
        <family val="0"/>
        <charset val="1"/>
      </rPr>
      <t xml:space="preserve">9/21</t>
    </r>
    <r>
      <rPr>
        <b val="true"/>
        <sz val="11"/>
        <color rgb="FF000000"/>
        <rFont val="WenQuanYi Zen Hei"/>
        <family val="2"/>
      </rPr>
      <t xml:space="preserve">）</t>
    </r>
  </si>
  <si>
    <t xml:space="preserve">9/14</t>
  </si>
  <si>
    <r>
      <rPr>
        <sz val="10"/>
        <color rgb="FF000000"/>
        <rFont val="HGPｺﾞｼｯｸM"/>
        <family val="0"/>
        <charset val="1"/>
      </rPr>
      <t xml:space="preserve">25km(30km)</t>
    </r>
    <r>
      <rPr>
        <sz val="10"/>
        <color rgb="FF000000"/>
        <rFont val="WenQuanYi Zen Hei"/>
        <family val="2"/>
      </rPr>
      <t xml:space="preserve">（</t>
    </r>
    <r>
      <rPr>
        <sz val="10"/>
        <color rgb="FF000000"/>
        <rFont val="HGPｺﾞｼｯｸM"/>
        <family val="0"/>
        <charset val="1"/>
      </rPr>
      <t xml:space="preserve">3:42→3:30</t>
    </r>
    <r>
      <rPr>
        <sz val="10"/>
        <color rgb="FF000000"/>
        <rFont val="WenQuanYi Zen Hei"/>
        <family val="2"/>
      </rPr>
      <t xml:space="preserve">）</t>
    </r>
  </si>
  <si>
    <t xml:space="preserve">A1(21km) 70%</t>
  </si>
  <si>
    <r>
      <rPr>
        <sz val="10"/>
        <color rgb="FF000000"/>
        <rFont val="HGPｺﾞｼｯｸM"/>
        <family val="0"/>
        <charset val="1"/>
      </rPr>
      <t xml:space="preserve">400m×12</t>
    </r>
    <r>
      <rPr>
        <sz val="10"/>
        <color rgb="FF000000"/>
        <rFont val="WenQuanYi Zen Hei"/>
        <family val="2"/>
      </rPr>
      <t xml:space="preserve">（</t>
    </r>
    <r>
      <rPr>
        <sz val="10"/>
        <color rgb="FF000000"/>
        <rFont val="HGPｺﾞｼｯｸM"/>
        <family val="0"/>
        <charset val="1"/>
      </rPr>
      <t xml:space="preserve">A 64</t>
    </r>
    <r>
      <rPr>
        <sz val="10"/>
        <color rgb="FF000000"/>
        <rFont val="WenQuanYi Zen Hei"/>
        <family val="2"/>
      </rPr>
      <t xml:space="preserve">／</t>
    </r>
    <r>
      <rPr>
        <sz val="10"/>
        <color rgb="FF000000"/>
        <rFont val="HGPｺﾞｼｯｸM"/>
        <family val="0"/>
        <charset val="1"/>
      </rPr>
      <t xml:space="preserve">B2 65</t>
    </r>
    <r>
      <rPr>
        <sz val="10"/>
        <color rgb="FF000000"/>
        <rFont val="WenQuanYi Zen Hei"/>
        <family val="2"/>
      </rPr>
      <t xml:space="preserve">）</t>
    </r>
    <r>
      <rPr>
        <sz val="10"/>
        <color rgb="FF000000"/>
        <rFont val="HGPｺﾞｼｯｸM"/>
        <family val="0"/>
        <charset val="1"/>
      </rPr>
      <t xml:space="preserve">R200m</t>
    </r>
  </si>
  <si>
    <t xml:space="preserve">9/18</t>
  </si>
  <si>
    <r>
      <rPr>
        <sz val="10"/>
        <color rgb="FF000000"/>
        <rFont val="HGPｺﾞｼｯｸM"/>
        <family val="0"/>
        <charset val="1"/>
      </rPr>
      <t xml:space="preserve">1000m×2+12000m+200m×5</t>
    </r>
    <r>
      <rPr>
        <sz val="10"/>
        <color rgb="FF000000"/>
        <rFont val="WenQuanYi Zen Hei"/>
        <family val="2"/>
      </rPr>
      <t xml:space="preserve">（</t>
    </r>
    <r>
      <rPr>
        <sz val="10"/>
        <color rgb="FF000000"/>
        <rFont val="HGPｺﾞｼｯｸM"/>
        <family val="0"/>
        <charset val="1"/>
      </rPr>
      <t xml:space="preserve">2:40</t>
    </r>
    <r>
      <rPr>
        <sz val="10"/>
        <color rgb="FF000000"/>
        <rFont val="WenQuanYi Zen Hei"/>
        <family val="2"/>
      </rPr>
      <t xml:space="preserve">／</t>
    </r>
    <r>
      <rPr>
        <sz val="10"/>
        <color rgb="FF000000"/>
        <rFont val="HGPｺﾞｼｯｸM"/>
        <family val="0"/>
        <charset val="1"/>
      </rPr>
      <t xml:space="preserve">3:20→3:10</t>
    </r>
    <r>
      <rPr>
        <sz val="10"/>
        <color rgb="FF000000"/>
        <rFont val="WenQuanYi Zen Hei"/>
        <family val="2"/>
      </rPr>
      <t xml:space="preserve">／</t>
    </r>
    <r>
      <rPr>
        <sz val="10"/>
        <color rgb="FF000000"/>
        <rFont val="HGPｺﾞｼｯｸM"/>
        <family val="0"/>
        <charset val="1"/>
      </rPr>
      <t xml:space="preserve">30-28</t>
    </r>
    <r>
      <rPr>
        <sz val="10"/>
        <color rgb="FF000000"/>
        <rFont val="WenQuanYi Zen Hei"/>
        <family val="2"/>
      </rPr>
      <t xml:space="preserve">）</t>
    </r>
  </si>
  <si>
    <t xml:space="preserve">9/21</t>
  </si>
  <si>
    <r>
      <rPr>
        <sz val="10"/>
        <color rgb="FF000000"/>
        <rFont val="HGPｺﾞｼｯｸM"/>
        <family val="0"/>
        <charset val="1"/>
      </rPr>
      <t xml:space="preserve">3000m+8000m</t>
    </r>
    <r>
      <rPr>
        <sz val="10"/>
        <color rgb="FF000000"/>
        <rFont val="WenQuanYi Zen Hei"/>
        <family val="2"/>
      </rPr>
      <t xml:space="preserve">ビルドアップ</t>
    </r>
    <r>
      <rPr>
        <sz val="10"/>
        <color rgb="FF000000"/>
        <rFont val="HGPｺﾞｼｯｸM"/>
        <family val="0"/>
        <charset val="1"/>
      </rPr>
      <t xml:space="preserve">+1000m+400m</t>
    </r>
    <r>
      <rPr>
        <sz val="10"/>
        <color rgb="FF000000"/>
        <rFont val="WenQuanYi Zen Hei"/>
        <family val="2"/>
      </rPr>
      <t xml:space="preserve">（</t>
    </r>
    <r>
      <rPr>
        <sz val="10"/>
        <color rgb="FF000000"/>
        <rFont val="HGPｺﾞｼｯｸM"/>
        <family val="0"/>
        <charset val="1"/>
      </rPr>
      <t xml:space="preserve">A 8:25</t>
    </r>
    <r>
      <rPr>
        <sz val="10"/>
        <color rgb="FF000000"/>
        <rFont val="WenQuanYi Zen Hei"/>
        <family val="2"/>
      </rPr>
      <t xml:space="preserve">／</t>
    </r>
    <r>
      <rPr>
        <sz val="10"/>
        <color rgb="FF000000"/>
        <rFont val="HGPｺﾞｼｯｸM"/>
        <family val="0"/>
        <charset val="1"/>
      </rPr>
      <t xml:space="preserve">3:30→2:50</t>
    </r>
    <r>
      <rPr>
        <sz val="10"/>
        <color rgb="FF000000"/>
        <rFont val="WenQuanYi Zen Hei"/>
        <family val="2"/>
      </rPr>
      <t xml:space="preserve">／</t>
    </r>
    <r>
      <rPr>
        <sz val="10"/>
        <color rgb="FF000000"/>
        <rFont val="HGPｺﾞｼｯｸM"/>
        <family val="0"/>
        <charset val="1"/>
      </rPr>
      <t xml:space="preserve">2:45</t>
    </r>
    <r>
      <rPr>
        <sz val="10"/>
        <color rgb="FF000000"/>
        <rFont val="WenQuanYi Zen Hei"/>
        <family val="2"/>
      </rPr>
      <t xml:space="preserve">／</t>
    </r>
    <r>
      <rPr>
        <sz val="10"/>
        <color rgb="FF000000"/>
        <rFont val="HGPｺﾞｼｯｸM"/>
        <family val="0"/>
        <charset val="1"/>
      </rPr>
      <t xml:space="preserve">60</t>
    </r>
    <r>
      <rPr>
        <sz val="10"/>
        <color rgb="FF000000"/>
        <rFont val="WenQuanYi Zen Hei"/>
        <family val="2"/>
      </rPr>
      <t xml:space="preserve">）</t>
    </r>
  </si>
  <si>
    <r>
      <rPr>
        <b val="true"/>
        <sz val="14"/>
        <color rgb="FF000000"/>
        <rFont val="HGPｺﾞｼｯｸM"/>
        <family val="0"/>
        <charset val="1"/>
      </rPr>
      <t xml:space="preserve">2025</t>
    </r>
    <r>
      <rPr>
        <b val="true"/>
        <sz val="14"/>
        <color rgb="FF000000"/>
        <rFont val="WenQuanYi Zen Hei"/>
        <family val="2"/>
      </rPr>
      <t xml:space="preserve">年 夏合宿ポイント練習：出雲メンバー</t>
    </r>
    <r>
      <rPr>
        <b val="true"/>
        <sz val="14"/>
        <color rgb="FF000000"/>
        <rFont val="HGPｺﾞｼｯｸM"/>
        <family val="0"/>
        <charset val="1"/>
      </rPr>
      <t xml:space="preserve">6</t>
    </r>
    <r>
      <rPr>
        <b val="true"/>
        <sz val="14"/>
        <color rgb="FF000000"/>
        <rFont val="WenQuanYi Zen Hei"/>
        <family val="2"/>
      </rPr>
      <t xml:space="preserve">人の組・消化率</t>
    </r>
  </si>
  <si>
    <r>
      <rPr>
        <b val="true"/>
        <sz val="10"/>
        <rFont val="HGPｺﾞｼｯｸM"/>
        <family val="0"/>
        <charset val="1"/>
      </rPr>
      <t xml:space="preserve">2025</t>
    </r>
    <r>
      <rPr>
        <b val="true"/>
        <sz val="10"/>
        <rFont val="WenQuanYi Zen Hei"/>
        <family val="2"/>
      </rPr>
      <t xml:space="preserve">年（出雲 総合</t>
    </r>
    <r>
      <rPr>
        <b val="true"/>
        <sz val="10"/>
        <rFont val="HGPｺﾞｼｯｸM"/>
        <family val="0"/>
        <charset val="1"/>
      </rPr>
      <t xml:space="preserve">7</t>
    </r>
    <r>
      <rPr>
        <b val="true"/>
        <sz val="10"/>
        <rFont val="WenQuanYi Zen Hei"/>
        <family val="2"/>
      </rPr>
      <t xml:space="preserve">位）　メンバー：</t>
    </r>
    <r>
      <rPr>
        <b val="true"/>
        <sz val="10"/>
        <rFont val="HGPｺﾞｼｯｸM"/>
        <family val="0"/>
        <charset val="1"/>
      </rPr>
      <t xml:space="preserve">1</t>
    </r>
    <r>
      <rPr>
        <b val="true"/>
        <sz val="10"/>
        <rFont val="WenQuanYi Zen Hei"/>
        <family val="2"/>
      </rPr>
      <t xml:space="preserve">区 小河原陽琉／</t>
    </r>
    <r>
      <rPr>
        <b val="true"/>
        <sz val="10"/>
        <rFont val="HGPｺﾞｼｯｸM"/>
        <family val="0"/>
        <charset val="1"/>
      </rPr>
      <t xml:space="preserve">2</t>
    </r>
    <r>
      <rPr>
        <b val="true"/>
        <sz val="10"/>
        <rFont val="WenQuanYi Zen Hei"/>
        <family val="2"/>
      </rPr>
      <t xml:space="preserve">区 折田壮太／</t>
    </r>
    <r>
      <rPr>
        <b val="true"/>
        <sz val="10"/>
        <rFont val="HGPｺﾞｼｯｸM"/>
        <family val="0"/>
        <charset val="1"/>
      </rPr>
      <t xml:space="preserve">3</t>
    </r>
    <r>
      <rPr>
        <b val="true"/>
        <sz val="10"/>
        <rFont val="WenQuanYi Zen Hei"/>
        <family val="2"/>
      </rPr>
      <t xml:space="preserve">区 飯田翔大／</t>
    </r>
    <r>
      <rPr>
        <b val="true"/>
        <sz val="10"/>
        <rFont val="HGPｺﾞｼｯｸM"/>
        <family val="0"/>
        <charset val="1"/>
      </rPr>
      <t xml:space="preserve">4</t>
    </r>
    <r>
      <rPr>
        <b val="true"/>
        <sz val="10"/>
        <rFont val="WenQuanYi Zen Hei"/>
        <family val="2"/>
      </rPr>
      <t xml:space="preserve">区 神邑亮佑／</t>
    </r>
    <r>
      <rPr>
        <b val="true"/>
        <sz val="10"/>
        <rFont val="HGPｺﾞｼｯｸM"/>
        <family val="0"/>
        <charset val="1"/>
      </rPr>
      <t xml:space="preserve">5</t>
    </r>
    <r>
      <rPr>
        <b val="true"/>
        <sz val="10"/>
        <rFont val="WenQuanYi Zen Hei"/>
        <family val="2"/>
      </rPr>
      <t xml:space="preserve">区 塩出翔太／</t>
    </r>
    <r>
      <rPr>
        <b val="true"/>
        <sz val="10"/>
        <rFont val="HGPｺﾞｼｯｸM"/>
        <family val="0"/>
        <charset val="1"/>
      </rPr>
      <t xml:space="preserve">6</t>
    </r>
    <r>
      <rPr>
        <b val="true"/>
        <sz val="10"/>
        <rFont val="WenQuanYi Zen Hei"/>
        <family val="2"/>
      </rPr>
      <t xml:space="preserve">区 黒田朝日</t>
    </r>
  </si>
  <si>
    <r>
      <rPr>
        <b val="true"/>
        <sz val="11"/>
        <color rgb="FF000000"/>
        <rFont val="HGPｺﾞｼｯｸM"/>
        <family val="0"/>
        <charset val="1"/>
      </rPr>
      <t xml:space="preserve">1</t>
    </r>
    <r>
      <rPr>
        <b val="true"/>
        <sz val="11"/>
        <color rgb="FF000000"/>
        <rFont val="WenQuanYi Zen Hei"/>
        <family val="2"/>
      </rPr>
      <t xml:space="preserve">次合宿（</t>
    </r>
    <r>
      <rPr>
        <b val="true"/>
        <sz val="11"/>
        <color rgb="FF000000"/>
        <rFont val="HGPｺﾞｼｯｸM"/>
        <family val="0"/>
        <charset val="1"/>
      </rPr>
      <t xml:space="preserve">8/1</t>
    </r>
    <r>
      <rPr>
        <b val="true"/>
        <sz val="11"/>
        <color rgb="FF000000"/>
        <rFont val="WenQuanYi Zen Hei"/>
        <family val="2"/>
      </rPr>
      <t xml:space="preserve">〜</t>
    </r>
    <r>
      <rPr>
        <b val="true"/>
        <sz val="11"/>
        <color rgb="FF000000"/>
        <rFont val="HGPｺﾞｼｯｸM"/>
        <family val="0"/>
        <charset val="1"/>
      </rPr>
      <t xml:space="preserve">8/19</t>
    </r>
    <r>
      <rPr>
        <b val="true"/>
        <sz val="11"/>
        <color rgb="FF000000"/>
        <rFont val="WenQuanYi Zen Hei"/>
        <family val="2"/>
      </rPr>
      <t xml:space="preserve">）</t>
    </r>
  </si>
  <si>
    <t xml:space="preserve">小河原</t>
  </si>
  <si>
    <t xml:space="preserve">折田</t>
  </si>
  <si>
    <t xml:space="preserve">飯田</t>
  </si>
  <si>
    <t xml:space="preserve">神邑</t>
  </si>
  <si>
    <t xml:space="preserve">塩出</t>
  </si>
  <si>
    <r>
      <rPr>
        <sz val="10"/>
        <color rgb="FF000000"/>
        <rFont val="HGPｺﾞｼｯｸM"/>
        <family val="0"/>
        <charset val="1"/>
      </rPr>
      <t xml:space="preserve">25km </t>
    </r>
    <r>
      <rPr>
        <sz val="10"/>
        <color rgb="FF000000"/>
        <rFont val="WenQuanYi Zen Hei"/>
        <family val="2"/>
      </rPr>
      <t xml:space="preserve">中</t>
    </r>
    <r>
      <rPr>
        <sz val="10"/>
        <color rgb="FF000000"/>
        <rFont val="HGPｺﾞｼｯｸM"/>
        <family val="0"/>
        <charset val="1"/>
      </rPr>
      <t xml:space="preserve">×4</t>
    </r>
    <r>
      <rPr>
        <sz val="10"/>
        <color rgb="FF000000"/>
        <rFont val="WenQuanYi Zen Hei"/>
        <family val="2"/>
      </rPr>
      <t xml:space="preserve">（</t>
    </r>
    <r>
      <rPr>
        <sz val="10"/>
        <color rgb="FF000000"/>
        <rFont val="HGPｺﾞｼｯｸM"/>
        <family val="0"/>
        <charset val="1"/>
      </rPr>
      <t xml:space="preserve">3:36→3:30</t>
    </r>
    <r>
      <rPr>
        <sz val="10"/>
        <color rgb="FF000000"/>
        <rFont val="WenQuanYi Zen Hei"/>
        <family val="2"/>
      </rPr>
      <t xml:space="preserve">）</t>
    </r>
  </si>
  <si>
    <t xml:space="preserve">10:44/1:13:50 100%</t>
  </si>
  <si>
    <t xml:space="preserve">11:31/1:14:37 100%</t>
  </si>
  <si>
    <t xml:space="preserve">10:31/1:13:37 100%</t>
  </si>
  <si>
    <t xml:space="preserve">10:54/1:14:00 100%</t>
  </si>
  <si>
    <t xml:space="preserve">10:58/1:14:04 100%</t>
  </si>
  <si>
    <t xml:space="preserve">9:41/1:12:47 100%</t>
  </si>
  <si>
    <t xml:space="preserve">11:36/1:14:48 100%</t>
  </si>
  <si>
    <t xml:space="preserve">11:26/1:14:38 100%</t>
  </si>
  <si>
    <t xml:space="preserve">10:39/1:13:51 100%</t>
  </si>
  <si>
    <t xml:space="preserve">11:04/1:14:16 100%</t>
  </si>
  <si>
    <t xml:space="preserve">9:58/1:13:10 100%</t>
  </si>
  <si>
    <t xml:space="preserve">最終盤</t>
  </si>
  <si>
    <r>
      <rPr>
        <sz val="10"/>
        <color rgb="FF000000"/>
        <rFont val="HGPｺﾞｼｯｸM"/>
        <family val="0"/>
        <charset val="1"/>
      </rPr>
      <t xml:space="preserve">42.195km</t>
    </r>
    <r>
      <rPr>
        <sz val="10"/>
        <color rgb="FF000000"/>
        <rFont val="WenQuanYi Zen Hei"/>
        <family val="2"/>
      </rPr>
      <t xml:space="preserve">（</t>
    </r>
    <r>
      <rPr>
        <sz val="10"/>
        <color rgb="FF000000"/>
        <rFont val="HGPｺﾞｼｯｸM"/>
        <family val="0"/>
        <charset val="1"/>
      </rPr>
      <t xml:space="preserve">2</t>
    </r>
    <r>
      <rPr>
        <sz val="10"/>
        <color rgb="FF000000"/>
        <rFont val="WenQuanYi Zen Hei"/>
        <family val="2"/>
      </rPr>
      <t xml:space="preserve">時間</t>
    </r>
    <r>
      <rPr>
        <sz val="10"/>
        <color rgb="FF000000"/>
        <rFont val="HGPｺﾞｼｯｸM"/>
        <family val="0"/>
        <charset val="1"/>
      </rPr>
      <t xml:space="preserve">45</t>
    </r>
    <r>
      <rPr>
        <sz val="10"/>
        <color rgb="FF000000"/>
        <rFont val="WenQuanYi Zen Hei"/>
        <family val="2"/>
      </rPr>
      <t xml:space="preserve">分前後）</t>
    </r>
  </si>
  <si>
    <r>
      <rPr>
        <b val="true"/>
        <sz val="11"/>
        <color rgb="FF000000"/>
        <rFont val="HGPｺﾞｼｯｸM"/>
        <family val="0"/>
        <charset val="1"/>
      </rPr>
      <t xml:space="preserve">2</t>
    </r>
    <r>
      <rPr>
        <b val="true"/>
        <sz val="11"/>
        <color rgb="FF000000"/>
        <rFont val="WenQuanYi Zen Hei"/>
        <family val="2"/>
      </rPr>
      <t xml:space="preserve">次合宿（</t>
    </r>
    <r>
      <rPr>
        <b val="true"/>
        <sz val="11"/>
        <color rgb="FF000000"/>
        <rFont val="HGPｺﾞｼｯｸM"/>
        <family val="0"/>
        <charset val="1"/>
      </rPr>
      <t xml:space="preserve">8/26</t>
    </r>
    <r>
      <rPr>
        <b val="true"/>
        <sz val="11"/>
        <color rgb="FF000000"/>
        <rFont val="WenQuanYi Zen Hei"/>
        <family val="2"/>
      </rPr>
      <t xml:space="preserve">〜</t>
    </r>
    <r>
      <rPr>
        <b val="true"/>
        <sz val="11"/>
        <color rgb="FF000000"/>
        <rFont val="HGPｺﾞｼｯｸM"/>
        <family val="0"/>
        <charset val="1"/>
      </rPr>
      <t xml:space="preserve">9/4</t>
    </r>
    <r>
      <rPr>
        <b val="true"/>
        <sz val="11"/>
        <color rgb="FF000000"/>
        <rFont val="WenQuanYi Zen Hei"/>
        <family val="2"/>
      </rPr>
      <t xml:space="preserve">）</t>
    </r>
  </si>
  <si>
    <t xml:space="preserve">—</t>
  </si>
  <si>
    <r>
      <rPr>
        <sz val="10"/>
        <color rgb="FF000000"/>
        <rFont val="HGPｺﾞｼｯｸM"/>
        <family val="0"/>
        <charset val="1"/>
      </rPr>
      <t xml:space="preserve">CC16km</t>
    </r>
    <r>
      <rPr>
        <sz val="10"/>
        <color rgb="FF000000"/>
        <rFont val="WenQuanYi Zen Hei"/>
        <family val="2"/>
      </rPr>
      <t xml:space="preserve">（</t>
    </r>
    <r>
      <rPr>
        <sz val="10"/>
        <color rgb="FF000000"/>
        <rFont val="HGPｺﾞｼｯｸM"/>
        <family val="0"/>
        <charset val="1"/>
      </rPr>
      <t xml:space="preserve">3:30</t>
    </r>
    <r>
      <rPr>
        <sz val="10"/>
        <color rgb="FF000000"/>
        <rFont val="WenQuanYi Zen Hei"/>
        <family val="2"/>
      </rPr>
      <t xml:space="preserve">）</t>
    </r>
  </si>
  <si>
    <t xml:space="preserve">C 100%</t>
  </si>
  <si>
    <r>
      <rPr>
        <sz val="10"/>
        <color rgb="FF000000"/>
        <rFont val="HGPｺﾞｼｯｸM"/>
        <family val="0"/>
        <charset val="1"/>
      </rPr>
      <t xml:space="preserve">1000m×2+8000m+200m×5</t>
    </r>
    <r>
      <rPr>
        <sz val="10"/>
        <color rgb="FF000000"/>
        <rFont val="WenQuanYi Zen Hei"/>
        <family val="2"/>
      </rPr>
      <t xml:space="preserve">（</t>
    </r>
    <r>
      <rPr>
        <sz val="10"/>
        <color rgb="FF000000"/>
        <rFont val="HGPｺﾞｼｯｸM"/>
        <family val="0"/>
        <charset val="1"/>
      </rPr>
      <t xml:space="preserve">2:45</t>
    </r>
    <r>
      <rPr>
        <sz val="10"/>
        <color rgb="FF000000"/>
        <rFont val="WenQuanYi Zen Hei"/>
        <family val="2"/>
      </rPr>
      <t xml:space="preserve">／</t>
    </r>
    <r>
      <rPr>
        <sz val="10"/>
        <color rgb="FF000000"/>
        <rFont val="HGPｺﾞｼｯｸM"/>
        <family val="0"/>
        <charset val="1"/>
      </rPr>
      <t xml:space="preserve">3:20→3:10</t>
    </r>
    <r>
      <rPr>
        <sz val="10"/>
        <color rgb="FF000000"/>
        <rFont val="WenQuanYi Zen Hei"/>
        <family val="2"/>
      </rPr>
      <t xml:space="preserve">／</t>
    </r>
    <r>
      <rPr>
        <sz val="10"/>
        <color rgb="FF000000"/>
        <rFont val="HGPｺﾞｼｯｸM"/>
        <family val="0"/>
        <charset val="1"/>
      </rPr>
      <t xml:space="preserve">30</t>
    </r>
    <r>
      <rPr>
        <sz val="10"/>
        <color rgb="FF000000"/>
        <rFont val="WenQuanYi Zen Hei"/>
        <family val="2"/>
      </rPr>
      <t xml:space="preserve">）</t>
    </r>
  </si>
  <si>
    <r>
      <rPr>
        <sz val="10"/>
        <color rgb="FF000000"/>
        <rFont val="HGPｺﾞｼｯｸM"/>
        <family val="0"/>
        <charset val="1"/>
      </rPr>
      <t xml:space="preserve">CC30km</t>
    </r>
    <r>
      <rPr>
        <sz val="10"/>
        <color rgb="FF000000"/>
        <rFont val="WenQuanYi Zen Hei"/>
        <family val="2"/>
      </rPr>
      <t xml:space="preserve">（</t>
    </r>
    <r>
      <rPr>
        <sz val="10"/>
        <color rgb="FF000000"/>
        <rFont val="HGPｺﾞｼｯｸM"/>
        <family val="0"/>
        <charset val="1"/>
      </rPr>
      <t xml:space="preserve">3:42→3:36→3:30</t>
    </r>
    <r>
      <rPr>
        <sz val="10"/>
        <color rgb="FF000000"/>
        <rFont val="WenQuanYi Zen Hei"/>
        <family val="2"/>
      </rPr>
      <t xml:space="preserve">）※飯田は別メニューの</t>
    </r>
    <r>
      <rPr>
        <sz val="10"/>
        <color rgb="FF000000"/>
        <rFont val="HGPｺﾞｼｯｸM"/>
        <family val="0"/>
        <charset val="1"/>
      </rPr>
      <t xml:space="preserve">CC30km</t>
    </r>
    <r>
      <rPr>
        <sz val="10"/>
        <color rgb="FF000000"/>
        <rFont val="WenQuanYi Zen Hei"/>
        <family val="2"/>
      </rPr>
      <t xml:space="preserve">（</t>
    </r>
    <r>
      <rPr>
        <sz val="10"/>
        <color rgb="FF000000"/>
        <rFont val="HGPｺﾞｼｯｸM"/>
        <family val="0"/>
        <charset val="1"/>
      </rPr>
      <t xml:space="preserve">3:36→3:30</t>
    </r>
    <r>
      <rPr>
        <sz val="10"/>
        <color rgb="FF000000"/>
        <rFont val="WenQuanYi Zen Hei"/>
        <family val="2"/>
      </rPr>
      <t xml:space="preserve">）</t>
    </r>
  </si>
  <si>
    <t xml:space="preserve">9/3</t>
  </si>
  <si>
    <r>
      <rPr>
        <sz val="10"/>
        <color rgb="FF000000"/>
        <rFont val="HGPｺﾞｼｯｸM"/>
        <family val="0"/>
        <charset val="1"/>
      </rPr>
      <t xml:space="preserve">400m×12</t>
    </r>
    <r>
      <rPr>
        <sz val="10"/>
        <color rgb="FF000000"/>
        <rFont val="WenQuanYi Zen Hei"/>
        <family val="2"/>
      </rPr>
      <t xml:space="preserve">（</t>
    </r>
    <r>
      <rPr>
        <sz val="10"/>
        <color rgb="FF000000"/>
        <rFont val="HGPｺﾞｼｯｸM"/>
        <family val="0"/>
        <charset val="1"/>
      </rPr>
      <t xml:space="preserve">65</t>
    </r>
    <r>
      <rPr>
        <sz val="10"/>
        <color rgb="FF000000"/>
        <rFont val="WenQuanYi Zen Hei"/>
        <family val="2"/>
      </rPr>
      <t xml:space="preserve">）</t>
    </r>
    <r>
      <rPr>
        <sz val="10"/>
        <color rgb="FF000000"/>
        <rFont val="HGPｺﾞｼｯｸM"/>
        <family val="0"/>
        <charset val="1"/>
      </rPr>
      <t xml:space="preserve">R200m</t>
    </r>
  </si>
  <si>
    <r>
      <rPr>
        <b val="true"/>
        <sz val="11"/>
        <color rgb="FF000000"/>
        <rFont val="HGPｺﾞｼｯｸM"/>
        <family val="0"/>
        <charset val="1"/>
      </rPr>
      <t xml:space="preserve">3</t>
    </r>
    <r>
      <rPr>
        <b val="true"/>
        <sz val="11"/>
        <color rgb="FF000000"/>
        <rFont val="WenQuanYi Zen Hei"/>
        <family val="2"/>
      </rPr>
      <t xml:space="preserve">次合宿（</t>
    </r>
    <r>
      <rPr>
        <b val="true"/>
        <sz val="11"/>
        <color rgb="FF000000"/>
        <rFont val="HGPｺﾞｼｯｸM"/>
        <family val="0"/>
        <charset val="1"/>
      </rPr>
      <t xml:space="preserve">9/12</t>
    </r>
    <r>
      <rPr>
        <b val="true"/>
        <sz val="11"/>
        <color rgb="FF000000"/>
        <rFont val="WenQuanYi Zen Hei"/>
        <family val="2"/>
      </rPr>
      <t xml:space="preserve">〜</t>
    </r>
    <r>
      <rPr>
        <b val="true"/>
        <sz val="11"/>
        <color rgb="FF000000"/>
        <rFont val="HGPｺﾞｼｯｸM"/>
        <family val="0"/>
        <charset val="1"/>
      </rPr>
      <t xml:space="preserve">9/20</t>
    </r>
    <r>
      <rPr>
        <b val="true"/>
        <sz val="11"/>
        <color rgb="FF000000"/>
        <rFont val="WenQuanYi Zen Hei"/>
        <family val="2"/>
      </rPr>
      <t xml:space="preserve">）</t>
    </r>
  </si>
  <si>
    <r>
      <rPr>
        <sz val="10"/>
        <color rgb="FF000000"/>
        <rFont val="HGPｺﾞｼｯｸM"/>
        <family val="0"/>
        <charset val="1"/>
      </rPr>
      <t xml:space="preserve">30km</t>
    </r>
    <r>
      <rPr>
        <sz val="10"/>
        <color rgb="FF000000"/>
        <rFont val="WenQuanYi Zen Hei"/>
        <family val="2"/>
      </rPr>
      <t xml:space="preserve">（</t>
    </r>
    <r>
      <rPr>
        <sz val="10"/>
        <color rgb="FF000000"/>
        <rFont val="HGPｺﾞｼｯｸM"/>
        <family val="0"/>
        <charset val="1"/>
      </rPr>
      <t xml:space="preserve">1:45</t>
    </r>
    <r>
      <rPr>
        <sz val="10"/>
        <color rgb="FF000000"/>
        <rFont val="WenQuanYi Zen Hei"/>
        <family val="2"/>
      </rPr>
      <t xml:space="preserve">目安）</t>
    </r>
  </si>
  <si>
    <r>
      <rPr>
        <sz val="10"/>
        <color rgb="FF000000"/>
        <rFont val="HGPｺﾞｼｯｸM"/>
        <family val="0"/>
        <charset val="1"/>
      </rPr>
      <t xml:space="preserve">(1200m+800m+400m)×3</t>
    </r>
    <r>
      <rPr>
        <sz val="10"/>
        <color rgb="FF000000"/>
        <rFont val="WenQuanYi Zen Hei"/>
        <family val="2"/>
      </rPr>
      <t xml:space="preserve">（</t>
    </r>
    <r>
      <rPr>
        <sz val="10"/>
        <color rgb="FF000000"/>
        <rFont val="HGPｺﾞｼｯｸM"/>
        <family val="0"/>
        <charset val="1"/>
      </rPr>
      <t xml:space="preserve">A,B 64</t>
    </r>
    <r>
      <rPr>
        <sz val="10"/>
        <color rgb="FF000000"/>
        <rFont val="WenQuanYi Zen Hei"/>
        <family val="2"/>
      </rPr>
      <t xml:space="preserve">）</t>
    </r>
  </si>
  <si>
    <t xml:space="preserve">9/20</t>
  </si>
  <si>
    <r>
      <rPr>
        <sz val="10"/>
        <color rgb="FF000000"/>
        <rFont val="HGPｺﾞｼｯｸM"/>
        <family val="0"/>
        <charset val="1"/>
      </rPr>
      <t xml:space="preserve">400m×12</t>
    </r>
    <r>
      <rPr>
        <sz val="10"/>
        <color rgb="FF000000"/>
        <rFont val="WenQuanYi Zen Hei"/>
        <family val="2"/>
      </rPr>
      <t xml:space="preserve">（</t>
    </r>
    <r>
      <rPr>
        <sz val="10"/>
        <color rgb="FF000000"/>
        <rFont val="HGPｺﾞｼｯｸM"/>
        <family val="0"/>
        <charset val="1"/>
      </rPr>
      <t xml:space="preserve">64</t>
    </r>
    <r>
      <rPr>
        <sz val="10"/>
        <color rgb="FF000000"/>
        <rFont val="WenQuanYi Zen Hei"/>
        <family val="2"/>
      </rPr>
      <t xml:space="preserve">）</t>
    </r>
    <r>
      <rPr>
        <sz val="10"/>
        <color rgb="FF000000"/>
        <rFont val="HGPｺﾞｼｯｸM"/>
        <family val="0"/>
        <charset val="1"/>
      </rPr>
      <t xml:space="preserve">R200m</t>
    </r>
  </si>
  <si>
    <r>
      <rPr>
        <b val="true"/>
        <sz val="14"/>
        <color rgb="FF000000"/>
        <rFont val="HGPｺﾞｼｯｸM"/>
        <family val="0"/>
        <charset val="1"/>
      </rPr>
      <t xml:space="preserve">2026</t>
    </r>
    <r>
      <rPr>
        <b val="true"/>
        <sz val="14"/>
        <color rgb="FF000000"/>
        <rFont val="WenQuanYi Zen Hei"/>
        <family val="2"/>
      </rPr>
      <t xml:space="preserve">年 夏合宿ポイント練習：出雲メンバー</t>
    </r>
    <r>
      <rPr>
        <b val="true"/>
        <sz val="14"/>
        <color rgb="FF000000"/>
        <rFont val="HGPｺﾞｼｯｸM"/>
        <family val="0"/>
        <charset val="1"/>
      </rPr>
      <t xml:space="preserve">6</t>
    </r>
    <r>
      <rPr>
        <b val="true"/>
        <sz val="14"/>
        <color rgb="FF000000"/>
        <rFont val="WenQuanYi Zen Hei"/>
        <family val="2"/>
      </rPr>
      <t xml:space="preserve">人の組・消化率</t>
    </r>
  </si>
  <si>
    <r>
      <rPr>
        <b val="true"/>
        <sz val="10"/>
        <rFont val="HGPｺﾞｼｯｸM"/>
        <family val="0"/>
        <charset val="1"/>
      </rPr>
      <t xml:space="preserve">2026</t>
    </r>
    <r>
      <rPr>
        <b val="true"/>
        <sz val="10"/>
        <rFont val="WenQuanYi Zen Hei"/>
        <family val="2"/>
      </rPr>
      <t xml:space="preserve">年（出雲 総合</t>
    </r>
    <r>
      <rPr>
        <b val="true"/>
        <sz val="10"/>
        <rFont val="HGPｺﾞｼｯｸM"/>
        <family val="0"/>
        <charset val="1"/>
      </rPr>
      <t xml:space="preserve">11</t>
    </r>
    <r>
      <rPr>
        <b val="true"/>
        <sz val="10"/>
        <rFont val="WenQuanYi Zen Hei"/>
        <family val="2"/>
      </rPr>
      <t xml:space="preserve">位）　メンバー：</t>
    </r>
    <r>
      <rPr>
        <b val="true"/>
        <sz val="10"/>
        <rFont val="HGPｺﾞｼｯｸM"/>
        <family val="0"/>
        <charset val="1"/>
      </rPr>
      <t xml:space="preserve">1</t>
    </r>
    <r>
      <rPr>
        <b val="true"/>
        <sz val="10"/>
        <rFont val="WenQuanYi Zen Hei"/>
        <family val="2"/>
      </rPr>
      <t xml:space="preserve">区 石川浩輝／</t>
    </r>
    <r>
      <rPr>
        <b val="true"/>
        <sz val="10"/>
        <rFont val="HGPｺﾞｼｯｸM"/>
        <family val="0"/>
        <charset val="1"/>
      </rPr>
      <t xml:space="preserve">2</t>
    </r>
    <r>
      <rPr>
        <b val="true"/>
        <sz val="10"/>
        <rFont val="WenQuanYi Zen Hei"/>
        <family val="2"/>
      </rPr>
      <t xml:space="preserve">区 鳥井健太／</t>
    </r>
    <r>
      <rPr>
        <b val="true"/>
        <sz val="10"/>
        <rFont val="HGPｺﾞｼｯｸM"/>
        <family val="0"/>
        <charset val="1"/>
      </rPr>
      <t xml:space="preserve">3</t>
    </r>
    <r>
      <rPr>
        <b val="true"/>
        <sz val="10"/>
        <rFont val="WenQuanYi Zen Hei"/>
        <family val="2"/>
      </rPr>
      <t xml:space="preserve">区 飯田翔大／</t>
    </r>
    <r>
      <rPr>
        <b val="true"/>
        <sz val="10"/>
        <rFont val="HGPｺﾞｼｯｸM"/>
        <family val="0"/>
        <charset val="1"/>
      </rPr>
      <t xml:space="preserve">4</t>
    </r>
    <r>
      <rPr>
        <b val="true"/>
        <sz val="10"/>
        <rFont val="WenQuanYi Zen Hei"/>
        <family val="2"/>
      </rPr>
      <t xml:space="preserve">区 小河原陽琉／</t>
    </r>
    <r>
      <rPr>
        <b val="true"/>
        <sz val="10"/>
        <rFont val="HGPｺﾞｼｯｸM"/>
        <family val="0"/>
        <charset val="1"/>
      </rPr>
      <t xml:space="preserve">5</t>
    </r>
    <r>
      <rPr>
        <b val="true"/>
        <sz val="10"/>
        <rFont val="WenQuanYi Zen Hei"/>
        <family val="2"/>
      </rPr>
      <t xml:space="preserve">区 黒田然／</t>
    </r>
    <r>
      <rPr>
        <b val="true"/>
        <sz val="10"/>
        <rFont val="HGPｺﾞｼｯｸM"/>
        <family val="0"/>
        <charset val="1"/>
      </rPr>
      <t xml:space="preserve">6</t>
    </r>
    <r>
      <rPr>
        <b val="true"/>
        <sz val="10"/>
        <rFont val="WenQuanYi Zen Hei"/>
        <family val="2"/>
      </rPr>
      <t xml:space="preserve">区 前川竜之将</t>
    </r>
  </si>
  <si>
    <r>
      <rPr>
        <b val="true"/>
        <sz val="11"/>
        <color rgb="FF000000"/>
        <rFont val="HGPｺﾞｼｯｸM"/>
        <family val="0"/>
        <charset val="1"/>
      </rPr>
      <t xml:space="preserve">1</t>
    </r>
    <r>
      <rPr>
        <b val="true"/>
        <sz val="11"/>
        <color rgb="FF000000"/>
        <rFont val="WenQuanYi Zen Hei"/>
        <family val="2"/>
      </rPr>
      <t xml:space="preserve">次合宿（</t>
    </r>
    <r>
      <rPr>
        <b val="true"/>
        <sz val="11"/>
        <color rgb="FF000000"/>
        <rFont val="HGPｺﾞｼｯｸM"/>
        <family val="0"/>
        <charset val="1"/>
      </rPr>
      <t xml:space="preserve">8/2</t>
    </r>
    <r>
      <rPr>
        <b val="true"/>
        <sz val="11"/>
        <color rgb="FF000000"/>
        <rFont val="WenQuanYi Zen Hei"/>
        <family val="2"/>
      </rPr>
      <t xml:space="preserve">〜</t>
    </r>
    <r>
      <rPr>
        <b val="true"/>
        <sz val="11"/>
        <color rgb="FF000000"/>
        <rFont val="HGPｺﾞｼｯｸM"/>
        <family val="0"/>
        <charset val="1"/>
      </rPr>
      <t xml:space="preserve">8/19</t>
    </r>
    <r>
      <rPr>
        <b val="true"/>
        <sz val="11"/>
        <color rgb="FF000000"/>
        <rFont val="WenQuanYi Zen Hei"/>
        <family val="2"/>
      </rPr>
      <t xml:space="preserve">）</t>
    </r>
  </si>
  <si>
    <t xml:space="preserve">石川</t>
  </si>
  <si>
    <t xml:space="preserve">前川</t>
  </si>
  <si>
    <t xml:space="preserve">8/6</t>
  </si>
  <si>
    <r>
      <rPr>
        <sz val="10"/>
        <color rgb="FF000000"/>
        <rFont val="HGPｺﾞｼｯｸM"/>
        <family val="0"/>
        <charset val="1"/>
      </rPr>
      <t xml:space="preserve">CC25km</t>
    </r>
    <r>
      <rPr>
        <sz val="10"/>
        <color rgb="FF000000"/>
        <rFont val="WenQuanYi Zen Hei"/>
        <family val="2"/>
      </rPr>
      <t xml:space="preserve">【</t>
    </r>
    <r>
      <rPr>
        <sz val="10"/>
        <color rgb="FF000000"/>
        <rFont val="HGPｺﾞｼｯｸM"/>
        <family val="0"/>
        <charset val="1"/>
      </rPr>
      <t xml:space="preserve">(485m×6+1003m×2+2000m)×3+485m×6+1003m</t>
    </r>
    <r>
      <rPr>
        <sz val="10"/>
        <color rgb="FF000000"/>
        <rFont val="WenQuanYi Zen Hei"/>
        <family val="2"/>
      </rPr>
      <t xml:space="preserve">】（</t>
    </r>
    <r>
      <rPr>
        <sz val="10"/>
        <color rgb="FF000000"/>
        <rFont val="HGPｺﾞｼｯｸM"/>
        <family val="0"/>
        <charset val="1"/>
      </rPr>
      <t xml:space="preserve">3:42→3:36→3:30</t>
    </r>
    <r>
      <rPr>
        <sz val="10"/>
        <color rgb="FF000000"/>
        <rFont val="WenQuanYi Zen Hei"/>
        <family val="2"/>
      </rPr>
      <t xml:space="preserve">）</t>
    </r>
  </si>
  <si>
    <r>
      <rPr>
        <sz val="10"/>
        <color rgb="FF000000"/>
        <rFont val="HGPｺﾞｼｯｸM"/>
        <family val="0"/>
        <charset val="1"/>
      </rPr>
      <t xml:space="preserve">CC21km(</t>
    </r>
    <r>
      <rPr>
        <sz val="10"/>
        <color rgb="FF000000"/>
        <rFont val="WenQuanYi Zen Hei"/>
        <family val="2"/>
      </rPr>
      <t xml:space="preserve">山の家</t>
    </r>
    <r>
      <rPr>
        <sz val="10"/>
        <color rgb="FF000000"/>
        <rFont val="HGPｺﾞｼｯｸM"/>
        <family val="0"/>
        <charset val="1"/>
      </rPr>
      <t xml:space="preserve">) 11:19/1:11:34 100%</t>
    </r>
  </si>
  <si>
    <r>
      <rPr>
        <sz val="10"/>
        <color rgb="FF000000"/>
        <rFont val="HGPｺﾞｼｯｸM"/>
        <family val="0"/>
        <charset val="1"/>
      </rPr>
      <t xml:space="preserve">A(</t>
    </r>
    <r>
      <rPr>
        <sz val="10"/>
        <color rgb="FF000000"/>
        <rFont val="WenQuanYi Zen Hei"/>
        <family val="2"/>
      </rPr>
      <t xml:space="preserve">中</t>
    </r>
    <r>
      <rPr>
        <sz val="10"/>
        <color rgb="FF000000"/>
        <rFont val="HGPｺﾞｼｯｸM"/>
        <family val="0"/>
        <charset val="1"/>
      </rPr>
      <t xml:space="preserve">×3) 70%</t>
    </r>
  </si>
  <si>
    <r>
      <rPr>
        <sz val="10"/>
        <color rgb="FF000000"/>
        <rFont val="HGPｺﾞｼｯｸM"/>
        <family val="0"/>
        <charset val="1"/>
      </rPr>
      <t xml:space="preserve">21km</t>
    </r>
    <r>
      <rPr>
        <sz val="10"/>
        <color rgb="FF000000"/>
        <rFont val="WenQuanYi Zen Hei"/>
        <family val="2"/>
      </rPr>
      <t xml:space="preserve">坂</t>
    </r>
    <r>
      <rPr>
        <sz val="10"/>
        <color rgb="FF000000"/>
        <rFont val="HGPｺﾞｼｯｸM"/>
        <family val="0"/>
        <charset val="1"/>
      </rPr>
      <t xml:space="preserve">PTT</t>
    </r>
    <r>
      <rPr>
        <sz val="10"/>
        <color rgb="FF000000"/>
        <rFont val="WenQuanYi Zen Hei"/>
        <family val="2"/>
      </rPr>
      <t xml:space="preserve">（</t>
    </r>
    <r>
      <rPr>
        <sz val="10"/>
        <color rgb="FF000000"/>
        <rFont val="HGPｺﾞｼｯｸM"/>
        <family val="0"/>
        <charset val="1"/>
      </rPr>
      <t xml:space="preserve">3:36</t>
    </r>
    <r>
      <rPr>
        <sz val="10"/>
        <color rgb="FF000000"/>
        <rFont val="WenQuanYi Zen Hei"/>
        <family val="2"/>
      </rPr>
      <t xml:space="preserve">）</t>
    </r>
  </si>
  <si>
    <t xml:space="preserve">10:37/1:13:09 100%</t>
  </si>
  <si>
    <t xml:space="preserve">10:10/1:12:42 100%</t>
  </si>
  <si>
    <t xml:space="preserve">10:26/1:12:58 100%</t>
  </si>
  <si>
    <t xml:space="preserve">10:50/1:13:22 100%</t>
  </si>
  <si>
    <t xml:space="preserve">10:23/1:12:55 100%</t>
  </si>
  <si>
    <t xml:space="preserve">11:02/1:13:34 100%</t>
  </si>
  <si>
    <r>
      <rPr>
        <sz val="10"/>
        <color rgb="FF000000"/>
        <rFont val="HGPｺﾞｼｯｸM"/>
        <family val="0"/>
        <charset val="1"/>
      </rPr>
      <t xml:space="preserve">30km </t>
    </r>
    <r>
      <rPr>
        <sz val="10"/>
        <color rgb="FF000000"/>
        <rFont val="WenQuanYi Zen Hei"/>
        <family val="2"/>
      </rPr>
      <t xml:space="preserve">中</t>
    </r>
    <r>
      <rPr>
        <sz val="10"/>
        <color rgb="FF000000"/>
        <rFont val="HGPｺﾞｼｯｸM"/>
        <family val="0"/>
        <charset val="1"/>
      </rPr>
      <t xml:space="preserve">×4+5km</t>
    </r>
    <r>
      <rPr>
        <sz val="10"/>
        <color rgb="FF000000"/>
        <rFont val="WenQuanYi Zen Hei"/>
        <family val="2"/>
      </rPr>
      <t xml:space="preserve">（</t>
    </r>
    <r>
      <rPr>
        <sz val="10"/>
        <color rgb="FF000000"/>
        <rFont val="HGPｺﾞｼｯｸM"/>
        <family val="0"/>
        <charset val="1"/>
      </rPr>
      <t xml:space="preserve">3:36→3:30</t>
    </r>
    <r>
      <rPr>
        <sz val="10"/>
        <color rgb="FF000000"/>
        <rFont val="WenQuanYi Zen Hei"/>
        <family val="2"/>
      </rPr>
      <t xml:space="preserve">）</t>
    </r>
  </si>
  <si>
    <t xml:space="preserve">8/16</t>
  </si>
  <si>
    <r>
      <rPr>
        <sz val="10"/>
        <color rgb="FF000000"/>
        <rFont val="HGPｺﾞｼｯｸM"/>
        <family val="0"/>
        <charset val="1"/>
      </rPr>
      <t xml:space="preserve">21km</t>
    </r>
    <r>
      <rPr>
        <sz val="10"/>
        <color rgb="FF000000"/>
        <rFont val="WenQuanYi Zen Hei"/>
        <family val="2"/>
      </rPr>
      <t xml:space="preserve">坂</t>
    </r>
    <r>
      <rPr>
        <sz val="10"/>
        <color rgb="FF000000"/>
        <rFont val="HGPｺﾞｼｯｸM"/>
        <family val="0"/>
        <charset val="1"/>
      </rPr>
      <t xml:space="preserve">PTT</t>
    </r>
    <r>
      <rPr>
        <sz val="10"/>
        <color rgb="FF000000"/>
        <rFont val="WenQuanYi Zen Hei"/>
        <family val="2"/>
      </rPr>
      <t xml:space="preserve">（</t>
    </r>
    <r>
      <rPr>
        <sz val="10"/>
        <color rgb="FF000000"/>
        <rFont val="HGPｺﾞｼｯｸM"/>
        <family val="0"/>
        <charset val="1"/>
      </rPr>
      <t xml:space="preserve">3:36</t>
    </r>
    <r>
      <rPr>
        <sz val="10"/>
        <color rgb="FF000000"/>
        <rFont val="WenQuanYi Zen Hei"/>
        <family val="2"/>
      </rPr>
      <t xml:space="preserve">通し）</t>
    </r>
  </si>
  <si>
    <t xml:space="preserve">10:01/1:12:39 100%</t>
  </si>
  <si>
    <t xml:space="preserve">10:20/1:12:58 100%</t>
  </si>
  <si>
    <t xml:space="preserve">10:55/1:13:33 100%</t>
  </si>
  <si>
    <t xml:space="preserve">10:09/1:12:47 100%</t>
  </si>
  <si>
    <t xml:space="preserve">11:43/1:14:21 100%</t>
  </si>
  <si>
    <t xml:space="preserve">8/29</t>
  </si>
  <si>
    <r>
      <rPr>
        <sz val="10"/>
        <color rgb="FF000000"/>
        <rFont val="HGPｺﾞｼｯｸM"/>
        <family val="0"/>
        <charset val="1"/>
      </rPr>
      <t xml:space="preserve">30km</t>
    </r>
    <r>
      <rPr>
        <sz val="10"/>
        <color rgb="FF000000"/>
        <rFont val="WenQuanYi Zen Hei"/>
        <family val="2"/>
      </rPr>
      <t xml:space="preserve">（</t>
    </r>
    <r>
      <rPr>
        <sz val="10"/>
        <color rgb="FF000000"/>
        <rFont val="HGPｺﾞｼｯｸM"/>
        <family val="0"/>
        <charset val="1"/>
      </rPr>
      <t xml:space="preserve">3:36→3:30</t>
    </r>
    <r>
      <rPr>
        <sz val="10"/>
        <color rgb="FF000000"/>
        <rFont val="WenQuanYi Zen Hei"/>
        <family val="2"/>
      </rPr>
      <t xml:space="preserve">）</t>
    </r>
  </si>
  <si>
    <t xml:space="preserve">8/31</t>
  </si>
  <si>
    <r>
      <rPr>
        <sz val="10"/>
        <color rgb="FF000000"/>
        <rFont val="HGPｺﾞｼｯｸM"/>
        <family val="0"/>
        <charset val="1"/>
      </rPr>
      <t xml:space="preserve">2km×4</t>
    </r>
    <r>
      <rPr>
        <sz val="10"/>
        <color rgb="FF000000"/>
        <rFont val="WenQuanYi Zen Hei"/>
        <family val="2"/>
      </rPr>
      <t xml:space="preserve">（</t>
    </r>
    <r>
      <rPr>
        <sz val="10"/>
        <color rgb="FF000000"/>
        <rFont val="HGPｺﾞｼｯｸM"/>
        <family val="0"/>
        <charset val="1"/>
      </rPr>
      <t xml:space="preserve">5:40</t>
    </r>
    <r>
      <rPr>
        <sz val="10"/>
        <color rgb="FF000000"/>
        <rFont val="WenQuanYi Zen Hei"/>
        <family val="2"/>
      </rPr>
      <t xml:space="preserve">）</t>
    </r>
    <r>
      <rPr>
        <sz val="10"/>
        <color rgb="FF000000"/>
        <rFont val="HGPｺﾞｼｯｸM"/>
        <family val="0"/>
        <charset val="1"/>
      </rPr>
      <t xml:space="preserve">R2:00</t>
    </r>
  </si>
  <si>
    <r>
      <rPr>
        <sz val="10"/>
        <color rgb="FF000000"/>
        <rFont val="HGPｺﾞｼｯｸM"/>
        <family val="0"/>
        <charset val="1"/>
      </rPr>
      <t xml:space="preserve">3000m+12000m</t>
    </r>
    <r>
      <rPr>
        <sz val="10"/>
        <color rgb="FF000000"/>
        <rFont val="WenQuanYi Zen Hei"/>
        <family val="2"/>
      </rPr>
      <t xml:space="preserve">ビルドアップ（</t>
    </r>
    <r>
      <rPr>
        <sz val="10"/>
        <color rgb="FF000000"/>
        <rFont val="HGPｺﾞｼｯｸM"/>
        <family val="0"/>
        <charset val="1"/>
      </rPr>
      <t xml:space="preserve">8:20</t>
    </r>
    <r>
      <rPr>
        <sz val="10"/>
        <color rgb="FF000000"/>
        <rFont val="WenQuanYi Zen Hei"/>
        <family val="2"/>
      </rPr>
      <t xml:space="preserve">／</t>
    </r>
    <r>
      <rPr>
        <sz val="10"/>
        <color rgb="FF000000"/>
        <rFont val="HGPｺﾞｼｯｸM"/>
        <family val="0"/>
        <charset val="1"/>
      </rPr>
      <t xml:space="preserve">3:30→2:55→</t>
    </r>
    <r>
      <rPr>
        <sz val="10"/>
        <color rgb="FF000000"/>
        <rFont val="WenQuanYi Zen Hei"/>
        <family val="2"/>
      </rPr>
      <t xml:space="preserve">フリー）</t>
    </r>
  </si>
  <si>
    <t xml:space="preserve">2:49.0 100%</t>
  </si>
  <si>
    <t xml:space="preserve">2:35.3 100%</t>
  </si>
  <si>
    <t xml:space="preserve">2:37.2 100%</t>
  </si>
  <si>
    <t xml:space="preserve">2:33.2 100%</t>
  </si>
  <si>
    <t xml:space="preserve">2:39.1 100%</t>
  </si>
  <si>
    <t xml:space="preserve">2:45.4 100%</t>
  </si>
  <si>
    <r>
      <rPr>
        <sz val="10"/>
        <color rgb="FF000000"/>
        <rFont val="HGPｺﾞｼｯｸM"/>
        <family val="0"/>
        <charset val="1"/>
      </rPr>
      <t xml:space="preserve">21km</t>
    </r>
    <r>
      <rPr>
        <sz val="10"/>
        <color rgb="FF000000"/>
        <rFont val="WenQuanYi Zen Hei"/>
        <family val="2"/>
      </rPr>
      <t xml:space="preserve">（</t>
    </r>
    <r>
      <rPr>
        <sz val="10"/>
        <color rgb="FF000000"/>
        <rFont val="HGPｺﾞｼｯｸM"/>
        <family val="0"/>
        <charset val="1"/>
      </rPr>
      <t xml:space="preserve">3:30</t>
    </r>
    <r>
      <rPr>
        <sz val="10"/>
        <color rgb="FF000000"/>
        <rFont val="WenQuanYi Zen Hei"/>
        <family val="2"/>
      </rPr>
      <t xml:space="preserve">）</t>
    </r>
  </si>
  <si>
    <r>
      <rPr>
        <b val="true"/>
        <sz val="11"/>
        <color rgb="FF000000"/>
        <rFont val="HGPｺﾞｼｯｸM"/>
        <family val="0"/>
        <charset val="1"/>
      </rPr>
      <t xml:space="preserve">3</t>
    </r>
    <r>
      <rPr>
        <b val="true"/>
        <sz val="11"/>
        <color rgb="FF000000"/>
        <rFont val="WenQuanYi Zen Hei"/>
        <family val="2"/>
      </rPr>
      <t xml:space="preserve">次合宿（</t>
    </r>
    <r>
      <rPr>
        <b val="true"/>
        <sz val="11"/>
        <color rgb="FF000000"/>
        <rFont val="HGPｺﾞｼｯｸM"/>
        <family val="0"/>
        <charset val="1"/>
      </rPr>
      <t xml:space="preserve">9/16</t>
    </r>
    <r>
      <rPr>
        <b val="true"/>
        <sz val="11"/>
        <color rgb="FF000000"/>
        <rFont val="WenQuanYi Zen Hei"/>
        <family val="2"/>
      </rPr>
      <t xml:space="preserve">〜</t>
    </r>
    <r>
      <rPr>
        <b val="true"/>
        <sz val="11"/>
        <color rgb="FF000000"/>
        <rFont val="HGPｺﾞｼｯｸM"/>
        <family val="0"/>
        <charset val="1"/>
      </rPr>
      <t xml:space="preserve">9/23</t>
    </r>
    <r>
      <rPr>
        <b val="true"/>
        <sz val="11"/>
        <color rgb="FF000000"/>
        <rFont val="WenQuanYi Zen Hei"/>
        <family val="2"/>
      </rPr>
      <t xml:space="preserve">）</t>
    </r>
  </si>
  <si>
    <t xml:space="preserve">9/16</t>
  </si>
  <si>
    <r>
      <rPr>
        <sz val="10"/>
        <color rgb="FF000000"/>
        <rFont val="HGPｺﾞｼｯｸM"/>
        <family val="0"/>
        <charset val="1"/>
      </rPr>
      <t xml:space="preserve">30km</t>
    </r>
    <r>
      <rPr>
        <sz val="10"/>
        <color rgb="FF000000"/>
        <rFont val="WenQuanYi Zen Hei"/>
        <family val="2"/>
      </rPr>
      <t xml:space="preserve">（</t>
    </r>
    <r>
      <rPr>
        <sz val="10"/>
        <color rgb="FF000000"/>
        <rFont val="HGPｺﾞｼｯｸM"/>
        <family val="0"/>
        <charset val="1"/>
      </rPr>
      <t xml:space="preserve">1:45:00</t>
    </r>
    <r>
      <rPr>
        <sz val="10"/>
        <color rgb="FF000000"/>
        <rFont val="WenQuanYi Zen Hei"/>
        <family val="2"/>
      </rPr>
      <t xml:space="preserve">）</t>
    </r>
  </si>
  <si>
    <r>
      <rPr>
        <sz val="10"/>
        <color rgb="FF000000"/>
        <rFont val="HGPｺﾞｼｯｸM"/>
        <family val="0"/>
        <charset val="1"/>
      </rPr>
      <t xml:space="preserve">1000m×2+12000m+200m×5</t>
    </r>
    <r>
      <rPr>
        <sz val="10"/>
        <color rgb="FF000000"/>
        <rFont val="WenQuanYi Zen Hei"/>
        <family val="2"/>
      </rPr>
      <t xml:space="preserve">（</t>
    </r>
    <r>
      <rPr>
        <sz val="10"/>
        <color rgb="FF000000"/>
        <rFont val="HGPｺﾞｼｯｸM"/>
        <family val="0"/>
        <charset val="1"/>
      </rPr>
      <t xml:space="preserve">2:40</t>
    </r>
    <r>
      <rPr>
        <sz val="10"/>
        <color rgb="FF000000"/>
        <rFont val="WenQuanYi Zen Hei"/>
        <family val="2"/>
      </rPr>
      <t xml:space="preserve">／</t>
    </r>
    <r>
      <rPr>
        <sz val="10"/>
        <color rgb="FF000000"/>
        <rFont val="HGPｺﾞｼｯｸM"/>
        <family val="0"/>
        <charset val="1"/>
      </rPr>
      <t xml:space="preserve">3:20→3:10</t>
    </r>
    <r>
      <rPr>
        <sz val="10"/>
        <color rgb="FF000000"/>
        <rFont val="WenQuanYi Zen Hei"/>
        <family val="2"/>
      </rPr>
      <t xml:space="preserve">）</t>
    </r>
  </si>
  <si>
    <t xml:space="preserve">A/A1' 100%</t>
  </si>
  <si>
    <t xml:space="preserve">A/A2' 100%</t>
  </si>
  <si>
    <r>
      <rPr>
        <sz val="10"/>
        <color rgb="FF000000"/>
        <rFont val="HGPｺﾞｼｯｸM"/>
        <family val="0"/>
        <charset val="1"/>
      </rPr>
      <t xml:space="preserve">3000m×4</t>
    </r>
    <r>
      <rPr>
        <sz val="10"/>
        <color rgb="FF000000"/>
        <rFont val="WenQuanYi Zen Hei"/>
        <family val="2"/>
      </rPr>
      <t xml:space="preserve">（</t>
    </r>
    <r>
      <rPr>
        <sz val="10"/>
        <color rgb="FF000000"/>
        <rFont val="HGPｺﾞｼｯｸM"/>
        <family val="0"/>
        <charset val="1"/>
      </rPr>
      <t xml:space="preserve">8:30-8:40-8:40-8:30</t>
    </r>
    <r>
      <rPr>
        <sz val="10"/>
        <color rgb="FF000000"/>
        <rFont val="WenQuanYi Zen Hei"/>
        <family val="2"/>
      </rPr>
      <t xml:space="preserve">）</t>
    </r>
    <r>
      <rPr>
        <sz val="10"/>
        <color rgb="FF000000"/>
        <rFont val="HGPｺﾞｼｯｸM"/>
        <family val="0"/>
        <charset val="1"/>
      </rPr>
      <t xml:space="preserve">R600m</t>
    </r>
  </si>
  <si>
    <t xml:space="preserve">A 90%</t>
  </si>
  <si>
    <t xml:space="preserve">9/23</t>
  </si>
  <si>
    <r>
      <rPr>
        <sz val="10"/>
        <color rgb="FF000000"/>
        <rFont val="HGPｺﾞｼｯｸM"/>
        <family val="0"/>
        <charset val="1"/>
      </rPr>
      <t xml:space="preserve">400m×6</t>
    </r>
    <r>
      <rPr>
        <sz val="10"/>
        <color rgb="FF000000"/>
        <rFont val="WenQuanYi Zen Hei"/>
        <family val="2"/>
      </rPr>
      <t xml:space="preserve">（</t>
    </r>
    <r>
      <rPr>
        <sz val="10"/>
        <color rgb="FF000000"/>
        <rFont val="HGPｺﾞｼｯｸM"/>
        <family val="0"/>
        <charset val="1"/>
      </rPr>
      <t xml:space="preserve">64</t>
    </r>
    <r>
      <rPr>
        <sz val="10"/>
        <color rgb="FF000000"/>
        <rFont val="WenQuanYi Zen Hei"/>
        <family val="2"/>
      </rPr>
      <t xml:space="preserve">）</t>
    </r>
    <r>
      <rPr>
        <sz val="10"/>
        <color rgb="FF000000"/>
        <rFont val="HGPｺﾞｼｯｸM"/>
        <family val="0"/>
        <charset val="1"/>
      </rPr>
      <t xml:space="preserve">R100m</t>
    </r>
  </si>
  <si>
    <r>
      <rPr>
        <b val="true"/>
        <sz val="14"/>
        <color rgb="FF000000"/>
        <rFont val="WenQuanYi Zen Hei"/>
        <family val="2"/>
      </rPr>
      <t xml:space="preserve">出雲駅伝 出走選手一覧（</t>
    </r>
    <r>
      <rPr>
        <b val="true"/>
        <sz val="14"/>
        <color rgb="FF000000"/>
        <rFont val="HGPｺﾞｼｯｸM"/>
        <family val="0"/>
        <charset val="1"/>
      </rPr>
      <t xml:space="preserve">2022</t>
    </r>
    <r>
      <rPr>
        <b val="true"/>
        <sz val="14"/>
        <color rgb="FF000000"/>
        <rFont val="WenQuanYi Zen Hei"/>
        <family val="2"/>
      </rPr>
      <t xml:space="preserve">〜</t>
    </r>
    <r>
      <rPr>
        <b val="true"/>
        <sz val="14"/>
        <color rgb="FF000000"/>
        <rFont val="HGPｺﾞｼｯｸM"/>
        <family val="0"/>
        <charset val="1"/>
      </rPr>
      <t xml:space="preserve">2026</t>
    </r>
    <r>
      <rPr>
        <b val="true"/>
        <sz val="14"/>
        <color rgb="FF000000"/>
        <rFont val="WenQuanYi Zen Hei"/>
        <family val="2"/>
      </rPr>
      <t xml:space="preserve">年）：</t>
    </r>
    <r>
      <rPr>
        <b val="true"/>
        <sz val="14"/>
        <color rgb="FF000000"/>
        <rFont val="HGPｺﾞｼｯｸM"/>
        <family val="0"/>
        <charset val="1"/>
      </rPr>
      <t xml:space="preserve">1</t>
    </r>
    <r>
      <rPr>
        <b val="true"/>
        <sz val="14"/>
        <color rgb="FF000000"/>
        <rFont val="WenQuanYi Zen Hei"/>
        <family val="2"/>
      </rPr>
      <t xml:space="preserve">行に</t>
    </r>
    <r>
      <rPr>
        <b val="true"/>
        <sz val="14"/>
        <color rgb="FF000000"/>
        <rFont val="HGPｺﾞｼｯｸM"/>
        <family val="0"/>
        <charset val="1"/>
      </rPr>
      <t xml:space="preserve">1</t>
    </r>
    <r>
      <rPr>
        <b val="true"/>
        <sz val="14"/>
        <color rgb="FF000000"/>
        <rFont val="WenQuanYi Zen Hei"/>
        <family val="2"/>
      </rPr>
      <t xml:space="preserve">人分の情報を集約</t>
    </r>
  </si>
  <si>
    <r>
      <rPr>
        <sz val="9"/>
        <color rgb="FF000000"/>
        <rFont val="WenQuanYi Zen Hei"/>
        <family val="2"/>
      </rPr>
      <t xml:space="preserve">各テーマのシートの値を</t>
    </r>
    <r>
      <rPr>
        <sz val="9"/>
        <color rgb="FF000000"/>
        <rFont val="HGPｺﾞｼｯｸM"/>
        <family val="0"/>
        <charset val="1"/>
      </rPr>
      <t xml:space="preserve">1</t>
    </r>
    <r>
      <rPr>
        <sz val="9"/>
        <color rgb="FF000000"/>
        <rFont val="WenQuanYi Zen Hei"/>
        <family val="2"/>
      </rPr>
      <t xml:space="preserve">行に集めた一覧（値で記載）。換算タイムは</t>
    </r>
    <r>
      <rPr>
        <sz val="9"/>
        <color rgb="FF000000"/>
        <rFont val="HGPｺﾞｼｯｸM"/>
        <family val="0"/>
        <charset val="1"/>
      </rPr>
      <t xml:space="preserve">1</t>
    </r>
    <r>
      <rPr>
        <sz val="9"/>
        <color rgb="FF000000"/>
        <rFont val="WenQuanYi Zen Hei"/>
        <family val="2"/>
      </rPr>
      <t xml:space="preserve">〜</t>
    </r>
    <r>
      <rPr>
        <sz val="9"/>
        <color rgb="FF000000"/>
        <rFont val="HGPｺﾞｼｯｸM"/>
        <family val="0"/>
        <charset val="1"/>
      </rPr>
      <t xml:space="preserve">5</t>
    </r>
    <r>
      <rPr>
        <sz val="9"/>
        <color rgb="FF000000"/>
        <rFont val="WenQuanYi Zen Hei"/>
        <family val="2"/>
      </rPr>
      <t xml:space="preserve">区が</t>
    </r>
    <r>
      <rPr>
        <sz val="9"/>
        <color rgb="FF000000"/>
        <rFont val="HGPｺﾞｼｯｸM"/>
        <family val="0"/>
        <charset val="1"/>
      </rPr>
      <t xml:space="preserve">5km</t>
    </r>
    <r>
      <rPr>
        <sz val="9"/>
        <color rgb="FF000000"/>
        <rFont val="WenQuanYi Zen Hei"/>
        <family val="2"/>
      </rPr>
      <t xml:space="preserve">、</t>
    </r>
    <r>
      <rPr>
        <sz val="9"/>
        <color rgb="FF000000"/>
        <rFont val="HGPｺﾞｼｯｸM"/>
        <family val="0"/>
        <charset val="1"/>
      </rPr>
      <t xml:space="preserve">6</t>
    </r>
    <r>
      <rPr>
        <sz val="9"/>
        <color rgb="FF000000"/>
        <rFont val="WenQuanYi Zen Hei"/>
        <family val="2"/>
      </rPr>
      <t xml:space="preserve">区が</t>
    </r>
    <r>
      <rPr>
        <sz val="9"/>
        <color rgb="FF000000"/>
        <rFont val="HGPｺﾞｼｯｸM"/>
        <family val="0"/>
        <charset val="1"/>
      </rPr>
      <t xml:space="preserve">10km</t>
    </r>
    <r>
      <rPr>
        <sz val="9"/>
        <color rgb="FF000000"/>
        <rFont val="WenQuanYi Zen Hei"/>
        <family val="2"/>
      </rPr>
      <t xml:space="preserve">あたり。悪化率＝出雲</t>
    </r>
    <r>
      <rPr>
        <sz val="9"/>
        <color rgb="FF000000"/>
        <rFont val="HGPｺﾞｼｯｸM"/>
        <family val="0"/>
        <charset val="1"/>
      </rPr>
      <t xml:space="preserve">5km</t>
    </r>
    <r>
      <rPr>
        <sz val="9"/>
        <color rgb="FF000000"/>
        <rFont val="WenQuanYi Zen Hei"/>
        <family val="2"/>
      </rPr>
      <t xml:space="preserve">換算</t>
    </r>
    <r>
      <rPr>
        <sz val="9"/>
        <color rgb="FF000000"/>
        <rFont val="HGPｺﾞｼｯｸM"/>
        <family val="0"/>
        <charset val="1"/>
      </rPr>
      <t xml:space="preserve">÷2</t>
    </r>
    <r>
      <rPr>
        <sz val="9"/>
        <color rgb="FF000000"/>
        <rFont val="WenQuanYi Zen Hei"/>
        <family val="2"/>
      </rPr>
      <t xml:space="preserve">週間前</t>
    </r>
    <r>
      <rPr>
        <sz val="9"/>
        <color rgb="FF000000"/>
        <rFont val="HGPｺﾞｼｯｸM"/>
        <family val="0"/>
        <charset val="1"/>
      </rPr>
      <t xml:space="preserve">5000m−1</t>
    </r>
    <r>
      <rPr>
        <sz val="9"/>
        <color rgb="FF000000"/>
        <rFont val="WenQuanYi Zen Hei"/>
        <family val="2"/>
      </rPr>
      <t xml:space="preserve">。チーム内順位は全部員（女子選手を除く）の中での</t>
    </r>
    <r>
      <rPr>
        <sz val="9"/>
        <color rgb="FF000000"/>
        <rFont val="HGPｺﾞｼｯｸM"/>
        <family val="0"/>
        <charset val="1"/>
      </rPr>
      <t xml:space="preserve">1</t>
    </r>
    <r>
      <rPr>
        <sz val="9"/>
        <color rgb="FF000000"/>
        <rFont val="WenQuanYi Zen Hei"/>
        <family val="2"/>
      </rPr>
      <t xml:space="preserve">日あたり距離の順位。空欄はデータ未提供（</t>
    </r>
    <r>
      <rPr>
        <sz val="9"/>
        <color rgb="FF000000"/>
        <rFont val="HGPｺﾞｼｯｸM"/>
        <family val="0"/>
        <charset val="1"/>
      </rPr>
      <t xml:space="preserve">2022</t>
    </r>
    <r>
      <rPr>
        <sz val="9"/>
        <color rgb="FF000000"/>
        <rFont val="WenQuanYi Zen Hei"/>
        <family val="2"/>
      </rPr>
      <t xml:space="preserve">年の合宿、</t>
    </r>
    <r>
      <rPr>
        <sz val="9"/>
        <color rgb="FF000000"/>
        <rFont val="HGPｺﾞｼｯｸM"/>
        <family val="0"/>
        <charset val="1"/>
      </rPr>
      <t xml:space="preserve">2024</t>
    </r>
    <r>
      <rPr>
        <sz val="9"/>
        <color rgb="FF000000"/>
        <rFont val="WenQuanYi Zen Hei"/>
        <family val="2"/>
      </rPr>
      <t xml:space="preserve">年以降の月間など）</t>
    </r>
  </si>
  <si>
    <t xml:space="preserve">基本</t>
  </si>
  <si>
    <t xml:space="preserve">出雲駅伝</t>
  </si>
  <si>
    <r>
      <rPr>
        <b val="true"/>
        <sz val="10"/>
        <color rgb="FF000000"/>
        <rFont val="HGPｺﾞｼｯｸM"/>
        <family val="0"/>
        <charset val="1"/>
      </rPr>
      <t xml:space="preserve">2</t>
    </r>
    <r>
      <rPr>
        <b val="true"/>
        <sz val="10"/>
        <color rgb="FF000000"/>
        <rFont val="WenQuanYi Zen Hei"/>
        <family val="2"/>
      </rPr>
      <t xml:space="preserve">週間前</t>
    </r>
    <r>
      <rPr>
        <b val="true"/>
        <sz val="10"/>
        <color rgb="FF000000"/>
        <rFont val="HGPｺﾞｼｯｸM"/>
        <family val="0"/>
        <charset val="1"/>
      </rPr>
      <t xml:space="preserve">5000m</t>
    </r>
  </si>
  <si>
    <r>
      <rPr>
        <b val="true"/>
        <sz val="10"/>
        <color rgb="FF000000"/>
        <rFont val="WenQuanYi Zen Hei"/>
        <family val="2"/>
      </rPr>
      <t xml:space="preserve">換算タイム
</t>
    </r>
    <r>
      <rPr>
        <b val="true"/>
        <sz val="10"/>
        <color rgb="FF000000"/>
        <rFont val="HGPｺﾞｼｯｸM"/>
        <family val="0"/>
        <charset val="1"/>
      </rPr>
      <t xml:space="preserve">(5km/6</t>
    </r>
    <r>
      <rPr>
        <b val="true"/>
        <sz val="10"/>
        <color rgb="FF000000"/>
        <rFont val="WenQuanYi Zen Hei"/>
        <family val="2"/>
      </rPr>
      <t xml:space="preserve">区</t>
    </r>
    <r>
      <rPr>
        <b val="true"/>
        <sz val="10"/>
        <color rgb="FF000000"/>
        <rFont val="HGPｺﾞｼｯｸM"/>
        <family val="0"/>
        <charset val="1"/>
      </rPr>
      <t xml:space="preserve">10km)</t>
    </r>
  </si>
  <si>
    <t xml:space="preserve">日本人トップ
換算タイム</t>
  </si>
  <si>
    <t xml:space="preserve">タイム</t>
  </si>
  <si>
    <t xml:space="preserve">レース</t>
  </si>
  <si>
    <t xml:space="preserve">組内順位</t>
  </si>
  <si>
    <r>
      <rPr>
        <b val="true"/>
        <sz val="10"/>
        <color rgb="FF000000"/>
        <rFont val="HGPｺﾞｼｯｸM"/>
        <family val="0"/>
        <charset val="1"/>
      </rPr>
      <t xml:space="preserve">1</t>
    </r>
    <r>
      <rPr>
        <b val="true"/>
        <sz val="10"/>
        <color rgb="FF000000"/>
        <rFont val="WenQuanYi Zen Hei"/>
        <family val="2"/>
      </rPr>
      <t xml:space="preserve">次
</t>
    </r>
    <r>
      <rPr>
        <b val="true"/>
        <sz val="10"/>
        <color rgb="FF000000"/>
        <rFont val="HGPｺﾞｼｯｸM"/>
        <family val="0"/>
        <charset val="1"/>
      </rPr>
      <t xml:space="preserve">(km)</t>
    </r>
  </si>
  <si>
    <r>
      <rPr>
        <b val="true"/>
        <sz val="10"/>
        <color rgb="FF000000"/>
        <rFont val="HGPｺﾞｼｯｸM"/>
        <family val="0"/>
        <charset val="1"/>
      </rPr>
      <t xml:space="preserve">1</t>
    </r>
    <r>
      <rPr>
        <b val="true"/>
        <sz val="10"/>
        <color rgb="FF000000"/>
        <rFont val="WenQuanYi Zen Hei"/>
        <family val="2"/>
      </rPr>
      <t xml:space="preserve">次
チーム内
順位</t>
    </r>
    <r>
      <rPr>
        <b val="true"/>
        <sz val="10"/>
        <color rgb="FF000000"/>
        <rFont val="HGPｺﾞｼｯｸM"/>
        <family val="0"/>
        <charset val="1"/>
      </rPr>
      <t xml:space="preserve">(1</t>
    </r>
    <r>
      <rPr>
        <b val="true"/>
        <sz val="10"/>
        <color rgb="FF000000"/>
        <rFont val="WenQuanYi Zen Hei"/>
        <family val="2"/>
      </rPr>
      <t xml:space="preserve">日</t>
    </r>
    <r>
      <rPr>
        <b val="true"/>
        <sz val="10"/>
        <color rgb="FF000000"/>
        <rFont val="HGPｺﾞｼｯｸM"/>
        <family val="0"/>
        <charset val="1"/>
      </rPr>
      <t xml:space="preserve">)</t>
    </r>
  </si>
  <si>
    <r>
      <rPr>
        <b val="true"/>
        <sz val="10"/>
        <color rgb="FF000000"/>
        <rFont val="HGPｺﾞｼｯｸM"/>
        <family val="0"/>
        <charset val="1"/>
      </rPr>
      <t xml:space="preserve">2</t>
    </r>
    <r>
      <rPr>
        <b val="true"/>
        <sz val="10"/>
        <color rgb="FF000000"/>
        <rFont val="WenQuanYi Zen Hei"/>
        <family val="2"/>
      </rPr>
      <t xml:space="preserve">次
</t>
    </r>
    <r>
      <rPr>
        <b val="true"/>
        <sz val="10"/>
        <color rgb="FF000000"/>
        <rFont val="HGPｺﾞｼｯｸM"/>
        <family val="0"/>
        <charset val="1"/>
      </rPr>
      <t xml:space="preserve">(km)</t>
    </r>
  </si>
  <si>
    <r>
      <rPr>
        <b val="true"/>
        <sz val="10"/>
        <color rgb="FF000000"/>
        <rFont val="HGPｺﾞｼｯｸM"/>
        <family val="0"/>
        <charset val="1"/>
      </rPr>
      <t xml:space="preserve">2</t>
    </r>
    <r>
      <rPr>
        <b val="true"/>
        <sz val="10"/>
        <color rgb="FF000000"/>
        <rFont val="WenQuanYi Zen Hei"/>
        <family val="2"/>
      </rPr>
      <t xml:space="preserve">次
</t>
    </r>
    <r>
      <rPr>
        <b val="true"/>
        <sz val="10"/>
        <color rgb="FF000000"/>
        <rFont val="HGPｺﾞｼｯｸM"/>
        <family val="0"/>
        <charset val="1"/>
      </rPr>
      <t xml:space="preserve">1</t>
    </r>
    <r>
      <rPr>
        <b val="true"/>
        <sz val="10"/>
        <color rgb="FF000000"/>
        <rFont val="WenQuanYi Zen Hei"/>
        <family val="2"/>
      </rPr>
      <t xml:space="preserve">日あたり</t>
    </r>
  </si>
  <si>
    <r>
      <rPr>
        <b val="true"/>
        <sz val="10"/>
        <color rgb="FF000000"/>
        <rFont val="HGPｺﾞｼｯｸM"/>
        <family val="0"/>
        <charset val="1"/>
      </rPr>
      <t xml:space="preserve">2</t>
    </r>
    <r>
      <rPr>
        <b val="true"/>
        <sz val="10"/>
        <color rgb="FF000000"/>
        <rFont val="WenQuanYi Zen Hei"/>
        <family val="2"/>
      </rPr>
      <t xml:space="preserve">次
チーム内
順位</t>
    </r>
    <r>
      <rPr>
        <b val="true"/>
        <sz val="10"/>
        <color rgb="FF000000"/>
        <rFont val="HGPｺﾞｼｯｸM"/>
        <family val="0"/>
        <charset val="1"/>
      </rPr>
      <t xml:space="preserve">(1</t>
    </r>
    <r>
      <rPr>
        <b val="true"/>
        <sz val="10"/>
        <color rgb="FF000000"/>
        <rFont val="WenQuanYi Zen Hei"/>
        <family val="2"/>
      </rPr>
      <t xml:space="preserve">日</t>
    </r>
    <r>
      <rPr>
        <b val="true"/>
        <sz val="10"/>
        <color rgb="FF000000"/>
        <rFont val="HGPｺﾞｼｯｸM"/>
        <family val="0"/>
        <charset val="1"/>
      </rPr>
      <t xml:space="preserve">)</t>
    </r>
  </si>
  <si>
    <r>
      <rPr>
        <b val="true"/>
        <sz val="10"/>
        <color rgb="FF000000"/>
        <rFont val="HGPｺﾞｼｯｸM"/>
        <family val="0"/>
        <charset val="1"/>
      </rPr>
      <t xml:space="preserve">1</t>
    </r>
    <r>
      <rPr>
        <b val="true"/>
        <sz val="10"/>
        <color rgb="FF000000"/>
        <rFont val="WenQuanYi Zen Hei"/>
        <family val="2"/>
      </rPr>
      <t xml:space="preserve">次</t>
    </r>
    <r>
      <rPr>
        <b val="true"/>
        <sz val="10"/>
        <color rgb="FF000000"/>
        <rFont val="HGPｺﾞｼｯｸM"/>
        <family val="0"/>
        <charset val="1"/>
      </rPr>
      <t xml:space="preserve">+2</t>
    </r>
    <r>
      <rPr>
        <b val="true"/>
        <sz val="10"/>
        <color rgb="FF000000"/>
        <rFont val="WenQuanYi Zen Hei"/>
        <family val="2"/>
      </rPr>
      <t xml:space="preserve">次
</t>
    </r>
    <r>
      <rPr>
        <b val="true"/>
        <sz val="10"/>
        <color rgb="FF000000"/>
        <rFont val="HGPｺﾞｼｯｸM"/>
        <family val="0"/>
        <charset val="1"/>
      </rPr>
      <t xml:space="preserve">(km)</t>
    </r>
  </si>
  <si>
    <r>
      <rPr>
        <b val="true"/>
        <sz val="10"/>
        <color rgb="FF000000"/>
        <rFont val="HGPｺﾞｼｯｸM"/>
        <family val="0"/>
        <charset val="1"/>
      </rPr>
      <t xml:space="preserve">1</t>
    </r>
    <r>
      <rPr>
        <b val="true"/>
        <sz val="10"/>
        <color rgb="FF000000"/>
        <rFont val="WenQuanYi Zen Hei"/>
        <family val="2"/>
      </rPr>
      <t xml:space="preserve">次</t>
    </r>
  </si>
  <si>
    <r>
      <rPr>
        <b val="true"/>
        <sz val="10"/>
        <color rgb="FF000000"/>
        <rFont val="HGPｺﾞｼｯｸM"/>
        <family val="0"/>
        <charset val="1"/>
      </rPr>
      <t xml:space="preserve">2</t>
    </r>
    <r>
      <rPr>
        <b val="true"/>
        <sz val="10"/>
        <color rgb="FF000000"/>
        <rFont val="WenQuanYi Zen Hei"/>
        <family val="2"/>
      </rPr>
      <t xml:space="preserve">次</t>
    </r>
  </si>
  <si>
    <r>
      <rPr>
        <b val="true"/>
        <sz val="10"/>
        <color rgb="FF000000"/>
        <rFont val="HGPｺﾞｼｯｸM"/>
        <family val="0"/>
        <charset val="1"/>
      </rPr>
      <t xml:space="preserve">3</t>
    </r>
    <r>
      <rPr>
        <b val="true"/>
        <sz val="10"/>
        <color rgb="FF000000"/>
        <rFont val="WenQuanYi Zen Hei"/>
        <family val="2"/>
      </rPr>
      <t xml:space="preserve">次</t>
    </r>
  </si>
  <si>
    <t xml:space="preserve">夏平均</t>
  </si>
  <si>
    <r>
      <rPr>
        <sz val="10"/>
        <color rgb="FF000000"/>
        <rFont val="HGPｺﾞｼｯｸM"/>
        <family val="0"/>
        <charset val="1"/>
      </rPr>
      <t xml:space="preserve">28</t>
    </r>
    <r>
      <rPr>
        <sz val="10"/>
        <color rgb="FF000000"/>
        <rFont val="WenQuanYi Zen Hei"/>
        <family val="2"/>
      </rPr>
      <t xml:space="preserve">位</t>
    </r>
    <r>
      <rPr>
        <sz val="10"/>
        <color rgb="FF000000"/>
        <rFont val="HGPｺﾞｼｯｸM"/>
        <family val="0"/>
        <charset val="1"/>
      </rPr>
      <t xml:space="preserve">/46</t>
    </r>
    <r>
      <rPr>
        <sz val="10"/>
        <color rgb="FF000000"/>
        <rFont val="WenQuanYi Zen Hei"/>
        <family val="2"/>
      </rPr>
      <t xml:space="preserve">人</t>
    </r>
  </si>
  <si>
    <r>
      <rPr>
        <sz val="10"/>
        <color rgb="FF000000"/>
        <rFont val="HGPｺﾞｼｯｸM"/>
        <family val="0"/>
        <charset val="1"/>
      </rPr>
      <t xml:space="preserve">9</t>
    </r>
    <r>
      <rPr>
        <sz val="10"/>
        <color rgb="FF000000"/>
        <rFont val="WenQuanYi Zen Hei"/>
        <family val="2"/>
      </rPr>
      <t xml:space="preserve">位</t>
    </r>
    <r>
      <rPr>
        <sz val="10"/>
        <color rgb="FF000000"/>
        <rFont val="HGPｺﾞｼｯｸM"/>
        <family val="0"/>
        <charset val="1"/>
      </rPr>
      <t xml:space="preserve">/42</t>
    </r>
    <r>
      <rPr>
        <sz val="10"/>
        <color rgb="FF000000"/>
        <rFont val="WenQuanYi Zen Hei"/>
        <family val="2"/>
      </rPr>
      <t xml:space="preserve">人</t>
    </r>
  </si>
  <si>
    <r>
      <rPr>
        <sz val="10"/>
        <color rgb="FF000000"/>
        <rFont val="HGPｺﾞｼｯｸM"/>
        <family val="0"/>
        <charset val="1"/>
      </rPr>
      <t xml:space="preserve">31</t>
    </r>
    <r>
      <rPr>
        <sz val="10"/>
        <color rgb="FF000000"/>
        <rFont val="WenQuanYi Zen Hei"/>
        <family val="2"/>
      </rPr>
      <t xml:space="preserve">位</t>
    </r>
    <r>
      <rPr>
        <sz val="10"/>
        <color rgb="FF000000"/>
        <rFont val="HGPｺﾞｼｯｸM"/>
        <family val="0"/>
        <charset val="1"/>
      </rPr>
      <t xml:space="preserve">/46</t>
    </r>
    <r>
      <rPr>
        <sz val="10"/>
        <color rgb="FF000000"/>
        <rFont val="WenQuanYi Zen Hei"/>
        <family val="2"/>
      </rPr>
      <t xml:space="preserve">人</t>
    </r>
  </si>
  <si>
    <r>
      <rPr>
        <sz val="10"/>
        <color rgb="FF000000"/>
        <rFont val="HGPｺﾞｼｯｸM"/>
        <family val="0"/>
        <charset val="1"/>
      </rPr>
      <t xml:space="preserve">26</t>
    </r>
    <r>
      <rPr>
        <sz val="10"/>
        <color rgb="FF000000"/>
        <rFont val="WenQuanYi Zen Hei"/>
        <family val="2"/>
      </rPr>
      <t xml:space="preserve">位</t>
    </r>
    <r>
      <rPr>
        <sz val="10"/>
        <color rgb="FF000000"/>
        <rFont val="HGPｺﾞｼｯｸM"/>
        <family val="0"/>
        <charset val="1"/>
      </rPr>
      <t xml:space="preserve">/42</t>
    </r>
    <r>
      <rPr>
        <sz val="10"/>
        <color rgb="FF000000"/>
        <rFont val="WenQuanYi Zen Hei"/>
        <family val="2"/>
      </rPr>
      <t xml:space="preserve">人</t>
    </r>
  </si>
  <si>
    <r>
      <rPr>
        <sz val="10"/>
        <color rgb="FF000000"/>
        <rFont val="HGPｺﾞｼｯｸM"/>
        <family val="0"/>
        <charset val="1"/>
      </rPr>
      <t xml:space="preserve">11</t>
    </r>
    <r>
      <rPr>
        <sz val="10"/>
        <color rgb="FF000000"/>
        <rFont val="WenQuanYi Zen Hei"/>
        <family val="2"/>
      </rPr>
      <t xml:space="preserve">位</t>
    </r>
    <r>
      <rPr>
        <sz val="10"/>
        <color rgb="FF000000"/>
        <rFont val="HGPｺﾞｼｯｸM"/>
        <family val="0"/>
        <charset val="1"/>
      </rPr>
      <t xml:space="preserve">/46</t>
    </r>
    <r>
      <rPr>
        <sz val="10"/>
        <color rgb="FF000000"/>
        <rFont val="WenQuanYi Zen Hei"/>
        <family val="2"/>
      </rPr>
      <t xml:space="preserve">人</t>
    </r>
  </si>
  <si>
    <r>
      <rPr>
        <sz val="10"/>
        <color rgb="FF000000"/>
        <rFont val="HGPｺﾞｼｯｸM"/>
        <family val="0"/>
        <charset val="1"/>
      </rPr>
      <t xml:space="preserve">35</t>
    </r>
    <r>
      <rPr>
        <sz val="10"/>
        <color rgb="FF000000"/>
        <rFont val="WenQuanYi Zen Hei"/>
        <family val="2"/>
      </rPr>
      <t xml:space="preserve">位</t>
    </r>
    <r>
      <rPr>
        <sz val="10"/>
        <color rgb="FF000000"/>
        <rFont val="HGPｺﾞｼｯｸM"/>
        <family val="0"/>
        <charset val="1"/>
      </rPr>
      <t xml:space="preserve">/42</t>
    </r>
    <r>
      <rPr>
        <sz val="10"/>
        <color rgb="FF000000"/>
        <rFont val="WenQuanYi Zen Hei"/>
        <family val="2"/>
      </rPr>
      <t xml:space="preserve">人</t>
    </r>
  </si>
  <si>
    <r>
      <rPr>
        <sz val="10"/>
        <color rgb="FF000000"/>
        <rFont val="HGPｺﾞｼｯｸM"/>
        <family val="0"/>
        <charset val="1"/>
      </rPr>
      <t xml:space="preserve">24</t>
    </r>
    <r>
      <rPr>
        <sz val="10"/>
        <color rgb="FF000000"/>
        <rFont val="WenQuanYi Zen Hei"/>
        <family val="2"/>
      </rPr>
      <t xml:space="preserve">位</t>
    </r>
    <r>
      <rPr>
        <sz val="10"/>
        <color rgb="FF000000"/>
        <rFont val="HGPｺﾞｼｯｸM"/>
        <family val="0"/>
        <charset val="1"/>
      </rPr>
      <t xml:space="preserve">/46</t>
    </r>
    <r>
      <rPr>
        <sz val="10"/>
        <color rgb="FF000000"/>
        <rFont val="WenQuanYi Zen Hei"/>
        <family val="2"/>
      </rPr>
      <t xml:space="preserve">人</t>
    </r>
  </si>
  <si>
    <r>
      <rPr>
        <sz val="10"/>
        <color rgb="FF000000"/>
        <rFont val="HGPｺﾞｼｯｸM"/>
        <family val="0"/>
        <charset val="1"/>
      </rPr>
      <t xml:space="preserve">25</t>
    </r>
    <r>
      <rPr>
        <sz val="10"/>
        <color rgb="FF000000"/>
        <rFont val="WenQuanYi Zen Hei"/>
        <family val="2"/>
      </rPr>
      <t xml:space="preserve">位</t>
    </r>
    <r>
      <rPr>
        <sz val="10"/>
        <color rgb="FF000000"/>
        <rFont val="HGPｺﾞｼｯｸM"/>
        <family val="0"/>
        <charset val="1"/>
      </rPr>
      <t xml:space="preserve">/42</t>
    </r>
    <r>
      <rPr>
        <sz val="10"/>
        <color rgb="FF000000"/>
        <rFont val="WenQuanYi Zen Hei"/>
        <family val="2"/>
      </rPr>
      <t xml:space="preserve">人</t>
    </r>
  </si>
  <si>
    <r>
      <rPr>
        <sz val="10"/>
        <color rgb="FF000000"/>
        <rFont val="HGPｺﾞｼｯｸM"/>
        <family val="0"/>
        <charset val="1"/>
      </rPr>
      <t xml:space="preserve">3</t>
    </r>
    <r>
      <rPr>
        <sz val="10"/>
        <color rgb="FF000000"/>
        <rFont val="WenQuanYi Zen Hei"/>
        <family val="2"/>
      </rPr>
      <t xml:space="preserve">位</t>
    </r>
    <r>
      <rPr>
        <sz val="10"/>
        <color rgb="FF000000"/>
        <rFont val="HGPｺﾞｼｯｸM"/>
        <family val="0"/>
        <charset val="1"/>
      </rPr>
      <t xml:space="preserve">/46</t>
    </r>
    <r>
      <rPr>
        <sz val="10"/>
        <color rgb="FF000000"/>
        <rFont val="WenQuanYi Zen Hei"/>
        <family val="2"/>
      </rPr>
      <t xml:space="preserve">人</t>
    </r>
  </si>
  <si>
    <r>
      <rPr>
        <sz val="10"/>
        <color rgb="FF000000"/>
        <rFont val="HGPｺﾞｼｯｸM"/>
        <family val="0"/>
        <charset val="1"/>
      </rPr>
      <t xml:space="preserve">10</t>
    </r>
    <r>
      <rPr>
        <sz val="10"/>
        <color rgb="FF000000"/>
        <rFont val="WenQuanYi Zen Hei"/>
        <family val="2"/>
      </rPr>
      <t xml:space="preserve">位</t>
    </r>
    <r>
      <rPr>
        <sz val="10"/>
        <color rgb="FF000000"/>
        <rFont val="HGPｺﾞｼｯｸM"/>
        <family val="0"/>
        <charset val="1"/>
      </rPr>
      <t xml:space="preserve">/42</t>
    </r>
    <r>
      <rPr>
        <sz val="10"/>
        <color rgb="FF000000"/>
        <rFont val="WenQuanYi Zen Hei"/>
        <family val="2"/>
      </rPr>
      <t xml:space="preserve">人</t>
    </r>
  </si>
  <si>
    <r>
      <rPr>
        <sz val="10"/>
        <color rgb="FF000000"/>
        <rFont val="HGPｺﾞｼｯｸM"/>
        <family val="0"/>
        <charset val="1"/>
      </rPr>
      <t xml:space="preserve">33</t>
    </r>
    <r>
      <rPr>
        <sz val="10"/>
        <color rgb="FF000000"/>
        <rFont val="WenQuanYi Zen Hei"/>
        <family val="2"/>
      </rPr>
      <t xml:space="preserve">位</t>
    </r>
    <r>
      <rPr>
        <sz val="10"/>
        <color rgb="FF000000"/>
        <rFont val="HGPｺﾞｼｯｸM"/>
        <family val="0"/>
        <charset val="1"/>
      </rPr>
      <t xml:space="preserve">/46</t>
    </r>
    <r>
      <rPr>
        <sz val="10"/>
        <color rgb="FF000000"/>
        <rFont val="WenQuanYi Zen Hei"/>
        <family val="2"/>
      </rPr>
      <t xml:space="preserve">人</t>
    </r>
  </si>
  <si>
    <r>
      <rPr>
        <sz val="10"/>
        <color rgb="FF000000"/>
        <rFont val="HGPｺﾞｼｯｸM"/>
        <family val="0"/>
        <charset val="1"/>
      </rPr>
      <t xml:space="preserve">29</t>
    </r>
    <r>
      <rPr>
        <sz val="10"/>
        <color rgb="FF000000"/>
        <rFont val="WenQuanYi Zen Hei"/>
        <family val="2"/>
      </rPr>
      <t xml:space="preserve">位</t>
    </r>
    <r>
      <rPr>
        <sz val="10"/>
        <color rgb="FF000000"/>
        <rFont val="HGPｺﾞｼｯｸM"/>
        <family val="0"/>
        <charset val="1"/>
      </rPr>
      <t xml:space="preserve">/42</t>
    </r>
    <r>
      <rPr>
        <sz val="10"/>
        <color rgb="FF000000"/>
        <rFont val="WenQuanYi Zen Hei"/>
        <family val="2"/>
      </rPr>
      <t xml:space="preserve">人</t>
    </r>
  </si>
  <si>
    <r>
      <rPr>
        <sz val="10"/>
        <color rgb="FF000000"/>
        <rFont val="HGPｺﾞｼｯｸM"/>
        <family val="0"/>
        <charset val="1"/>
      </rPr>
      <t xml:space="preserve">41</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</si>
  <si>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35</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</si>
  <si>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33</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</si>
  <si>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36</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</si>
  <si>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32</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</si>
  <si>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31</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</si>
  <si>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39</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</si>
  <si>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24</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</si>
  <si>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5</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</si>
  <si>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37</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</si>
  <si>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8</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</si>
  <si>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18</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</si>
  <si>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29</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</si>
  <si>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27</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</si>
  <si>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11</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</si>
  <si>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12</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</si>
  <si>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1</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</si>
  <si>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2</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</si>
  <si>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25</t>
    </r>
    <r>
      <rPr>
        <sz val="10"/>
        <color rgb="FF000000"/>
        <rFont val="WenQuanYi Zen Hei"/>
        <family val="2"/>
      </rPr>
      <t xml:space="preserve">位</t>
    </r>
    <r>
      <rPr>
        <sz val="10"/>
        <color rgb="FF000000"/>
        <rFont val="HGPｺﾞｼｯｸM"/>
        <family val="0"/>
        <charset val="1"/>
      </rPr>
      <t xml:space="preserve">/47</t>
    </r>
    <r>
      <rPr>
        <sz val="10"/>
        <color rgb="FF000000"/>
        <rFont val="WenQuanYi Zen Hei"/>
        <family val="2"/>
      </rPr>
      <t xml:space="preserve">人</t>
    </r>
  </si>
  <si>
    <r>
      <rPr>
        <sz val="10"/>
        <color rgb="FF000000"/>
        <rFont val="HGPｺﾞｼｯｸM"/>
        <family val="0"/>
        <charset val="1"/>
      </rPr>
      <t xml:space="preserve">20</t>
    </r>
    <r>
      <rPr>
        <sz val="10"/>
        <color rgb="FF000000"/>
        <rFont val="WenQuanYi Zen Hei"/>
        <family val="2"/>
      </rPr>
      <t xml:space="preserve">位</t>
    </r>
    <r>
      <rPr>
        <sz val="10"/>
        <color rgb="FF000000"/>
        <rFont val="HGPｺﾞｼｯｸM"/>
        <family val="0"/>
        <charset val="1"/>
      </rPr>
      <t xml:space="preserve">/45</t>
    </r>
    <r>
      <rPr>
        <sz val="10"/>
        <color rgb="FF000000"/>
        <rFont val="WenQuanYi Zen Hei"/>
        <family val="2"/>
      </rPr>
      <t xml:space="preserve">人</t>
    </r>
  </si>
  <si>
    <r>
      <rPr>
        <sz val="10"/>
        <color rgb="FF000000"/>
        <rFont val="HGPｺﾞｼｯｸM"/>
        <family val="0"/>
        <charset val="1"/>
      </rPr>
      <t xml:space="preserve">21</t>
    </r>
    <r>
      <rPr>
        <sz val="10"/>
        <color rgb="FF000000"/>
        <rFont val="WenQuanYi Zen Hei"/>
        <family val="2"/>
      </rPr>
      <t xml:space="preserve">位</t>
    </r>
    <r>
      <rPr>
        <sz val="10"/>
        <color rgb="FF000000"/>
        <rFont val="HGPｺﾞｼｯｸM"/>
        <family val="0"/>
        <charset val="1"/>
      </rPr>
      <t xml:space="preserve">/45</t>
    </r>
    <r>
      <rPr>
        <sz val="10"/>
        <color rgb="FF000000"/>
        <rFont val="WenQuanYi Zen Hei"/>
        <family val="2"/>
      </rPr>
      <t xml:space="preserve">人</t>
    </r>
  </si>
  <si>
    <r>
      <rPr>
        <sz val="10"/>
        <color rgb="FF000000"/>
        <rFont val="HGPｺﾞｼｯｸM"/>
        <family val="0"/>
        <charset val="1"/>
      </rPr>
      <t xml:space="preserve">7</t>
    </r>
    <r>
      <rPr>
        <sz val="10"/>
        <color rgb="FF000000"/>
        <rFont val="WenQuanYi Zen Hei"/>
        <family val="2"/>
      </rPr>
      <t xml:space="preserve">位</t>
    </r>
    <r>
      <rPr>
        <sz val="10"/>
        <color rgb="FF000000"/>
        <rFont val="HGPｺﾞｼｯｸM"/>
        <family val="0"/>
        <charset val="1"/>
      </rPr>
      <t xml:space="preserve">/45</t>
    </r>
    <r>
      <rPr>
        <sz val="10"/>
        <color rgb="FF000000"/>
        <rFont val="WenQuanYi Zen Hei"/>
        <family val="2"/>
      </rPr>
      <t xml:space="preserve">人</t>
    </r>
  </si>
  <si>
    <r>
      <rPr>
        <sz val="10"/>
        <color rgb="FF000000"/>
        <rFont val="HGPｺﾞｼｯｸM"/>
        <family val="0"/>
        <charset val="1"/>
      </rPr>
      <t xml:space="preserve">9</t>
    </r>
    <r>
      <rPr>
        <sz val="10"/>
        <color rgb="FF000000"/>
        <rFont val="WenQuanYi Zen Hei"/>
        <family val="2"/>
      </rPr>
      <t xml:space="preserve">位</t>
    </r>
    <r>
      <rPr>
        <sz val="10"/>
        <color rgb="FF000000"/>
        <rFont val="HGPｺﾞｼｯｸM"/>
        <family val="0"/>
        <charset val="1"/>
      </rPr>
      <t xml:space="preserve">/45</t>
    </r>
    <r>
      <rPr>
        <sz val="10"/>
        <color rgb="FF000000"/>
        <rFont val="WenQuanYi Zen Hei"/>
        <family val="2"/>
      </rPr>
      <t xml:space="preserve">人</t>
    </r>
  </si>
  <si>
    <r>
      <rPr>
        <sz val="10"/>
        <color rgb="FF000000"/>
        <rFont val="HGPｺﾞｼｯｸM"/>
        <family val="0"/>
        <charset val="1"/>
      </rPr>
      <t xml:space="preserve">24</t>
    </r>
    <r>
      <rPr>
        <sz val="10"/>
        <color rgb="FF000000"/>
        <rFont val="WenQuanYi Zen Hei"/>
        <family val="2"/>
      </rPr>
      <t xml:space="preserve">位</t>
    </r>
    <r>
      <rPr>
        <sz val="10"/>
        <color rgb="FF000000"/>
        <rFont val="HGPｺﾞｼｯｸM"/>
        <family val="0"/>
        <charset val="1"/>
      </rPr>
      <t xml:space="preserve">/45</t>
    </r>
    <r>
      <rPr>
        <sz val="10"/>
        <color rgb="FF000000"/>
        <rFont val="WenQuanYi Zen Hei"/>
        <family val="2"/>
      </rPr>
      <t xml:space="preserve">人</t>
    </r>
  </si>
  <si>
    <r>
      <rPr>
        <sz val="10"/>
        <color rgb="FF000000"/>
        <rFont val="HGPｺﾞｼｯｸM"/>
        <family val="0"/>
        <charset val="1"/>
      </rPr>
      <t xml:space="preserve">30</t>
    </r>
    <r>
      <rPr>
        <sz val="10"/>
        <color rgb="FF000000"/>
        <rFont val="WenQuanYi Zen Hei"/>
        <family val="2"/>
      </rPr>
      <t xml:space="preserve">位</t>
    </r>
    <r>
      <rPr>
        <sz val="10"/>
        <color rgb="FF000000"/>
        <rFont val="HGPｺﾞｼｯｸM"/>
        <family val="0"/>
        <charset val="1"/>
      </rPr>
      <t xml:space="preserve">/45</t>
    </r>
    <r>
      <rPr>
        <sz val="10"/>
        <color rgb="FF000000"/>
        <rFont val="WenQuanYi Zen Hei"/>
        <family val="2"/>
      </rPr>
      <t xml:space="preserve">人</t>
    </r>
  </si>
  <si>
    <r>
      <rPr>
        <sz val="10"/>
        <color rgb="FF000000"/>
        <rFont val="HGPｺﾞｼｯｸM"/>
        <family val="0"/>
        <charset val="1"/>
      </rPr>
      <t xml:space="preserve">4</t>
    </r>
    <r>
      <rPr>
        <sz val="10"/>
        <color rgb="FF000000"/>
        <rFont val="WenQuanYi Zen Hei"/>
        <family val="2"/>
      </rPr>
      <t xml:space="preserve">位</t>
    </r>
    <r>
      <rPr>
        <sz val="10"/>
        <color rgb="FF000000"/>
        <rFont val="HGPｺﾞｼｯｸM"/>
        <family val="0"/>
        <charset val="1"/>
      </rPr>
      <t xml:space="preserve">/45</t>
    </r>
    <r>
      <rPr>
        <sz val="10"/>
        <color rgb="FF000000"/>
        <rFont val="WenQuanYi Zen Hei"/>
        <family val="2"/>
      </rPr>
      <t xml:space="preserve">人</t>
    </r>
  </si>
  <si>
    <r>
      <rPr>
        <sz val="10"/>
        <color rgb="FF000000"/>
        <rFont val="HGPｺﾞｼｯｸM"/>
        <family val="0"/>
        <charset val="1"/>
      </rPr>
      <t xml:space="preserve">10</t>
    </r>
    <r>
      <rPr>
        <sz val="10"/>
        <color rgb="FF000000"/>
        <rFont val="WenQuanYi Zen Hei"/>
        <family val="2"/>
      </rPr>
      <t xml:space="preserve">位</t>
    </r>
    <r>
      <rPr>
        <sz val="10"/>
        <color rgb="FF000000"/>
        <rFont val="HGPｺﾞｼｯｸM"/>
        <family val="0"/>
        <charset val="1"/>
      </rPr>
      <t xml:space="preserve">/45</t>
    </r>
    <r>
      <rPr>
        <sz val="10"/>
        <color rgb="FF000000"/>
        <rFont val="WenQuanYi Zen Hei"/>
        <family val="2"/>
      </rPr>
      <t xml:space="preserve">人</t>
    </r>
  </si>
  <si>
    <r>
      <rPr>
        <sz val="10"/>
        <color rgb="FF000000"/>
        <rFont val="HGPｺﾞｼｯｸM"/>
        <family val="0"/>
        <charset val="1"/>
      </rPr>
      <t xml:space="preserve">23</t>
    </r>
    <r>
      <rPr>
        <sz val="10"/>
        <color rgb="FF000000"/>
        <rFont val="WenQuanYi Zen Hei"/>
        <family val="2"/>
      </rPr>
      <t xml:space="preserve">位</t>
    </r>
    <r>
      <rPr>
        <sz val="10"/>
        <color rgb="FF000000"/>
        <rFont val="HGPｺﾞｼｯｸM"/>
        <family val="0"/>
        <charset val="1"/>
      </rPr>
      <t xml:space="preserve">/45</t>
    </r>
    <r>
      <rPr>
        <sz val="10"/>
        <color rgb="FF000000"/>
        <rFont val="WenQuanYi Zen Hei"/>
        <family val="2"/>
      </rPr>
      <t xml:space="preserve">人</t>
    </r>
  </si>
  <si>
    <r>
      <rPr>
        <sz val="10"/>
        <color rgb="FF000000"/>
        <rFont val="HGPｺﾞｼｯｸM"/>
        <family val="0"/>
        <charset val="1"/>
      </rPr>
      <t xml:space="preserve">19</t>
    </r>
    <r>
      <rPr>
        <sz val="10"/>
        <color rgb="FF000000"/>
        <rFont val="WenQuanYi Zen Hei"/>
        <family val="2"/>
      </rPr>
      <t xml:space="preserve">位</t>
    </r>
    <r>
      <rPr>
        <sz val="10"/>
        <color rgb="FF000000"/>
        <rFont val="HGPｺﾞｼｯｸM"/>
        <family val="0"/>
        <charset val="1"/>
      </rPr>
      <t xml:space="preserve">/45</t>
    </r>
    <r>
      <rPr>
        <sz val="10"/>
        <color rgb="FF000000"/>
        <rFont val="WenQuanYi Zen Hei"/>
        <family val="2"/>
      </rPr>
      <t xml:space="preserve">人</t>
    </r>
  </si>
  <si>
    <r>
      <rPr>
        <sz val="10"/>
        <color rgb="FF000000"/>
        <rFont val="HGPｺﾞｼｯｸM"/>
        <family val="0"/>
        <charset val="1"/>
      </rPr>
      <t xml:space="preserve">3</t>
    </r>
    <r>
      <rPr>
        <sz val="10"/>
        <color rgb="FF000000"/>
        <rFont val="WenQuanYi Zen Hei"/>
        <family val="2"/>
      </rPr>
      <t xml:space="preserve">位</t>
    </r>
    <r>
      <rPr>
        <sz val="10"/>
        <color rgb="FF000000"/>
        <rFont val="HGPｺﾞｼｯｸM"/>
        <family val="0"/>
        <charset val="1"/>
      </rPr>
      <t xml:space="preserve">/45</t>
    </r>
    <r>
      <rPr>
        <sz val="10"/>
        <color rgb="FF000000"/>
        <rFont val="WenQuanYi Zen Hei"/>
        <family val="2"/>
      </rPr>
      <t xml:space="preserve">人</t>
    </r>
  </si>
  <si>
    <r>
      <rPr>
        <sz val="10"/>
        <color rgb="FF000000"/>
        <rFont val="HGPｺﾞｼｯｸM"/>
        <family val="0"/>
        <charset val="1"/>
      </rPr>
      <t xml:space="preserve">5</t>
    </r>
    <r>
      <rPr>
        <sz val="10"/>
        <color rgb="FF000000"/>
        <rFont val="WenQuanYi Zen Hei"/>
        <family val="2"/>
      </rPr>
      <t xml:space="preserve">位</t>
    </r>
    <r>
      <rPr>
        <sz val="10"/>
        <color rgb="FF000000"/>
        <rFont val="HGPｺﾞｼｯｸM"/>
        <family val="0"/>
        <charset val="1"/>
      </rPr>
      <t xml:space="preserve">/45</t>
    </r>
    <r>
      <rPr>
        <sz val="10"/>
        <color rgb="FF000000"/>
        <rFont val="WenQuanYi Zen Hei"/>
        <family val="2"/>
      </rPr>
      <t xml:space="preserve">人</t>
    </r>
  </si>
</sst>
</file>

<file path=xl/styles.xml><?xml version="1.0" encoding="utf-8"?>
<styleSheet xmlns="http://schemas.openxmlformats.org/spreadsheetml/2006/main">
  <numFmts count="14">
    <numFmt numFmtId="164" formatCode="General"/>
    <numFmt numFmtId="165" formatCode="0"/>
    <numFmt numFmtId="166" formatCode="\+0.0;\-0.0;0"/>
    <numFmt numFmtId="167" formatCode="[m]:ss.0"/>
    <numFmt numFmtId="168" formatCode="\+0.0%;\-0.0%"/>
    <numFmt numFmtId="169" formatCode="0.0"/>
    <numFmt numFmtId="170" formatCode="0%"/>
    <numFmt numFmtId="171" formatCode="0.0%"/>
    <numFmt numFmtId="172" formatCode="0.00"/>
    <numFmt numFmtId="173" formatCode="m/d"/>
    <numFmt numFmtId="174" formatCode="[m]:ss"/>
    <numFmt numFmtId="175" formatCode="[m]:ss.00"/>
    <numFmt numFmtId="176" formatCode="\+0.0%;\-0.0%;0.0%"/>
    <numFmt numFmtId="177" formatCode="\+0.00;\-0.00;0.00"/>
  </numFmts>
  <fonts count="22">
    <font>
      <sz val="11"/>
      <color theme="1"/>
      <name val="HGPｺﾞｼｯｸM"/>
      <family val="2"/>
      <charset val="1"/>
    </font>
    <font>
      <sz val="10"/>
      <name val="HGPｺﾞｼｯｸM"/>
      <family val="0"/>
    </font>
    <font>
      <sz val="10"/>
      <name val="HGPｺﾞｼｯｸM"/>
      <family val="0"/>
    </font>
    <font>
      <sz val="10"/>
      <name val="HGPｺﾞｼｯｸM"/>
      <family val="0"/>
    </font>
    <font>
      <b val="true"/>
      <sz val="16"/>
      <color rgb="FF000000"/>
      <name val="HGPｺﾞｼｯｸM"/>
      <family val="2"/>
    </font>
    <font>
      <b val="true"/>
      <sz val="16"/>
      <color rgb="FF000000"/>
      <name val="HGPｺﾞｼｯｸM"/>
      <family val="0"/>
      <charset val="1"/>
    </font>
    <font>
      <sz val="10"/>
      <name val="HGPｺﾞｼｯｸM"/>
      <family val="2"/>
    </font>
    <font>
      <sz val="10"/>
      <name val="HGPｺﾞｼｯｸM"/>
      <family val="0"/>
      <charset val="1"/>
    </font>
    <font>
      <b val="true"/>
      <sz val="12"/>
      <color rgb="FF000000"/>
      <name val="HGPｺﾞｼｯｸM"/>
      <family val="2"/>
    </font>
    <font>
      <b val="true"/>
      <sz val="10"/>
      <name val="HGPｺﾞｼｯｸM"/>
      <family val="2"/>
    </font>
    <font>
      <sz val="10"/>
      <color rgb="FF000000"/>
      <name val="HGPｺﾞｼｯｸM"/>
      <family val="2"/>
    </font>
    <font>
      <sz val="10"/>
      <color rgb="FF000000"/>
      <name val="HGPｺﾞｼｯｸM"/>
      <family val="0"/>
      <charset val="1"/>
    </font>
    <font>
      <b val="true"/>
      <sz val="10"/>
      <name val="HGPｺﾞｼｯｸM"/>
      <family val="0"/>
      <charset val="1"/>
    </font>
    <font>
      <b val="true"/>
      <sz val="14"/>
      <color rgb="FF000000"/>
      <name val="HGPｺﾞｼｯｸM"/>
      <family val="2"/>
    </font>
    <font>
      <b val="true"/>
      <sz val="14"/>
      <color rgb="FF000000"/>
      <name val="HGPｺﾞｼｯｸM"/>
      <family val="0"/>
      <charset val="1"/>
    </font>
    <font>
      <sz val="9"/>
      <color rgb="FF000000"/>
      <name val="HGPｺﾞｼｯｸM"/>
      <family val="2"/>
    </font>
    <font>
      <sz val="9"/>
      <color rgb="FF000000"/>
      <name val="HGPｺﾞｼｯｸM"/>
      <family val="0"/>
      <charset val="1"/>
    </font>
    <font>
      <b val="true"/>
      <sz val="10"/>
      <color rgb="FF000000"/>
      <name val="HGPｺﾞｼｯｸM"/>
      <family val="2"/>
    </font>
    <font>
      <b val="true"/>
      <sz val="10"/>
      <color rgb="FF000000"/>
      <name val="HGPｺﾞｼｯｸM"/>
      <family val="0"/>
      <charset val="1"/>
    </font>
    <font>
      <b val="true"/>
      <sz val="11"/>
      <color rgb="FF000000"/>
      <name val="HGPｺﾞｼｯｸM"/>
      <family val="2"/>
    </font>
    <font>
      <b val="true"/>
      <sz val="11"/>
      <color rgb="FF000000"/>
      <name val="HGPｺﾞｼｯｸM"/>
      <family val="0"/>
      <charset val="1"/>
    </font>
    <font>
      <sz val="10"/>
      <name val="HGPｺﾞｼｯｸM"/>
      <family val="2"/>
    </font>
  </fonts>
  <fills count="8">
    <fill>
      <patternFill patternType="none"/>
    </fill>
    <fill>
      <patternFill patternType="gray125"/>
    </fill>
    <fill>
      <patternFill patternType="solid">
        <fgColor rgb="FFA9D08E"/>
        <bgColor rgb="FFC6E0B4"/>
      </patternFill>
    </fill>
    <fill>
      <patternFill patternType="solid">
        <fgColor rgb="FFE8F1EC"/>
        <bgColor rgb="FFFFF2CC"/>
      </patternFill>
    </fill>
    <fill>
      <patternFill patternType="solid">
        <fgColor rgb="FFFFEB9C"/>
        <bgColor rgb="FFFFF2CC"/>
      </patternFill>
    </fill>
    <fill>
      <patternFill patternType="solid">
        <fgColor rgb="FFFFF2CC"/>
        <bgColor rgb="FFFCE4D6"/>
      </patternFill>
    </fill>
    <fill>
      <patternFill patternType="solid">
        <fgColor rgb="FFFCE4D6"/>
        <bgColor rgb="FFFFF2CC"/>
      </patternFill>
    </fill>
    <fill>
      <patternFill patternType="solid">
        <fgColor rgb="FFC6E0B4"/>
        <bgColor rgb="FFA9D08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5" fontId="11" fillId="0" borderId="1" xfId="0" applyFont="true" applyBorder="true" applyAlignment="true" applyProtection="false">
      <alignment horizontal="center" vertical="center" textRotation="0" wrapText="true" indent="0" shrinkToFit="false"/>
      <protection locked="true" hidden="false"/>
    </xf>
    <xf numFmtId="166" fontId="11" fillId="0" borderId="1" xfId="0" applyFont="true" applyBorder="true" applyAlignment="true" applyProtection="false">
      <alignment horizontal="center" vertical="center" textRotation="0" wrapText="true" indent="0" shrinkToFit="false"/>
      <protection locked="true" hidden="false"/>
    </xf>
    <xf numFmtId="167" fontId="11" fillId="0" borderId="1" xfId="0" applyFont="true" applyBorder="true" applyAlignment="true" applyProtection="false">
      <alignment horizontal="center" vertical="center" textRotation="0" wrapText="true" indent="0" shrinkToFit="false"/>
      <protection locked="true" hidden="false"/>
    </xf>
    <xf numFmtId="168" fontId="11" fillId="0" borderId="1" xfId="0" applyFont="true" applyBorder="true" applyAlignment="true" applyProtection="false">
      <alignment horizontal="center" vertical="center" textRotation="0" wrapText="true" indent="0" shrinkToFit="false"/>
      <protection locked="true" hidden="false"/>
    </xf>
    <xf numFmtId="169" fontId="11" fillId="0" borderId="1" xfId="0" applyFont="true" applyBorder="true" applyAlignment="true" applyProtection="false">
      <alignment horizontal="center" vertical="center" textRotation="0" wrapText="true" indent="0" shrinkToFit="false"/>
      <protection locked="true" hidden="false"/>
    </xf>
    <xf numFmtId="170" fontId="11" fillId="0" borderId="1" xfId="0" applyFont="true" applyBorder="true" applyAlignment="true" applyProtection="false">
      <alignment horizontal="center" vertical="center" textRotation="0" wrapText="true" indent="0" shrinkToFit="false"/>
      <protection locked="true" hidden="false"/>
    </xf>
    <xf numFmtId="171" fontId="11" fillId="0" borderId="1" xfId="0" applyFont="true" applyBorder="true" applyAlignment="true" applyProtection="false">
      <alignment horizontal="center" vertical="center" textRotation="0" wrapText="true" indent="0" shrinkToFit="false"/>
      <protection locked="true" hidden="false"/>
    </xf>
    <xf numFmtId="172" fontId="11" fillId="0" borderId="1" xfId="0" applyFont="true" applyBorder="true" applyAlignment="true" applyProtection="false">
      <alignment horizontal="center" vertical="center" textRotation="0" wrapText="true" indent="0" shrinkToFit="false"/>
      <protection locked="true" hidden="false"/>
    </xf>
    <xf numFmtId="173" fontId="11" fillId="0"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9" fontId="11" fillId="3" borderId="1" xfId="0" applyFont="true" applyBorder="true" applyAlignment="true" applyProtection="false">
      <alignment horizontal="center" vertical="center" textRotation="0" wrapText="true" indent="0" shrinkToFit="false"/>
      <protection locked="true" hidden="false"/>
    </xf>
    <xf numFmtId="165" fontId="11" fillId="3"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74" fontId="11" fillId="3" borderId="1" xfId="0" applyFont="true" applyBorder="true" applyAlignment="true" applyProtection="false">
      <alignment horizontal="center" vertical="center" textRotation="0" wrapText="true" indent="0" shrinkToFit="false"/>
      <protection locked="true" hidden="false"/>
    </xf>
    <xf numFmtId="166" fontId="11" fillId="3" borderId="1" xfId="0" applyFont="true" applyBorder="true" applyAlignment="true" applyProtection="false">
      <alignment horizontal="center" vertical="center" textRotation="0" wrapText="true" indent="0" shrinkToFit="false"/>
      <protection locked="true" hidden="false"/>
    </xf>
    <xf numFmtId="174" fontId="11" fillId="0"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5" fontId="11" fillId="3" borderId="1" xfId="0" applyFont="true" applyBorder="true" applyAlignment="true" applyProtection="false">
      <alignment horizontal="center" vertical="center" textRotation="0" wrapText="true" indent="0" shrinkToFit="false"/>
      <protection locked="true" hidden="false"/>
    </xf>
    <xf numFmtId="167" fontId="11" fillId="3" borderId="1" xfId="0" applyFont="true" applyBorder="true" applyAlignment="true" applyProtection="false">
      <alignment horizontal="center" vertical="center" textRotation="0" wrapText="true" indent="0" shrinkToFit="false"/>
      <protection locked="true" hidden="false"/>
    </xf>
    <xf numFmtId="176" fontId="11" fillId="3" borderId="1" xfId="0" applyFont="true" applyBorder="true" applyAlignment="true" applyProtection="false">
      <alignment horizontal="center" vertical="center" textRotation="0" wrapText="true" indent="0" shrinkToFit="false"/>
      <protection locked="true" hidden="false"/>
    </xf>
    <xf numFmtId="175" fontId="11" fillId="0" borderId="1" xfId="0" applyFont="true" applyBorder="true" applyAlignment="true" applyProtection="false">
      <alignment horizontal="center" vertical="center" textRotation="0" wrapText="true" indent="0" shrinkToFit="false"/>
      <protection locked="true" hidden="false"/>
    </xf>
    <xf numFmtId="176" fontId="11" fillId="0"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9" fontId="18" fillId="4" borderId="1" xfId="0" applyFont="true" applyBorder="true" applyAlignment="true" applyProtection="false">
      <alignment horizontal="center" vertical="center" textRotation="0" wrapText="true" indent="0" shrinkToFit="false"/>
      <protection locked="true" hidden="false"/>
    </xf>
    <xf numFmtId="165" fontId="18" fillId="4" borderId="1" xfId="0" applyFont="true" applyBorder="true" applyAlignment="true" applyProtection="false">
      <alignment horizontal="center" vertical="center" textRotation="0" wrapText="true" indent="0" shrinkToFit="false"/>
      <protection locked="true" hidden="false"/>
    </xf>
    <xf numFmtId="170" fontId="11" fillId="3" borderId="1" xfId="0" applyFont="true" applyBorder="true" applyAlignment="true" applyProtection="false">
      <alignment horizontal="center" vertical="center" textRotation="0" wrapText="true" indent="0" shrinkToFit="false"/>
      <protection locked="true" hidden="false"/>
    </xf>
    <xf numFmtId="171" fontId="11" fillId="3" borderId="1" xfId="0" applyFont="true" applyBorder="true" applyAlignment="true" applyProtection="false">
      <alignment horizontal="center" vertical="center" textRotation="0" wrapText="true" indent="0" shrinkToFit="false"/>
      <protection locked="true" hidden="false"/>
    </xf>
    <xf numFmtId="172" fontId="11" fillId="3"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5" fontId="11" fillId="5" borderId="1" xfId="0" applyFont="true" applyBorder="true" applyAlignment="true" applyProtection="false">
      <alignment horizontal="center" vertical="center" textRotation="0" wrapText="true" indent="0" shrinkToFit="false"/>
      <protection locked="true" hidden="false"/>
    </xf>
    <xf numFmtId="177" fontId="11" fillId="5" borderId="1" xfId="0" applyFont="true" applyBorder="true" applyAlignment="true" applyProtection="false">
      <alignment horizontal="center" vertical="center" textRotation="0" wrapText="true" indent="0" shrinkToFit="false"/>
      <protection locked="true" hidden="false"/>
    </xf>
    <xf numFmtId="171" fontId="11" fillId="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5" fontId="11" fillId="4" borderId="1" xfId="0" applyFont="true" applyBorder="true" applyAlignment="true" applyProtection="false">
      <alignment horizontal="center" vertical="center" textRotation="0" wrapText="true" indent="0" shrinkToFit="false"/>
      <protection locked="true" hidden="false"/>
    </xf>
    <xf numFmtId="177" fontId="11" fillId="4" borderId="1" xfId="0" applyFont="true" applyBorder="true" applyAlignment="true" applyProtection="false">
      <alignment horizontal="center" vertical="center" textRotation="0" wrapText="true" indent="0" shrinkToFit="false"/>
      <protection locked="true" hidden="false"/>
    </xf>
    <xf numFmtId="171" fontId="11" fillId="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77" fontId="11"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18" fillId="7"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2">
    <dxf>
      <fill>
        <patternFill patternType="solid">
          <fgColor rgb="FFA9D08E"/>
          <bgColor rgb="FF000000"/>
        </patternFill>
      </fill>
    </dxf>
    <dxf>
      <fill>
        <patternFill patternType="solid">
          <fgColor rgb="FFE8F1EC"/>
          <bgColor rgb="FF000000"/>
        </patternFill>
      </fill>
    </dxf>
    <dxf>
      <fill>
        <patternFill patternType="solid">
          <bgColor rgb="FF000000"/>
        </patternFill>
      </fill>
    </dxf>
    <dxf>
      <fill>
        <patternFill patternType="solid">
          <fgColor rgb="FF000000"/>
          <bgColor rgb="FF000000"/>
        </patternFill>
      </fill>
    </dxf>
    <dxf>
      <fill>
        <patternFill patternType="solid">
          <fgColor rgb="FFFFEB9C"/>
          <bgColor rgb="FF000000"/>
        </patternFill>
      </fill>
    </dxf>
    <dxf>
      <fill>
        <patternFill patternType="solid">
          <fgColor rgb="FFF8696B"/>
          <bgColor rgb="FF000000"/>
        </patternFill>
      </fill>
    </dxf>
    <dxf>
      <fill>
        <patternFill patternType="solid">
          <fgColor rgb="FFFA9395"/>
          <bgColor rgb="FF000000"/>
        </patternFill>
      </fill>
    </dxf>
    <dxf>
      <fill>
        <patternFill patternType="solid">
          <fgColor rgb="FFFB9EA0"/>
          <bgColor rgb="FF000000"/>
        </patternFill>
      </fill>
    </dxf>
    <dxf>
      <fill>
        <patternFill patternType="solid">
          <fgColor rgb="FFFBA0A1"/>
          <bgColor rgb="FF000000"/>
        </patternFill>
      </fill>
    </dxf>
    <dxf>
      <fill>
        <patternFill patternType="solid">
          <fgColor rgb="FFFCACAD"/>
          <bgColor rgb="FF000000"/>
        </patternFill>
      </fill>
    </dxf>
    <dxf>
      <fill>
        <patternFill patternType="solid">
          <fgColor rgb="FFFCB2B3"/>
          <bgColor rgb="FF000000"/>
        </patternFill>
      </fill>
    </dxf>
    <dxf>
      <fill>
        <patternFill patternType="solid">
          <fgColor rgb="FFFCB5B6"/>
          <bgColor rgb="FF000000"/>
        </patternFill>
      </fill>
    </dxf>
    <dxf>
      <fill>
        <patternFill patternType="solid">
          <fgColor rgb="FFFCBDBE"/>
          <bgColor rgb="FF000000"/>
        </patternFill>
      </fill>
    </dxf>
    <dxf>
      <fill>
        <patternFill patternType="solid">
          <fgColor rgb="FFFDD2D2"/>
          <bgColor rgb="FF000000"/>
        </patternFill>
      </fill>
    </dxf>
    <dxf>
      <fill>
        <patternFill patternType="solid">
          <fgColor rgb="FFFDD2D3"/>
          <bgColor rgb="FF000000"/>
        </patternFill>
      </fill>
    </dxf>
    <dxf>
      <fill>
        <patternFill patternType="solid">
          <fgColor rgb="FFFDD3D4"/>
          <bgColor rgb="FF000000"/>
        </patternFill>
      </fill>
    </dxf>
    <dxf>
      <fill>
        <patternFill patternType="solid">
          <fgColor rgb="FFFED6D7"/>
          <bgColor rgb="FF000000"/>
        </patternFill>
      </fill>
    </dxf>
    <dxf>
      <fill>
        <patternFill patternType="solid">
          <fgColor rgb="FFFED9DA"/>
          <bgColor rgb="FF000000"/>
        </patternFill>
      </fill>
    </dxf>
    <dxf>
      <fill>
        <patternFill patternType="solid">
          <fgColor rgb="FFFEDBDC"/>
          <bgColor rgb="FF000000"/>
        </patternFill>
      </fill>
    </dxf>
    <dxf>
      <fill>
        <patternFill patternType="solid">
          <fgColor rgb="FFFEDCDD"/>
          <bgColor rgb="FF000000"/>
        </patternFill>
      </fill>
    </dxf>
    <dxf>
      <fill>
        <patternFill patternType="solid">
          <fgColor rgb="FFFEE7E7"/>
          <bgColor rgb="FF000000"/>
        </patternFill>
      </fill>
    </dxf>
    <dxf>
      <fill>
        <patternFill patternType="solid">
          <fgColor rgb="FFFEE7E8"/>
          <bgColor rgb="FF000000"/>
        </patternFill>
      </fill>
    </dxf>
    <dxf>
      <fill>
        <patternFill patternType="solid">
          <fgColor rgb="FFFFEAEB"/>
          <bgColor rgb="FF000000"/>
        </patternFill>
      </fill>
    </dxf>
    <dxf>
      <fill>
        <patternFill patternType="solid">
          <fgColor rgb="FFFFF0F1"/>
          <bgColor rgb="FF000000"/>
        </patternFill>
      </fill>
    </dxf>
    <dxf>
      <fill>
        <patternFill patternType="solid">
          <fgColor rgb="FFFFF9F9"/>
          <bgColor rgb="FF000000"/>
        </patternFill>
      </fill>
    </dxf>
    <dxf>
      <fill>
        <patternFill patternType="solid">
          <fgColor rgb="FFFFFCFC"/>
          <bgColor rgb="FF000000"/>
        </patternFill>
      </fill>
    </dxf>
    <dxf>
      <fill>
        <patternFill patternType="solid">
          <fgColor rgb="FFFFFEFE"/>
          <bgColor rgb="FF000000"/>
        </patternFill>
      </fill>
    </dxf>
    <dxf>
      <fill>
        <patternFill patternType="solid">
          <fgColor rgb="FFFFFFFF"/>
          <bgColor rgb="FF000000"/>
        </patternFill>
      </fill>
    </dxf>
    <dxf>
      <font>
        <name val="HGPｺﾞｼｯｸM"/>
        <charset val="1"/>
        <family val="0"/>
        <b val="1"/>
        <color rgb="FF000000"/>
      </font>
      <fill>
        <patternFill>
          <bgColor rgb="FFFFEB9C"/>
        </patternFill>
      </fill>
    </dxf>
    <dxf>
      <fill>
        <patternFill patternType="solid">
          <fgColor rgb="FF63BE7B"/>
          <bgColor rgb="FF000000"/>
        </patternFill>
      </fill>
    </dxf>
    <dxf>
      <fill>
        <patternFill patternType="solid">
          <fgColor rgb="FF86C87D"/>
          <bgColor rgb="FF000000"/>
        </patternFill>
      </fill>
    </dxf>
    <dxf>
      <fill>
        <patternFill patternType="solid">
          <fgColor rgb="FFA5D17E"/>
          <bgColor rgb="FF000000"/>
        </patternFill>
      </fill>
    </dxf>
    <dxf>
      <fill>
        <patternFill patternType="solid">
          <fgColor rgb="FFA7D17E"/>
          <bgColor rgb="FF000000"/>
        </patternFill>
      </fill>
    </dxf>
    <dxf>
      <fill>
        <patternFill patternType="solid">
          <fgColor rgb="FFA9D27F"/>
          <bgColor rgb="FF000000"/>
        </patternFill>
      </fill>
    </dxf>
    <dxf>
      <fill>
        <patternFill patternType="solid">
          <fgColor rgb="FFB0D47F"/>
          <bgColor rgb="FF000000"/>
        </patternFill>
      </fill>
    </dxf>
    <dxf>
      <fill>
        <patternFill patternType="solid">
          <fgColor rgb="FFBED880"/>
          <bgColor rgb="FF000000"/>
        </patternFill>
      </fill>
    </dxf>
    <dxf>
      <fill>
        <patternFill patternType="solid">
          <fgColor rgb="FFC4DA80"/>
          <bgColor rgb="FF000000"/>
        </patternFill>
      </fill>
    </dxf>
    <dxf>
      <fill>
        <patternFill patternType="solid">
          <fgColor rgb="FFD4DE81"/>
          <bgColor rgb="FF000000"/>
        </patternFill>
      </fill>
    </dxf>
    <dxf>
      <fill>
        <patternFill patternType="solid">
          <fgColor rgb="FFE4E382"/>
          <bgColor rgb="FF000000"/>
        </patternFill>
      </fill>
    </dxf>
    <dxf>
      <fill>
        <patternFill patternType="solid">
          <fgColor rgb="FFEBE582"/>
          <bgColor rgb="FF000000"/>
        </patternFill>
      </fill>
    </dxf>
    <dxf>
      <fill>
        <patternFill patternType="solid">
          <fgColor rgb="FFECE582"/>
          <bgColor rgb="FF000000"/>
        </patternFill>
      </fill>
    </dxf>
    <dxf>
      <fill>
        <patternFill patternType="solid">
          <fgColor rgb="FFF4E783"/>
          <bgColor rgb="FF000000"/>
        </patternFill>
      </fill>
    </dxf>
    <dxf>
      <fill>
        <patternFill patternType="solid">
          <fgColor rgb="FFF9716D"/>
          <bgColor rgb="FF000000"/>
        </patternFill>
      </fill>
    </dxf>
    <dxf>
      <fill>
        <patternFill patternType="solid">
          <fgColor rgb="FFFA8871"/>
          <bgColor rgb="FF000000"/>
        </patternFill>
      </fill>
    </dxf>
    <dxf>
      <fill>
        <patternFill patternType="solid">
          <fgColor rgb="FFFB9D75"/>
          <bgColor rgb="FF000000"/>
        </patternFill>
      </fill>
    </dxf>
    <dxf>
      <fill>
        <patternFill patternType="solid">
          <fgColor rgb="FFFCA176"/>
          <bgColor rgb="FF000000"/>
        </patternFill>
      </fill>
    </dxf>
    <dxf>
      <fill>
        <patternFill patternType="solid">
          <fgColor rgb="FFFCA377"/>
          <bgColor rgb="FF000000"/>
        </patternFill>
      </fill>
    </dxf>
    <dxf>
      <fill>
        <patternFill patternType="solid">
          <fgColor rgb="FFFCA677"/>
          <bgColor rgb="FF000000"/>
        </patternFill>
      </fill>
    </dxf>
    <dxf>
      <fill>
        <patternFill patternType="solid">
          <fgColor rgb="FFFCA978"/>
          <bgColor rgb="FF000000"/>
        </patternFill>
      </fill>
    </dxf>
    <dxf>
      <fill>
        <patternFill patternType="solid">
          <fgColor rgb="FFFDB97B"/>
          <bgColor rgb="FF000000"/>
        </patternFill>
      </fill>
    </dxf>
    <dxf>
      <fill>
        <patternFill patternType="solid">
          <fgColor rgb="FFFDC67D"/>
          <bgColor rgb="FF000000"/>
        </patternFill>
      </fill>
    </dxf>
    <dxf>
      <fill>
        <patternFill patternType="solid">
          <fgColor rgb="FFFDEA83"/>
          <bgColor rgb="FF000000"/>
        </patternFill>
      </fill>
    </dxf>
    <dxf>
      <fill>
        <patternFill patternType="solid">
          <fgColor rgb="FFFED07F"/>
          <bgColor rgb="FF000000"/>
        </patternFill>
      </fill>
    </dxf>
    <dxf>
      <fill>
        <patternFill patternType="solid">
          <fgColor rgb="FFFED17F"/>
          <bgColor rgb="FF000000"/>
        </patternFill>
      </fill>
    </dxf>
    <dxf>
      <fill>
        <patternFill patternType="solid">
          <fgColor rgb="FFFED380"/>
          <bgColor rgb="FF000000"/>
        </patternFill>
      </fill>
    </dxf>
    <dxf>
      <fill>
        <patternFill patternType="solid">
          <fgColor rgb="FFFED881"/>
          <bgColor rgb="FF000000"/>
        </patternFill>
      </fill>
    </dxf>
    <dxf>
      <fill>
        <patternFill patternType="solid">
          <fgColor rgb="FF71C27B"/>
          <bgColor rgb="FF000000"/>
        </patternFill>
      </fill>
    </dxf>
    <dxf>
      <fill>
        <patternFill patternType="solid">
          <fgColor rgb="FF96CC7D"/>
          <bgColor rgb="FF000000"/>
        </patternFill>
      </fill>
    </dxf>
    <dxf>
      <fill>
        <patternFill patternType="solid">
          <fgColor rgb="FFB1D47F"/>
          <bgColor rgb="FF000000"/>
        </patternFill>
      </fill>
    </dxf>
    <dxf>
      <fill>
        <patternFill patternType="solid">
          <fgColor rgb="FFC9DB80"/>
          <bgColor rgb="FF000000"/>
        </patternFill>
      </fill>
    </dxf>
    <dxf>
      <fill>
        <patternFill patternType="solid">
          <fgColor rgb="FFCBDC81"/>
          <bgColor rgb="FF000000"/>
        </patternFill>
      </fill>
    </dxf>
    <dxf>
      <fill>
        <patternFill patternType="solid">
          <fgColor rgb="FFD3DE81"/>
          <bgColor rgb="FF000000"/>
        </patternFill>
      </fill>
    </dxf>
    <dxf>
      <fill>
        <patternFill patternType="solid">
          <fgColor rgb="FFD8DF81"/>
          <bgColor rgb="FF000000"/>
        </patternFill>
      </fill>
    </dxf>
    <dxf>
      <fill>
        <patternFill patternType="solid">
          <fgColor rgb="FFDDE182"/>
          <bgColor rgb="FF000000"/>
        </patternFill>
      </fill>
    </dxf>
    <dxf>
      <fill>
        <patternFill patternType="solid">
          <fgColor rgb="FFFB9774"/>
          <bgColor rgb="FF000000"/>
        </patternFill>
      </fill>
    </dxf>
    <dxf>
      <fill>
        <patternFill patternType="solid">
          <fgColor rgb="FFFB9975"/>
          <bgColor rgb="FF000000"/>
        </patternFill>
      </fill>
    </dxf>
    <dxf>
      <fill>
        <patternFill patternType="solid">
          <fgColor rgb="FFFCA878"/>
          <bgColor rgb="FF000000"/>
        </patternFill>
      </fill>
    </dxf>
    <dxf>
      <fill>
        <patternFill patternType="solid">
          <fgColor rgb="FFFCB37A"/>
          <bgColor rgb="FF000000"/>
        </patternFill>
      </fill>
    </dxf>
    <dxf>
      <fill>
        <patternFill patternType="solid">
          <fgColor rgb="FFFDC17C"/>
          <bgColor rgb="FF000000"/>
        </patternFill>
      </fill>
    </dxf>
    <dxf>
      <fill>
        <patternFill patternType="solid">
          <fgColor rgb="FFFED781"/>
          <bgColor rgb="FF000000"/>
        </patternFill>
      </fill>
    </dxf>
    <dxf>
      <fill>
        <patternFill patternType="solid">
          <fgColor rgb="FFFED981"/>
          <bgColor rgb="FF000000"/>
        </patternFill>
      </fill>
    </dxf>
    <dxf>
      <fill>
        <patternFill patternType="solid">
          <fgColor rgb="FFFEEA83"/>
          <bgColor rgb="FF000000"/>
        </patternFill>
      </fill>
    </dxf>
    <dxf>
      <fill>
        <patternFill patternType="solid">
          <fgColor rgb="FFFFE684"/>
          <bgColor rgb="FF000000"/>
        </patternFill>
      </fill>
    </dxf>
    <dxf>
      <fill>
        <patternFill patternType="solid">
          <fgColor rgb="FFFFEA84"/>
          <bgColor rgb="FF000000"/>
        </patternFill>
      </fill>
    </dxf>
    <dxf>
      <fill>
        <patternFill patternType="solid">
          <fgColor rgb="FFFFEB84"/>
          <bgColor rgb="FF000000"/>
        </patternFill>
      </fill>
    </dxf>
    <dxf>
      <fill>
        <patternFill patternType="solid">
          <fgColor rgb="FF8ACA7E"/>
          <bgColor rgb="FF000000"/>
        </patternFill>
      </fill>
    </dxf>
    <dxf>
      <fill>
        <patternFill patternType="solid">
          <fgColor rgb="FF97CD7E"/>
          <bgColor rgb="FF000000"/>
        </patternFill>
      </fill>
    </dxf>
    <dxf>
      <fill>
        <patternFill patternType="solid">
          <fgColor rgb="FFBCD881"/>
          <bgColor rgb="FF000000"/>
        </patternFill>
      </fill>
    </dxf>
    <dxf>
      <fill>
        <patternFill patternType="solid">
          <fgColor rgb="FFBED981"/>
          <bgColor rgb="FF000000"/>
        </patternFill>
      </fill>
    </dxf>
    <dxf>
      <fill>
        <patternFill patternType="solid">
          <fgColor rgb="FFFCB579"/>
          <bgColor rgb="FF000000"/>
        </patternFill>
      </fill>
    </dxf>
    <dxf>
      <fill>
        <patternFill patternType="solid">
          <fgColor rgb="FFFEDB80"/>
          <bgColor rgb="FF000000"/>
        </patternFill>
      </fill>
    </dxf>
    <dxf>
      <fill>
        <patternFill patternType="solid">
          <fgColor rgb="FFFEE382"/>
          <bgColor rgb="FF000000"/>
        </patternFill>
      </fill>
    </dxf>
    <dxf>
      <fill>
        <patternFill patternType="solid">
          <fgColor rgb="FF70C27C"/>
          <bgColor rgb="FF000000"/>
        </patternFill>
      </fill>
    </dxf>
    <dxf>
      <fill>
        <patternFill patternType="solid">
          <fgColor rgb="FF6EC27C"/>
          <bgColor rgb="FF000000"/>
        </patternFill>
      </fill>
    </dxf>
    <dxf>
      <fill>
        <patternFill patternType="solid">
          <fgColor rgb="FFE5E483"/>
          <bgColor rgb="FF000000"/>
        </patternFill>
      </fill>
    </dxf>
    <dxf>
      <fill>
        <patternFill patternType="solid">
          <fgColor rgb="FF67C07C"/>
          <bgColor rgb="FF000000"/>
        </patternFill>
      </fill>
    </dxf>
    <dxf>
      <fill>
        <patternFill patternType="solid">
          <fgColor rgb="FF68C07C"/>
          <bgColor rgb="FF000000"/>
        </patternFill>
      </fill>
    </dxf>
    <dxf>
      <fill>
        <patternFill patternType="solid">
          <fgColor rgb="FF75C37C"/>
          <bgColor rgb="FF000000"/>
        </patternFill>
      </fill>
    </dxf>
    <dxf>
      <fill>
        <patternFill patternType="solid">
          <fgColor rgb="FF7DC67D"/>
          <bgColor rgb="FF000000"/>
        </patternFill>
      </fill>
    </dxf>
    <dxf>
      <fill>
        <patternFill patternType="solid">
          <fgColor rgb="FF81C77D"/>
          <bgColor rgb="FF000000"/>
        </patternFill>
      </fill>
    </dxf>
    <dxf>
      <fill>
        <patternFill patternType="solid">
          <fgColor rgb="FF82C77D"/>
          <bgColor rgb="FF000000"/>
        </patternFill>
      </fill>
    </dxf>
    <dxf>
      <fill>
        <patternFill patternType="solid">
          <fgColor rgb="FF8FCB7E"/>
          <bgColor rgb="FF000000"/>
        </patternFill>
      </fill>
    </dxf>
    <dxf>
      <fill>
        <patternFill patternType="solid">
          <fgColor rgb="FF9ECF7F"/>
          <bgColor rgb="FF000000"/>
        </patternFill>
      </fill>
    </dxf>
    <dxf>
      <fill>
        <patternFill patternType="solid">
          <fgColor rgb="FFA6D27F"/>
          <bgColor rgb="FF000000"/>
        </patternFill>
      </fill>
    </dxf>
    <dxf>
      <fill>
        <patternFill patternType="solid">
          <fgColor rgb="FF67BF7B"/>
          <bgColor rgb="FF000000"/>
        </patternFill>
      </fill>
    </dxf>
    <dxf>
      <fill>
        <patternFill patternType="solid">
          <fgColor rgb="FF80C67C"/>
          <bgColor rgb="FF000000"/>
        </patternFill>
      </fill>
    </dxf>
    <dxf>
      <fill>
        <patternFill patternType="solid">
          <fgColor rgb="FFA2D07E"/>
          <bgColor rgb="FF000000"/>
        </patternFill>
      </fill>
    </dxf>
    <dxf>
      <fill>
        <patternFill patternType="solid">
          <fgColor rgb="FFBBD780"/>
          <bgColor rgb="FF000000"/>
        </patternFill>
      </fill>
    </dxf>
    <dxf>
      <fill>
        <patternFill patternType="solid">
          <fgColor rgb="FFC8DB80"/>
          <bgColor rgb="FF000000"/>
        </patternFill>
      </fill>
    </dxf>
    <dxf>
      <fill>
        <patternFill patternType="solid">
          <fgColor rgb="FFF6E883"/>
          <bgColor rgb="FF000000"/>
        </patternFill>
      </fill>
    </dxf>
    <dxf>
      <fill>
        <patternFill patternType="solid">
          <fgColor rgb="FFF96B6C"/>
          <bgColor rgb="FF000000"/>
        </patternFill>
      </fill>
    </dxf>
    <dxf>
      <fill>
        <patternFill patternType="solid">
          <fgColor rgb="FFFB9E76"/>
          <bgColor rgb="FF000000"/>
        </patternFill>
      </fill>
    </dxf>
    <dxf>
      <fill>
        <patternFill patternType="solid">
          <fgColor rgb="FFFBE983"/>
          <bgColor rgb="FF000000"/>
        </patternFill>
      </fill>
    </dxf>
    <dxf>
      <fill>
        <patternFill patternType="solid">
          <fgColor rgb="FFFCAA78"/>
          <bgColor rgb="FF000000"/>
        </patternFill>
      </fill>
    </dxf>
    <dxf>
      <fill>
        <patternFill patternType="solid">
          <fgColor rgb="FFFCAC78"/>
          <bgColor rgb="FF000000"/>
        </patternFill>
      </fill>
    </dxf>
    <dxf>
      <fill>
        <patternFill patternType="solid">
          <fgColor rgb="FFFDC07C"/>
          <bgColor rgb="FF000000"/>
        </patternFill>
      </fill>
    </dxf>
    <dxf>
      <fill>
        <patternFill patternType="solid">
          <fgColor rgb="FFFDC37D"/>
          <bgColor rgb="FF000000"/>
        </patternFill>
      </fill>
    </dxf>
    <dxf>
      <fill>
        <patternFill patternType="solid">
          <fgColor rgb="FFFECC7E"/>
          <bgColor rgb="FF000000"/>
        </patternFill>
      </fill>
    </dxf>
    <dxf>
      <fill>
        <patternFill patternType="solid">
          <fgColor rgb="FFFFE283"/>
          <bgColor rgb="FF000000"/>
        </patternFill>
      </fill>
    </dxf>
    <dxf>
      <fill>
        <patternFill patternType="solid">
          <fgColor rgb="FFFFE383"/>
          <bgColor rgb="FF000000"/>
        </patternFill>
      </fill>
    </dxf>
    <dxf>
      <fill>
        <patternFill patternType="solid">
          <fgColor rgb="FFFFE483"/>
          <bgColor rgb="FF000000"/>
        </patternFill>
      </fill>
    </dxf>
    <dxf>
      <fill>
        <patternFill patternType="solid">
          <fgColor rgb="FFFFE784"/>
          <bgColor rgb="FF000000"/>
        </patternFill>
      </fill>
    </dxf>
    <dxf>
      <fill>
        <patternFill patternType="solid">
          <fgColor rgb="FFA3D07E"/>
          <bgColor rgb="FF000000"/>
        </patternFill>
      </fill>
    </dxf>
    <dxf>
      <fill>
        <patternFill patternType="solid">
          <fgColor rgb="FFB9D67F"/>
          <bgColor rgb="FF000000"/>
        </patternFill>
      </fill>
    </dxf>
    <dxf>
      <fill>
        <patternFill patternType="solid">
          <fgColor rgb="FFBAD780"/>
          <bgColor rgb="FF000000"/>
        </patternFill>
      </fill>
    </dxf>
    <dxf>
      <fill>
        <patternFill patternType="solid">
          <fgColor rgb="FFBCD780"/>
          <bgColor rgb="FF000000"/>
        </patternFill>
      </fill>
    </dxf>
    <dxf>
      <fill>
        <patternFill patternType="solid">
          <fgColor rgb="FFC0D880"/>
          <bgColor rgb="FF000000"/>
        </patternFill>
      </fill>
    </dxf>
    <dxf>
      <fill>
        <patternFill patternType="solid">
          <fgColor rgb="FFCADB80"/>
          <bgColor rgb="FF000000"/>
        </patternFill>
      </fill>
    </dxf>
    <dxf>
      <fill>
        <patternFill patternType="solid">
          <fgColor rgb="FFCEDD81"/>
          <bgColor rgb="FF000000"/>
        </patternFill>
      </fill>
    </dxf>
    <dxf>
      <fill>
        <patternFill patternType="solid">
          <fgColor rgb="FFDAE081"/>
          <bgColor rgb="FF000000"/>
        </patternFill>
      </fill>
    </dxf>
    <dxf>
      <fill>
        <patternFill patternType="solid">
          <fgColor rgb="FFEAE582"/>
          <bgColor rgb="FF000000"/>
        </patternFill>
      </fill>
    </dxf>
    <dxf>
      <fill>
        <patternFill patternType="solid">
          <fgColor rgb="FFF0E683"/>
          <bgColor rgb="FF000000"/>
        </patternFill>
      </fill>
    </dxf>
    <dxf>
      <fill>
        <patternFill patternType="solid">
          <fgColor rgb="FFF9736D"/>
          <bgColor rgb="FF000000"/>
        </patternFill>
      </fill>
    </dxf>
    <dxf>
      <fill>
        <patternFill patternType="solid">
          <fgColor rgb="FFFA8B72"/>
          <bgColor rgb="FF000000"/>
        </patternFill>
      </fill>
    </dxf>
    <dxf>
      <fill>
        <patternFill patternType="solid">
          <fgColor rgb="FFFCA276"/>
          <bgColor rgb="FF000000"/>
        </patternFill>
      </fill>
    </dxf>
    <dxf>
      <fill>
        <patternFill patternType="solid">
          <fgColor rgb="FFFCAB78"/>
          <bgColor rgb="FF000000"/>
        </patternFill>
      </fill>
    </dxf>
    <dxf>
      <fill>
        <patternFill patternType="solid">
          <fgColor rgb="FFFCAE79"/>
          <bgColor rgb="FF000000"/>
        </patternFill>
      </fill>
    </dxf>
    <dxf>
      <fill>
        <patternFill patternType="solid">
          <fgColor rgb="FFFDBF7C"/>
          <bgColor rgb="FF000000"/>
        </patternFill>
      </fill>
    </dxf>
    <dxf>
      <fill>
        <patternFill patternType="solid">
          <fgColor rgb="FFFECD7F"/>
          <bgColor rgb="FF000000"/>
        </patternFill>
      </fill>
    </dxf>
    <dxf>
      <fill>
        <patternFill patternType="solid">
          <fgColor rgb="FFFFD981"/>
          <bgColor rgb="FF000000"/>
        </patternFill>
      </fill>
    </dxf>
    <dxf>
      <fill>
        <patternFill patternType="solid">
          <fgColor rgb="FFFFDB81"/>
          <bgColor rgb="FF000000"/>
        </patternFill>
      </fill>
    </dxf>
    <dxf>
      <fill>
        <patternFill patternType="solid">
          <fgColor rgb="FFFFE082"/>
          <bgColor rgb="FF000000"/>
        </patternFill>
      </fill>
    </dxf>
  </dxfs>
  <colors>
    <indexedColors>
      <rgbColor rgb="FF000000"/>
      <rgbColor rgb="FFE8F1EC"/>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B9C"/>
      <rgbColor rgb="FFA9D08E"/>
      <rgbColor rgb="FFFF99CC"/>
      <rgbColor rgb="FFCC99FF"/>
      <rgbColor rgb="FFFCE4D6"/>
      <rgbColor rgb="FF3366FF"/>
      <rgbColor rgb="FF33CCCC"/>
      <rgbColor rgb="FF99CC00"/>
      <rgbColor rgb="FFFFCC00"/>
      <rgbColor rgb="FFFF9900"/>
      <rgbColor rgb="FFFF6600"/>
      <rgbColor rgb="FF666699"/>
      <rgbColor rgb="FF7FA99B"/>
      <rgbColor rgb="FF003366"/>
      <rgbColor rgb="FF339966"/>
      <rgbColor rgb="FF003300"/>
      <rgbColor rgb="FF333300"/>
      <rgbColor rgb="FF993300"/>
      <rgbColor rgb="FF993366"/>
      <rgbColor rgb="FF333399"/>
      <rgbColor rgb="FF1E59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_rels/sheet17.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5945"/>
    <pageSetUpPr fitToPage="true"/>
  </sheetPr>
  <dimension ref="A1:B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0"/>
  </cols>
  <sheetData>
    <row r="1" customFormat="false" ht="20.8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row>
    <row r="6" customFormat="false" ht="15" hidden="false" customHeight="false" outlineLevel="0" collapsed="false">
      <c r="A6" s="4" t="s">
        <v>5</v>
      </c>
      <c r="B6" s="5" t="s">
        <v>6</v>
      </c>
    </row>
    <row r="7" customFormat="false" ht="15" hidden="false" customHeight="false" outlineLevel="0" collapsed="false">
      <c r="A7" s="6" t="s">
        <v>7</v>
      </c>
      <c r="B7" s="5" t="s">
        <v>8</v>
      </c>
    </row>
    <row r="8" customFormat="false" ht="15" hidden="false" customHeight="false" outlineLevel="0" collapsed="false">
      <c r="A8" s="4" t="s">
        <v>9</v>
      </c>
      <c r="B8" s="5" t="s">
        <v>10</v>
      </c>
    </row>
    <row r="9" customFormat="false" ht="15" hidden="false" customHeight="false" outlineLevel="0" collapsed="false">
      <c r="A9" s="4" t="s">
        <v>11</v>
      </c>
      <c r="B9" s="7" t="s">
        <v>12</v>
      </c>
    </row>
    <row r="10" customFormat="false" ht="15" hidden="false" customHeight="false" outlineLevel="0" collapsed="false">
      <c r="A10" s="4" t="s">
        <v>13</v>
      </c>
      <c r="B10" s="5" t="s">
        <v>14</v>
      </c>
    </row>
    <row r="11" customFormat="false" ht="15" hidden="false" customHeight="false" outlineLevel="0" collapsed="false">
      <c r="A11" s="4" t="s">
        <v>15</v>
      </c>
      <c r="B11" s="5" t="s">
        <v>16</v>
      </c>
    </row>
    <row r="12" customFormat="false" ht="15" hidden="false" customHeight="false" outlineLevel="0" collapsed="false">
      <c r="A12" s="4" t="s">
        <v>17</v>
      </c>
      <c r="B12" s="7" t="s">
        <v>18</v>
      </c>
    </row>
    <row r="13" customFormat="false" ht="15" hidden="false" customHeight="false" outlineLevel="0" collapsed="false">
      <c r="A13" s="4" t="s">
        <v>19</v>
      </c>
      <c r="B13" s="5" t="s">
        <v>20</v>
      </c>
    </row>
    <row r="14" customFormat="false" ht="15" hidden="false" customHeight="false" outlineLevel="0" collapsed="false">
      <c r="A14" s="4" t="s">
        <v>21</v>
      </c>
      <c r="B14" s="5" t="s">
        <v>22</v>
      </c>
    </row>
    <row r="15" customFormat="false" ht="15" hidden="false" customHeight="false" outlineLevel="0" collapsed="false">
      <c r="A15" s="4" t="s">
        <v>23</v>
      </c>
      <c r="B15" s="5" t="s">
        <v>24</v>
      </c>
    </row>
    <row r="16" customFormat="false" ht="15" hidden="false" customHeight="false" outlineLevel="0" collapsed="false">
      <c r="A16" s="4" t="s">
        <v>25</v>
      </c>
      <c r="B16" s="7" t="s">
        <v>26</v>
      </c>
    </row>
    <row r="17" customFormat="false" ht="15" hidden="false" customHeight="false" outlineLevel="0" collapsed="false">
      <c r="A17" s="4" t="s">
        <v>27</v>
      </c>
      <c r="B17" s="5" t="s">
        <v>28</v>
      </c>
    </row>
    <row r="19" customFormat="false" ht="15" hidden="false" customHeight="false" outlineLevel="0" collapsed="false">
      <c r="A19" s="3" t="s">
        <v>29</v>
      </c>
    </row>
    <row r="20" customFormat="false" ht="15" hidden="false" customHeight="false" outlineLevel="0" collapsed="false">
      <c r="A20" s="4" t="s">
        <v>30</v>
      </c>
      <c r="B20" s="5" t="s">
        <v>31</v>
      </c>
    </row>
    <row r="21" customFormat="false" ht="15" hidden="false" customHeight="false" outlineLevel="0" collapsed="false">
      <c r="A21" s="4" t="s">
        <v>32</v>
      </c>
      <c r="B21" s="5" t="s">
        <v>33</v>
      </c>
    </row>
    <row r="22" customFormat="false" ht="15" hidden="false" customHeight="false" outlineLevel="0" collapsed="false">
      <c r="A22" s="4" t="s">
        <v>34</v>
      </c>
      <c r="B22" s="5" t="s">
        <v>35</v>
      </c>
    </row>
    <row r="23" customFormat="false" ht="15" hidden="false" customHeight="false" outlineLevel="0" collapsed="false">
      <c r="A23" s="4" t="s">
        <v>36</v>
      </c>
      <c r="B23" s="5" t="s">
        <v>37</v>
      </c>
    </row>
    <row r="24" customFormat="false" ht="26.85" hidden="false" customHeight="false" outlineLevel="0" collapsed="false">
      <c r="A24" s="4" t="s">
        <v>38</v>
      </c>
      <c r="B24" s="5" t="s">
        <v>39</v>
      </c>
    </row>
    <row r="25" customFormat="false" ht="15" hidden="false" customHeight="false" outlineLevel="0" collapsed="false">
      <c r="A25" s="4" t="s">
        <v>40</v>
      </c>
      <c r="B25" s="5" t="s">
        <v>41</v>
      </c>
    </row>
    <row r="27" customFormat="false" ht="15" hidden="false" customHeight="false" outlineLevel="0" collapsed="false">
      <c r="A27" s="3" t="s">
        <v>42</v>
      </c>
    </row>
    <row r="28" customFormat="false" ht="15" hidden="false" customHeight="false" outlineLevel="0" collapsed="false">
      <c r="A28" s="8" t="s">
        <v>43</v>
      </c>
      <c r="B28" s="7" t="s">
        <v>44</v>
      </c>
    </row>
    <row r="29" customFormat="false" ht="15" hidden="false" customHeight="false" outlineLevel="0" collapsed="false">
      <c r="A29" s="8" t="s">
        <v>43</v>
      </c>
      <c r="B29" s="5" t="s">
        <v>45</v>
      </c>
    </row>
    <row r="30" customFormat="false" ht="15" hidden="false" customHeight="false" outlineLevel="0" collapsed="false">
      <c r="A30" s="8" t="s">
        <v>43</v>
      </c>
      <c r="B30" s="7" t="s">
        <v>46</v>
      </c>
    </row>
    <row r="31" customFormat="false" ht="26.85" hidden="false" customHeight="false" outlineLevel="0" collapsed="false">
      <c r="A31" s="8" t="s">
        <v>43</v>
      </c>
      <c r="B31" s="7" t="s">
        <v>47</v>
      </c>
    </row>
    <row r="32" customFormat="false" ht="15" hidden="false" customHeight="false" outlineLevel="0" collapsed="false">
      <c r="A32" s="8" t="s">
        <v>43</v>
      </c>
      <c r="B32" s="5" t="s">
        <v>48</v>
      </c>
    </row>
    <row r="34" customFormat="false" ht="15" hidden="false" customHeight="false" outlineLevel="0" collapsed="false">
      <c r="A34" s="3" t="s">
        <v>49</v>
      </c>
    </row>
    <row r="35" customFormat="false" ht="15" hidden="false" customHeight="false" outlineLevel="0" collapsed="false">
      <c r="A35" s="8" t="s">
        <v>43</v>
      </c>
      <c r="B35" s="7" t="s">
        <v>50</v>
      </c>
    </row>
    <row r="36" customFormat="false" ht="15" hidden="false" customHeight="false" outlineLevel="0" collapsed="false">
      <c r="A36" s="8" t="s">
        <v>43</v>
      </c>
      <c r="B36" s="7" t="s">
        <v>51</v>
      </c>
    </row>
    <row r="37" customFormat="false" ht="15" hidden="false" customHeight="false" outlineLevel="0" collapsed="false">
      <c r="A37" s="8" t="s">
        <v>43</v>
      </c>
      <c r="B37" s="7" t="s">
        <v>52</v>
      </c>
    </row>
    <row r="38" customFormat="false" ht="15" hidden="false" customHeight="false" outlineLevel="0" collapsed="false">
      <c r="A38" s="8" t="s">
        <v>43</v>
      </c>
      <c r="B38" s="7" t="s">
        <v>53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5945"/>
    <pageSetUpPr fitToPage="true"/>
  </sheetPr>
  <dimension ref="A1:Q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4" min="3" style="0" width="9"/>
    <col collapsed="false" customWidth="true" hidden="false" outlineLevel="0" max="5" min="5" style="0" width="10"/>
    <col collapsed="false" customWidth="true" hidden="false" outlineLevel="0" max="6" min="6" style="0" width="8"/>
    <col collapsed="false" customWidth="true" hidden="false" outlineLevel="0" max="13" min="7" style="0" width="9"/>
    <col collapsed="false" customWidth="true" hidden="false" outlineLevel="0" max="14" min="14" style="0" width="8"/>
    <col collapsed="false" customWidth="true" hidden="false" outlineLevel="0" max="16" min="15" style="0" width="10"/>
    <col collapsed="false" customWidth="true" hidden="false" outlineLevel="0" max="17" min="17" style="0" width="9"/>
  </cols>
  <sheetData>
    <row r="1" customFormat="false" ht="19.4" hidden="false" customHeight="false" outlineLevel="0" collapsed="false">
      <c r="A1" s="9" t="s">
        <v>54</v>
      </c>
    </row>
    <row r="2" customFormat="false" ht="30" hidden="false" customHeight="true" outlineLevel="0" collapsed="false">
      <c r="A2" s="10" t="s">
        <v>55</v>
      </c>
      <c r="B2" s="10"/>
      <c r="C2" s="10"/>
      <c r="D2" s="10"/>
      <c r="E2" s="10"/>
      <c r="F2" s="10"/>
      <c r="G2" s="10"/>
      <c r="H2" s="10"/>
      <c r="I2" s="10"/>
      <c r="J2" s="10"/>
      <c r="K2" s="10"/>
      <c r="L2" s="10"/>
      <c r="M2" s="10"/>
      <c r="N2" s="10"/>
      <c r="O2" s="10"/>
      <c r="P2" s="10"/>
      <c r="Q2" s="10"/>
    </row>
    <row r="4" customFormat="false" ht="48" hidden="false" customHeight="true" outlineLevel="0" collapsed="false">
      <c r="A4" s="11" t="s">
        <v>56</v>
      </c>
      <c r="B4" s="11" t="s">
        <v>57</v>
      </c>
      <c r="C4" s="12" t="s">
        <v>58</v>
      </c>
      <c r="D4" s="12" t="s">
        <v>59</v>
      </c>
      <c r="E4" s="11" t="s">
        <v>60</v>
      </c>
      <c r="F4" s="11" t="s">
        <v>61</v>
      </c>
      <c r="G4" s="11" t="s">
        <v>62</v>
      </c>
      <c r="H4" s="11" t="s">
        <v>63</v>
      </c>
      <c r="I4" s="12" t="s">
        <v>64</v>
      </c>
      <c r="J4" s="11" t="s">
        <v>65</v>
      </c>
      <c r="K4" s="11" t="s">
        <v>66</v>
      </c>
      <c r="L4" s="11" t="s">
        <v>67</v>
      </c>
      <c r="M4" s="11" t="s">
        <v>68</v>
      </c>
      <c r="N4" s="12" t="s">
        <v>69</v>
      </c>
      <c r="O4" s="12" t="s">
        <v>70</v>
      </c>
      <c r="P4" s="11" t="s">
        <v>71</v>
      </c>
      <c r="Q4" s="12" t="s">
        <v>72</v>
      </c>
    </row>
    <row r="5" customFormat="false" ht="15" hidden="false" customHeight="false" outlineLevel="0" collapsed="false">
      <c r="A5" s="13" t="s">
        <v>73</v>
      </c>
      <c r="B5" s="14" t="n">
        <v>4</v>
      </c>
      <c r="C5" s="15" t="n">
        <f aca="false">IFERROR(AVERAGEIFS(出雲区間記録!$M$5:$M$34,出雲区間記録!$A$5:$A$34,A5,出雲区間記録!$B$5:$B$34,"&lt;6"),"")</f>
        <v>17.26</v>
      </c>
      <c r="D5" s="15" t="n">
        <f aca="false">IFERROR(AVERAGEIFS(出雲区間記録!$M$5:$M$34,出雲区間記録!$A$5:$A$34,A5,出雲区間記録!$B$5:$B$34,6),"")</f>
        <v>23.5</v>
      </c>
      <c r="E5" s="16" t="n">
        <f aca="false">IFERROR(AVERAGEIFS(5000m比較!$D$5:$D$34,5000m比較!$A$5:$A$34,A5),"")</f>
        <v>0.00967008101851852</v>
      </c>
      <c r="F5" s="17" t="n">
        <f aca="false">IFERROR(AVERAGEIFS(5000m比較!$K$5:$K$34,5000m比較!$A$5:$A$34,A5),"")</f>
        <v>0.0376556760014642</v>
      </c>
      <c r="G5" s="18" t="str">
        <f aca="false">IFERROR(AVERAGEIFS(合宿走行距離!$C$5:$C$28,合宿走行距離!$A$5:$A$28,A5,合宿走行距離!$G$5:$G$28,"&gt;0"),"")</f>
        <v/>
      </c>
      <c r="H5" s="8"/>
      <c r="I5" s="19" t="str">
        <f aca="false">IFERROR(G5/H5,"")</f>
        <v/>
      </c>
      <c r="J5" s="18" t="str">
        <f aca="false">IFERROR(AVERAGEIFS(合宿走行距離!$D$5:$D$28,合宿走行距離!$A$5:$A$28,A5,合宿走行距離!$G$5:$G$28,"&gt;0"),"")</f>
        <v/>
      </c>
      <c r="K5" s="20" t="str">
        <f aca="false">IFERROR(AVERAGEIFS(合宿消化率!$F$5:$F$28,合宿消化率!$A$5:$A$28,A5,合宿消化率!$G$5:$G$28,"&gt;0"),"")</f>
        <v/>
      </c>
      <c r="L5" s="14" t="n">
        <f aca="false">IFERROR(AVERAGEIFS(月間走行距離!$J$5:$J$22,月間走行距離!$A$5:$A$22,A5,月間走行距離!$P$5:$P$22,"&gt;0"),"")</f>
        <v>675.166666666667</v>
      </c>
      <c r="M5" s="14" t="n">
        <f aca="false">IFERROR(AVERAGEIFS(月間走行距離!$K$5:$K$22,月間走行距離!$A$5:$A$22,A5,月間走行距離!$P$5:$P$22,"&gt;0"),"")</f>
        <v>396.833333333333</v>
      </c>
      <c r="N5" s="21" t="n">
        <f aca="false">IFERROR(M5/L5,"")</f>
        <v>0.587756109602567</v>
      </c>
      <c r="O5" s="8"/>
      <c r="P5" s="22" t="n">
        <v>44844</v>
      </c>
      <c r="Q5" s="14" t="str">
        <f aca="false">IF(O5="","",P5-O5)</f>
        <v/>
      </c>
    </row>
    <row r="6" customFormat="false" ht="15" hidden="false" customHeight="false" outlineLevel="0" collapsed="false">
      <c r="A6" s="13" t="s">
        <v>74</v>
      </c>
      <c r="B6" s="14" t="n">
        <v>4</v>
      </c>
      <c r="C6" s="15" t="n">
        <f aca="false">IFERROR(AVERAGEIFS(出雲区間記録!$M$5:$M$34,出雲区間記録!$A$5:$A$34,A6,出雲区間記録!$B$5:$B$34,"&lt;6"),"")</f>
        <v>20.2</v>
      </c>
      <c r="D6" s="15" t="n">
        <f aca="false">IFERROR(AVERAGEIFS(出雲区間記録!$M$5:$M$34,出雲区間記録!$A$5:$A$34,A6,出雲区間記録!$B$5:$B$34,6),"")</f>
        <v>82.4</v>
      </c>
      <c r="E6" s="16" t="n">
        <f aca="false">IFERROR(AVERAGEIFS(5000m比較!$D$5:$D$34,5000m比較!$A$5:$A$34,A6),"")</f>
        <v>0.00947712191358025</v>
      </c>
      <c r="F6" s="17" t="n">
        <f aca="false">IFERROR(AVERAGEIFS(5000m比較!$K$5:$K$34,5000m比較!$A$5:$A$34,A6),"")</f>
        <v>0.0643077124151847</v>
      </c>
      <c r="G6" s="18" t="n">
        <f aca="false">IFERROR(AVERAGEIFS(合宿走行距離!$C$5:$C$28,合宿走行距離!$A$5:$A$28,A6,合宿走行距離!$G$5:$G$28,"&gt;0"),"")</f>
        <v>575.25</v>
      </c>
      <c r="H6" s="18" t="n">
        <v>507.9</v>
      </c>
      <c r="I6" s="19" t="n">
        <f aca="false">IFERROR(G6/H6,"")</f>
        <v>1.13260484347312</v>
      </c>
      <c r="J6" s="18" t="n">
        <f aca="false">IFERROR(AVERAGEIFS(合宿走行距離!$D$5:$D$28,合宿走行距離!$A$5:$A$28,A6,合宿走行距離!$G$5:$G$28,"&gt;0"),"")</f>
        <v>232.333333333333</v>
      </c>
      <c r="K6" s="20" t="n">
        <f aca="false">IFERROR(AVERAGEIFS(合宿消化率!$F$5:$F$28,合宿消化率!$A$5:$A$28,A6,合宿消化率!$G$5:$G$28,"&gt;0"),"")</f>
        <v>0.9085</v>
      </c>
      <c r="L6" s="14" t="n">
        <f aca="false">IFERROR(AVERAGEIFS(月間走行距離!$J$5:$J$22,月間走行距離!$A$5:$A$22,A6,月間走行距離!$P$5:$P$22,"&gt;0"),"")</f>
        <v>636.333333333333</v>
      </c>
      <c r="M6" s="14" t="n">
        <f aca="false">IFERROR(AVERAGEIFS(月間走行距離!$K$5:$K$22,月間走行距離!$A$5:$A$22,A6,月間走行距離!$P$5:$P$22,"&gt;0"),"")</f>
        <v>468.133333333333</v>
      </c>
      <c r="N6" s="21" t="n">
        <f aca="false">IFERROR(M6/L6,"")</f>
        <v>0.735673127291776</v>
      </c>
      <c r="O6" s="22" t="n">
        <v>45186</v>
      </c>
      <c r="P6" s="22" t="n">
        <v>45208</v>
      </c>
      <c r="Q6" s="14" t="n">
        <f aca="false">IF(O6="","",P6-O6)</f>
        <v>22</v>
      </c>
    </row>
    <row r="7" customFormat="false" ht="15" hidden="false" customHeight="false" outlineLevel="0" collapsed="false">
      <c r="A7" s="13" t="s">
        <v>75</v>
      </c>
      <c r="B7" s="14" t="n">
        <v>3</v>
      </c>
      <c r="C7" s="15" t="n">
        <f aca="false">IFERROR(AVERAGEIFS(出雲区間記録!$M$5:$M$34,出雲区間記録!$A$5:$A$34,A7,出雲区間記録!$B$5:$B$34,"&lt;6"),"")</f>
        <v>15.26</v>
      </c>
      <c r="D7" s="15" t="n">
        <f aca="false">IFERROR(AVERAGEIFS(出雲区間記録!$M$5:$M$34,出雲区間記録!$A$5:$A$34,A7,出雲区間記録!$B$5:$B$34,6),"")</f>
        <v>35.3</v>
      </c>
      <c r="E7" s="16" t="n">
        <f aca="false">IFERROR(AVERAGEIFS(5000m比較!$D$5:$D$34,5000m比較!$A$5:$A$34,A7),"")</f>
        <v>0.00959357638888889</v>
      </c>
      <c r="F7" s="17" t="n">
        <f aca="false">IFERROR(AVERAGEIFS(5000m比較!$K$5:$K$34,5000m比較!$A$5:$A$34,A7),"")</f>
        <v>0.0462450944956439</v>
      </c>
      <c r="G7" s="18" t="n">
        <f aca="false">IFERROR(AVERAGEIFS(合宿走行距離!$C$5:$C$28,合宿走行距離!$A$5:$A$28,A7,合宿走行距離!$G$5:$G$28,"&gt;0"),"")</f>
        <v>474.333333333333</v>
      </c>
      <c r="H7" s="18" t="n">
        <v>510.6</v>
      </c>
      <c r="I7" s="19" t="n">
        <f aca="false">IFERROR(G7/H7,"")</f>
        <v>0.928972450711581</v>
      </c>
      <c r="J7" s="18" t="n">
        <f aca="false">IFERROR(AVERAGEIFS(合宿走行距離!$D$5:$D$28,合宿走行距離!$A$5:$A$28,A7,合宿走行距離!$G$5:$G$28,"&gt;0"),"")</f>
        <v>210.333333333333</v>
      </c>
      <c r="K7" s="20" t="n">
        <f aca="false">IFERROR(AVERAGEIFS(合宿消化率!$F$5:$F$28,合宿消化率!$A$5:$A$28,A7,合宿消化率!$G$5:$G$28,"&gt;0"),"")</f>
        <v>0.970833333333333</v>
      </c>
      <c r="L7" s="14" t="str">
        <f aca="false">IFERROR(AVERAGEIFS(月間走行距離!$J$5:$J$22,月間走行距離!$A$5:$A$22,A7,月間走行距離!$P$5:$P$22,"&gt;0"),"")</f>
        <v/>
      </c>
      <c r="M7" s="14" t="str">
        <f aca="false">IFERROR(AVERAGEIFS(月間走行距離!$K$5:$K$22,月間走行距離!$A$5:$A$22,A7,月間走行距離!$P$5:$P$22,"&gt;0"),"")</f>
        <v/>
      </c>
      <c r="N7" s="21" t="str">
        <f aca="false">IFERROR(M7/L7,"")</f>
        <v/>
      </c>
      <c r="O7" s="22" t="n">
        <v>45556</v>
      </c>
      <c r="P7" s="22" t="n">
        <v>45579</v>
      </c>
      <c r="Q7" s="14" t="n">
        <f aca="false">IF(O7="","",P7-O7)</f>
        <v>23</v>
      </c>
    </row>
    <row r="8" customFormat="false" ht="15" hidden="false" customHeight="false" outlineLevel="0" collapsed="false">
      <c r="A8" s="13" t="s">
        <v>76</v>
      </c>
      <c r="B8" s="14" t="n">
        <v>7</v>
      </c>
      <c r="C8" s="15" t="n">
        <f aca="false">IFERROR(AVERAGEIFS(出雲区間記録!$M$5:$M$34,出雲区間記録!$A$5:$A$34,A8,出雲区間記録!$B$5:$B$34,"&lt;6"),"")</f>
        <v>26.68</v>
      </c>
      <c r="D8" s="15" t="n">
        <f aca="false">IFERROR(AVERAGEIFS(出雲区間記録!$M$5:$M$34,出雲区間記録!$A$5:$A$34,A8,出雲区間記録!$B$5:$B$34,6),"")</f>
        <v>0</v>
      </c>
      <c r="E8" s="16" t="n">
        <f aca="false">IFERROR(AVERAGEIFS(5000m比較!$D$5:$D$34,5000m比較!$A$5:$A$34,A8),"")</f>
        <v>0.00956122685185185</v>
      </c>
      <c r="F8" s="17" t="n">
        <f aca="false">IFERROR(AVERAGEIFS(5000m比較!$K$5:$K$34,5000m比較!$A$5:$A$34,A8),"")</f>
        <v>0.052597876567239</v>
      </c>
      <c r="G8" s="18" t="n">
        <f aca="false">IFERROR(AVERAGEIFS(合宿走行距離!$C$5:$C$28,合宿走行距離!$A$5:$A$28,A8,合宿走行距離!$G$5:$G$28,"&gt;0"),"")</f>
        <v>578.666666666667</v>
      </c>
      <c r="H8" s="18" t="n">
        <v>481</v>
      </c>
      <c r="I8" s="19" t="n">
        <f aca="false">IFERROR(G8/H8,"")</f>
        <v>1.2030492030492</v>
      </c>
      <c r="J8" s="18" t="n">
        <f aca="false">IFERROR(AVERAGEIFS(合宿走行距離!$D$5:$D$28,合宿走行距離!$A$5:$A$28,A8,合宿走行距離!$G$5:$G$28,"&gt;0"),"")</f>
        <v>230.5</v>
      </c>
      <c r="K8" s="20" t="n">
        <f aca="false">IFERROR(AVERAGEIFS(合宿消化率!$F$5:$F$28,合宿消化率!$A$5:$A$28,A8,合宿消化率!$G$5:$G$28,"&gt;0"),"")</f>
        <v>0.981111111111111</v>
      </c>
      <c r="L8" s="14" t="str">
        <f aca="false">IFERROR(AVERAGEIFS(月間走行距離!$J$5:$J$22,月間走行距離!$A$5:$A$22,A8,月間走行距離!$P$5:$P$22,"&gt;0"),"")</f>
        <v/>
      </c>
      <c r="M8" s="14" t="str">
        <f aca="false">IFERROR(AVERAGEIFS(月間走行距離!$K$5:$K$22,月間走行距離!$A$5:$A$22,A8,月間走行距離!$P$5:$P$22,"&gt;0"),"")</f>
        <v/>
      </c>
      <c r="N8" s="21" t="str">
        <f aca="false">IFERROR(M8/L8,"")</f>
        <v/>
      </c>
      <c r="O8" s="22" t="n">
        <v>45920</v>
      </c>
      <c r="P8" s="22" t="n">
        <v>45943</v>
      </c>
      <c r="Q8" s="14" t="n">
        <f aca="false">IF(O8="","",P8-O8)</f>
        <v>23</v>
      </c>
    </row>
    <row r="9" customFormat="false" ht="15" hidden="false" customHeight="false" outlineLevel="0" collapsed="false">
      <c r="A9" s="13" t="s">
        <v>77</v>
      </c>
      <c r="B9" s="14" t="n">
        <v>11</v>
      </c>
      <c r="C9" s="15" t="n">
        <f aca="false">IFERROR(AVERAGEIFS(出雲区間記録!$M$5:$M$34,出雲区間記録!$A$5:$A$34,A9,出雲区間記録!$B$5:$B$34,"&lt;6"),"")</f>
        <v>24.36</v>
      </c>
      <c r="D9" s="15" t="n">
        <f aca="false">IFERROR(AVERAGEIFS(出雲区間記録!$M$5:$M$34,出雲区間記録!$A$5:$A$34,A9,出雲区間記録!$B$5:$B$34,6),"")</f>
        <v>83.3</v>
      </c>
      <c r="E9" s="16" t="n">
        <f aca="false">IFERROR(AVERAGEIFS(5000m比較!$D$5:$D$34,5000m比較!$A$5:$A$34,A9),"")</f>
        <v>0.00946952160493827</v>
      </c>
      <c r="F9" s="17" t="n">
        <f aca="false">IFERROR(AVERAGEIFS(5000m比較!$K$5:$K$34,5000m比較!$A$5:$A$34,A9),"")</f>
        <v>0.0518347923041421</v>
      </c>
      <c r="G9" s="18" t="n">
        <f aca="false">IFERROR(AVERAGEIFS(合宿走行距離!$C$5:$C$28,合宿走行距離!$A$5:$A$28,A9,合宿走行距離!$G$5:$G$28,"&gt;0"),"")</f>
        <v>555.5</v>
      </c>
      <c r="H9" s="18" t="n">
        <v>460</v>
      </c>
      <c r="I9" s="19" t="n">
        <f aca="false">IFERROR(G9/H9,"")</f>
        <v>1.20760869565217</v>
      </c>
      <c r="J9" s="18" t="n">
        <f aca="false">IFERROR(AVERAGEIFS(合宿走行距離!$D$5:$D$28,合宿走行距離!$A$5:$A$28,A9,合宿走行距離!$G$5:$G$28,"&gt;0"),"")</f>
        <v>227.666666666667</v>
      </c>
      <c r="K9" s="20" t="n">
        <f aca="false">IFERROR(AVERAGEIFS(合宿消化率!$F$5:$F$28,合宿消化率!$A$5:$A$28,A9,合宿消化率!$G$5:$G$28,"&gt;0"),"")</f>
        <v>0.98</v>
      </c>
      <c r="L9" s="14" t="str">
        <f aca="false">IFERROR(AVERAGEIFS(月間走行距離!$J$5:$J$22,月間走行距離!$A$5:$A$22,A9,月間走行距離!$P$5:$P$22,"&gt;0"),"")</f>
        <v/>
      </c>
      <c r="M9" s="14" t="str">
        <f aca="false">IFERROR(AVERAGEIFS(月間走行距離!$K$5:$K$22,月間走行距離!$A$5:$A$22,A9,月間走行距離!$P$5:$P$22,"&gt;0"),"")</f>
        <v/>
      </c>
      <c r="N9" s="21" t="str">
        <f aca="false">IFERROR(M9/L9,"")</f>
        <v/>
      </c>
      <c r="O9" s="22" t="n">
        <v>46288</v>
      </c>
      <c r="P9" s="22" t="n">
        <v>46307</v>
      </c>
      <c r="Q9" s="14" t="n">
        <f aca="false">IF(O9="","",P9-O9)</f>
        <v>19</v>
      </c>
    </row>
    <row r="11" customFormat="false" ht="15" hidden="false" customHeight="false" outlineLevel="0" collapsed="false">
      <c r="A11" s="23" t="s">
        <v>78</v>
      </c>
    </row>
    <row r="12" customFormat="false" ht="19.5" hidden="false" customHeight="true" outlineLevel="0" collapsed="false">
      <c r="A12" s="11" t="s">
        <v>79</v>
      </c>
      <c r="B12" s="11"/>
      <c r="C12" s="11"/>
      <c r="D12" s="11"/>
      <c r="E12" s="11" t="s">
        <v>80</v>
      </c>
      <c r="F12" s="11" t="s">
        <v>81</v>
      </c>
    </row>
    <row r="13" customFormat="false" ht="26.85" hidden="false" customHeight="true" outlineLevel="0" collapsed="false">
      <c r="A13" s="5" t="s">
        <v>82</v>
      </c>
      <c r="B13" s="5"/>
      <c r="C13" s="5"/>
      <c r="D13" s="5"/>
      <c r="E13" s="13" t="s">
        <v>83</v>
      </c>
      <c r="F13" s="21" t="n">
        <f aca="false">CORREL(E5:E9,F5:F9)</f>
        <v>-0.862027465529468</v>
      </c>
    </row>
    <row r="14" customFormat="false" ht="26.85" hidden="false" customHeight="true" outlineLevel="0" collapsed="false">
      <c r="A14" s="5" t="s">
        <v>84</v>
      </c>
      <c r="B14" s="5"/>
      <c r="C14" s="5"/>
      <c r="D14" s="5"/>
      <c r="E14" s="13" t="s">
        <v>83</v>
      </c>
      <c r="F14" s="21" t="n">
        <f aca="false">CORREL(E5:E9,B5:B9)</f>
        <v>-0.557655544094555</v>
      </c>
    </row>
    <row r="15" customFormat="false" ht="26.85" hidden="false" customHeight="true" outlineLevel="0" collapsed="false">
      <c r="A15" s="5" t="s">
        <v>85</v>
      </c>
      <c r="B15" s="5"/>
      <c r="C15" s="5"/>
      <c r="D15" s="5"/>
      <c r="E15" s="13" t="s">
        <v>83</v>
      </c>
      <c r="F15" s="21" t="n">
        <f aca="false">CORREL(F5:F9,B5:B9)</f>
        <v>0.154004608533012</v>
      </c>
    </row>
    <row r="16" customFormat="false" ht="26.85" hidden="false" customHeight="true" outlineLevel="0" collapsed="false">
      <c r="A16" s="7" t="s">
        <v>86</v>
      </c>
      <c r="B16" s="7"/>
      <c r="C16" s="7"/>
      <c r="D16" s="7"/>
      <c r="E16" s="13" t="s">
        <v>87</v>
      </c>
      <c r="F16" s="21" t="n">
        <f aca="false">CORREL(I6:I9,B6:B9)</f>
        <v>0.760234957327082</v>
      </c>
    </row>
    <row r="17" customFormat="false" ht="26.85" hidden="false" customHeight="true" outlineLevel="0" collapsed="false">
      <c r="A17" s="7" t="s">
        <v>88</v>
      </c>
      <c r="B17" s="7"/>
      <c r="C17" s="7"/>
      <c r="D17" s="7"/>
      <c r="E17" s="13" t="s">
        <v>87</v>
      </c>
      <c r="F17" s="21" t="n">
        <f aca="false">CORREL(I6:I9,F6:F9)</f>
        <v>0.438125297896412</v>
      </c>
    </row>
    <row r="19" customFormat="false" ht="15" hidden="false" customHeight="false" outlineLevel="0" collapsed="false">
      <c r="A19" s="23" t="s">
        <v>89</v>
      </c>
    </row>
    <row r="20" customFormat="false" ht="48" hidden="false" customHeight="true" outlineLevel="0" collapsed="false">
      <c r="A20" s="11" t="s">
        <v>90</v>
      </c>
      <c r="B20" s="11" t="s">
        <v>91</v>
      </c>
      <c r="C20" s="11" t="s">
        <v>92</v>
      </c>
      <c r="D20" s="11" t="s">
        <v>61</v>
      </c>
      <c r="E20" s="11" t="s">
        <v>93</v>
      </c>
    </row>
    <row r="21" customFormat="false" ht="15" hidden="false" customHeight="false" outlineLevel="0" collapsed="false">
      <c r="A21" s="14" t="n">
        <v>1</v>
      </c>
      <c r="B21" s="18" t="n">
        <v>8</v>
      </c>
      <c r="C21" s="15" t="n">
        <f aca="false">AVERAGEIFS(出雲区間記録!$M$5:$M$34,出雲区間記録!$B$5:$B$34,A21)</f>
        <v>9.5</v>
      </c>
      <c r="D21" s="17" t="n">
        <f aca="false">AVERAGEIFS(5000m比較!$K$5:$K$34,5000m比較!$B$5:$B$34,A21)</f>
        <v>0.0604147182940374</v>
      </c>
      <c r="E21" s="14" t="n">
        <f aca="false">COUNTIFS(出雲区間記録!$B$5:$B$34,A21,出雲区間記録!$K$5:$K$34,1)</f>
        <v>1</v>
      </c>
    </row>
    <row r="22" customFormat="false" ht="15" hidden="false" customHeight="false" outlineLevel="0" collapsed="false">
      <c r="A22" s="14" t="n">
        <v>2</v>
      </c>
      <c r="B22" s="18" t="n">
        <v>5.8</v>
      </c>
      <c r="C22" s="15" t="n">
        <f aca="false">AVERAGEIFS(出雲区間記録!$M$5:$M$34,出雲区間記録!$B$5:$B$34,A22)</f>
        <v>25.52</v>
      </c>
      <c r="D22" s="17" t="n">
        <f aca="false">AVERAGEIFS(5000m比較!$K$5:$K$34,5000m比較!$B$5:$B$34,A22)</f>
        <v>0.020883104931977</v>
      </c>
      <c r="E22" s="14" t="n">
        <f aca="false">COUNTIFS(出雲区間記録!$B$5:$B$34,A22,出雲区間記録!$K$5:$K$34,1)</f>
        <v>1</v>
      </c>
    </row>
    <row r="23" customFormat="false" ht="15" hidden="false" customHeight="false" outlineLevel="0" collapsed="false">
      <c r="A23" s="14" t="n">
        <v>3</v>
      </c>
      <c r="B23" s="18" t="n">
        <v>8.5</v>
      </c>
      <c r="C23" s="15" t="n">
        <f aca="false">AVERAGEIFS(出雲区間記録!$M$5:$M$34,出雲区間記録!$B$5:$B$34,A23)</f>
        <v>22.84</v>
      </c>
      <c r="D23" s="17" t="n">
        <f aca="false">AVERAGEIFS(5000m比較!$K$5:$K$34,5000m比較!$B$5:$B$34,A23)</f>
        <v>0.054357904419027</v>
      </c>
      <c r="E23" s="14" t="n">
        <f aca="false">COUNTIFS(出雲区間記録!$B$5:$B$34,A23,出雲区間記録!$K$5:$K$34,1)</f>
        <v>0</v>
      </c>
    </row>
    <row r="24" customFormat="false" ht="15" hidden="false" customHeight="false" outlineLevel="0" collapsed="false">
      <c r="A24" s="14" t="n">
        <v>4</v>
      </c>
      <c r="B24" s="18" t="n">
        <v>6.2</v>
      </c>
      <c r="C24" s="15" t="n">
        <f aca="false">AVERAGEIFS(出雲区間記録!$M$5:$M$34,出雲区間記録!$B$5:$B$34,A24)</f>
        <v>23.24</v>
      </c>
      <c r="D24" s="17" t="n">
        <f aca="false">AVERAGEIFS(5000m比較!$K$5:$K$34,5000m比較!$B$5:$B$34,A24)</f>
        <v>0.0532139311964619</v>
      </c>
      <c r="E24" s="14" t="n">
        <f aca="false">COUNTIFS(出雲区間記録!$B$5:$B$34,A24,出雲区間記録!$K$5:$K$34,1)</f>
        <v>1</v>
      </c>
    </row>
    <row r="25" customFormat="false" ht="15" hidden="false" customHeight="false" outlineLevel="0" collapsed="false">
      <c r="A25" s="14" t="n">
        <v>5</v>
      </c>
      <c r="B25" s="18" t="n">
        <v>6.4</v>
      </c>
      <c r="C25" s="15" t="n">
        <f aca="false">AVERAGEIFS(出雲区間記録!$M$5:$M$34,出雲区間記録!$B$5:$B$34,A25)</f>
        <v>22.66</v>
      </c>
      <c r="D25" s="17" t="n">
        <f aca="false">AVERAGEIFS(5000m比較!$K$5:$K$34,5000m比較!$B$5:$B$34,A25)</f>
        <v>0.0501378406014783</v>
      </c>
      <c r="E25" s="14" t="n">
        <f aca="false">COUNTIFS(出雲区間記録!$B$5:$B$34,A25,出雲区間記録!$K$5:$K$34,1)</f>
        <v>1</v>
      </c>
    </row>
    <row r="26" customFormat="false" ht="15" hidden="false" customHeight="false" outlineLevel="0" collapsed="false">
      <c r="A26" s="14" t="n">
        <v>6</v>
      </c>
      <c r="B26" s="18" t="n">
        <v>10.2</v>
      </c>
      <c r="C26" s="15" t="n">
        <f aca="false">AVERAGEIFS(出雲区間記録!$M$5:$M$34,出雲区間記録!$B$5:$B$34,A26)</f>
        <v>44.9</v>
      </c>
      <c r="D26" s="17" t="n">
        <f aca="false">AVERAGEIFS(5000m比較!$K$5:$K$34,5000m比較!$B$5:$B$34,A26)</f>
        <v>0.0641618826974271</v>
      </c>
      <c r="E26" s="14" t="n">
        <f aca="false">COUNTIFS(出雲区間記録!$B$5:$B$34,A26,出雲区間記録!$K$5:$K$34,1)</f>
        <v>1</v>
      </c>
    </row>
    <row r="27" customFormat="false" ht="15" hidden="false" customHeight="false" outlineLevel="0" collapsed="false">
      <c r="A27" s="24" t="s">
        <v>94</v>
      </c>
    </row>
  </sheetData>
  <mergeCells count="7">
    <mergeCell ref="A2:Q2"/>
    <mergeCell ref="A12:D12"/>
    <mergeCell ref="A13:D13"/>
    <mergeCell ref="A14:D14"/>
    <mergeCell ref="A15:D15"/>
    <mergeCell ref="A16:D16"/>
    <mergeCell ref="A17:D17"/>
  </mergeCells>
  <conditionalFormatting sqref="F5:F9">
    <cfRule type="colorScale" priority="2">
      <colorScale>
        <cfvo type="min" val="0"/>
        <cfvo type="max" val="0"/>
        <color rgb="FF63BE7B"/>
        <color rgb="FFF8696B"/>
      </colorScale>
    </cfRule>
  </conditionalFormatting>
  <conditionalFormatting sqref="B5:B9">
    <cfRule type="colorScale" priority="3">
      <colorScale>
        <cfvo type="min" val="0"/>
        <cfvo type="max" val="0"/>
        <color rgb="FF63BE7B"/>
        <color rgb="FFF8696B"/>
      </colorScale>
    </cfRule>
  </conditionalFormatting>
  <conditionalFormatting sqref="I5:I9">
    <cfRule type="colorScale" priority="4">
      <colorScale>
        <cfvo type="min" val="0"/>
        <cfvo type="max" val="0"/>
        <color rgb="FF63BE7B"/>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99B"/>
    <pageSetUpPr fitToPage="true"/>
  </sheetPr>
  <dimension ref="A1:M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7"/>
    <col collapsed="false" customWidth="true" hidden="false" outlineLevel="0" max="4" min="4" style="0" width="8"/>
    <col collapsed="false" customWidth="true" hidden="false" outlineLevel="0" max="5" min="5" style="0" width="14"/>
    <col collapsed="false" customWidth="true" hidden="false" outlineLevel="0" max="6" min="6" style="0" width="12"/>
    <col collapsed="false" customWidth="true" hidden="false" outlineLevel="0" max="8" min="7" style="0" width="9"/>
    <col collapsed="false" customWidth="true" hidden="false" outlineLevel="0" max="9" min="9" style="0" width="13"/>
    <col collapsed="false" customWidth="true" hidden="false" outlineLevel="0" max="10" min="10" style="0" width="9"/>
    <col collapsed="false" customWidth="true" hidden="false" outlineLevel="0" max="11" min="11" style="0" width="7"/>
    <col collapsed="false" customWidth="true" hidden="false" outlineLevel="0" max="13" min="12" style="0" width="9"/>
  </cols>
  <sheetData>
    <row r="1" customFormat="false" ht="19.4" hidden="false" customHeight="false" outlineLevel="0" collapsed="false">
      <c r="A1" s="9" t="s">
        <v>95</v>
      </c>
    </row>
    <row r="2" customFormat="false" ht="30" hidden="false" customHeight="true" outlineLevel="0" collapsed="false">
      <c r="A2" s="10" t="s">
        <v>96</v>
      </c>
      <c r="B2" s="10"/>
      <c r="C2" s="10"/>
      <c r="D2" s="10"/>
      <c r="E2" s="10"/>
      <c r="F2" s="10"/>
      <c r="G2" s="10"/>
      <c r="H2" s="10"/>
      <c r="I2" s="10"/>
      <c r="J2" s="10"/>
      <c r="K2" s="10"/>
      <c r="L2" s="10"/>
      <c r="M2" s="10"/>
    </row>
    <row r="4" customFormat="false" ht="33.75" hidden="false" customHeight="true" outlineLevel="0" collapsed="false">
      <c r="A4" s="11" t="s">
        <v>56</v>
      </c>
      <c r="B4" s="11" t="s">
        <v>90</v>
      </c>
      <c r="C4" s="11" t="s">
        <v>91</v>
      </c>
      <c r="D4" s="11" t="s">
        <v>97</v>
      </c>
      <c r="E4" s="11" t="s">
        <v>32</v>
      </c>
      <c r="F4" s="11" t="s">
        <v>98</v>
      </c>
      <c r="G4" s="11" t="s">
        <v>99</v>
      </c>
      <c r="H4" s="11" t="s">
        <v>100</v>
      </c>
      <c r="I4" s="11" t="s">
        <v>101</v>
      </c>
      <c r="J4" s="11" t="s">
        <v>99</v>
      </c>
      <c r="K4" s="11" t="s">
        <v>102</v>
      </c>
      <c r="L4" s="11" t="s">
        <v>100</v>
      </c>
      <c r="M4" s="11" t="s">
        <v>103</v>
      </c>
    </row>
    <row r="5" customFormat="false" ht="15" hidden="false" customHeight="false" outlineLevel="0" collapsed="false">
      <c r="A5" s="25" t="s">
        <v>73</v>
      </c>
      <c r="B5" s="25" t="n">
        <v>1</v>
      </c>
      <c r="C5" s="26" t="n">
        <v>8</v>
      </c>
      <c r="D5" s="27" t="n">
        <f aca="false">IF(B5=6,10,5)</f>
        <v>5</v>
      </c>
      <c r="E5" s="28" t="s">
        <v>104</v>
      </c>
      <c r="F5" s="28" t="s">
        <v>105</v>
      </c>
      <c r="G5" s="29" t="n">
        <v>0.0156481481481482</v>
      </c>
      <c r="H5" s="29" t="n">
        <f aca="false">G5*D5/C5</f>
        <v>0.00978009259259259</v>
      </c>
      <c r="I5" s="28" t="s">
        <v>106</v>
      </c>
      <c r="J5" s="29" t="n">
        <v>0.0157986111111111</v>
      </c>
      <c r="K5" s="27" t="n">
        <v>3</v>
      </c>
      <c r="L5" s="29" t="n">
        <f aca="false">J5*D5/C5</f>
        <v>0.00987413194444444</v>
      </c>
      <c r="M5" s="30" t="n">
        <f aca="false">ROUND((L5-H5)*86400,1)</f>
        <v>8.1</v>
      </c>
    </row>
    <row r="6" customFormat="false" ht="15" hidden="false" customHeight="false" outlineLevel="0" collapsed="false">
      <c r="A6" s="25" t="s">
        <v>73</v>
      </c>
      <c r="B6" s="28" t="n">
        <v>2</v>
      </c>
      <c r="C6" s="26" t="n">
        <v>5.8</v>
      </c>
      <c r="D6" s="27" t="n">
        <f aca="false">IF(B6=6,10,5)</f>
        <v>5</v>
      </c>
      <c r="E6" s="28" t="s">
        <v>107</v>
      </c>
      <c r="F6" s="28" t="s">
        <v>108</v>
      </c>
      <c r="G6" s="29" t="n">
        <v>0.0107291666666667</v>
      </c>
      <c r="H6" s="29" t="n">
        <f aca="false">G6*D6/C6</f>
        <v>0.00924928160919541</v>
      </c>
      <c r="I6" s="28" t="s">
        <v>109</v>
      </c>
      <c r="J6" s="29" t="n">
        <v>0.0109027777777778</v>
      </c>
      <c r="K6" s="27" t="n">
        <v>4</v>
      </c>
      <c r="L6" s="29" t="n">
        <f aca="false">J6*D6/C6</f>
        <v>0.00939894636015326</v>
      </c>
      <c r="M6" s="30" t="n">
        <f aca="false">ROUND((L6-H6)*86400,1)</f>
        <v>12.9</v>
      </c>
    </row>
    <row r="7" customFormat="false" ht="15" hidden="false" customHeight="false" outlineLevel="0" collapsed="false">
      <c r="A7" s="25" t="s">
        <v>73</v>
      </c>
      <c r="B7" s="28" t="n">
        <v>3</v>
      </c>
      <c r="C7" s="26" t="n">
        <v>8.5</v>
      </c>
      <c r="D7" s="27" t="n">
        <f aca="false">IF(B7=6,10,5)</f>
        <v>5</v>
      </c>
      <c r="E7" s="28" t="s">
        <v>110</v>
      </c>
      <c r="F7" s="28" t="s">
        <v>108</v>
      </c>
      <c r="G7" s="29" t="n">
        <v>0.0165509259259259</v>
      </c>
      <c r="H7" s="29" t="n">
        <f aca="false">G7*D7/C7</f>
        <v>0.00973583877995643</v>
      </c>
      <c r="I7" s="28" t="s">
        <v>111</v>
      </c>
      <c r="J7" s="29" t="n">
        <v>0.0165625</v>
      </c>
      <c r="K7" s="27" t="n">
        <v>3</v>
      </c>
      <c r="L7" s="29" t="n">
        <f aca="false">J7*D7/C7</f>
        <v>0.00974264705882353</v>
      </c>
      <c r="M7" s="30" t="n">
        <f aca="false">ROUND((L7-H7)*86400,1)</f>
        <v>0.6</v>
      </c>
    </row>
    <row r="8" customFormat="false" ht="15" hidden="false" customHeight="false" outlineLevel="0" collapsed="false">
      <c r="A8" s="25" t="s">
        <v>73</v>
      </c>
      <c r="B8" s="28" t="n">
        <v>4</v>
      </c>
      <c r="C8" s="26" t="n">
        <v>6.2</v>
      </c>
      <c r="D8" s="27" t="n">
        <f aca="false">IF(B8=6,10,5)</f>
        <v>5</v>
      </c>
      <c r="E8" s="28" t="s">
        <v>112</v>
      </c>
      <c r="F8" s="28" t="s">
        <v>113</v>
      </c>
      <c r="G8" s="29" t="n">
        <v>0.0123842592592593</v>
      </c>
      <c r="H8" s="29" t="n">
        <f aca="false">G8*D8/C8</f>
        <v>0.00998730585424134</v>
      </c>
      <c r="I8" s="28" t="s">
        <v>114</v>
      </c>
      <c r="J8" s="29" t="n">
        <v>0.0130208333333333</v>
      </c>
      <c r="K8" s="27" t="n">
        <v>6</v>
      </c>
      <c r="L8" s="29" t="n">
        <f aca="false">J8*D8/C8</f>
        <v>0.0105006720430108</v>
      </c>
      <c r="M8" s="30" t="n">
        <f aca="false">ROUND((L8-H8)*86400,1)</f>
        <v>44.4</v>
      </c>
    </row>
    <row r="9" customFormat="false" ht="15" hidden="false" customHeight="false" outlineLevel="0" collapsed="false">
      <c r="A9" s="25" t="s">
        <v>73</v>
      </c>
      <c r="B9" s="28" t="n">
        <v>5</v>
      </c>
      <c r="C9" s="26" t="n">
        <v>6.4</v>
      </c>
      <c r="D9" s="27" t="n">
        <f aca="false">IF(B9=6,10,5)</f>
        <v>5</v>
      </c>
      <c r="E9" s="28" t="s">
        <v>115</v>
      </c>
      <c r="F9" s="28" t="s">
        <v>108</v>
      </c>
      <c r="G9" s="29" t="n">
        <v>0.0132407407407407</v>
      </c>
      <c r="H9" s="29" t="n">
        <f aca="false">G9*D9/C9</f>
        <v>0.0103443287037037</v>
      </c>
      <c r="I9" s="28" t="s">
        <v>116</v>
      </c>
      <c r="J9" s="29" t="n">
        <v>0.0135416666666667</v>
      </c>
      <c r="K9" s="27" t="n">
        <v>6</v>
      </c>
      <c r="L9" s="29" t="n">
        <f aca="false">J9*D9/C9</f>
        <v>0.0105794270833333</v>
      </c>
      <c r="M9" s="30" t="n">
        <f aca="false">ROUND((L9-H9)*86400,1)</f>
        <v>20.3</v>
      </c>
    </row>
    <row r="10" customFormat="false" ht="15" hidden="false" customHeight="false" outlineLevel="0" collapsed="false">
      <c r="A10" s="25" t="s">
        <v>73</v>
      </c>
      <c r="B10" s="28" t="n">
        <v>6</v>
      </c>
      <c r="C10" s="26" t="n">
        <v>10.2</v>
      </c>
      <c r="D10" s="27" t="n">
        <f aca="false">IF(B10=6,10,5)</f>
        <v>10</v>
      </c>
      <c r="E10" s="28" t="s">
        <v>117</v>
      </c>
      <c r="F10" s="28" t="s">
        <v>108</v>
      </c>
      <c r="G10" s="29" t="n">
        <v>0.0203819444444445</v>
      </c>
      <c r="H10" s="29" t="n">
        <f aca="false">G10*D10/C10</f>
        <v>0.0199822984749455</v>
      </c>
      <c r="I10" s="28" t="s">
        <v>118</v>
      </c>
      <c r="J10" s="29" t="n">
        <v>0.0206597222222222</v>
      </c>
      <c r="K10" s="27" t="n">
        <v>3</v>
      </c>
      <c r="L10" s="29" t="n">
        <f aca="false">J10*D10/C10</f>
        <v>0.0202546296296296</v>
      </c>
      <c r="M10" s="30" t="n">
        <f aca="false">ROUND((L10-H10)*86400,1)</f>
        <v>23.5</v>
      </c>
    </row>
    <row r="11" customFormat="false" ht="15" hidden="false" customHeight="false" outlineLevel="0" collapsed="false">
      <c r="A11" s="13" t="s">
        <v>74</v>
      </c>
      <c r="B11" s="8" t="n">
        <v>1</v>
      </c>
      <c r="C11" s="18" t="n">
        <v>8</v>
      </c>
      <c r="D11" s="14" t="n">
        <f aca="false">IF(B11=6,10,5)</f>
        <v>5</v>
      </c>
      <c r="E11" s="8" t="s">
        <v>119</v>
      </c>
      <c r="F11" s="8" t="s">
        <v>108</v>
      </c>
      <c r="G11" s="31" t="n">
        <v>0.0157986111111111</v>
      </c>
      <c r="H11" s="31" t="n">
        <f aca="false">G11*D11/C11</f>
        <v>0.00987413194444444</v>
      </c>
      <c r="I11" s="8" t="s">
        <v>120</v>
      </c>
      <c r="J11" s="31" t="n">
        <v>0.01625</v>
      </c>
      <c r="K11" s="14" t="n">
        <v>6</v>
      </c>
      <c r="L11" s="31" t="n">
        <f aca="false">J11*D11/C11</f>
        <v>0.01015625</v>
      </c>
      <c r="M11" s="15" t="n">
        <f aca="false">ROUND((L11-H11)*86400,1)</f>
        <v>24.4</v>
      </c>
    </row>
    <row r="12" customFormat="false" ht="26.85" hidden="false" customHeight="false" outlineLevel="0" collapsed="false">
      <c r="A12" s="13" t="s">
        <v>74</v>
      </c>
      <c r="B12" s="8" t="n">
        <v>2</v>
      </c>
      <c r="C12" s="18" t="n">
        <v>5.8</v>
      </c>
      <c r="D12" s="14" t="n">
        <f aca="false">IF(B12=6,10,5)</f>
        <v>5</v>
      </c>
      <c r="E12" s="8" t="s">
        <v>121</v>
      </c>
      <c r="F12" s="8" t="s">
        <v>122</v>
      </c>
      <c r="G12" s="31" t="n">
        <v>0.0112037037037037</v>
      </c>
      <c r="H12" s="31" t="n">
        <f aca="false">G12*D12/C12</f>
        <v>0.00965836526181354</v>
      </c>
      <c r="I12" s="8" t="s">
        <v>123</v>
      </c>
      <c r="J12" s="31" t="n">
        <v>0.0112037037037037</v>
      </c>
      <c r="K12" s="14" t="n">
        <v>1</v>
      </c>
      <c r="L12" s="31" t="n">
        <f aca="false">J12*D12/C12</f>
        <v>0.00965836526181354</v>
      </c>
      <c r="M12" s="15" t="n">
        <f aca="false">ROUND((L12-H12)*86400,1)</f>
        <v>0</v>
      </c>
    </row>
    <row r="13" customFormat="false" ht="15" hidden="false" customHeight="false" outlineLevel="0" collapsed="false">
      <c r="A13" s="13" t="s">
        <v>74</v>
      </c>
      <c r="B13" s="8" t="n">
        <v>3</v>
      </c>
      <c r="C13" s="18" t="n">
        <v>8.5</v>
      </c>
      <c r="D13" s="14" t="n">
        <f aca="false">IF(B13=6,10,5)</f>
        <v>5</v>
      </c>
      <c r="E13" s="8" t="s">
        <v>124</v>
      </c>
      <c r="F13" s="8" t="s">
        <v>108</v>
      </c>
      <c r="G13" s="31" t="n">
        <v>0.0168981481481482</v>
      </c>
      <c r="H13" s="31" t="n">
        <f aca="false">G13*D13/C13</f>
        <v>0.0099400871459695</v>
      </c>
      <c r="I13" s="8" t="s">
        <v>125</v>
      </c>
      <c r="J13" s="31" t="n">
        <v>0.0172685185185185</v>
      </c>
      <c r="K13" s="14" t="n">
        <v>3</v>
      </c>
      <c r="L13" s="31" t="n">
        <f aca="false">J13*D13/C13</f>
        <v>0.0101579520697168</v>
      </c>
      <c r="M13" s="15" t="n">
        <f aca="false">ROUND((L13-H13)*86400,1)</f>
        <v>18.8</v>
      </c>
    </row>
    <row r="14" customFormat="false" ht="15" hidden="false" customHeight="false" outlineLevel="0" collapsed="false">
      <c r="A14" s="13" t="s">
        <v>74</v>
      </c>
      <c r="B14" s="8" t="n">
        <v>4</v>
      </c>
      <c r="C14" s="18" t="n">
        <v>6.2</v>
      </c>
      <c r="D14" s="14" t="n">
        <f aca="false">IF(B14=6,10,5)</f>
        <v>5</v>
      </c>
      <c r="E14" s="8" t="s">
        <v>126</v>
      </c>
      <c r="F14" s="8" t="s">
        <v>127</v>
      </c>
      <c r="G14" s="31" t="n">
        <v>0.0122106481481482</v>
      </c>
      <c r="H14" s="31" t="n">
        <f aca="false">G14*D14/C14</f>
        <v>0.00984729689366786</v>
      </c>
      <c r="I14" s="8" t="s">
        <v>126</v>
      </c>
      <c r="J14" s="31" t="n">
        <v>0.0122106481481482</v>
      </c>
      <c r="K14" s="14" t="n">
        <v>1</v>
      </c>
      <c r="L14" s="31" t="n">
        <f aca="false">J14*D14/C14</f>
        <v>0.00984729689366786</v>
      </c>
      <c r="M14" s="15" t="n">
        <f aca="false">ROUND((L14-H14)*86400,1)</f>
        <v>0</v>
      </c>
    </row>
    <row r="15" customFormat="false" ht="15" hidden="false" customHeight="false" outlineLevel="0" collapsed="false">
      <c r="A15" s="13" t="s">
        <v>74</v>
      </c>
      <c r="B15" s="8" t="n">
        <v>5</v>
      </c>
      <c r="C15" s="18" t="n">
        <v>6.4</v>
      </c>
      <c r="D15" s="14" t="n">
        <f aca="false">IF(B15=6,10,5)</f>
        <v>5</v>
      </c>
      <c r="E15" s="8" t="s">
        <v>115</v>
      </c>
      <c r="F15" s="8" t="s">
        <v>108</v>
      </c>
      <c r="G15" s="31" t="n">
        <v>0.0123958333333333</v>
      </c>
      <c r="H15" s="31" t="n">
        <f aca="false">G15*D15/C15</f>
        <v>0.00968424479166666</v>
      </c>
      <c r="I15" s="8" t="s">
        <v>128</v>
      </c>
      <c r="J15" s="31" t="n">
        <v>0.0132523148148148</v>
      </c>
      <c r="K15" s="14" t="n">
        <v>9</v>
      </c>
      <c r="L15" s="31" t="n">
        <f aca="false">J15*D15/C15</f>
        <v>0.0103533709490741</v>
      </c>
      <c r="M15" s="15" t="n">
        <f aca="false">ROUND((L15-H15)*86400,1)</f>
        <v>57.8</v>
      </c>
    </row>
    <row r="16" customFormat="false" ht="15" hidden="false" customHeight="false" outlineLevel="0" collapsed="false">
      <c r="A16" s="13" t="s">
        <v>74</v>
      </c>
      <c r="B16" s="8" t="n">
        <v>6</v>
      </c>
      <c r="C16" s="18" t="n">
        <v>10.2</v>
      </c>
      <c r="D16" s="14" t="n">
        <f aca="false">IF(B16=6,10,5)</f>
        <v>10</v>
      </c>
      <c r="E16" s="8" t="s">
        <v>117</v>
      </c>
      <c r="F16" s="8" t="s">
        <v>108</v>
      </c>
      <c r="G16" s="31" t="n">
        <v>0.0201388888888889</v>
      </c>
      <c r="H16" s="31" t="n">
        <f aca="false">G16*D16/C16</f>
        <v>0.019744008714597</v>
      </c>
      <c r="I16" s="8" t="s">
        <v>129</v>
      </c>
      <c r="J16" s="31" t="n">
        <v>0.0211111111111111</v>
      </c>
      <c r="K16" s="14" t="n">
        <v>7</v>
      </c>
      <c r="L16" s="31" t="n">
        <f aca="false">J16*D16/C16</f>
        <v>0.0206971677559913</v>
      </c>
      <c r="M16" s="15" t="n">
        <f aca="false">ROUND((L16-H16)*86400,1)</f>
        <v>82.4</v>
      </c>
    </row>
    <row r="17" customFormat="false" ht="15" hidden="false" customHeight="false" outlineLevel="0" collapsed="false">
      <c r="A17" s="25" t="s">
        <v>75</v>
      </c>
      <c r="B17" s="28" t="n">
        <v>1</v>
      </c>
      <c r="C17" s="26" t="n">
        <v>8</v>
      </c>
      <c r="D17" s="27" t="n">
        <f aca="false">IF(B17=6,10,5)</f>
        <v>5</v>
      </c>
      <c r="E17" s="28" t="s">
        <v>129</v>
      </c>
      <c r="F17" s="28" t="s">
        <v>127</v>
      </c>
      <c r="G17" s="29" t="n">
        <v>0.0164351851851852</v>
      </c>
      <c r="H17" s="29" t="n">
        <f aca="false">G17*D17/C17</f>
        <v>0.0102719907407407</v>
      </c>
      <c r="I17" s="28" t="s">
        <v>129</v>
      </c>
      <c r="J17" s="29" t="n">
        <v>0.0164351851851852</v>
      </c>
      <c r="K17" s="27" t="n">
        <v>1</v>
      </c>
      <c r="L17" s="29" t="n">
        <f aca="false">J17*D17/C17</f>
        <v>0.0102719907407407</v>
      </c>
      <c r="M17" s="30" t="n">
        <f aca="false">ROUND((L17-H17)*86400,1)</f>
        <v>0</v>
      </c>
    </row>
    <row r="18" customFormat="false" ht="15" hidden="false" customHeight="false" outlineLevel="0" collapsed="false">
      <c r="A18" s="25" t="s">
        <v>75</v>
      </c>
      <c r="B18" s="28" t="n">
        <v>2</v>
      </c>
      <c r="C18" s="26" t="n">
        <v>5.8</v>
      </c>
      <c r="D18" s="27" t="n">
        <f aca="false">IF(B18=6,10,5)</f>
        <v>5</v>
      </c>
      <c r="E18" s="28" t="s">
        <v>130</v>
      </c>
      <c r="F18" s="28" t="s">
        <v>131</v>
      </c>
      <c r="G18" s="29" t="n">
        <v>0.0109490740740741</v>
      </c>
      <c r="H18" s="29" t="n">
        <f aca="false">G18*D18/C18</f>
        <v>0.00943885696040868</v>
      </c>
      <c r="I18" s="28" t="s">
        <v>120</v>
      </c>
      <c r="J18" s="29" t="n">
        <v>0.0114814814814815</v>
      </c>
      <c r="K18" s="27" t="n">
        <v>6</v>
      </c>
      <c r="L18" s="29" t="n">
        <f aca="false">J18*D18/C18</f>
        <v>0.0098978288633461</v>
      </c>
      <c r="M18" s="30" t="n">
        <f aca="false">ROUND((L18-H18)*86400,1)</f>
        <v>39.7</v>
      </c>
    </row>
    <row r="19" customFormat="false" ht="15" hidden="false" customHeight="false" outlineLevel="0" collapsed="false">
      <c r="A19" s="25" t="s">
        <v>75</v>
      </c>
      <c r="B19" s="28" t="n">
        <v>3</v>
      </c>
      <c r="C19" s="26" t="n">
        <v>8.5</v>
      </c>
      <c r="D19" s="27" t="n">
        <f aca="false">IF(B19=6,10,5)</f>
        <v>5</v>
      </c>
      <c r="E19" s="28" t="s">
        <v>124</v>
      </c>
      <c r="F19" s="28" t="s">
        <v>108</v>
      </c>
      <c r="G19" s="29" t="n">
        <v>0.0165740740740741</v>
      </c>
      <c r="H19" s="29" t="n">
        <f aca="false">G19*D19/C19</f>
        <v>0.00974945533769063</v>
      </c>
      <c r="I19" s="28" t="s">
        <v>123</v>
      </c>
      <c r="J19" s="29" t="n">
        <v>0.0166087962962963</v>
      </c>
      <c r="K19" s="27" t="n">
        <v>3</v>
      </c>
      <c r="L19" s="29" t="n">
        <f aca="false">J19*D19/C19</f>
        <v>0.00976988017429194</v>
      </c>
      <c r="M19" s="30" t="n">
        <f aca="false">ROUND((L19-H19)*86400,1)</f>
        <v>1.8</v>
      </c>
    </row>
    <row r="20" customFormat="false" ht="15" hidden="false" customHeight="false" outlineLevel="0" collapsed="false">
      <c r="A20" s="25" t="s">
        <v>75</v>
      </c>
      <c r="B20" s="28" t="n">
        <v>4</v>
      </c>
      <c r="C20" s="26" t="n">
        <v>6.2</v>
      </c>
      <c r="D20" s="27" t="n">
        <f aca="false">IF(B20=6,10,5)</f>
        <v>5</v>
      </c>
      <c r="E20" s="28" t="s">
        <v>132</v>
      </c>
      <c r="F20" s="28" t="s">
        <v>113</v>
      </c>
      <c r="G20" s="29" t="n">
        <v>0.0122916666666667</v>
      </c>
      <c r="H20" s="29" t="n">
        <f aca="false">G20*D20/C20</f>
        <v>0.00991263440860215</v>
      </c>
      <c r="I20" s="28" t="s">
        <v>133</v>
      </c>
      <c r="J20" s="29" t="n">
        <v>0.0124768518518519</v>
      </c>
      <c r="K20" s="27" t="n">
        <v>5</v>
      </c>
      <c r="L20" s="29" t="n">
        <f aca="false">J20*D20/C20</f>
        <v>0.0100619772998805</v>
      </c>
      <c r="M20" s="30" t="n">
        <f aca="false">ROUND((L20-H20)*86400,1)</f>
        <v>12.9</v>
      </c>
    </row>
    <row r="21" customFormat="false" ht="15" hidden="false" customHeight="false" outlineLevel="0" collapsed="false">
      <c r="A21" s="25" t="s">
        <v>75</v>
      </c>
      <c r="B21" s="28" t="n">
        <v>5</v>
      </c>
      <c r="C21" s="26" t="n">
        <v>6.4</v>
      </c>
      <c r="D21" s="27" t="n">
        <f aca="false">IF(B21=6,10,5)</f>
        <v>5</v>
      </c>
      <c r="E21" s="28" t="s">
        <v>134</v>
      </c>
      <c r="F21" s="28" t="s">
        <v>113</v>
      </c>
      <c r="G21" s="29" t="n">
        <v>0.0126388888888889</v>
      </c>
      <c r="H21" s="29" t="n">
        <f aca="false">G21*D21/C21</f>
        <v>0.00987413194444445</v>
      </c>
      <c r="I21" s="28" t="s">
        <v>135</v>
      </c>
      <c r="J21" s="29" t="n">
        <v>0.012962962962963</v>
      </c>
      <c r="K21" s="27" t="n">
        <v>5</v>
      </c>
      <c r="L21" s="29" t="n">
        <f aca="false">J21*D21/C21</f>
        <v>0.0101273148148148</v>
      </c>
      <c r="M21" s="30" t="n">
        <f aca="false">ROUND((L21-H21)*86400,1)</f>
        <v>21.9</v>
      </c>
    </row>
    <row r="22" customFormat="false" ht="15" hidden="false" customHeight="false" outlineLevel="0" collapsed="false">
      <c r="A22" s="25" t="s">
        <v>75</v>
      </c>
      <c r="B22" s="28" t="n">
        <v>6</v>
      </c>
      <c r="C22" s="26" t="n">
        <v>10.2</v>
      </c>
      <c r="D22" s="27" t="n">
        <f aca="false">IF(B22=6,10,5)</f>
        <v>10</v>
      </c>
      <c r="E22" s="28" t="s">
        <v>136</v>
      </c>
      <c r="F22" s="28" t="s">
        <v>113</v>
      </c>
      <c r="G22" s="29" t="n">
        <v>0.0201736111111111</v>
      </c>
      <c r="H22" s="29" t="n">
        <f aca="false">G22*D22/C22</f>
        <v>0.0197780501089325</v>
      </c>
      <c r="I22" s="28" t="s">
        <v>137</v>
      </c>
      <c r="J22" s="29" t="n">
        <v>0.0205902777777778</v>
      </c>
      <c r="K22" s="27" t="n">
        <v>3</v>
      </c>
      <c r="L22" s="29" t="n">
        <f aca="false">J22*D22/C22</f>
        <v>0.0201865468409586</v>
      </c>
      <c r="M22" s="30" t="n">
        <f aca="false">ROUND((L22-H22)*86400,1)</f>
        <v>35.3</v>
      </c>
    </row>
    <row r="23" customFormat="false" ht="15" hidden="false" customHeight="false" outlineLevel="0" collapsed="false">
      <c r="A23" s="13" t="s">
        <v>76</v>
      </c>
      <c r="B23" s="8" t="n">
        <v>1</v>
      </c>
      <c r="C23" s="18" t="n">
        <v>8</v>
      </c>
      <c r="D23" s="14" t="n">
        <f aca="false">IF(B23=6,10,5)</f>
        <v>5</v>
      </c>
      <c r="E23" s="8" t="s">
        <v>138</v>
      </c>
      <c r="F23" s="8" t="s">
        <v>105</v>
      </c>
      <c r="G23" s="31" t="n">
        <v>0.0162962962962963</v>
      </c>
      <c r="H23" s="31" t="n">
        <f aca="false">G23*D23/C23</f>
        <v>0.0101851851851852</v>
      </c>
      <c r="I23" s="8" t="s">
        <v>139</v>
      </c>
      <c r="J23" s="31" t="n">
        <v>0.0165046296296296</v>
      </c>
      <c r="K23" s="14" t="n">
        <v>6</v>
      </c>
      <c r="L23" s="31" t="n">
        <f aca="false">J23*D23/C23</f>
        <v>0.0103153935185185</v>
      </c>
      <c r="M23" s="15" t="n">
        <f aca="false">ROUND((L23-H23)*86400,1)</f>
        <v>11.3</v>
      </c>
    </row>
    <row r="24" customFormat="false" ht="15" hidden="false" customHeight="false" outlineLevel="0" collapsed="false">
      <c r="A24" s="13" t="s">
        <v>76</v>
      </c>
      <c r="B24" s="8" t="n">
        <v>2</v>
      </c>
      <c r="C24" s="18" t="n">
        <v>5.8</v>
      </c>
      <c r="D24" s="14" t="n">
        <f aca="false">IF(B24=6,10,5)</f>
        <v>5</v>
      </c>
      <c r="E24" s="8" t="s">
        <v>140</v>
      </c>
      <c r="F24" s="8" t="s">
        <v>141</v>
      </c>
      <c r="G24" s="31" t="n">
        <v>0.0110763888888889</v>
      </c>
      <c r="H24" s="31" t="n">
        <f aca="false">G24*D24/C24</f>
        <v>0.00954861111111111</v>
      </c>
      <c r="I24" s="8" t="s">
        <v>142</v>
      </c>
      <c r="J24" s="31" t="n">
        <v>0.0117592592592593</v>
      </c>
      <c r="K24" s="14" t="n">
        <v>10</v>
      </c>
      <c r="L24" s="31" t="n">
        <f aca="false">J24*D24/C24</f>
        <v>0.0101372924648787</v>
      </c>
      <c r="M24" s="15" t="n">
        <f aca="false">ROUND((L24-H24)*86400,1)</f>
        <v>50.9</v>
      </c>
    </row>
    <row r="25" customFormat="false" ht="15" hidden="false" customHeight="false" outlineLevel="0" collapsed="false">
      <c r="A25" s="13" t="s">
        <v>76</v>
      </c>
      <c r="B25" s="8" t="n">
        <v>3</v>
      </c>
      <c r="C25" s="18" t="n">
        <v>8.5</v>
      </c>
      <c r="D25" s="14" t="n">
        <f aca="false">IF(B25=6,10,5)</f>
        <v>5</v>
      </c>
      <c r="E25" s="8" t="s">
        <v>132</v>
      </c>
      <c r="F25" s="8" t="s">
        <v>113</v>
      </c>
      <c r="G25" s="31" t="n">
        <v>0.0165393518518519</v>
      </c>
      <c r="H25" s="31" t="n">
        <f aca="false">G25*D25/C25</f>
        <v>0.00972903050108932</v>
      </c>
      <c r="I25" s="8" t="s">
        <v>143</v>
      </c>
      <c r="J25" s="31" t="n">
        <v>0.0175578703703704</v>
      </c>
      <c r="K25" s="14" t="n">
        <v>10</v>
      </c>
      <c r="L25" s="31" t="n">
        <f aca="false">J25*D25/C25</f>
        <v>0.0103281590413943</v>
      </c>
      <c r="M25" s="15" t="n">
        <f aca="false">ROUND((L25-H25)*86400,1)</f>
        <v>51.8</v>
      </c>
    </row>
    <row r="26" customFormat="false" ht="15" hidden="false" customHeight="false" outlineLevel="0" collapsed="false">
      <c r="A26" s="13" t="s">
        <v>76</v>
      </c>
      <c r="B26" s="8" t="n">
        <v>4</v>
      </c>
      <c r="C26" s="18" t="n">
        <v>6.2</v>
      </c>
      <c r="D26" s="14" t="n">
        <f aca="false">IF(B26=6,10,5)</f>
        <v>5</v>
      </c>
      <c r="E26" s="8" t="s">
        <v>144</v>
      </c>
      <c r="F26" s="8" t="s">
        <v>113</v>
      </c>
      <c r="G26" s="31" t="n">
        <v>0.012037037037037</v>
      </c>
      <c r="H26" s="31" t="n">
        <f aca="false">G26*D26/C26</f>
        <v>0.00970728793309439</v>
      </c>
      <c r="I26" s="8" t="s">
        <v>145</v>
      </c>
      <c r="J26" s="31" t="n">
        <v>0.0123148148148148</v>
      </c>
      <c r="K26" s="14" t="n">
        <v>8</v>
      </c>
      <c r="L26" s="31" t="n">
        <f aca="false">J26*D26/C26</f>
        <v>0.00993130227001194</v>
      </c>
      <c r="M26" s="15" t="n">
        <f aca="false">ROUND((L26-H26)*86400,1)</f>
        <v>19.4</v>
      </c>
    </row>
    <row r="27" customFormat="false" ht="15" hidden="false" customHeight="false" outlineLevel="0" collapsed="false">
      <c r="A27" s="13" t="s">
        <v>76</v>
      </c>
      <c r="B27" s="8" t="n">
        <v>5</v>
      </c>
      <c r="C27" s="18" t="n">
        <v>6.4</v>
      </c>
      <c r="D27" s="14" t="n">
        <f aca="false">IF(B27=6,10,5)</f>
        <v>5</v>
      </c>
      <c r="E27" s="8" t="s">
        <v>146</v>
      </c>
      <c r="F27" s="8" t="s">
        <v>127</v>
      </c>
      <c r="G27" s="31" t="n">
        <v>0.0124305555555556</v>
      </c>
      <c r="H27" s="31" t="n">
        <f aca="false">G27*D27/C27</f>
        <v>0.00971137152777778</v>
      </c>
      <c r="I27" s="8" t="s">
        <v>146</v>
      </c>
      <c r="J27" s="31" t="n">
        <v>0.0124305555555556</v>
      </c>
      <c r="K27" s="14" t="n">
        <v>1</v>
      </c>
      <c r="L27" s="31" t="n">
        <f aca="false">J27*D27/C27</f>
        <v>0.00971137152777778</v>
      </c>
      <c r="M27" s="15" t="n">
        <f aca="false">ROUND((L27-H27)*86400,1)</f>
        <v>0</v>
      </c>
    </row>
    <row r="28" customFormat="false" ht="15" hidden="false" customHeight="false" outlineLevel="0" collapsed="false">
      <c r="A28" s="13" t="s">
        <v>76</v>
      </c>
      <c r="B28" s="8" t="n">
        <v>6</v>
      </c>
      <c r="C28" s="18" t="n">
        <v>10.2</v>
      </c>
      <c r="D28" s="14" t="n">
        <f aca="false">IF(B28=6,10,5)</f>
        <v>10</v>
      </c>
      <c r="E28" s="8" t="s">
        <v>123</v>
      </c>
      <c r="F28" s="8" t="s">
        <v>127</v>
      </c>
      <c r="G28" s="31" t="n">
        <v>0.0203125</v>
      </c>
      <c r="H28" s="31" t="n">
        <f aca="false">G28*D28/C28</f>
        <v>0.0199142156862745</v>
      </c>
      <c r="I28" s="8" t="s">
        <v>123</v>
      </c>
      <c r="J28" s="31" t="n">
        <v>0.0203125</v>
      </c>
      <c r="K28" s="14" t="n">
        <v>1</v>
      </c>
      <c r="L28" s="31" t="n">
        <f aca="false">J28*D28/C28</f>
        <v>0.0199142156862745</v>
      </c>
      <c r="M28" s="15" t="n">
        <f aca="false">ROUND((L28-H28)*86400,1)</f>
        <v>0</v>
      </c>
    </row>
    <row r="29" customFormat="false" ht="15" hidden="false" customHeight="false" outlineLevel="0" collapsed="false">
      <c r="A29" s="25" t="s">
        <v>77</v>
      </c>
      <c r="B29" s="28" t="n">
        <v>1</v>
      </c>
      <c r="C29" s="26" t="n">
        <v>8</v>
      </c>
      <c r="D29" s="27" t="n">
        <f aca="false">IF(B29=6,10,5)</f>
        <v>5</v>
      </c>
      <c r="E29" s="28" t="s">
        <v>147</v>
      </c>
      <c r="F29" s="28" t="s">
        <v>108</v>
      </c>
      <c r="G29" s="29" t="n">
        <v>0.0157638888888889</v>
      </c>
      <c r="H29" s="29" t="n">
        <f aca="false">G29*D29/C29</f>
        <v>0.00985243055555556</v>
      </c>
      <c r="I29" s="28" t="s">
        <v>148</v>
      </c>
      <c r="J29" s="29" t="n">
        <v>0.0158333333333333</v>
      </c>
      <c r="K29" s="27" t="n">
        <v>2</v>
      </c>
      <c r="L29" s="29" t="n">
        <f aca="false">J29*D29/C29</f>
        <v>0.00989583333333333</v>
      </c>
      <c r="M29" s="30" t="n">
        <f aca="false">ROUND((L29-H29)*86400,1)</f>
        <v>3.7</v>
      </c>
    </row>
    <row r="30" customFormat="false" ht="15" hidden="false" customHeight="false" outlineLevel="0" collapsed="false">
      <c r="A30" s="25" t="s">
        <v>77</v>
      </c>
      <c r="B30" s="28" t="n">
        <v>2</v>
      </c>
      <c r="C30" s="26" t="n">
        <v>5.8</v>
      </c>
      <c r="D30" s="27" t="n">
        <f aca="false">IF(B30=6,10,5)</f>
        <v>5</v>
      </c>
      <c r="E30" s="28" t="s">
        <v>149</v>
      </c>
      <c r="F30" s="28" t="s">
        <v>141</v>
      </c>
      <c r="G30" s="29" t="n">
        <v>0.0109027777777778</v>
      </c>
      <c r="H30" s="29" t="n">
        <f aca="false">G30*D30/C30</f>
        <v>0.00939894636015326</v>
      </c>
      <c r="I30" s="28" t="s">
        <v>128</v>
      </c>
      <c r="J30" s="29" t="n">
        <v>0.0112268518518519</v>
      </c>
      <c r="K30" s="27" t="n">
        <v>9</v>
      </c>
      <c r="L30" s="29" t="n">
        <f aca="false">J30*D30/C30</f>
        <v>0.00967832056194125</v>
      </c>
      <c r="M30" s="30" t="n">
        <f aca="false">ROUND((L30-H30)*86400,1)</f>
        <v>24.1</v>
      </c>
    </row>
    <row r="31" customFormat="false" ht="15" hidden="false" customHeight="false" outlineLevel="0" collapsed="false">
      <c r="A31" s="25" t="s">
        <v>77</v>
      </c>
      <c r="B31" s="28" t="n">
        <v>3</v>
      </c>
      <c r="C31" s="26" t="n">
        <v>8.5</v>
      </c>
      <c r="D31" s="27" t="n">
        <f aca="false">IF(B31=6,10,5)</f>
        <v>5</v>
      </c>
      <c r="E31" s="28" t="s">
        <v>150</v>
      </c>
      <c r="F31" s="28" t="s">
        <v>151</v>
      </c>
      <c r="G31" s="29" t="n">
        <v>0.0163078703703704</v>
      </c>
      <c r="H31" s="29" t="n">
        <f aca="false">G31*D31/C31</f>
        <v>0.00959286492374728</v>
      </c>
      <c r="I31" s="28" t="s">
        <v>143</v>
      </c>
      <c r="J31" s="29" t="n">
        <v>0.0171180555555556</v>
      </c>
      <c r="K31" s="27" t="n">
        <v>11</v>
      </c>
      <c r="L31" s="29" t="n">
        <f aca="false">J31*D31/C31</f>
        <v>0.0100694444444444</v>
      </c>
      <c r="M31" s="30" t="n">
        <f aca="false">ROUND((L31-H31)*86400,1)</f>
        <v>41.2</v>
      </c>
    </row>
    <row r="32" customFormat="false" ht="15" hidden="false" customHeight="false" outlineLevel="0" collapsed="false">
      <c r="A32" s="25" t="s">
        <v>77</v>
      </c>
      <c r="B32" s="28" t="n">
        <v>4</v>
      </c>
      <c r="C32" s="26" t="n">
        <v>6.2</v>
      </c>
      <c r="D32" s="27" t="n">
        <f aca="false">IF(B32=6,10,5)</f>
        <v>5</v>
      </c>
      <c r="E32" s="28" t="s">
        <v>152</v>
      </c>
      <c r="F32" s="28" t="s">
        <v>141</v>
      </c>
      <c r="G32" s="29" t="n">
        <v>0.0119212962962963</v>
      </c>
      <c r="H32" s="29" t="n">
        <f aca="false">G32*D32/C32</f>
        <v>0.0096139486260454</v>
      </c>
      <c r="I32" s="28" t="s">
        <v>139</v>
      </c>
      <c r="J32" s="29" t="n">
        <v>0.0124884259259259</v>
      </c>
      <c r="K32" s="27" t="n">
        <v>11</v>
      </c>
      <c r="L32" s="29" t="n">
        <f aca="false">J32*D32/C32</f>
        <v>0.0100713112305854</v>
      </c>
      <c r="M32" s="30" t="n">
        <f aca="false">ROUND((L32-H32)*86400,1)</f>
        <v>39.5</v>
      </c>
    </row>
    <row r="33" customFormat="false" ht="15" hidden="false" customHeight="false" outlineLevel="0" collapsed="false">
      <c r="A33" s="25" t="s">
        <v>77</v>
      </c>
      <c r="B33" s="28" t="n">
        <v>5</v>
      </c>
      <c r="C33" s="26" t="n">
        <v>6.4</v>
      </c>
      <c r="D33" s="27" t="n">
        <f aca="false">IF(B33=6,10,5)</f>
        <v>5</v>
      </c>
      <c r="E33" s="28" t="s">
        <v>153</v>
      </c>
      <c r="F33" s="28" t="s">
        <v>141</v>
      </c>
      <c r="G33" s="29" t="n">
        <v>0.0122106481481482</v>
      </c>
      <c r="H33" s="29" t="n">
        <f aca="false">G33*D33/C33</f>
        <v>0.00953956886574074</v>
      </c>
      <c r="I33" s="28" t="s">
        <v>154</v>
      </c>
      <c r="J33" s="29" t="n">
        <v>0.0124074074074074</v>
      </c>
      <c r="K33" s="27" t="n">
        <v>7</v>
      </c>
      <c r="L33" s="29" t="n">
        <f aca="false">J33*D33/C33</f>
        <v>0.00969328703703704</v>
      </c>
      <c r="M33" s="30" t="n">
        <f aca="false">ROUND((L33-H33)*86400,1)</f>
        <v>13.3</v>
      </c>
    </row>
    <row r="34" customFormat="false" ht="15" hidden="false" customHeight="false" outlineLevel="0" collapsed="false">
      <c r="A34" s="25" t="s">
        <v>77</v>
      </c>
      <c r="B34" s="28" t="n">
        <v>6</v>
      </c>
      <c r="C34" s="26" t="n">
        <v>10.2</v>
      </c>
      <c r="D34" s="27" t="n">
        <f aca="false">IF(B34=6,10,5)</f>
        <v>10</v>
      </c>
      <c r="E34" s="28" t="s">
        <v>155</v>
      </c>
      <c r="F34" s="28" t="s">
        <v>141</v>
      </c>
      <c r="G34" s="29" t="n">
        <v>0.0201388888888889</v>
      </c>
      <c r="H34" s="29" t="n">
        <f aca="false">G34*D34/C34</f>
        <v>0.019744008714597</v>
      </c>
      <c r="I34" s="28" t="s">
        <v>156</v>
      </c>
      <c r="J34" s="29" t="n">
        <v>0.0211226851851852</v>
      </c>
      <c r="K34" s="27" t="n">
        <v>9</v>
      </c>
      <c r="L34" s="29" t="n">
        <f aca="false">J34*D34/C34</f>
        <v>0.0207085148874365</v>
      </c>
      <c r="M34" s="30" t="n">
        <f aca="false">ROUND((L34-H34)*86400,1)</f>
        <v>83.3</v>
      </c>
    </row>
  </sheetData>
  <autoFilter ref="A4:M34"/>
  <mergeCells count="1">
    <mergeCell ref="A2:M2"/>
  </mergeCells>
  <conditionalFormatting sqref="M5:M34">
    <cfRule type="colorScale" priority="2">
      <colorScale>
        <cfvo type="num" val="0"/>
        <cfvo type="num" val="80"/>
        <color rgb="FFFFFFFF"/>
        <color rgb="FFF8696B"/>
      </colorScale>
    </cfRule>
  </conditionalFormatting>
  <conditionalFormatting sqref="K5:K34">
    <cfRule type="expression" priority="3" aboveAverage="0" equalAverage="0" bottom="0" percent="0" rank="0" text="" dxfId="28">
      <formula>$K5=1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99B"/>
    <pageSetUpPr fitToPage="tru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13"/>
    <col collapsed="false" customWidth="true" hidden="false" outlineLevel="0" max="4" min="4" style="0" width="10"/>
    <col collapsed="false" customWidth="true" hidden="false" outlineLevel="0" max="5" min="5" style="0" width="26"/>
    <col collapsed="false" customWidth="true" hidden="false" outlineLevel="0" max="6" min="6" style="0" width="9"/>
    <col collapsed="false" customWidth="true" hidden="false" outlineLevel="0" max="7" min="7" style="0" width="7"/>
    <col collapsed="false" customWidth="true" hidden="false" outlineLevel="0" max="8" min="8" style="0" width="8"/>
    <col collapsed="false" customWidth="true" hidden="false" outlineLevel="0" max="9" min="9" style="0" width="10"/>
    <col collapsed="false" customWidth="true" hidden="false" outlineLevel="0" max="12" min="10" style="0" width="9"/>
  </cols>
  <sheetData>
    <row r="1" customFormat="false" ht="19.4" hidden="false" customHeight="false" outlineLevel="0" collapsed="false">
      <c r="A1" s="32" t="s">
        <v>157</v>
      </c>
    </row>
    <row r="2" customFormat="false" ht="30" hidden="false" customHeight="true" outlineLevel="0" collapsed="false">
      <c r="A2" s="10" t="s">
        <v>158</v>
      </c>
      <c r="B2" s="10"/>
      <c r="C2" s="10"/>
      <c r="D2" s="10"/>
      <c r="E2" s="10"/>
      <c r="F2" s="10"/>
      <c r="G2" s="10"/>
      <c r="H2" s="10"/>
      <c r="I2" s="10"/>
      <c r="J2" s="10"/>
      <c r="K2" s="10"/>
      <c r="L2" s="10"/>
    </row>
    <row r="4" customFormat="false" ht="33.75" hidden="false" customHeight="true" outlineLevel="0" collapsed="false">
      <c r="A4" s="11" t="s">
        <v>56</v>
      </c>
      <c r="B4" s="11" t="s">
        <v>90</v>
      </c>
      <c r="C4" s="11" t="s">
        <v>159</v>
      </c>
      <c r="D4" s="12" t="s">
        <v>160</v>
      </c>
      <c r="E4" s="11" t="s">
        <v>161</v>
      </c>
      <c r="F4" s="11" t="s">
        <v>162</v>
      </c>
      <c r="G4" s="11" t="s">
        <v>102</v>
      </c>
      <c r="H4" s="11" t="s">
        <v>163</v>
      </c>
      <c r="I4" s="11" t="s">
        <v>164</v>
      </c>
      <c r="J4" s="11" t="s">
        <v>103</v>
      </c>
      <c r="K4" s="11" t="s">
        <v>34</v>
      </c>
      <c r="L4" s="12" t="s">
        <v>165</v>
      </c>
    </row>
    <row r="5" customFormat="false" ht="15" hidden="false" customHeight="false" outlineLevel="0" collapsed="false">
      <c r="A5" s="25" t="s">
        <v>73</v>
      </c>
      <c r="B5" s="28" t="n">
        <v>1</v>
      </c>
      <c r="C5" s="28" t="s">
        <v>166</v>
      </c>
      <c r="D5" s="33" t="n">
        <v>0.00959375</v>
      </c>
      <c r="E5" s="28" t="s">
        <v>167</v>
      </c>
      <c r="F5" s="29" t="n">
        <v>0.0157986111111111</v>
      </c>
      <c r="G5" s="27" t="n">
        <v>3</v>
      </c>
      <c r="H5" s="26" t="n">
        <v>8</v>
      </c>
      <c r="I5" s="34" t="n">
        <f aca="false">F5*5/H5</f>
        <v>0.00987413194444444</v>
      </c>
      <c r="J5" s="30" t="n">
        <f aca="false">ROUND((I5-D5)*86400,1)</f>
        <v>24.2</v>
      </c>
      <c r="K5" s="35" t="n">
        <f aca="false">I5/D5-1</f>
        <v>0.0292254795512124</v>
      </c>
      <c r="L5" s="14" t="n">
        <v>8</v>
      </c>
    </row>
    <row r="6" customFormat="false" ht="15" hidden="false" customHeight="false" outlineLevel="0" collapsed="false">
      <c r="A6" s="25" t="s">
        <v>73</v>
      </c>
      <c r="B6" s="28" t="n">
        <v>2</v>
      </c>
      <c r="C6" s="28" t="s">
        <v>168</v>
      </c>
      <c r="D6" s="33" t="n">
        <v>0.00956956018518518</v>
      </c>
      <c r="E6" s="28" t="s">
        <v>167</v>
      </c>
      <c r="F6" s="29" t="n">
        <v>0.0109027777777778</v>
      </c>
      <c r="G6" s="27" t="n">
        <v>4</v>
      </c>
      <c r="H6" s="26" t="n">
        <v>5.8</v>
      </c>
      <c r="I6" s="34" t="n">
        <f aca="false">F6*5/H6</f>
        <v>0.00939894636015326</v>
      </c>
      <c r="J6" s="30" t="n">
        <f aca="false">ROUND((I6-D6)*86400,1)</f>
        <v>-14.7</v>
      </c>
      <c r="K6" s="35" t="n">
        <f aca="false">I6/D6-1</f>
        <v>-0.0178288052669395</v>
      </c>
      <c r="L6" s="14" t="n">
        <v>7</v>
      </c>
    </row>
    <row r="7" customFormat="false" ht="15" hidden="false" customHeight="false" outlineLevel="0" collapsed="false">
      <c r="A7" s="25" t="s">
        <v>73</v>
      </c>
      <c r="B7" s="28" t="n">
        <v>3</v>
      </c>
      <c r="C7" s="28" t="s">
        <v>169</v>
      </c>
      <c r="D7" s="33" t="n">
        <v>0.00952627314814815</v>
      </c>
      <c r="E7" s="28" t="s">
        <v>167</v>
      </c>
      <c r="F7" s="29" t="n">
        <v>0.0165625</v>
      </c>
      <c r="G7" s="27" t="n">
        <v>3</v>
      </c>
      <c r="H7" s="26" t="n">
        <v>8.5</v>
      </c>
      <c r="I7" s="34" t="n">
        <f aca="false">F7*5/H7</f>
        <v>0.00974264705882353</v>
      </c>
      <c r="J7" s="30" t="n">
        <f aca="false">ROUND((I7-D7)*86400,1)</f>
        <v>18.7</v>
      </c>
      <c r="K7" s="35" t="n">
        <f aca="false">I7/D7-1</f>
        <v>0.0227133851098364</v>
      </c>
      <c r="L7" s="14" t="n">
        <v>3</v>
      </c>
    </row>
    <row r="8" customFormat="false" ht="15" hidden="false" customHeight="false" outlineLevel="0" collapsed="false">
      <c r="A8" s="25" t="s">
        <v>73</v>
      </c>
      <c r="B8" s="28" t="n">
        <v>4</v>
      </c>
      <c r="C8" s="28" t="s">
        <v>170</v>
      </c>
      <c r="D8" s="33" t="n">
        <v>0.00991412037037037</v>
      </c>
      <c r="E8" s="28" t="s">
        <v>167</v>
      </c>
      <c r="F8" s="29" t="n">
        <v>0.0130208333333333</v>
      </c>
      <c r="G8" s="27" t="n">
        <v>6</v>
      </c>
      <c r="H8" s="26" t="n">
        <v>6.2</v>
      </c>
      <c r="I8" s="34" t="n">
        <f aca="false">F8*5/H8</f>
        <v>0.0105006720430108</v>
      </c>
      <c r="J8" s="30" t="n">
        <f aca="false">ROUND((I8-D8)*86400,1)</f>
        <v>50.7</v>
      </c>
      <c r="K8" s="35" t="n">
        <f aca="false">I8/D8-1</f>
        <v>0.0591632591423206</v>
      </c>
      <c r="L8" s="14" t="n">
        <v>18</v>
      </c>
    </row>
    <row r="9" customFormat="false" ht="15" hidden="false" customHeight="false" outlineLevel="0" collapsed="false">
      <c r="A9" s="25" t="s">
        <v>73</v>
      </c>
      <c r="B9" s="28" t="n">
        <v>5</v>
      </c>
      <c r="C9" s="28" t="s">
        <v>171</v>
      </c>
      <c r="D9" s="33" t="n">
        <v>0.00985868055555556</v>
      </c>
      <c r="E9" s="28" t="s">
        <v>167</v>
      </c>
      <c r="F9" s="29" t="n">
        <v>0.0135416666666667</v>
      </c>
      <c r="G9" s="27" t="n">
        <v>6</v>
      </c>
      <c r="H9" s="26" t="n">
        <v>6.4</v>
      </c>
      <c r="I9" s="34" t="n">
        <f aca="false">F9*5/H9</f>
        <v>0.0105794270833333</v>
      </c>
      <c r="J9" s="30" t="n">
        <f aca="false">ROUND((I9-D9)*86400,1)</f>
        <v>62.3</v>
      </c>
      <c r="K9" s="35" t="n">
        <f aca="false">I9/D9-1</f>
        <v>0.0731078082626002</v>
      </c>
      <c r="L9" s="14" t="n">
        <v>15</v>
      </c>
    </row>
    <row r="10" customFormat="false" ht="15" hidden="false" customHeight="false" outlineLevel="0" collapsed="false">
      <c r="A10" s="25" t="s">
        <v>73</v>
      </c>
      <c r="B10" s="28" t="n">
        <v>6</v>
      </c>
      <c r="C10" s="28" t="s">
        <v>172</v>
      </c>
      <c r="D10" s="33" t="n">
        <v>0.00955810185185185</v>
      </c>
      <c r="E10" s="28" t="s">
        <v>167</v>
      </c>
      <c r="F10" s="29" t="n">
        <v>0.0206597222222222</v>
      </c>
      <c r="G10" s="27" t="n">
        <v>3</v>
      </c>
      <c r="H10" s="26" t="n">
        <v>10.2</v>
      </c>
      <c r="I10" s="34" t="n">
        <f aca="false">F10*5/H10</f>
        <v>0.0101273148148148</v>
      </c>
      <c r="J10" s="30" t="n">
        <f aca="false">ROUND((I10-D10)*86400,1)</f>
        <v>49.2</v>
      </c>
      <c r="K10" s="35" t="n">
        <f aca="false">I10/D10-1</f>
        <v>0.0595529292097552</v>
      </c>
      <c r="L10" s="14" t="n">
        <v>6</v>
      </c>
    </row>
    <row r="11" customFormat="false" ht="15" hidden="false" customHeight="false" outlineLevel="0" collapsed="false">
      <c r="A11" s="13" t="s">
        <v>74</v>
      </c>
      <c r="B11" s="8" t="n">
        <v>1</v>
      </c>
      <c r="C11" s="8" t="s">
        <v>173</v>
      </c>
      <c r="D11" s="36" t="n">
        <v>0.00945520833333333</v>
      </c>
      <c r="E11" s="8" t="s">
        <v>174</v>
      </c>
      <c r="F11" s="31" t="n">
        <v>0.01625</v>
      </c>
      <c r="G11" s="14" t="n">
        <v>6</v>
      </c>
      <c r="H11" s="18" t="n">
        <v>8</v>
      </c>
      <c r="I11" s="16" t="n">
        <f aca="false">F11*5/H11</f>
        <v>0.01015625</v>
      </c>
      <c r="J11" s="15" t="n">
        <f aca="false">ROUND((I11-D11)*86400,1)</f>
        <v>60.6</v>
      </c>
      <c r="K11" s="37" t="n">
        <f aca="false">I11/D11-1</f>
        <v>0.0741434394623775</v>
      </c>
      <c r="L11" s="14" t="n">
        <v>7</v>
      </c>
    </row>
    <row r="12" customFormat="false" ht="15" hidden="false" customHeight="false" outlineLevel="0" collapsed="false">
      <c r="A12" s="13" t="s">
        <v>74</v>
      </c>
      <c r="B12" s="8" t="n">
        <v>2</v>
      </c>
      <c r="C12" s="8" t="s">
        <v>175</v>
      </c>
      <c r="D12" s="36" t="n">
        <v>0.00945081018518519</v>
      </c>
      <c r="E12" s="8" t="s">
        <v>174</v>
      </c>
      <c r="F12" s="31" t="n">
        <v>0.0112037037037037</v>
      </c>
      <c r="G12" s="14" t="n">
        <v>1</v>
      </c>
      <c r="H12" s="18" t="n">
        <v>5.8</v>
      </c>
      <c r="I12" s="16" t="n">
        <f aca="false">F12*5/H12</f>
        <v>0.00965836526181354</v>
      </c>
      <c r="J12" s="15" t="n">
        <f aca="false">ROUND((I12-D12)*86400,1)</f>
        <v>17.9</v>
      </c>
      <c r="K12" s="37" t="n">
        <f aca="false">I12/D12-1</f>
        <v>0.0219616173176038</v>
      </c>
      <c r="L12" s="14" t="n">
        <v>5</v>
      </c>
    </row>
    <row r="13" customFormat="false" ht="15" hidden="false" customHeight="false" outlineLevel="0" collapsed="false">
      <c r="A13" s="13" t="s">
        <v>74</v>
      </c>
      <c r="B13" s="8" t="n">
        <v>3</v>
      </c>
      <c r="C13" s="8" t="s">
        <v>176</v>
      </c>
      <c r="D13" s="36" t="n">
        <v>0.0094494212962963</v>
      </c>
      <c r="E13" s="8" t="s">
        <v>174</v>
      </c>
      <c r="F13" s="31" t="n">
        <v>0.0172685185185185</v>
      </c>
      <c r="G13" s="14" t="n">
        <v>3</v>
      </c>
      <c r="H13" s="18" t="n">
        <v>8.5</v>
      </c>
      <c r="I13" s="16" t="n">
        <f aca="false">F13*5/H13</f>
        <v>0.0101579520697168</v>
      </c>
      <c r="J13" s="15" t="n">
        <f aca="false">ROUND((I13-D13)*86400,1)</f>
        <v>61.2</v>
      </c>
      <c r="K13" s="37" t="n">
        <f aca="false">I13/D13-1</f>
        <v>0.0749813931672396</v>
      </c>
      <c r="L13" s="14" t="n">
        <v>4</v>
      </c>
    </row>
    <row r="14" customFormat="false" ht="15" hidden="false" customHeight="false" outlineLevel="0" collapsed="false">
      <c r="A14" s="13" t="s">
        <v>74</v>
      </c>
      <c r="B14" s="8" t="n">
        <v>4</v>
      </c>
      <c r="C14" s="8" t="s">
        <v>177</v>
      </c>
      <c r="D14" s="36" t="n">
        <v>0.00943333333333333</v>
      </c>
      <c r="E14" s="8" t="s">
        <v>174</v>
      </c>
      <c r="F14" s="31" t="n">
        <v>0.0122106481481482</v>
      </c>
      <c r="G14" s="14" t="n">
        <v>1</v>
      </c>
      <c r="H14" s="18" t="n">
        <v>6.2</v>
      </c>
      <c r="I14" s="16" t="n">
        <f aca="false">F14*5/H14</f>
        <v>0.00984729689366786</v>
      </c>
      <c r="J14" s="15" t="n">
        <f aca="false">ROUND((I14-D14)*86400,1)</f>
        <v>35.8</v>
      </c>
      <c r="K14" s="37" t="n">
        <f aca="false">I14/D14-1</f>
        <v>0.0438830629329889</v>
      </c>
      <c r="L14" s="14" t="n">
        <v>3</v>
      </c>
    </row>
    <row r="15" customFormat="false" ht="15" hidden="false" customHeight="false" outlineLevel="0" collapsed="false">
      <c r="A15" s="13" t="s">
        <v>74</v>
      </c>
      <c r="B15" s="8" t="n">
        <v>5</v>
      </c>
      <c r="C15" s="8" t="s">
        <v>178</v>
      </c>
      <c r="D15" s="36" t="n">
        <v>0.00945289351851852</v>
      </c>
      <c r="E15" s="8" t="s">
        <v>174</v>
      </c>
      <c r="F15" s="31" t="n">
        <v>0.0132523148148148</v>
      </c>
      <c r="G15" s="14" t="n">
        <v>9</v>
      </c>
      <c r="H15" s="18" t="n">
        <v>6.4</v>
      </c>
      <c r="I15" s="16" t="n">
        <f aca="false">F15*5/H15</f>
        <v>0.0103533709490741</v>
      </c>
      <c r="J15" s="15" t="n">
        <f aca="false">ROUND((I15-D15)*86400,1)</f>
        <v>77.8</v>
      </c>
      <c r="K15" s="37" t="n">
        <f aca="false">I15/D15-1</f>
        <v>0.0952594492671992</v>
      </c>
      <c r="L15" s="14" t="n">
        <v>6</v>
      </c>
    </row>
    <row r="16" customFormat="false" ht="15" hidden="false" customHeight="false" outlineLevel="0" collapsed="false">
      <c r="A16" s="13" t="s">
        <v>74</v>
      </c>
      <c r="B16" s="8" t="n">
        <v>6</v>
      </c>
      <c r="C16" s="8" t="s">
        <v>179</v>
      </c>
      <c r="D16" s="36" t="n">
        <v>0.00962106481481482</v>
      </c>
      <c r="E16" s="8" t="s">
        <v>174</v>
      </c>
      <c r="F16" s="31" t="n">
        <v>0.0211111111111111</v>
      </c>
      <c r="G16" s="14" t="n">
        <v>7</v>
      </c>
      <c r="H16" s="18" t="n">
        <v>10.2</v>
      </c>
      <c r="I16" s="16" t="n">
        <f aca="false">F16*5/H16</f>
        <v>0.0103485838779956</v>
      </c>
      <c r="J16" s="15" t="n">
        <f aca="false">ROUND((I16-D16)*86400,1)</f>
        <v>62.9</v>
      </c>
      <c r="K16" s="37" t="n">
        <f aca="false">I16/D16-1</f>
        <v>0.0756173123436992</v>
      </c>
      <c r="L16" s="14" t="n">
        <v>13</v>
      </c>
    </row>
    <row r="17" customFormat="false" ht="15" hidden="false" customHeight="false" outlineLevel="0" collapsed="false">
      <c r="A17" s="25" t="s">
        <v>75</v>
      </c>
      <c r="B17" s="28" t="n">
        <v>1</v>
      </c>
      <c r="C17" s="28" t="s">
        <v>179</v>
      </c>
      <c r="D17" s="33" t="n">
        <v>0.0096212962962963</v>
      </c>
      <c r="E17" s="28" t="s">
        <v>180</v>
      </c>
      <c r="F17" s="29" t="n">
        <v>0.0164351851851852</v>
      </c>
      <c r="G17" s="27" t="n">
        <v>1</v>
      </c>
      <c r="H17" s="26" t="n">
        <v>8</v>
      </c>
      <c r="I17" s="34" t="n">
        <f aca="false">F17*5/H17</f>
        <v>0.0102719907407407</v>
      </c>
      <c r="J17" s="30" t="n">
        <f aca="false">ROUND((I17-D17)*86400,1)</f>
        <v>56.2</v>
      </c>
      <c r="K17" s="35" t="n">
        <f aca="false">I17/D17-1</f>
        <v>0.0676306419016453</v>
      </c>
      <c r="L17" s="14" t="n">
        <v>1</v>
      </c>
    </row>
    <row r="18" customFormat="false" ht="15" hidden="false" customHeight="false" outlineLevel="0" collapsed="false">
      <c r="A18" s="25" t="s">
        <v>75</v>
      </c>
      <c r="B18" s="28" t="n">
        <v>2</v>
      </c>
      <c r="C18" s="28" t="s">
        <v>173</v>
      </c>
      <c r="D18" s="33" t="n">
        <v>0.0095974537037037</v>
      </c>
      <c r="E18" s="28" t="s">
        <v>181</v>
      </c>
      <c r="F18" s="29" t="n">
        <v>0.0114814814814815</v>
      </c>
      <c r="G18" s="27" t="n">
        <v>6</v>
      </c>
      <c r="H18" s="26" t="n">
        <v>5.8</v>
      </c>
      <c r="I18" s="34" t="n">
        <f aca="false">F18*5/H18</f>
        <v>0.0098978288633461</v>
      </c>
      <c r="J18" s="30" t="n">
        <f aca="false">ROUND((I18-D18)*86400,1)</f>
        <v>26</v>
      </c>
      <c r="K18" s="35" t="n">
        <f aca="false">I18/D18-1</f>
        <v>0.0312973804214844</v>
      </c>
      <c r="L18" s="14" t="n">
        <v>14</v>
      </c>
    </row>
    <row r="19" customFormat="false" ht="15" hidden="false" customHeight="false" outlineLevel="0" collapsed="false">
      <c r="A19" s="25" t="s">
        <v>75</v>
      </c>
      <c r="B19" s="28" t="n">
        <v>3</v>
      </c>
      <c r="C19" s="28" t="s">
        <v>175</v>
      </c>
      <c r="D19" s="33" t="n">
        <v>0.00949016203703704</v>
      </c>
      <c r="E19" s="28" t="s">
        <v>181</v>
      </c>
      <c r="F19" s="29" t="n">
        <v>0.0166087962962963</v>
      </c>
      <c r="G19" s="27" t="n">
        <v>3</v>
      </c>
      <c r="H19" s="26" t="n">
        <v>8.5</v>
      </c>
      <c r="I19" s="34" t="n">
        <f aca="false">F19*5/H19</f>
        <v>0.00976988017429194</v>
      </c>
      <c r="J19" s="30" t="n">
        <f aca="false">ROUND((I19-D19)*86400,1)</f>
        <v>24.2</v>
      </c>
      <c r="K19" s="35" t="n">
        <f aca="false">I19/D19-1</f>
        <v>0.0294745375435375</v>
      </c>
      <c r="L19" s="14" t="n">
        <v>6</v>
      </c>
    </row>
    <row r="20" customFormat="false" ht="15" hidden="false" customHeight="false" outlineLevel="0" collapsed="false">
      <c r="A20" s="25" t="s">
        <v>75</v>
      </c>
      <c r="B20" s="28" t="n">
        <v>4</v>
      </c>
      <c r="C20" s="28" t="s">
        <v>182</v>
      </c>
      <c r="D20" s="33" t="n">
        <v>0.00946493055555556</v>
      </c>
      <c r="E20" s="28" t="s">
        <v>181</v>
      </c>
      <c r="F20" s="29" t="n">
        <v>0.0124768518518519</v>
      </c>
      <c r="G20" s="27" t="n">
        <v>5</v>
      </c>
      <c r="H20" s="26" t="n">
        <v>6.2</v>
      </c>
      <c r="I20" s="34" t="n">
        <f aca="false">F20*5/H20</f>
        <v>0.0100619772998805</v>
      </c>
      <c r="J20" s="30" t="n">
        <f aca="false">ROUND((I20-D20)*86400,1)</f>
        <v>51.6</v>
      </c>
      <c r="K20" s="35" t="n">
        <f aca="false">I20/D20-1</f>
        <v>0.06307988641021</v>
      </c>
      <c r="L20" s="14" t="n">
        <v>3</v>
      </c>
    </row>
    <row r="21" customFormat="false" ht="15" hidden="false" customHeight="false" outlineLevel="0" collapsed="false">
      <c r="A21" s="25" t="s">
        <v>75</v>
      </c>
      <c r="B21" s="28" t="n">
        <v>5</v>
      </c>
      <c r="C21" s="28" t="s">
        <v>183</v>
      </c>
      <c r="D21" s="33" t="n">
        <v>0.0096494212962963</v>
      </c>
      <c r="E21" s="28" t="s">
        <v>181</v>
      </c>
      <c r="F21" s="29" t="n">
        <v>0.012962962962963</v>
      </c>
      <c r="G21" s="27" t="n">
        <v>5</v>
      </c>
      <c r="H21" s="26" t="n">
        <v>6.4</v>
      </c>
      <c r="I21" s="34" t="n">
        <f aca="false">F21*5/H21</f>
        <v>0.0101273148148148</v>
      </c>
      <c r="J21" s="30" t="n">
        <f aca="false">ROUND((I21-D21)*86400,1)</f>
        <v>41.3</v>
      </c>
      <c r="K21" s="35" t="n">
        <f aca="false">I21/D21-1</f>
        <v>0.0495256144222807</v>
      </c>
      <c r="L21" s="14" t="n">
        <v>17</v>
      </c>
    </row>
    <row r="22" customFormat="false" ht="15" hidden="false" customHeight="false" outlineLevel="0" collapsed="false">
      <c r="A22" s="25" t="s">
        <v>75</v>
      </c>
      <c r="B22" s="28" t="n">
        <v>6</v>
      </c>
      <c r="C22" s="28" t="s">
        <v>184</v>
      </c>
      <c r="D22" s="33" t="n">
        <v>0.00973819444444445</v>
      </c>
      <c r="E22" s="28" t="s">
        <v>181</v>
      </c>
      <c r="F22" s="29" t="n">
        <v>0.0205902777777778</v>
      </c>
      <c r="G22" s="27" t="n">
        <v>3</v>
      </c>
      <c r="H22" s="26" t="n">
        <v>10.2</v>
      </c>
      <c r="I22" s="34" t="n">
        <f aca="false">F22*5/H22</f>
        <v>0.0100932734204793</v>
      </c>
      <c r="J22" s="30" t="n">
        <f aca="false">ROUND((I22-D22)*86400,1)</f>
        <v>30.7</v>
      </c>
      <c r="K22" s="35" t="n">
        <f aca="false">I22/D22-1</f>
        <v>0.0364625062747057</v>
      </c>
      <c r="L22" s="14" t="n">
        <v>19</v>
      </c>
    </row>
    <row r="23" customFormat="false" ht="15" hidden="false" customHeight="false" outlineLevel="0" collapsed="false">
      <c r="A23" s="13" t="s">
        <v>76</v>
      </c>
      <c r="B23" s="8" t="n">
        <v>1</v>
      </c>
      <c r="C23" s="8" t="s">
        <v>185</v>
      </c>
      <c r="D23" s="36" t="n">
        <v>0.00951111111111111</v>
      </c>
      <c r="E23" s="8" t="s">
        <v>180</v>
      </c>
      <c r="F23" s="31" t="n">
        <v>0.0165046296296296</v>
      </c>
      <c r="G23" s="14" t="n">
        <v>6</v>
      </c>
      <c r="H23" s="18" t="n">
        <v>8</v>
      </c>
      <c r="I23" s="16" t="n">
        <f aca="false">F23*5/H23</f>
        <v>0.0103153935185185</v>
      </c>
      <c r="J23" s="15" t="n">
        <f aca="false">ROUND((I23-D23)*86400,1)</f>
        <v>69.5</v>
      </c>
      <c r="K23" s="37" t="n">
        <f aca="false">I23/D23-1</f>
        <v>0.0845624026479752</v>
      </c>
      <c r="L23" s="14" t="n">
        <v>3</v>
      </c>
    </row>
    <row r="24" customFormat="false" ht="15" hidden="false" customHeight="false" outlineLevel="0" collapsed="false">
      <c r="A24" s="13" t="s">
        <v>76</v>
      </c>
      <c r="B24" s="8" t="n">
        <v>2</v>
      </c>
      <c r="C24" s="8" t="s">
        <v>186</v>
      </c>
      <c r="D24" s="36" t="n">
        <v>0.00970798611111111</v>
      </c>
      <c r="E24" s="8" t="s">
        <v>180</v>
      </c>
      <c r="F24" s="31" t="n">
        <v>0.0117592592592593</v>
      </c>
      <c r="G24" s="14" t="n">
        <v>10</v>
      </c>
      <c r="H24" s="18" t="n">
        <v>5.8</v>
      </c>
      <c r="I24" s="16" t="n">
        <f aca="false">F24*5/H24</f>
        <v>0.0101372924648787</v>
      </c>
      <c r="J24" s="15" t="n">
        <f aca="false">ROUND((I24-D24)*86400,1)</f>
        <v>37.1</v>
      </c>
      <c r="K24" s="37" t="n">
        <f aca="false">I24/D24-1</f>
        <v>0.0442219785704272</v>
      </c>
      <c r="L24" s="14" t="n">
        <v>21</v>
      </c>
    </row>
    <row r="25" customFormat="false" ht="15" hidden="false" customHeight="false" outlineLevel="0" collapsed="false">
      <c r="A25" s="13" t="s">
        <v>76</v>
      </c>
      <c r="B25" s="8" t="n">
        <v>3</v>
      </c>
      <c r="C25" s="8" t="s">
        <v>187</v>
      </c>
      <c r="D25" s="36" t="n">
        <v>0.00958854166666667</v>
      </c>
      <c r="E25" s="8" t="s">
        <v>180</v>
      </c>
      <c r="F25" s="31" t="n">
        <v>0.0175578703703704</v>
      </c>
      <c r="G25" s="14" t="n">
        <v>10</v>
      </c>
      <c r="H25" s="18" t="n">
        <v>8.5</v>
      </c>
      <c r="I25" s="16" t="n">
        <f aca="false">F25*5/H25</f>
        <v>0.0103281590413943</v>
      </c>
      <c r="J25" s="15" t="n">
        <f aca="false">ROUND((I25-D25)*86400,1)</f>
        <v>63.9</v>
      </c>
      <c r="K25" s="37" t="n">
        <f aca="false">I25/D25-1</f>
        <v>0.077135543697834</v>
      </c>
      <c r="L25" s="14" t="n">
        <v>12</v>
      </c>
    </row>
    <row r="26" customFormat="false" ht="15" hidden="false" customHeight="false" outlineLevel="0" collapsed="false">
      <c r="A26" s="13" t="s">
        <v>76</v>
      </c>
      <c r="B26" s="8" t="n">
        <v>4</v>
      </c>
      <c r="C26" s="8" t="s">
        <v>188</v>
      </c>
      <c r="D26" s="36" t="n">
        <v>0.0095369212962963</v>
      </c>
      <c r="E26" s="8" t="s">
        <v>180</v>
      </c>
      <c r="F26" s="31" t="n">
        <v>0.0123148148148148</v>
      </c>
      <c r="G26" s="14" t="n">
        <v>8</v>
      </c>
      <c r="H26" s="18" t="n">
        <v>6.2</v>
      </c>
      <c r="I26" s="16" t="n">
        <f aca="false">F26*5/H26</f>
        <v>0.00993130227001194</v>
      </c>
      <c r="J26" s="15" t="n">
        <f aca="false">ROUND((I26-D26)*86400,1)</f>
        <v>34.1</v>
      </c>
      <c r="K26" s="37" t="n">
        <f aca="false">I26/D26-1</f>
        <v>0.0413530699754023</v>
      </c>
      <c r="L26" s="14" t="n">
        <v>5</v>
      </c>
    </row>
    <row r="27" customFormat="false" ht="15" hidden="false" customHeight="false" outlineLevel="0" collapsed="false">
      <c r="A27" s="13" t="s">
        <v>76</v>
      </c>
      <c r="B27" s="8" t="n">
        <v>5</v>
      </c>
      <c r="C27" s="8" t="s">
        <v>189</v>
      </c>
      <c r="D27" s="36" t="n">
        <v>0.00960138888888889</v>
      </c>
      <c r="E27" s="8" t="s">
        <v>180</v>
      </c>
      <c r="F27" s="31" t="n">
        <v>0.0124305555555556</v>
      </c>
      <c r="G27" s="14" t="n">
        <v>1</v>
      </c>
      <c r="H27" s="18" t="n">
        <v>6.4</v>
      </c>
      <c r="I27" s="16" t="n">
        <f aca="false">F27*5/H27</f>
        <v>0.00971137152777778</v>
      </c>
      <c r="J27" s="15" t="n">
        <f aca="false">ROUND((I27-D27)*86400,1)</f>
        <v>9.5</v>
      </c>
      <c r="K27" s="37" t="n">
        <f aca="false">I27/D27-1</f>
        <v>0.0114548676406772</v>
      </c>
      <c r="L27" s="14" t="n">
        <v>14</v>
      </c>
    </row>
    <row r="28" customFormat="false" ht="15" hidden="false" customHeight="false" outlineLevel="0" collapsed="false">
      <c r="A28" s="13" t="s">
        <v>76</v>
      </c>
      <c r="B28" s="8" t="n">
        <v>6</v>
      </c>
      <c r="C28" s="8" t="s">
        <v>175</v>
      </c>
      <c r="D28" s="36" t="n">
        <v>0.00942141203703704</v>
      </c>
      <c r="E28" s="8" t="s">
        <v>180</v>
      </c>
      <c r="F28" s="31" t="n">
        <v>0.0203125</v>
      </c>
      <c r="G28" s="14" t="n">
        <v>1</v>
      </c>
      <c r="H28" s="18" t="n">
        <v>10.2</v>
      </c>
      <c r="I28" s="16" t="n">
        <f aca="false">F28*5/H28</f>
        <v>0.00995710784313726</v>
      </c>
      <c r="J28" s="15" t="n">
        <f aca="false">ROUND((I28-D28)*86400,1)</f>
        <v>46.3</v>
      </c>
      <c r="K28" s="37" t="n">
        <f aca="false">I28/D28-1</f>
        <v>0.0568593968711182</v>
      </c>
      <c r="L28" s="14" t="n">
        <v>1</v>
      </c>
    </row>
    <row r="29" customFormat="false" ht="26.85" hidden="false" customHeight="false" outlineLevel="0" collapsed="false">
      <c r="A29" s="25" t="s">
        <v>77</v>
      </c>
      <c r="B29" s="28" t="n">
        <v>1</v>
      </c>
      <c r="C29" s="28" t="s">
        <v>190</v>
      </c>
      <c r="D29" s="29" t="n">
        <v>0.00945601851851852</v>
      </c>
      <c r="E29" s="28" t="s">
        <v>191</v>
      </c>
      <c r="F29" s="29" t="n">
        <v>0.0158333333333333</v>
      </c>
      <c r="G29" s="27" t="n">
        <v>2</v>
      </c>
      <c r="H29" s="26" t="n">
        <v>8</v>
      </c>
      <c r="I29" s="34" t="n">
        <f aca="false">F29*5/H29</f>
        <v>0.00989583333333333</v>
      </c>
      <c r="J29" s="30" t="n">
        <f aca="false">ROUND((I29-D29)*86400,1)</f>
        <v>38</v>
      </c>
      <c r="K29" s="35" t="n">
        <f aca="false">I29/D29-1</f>
        <v>0.0465116279069768</v>
      </c>
      <c r="L29" s="14" t="n">
        <v>12</v>
      </c>
    </row>
    <row r="30" customFormat="false" ht="26.85" hidden="false" customHeight="false" outlineLevel="0" collapsed="false">
      <c r="A30" s="25" t="s">
        <v>77</v>
      </c>
      <c r="B30" s="28" t="n">
        <v>2</v>
      </c>
      <c r="C30" s="28" t="s">
        <v>178</v>
      </c>
      <c r="D30" s="29" t="n">
        <v>0.00944444444444445</v>
      </c>
      <c r="E30" s="28" t="s">
        <v>191</v>
      </c>
      <c r="F30" s="29" t="n">
        <v>0.0112268518518519</v>
      </c>
      <c r="G30" s="27" t="n">
        <v>9</v>
      </c>
      <c r="H30" s="26" t="n">
        <v>5.8</v>
      </c>
      <c r="I30" s="34" t="n">
        <f aca="false">F30*5/H30</f>
        <v>0.00967832056194125</v>
      </c>
      <c r="J30" s="30" t="n">
        <f aca="false">ROUND((I30-D30)*86400,1)</f>
        <v>20.2</v>
      </c>
      <c r="K30" s="35" t="n">
        <f aca="false">I30/D30-1</f>
        <v>0.0247633536173089</v>
      </c>
      <c r="L30" s="14" t="n">
        <v>11</v>
      </c>
    </row>
    <row r="31" customFormat="false" ht="26.85" hidden="false" customHeight="false" outlineLevel="0" collapsed="false">
      <c r="A31" s="25" t="s">
        <v>77</v>
      </c>
      <c r="B31" s="28" t="n">
        <v>3</v>
      </c>
      <c r="C31" s="28" t="s">
        <v>187</v>
      </c>
      <c r="D31" s="29" t="n">
        <v>0.00943287037037037</v>
      </c>
      <c r="E31" s="28" t="s">
        <v>191</v>
      </c>
      <c r="F31" s="29" t="n">
        <v>0.0171180555555556</v>
      </c>
      <c r="G31" s="27" t="n">
        <v>11</v>
      </c>
      <c r="H31" s="26" t="n">
        <v>8.5</v>
      </c>
      <c r="I31" s="34" t="n">
        <f aca="false">F31*5/H31</f>
        <v>0.0100694444444444</v>
      </c>
      <c r="J31" s="30" t="n">
        <f aca="false">ROUND((I31-D31)*86400,1)</f>
        <v>55</v>
      </c>
      <c r="K31" s="35" t="n">
        <f aca="false">I31/D31-1</f>
        <v>0.0674846625766874</v>
      </c>
      <c r="L31" s="14" t="n">
        <v>8</v>
      </c>
    </row>
    <row r="32" customFormat="false" ht="26.85" hidden="false" customHeight="false" outlineLevel="0" collapsed="false">
      <c r="A32" s="25" t="s">
        <v>77</v>
      </c>
      <c r="B32" s="28" t="n">
        <v>4</v>
      </c>
      <c r="C32" s="28" t="s">
        <v>185</v>
      </c>
      <c r="D32" s="29" t="n">
        <v>0.00951388888888889</v>
      </c>
      <c r="E32" s="28" t="s">
        <v>191</v>
      </c>
      <c r="F32" s="29" t="n">
        <v>0.0124884259259259</v>
      </c>
      <c r="G32" s="27" t="n">
        <v>11</v>
      </c>
      <c r="H32" s="26" t="n">
        <v>6.2</v>
      </c>
      <c r="I32" s="34" t="n">
        <f aca="false">F32*5/H32</f>
        <v>0.0100713112305854</v>
      </c>
      <c r="J32" s="30" t="n">
        <f aca="false">ROUND((I32-D32)*86400,1)</f>
        <v>48.2</v>
      </c>
      <c r="K32" s="35" t="n">
        <f aca="false">I32/D32-1</f>
        <v>0.0585903775213879</v>
      </c>
      <c r="L32" s="14" t="n">
        <v>16</v>
      </c>
    </row>
    <row r="33" customFormat="false" ht="26.85" hidden="false" customHeight="false" outlineLevel="0" collapsed="false">
      <c r="A33" s="25" t="s">
        <v>77</v>
      </c>
      <c r="B33" s="28" t="n">
        <v>5</v>
      </c>
      <c r="C33" s="28" t="s">
        <v>192</v>
      </c>
      <c r="D33" s="29" t="n">
        <v>0.00949074074074074</v>
      </c>
      <c r="E33" s="28" t="s">
        <v>191</v>
      </c>
      <c r="F33" s="29" t="n">
        <v>0.0124074074074074</v>
      </c>
      <c r="G33" s="27" t="n">
        <v>7</v>
      </c>
      <c r="H33" s="26" t="n">
        <v>6.4</v>
      </c>
      <c r="I33" s="34" t="n">
        <f aca="false">F33*5/H33</f>
        <v>0.00969328703703704</v>
      </c>
      <c r="J33" s="30" t="n">
        <f aca="false">ROUND((I33-D33)*86400,1)</f>
        <v>17.5</v>
      </c>
      <c r="K33" s="35" t="n">
        <f aca="false">I33/D33-1</f>
        <v>0.0213414634146343</v>
      </c>
      <c r="L33" s="14" t="n">
        <v>15</v>
      </c>
    </row>
    <row r="34" customFormat="false" ht="26.85" hidden="false" customHeight="false" outlineLevel="0" collapsed="false">
      <c r="A34" s="25" t="s">
        <v>77</v>
      </c>
      <c r="B34" s="28" t="n">
        <v>6</v>
      </c>
      <c r="C34" s="28" t="s">
        <v>193</v>
      </c>
      <c r="D34" s="29" t="n">
        <v>0.00947916666666667</v>
      </c>
      <c r="E34" s="28" t="s">
        <v>191</v>
      </c>
      <c r="F34" s="29" t="n">
        <v>0.0211226851851852</v>
      </c>
      <c r="G34" s="27" t="n">
        <v>9</v>
      </c>
      <c r="H34" s="26" t="n">
        <v>10.2</v>
      </c>
      <c r="I34" s="34" t="n">
        <f aca="false">F34*5/H34</f>
        <v>0.0103542574437182</v>
      </c>
      <c r="J34" s="30" t="n">
        <f aca="false">ROUND((I34-D34)*86400,1)</f>
        <v>75.6</v>
      </c>
      <c r="K34" s="35" t="n">
        <f aca="false">I34/D34-1</f>
        <v>0.0923172687878573</v>
      </c>
      <c r="L34" s="14" t="n">
        <v>14</v>
      </c>
    </row>
  </sheetData>
  <autoFilter ref="A4:L34"/>
  <mergeCells count="1">
    <mergeCell ref="A2:L2"/>
  </mergeCells>
  <conditionalFormatting sqref="K5:K34">
    <cfRule type="colorScale" priority="2">
      <colorScale>
        <cfvo type="num" val="0"/>
        <cfvo type="num" val="0.05"/>
        <cfvo type="num" val="0.095"/>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99B"/>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4" min="3" style="0" width="10"/>
    <col collapsed="false" customWidth="true" hidden="false" outlineLevel="0" max="5" min="5" style="0" width="7"/>
    <col collapsed="false" customWidth="true" hidden="false" outlineLevel="0" max="6" min="6" style="0" width="9"/>
    <col collapsed="false" customWidth="true" hidden="false" outlineLevel="0" max="7" min="7" style="0" width="8"/>
  </cols>
  <sheetData>
    <row r="1" customFormat="false" ht="19.4" hidden="false" customHeight="false" outlineLevel="0" collapsed="false">
      <c r="A1" s="9" t="s">
        <v>194</v>
      </c>
    </row>
    <row r="2" customFormat="false" ht="30" hidden="false" customHeight="true" outlineLevel="0" collapsed="false">
      <c r="A2" s="10" t="s">
        <v>195</v>
      </c>
      <c r="B2" s="10"/>
      <c r="C2" s="10"/>
      <c r="D2" s="10"/>
      <c r="E2" s="10"/>
      <c r="F2" s="10"/>
      <c r="G2" s="10"/>
    </row>
    <row r="4" customFormat="false" ht="33.75" hidden="false" customHeight="true" outlineLevel="0" collapsed="false">
      <c r="A4" s="11" t="s">
        <v>56</v>
      </c>
      <c r="B4" s="11" t="s">
        <v>159</v>
      </c>
      <c r="C4" s="12" t="s">
        <v>196</v>
      </c>
      <c r="D4" s="12" t="s">
        <v>197</v>
      </c>
      <c r="E4" s="12" t="s">
        <v>198</v>
      </c>
      <c r="F4" s="12" t="s">
        <v>199</v>
      </c>
      <c r="G4" s="11" t="s">
        <v>200</v>
      </c>
    </row>
    <row r="5" customFormat="false" ht="15" hidden="false" customHeight="false" outlineLevel="0" collapsed="false">
      <c r="A5" s="25" t="s">
        <v>74</v>
      </c>
      <c r="B5" s="28" t="s">
        <v>173</v>
      </c>
      <c r="C5" s="26" t="n">
        <v>559</v>
      </c>
      <c r="D5" s="26" t="n">
        <v>272</v>
      </c>
      <c r="E5" s="27" t="n">
        <v>22</v>
      </c>
      <c r="F5" s="26" t="n">
        <f aca="false">IF(C5="","",C5/E5)</f>
        <v>25.4090909090909</v>
      </c>
      <c r="G5" s="28" t="n">
        <f aca="false">SUMIFS(5000m比較!$B$5:$B$34,5000m比較!$A$5:$A$34,A5,5000m比較!$C$5:$C$34,B5)</f>
        <v>1</v>
      </c>
    </row>
    <row r="6" customFormat="false" ht="15" hidden="false" customHeight="false" outlineLevel="0" collapsed="false">
      <c r="A6" s="25" t="s">
        <v>74</v>
      </c>
      <c r="B6" s="28" t="s">
        <v>175</v>
      </c>
      <c r="C6" s="26" t="n">
        <v>509.5</v>
      </c>
      <c r="D6" s="26" t="n">
        <v>234</v>
      </c>
      <c r="E6" s="27" t="n">
        <v>22</v>
      </c>
      <c r="F6" s="26" t="n">
        <f aca="false">IF(C6="","",C6/E6)</f>
        <v>23.1590909090909</v>
      </c>
      <c r="G6" s="28" t="n">
        <f aca="false">SUMIFS(5000m比較!$B$5:$B$34,5000m比較!$A$5:$A$34,A6,5000m比較!$C$5:$C$34,B6)</f>
        <v>2</v>
      </c>
    </row>
    <row r="7" customFormat="false" ht="15" hidden="false" customHeight="false" outlineLevel="0" collapsed="false">
      <c r="A7" s="25" t="s">
        <v>74</v>
      </c>
      <c r="B7" s="28" t="s">
        <v>176</v>
      </c>
      <c r="C7" s="26" t="n">
        <v>647</v>
      </c>
      <c r="D7" s="26" t="n">
        <v>160</v>
      </c>
      <c r="E7" s="27" t="n">
        <v>22</v>
      </c>
      <c r="F7" s="26" t="n">
        <f aca="false">IF(C7="","",C7/E7)</f>
        <v>29.4090909090909</v>
      </c>
      <c r="G7" s="28" t="n">
        <f aca="false">SUMIFS(5000m比較!$B$5:$B$34,5000m比較!$A$5:$A$34,A7,5000m比較!$C$5:$C$34,B7)</f>
        <v>3</v>
      </c>
    </row>
    <row r="8" customFormat="false" ht="15" hidden="false" customHeight="false" outlineLevel="0" collapsed="false">
      <c r="A8" s="25" t="s">
        <v>74</v>
      </c>
      <c r="B8" s="28" t="s">
        <v>177</v>
      </c>
      <c r="C8" s="26" t="n">
        <v>569</v>
      </c>
      <c r="D8" s="26" t="n">
        <v>237</v>
      </c>
      <c r="E8" s="27" t="n">
        <v>22</v>
      </c>
      <c r="F8" s="26" t="n">
        <f aca="false">IF(C8="","",C8/E8)</f>
        <v>25.8636363636364</v>
      </c>
      <c r="G8" s="28" t="n">
        <f aca="false">SUMIFS(5000m比較!$B$5:$B$34,5000m比較!$A$5:$A$34,A8,5000m比較!$C$5:$C$34,B8)</f>
        <v>4</v>
      </c>
    </row>
    <row r="9" customFormat="false" ht="15" hidden="false" customHeight="false" outlineLevel="0" collapsed="false">
      <c r="A9" s="25" t="s">
        <v>74</v>
      </c>
      <c r="B9" s="28" t="s">
        <v>178</v>
      </c>
      <c r="C9" s="26" t="n">
        <v>708</v>
      </c>
      <c r="D9" s="26" t="n">
        <v>271</v>
      </c>
      <c r="E9" s="27" t="n">
        <v>22</v>
      </c>
      <c r="F9" s="26" t="n">
        <f aca="false">IF(C9="","",C9/E9)</f>
        <v>32.1818181818182</v>
      </c>
      <c r="G9" s="28" t="n">
        <f aca="false">SUMIFS(5000m比較!$B$5:$B$34,5000m比較!$A$5:$A$34,A9,5000m比較!$C$5:$C$34,B9)</f>
        <v>5</v>
      </c>
    </row>
    <row r="10" customFormat="false" ht="15" hidden="false" customHeight="false" outlineLevel="0" collapsed="false">
      <c r="A10" s="25" t="s">
        <v>74</v>
      </c>
      <c r="B10" s="28" t="s">
        <v>179</v>
      </c>
      <c r="C10" s="26" t="n">
        <v>459</v>
      </c>
      <c r="D10" s="26" t="n">
        <v>220</v>
      </c>
      <c r="E10" s="27" t="n">
        <v>22</v>
      </c>
      <c r="F10" s="26" t="n">
        <f aca="false">IF(C10="","",C10/E10)</f>
        <v>20.8636363636364</v>
      </c>
      <c r="G10" s="28" t="n">
        <f aca="false">SUMIFS(5000m比較!$B$5:$B$34,5000m比較!$A$5:$A$34,A10,5000m比較!$C$5:$C$34,B10)</f>
        <v>6</v>
      </c>
    </row>
    <row r="11" customFormat="false" ht="15" hidden="false" customHeight="false" outlineLevel="0" collapsed="false">
      <c r="A11" s="13" t="s">
        <v>75</v>
      </c>
      <c r="B11" s="8" t="s">
        <v>179</v>
      </c>
      <c r="C11" s="18" t="n">
        <v>409</v>
      </c>
      <c r="D11" s="18" t="n">
        <v>202</v>
      </c>
      <c r="E11" s="14" t="n">
        <v>19</v>
      </c>
      <c r="F11" s="18" t="n">
        <f aca="false">IF(C11="","",C11/E11)</f>
        <v>21.5263157894737</v>
      </c>
      <c r="G11" s="8" t="n">
        <f aca="false">SUMIFS(5000m比較!$B$5:$B$34,5000m比較!$A$5:$A$34,A11,5000m比較!$C$5:$C$34,B11)</f>
        <v>1</v>
      </c>
    </row>
    <row r="12" customFormat="false" ht="15" hidden="false" customHeight="false" outlineLevel="0" collapsed="false">
      <c r="A12" s="13" t="s">
        <v>75</v>
      </c>
      <c r="B12" s="8" t="s">
        <v>173</v>
      </c>
      <c r="C12" s="18" t="n">
        <v>485</v>
      </c>
      <c r="D12" s="18" t="n">
        <v>202</v>
      </c>
      <c r="E12" s="14" t="n">
        <v>19</v>
      </c>
      <c r="F12" s="18" t="n">
        <f aca="false">IF(C12="","",C12/E12)</f>
        <v>25.5263157894737</v>
      </c>
      <c r="G12" s="8" t="n">
        <f aca="false">SUMIFS(5000m比較!$B$5:$B$34,5000m比較!$A$5:$A$34,A12,5000m比較!$C$5:$C$34,B12)</f>
        <v>2</v>
      </c>
    </row>
    <row r="13" customFormat="false" ht="15" hidden="false" customHeight="false" outlineLevel="0" collapsed="false">
      <c r="A13" s="13" t="s">
        <v>75</v>
      </c>
      <c r="B13" s="8" t="s">
        <v>175</v>
      </c>
      <c r="C13" s="18" t="n">
        <v>453</v>
      </c>
      <c r="D13" s="18" t="n">
        <v>206</v>
      </c>
      <c r="E13" s="14" t="n">
        <v>19</v>
      </c>
      <c r="F13" s="18" t="n">
        <f aca="false">IF(C13="","",C13/E13)</f>
        <v>23.8421052631579</v>
      </c>
      <c r="G13" s="8" t="n">
        <f aca="false">SUMIFS(5000m比較!$B$5:$B$34,5000m比較!$A$5:$A$34,A13,5000m比較!$C$5:$C$34,B13)</f>
        <v>3</v>
      </c>
    </row>
    <row r="14" customFormat="false" ht="15" hidden="false" customHeight="false" outlineLevel="0" collapsed="false">
      <c r="A14" s="13" t="s">
        <v>75</v>
      </c>
      <c r="B14" s="8" t="s">
        <v>182</v>
      </c>
      <c r="C14" s="18" t="n">
        <v>500</v>
      </c>
      <c r="D14" s="18" t="n">
        <v>199</v>
      </c>
      <c r="E14" s="14" t="n">
        <v>19</v>
      </c>
      <c r="F14" s="18" t="n">
        <f aca="false">IF(C14="","",C14/E14)</f>
        <v>26.3157894736842</v>
      </c>
      <c r="G14" s="8" t="n">
        <f aca="false">SUMIFS(5000m比較!$B$5:$B$34,5000m比較!$A$5:$A$34,A14,5000m比較!$C$5:$C$34,B14)</f>
        <v>4</v>
      </c>
    </row>
    <row r="15" customFormat="false" ht="15" hidden="false" customHeight="false" outlineLevel="0" collapsed="false">
      <c r="A15" s="13" t="s">
        <v>75</v>
      </c>
      <c r="B15" s="8" t="s">
        <v>183</v>
      </c>
      <c r="C15" s="18" t="n">
        <v>536</v>
      </c>
      <c r="D15" s="18" t="n">
        <v>252</v>
      </c>
      <c r="E15" s="14" t="n">
        <v>19</v>
      </c>
      <c r="F15" s="18" t="n">
        <f aca="false">IF(C15="","",C15/E15)</f>
        <v>28.2105263157895</v>
      </c>
      <c r="G15" s="8" t="n">
        <f aca="false">SUMIFS(5000m比較!$B$5:$B$34,5000m比較!$A$5:$A$34,A15,5000m比較!$C$5:$C$34,B15)</f>
        <v>5</v>
      </c>
    </row>
    <row r="16" customFormat="false" ht="15" hidden="false" customHeight="false" outlineLevel="0" collapsed="false">
      <c r="A16" s="13" t="s">
        <v>75</v>
      </c>
      <c r="B16" s="8" t="s">
        <v>184</v>
      </c>
      <c r="C16" s="18" t="n">
        <v>463</v>
      </c>
      <c r="D16" s="18" t="n">
        <v>201</v>
      </c>
      <c r="E16" s="14" t="n">
        <v>19</v>
      </c>
      <c r="F16" s="18" t="n">
        <f aca="false">IF(C16="","",C16/E16)</f>
        <v>24.3684210526316</v>
      </c>
      <c r="G16" s="8" t="n">
        <f aca="false">SUMIFS(5000m比較!$B$5:$B$34,5000m比較!$A$5:$A$34,A16,5000m比較!$C$5:$C$34,B16)</f>
        <v>6</v>
      </c>
    </row>
    <row r="17" customFormat="false" ht="15" hidden="false" customHeight="false" outlineLevel="0" collapsed="false">
      <c r="A17" s="25" t="s">
        <v>76</v>
      </c>
      <c r="B17" s="28" t="s">
        <v>185</v>
      </c>
      <c r="C17" s="26" t="n">
        <v>612</v>
      </c>
      <c r="D17" s="26" t="n">
        <v>212</v>
      </c>
      <c r="E17" s="27" t="n">
        <v>19</v>
      </c>
      <c r="F17" s="26" t="n">
        <f aca="false">IF(C17="","",C17/E17)</f>
        <v>32.2105263157895</v>
      </c>
      <c r="G17" s="28" t="n">
        <f aca="false">SUMIFS(5000m比較!$B$5:$B$34,5000m比較!$A$5:$A$34,A17,5000m比較!$C$5:$C$34,B17)</f>
        <v>1</v>
      </c>
    </row>
    <row r="18" customFormat="false" ht="15" hidden="false" customHeight="false" outlineLevel="0" collapsed="false">
      <c r="A18" s="25" t="s">
        <v>76</v>
      </c>
      <c r="B18" s="28" t="s">
        <v>186</v>
      </c>
      <c r="C18" s="26" t="n">
        <v>556</v>
      </c>
      <c r="D18" s="26" t="n">
        <v>219</v>
      </c>
      <c r="E18" s="27" t="n">
        <v>19</v>
      </c>
      <c r="F18" s="26" t="n">
        <f aca="false">IF(C18="","",C18/E18)</f>
        <v>29.2631578947368</v>
      </c>
      <c r="G18" s="28" t="n">
        <f aca="false">SUMIFS(5000m比較!$B$5:$B$34,5000m比較!$A$5:$A$34,A18,5000m比較!$C$5:$C$34,B18)</f>
        <v>2</v>
      </c>
    </row>
    <row r="19" customFormat="false" ht="15" hidden="false" customHeight="false" outlineLevel="0" collapsed="false">
      <c r="A19" s="25" t="s">
        <v>76</v>
      </c>
      <c r="B19" s="28" t="s">
        <v>187</v>
      </c>
      <c r="C19" s="26" t="n">
        <v>496</v>
      </c>
      <c r="D19" s="26" t="n">
        <v>222</v>
      </c>
      <c r="E19" s="27" t="n">
        <v>19</v>
      </c>
      <c r="F19" s="26" t="n">
        <f aca="false">IF(C19="","",C19/E19)</f>
        <v>26.1052631578947</v>
      </c>
      <c r="G19" s="28" t="n">
        <f aca="false">SUMIFS(5000m比較!$B$5:$B$34,5000m比較!$A$5:$A$34,A19,5000m比較!$C$5:$C$34,B19)</f>
        <v>3</v>
      </c>
    </row>
    <row r="20" customFormat="false" ht="15" hidden="false" customHeight="false" outlineLevel="0" collapsed="false">
      <c r="A20" s="25" t="s">
        <v>76</v>
      </c>
      <c r="B20" s="28" t="s">
        <v>188</v>
      </c>
      <c r="C20" s="26" t="n">
        <v>591</v>
      </c>
      <c r="D20" s="26" t="n">
        <v>240</v>
      </c>
      <c r="E20" s="27" t="n">
        <v>19</v>
      </c>
      <c r="F20" s="26" t="n">
        <f aca="false">IF(C20="","",C20/E20)</f>
        <v>31.1052631578947</v>
      </c>
      <c r="G20" s="28" t="n">
        <f aca="false">SUMIFS(5000m比較!$B$5:$B$34,5000m比較!$A$5:$A$34,A20,5000m比較!$C$5:$C$34,B20)</f>
        <v>4</v>
      </c>
    </row>
    <row r="21" customFormat="false" ht="15" hidden="false" customHeight="false" outlineLevel="0" collapsed="false">
      <c r="A21" s="25" t="s">
        <v>76</v>
      </c>
      <c r="B21" s="28" t="s">
        <v>189</v>
      </c>
      <c r="C21" s="26" t="n">
        <v>721</v>
      </c>
      <c r="D21" s="26" t="n">
        <v>266</v>
      </c>
      <c r="E21" s="27" t="n">
        <v>19</v>
      </c>
      <c r="F21" s="26" t="n">
        <f aca="false">IF(C21="","",C21/E21)</f>
        <v>37.9473684210526</v>
      </c>
      <c r="G21" s="28" t="n">
        <f aca="false">SUMIFS(5000m比較!$B$5:$B$34,5000m比較!$A$5:$A$34,A21,5000m比較!$C$5:$C$34,B21)</f>
        <v>5</v>
      </c>
    </row>
    <row r="22" customFormat="false" ht="15" hidden="false" customHeight="false" outlineLevel="0" collapsed="false">
      <c r="A22" s="25" t="s">
        <v>76</v>
      </c>
      <c r="B22" s="28" t="s">
        <v>175</v>
      </c>
      <c r="C22" s="26" t="n">
        <v>496</v>
      </c>
      <c r="D22" s="26" t="n">
        <v>224</v>
      </c>
      <c r="E22" s="27" t="n">
        <v>19</v>
      </c>
      <c r="F22" s="26" t="n">
        <f aca="false">IF(C22="","",C22/E22)</f>
        <v>26.1052631578947</v>
      </c>
      <c r="G22" s="28" t="n">
        <f aca="false">SUMIFS(5000m比較!$B$5:$B$34,5000m比較!$A$5:$A$34,A22,5000m比較!$C$5:$C$34,B22)</f>
        <v>6</v>
      </c>
    </row>
    <row r="23" customFormat="false" ht="15" hidden="false" customHeight="false" outlineLevel="0" collapsed="false">
      <c r="A23" s="13" t="s">
        <v>77</v>
      </c>
      <c r="B23" s="8" t="s">
        <v>190</v>
      </c>
      <c r="C23" s="18" t="n">
        <v>502</v>
      </c>
      <c r="D23" s="18" t="n">
        <v>221</v>
      </c>
      <c r="E23" s="14" t="n">
        <v>18</v>
      </c>
      <c r="F23" s="18" t="n">
        <f aca="false">IF(C23="","",C23/E23)</f>
        <v>27.8888888888889</v>
      </c>
      <c r="G23" s="8" t="n">
        <f aca="false">SUMIFS(5000m比較!$B$5:$B$34,5000m比較!$A$5:$A$34,A23,5000m比較!$C$5:$C$34,B23)</f>
        <v>1</v>
      </c>
    </row>
    <row r="24" customFormat="false" ht="15" hidden="false" customHeight="false" outlineLevel="0" collapsed="false">
      <c r="A24" s="13" t="s">
        <v>77</v>
      </c>
      <c r="B24" s="8" t="s">
        <v>178</v>
      </c>
      <c r="C24" s="18" t="n">
        <v>595</v>
      </c>
      <c r="D24" s="18" t="n">
        <v>233</v>
      </c>
      <c r="E24" s="14" t="n">
        <v>18</v>
      </c>
      <c r="F24" s="18" t="n">
        <f aca="false">IF(C24="","",C24/E24)</f>
        <v>33.0555555555556</v>
      </c>
      <c r="G24" s="8" t="n">
        <f aca="false">SUMIFS(5000m比較!$B$5:$B$34,5000m比較!$A$5:$A$34,A24,5000m比較!$C$5:$C$34,B24)</f>
        <v>2</v>
      </c>
    </row>
    <row r="25" customFormat="false" ht="15" hidden="false" customHeight="false" outlineLevel="0" collapsed="false">
      <c r="A25" s="13" t="s">
        <v>77</v>
      </c>
      <c r="B25" s="8" t="s">
        <v>187</v>
      </c>
      <c r="C25" s="18" t="n">
        <v>500</v>
      </c>
      <c r="D25" s="18" t="n">
        <v>212</v>
      </c>
      <c r="E25" s="14" t="n">
        <v>18</v>
      </c>
      <c r="F25" s="18" t="n">
        <f aca="false">IF(C25="","",C25/E25)</f>
        <v>27.7777777777778</v>
      </c>
      <c r="G25" s="8" t="n">
        <f aca="false">SUMIFS(5000m比較!$B$5:$B$34,5000m比較!$A$5:$A$34,A25,5000m比較!$C$5:$C$34,B25)</f>
        <v>3</v>
      </c>
    </row>
    <row r="26" customFormat="false" ht="15" hidden="false" customHeight="false" outlineLevel="0" collapsed="false">
      <c r="A26" s="13" t="s">
        <v>77</v>
      </c>
      <c r="B26" s="8" t="s">
        <v>185</v>
      </c>
      <c r="C26" s="18" t="n">
        <v>616</v>
      </c>
      <c r="D26" s="18" t="n">
        <v>230</v>
      </c>
      <c r="E26" s="14" t="n">
        <v>18</v>
      </c>
      <c r="F26" s="18" t="n">
        <f aca="false">IF(C26="","",C26/E26)</f>
        <v>34.2222222222222</v>
      </c>
      <c r="G26" s="8" t="n">
        <f aca="false">SUMIFS(5000m比較!$B$5:$B$34,5000m比較!$A$5:$A$34,A26,5000m比較!$C$5:$C$34,B26)</f>
        <v>4</v>
      </c>
    </row>
    <row r="27" customFormat="false" ht="15" hidden="false" customHeight="false" outlineLevel="0" collapsed="false">
      <c r="A27" s="13" t="s">
        <v>77</v>
      </c>
      <c r="B27" s="8" t="s">
        <v>192</v>
      </c>
      <c r="C27" s="18" t="n">
        <v>501</v>
      </c>
      <c r="D27" s="18" t="n">
        <v>222</v>
      </c>
      <c r="E27" s="14" t="n">
        <v>18</v>
      </c>
      <c r="F27" s="18" t="n">
        <f aca="false">IF(C27="","",C27/E27)</f>
        <v>27.8333333333333</v>
      </c>
      <c r="G27" s="8" t="n">
        <f aca="false">SUMIFS(5000m比較!$B$5:$B$34,5000m比較!$A$5:$A$34,A27,5000m比較!$C$5:$C$34,B27)</f>
        <v>5</v>
      </c>
    </row>
    <row r="28" customFormat="false" ht="15" hidden="false" customHeight="false" outlineLevel="0" collapsed="false">
      <c r="A28" s="13" t="s">
        <v>77</v>
      </c>
      <c r="B28" s="8" t="s">
        <v>193</v>
      </c>
      <c r="C28" s="18" t="n">
        <v>619</v>
      </c>
      <c r="D28" s="18" t="n">
        <v>248</v>
      </c>
      <c r="E28" s="14" t="n">
        <v>18</v>
      </c>
      <c r="F28" s="18" t="n">
        <f aca="false">IF(C28="","",C28/E28)</f>
        <v>34.3888888888889</v>
      </c>
      <c r="G28" s="8" t="n">
        <f aca="false">SUMIFS(5000m比較!$B$5:$B$34,5000m比較!$A$5:$A$34,A28,5000m比較!$C$5:$C$34,B28)</f>
        <v>6</v>
      </c>
    </row>
  </sheetData>
  <autoFilter ref="A4:G28"/>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99B"/>
    <pageSetUpPr fitToPage="true"/>
  </sheetPr>
  <dimension ref="A1:J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13"/>
    <col collapsed="false" customWidth="true" hidden="false" outlineLevel="0" max="4" min="4" style="0" width="8"/>
    <col collapsed="false" customWidth="true" hidden="false" outlineLevel="0" max="8" min="5" style="0" width="9"/>
    <col collapsed="false" customWidth="true" hidden="false" outlineLevel="0" max="9" min="9" style="0" width="11"/>
    <col collapsed="false" customWidth="true" hidden="false" outlineLevel="0" max="10" min="10" style="0" width="9"/>
  </cols>
  <sheetData>
    <row r="1" customFormat="false" ht="19.4" hidden="false" customHeight="false" outlineLevel="0" collapsed="false">
      <c r="A1" s="9" t="s">
        <v>201</v>
      </c>
    </row>
    <row r="2" customFormat="false" ht="30" hidden="false" customHeight="true" outlineLevel="0" collapsed="false">
      <c r="A2" s="10" t="s">
        <v>202</v>
      </c>
      <c r="B2" s="10"/>
      <c r="C2" s="10"/>
      <c r="D2" s="10"/>
      <c r="E2" s="10"/>
      <c r="F2" s="10"/>
      <c r="G2" s="10"/>
      <c r="H2" s="10"/>
      <c r="I2" s="10"/>
      <c r="J2" s="10"/>
    </row>
    <row r="4" customFormat="false" ht="48" hidden="false" customHeight="true" outlineLevel="0" collapsed="false">
      <c r="A4" s="11" t="s">
        <v>56</v>
      </c>
      <c r="B4" s="11" t="s">
        <v>90</v>
      </c>
      <c r="C4" s="11" t="s">
        <v>159</v>
      </c>
      <c r="D4" s="11" t="s">
        <v>102</v>
      </c>
      <c r="E4" s="12" t="s">
        <v>196</v>
      </c>
      <c r="F4" s="12" t="s">
        <v>203</v>
      </c>
      <c r="G4" s="12" t="s">
        <v>197</v>
      </c>
      <c r="H4" s="12" t="s">
        <v>204</v>
      </c>
      <c r="I4" s="11" t="s">
        <v>205</v>
      </c>
      <c r="J4" s="11" t="s">
        <v>34</v>
      </c>
    </row>
    <row r="5" customFormat="false" ht="15" hidden="false" customHeight="false" outlineLevel="0" collapsed="false">
      <c r="A5" s="25" t="s">
        <v>74</v>
      </c>
      <c r="B5" s="27" t="n">
        <v>1</v>
      </c>
      <c r="C5" s="28" t="s">
        <v>173</v>
      </c>
      <c r="D5" s="27" t="n">
        <f aca="false">SUMIFS(5000m比較!$G$5:$G$34,5000m比較!$A$5:$A$34,$A5,5000m比較!$C$5:$C$34,$C5)</f>
        <v>6</v>
      </c>
      <c r="E5" s="26" t="n">
        <f aca="false">SUMIFS(合宿走行距離!$C$5:$C$28,合宿走行距離!$A$5:$A$28,$A5,合宿走行距離!$B$5:$B$28,$C5)</f>
        <v>559</v>
      </c>
      <c r="F5" s="26" t="n">
        <f aca="false">SUMIFS(合宿走行距離!$F$5:$F$28,合宿走行距離!$A$5:$A$28,$A5,合宿走行距離!$B$5:$B$28,$C5)</f>
        <v>25.4090909090909</v>
      </c>
      <c r="G5" s="26" t="n">
        <f aca="false">SUMIFS(合宿走行距離!$D$5:$D$28,合宿走行距離!$A$5:$A$28,$A5,合宿走行距離!$B$5:$B$28,$C5)</f>
        <v>272</v>
      </c>
      <c r="H5" s="26" t="n">
        <f aca="false">E5+G5</f>
        <v>831</v>
      </c>
      <c r="I5" s="30" t="n">
        <f aca="false">SUMIFS(出雲区間記録!$M$5:$M$34,出雲区間記録!$A$5:$A$34,$A5,出雲区間記録!$B$5:$B$34,$B5)</f>
        <v>24.4</v>
      </c>
      <c r="J5" s="35" t="n">
        <f aca="false">SUMIFS(5000m比較!$K$5:$K$34,5000m比較!$A$5:$A$34,$A5,5000m比較!$C$5:$C$34,$C5)</f>
        <v>0.0741434394623775</v>
      </c>
    </row>
    <row r="6" customFormat="false" ht="15" hidden="false" customHeight="false" outlineLevel="0" collapsed="false">
      <c r="A6" s="25" t="s">
        <v>74</v>
      </c>
      <c r="B6" s="27" t="n">
        <v>2</v>
      </c>
      <c r="C6" s="28" t="s">
        <v>175</v>
      </c>
      <c r="D6" s="27" t="n">
        <f aca="false">SUMIFS(5000m比較!$G$5:$G$34,5000m比較!$A$5:$A$34,$A6,5000m比較!$C$5:$C$34,$C6)</f>
        <v>1</v>
      </c>
      <c r="E6" s="26" t="n">
        <f aca="false">SUMIFS(合宿走行距離!$C$5:$C$28,合宿走行距離!$A$5:$A$28,$A6,合宿走行距離!$B$5:$B$28,$C6)</f>
        <v>509.5</v>
      </c>
      <c r="F6" s="26" t="n">
        <f aca="false">SUMIFS(合宿走行距離!$F$5:$F$28,合宿走行距離!$A$5:$A$28,$A6,合宿走行距離!$B$5:$B$28,$C6)</f>
        <v>23.1590909090909</v>
      </c>
      <c r="G6" s="26" t="n">
        <f aca="false">SUMIFS(合宿走行距離!$D$5:$D$28,合宿走行距離!$A$5:$A$28,$A6,合宿走行距離!$B$5:$B$28,$C6)</f>
        <v>234</v>
      </c>
      <c r="H6" s="26" t="n">
        <f aca="false">E6+G6</f>
        <v>743.5</v>
      </c>
      <c r="I6" s="30" t="n">
        <f aca="false">SUMIFS(出雲区間記録!$M$5:$M$34,出雲区間記録!$A$5:$A$34,$A6,出雲区間記録!$B$5:$B$34,$B6)</f>
        <v>0</v>
      </c>
      <c r="J6" s="35" t="n">
        <f aca="false">SUMIFS(5000m比較!$K$5:$K$34,5000m比較!$A$5:$A$34,$A6,5000m比較!$C$5:$C$34,$C6)</f>
        <v>0.0219616173176038</v>
      </c>
    </row>
    <row r="7" customFormat="false" ht="15" hidden="false" customHeight="false" outlineLevel="0" collapsed="false">
      <c r="A7" s="25" t="s">
        <v>74</v>
      </c>
      <c r="B7" s="27" t="n">
        <v>3</v>
      </c>
      <c r="C7" s="28" t="s">
        <v>176</v>
      </c>
      <c r="D7" s="27" t="n">
        <f aca="false">SUMIFS(5000m比較!$G$5:$G$34,5000m比較!$A$5:$A$34,$A7,5000m比較!$C$5:$C$34,$C7)</f>
        <v>3</v>
      </c>
      <c r="E7" s="26" t="n">
        <f aca="false">SUMIFS(合宿走行距離!$C$5:$C$28,合宿走行距離!$A$5:$A$28,$A7,合宿走行距離!$B$5:$B$28,$C7)</f>
        <v>647</v>
      </c>
      <c r="F7" s="26" t="n">
        <f aca="false">SUMIFS(合宿走行距離!$F$5:$F$28,合宿走行距離!$A$5:$A$28,$A7,合宿走行距離!$B$5:$B$28,$C7)</f>
        <v>29.4090909090909</v>
      </c>
      <c r="G7" s="26" t="n">
        <f aca="false">SUMIFS(合宿走行距離!$D$5:$D$28,合宿走行距離!$A$5:$A$28,$A7,合宿走行距離!$B$5:$B$28,$C7)</f>
        <v>160</v>
      </c>
      <c r="H7" s="26" t="n">
        <f aca="false">E7+G7</f>
        <v>807</v>
      </c>
      <c r="I7" s="30" t="n">
        <f aca="false">SUMIFS(出雲区間記録!$M$5:$M$34,出雲区間記録!$A$5:$A$34,$A7,出雲区間記録!$B$5:$B$34,$B7)</f>
        <v>18.8</v>
      </c>
      <c r="J7" s="35" t="n">
        <f aca="false">SUMIFS(5000m比較!$K$5:$K$34,5000m比較!$A$5:$A$34,$A7,5000m比較!$C$5:$C$34,$C7)</f>
        <v>0.0749813931672396</v>
      </c>
    </row>
    <row r="8" customFormat="false" ht="15" hidden="false" customHeight="false" outlineLevel="0" collapsed="false">
      <c r="A8" s="25" t="s">
        <v>74</v>
      </c>
      <c r="B8" s="27" t="n">
        <v>4</v>
      </c>
      <c r="C8" s="28" t="s">
        <v>177</v>
      </c>
      <c r="D8" s="27" t="n">
        <f aca="false">SUMIFS(5000m比較!$G$5:$G$34,5000m比較!$A$5:$A$34,$A8,5000m比較!$C$5:$C$34,$C8)</f>
        <v>1</v>
      </c>
      <c r="E8" s="26" t="n">
        <f aca="false">SUMIFS(合宿走行距離!$C$5:$C$28,合宿走行距離!$A$5:$A$28,$A8,合宿走行距離!$B$5:$B$28,$C8)</f>
        <v>569</v>
      </c>
      <c r="F8" s="26" t="n">
        <f aca="false">SUMIFS(合宿走行距離!$F$5:$F$28,合宿走行距離!$A$5:$A$28,$A8,合宿走行距離!$B$5:$B$28,$C8)</f>
        <v>25.8636363636364</v>
      </c>
      <c r="G8" s="26" t="n">
        <f aca="false">SUMIFS(合宿走行距離!$D$5:$D$28,合宿走行距離!$A$5:$A$28,$A8,合宿走行距離!$B$5:$B$28,$C8)</f>
        <v>237</v>
      </c>
      <c r="H8" s="26" t="n">
        <f aca="false">E8+G8</f>
        <v>806</v>
      </c>
      <c r="I8" s="30" t="n">
        <f aca="false">SUMIFS(出雲区間記録!$M$5:$M$34,出雲区間記録!$A$5:$A$34,$A8,出雲区間記録!$B$5:$B$34,$B8)</f>
        <v>0</v>
      </c>
      <c r="J8" s="35" t="n">
        <f aca="false">SUMIFS(5000m比較!$K$5:$K$34,5000m比較!$A$5:$A$34,$A8,5000m比較!$C$5:$C$34,$C8)</f>
        <v>0.0438830629329889</v>
      </c>
    </row>
    <row r="9" customFormat="false" ht="15" hidden="false" customHeight="false" outlineLevel="0" collapsed="false">
      <c r="A9" s="25" t="s">
        <v>74</v>
      </c>
      <c r="B9" s="27" t="n">
        <v>5</v>
      </c>
      <c r="C9" s="28" t="s">
        <v>178</v>
      </c>
      <c r="D9" s="27" t="n">
        <f aca="false">SUMIFS(5000m比較!$G$5:$G$34,5000m比較!$A$5:$A$34,$A9,5000m比較!$C$5:$C$34,$C9)</f>
        <v>9</v>
      </c>
      <c r="E9" s="26" t="n">
        <f aca="false">SUMIFS(合宿走行距離!$C$5:$C$28,合宿走行距離!$A$5:$A$28,$A9,合宿走行距離!$B$5:$B$28,$C9)</f>
        <v>708</v>
      </c>
      <c r="F9" s="26" t="n">
        <f aca="false">SUMIFS(合宿走行距離!$F$5:$F$28,合宿走行距離!$A$5:$A$28,$A9,合宿走行距離!$B$5:$B$28,$C9)</f>
        <v>32.1818181818182</v>
      </c>
      <c r="G9" s="26" t="n">
        <f aca="false">SUMIFS(合宿走行距離!$D$5:$D$28,合宿走行距離!$A$5:$A$28,$A9,合宿走行距離!$B$5:$B$28,$C9)</f>
        <v>271</v>
      </c>
      <c r="H9" s="26" t="n">
        <f aca="false">E9+G9</f>
        <v>979</v>
      </c>
      <c r="I9" s="30" t="n">
        <f aca="false">SUMIFS(出雲区間記録!$M$5:$M$34,出雲区間記録!$A$5:$A$34,$A9,出雲区間記録!$B$5:$B$34,$B9)</f>
        <v>57.8</v>
      </c>
      <c r="J9" s="35" t="n">
        <f aca="false">SUMIFS(5000m比較!$K$5:$K$34,5000m比較!$A$5:$A$34,$A9,5000m比較!$C$5:$C$34,$C9)</f>
        <v>0.0952594492671992</v>
      </c>
    </row>
    <row r="10" customFormat="false" ht="15" hidden="false" customHeight="false" outlineLevel="0" collapsed="false">
      <c r="A10" s="25" t="s">
        <v>74</v>
      </c>
      <c r="B10" s="27" t="n">
        <v>6</v>
      </c>
      <c r="C10" s="28" t="s">
        <v>179</v>
      </c>
      <c r="D10" s="27" t="n">
        <f aca="false">SUMIFS(5000m比較!$G$5:$G$34,5000m比較!$A$5:$A$34,$A10,5000m比較!$C$5:$C$34,$C10)</f>
        <v>7</v>
      </c>
      <c r="E10" s="26" t="n">
        <f aca="false">SUMIFS(合宿走行距離!$C$5:$C$28,合宿走行距離!$A$5:$A$28,$A10,合宿走行距離!$B$5:$B$28,$C10)</f>
        <v>459</v>
      </c>
      <c r="F10" s="26" t="n">
        <f aca="false">SUMIFS(合宿走行距離!$F$5:$F$28,合宿走行距離!$A$5:$A$28,$A10,合宿走行距離!$B$5:$B$28,$C10)</f>
        <v>20.8636363636364</v>
      </c>
      <c r="G10" s="26" t="n">
        <f aca="false">SUMIFS(合宿走行距離!$D$5:$D$28,合宿走行距離!$A$5:$A$28,$A10,合宿走行距離!$B$5:$B$28,$C10)</f>
        <v>220</v>
      </c>
      <c r="H10" s="26" t="n">
        <f aca="false">E10+G10</f>
        <v>679</v>
      </c>
      <c r="I10" s="30" t="n">
        <f aca="false">SUMIFS(出雲区間記録!$M$5:$M$34,出雲区間記録!$A$5:$A$34,$A10,出雲区間記録!$B$5:$B$34,$B10)</f>
        <v>82.4</v>
      </c>
      <c r="J10" s="35" t="n">
        <f aca="false">SUMIFS(5000m比較!$K$5:$K$34,5000m比較!$A$5:$A$34,$A10,5000m比較!$C$5:$C$34,$C10)</f>
        <v>0.0756173123436992</v>
      </c>
    </row>
    <row r="11" customFormat="false" ht="15" hidden="false" customHeight="false" outlineLevel="0" collapsed="false">
      <c r="A11" s="13" t="s">
        <v>75</v>
      </c>
      <c r="B11" s="14" t="n">
        <v>1</v>
      </c>
      <c r="C11" s="8" t="s">
        <v>179</v>
      </c>
      <c r="D11" s="14" t="n">
        <f aca="false">SUMIFS(5000m比較!$G$5:$G$34,5000m比較!$A$5:$A$34,$A11,5000m比較!$C$5:$C$34,$C11)</f>
        <v>1</v>
      </c>
      <c r="E11" s="18" t="n">
        <f aca="false">SUMIFS(合宿走行距離!$C$5:$C$28,合宿走行距離!$A$5:$A$28,$A11,合宿走行距離!$B$5:$B$28,$C11)</f>
        <v>409</v>
      </c>
      <c r="F11" s="18" t="n">
        <f aca="false">SUMIFS(合宿走行距離!$F$5:$F$28,合宿走行距離!$A$5:$A$28,$A11,合宿走行距離!$B$5:$B$28,$C11)</f>
        <v>21.5263157894737</v>
      </c>
      <c r="G11" s="18" t="n">
        <f aca="false">SUMIFS(合宿走行距離!$D$5:$D$28,合宿走行距離!$A$5:$A$28,$A11,合宿走行距離!$B$5:$B$28,$C11)</f>
        <v>202</v>
      </c>
      <c r="H11" s="18" t="n">
        <f aca="false">E11+G11</f>
        <v>611</v>
      </c>
      <c r="I11" s="15" t="n">
        <f aca="false">SUMIFS(出雲区間記録!$M$5:$M$34,出雲区間記録!$A$5:$A$34,$A11,出雲区間記録!$B$5:$B$34,$B11)</f>
        <v>0</v>
      </c>
      <c r="J11" s="37" t="n">
        <f aca="false">SUMIFS(5000m比較!$K$5:$K$34,5000m比較!$A$5:$A$34,$A11,5000m比較!$C$5:$C$34,$C11)</f>
        <v>0.0676306419016453</v>
      </c>
    </row>
    <row r="12" customFormat="false" ht="15" hidden="false" customHeight="false" outlineLevel="0" collapsed="false">
      <c r="A12" s="13" t="s">
        <v>75</v>
      </c>
      <c r="B12" s="14" t="n">
        <v>2</v>
      </c>
      <c r="C12" s="8" t="s">
        <v>173</v>
      </c>
      <c r="D12" s="14" t="n">
        <f aca="false">SUMIFS(5000m比較!$G$5:$G$34,5000m比較!$A$5:$A$34,$A12,5000m比較!$C$5:$C$34,$C12)</f>
        <v>6</v>
      </c>
      <c r="E12" s="18" t="n">
        <f aca="false">SUMIFS(合宿走行距離!$C$5:$C$28,合宿走行距離!$A$5:$A$28,$A12,合宿走行距離!$B$5:$B$28,$C12)</f>
        <v>485</v>
      </c>
      <c r="F12" s="18" t="n">
        <f aca="false">SUMIFS(合宿走行距離!$F$5:$F$28,合宿走行距離!$A$5:$A$28,$A12,合宿走行距離!$B$5:$B$28,$C12)</f>
        <v>25.5263157894737</v>
      </c>
      <c r="G12" s="18" t="n">
        <f aca="false">SUMIFS(合宿走行距離!$D$5:$D$28,合宿走行距離!$A$5:$A$28,$A12,合宿走行距離!$B$5:$B$28,$C12)</f>
        <v>202</v>
      </c>
      <c r="H12" s="18" t="n">
        <f aca="false">E12+G12</f>
        <v>687</v>
      </c>
      <c r="I12" s="15" t="n">
        <f aca="false">SUMIFS(出雲区間記録!$M$5:$M$34,出雲区間記録!$A$5:$A$34,$A12,出雲区間記録!$B$5:$B$34,$B12)</f>
        <v>39.7</v>
      </c>
      <c r="J12" s="37" t="n">
        <f aca="false">SUMIFS(5000m比較!$K$5:$K$34,5000m比較!$A$5:$A$34,$A12,5000m比較!$C$5:$C$34,$C12)</f>
        <v>0.0312973804214844</v>
      </c>
    </row>
    <row r="13" customFormat="false" ht="15" hidden="false" customHeight="false" outlineLevel="0" collapsed="false">
      <c r="A13" s="13" t="s">
        <v>75</v>
      </c>
      <c r="B13" s="14" t="n">
        <v>3</v>
      </c>
      <c r="C13" s="8" t="s">
        <v>175</v>
      </c>
      <c r="D13" s="14" t="n">
        <f aca="false">SUMIFS(5000m比較!$G$5:$G$34,5000m比較!$A$5:$A$34,$A13,5000m比較!$C$5:$C$34,$C13)</f>
        <v>3</v>
      </c>
      <c r="E13" s="18" t="n">
        <f aca="false">SUMIFS(合宿走行距離!$C$5:$C$28,合宿走行距離!$A$5:$A$28,$A13,合宿走行距離!$B$5:$B$28,$C13)</f>
        <v>453</v>
      </c>
      <c r="F13" s="18" t="n">
        <f aca="false">SUMIFS(合宿走行距離!$F$5:$F$28,合宿走行距離!$A$5:$A$28,$A13,合宿走行距離!$B$5:$B$28,$C13)</f>
        <v>23.8421052631579</v>
      </c>
      <c r="G13" s="18" t="n">
        <f aca="false">SUMIFS(合宿走行距離!$D$5:$D$28,合宿走行距離!$A$5:$A$28,$A13,合宿走行距離!$B$5:$B$28,$C13)</f>
        <v>206</v>
      </c>
      <c r="H13" s="18" t="n">
        <f aca="false">E13+G13</f>
        <v>659</v>
      </c>
      <c r="I13" s="15" t="n">
        <f aca="false">SUMIFS(出雲区間記録!$M$5:$M$34,出雲区間記録!$A$5:$A$34,$A13,出雲区間記録!$B$5:$B$34,$B13)</f>
        <v>1.8</v>
      </c>
      <c r="J13" s="37" t="n">
        <f aca="false">SUMIFS(5000m比較!$K$5:$K$34,5000m比較!$A$5:$A$34,$A13,5000m比較!$C$5:$C$34,$C13)</f>
        <v>0.0294745375435375</v>
      </c>
    </row>
    <row r="14" customFormat="false" ht="15" hidden="false" customHeight="false" outlineLevel="0" collapsed="false">
      <c r="A14" s="13" t="s">
        <v>75</v>
      </c>
      <c r="B14" s="14" t="n">
        <v>4</v>
      </c>
      <c r="C14" s="8" t="s">
        <v>182</v>
      </c>
      <c r="D14" s="14" t="n">
        <f aca="false">SUMIFS(5000m比較!$G$5:$G$34,5000m比較!$A$5:$A$34,$A14,5000m比較!$C$5:$C$34,$C14)</f>
        <v>5</v>
      </c>
      <c r="E14" s="18" t="n">
        <f aca="false">SUMIFS(合宿走行距離!$C$5:$C$28,合宿走行距離!$A$5:$A$28,$A14,合宿走行距離!$B$5:$B$28,$C14)</f>
        <v>500</v>
      </c>
      <c r="F14" s="18" t="n">
        <f aca="false">SUMIFS(合宿走行距離!$F$5:$F$28,合宿走行距離!$A$5:$A$28,$A14,合宿走行距離!$B$5:$B$28,$C14)</f>
        <v>26.3157894736842</v>
      </c>
      <c r="G14" s="18" t="n">
        <f aca="false">SUMIFS(合宿走行距離!$D$5:$D$28,合宿走行距離!$A$5:$A$28,$A14,合宿走行距離!$B$5:$B$28,$C14)</f>
        <v>199</v>
      </c>
      <c r="H14" s="18" t="n">
        <f aca="false">E14+G14</f>
        <v>699</v>
      </c>
      <c r="I14" s="15" t="n">
        <f aca="false">SUMIFS(出雲区間記録!$M$5:$M$34,出雲区間記録!$A$5:$A$34,$A14,出雲区間記録!$B$5:$B$34,$B14)</f>
        <v>12.9</v>
      </c>
      <c r="J14" s="37" t="n">
        <f aca="false">SUMIFS(5000m比較!$K$5:$K$34,5000m比較!$A$5:$A$34,$A14,5000m比較!$C$5:$C$34,$C14)</f>
        <v>0.06307988641021</v>
      </c>
    </row>
    <row r="15" customFormat="false" ht="15" hidden="false" customHeight="false" outlineLevel="0" collapsed="false">
      <c r="A15" s="13" t="s">
        <v>75</v>
      </c>
      <c r="B15" s="14" t="n">
        <v>5</v>
      </c>
      <c r="C15" s="8" t="s">
        <v>183</v>
      </c>
      <c r="D15" s="14" t="n">
        <f aca="false">SUMIFS(5000m比較!$G$5:$G$34,5000m比較!$A$5:$A$34,$A15,5000m比較!$C$5:$C$34,$C15)</f>
        <v>5</v>
      </c>
      <c r="E15" s="18" t="n">
        <f aca="false">SUMIFS(合宿走行距離!$C$5:$C$28,合宿走行距離!$A$5:$A$28,$A15,合宿走行距離!$B$5:$B$28,$C15)</f>
        <v>536</v>
      </c>
      <c r="F15" s="18" t="n">
        <f aca="false">SUMIFS(合宿走行距離!$F$5:$F$28,合宿走行距離!$A$5:$A$28,$A15,合宿走行距離!$B$5:$B$28,$C15)</f>
        <v>28.2105263157895</v>
      </c>
      <c r="G15" s="18" t="n">
        <f aca="false">SUMIFS(合宿走行距離!$D$5:$D$28,合宿走行距離!$A$5:$A$28,$A15,合宿走行距離!$B$5:$B$28,$C15)</f>
        <v>252</v>
      </c>
      <c r="H15" s="18" t="n">
        <f aca="false">E15+G15</f>
        <v>788</v>
      </c>
      <c r="I15" s="15" t="n">
        <f aca="false">SUMIFS(出雲区間記録!$M$5:$M$34,出雲区間記録!$A$5:$A$34,$A15,出雲区間記録!$B$5:$B$34,$B15)</f>
        <v>21.9</v>
      </c>
      <c r="J15" s="37" t="n">
        <f aca="false">SUMIFS(5000m比較!$K$5:$K$34,5000m比較!$A$5:$A$34,$A15,5000m比較!$C$5:$C$34,$C15)</f>
        <v>0.0495256144222807</v>
      </c>
    </row>
    <row r="16" customFormat="false" ht="15" hidden="false" customHeight="false" outlineLevel="0" collapsed="false">
      <c r="A16" s="13" t="s">
        <v>75</v>
      </c>
      <c r="B16" s="14" t="n">
        <v>6</v>
      </c>
      <c r="C16" s="8" t="s">
        <v>184</v>
      </c>
      <c r="D16" s="14" t="n">
        <f aca="false">SUMIFS(5000m比較!$G$5:$G$34,5000m比較!$A$5:$A$34,$A16,5000m比較!$C$5:$C$34,$C16)</f>
        <v>3</v>
      </c>
      <c r="E16" s="18" t="n">
        <f aca="false">SUMIFS(合宿走行距離!$C$5:$C$28,合宿走行距離!$A$5:$A$28,$A16,合宿走行距離!$B$5:$B$28,$C16)</f>
        <v>463</v>
      </c>
      <c r="F16" s="18" t="n">
        <f aca="false">SUMIFS(合宿走行距離!$F$5:$F$28,合宿走行距離!$A$5:$A$28,$A16,合宿走行距離!$B$5:$B$28,$C16)</f>
        <v>24.3684210526316</v>
      </c>
      <c r="G16" s="18" t="n">
        <f aca="false">SUMIFS(合宿走行距離!$D$5:$D$28,合宿走行距離!$A$5:$A$28,$A16,合宿走行距離!$B$5:$B$28,$C16)</f>
        <v>201</v>
      </c>
      <c r="H16" s="18" t="n">
        <f aca="false">E16+G16</f>
        <v>664</v>
      </c>
      <c r="I16" s="15" t="n">
        <f aca="false">SUMIFS(出雲区間記録!$M$5:$M$34,出雲区間記録!$A$5:$A$34,$A16,出雲区間記録!$B$5:$B$34,$B16)</f>
        <v>35.3</v>
      </c>
      <c r="J16" s="37" t="n">
        <f aca="false">SUMIFS(5000m比較!$K$5:$K$34,5000m比較!$A$5:$A$34,$A16,5000m比較!$C$5:$C$34,$C16)</f>
        <v>0.0364625062747057</v>
      </c>
    </row>
    <row r="17" customFormat="false" ht="15" hidden="false" customHeight="false" outlineLevel="0" collapsed="false">
      <c r="A17" s="25" t="s">
        <v>76</v>
      </c>
      <c r="B17" s="27" t="n">
        <v>1</v>
      </c>
      <c r="C17" s="28" t="s">
        <v>185</v>
      </c>
      <c r="D17" s="27" t="n">
        <f aca="false">SUMIFS(5000m比較!$G$5:$G$34,5000m比較!$A$5:$A$34,$A17,5000m比較!$C$5:$C$34,$C17)</f>
        <v>6</v>
      </c>
      <c r="E17" s="26" t="n">
        <f aca="false">SUMIFS(合宿走行距離!$C$5:$C$28,合宿走行距離!$A$5:$A$28,$A17,合宿走行距離!$B$5:$B$28,$C17)</f>
        <v>612</v>
      </c>
      <c r="F17" s="26" t="n">
        <f aca="false">SUMIFS(合宿走行距離!$F$5:$F$28,合宿走行距離!$A$5:$A$28,$A17,合宿走行距離!$B$5:$B$28,$C17)</f>
        <v>32.2105263157895</v>
      </c>
      <c r="G17" s="26" t="n">
        <f aca="false">SUMIFS(合宿走行距離!$D$5:$D$28,合宿走行距離!$A$5:$A$28,$A17,合宿走行距離!$B$5:$B$28,$C17)</f>
        <v>212</v>
      </c>
      <c r="H17" s="26" t="n">
        <f aca="false">E17+G17</f>
        <v>824</v>
      </c>
      <c r="I17" s="30" t="n">
        <f aca="false">SUMIFS(出雲区間記録!$M$5:$M$34,出雲区間記録!$A$5:$A$34,$A17,出雲区間記録!$B$5:$B$34,$B17)</f>
        <v>11.3</v>
      </c>
      <c r="J17" s="35" t="n">
        <f aca="false">SUMIFS(5000m比較!$K$5:$K$34,5000m比較!$A$5:$A$34,$A17,5000m比較!$C$5:$C$34,$C17)</f>
        <v>0.0845624026479752</v>
      </c>
    </row>
    <row r="18" customFormat="false" ht="15" hidden="false" customHeight="false" outlineLevel="0" collapsed="false">
      <c r="A18" s="25" t="s">
        <v>76</v>
      </c>
      <c r="B18" s="27" t="n">
        <v>2</v>
      </c>
      <c r="C18" s="28" t="s">
        <v>186</v>
      </c>
      <c r="D18" s="27" t="n">
        <f aca="false">SUMIFS(5000m比較!$G$5:$G$34,5000m比較!$A$5:$A$34,$A18,5000m比較!$C$5:$C$34,$C18)</f>
        <v>10</v>
      </c>
      <c r="E18" s="26" t="n">
        <f aca="false">SUMIFS(合宿走行距離!$C$5:$C$28,合宿走行距離!$A$5:$A$28,$A18,合宿走行距離!$B$5:$B$28,$C18)</f>
        <v>556</v>
      </c>
      <c r="F18" s="26" t="n">
        <f aca="false">SUMIFS(合宿走行距離!$F$5:$F$28,合宿走行距離!$A$5:$A$28,$A18,合宿走行距離!$B$5:$B$28,$C18)</f>
        <v>29.2631578947368</v>
      </c>
      <c r="G18" s="26" t="n">
        <f aca="false">SUMIFS(合宿走行距離!$D$5:$D$28,合宿走行距離!$A$5:$A$28,$A18,合宿走行距離!$B$5:$B$28,$C18)</f>
        <v>219</v>
      </c>
      <c r="H18" s="26" t="n">
        <f aca="false">E18+G18</f>
        <v>775</v>
      </c>
      <c r="I18" s="30" t="n">
        <f aca="false">SUMIFS(出雲区間記録!$M$5:$M$34,出雲区間記録!$A$5:$A$34,$A18,出雲区間記録!$B$5:$B$34,$B18)</f>
        <v>50.9</v>
      </c>
      <c r="J18" s="35" t="n">
        <f aca="false">SUMIFS(5000m比較!$K$5:$K$34,5000m比較!$A$5:$A$34,$A18,5000m比較!$C$5:$C$34,$C18)</f>
        <v>0.0442219785704272</v>
      </c>
    </row>
    <row r="19" customFormat="false" ht="15" hidden="false" customHeight="false" outlineLevel="0" collapsed="false">
      <c r="A19" s="25" t="s">
        <v>76</v>
      </c>
      <c r="B19" s="27" t="n">
        <v>3</v>
      </c>
      <c r="C19" s="28" t="s">
        <v>187</v>
      </c>
      <c r="D19" s="27" t="n">
        <f aca="false">SUMIFS(5000m比較!$G$5:$G$34,5000m比較!$A$5:$A$34,$A19,5000m比較!$C$5:$C$34,$C19)</f>
        <v>10</v>
      </c>
      <c r="E19" s="26" t="n">
        <f aca="false">SUMIFS(合宿走行距離!$C$5:$C$28,合宿走行距離!$A$5:$A$28,$A19,合宿走行距離!$B$5:$B$28,$C19)</f>
        <v>496</v>
      </c>
      <c r="F19" s="26" t="n">
        <f aca="false">SUMIFS(合宿走行距離!$F$5:$F$28,合宿走行距離!$A$5:$A$28,$A19,合宿走行距離!$B$5:$B$28,$C19)</f>
        <v>26.1052631578947</v>
      </c>
      <c r="G19" s="26" t="n">
        <f aca="false">SUMIFS(合宿走行距離!$D$5:$D$28,合宿走行距離!$A$5:$A$28,$A19,合宿走行距離!$B$5:$B$28,$C19)</f>
        <v>222</v>
      </c>
      <c r="H19" s="26" t="n">
        <f aca="false">E19+G19</f>
        <v>718</v>
      </c>
      <c r="I19" s="30" t="n">
        <f aca="false">SUMIFS(出雲区間記録!$M$5:$M$34,出雲区間記録!$A$5:$A$34,$A19,出雲区間記録!$B$5:$B$34,$B19)</f>
        <v>51.8</v>
      </c>
      <c r="J19" s="35" t="n">
        <f aca="false">SUMIFS(5000m比較!$K$5:$K$34,5000m比較!$A$5:$A$34,$A19,5000m比較!$C$5:$C$34,$C19)</f>
        <v>0.077135543697834</v>
      </c>
    </row>
    <row r="20" customFormat="false" ht="15" hidden="false" customHeight="false" outlineLevel="0" collapsed="false">
      <c r="A20" s="25" t="s">
        <v>76</v>
      </c>
      <c r="B20" s="27" t="n">
        <v>4</v>
      </c>
      <c r="C20" s="28" t="s">
        <v>188</v>
      </c>
      <c r="D20" s="27" t="n">
        <f aca="false">SUMIFS(5000m比較!$G$5:$G$34,5000m比較!$A$5:$A$34,$A20,5000m比較!$C$5:$C$34,$C20)</f>
        <v>8</v>
      </c>
      <c r="E20" s="26" t="n">
        <f aca="false">SUMIFS(合宿走行距離!$C$5:$C$28,合宿走行距離!$A$5:$A$28,$A20,合宿走行距離!$B$5:$B$28,$C20)</f>
        <v>591</v>
      </c>
      <c r="F20" s="26" t="n">
        <f aca="false">SUMIFS(合宿走行距離!$F$5:$F$28,合宿走行距離!$A$5:$A$28,$A20,合宿走行距離!$B$5:$B$28,$C20)</f>
        <v>31.1052631578947</v>
      </c>
      <c r="G20" s="26" t="n">
        <f aca="false">SUMIFS(合宿走行距離!$D$5:$D$28,合宿走行距離!$A$5:$A$28,$A20,合宿走行距離!$B$5:$B$28,$C20)</f>
        <v>240</v>
      </c>
      <c r="H20" s="26" t="n">
        <f aca="false">E20+G20</f>
        <v>831</v>
      </c>
      <c r="I20" s="30" t="n">
        <f aca="false">SUMIFS(出雲区間記録!$M$5:$M$34,出雲区間記録!$A$5:$A$34,$A20,出雲区間記録!$B$5:$B$34,$B20)</f>
        <v>19.4</v>
      </c>
      <c r="J20" s="35" t="n">
        <f aca="false">SUMIFS(5000m比較!$K$5:$K$34,5000m比較!$A$5:$A$34,$A20,5000m比較!$C$5:$C$34,$C20)</f>
        <v>0.0413530699754023</v>
      </c>
    </row>
    <row r="21" customFormat="false" ht="15" hidden="false" customHeight="false" outlineLevel="0" collapsed="false">
      <c r="A21" s="25" t="s">
        <v>76</v>
      </c>
      <c r="B21" s="27" t="n">
        <v>5</v>
      </c>
      <c r="C21" s="28" t="s">
        <v>189</v>
      </c>
      <c r="D21" s="27" t="n">
        <f aca="false">SUMIFS(5000m比較!$G$5:$G$34,5000m比較!$A$5:$A$34,$A21,5000m比較!$C$5:$C$34,$C21)</f>
        <v>1</v>
      </c>
      <c r="E21" s="26" t="n">
        <f aca="false">SUMIFS(合宿走行距離!$C$5:$C$28,合宿走行距離!$A$5:$A$28,$A21,合宿走行距離!$B$5:$B$28,$C21)</f>
        <v>721</v>
      </c>
      <c r="F21" s="26" t="n">
        <f aca="false">SUMIFS(合宿走行距離!$F$5:$F$28,合宿走行距離!$A$5:$A$28,$A21,合宿走行距離!$B$5:$B$28,$C21)</f>
        <v>37.9473684210526</v>
      </c>
      <c r="G21" s="26" t="n">
        <f aca="false">SUMIFS(合宿走行距離!$D$5:$D$28,合宿走行距離!$A$5:$A$28,$A21,合宿走行距離!$B$5:$B$28,$C21)</f>
        <v>266</v>
      </c>
      <c r="H21" s="26" t="n">
        <f aca="false">E21+G21</f>
        <v>987</v>
      </c>
      <c r="I21" s="30" t="n">
        <f aca="false">SUMIFS(出雲区間記録!$M$5:$M$34,出雲区間記録!$A$5:$A$34,$A21,出雲区間記録!$B$5:$B$34,$B21)</f>
        <v>0</v>
      </c>
      <c r="J21" s="35" t="n">
        <f aca="false">SUMIFS(5000m比較!$K$5:$K$34,5000m比較!$A$5:$A$34,$A21,5000m比較!$C$5:$C$34,$C21)</f>
        <v>0.0114548676406772</v>
      </c>
    </row>
    <row r="22" customFormat="false" ht="15" hidden="false" customHeight="false" outlineLevel="0" collapsed="false">
      <c r="A22" s="25" t="s">
        <v>76</v>
      </c>
      <c r="B22" s="27" t="n">
        <v>6</v>
      </c>
      <c r="C22" s="28" t="s">
        <v>175</v>
      </c>
      <c r="D22" s="27" t="n">
        <f aca="false">SUMIFS(5000m比較!$G$5:$G$34,5000m比較!$A$5:$A$34,$A22,5000m比較!$C$5:$C$34,$C22)</f>
        <v>1</v>
      </c>
      <c r="E22" s="26" t="n">
        <f aca="false">SUMIFS(合宿走行距離!$C$5:$C$28,合宿走行距離!$A$5:$A$28,$A22,合宿走行距離!$B$5:$B$28,$C22)</f>
        <v>496</v>
      </c>
      <c r="F22" s="26" t="n">
        <f aca="false">SUMIFS(合宿走行距離!$F$5:$F$28,合宿走行距離!$A$5:$A$28,$A22,合宿走行距離!$B$5:$B$28,$C22)</f>
        <v>26.1052631578947</v>
      </c>
      <c r="G22" s="26" t="n">
        <f aca="false">SUMIFS(合宿走行距離!$D$5:$D$28,合宿走行距離!$A$5:$A$28,$A22,合宿走行距離!$B$5:$B$28,$C22)</f>
        <v>224</v>
      </c>
      <c r="H22" s="26" t="n">
        <f aca="false">E22+G22</f>
        <v>720</v>
      </c>
      <c r="I22" s="30" t="n">
        <f aca="false">SUMIFS(出雲区間記録!$M$5:$M$34,出雲区間記録!$A$5:$A$34,$A22,出雲区間記録!$B$5:$B$34,$B22)</f>
        <v>0</v>
      </c>
      <c r="J22" s="35" t="n">
        <f aca="false">SUMIFS(5000m比較!$K$5:$K$34,5000m比較!$A$5:$A$34,$A22,5000m比較!$C$5:$C$34,$C22)</f>
        <v>0.0568593968711182</v>
      </c>
    </row>
    <row r="23" customFormat="false" ht="15" hidden="false" customHeight="false" outlineLevel="0" collapsed="false">
      <c r="A23" s="13" t="s">
        <v>77</v>
      </c>
      <c r="B23" s="14" t="n">
        <v>1</v>
      </c>
      <c r="C23" s="8" t="s">
        <v>190</v>
      </c>
      <c r="D23" s="14" t="n">
        <f aca="false">SUMIFS(5000m比較!$G$5:$G$34,5000m比較!$A$5:$A$34,$A23,5000m比較!$C$5:$C$34,$C23)</f>
        <v>2</v>
      </c>
      <c r="E23" s="18" t="n">
        <f aca="false">SUMIFS(合宿走行距離!$C$5:$C$28,合宿走行距離!$A$5:$A$28,$A23,合宿走行距離!$B$5:$B$28,$C23)</f>
        <v>502</v>
      </c>
      <c r="F23" s="18" t="n">
        <f aca="false">SUMIFS(合宿走行距離!$F$5:$F$28,合宿走行距離!$A$5:$A$28,$A23,合宿走行距離!$B$5:$B$28,$C23)</f>
        <v>27.8888888888889</v>
      </c>
      <c r="G23" s="18" t="n">
        <f aca="false">SUMIFS(合宿走行距離!$D$5:$D$28,合宿走行距離!$A$5:$A$28,$A23,合宿走行距離!$B$5:$B$28,$C23)</f>
        <v>221</v>
      </c>
      <c r="H23" s="18" t="n">
        <f aca="false">E23+G23</f>
        <v>723</v>
      </c>
      <c r="I23" s="15" t="n">
        <f aca="false">SUMIFS(出雲区間記録!$M$5:$M$34,出雲区間記録!$A$5:$A$34,$A23,出雲区間記録!$B$5:$B$34,$B23)</f>
        <v>3.7</v>
      </c>
      <c r="J23" s="37" t="n">
        <f aca="false">SUMIFS(5000m比較!$K$5:$K$34,5000m比較!$A$5:$A$34,$A23,5000m比較!$C$5:$C$34,$C23)</f>
        <v>0.0465116279069768</v>
      </c>
    </row>
    <row r="24" customFormat="false" ht="15" hidden="false" customHeight="false" outlineLevel="0" collapsed="false">
      <c r="A24" s="13" t="s">
        <v>77</v>
      </c>
      <c r="B24" s="14" t="n">
        <v>2</v>
      </c>
      <c r="C24" s="8" t="s">
        <v>178</v>
      </c>
      <c r="D24" s="14" t="n">
        <f aca="false">SUMIFS(5000m比較!$G$5:$G$34,5000m比較!$A$5:$A$34,$A24,5000m比較!$C$5:$C$34,$C24)</f>
        <v>9</v>
      </c>
      <c r="E24" s="18" t="n">
        <f aca="false">SUMIFS(合宿走行距離!$C$5:$C$28,合宿走行距離!$A$5:$A$28,$A24,合宿走行距離!$B$5:$B$28,$C24)</f>
        <v>595</v>
      </c>
      <c r="F24" s="18" t="n">
        <f aca="false">SUMIFS(合宿走行距離!$F$5:$F$28,合宿走行距離!$A$5:$A$28,$A24,合宿走行距離!$B$5:$B$28,$C24)</f>
        <v>33.0555555555556</v>
      </c>
      <c r="G24" s="18" t="n">
        <f aca="false">SUMIFS(合宿走行距離!$D$5:$D$28,合宿走行距離!$A$5:$A$28,$A24,合宿走行距離!$B$5:$B$28,$C24)</f>
        <v>233</v>
      </c>
      <c r="H24" s="18" t="n">
        <f aca="false">E24+G24</f>
        <v>828</v>
      </c>
      <c r="I24" s="15" t="n">
        <f aca="false">SUMIFS(出雲区間記録!$M$5:$M$34,出雲区間記録!$A$5:$A$34,$A24,出雲区間記録!$B$5:$B$34,$B24)</f>
        <v>24.1</v>
      </c>
      <c r="J24" s="37" t="n">
        <f aca="false">SUMIFS(5000m比較!$K$5:$K$34,5000m比較!$A$5:$A$34,$A24,5000m比較!$C$5:$C$34,$C24)</f>
        <v>0.0247633536173089</v>
      </c>
    </row>
    <row r="25" customFormat="false" ht="15" hidden="false" customHeight="false" outlineLevel="0" collapsed="false">
      <c r="A25" s="13" t="s">
        <v>77</v>
      </c>
      <c r="B25" s="14" t="n">
        <v>3</v>
      </c>
      <c r="C25" s="8" t="s">
        <v>187</v>
      </c>
      <c r="D25" s="14" t="n">
        <f aca="false">SUMIFS(5000m比較!$G$5:$G$34,5000m比較!$A$5:$A$34,$A25,5000m比較!$C$5:$C$34,$C25)</f>
        <v>11</v>
      </c>
      <c r="E25" s="18" t="n">
        <f aca="false">SUMIFS(合宿走行距離!$C$5:$C$28,合宿走行距離!$A$5:$A$28,$A25,合宿走行距離!$B$5:$B$28,$C25)</f>
        <v>500</v>
      </c>
      <c r="F25" s="18" t="n">
        <f aca="false">SUMIFS(合宿走行距離!$F$5:$F$28,合宿走行距離!$A$5:$A$28,$A25,合宿走行距離!$B$5:$B$28,$C25)</f>
        <v>27.7777777777778</v>
      </c>
      <c r="G25" s="18" t="n">
        <f aca="false">SUMIFS(合宿走行距離!$D$5:$D$28,合宿走行距離!$A$5:$A$28,$A25,合宿走行距離!$B$5:$B$28,$C25)</f>
        <v>212</v>
      </c>
      <c r="H25" s="18" t="n">
        <f aca="false">E25+G25</f>
        <v>712</v>
      </c>
      <c r="I25" s="15" t="n">
        <f aca="false">SUMIFS(出雲区間記録!$M$5:$M$34,出雲区間記録!$A$5:$A$34,$A25,出雲区間記録!$B$5:$B$34,$B25)</f>
        <v>41.2</v>
      </c>
      <c r="J25" s="37" t="n">
        <f aca="false">SUMIFS(5000m比較!$K$5:$K$34,5000m比較!$A$5:$A$34,$A25,5000m比較!$C$5:$C$34,$C25)</f>
        <v>0.0674846625766874</v>
      </c>
    </row>
    <row r="26" customFormat="false" ht="15" hidden="false" customHeight="false" outlineLevel="0" collapsed="false">
      <c r="A26" s="13" t="s">
        <v>77</v>
      </c>
      <c r="B26" s="14" t="n">
        <v>4</v>
      </c>
      <c r="C26" s="8" t="s">
        <v>185</v>
      </c>
      <c r="D26" s="14" t="n">
        <f aca="false">SUMIFS(5000m比較!$G$5:$G$34,5000m比較!$A$5:$A$34,$A26,5000m比較!$C$5:$C$34,$C26)</f>
        <v>11</v>
      </c>
      <c r="E26" s="18" t="n">
        <f aca="false">SUMIFS(合宿走行距離!$C$5:$C$28,合宿走行距離!$A$5:$A$28,$A26,合宿走行距離!$B$5:$B$28,$C26)</f>
        <v>616</v>
      </c>
      <c r="F26" s="18" t="n">
        <f aca="false">SUMIFS(合宿走行距離!$F$5:$F$28,合宿走行距離!$A$5:$A$28,$A26,合宿走行距離!$B$5:$B$28,$C26)</f>
        <v>34.2222222222222</v>
      </c>
      <c r="G26" s="18" t="n">
        <f aca="false">SUMIFS(合宿走行距離!$D$5:$D$28,合宿走行距離!$A$5:$A$28,$A26,合宿走行距離!$B$5:$B$28,$C26)</f>
        <v>230</v>
      </c>
      <c r="H26" s="18" t="n">
        <f aca="false">E26+G26</f>
        <v>846</v>
      </c>
      <c r="I26" s="15" t="n">
        <f aca="false">SUMIFS(出雲区間記録!$M$5:$M$34,出雲区間記録!$A$5:$A$34,$A26,出雲区間記録!$B$5:$B$34,$B26)</f>
        <v>39.5</v>
      </c>
      <c r="J26" s="37" t="n">
        <f aca="false">SUMIFS(5000m比較!$K$5:$K$34,5000m比較!$A$5:$A$34,$A26,5000m比較!$C$5:$C$34,$C26)</f>
        <v>0.0585903775213879</v>
      </c>
    </row>
    <row r="27" customFormat="false" ht="15" hidden="false" customHeight="false" outlineLevel="0" collapsed="false">
      <c r="A27" s="13" t="s">
        <v>77</v>
      </c>
      <c r="B27" s="14" t="n">
        <v>5</v>
      </c>
      <c r="C27" s="8" t="s">
        <v>192</v>
      </c>
      <c r="D27" s="14" t="n">
        <f aca="false">SUMIFS(5000m比較!$G$5:$G$34,5000m比較!$A$5:$A$34,$A27,5000m比較!$C$5:$C$34,$C27)</f>
        <v>7</v>
      </c>
      <c r="E27" s="18" t="n">
        <f aca="false">SUMIFS(合宿走行距離!$C$5:$C$28,合宿走行距離!$A$5:$A$28,$A27,合宿走行距離!$B$5:$B$28,$C27)</f>
        <v>501</v>
      </c>
      <c r="F27" s="18" t="n">
        <f aca="false">SUMIFS(合宿走行距離!$F$5:$F$28,合宿走行距離!$A$5:$A$28,$A27,合宿走行距離!$B$5:$B$28,$C27)</f>
        <v>27.8333333333333</v>
      </c>
      <c r="G27" s="18" t="n">
        <f aca="false">SUMIFS(合宿走行距離!$D$5:$D$28,合宿走行距離!$A$5:$A$28,$A27,合宿走行距離!$B$5:$B$28,$C27)</f>
        <v>222</v>
      </c>
      <c r="H27" s="18" t="n">
        <f aca="false">E27+G27</f>
        <v>723</v>
      </c>
      <c r="I27" s="15" t="n">
        <f aca="false">SUMIFS(出雲区間記録!$M$5:$M$34,出雲区間記録!$A$5:$A$34,$A27,出雲区間記録!$B$5:$B$34,$B27)</f>
        <v>13.3</v>
      </c>
      <c r="J27" s="37" t="n">
        <f aca="false">SUMIFS(5000m比較!$K$5:$K$34,5000m比較!$A$5:$A$34,$A27,5000m比較!$C$5:$C$34,$C27)</f>
        <v>0.0213414634146343</v>
      </c>
    </row>
    <row r="28" customFormat="false" ht="15" hidden="false" customHeight="false" outlineLevel="0" collapsed="false">
      <c r="A28" s="13" t="s">
        <v>77</v>
      </c>
      <c r="B28" s="14" t="n">
        <v>6</v>
      </c>
      <c r="C28" s="8" t="s">
        <v>193</v>
      </c>
      <c r="D28" s="14" t="n">
        <f aca="false">SUMIFS(5000m比較!$G$5:$G$34,5000m比較!$A$5:$A$34,$A28,5000m比較!$C$5:$C$34,$C28)</f>
        <v>9</v>
      </c>
      <c r="E28" s="18" t="n">
        <f aca="false">SUMIFS(合宿走行距離!$C$5:$C$28,合宿走行距離!$A$5:$A$28,$A28,合宿走行距離!$B$5:$B$28,$C28)</f>
        <v>619</v>
      </c>
      <c r="F28" s="18" t="n">
        <f aca="false">SUMIFS(合宿走行距離!$F$5:$F$28,合宿走行距離!$A$5:$A$28,$A28,合宿走行距離!$B$5:$B$28,$C28)</f>
        <v>34.3888888888889</v>
      </c>
      <c r="G28" s="18" t="n">
        <f aca="false">SUMIFS(合宿走行距離!$D$5:$D$28,合宿走行距離!$A$5:$A$28,$A28,合宿走行距離!$B$5:$B$28,$C28)</f>
        <v>248</v>
      </c>
      <c r="H28" s="18" t="n">
        <f aca="false">E28+G28</f>
        <v>867</v>
      </c>
      <c r="I28" s="15" t="n">
        <f aca="false">SUMIFS(出雲区間記録!$M$5:$M$34,出雲区間記録!$A$5:$A$34,$A28,出雲区間記録!$B$5:$B$34,$B28)</f>
        <v>83.3</v>
      </c>
      <c r="J28" s="37" t="n">
        <f aca="false">SUMIFS(5000m比較!$K$5:$K$34,5000m比較!$A$5:$A$34,$A28,5000m比較!$C$5:$C$34,$C28)</f>
        <v>0.0923172687878573</v>
      </c>
    </row>
    <row r="30" customFormat="false" ht="15" hidden="false" customHeight="false" outlineLevel="0" collapsed="false">
      <c r="A30" s="23" t="s">
        <v>206</v>
      </c>
    </row>
    <row r="31" customFormat="false" ht="48" hidden="false" customHeight="true" outlineLevel="0" collapsed="false">
      <c r="A31" s="11" t="s">
        <v>56</v>
      </c>
      <c r="B31" s="11" t="s">
        <v>57</v>
      </c>
      <c r="C31" s="11"/>
      <c r="D31" s="11" t="s">
        <v>207</v>
      </c>
      <c r="E31" s="12" t="s">
        <v>196</v>
      </c>
      <c r="F31" s="12" t="s">
        <v>203</v>
      </c>
      <c r="G31" s="12" t="s">
        <v>197</v>
      </c>
      <c r="H31" s="12" t="s">
        <v>204</v>
      </c>
      <c r="I31" s="11" t="s">
        <v>205</v>
      </c>
      <c r="J31" s="11" t="s">
        <v>34</v>
      </c>
    </row>
    <row r="32" customFormat="false" ht="15" hidden="false" customHeight="false" outlineLevel="0" collapsed="false">
      <c r="A32" s="13" t="s">
        <v>74</v>
      </c>
      <c r="B32" s="14" t="n">
        <v>4</v>
      </c>
      <c r="C32" s="8"/>
      <c r="D32" s="18" t="n">
        <f aca="false">AVERAGEIFS($D$5:$D$28,$A$5:$A$28,$A32)</f>
        <v>4.5</v>
      </c>
      <c r="E32" s="18" t="n">
        <f aca="false">AVERAGEIFS($E$5:$E$28,$A$5:$A$28,$A32)</f>
        <v>575.25</v>
      </c>
      <c r="F32" s="18" t="n">
        <f aca="false">AVERAGEIFS($F$5:$F$28,$A$5:$A$28,$A32)</f>
        <v>26.1477272727273</v>
      </c>
      <c r="G32" s="18" t="n">
        <f aca="false">AVERAGEIFS($G$5:$G$28,$A$5:$A$28,$A32)</f>
        <v>232.333333333333</v>
      </c>
      <c r="H32" s="18" t="n">
        <f aca="false">AVERAGEIFS($H$5:$H$28,$A$5:$A$28,$A32)</f>
        <v>807.583333333333</v>
      </c>
      <c r="I32" s="15" t="n">
        <f aca="false">AVERAGEIFS($I$5:$I$28,$A$5:$A$28,$A32)</f>
        <v>30.5666666666667</v>
      </c>
      <c r="J32" s="17" t="n">
        <f aca="false">AVERAGEIFS($J$5:$J$28,$A$5:$A$28,$A32)</f>
        <v>0.0643077124151847</v>
      </c>
    </row>
    <row r="33" customFormat="false" ht="15" hidden="false" customHeight="false" outlineLevel="0" collapsed="false">
      <c r="A33" s="13" t="s">
        <v>75</v>
      </c>
      <c r="B33" s="14" t="n">
        <v>3</v>
      </c>
      <c r="C33" s="8"/>
      <c r="D33" s="18" t="n">
        <f aca="false">AVERAGEIFS($D$5:$D$28,$A$5:$A$28,$A33)</f>
        <v>3.83333333333333</v>
      </c>
      <c r="E33" s="18" t="n">
        <f aca="false">AVERAGEIFS($E$5:$E$28,$A$5:$A$28,$A33)</f>
        <v>474.333333333333</v>
      </c>
      <c r="F33" s="18" t="n">
        <f aca="false">AVERAGEIFS($F$5:$F$28,$A$5:$A$28,$A33)</f>
        <v>24.9649122807018</v>
      </c>
      <c r="G33" s="18" t="n">
        <f aca="false">AVERAGEIFS($G$5:$G$28,$A$5:$A$28,$A33)</f>
        <v>210.333333333333</v>
      </c>
      <c r="H33" s="18" t="n">
        <f aca="false">AVERAGEIFS($H$5:$H$28,$A$5:$A$28,$A33)</f>
        <v>684.666666666667</v>
      </c>
      <c r="I33" s="15" t="n">
        <f aca="false">AVERAGEIFS($I$5:$I$28,$A$5:$A$28,$A33)</f>
        <v>18.6</v>
      </c>
      <c r="J33" s="17" t="n">
        <f aca="false">AVERAGEIFS($J$5:$J$28,$A$5:$A$28,$A33)</f>
        <v>0.0462450944956439</v>
      </c>
    </row>
    <row r="34" customFormat="false" ht="15" hidden="false" customHeight="false" outlineLevel="0" collapsed="false">
      <c r="A34" s="13" t="s">
        <v>76</v>
      </c>
      <c r="B34" s="14" t="n">
        <v>7</v>
      </c>
      <c r="C34" s="8"/>
      <c r="D34" s="18" t="n">
        <f aca="false">AVERAGEIFS($D$5:$D$28,$A$5:$A$28,$A34)</f>
        <v>6</v>
      </c>
      <c r="E34" s="18" t="n">
        <f aca="false">AVERAGEIFS($E$5:$E$28,$A$5:$A$28,$A34)</f>
        <v>578.666666666667</v>
      </c>
      <c r="F34" s="18" t="n">
        <f aca="false">AVERAGEIFS($F$5:$F$28,$A$5:$A$28,$A34)</f>
        <v>30.4561403508772</v>
      </c>
      <c r="G34" s="18" t="n">
        <f aca="false">AVERAGEIFS($G$5:$G$28,$A$5:$A$28,$A34)</f>
        <v>230.5</v>
      </c>
      <c r="H34" s="18" t="n">
        <f aca="false">AVERAGEIFS($H$5:$H$28,$A$5:$A$28,$A34)</f>
        <v>809.166666666667</v>
      </c>
      <c r="I34" s="15" t="n">
        <f aca="false">AVERAGEIFS($I$5:$I$28,$A$5:$A$28,$A34)</f>
        <v>22.2333333333333</v>
      </c>
      <c r="J34" s="17" t="n">
        <f aca="false">AVERAGEIFS($J$5:$J$28,$A$5:$A$28,$A34)</f>
        <v>0.052597876567239</v>
      </c>
    </row>
    <row r="35" customFormat="false" ht="15" hidden="false" customHeight="false" outlineLevel="0" collapsed="false">
      <c r="A35" s="13" t="s">
        <v>77</v>
      </c>
      <c r="B35" s="14" t="n">
        <v>11</v>
      </c>
      <c r="C35" s="8"/>
      <c r="D35" s="18" t="n">
        <f aca="false">AVERAGEIFS($D$5:$D$28,$A$5:$A$28,$A35)</f>
        <v>8.16666666666667</v>
      </c>
      <c r="E35" s="18" t="n">
        <f aca="false">AVERAGEIFS($E$5:$E$28,$A$5:$A$28,$A35)</f>
        <v>555.5</v>
      </c>
      <c r="F35" s="18" t="n">
        <f aca="false">AVERAGEIFS($F$5:$F$28,$A$5:$A$28,$A35)</f>
        <v>30.8611111111111</v>
      </c>
      <c r="G35" s="18" t="n">
        <f aca="false">AVERAGEIFS($G$5:$G$28,$A$5:$A$28,$A35)</f>
        <v>227.666666666667</v>
      </c>
      <c r="H35" s="18" t="n">
        <f aca="false">AVERAGEIFS($H$5:$H$28,$A$5:$A$28,$A35)</f>
        <v>783.166666666667</v>
      </c>
      <c r="I35" s="15" t="n">
        <f aca="false">AVERAGEIFS($I$5:$I$28,$A$5:$A$28,$A35)</f>
        <v>34.1833333333333</v>
      </c>
      <c r="J35" s="17" t="n">
        <f aca="false">AVERAGEIFS($J$5:$J$28,$A$5:$A$28,$A35)</f>
        <v>0.0518347923041421</v>
      </c>
    </row>
    <row r="37" customFormat="false" ht="15" hidden="false" customHeight="false" outlineLevel="0" collapsed="false">
      <c r="A37" s="23" t="s">
        <v>208</v>
      </c>
    </row>
    <row r="38" customFormat="false" ht="19.5" hidden="false" customHeight="true" outlineLevel="0" collapsed="false">
      <c r="A38" s="11" t="s">
        <v>209</v>
      </c>
      <c r="B38" s="11"/>
      <c r="C38" s="11"/>
      <c r="D38" s="11"/>
      <c r="E38" s="11" t="s">
        <v>81</v>
      </c>
    </row>
    <row r="39" customFormat="false" ht="15" hidden="false" customHeight="true" outlineLevel="0" collapsed="false">
      <c r="A39" s="7" t="s">
        <v>210</v>
      </c>
      <c r="B39" s="7"/>
      <c r="C39" s="7"/>
      <c r="D39" s="7"/>
      <c r="E39" s="21" t="n">
        <f aca="false">CORREL(E5:E28,D5:D28)</f>
        <v>0.21035603271837</v>
      </c>
    </row>
    <row r="40" customFormat="false" ht="15" hidden="false" customHeight="true" outlineLevel="0" collapsed="false">
      <c r="A40" s="7" t="s">
        <v>211</v>
      </c>
      <c r="B40" s="7"/>
      <c r="C40" s="7"/>
      <c r="D40" s="7"/>
      <c r="E40" s="21" t="n">
        <f aca="false">CORREL(F5:F28,D5:D28)</f>
        <v>0.3528208001734</v>
      </c>
    </row>
    <row r="41" customFormat="false" ht="15" hidden="false" customHeight="true" outlineLevel="0" collapsed="false">
      <c r="A41" s="7" t="s">
        <v>212</v>
      </c>
      <c r="B41" s="7"/>
      <c r="C41" s="7"/>
      <c r="D41" s="7"/>
      <c r="E41" s="21" t="n">
        <f aca="false">CORREL(G5:G28,D5:D28)</f>
        <v>0.158827292582218</v>
      </c>
    </row>
    <row r="42" customFormat="false" ht="15" hidden="false" customHeight="true" outlineLevel="0" collapsed="false">
      <c r="A42" s="7" t="s">
        <v>213</v>
      </c>
      <c r="B42" s="7"/>
      <c r="C42" s="7"/>
      <c r="D42" s="7"/>
      <c r="E42" s="21" t="n">
        <f aca="false">CORREL(H5:H28,D5:D28)</f>
        <v>0.221128744912739</v>
      </c>
    </row>
    <row r="43" customFormat="false" ht="15" hidden="false" customHeight="true" outlineLevel="0" collapsed="false">
      <c r="A43" s="5" t="s">
        <v>34</v>
      </c>
      <c r="B43" s="5"/>
      <c r="C43" s="5"/>
      <c r="D43" s="5"/>
      <c r="E43" s="21" t="n">
        <f aca="false">CORREL(J5:J28,D5:D28)</f>
        <v>0.357795231918494</v>
      </c>
    </row>
    <row r="44" customFormat="false" ht="15" hidden="false" customHeight="false" outlineLevel="0" collapsed="false">
      <c r="A44" s="38" t="s">
        <v>214</v>
      </c>
    </row>
    <row r="46" customFormat="false" ht="15" hidden="false" customHeight="false" outlineLevel="0" collapsed="false">
      <c r="A46" s="23" t="s">
        <v>215</v>
      </c>
    </row>
    <row r="47" customFormat="false" ht="48" hidden="false" customHeight="true" outlineLevel="0" collapsed="false">
      <c r="A47" s="11" t="s">
        <v>216</v>
      </c>
      <c r="B47" s="11"/>
      <c r="C47" s="11"/>
      <c r="D47" s="11" t="s">
        <v>217</v>
      </c>
      <c r="E47" s="12" t="s">
        <v>196</v>
      </c>
      <c r="F47" s="12" t="s">
        <v>203</v>
      </c>
      <c r="G47" s="12" t="s">
        <v>197</v>
      </c>
      <c r="H47" s="12" t="s">
        <v>204</v>
      </c>
    </row>
    <row r="48" customFormat="false" ht="15" hidden="false" customHeight="true" outlineLevel="0" collapsed="false">
      <c r="A48" s="8" t="s">
        <v>218</v>
      </c>
      <c r="B48" s="8"/>
      <c r="C48" s="8"/>
      <c r="D48" s="14" t="n">
        <f aca="false">COUNTIFS($D$5:$D$28,"&lt;=3")</f>
        <v>9</v>
      </c>
      <c r="E48" s="18" t="n">
        <f aca="false">AVERAGEIFS(E$5:E$28,$D$5:$D$28,"&lt;=3")</f>
        <v>529.944444444445</v>
      </c>
      <c r="F48" s="18" t="n">
        <f aca="false">AVERAGEIFS(F$5:F$28,$D$5:$D$28,"&lt;=3")</f>
        <v>26.6789089727686</v>
      </c>
      <c r="G48" s="18" t="n">
        <f aca="false">AVERAGEIFS(G$5:G$28,$D$5:$D$28,"&lt;=3")</f>
        <v>216.777777777778</v>
      </c>
      <c r="H48" s="18" t="n">
        <f aca="false">AVERAGEIFS(H$5:H$28,$D$5:$D$28,"&lt;=3")</f>
        <v>746.722222222222</v>
      </c>
    </row>
    <row r="49" customFormat="false" ht="15" hidden="false" customHeight="true" outlineLevel="0" collapsed="false">
      <c r="A49" s="8" t="s">
        <v>219</v>
      </c>
      <c r="B49" s="8"/>
      <c r="C49" s="8"/>
      <c r="D49" s="14" t="n">
        <f aca="false">COUNTIFS($D$5:$D$28,"&gt;3")</f>
        <v>15</v>
      </c>
      <c r="E49" s="18" t="n">
        <f aca="false">AVERAGEIFS(E$5:E$28,$D$5:$D$28,"&gt;3")</f>
        <v>555.533333333333</v>
      </c>
      <c r="F49" s="18" t="n">
        <f aca="false">AVERAGEIFS(F$5:F$28,$D$5:$D$28,"&gt;3")</f>
        <v>28.9646110225058</v>
      </c>
      <c r="G49" s="18" t="n">
        <f aca="false">AVERAGEIFS(G$5:G$28,$D$5:$D$28,"&gt;3")</f>
        <v>230.266666666667</v>
      </c>
      <c r="H49" s="18" t="n">
        <f aca="false">AVERAGEIFS(H$5:H$28,$D$5:$D$28,"&gt;3")</f>
        <v>785.8</v>
      </c>
    </row>
  </sheetData>
  <autoFilter ref="A4:J28"/>
  <mergeCells count="10">
    <mergeCell ref="A2:J2"/>
    <mergeCell ref="A38:D38"/>
    <mergeCell ref="A39:D39"/>
    <mergeCell ref="A40:D40"/>
    <mergeCell ref="A41:D41"/>
    <mergeCell ref="A42:D42"/>
    <mergeCell ref="A43:D43"/>
    <mergeCell ref="A47:C47"/>
    <mergeCell ref="A48:C48"/>
    <mergeCell ref="A49:C49"/>
  </mergeCells>
  <conditionalFormatting sqref="D5:D28">
    <cfRule type="expression" priority="2" aboveAverage="0" equalAverage="0" bottom="0" percent="0" rank="0" text="" dxfId="28">
      <formula>$D5=1</formula>
    </cfRule>
  </conditionalFormatting>
  <conditionalFormatting sqref="F5:F28">
    <cfRule type="colorScale" priority="3">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99B"/>
    <pageSetUpPr fitToPage="true"/>
  </sheetPr>
  <dimension ref="A1:M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8"/>
    <col collapsed="false" customWidth="true" hidden="false" outlineLevel="0" max="4" min="4" style="0" width="2"/>
    <col collapsed="false" customWidth="true" hidden="false" outlineLevel="0" max="5" min="5" style="0" width="12"/>
    <col collapsed="false" customWidth="true" hidden="false" outlineLevel="0" max="6" min="6" style="0" width="8"/>
    <col collapsed="false" customWidth="true" hidden="false" outlineLevel="0" max="7" min="7" style="0" width="2"/>
    <col collapsed="false" customWidth="true" hidden="false" outlineLevel="0" max="8" min="8" style="0" width="12"/>
    <col collapsed="false" customWidth="true" hidden="false" outlineLevel="0" max="9" min="9" style="0" width="8"/>
    <col collapsed="false" customWidth="true" hidden="false" outlineLevel="0" max="10" min="10" style="0" width="2"/>
    <col collapsed="false" customWidth="true" hidden="false" outlineLevel="0" max="11" min="11" style="0" width="12"/>
    <col collapsed="false" customWidth="true" hidden="false" outlineLevel="0" max="12" min="12" style="0" width="8"/>
    <col collapsed="false" customWidth="true" hidden="false" outlineLevel="0" max="13" min="13" style="0" width="2"/>
  </cols>
  <sheetData>
    <row r="1" customFormat="false" ht="19.4" hidden="false" customHeight="false" outlineLevel="0" collapsed="false">
      <c r="A1" s="9" t="s">
        <v>220</v>
      </c>
    </row>
    <row r="2" customFormat="false" ht="30" hidden="false" customHeight="true" outlineLevel="0" collapsed="false">
      <c r="A2" s="10" t="s">
        <v>221</v>
      </c>
      <c r="B2" s="10"/>
      <c r="C2" s="10"/>
      <c r="D2" s="10"/>
      <c r="E2" s="10"/>
      <c r="F2" s="10"/>
      <c r="G2" s="10"/>
      <c r="H2" s="10"/>
      <c r="I2" s="10"/>
      <c r="J2" s="10"/>
      <c r="K2" s="10"/>
      <c r="L2" s="10"/>
      <c r="M2" s="10"/>
    </row>
    <row r="4" customFormat="false" ht="15" hidden="false" customHeight="false" outlineLevel="0" collapsed="false">
      <c r="A4" s="39" t="s">
        <v>222</v>
      </c>
    </row>
    <row r="5" customFormat="false" ht="33.75" hidden="false" customHeight="true" outlineLevel="0" collapsed="false">
      <c r="A5" s="11" t="s">
        <v>223</v>
      </c>
      <c r="B5" s="12" t="s">
        <v>224</v>
      </c>
      <c r="C5" s="12" t="s">
        <v>225</v>
      </c>
      <c r="D5" s="40"/>
      <c r="E5" s="12" t="s">
        <v>226</v>
      </c>
      <c r="F5" s="12" t="s">
        <v>225</v>
      </c>
      <c r="G5" s="40"/>
      <c r="H5" s="12" t="s">
        <v>227</v>
      </c>
      <c r="I5" s="12" t="s">
        <v>225</v>
      </c>
      <c r="J5" s="40"/>
      <c r="K5" s="12" t="s">
        <v>228</v>
      </c>
      <c r="L5" s="12" t="s">
        <v>225</v>
      </c>
    </row>
    <row r="6" customFormat="false" ht="15" hidden="false" customHeight="false" outlineLevel="0" collapsed="false">
      <c r="A6" s="14" t="n">
        <v>1</v>
      </c>
      <c r="B6" s="8" t="s">
        <v>229</v>
      </c>
      <c r="C6" s="18" t="n">
        <v>34.14</v>
      </c>
      <c r="E6" s="8" t="s">
        <v>189</v>
      </c>
      <c r="F6" s="18" t="n">
        <v>34.63</v>
      </c>
      <c r="H6" s="41" t="s">
        <v>189</v>
      </c>
      <c r="I6" s="42" t="n">
        <v>37.95</v>
      </c>
      <c r="K6" s="8" t="s">
        <v>186</v>
      </c>
      <c r="L6" s="18" t="n">
        <v>35.83</v>
      </c>
    </row>
    <row r="7" customFormat="false" ht="15" hidden="false" customHeight="false" outlineLevel="0" collapsed="false">
      <c r="A7" s="14" t="n">
        <v>2</v>
      </c>
      <c r="B7" s="8" t="s">
        <v>170</v>
      </c>
      <c r="C7" s="18" t="n">
        <v>32.64</v>
      </c>
      <c r="E7" s="8" t="s">
        <v>230</v>
      </c>
      <c r="F7" s="18" t="n">
        <v>34.32</v>
      </c>
      <c r="H7" s="8" t="s">
        <v>231</v>
      </c>
      <c r="I7" s="18" t="n">
        <v>36.89</v>
      </c>
      <c r="K7" s="8" t="s">
        <v>232</v>
      </c>
      <c r="L7" s="18" t="n">
        <v>35.17</v>
      </c>
    </row>
    <row r="8" customFormat="false" ht="15" hidden="false" customHeight="false" outlineLevel="0" collapsed="false">
      <c r="A8" s="14" t="n">
        <v>3</v>
      </c>
      <c r="B8" s="41" t="s">
        <v>178</v>
      </c>
      <c r="C8" s="42" t="n">
        <v>32.18</v>
      </c>
      <c r="E8" s="8" t="s">
        <v>233</v>
      </c>
      <c r="F8" s="18" t="n">
        <v>34.26</v>
      </c>
      <c r="H8" s="8" t="s">
        <v>234</v>
      </c>
      <c r="I8" s="18" t="n">
        <v>33.16</v>
      </c>
      <c r="K8" s="41" t="s">
        <v>193</v>
      </c>
      <c r="L8" s="42" t="n">
        <v>34.39</v>
      </c>
    </row>
    <row r="9" customFormat="false" ht="15" hidden="false" customHeight="false" outlineLevel="0" collapsed="false">
      <c r="A9" s="14" t="n">
        <v>4</v>
      </c>
      <c r="B9" s="8" t="s">
        <v>235</v>
      </c>
      <c r="C9" s="18" t="n">
        <v>31.23</v>
      </c>
      <c r="E9" s="8" t="s">
        <v>229</v>
      </c>
      <c r="F9" s="18" t="n">
        <v>33.42</v>
      </c>
      <c r="H9" s="8" t="s">
        <v>236</v>
      </c>
      <c r="I9" s="18" t="n">
        <v>32.89</v>
      </c>
      <c r="K9" s="41" t="s">
        <v>185</v>
      </c>
      <c r="L9" s="42" t="n">
        <v>34.22</v>
      </c>
    </row>
    <row r="10" customFormat="false" ht="15" hidden="false" customHeight="false" outlineLevel="0" collapsed="false">
      <c r="A10" s="14" t="n">
        <v>5</v>
      </c>
      <c r="B10" s="8" t="s">
        <v>237</v>
      </c>
      <c r="C10" s="18" t="n">
        <v>31.23</v>
      </c>
      <c r="E10" s="8" t="s">
        <v>238</v>
      </c>
      <c r="F10" s="18" t="n">
        <v>32.37</v>
      </c>
      <c r="H10" s="8" t="s">
        <v>238</v>
      </c>
      <c r="I10" s="18" t="n">
        <v>32.79</v>
      </c>
      <c r="K10" s="8" t="s">
        <v>239</v>
      </c>
      <c r="L10" s="18" t="n">
        <v>33.44</v>
      </c>
    </row>
    <row r="11" customFormat="false" ht="15" hidden="false" customHeight="false" outlineLevel="0" collapsed="false">
      <c r="A11" s="14" t="n">
        <v>6</v>
      </c>
      <c r="B11" s="8" t="s">
        <v>240</v>
      </c>
      <c r="C11" s="18" t="n">
        <v>31.09</v>
      </c>
      <c r="E11" s="8" t="s">
        <v>241</v>
      </c>
      <c r="F11" s="18" t="n">
        <v>32.37</v>
      </c>
      <c r="H11" s="8" t="s">
        <v>242</v>
      </c>
      <c r="I11" s="18" t="n">
        <v>32.74</v>
      </c>
      <c r="K11" s="8" t="s">
        <v>231</v>
      </c>
      <c r="L11" s="18" t="n">
        <v>33.22</v>
      </c>
    </row>
    <row r="12" customFormat="false" ht="15" hidden="false" customHeight="false" outlineLevel="0" collapsed="false">
      <c r="A12" s="14" t="n">
        <v>7</v>
      </c>
      <c r="B12" s="8" t="s">
        <v>243</v>
      </c>
      <c r="C12" s="18" t="n">
        <v>30.14</v>
      </c>
      <c r="E12" s="8" t="s">
        <v>244</v>
      </c>
      <c r="F12" s="18" t="n">
        <v>32</v>
      </c>
      <c r="H12" s="8" t="s">
        <v>193</v>
      </c>
      <c r="I12" s="18" t="n">
        <v>32.74</v>
      </c>
      <c r="K12" s="41" t="s">
        <v>178</v>
      </c>
      <c r="L12" s="42" t="n">
        <v>33.06</v>
      </c>
    </row>
    <row r="13" customFormat="false" ht="15" hidden="false" customHeight="false" outlineLevel="0" collapsed="false">
      <c r="A13" s="14" t="n">
        <v>8</v>
      </c>
      <c r="B13" s="8" t="s">
        <v>171</v>
      </c>
      <c r="C13" s="18" t="n">
        <v>30</v>
      </c>
      <c r="E13" s="8" t="s">
        <v>237</v>
      </c>
      <c r="F13" s="18" t="n">
        <v>31.95</v>
      </c>
      <c r="H13" s="41" t="s">
        <v>185</v>
      </c>
      <c r="I13" s="42" t="n">
        <v>32.21</v>
      </c>
      <c r="K13" s="8" t="s">
        <v>245</v>
      </c>
      <c r="L13" s="18" t="n">
        <v>32.94</v>
      </c>
    </row>
    <row r="14" customFormat="false" ht="15" hidden="false" customHeight="false" outlineLevel="0" collapsed="false">
      <c r="A14" s="14" t="n">
        <v>9</v>
      </c>
      <c r="B14" s="8" t="s">
        <v>233</v>
      </c>
      <c r="C14" s="18" t="n">
        <v>29.64</v>
      </c>
      <c r="E14" s="8" t="s">
        <v>231</v>
      </c>
      <c r="F14" s="18" t="n">
        <v>31.53</v>
      </c>
      <c r="H14" s="8" t="s">
        <v>246</v>
      </c>
      <c r="I14" s="18" t="n">
        <v>31.58</v>
      </c>
      <c r="K14" s="8" t="s">
        <v>247</v>
      </c>
      <c r="L14" s="18" t="n">
        <v>32.22</v>
      </c>
    </row>
    <row r="15" customFormat="false" ht="15" hidden="false" customHeight="false" outlineLevel="0" collapsed="false">
      <c r="A15" s="14" t="n">
        <v>10</v>
      </c>
      <c r="B15" s="8" t="s">
        <v>234</v>
      </c>
      <c r="C15" s="18" t="n">
        <v>29.55</v>
      </c>
      <c r="E15" s="8" t="s">
        <v>185</v>
      </c>
      <c r="F15" s="18" t="n">
        <v>31.37</v>
      </c>
      <c r="H15" s="8" t="s">
        <v>248</v>
      </c>
      <c r="I15" s="18" t="n">
        <v>31.58</v>
      </c>
      <c r="K15" s="8" t="s">
        <v>230</v>
      </c>
      <c r="L15" s="18" t="n">
        <v>31.67</v>
      </c>
    </row>
    <row r="16" customFormat="false" ht="15" hidden="false" customHeight="false" outlineLevel="0" collapsed="false">
      <c r="A16" s="14" t="n">
        <v>11</v>
      </c>
      <c r="B16" s="41" t="s">
        <v>176</v>
      </c>
      <c r="C16" s="42" t="n">
        <v>29.41</v>
      </c>
      <c r="E16" s="8" t="s">
        <v>178</v>
      </c>
      <c r="F16" s="18" t="n">
        <v>31.05</v>
      </c>
      <c r="H16" s="41" t="s">
        <v>188</v>
      </c>
      <c r="I16" s="42" t="n">
        <v>31.11</v>
      </c>
      <c r="K16" s="8" t="s">
        <v>249</v>
      </c>
      <c r="L16" s="18" t="n">
        <v>31.06</v>
      </c>
    </row>
    <row r="17" customFormat="false" ht="15" hidden="false" customHeight="false" outlineLevel="0" collapsed="false">
      <c r="A17" s="14" t="n">
        <v>12</v>
      </c>
      <c r="B17" s="8" t="s">
        <v>250</v>
      </c>
      <c r="C17" s="18" t="n">
        <v>29.14</v>
      </c>
      <c r="E17" s="8" t="s">
        <v>251</v>
      </c>
      <c r="F17" s="18" t="n">
        <v>30.68</v>
      </c>
      <c r="H17" s="8" t="s">
        <v>241</v>
      </c>
      <c r="I17" s="18" t="n">
        <v>31.05</v>
      </c>
      <c r="K17" s="8" t="s">
        <v>252</v>
      </c>
      <c r="L17" s="18" t="n">
        <v>30.89</v>
      </c>
    </row>
    <row r="18" customFormat="false" ht="15" hidden="false" customHeight="false" outlineLevel="0" collapsed="false">
      <c r="A18" s="14" t="n">
        <v>13</v>
      </c>
      <c r="B18" s="8" t="s">
        <v>246</v>
      </c>
      <c r="C18" s="18" t="n">
        <v>29</v>
      </c>
      <c r="E18" s="8" t="s">
        <v>246</v>
      </c>
      <c r="F18" s="18" t="n">
        <v>30.53</v>
      </c>
      <c r="H18" s="8" t="s">
        <v>253</v>
      </c>
      <c r="I18" s="18" t="n">
        <v>30.68</v>
      </c>
      <c r="K18" s="8" t="s">
        <v>254</v>
      </c>
      <c r="L18" s="18" t="n">
        <v>30.61</v>
      </c>
    </row>
    <row r="19" customFormat="false" ht="15" hidden="false" customHeight="false" outlineLevel="0" collapsed="false">
      <c r="A19" s="14" t="n">
        <v>14</v>
      </c>
      <c r="B19" s="8" t="s">
        <v>255</v>
      </c>
      <c r="C19" s="18" t="n">
        <v>28.91</v>
      </c>
      <c r="E19" s="8" t="s">
        <v>250</v>
      </c>
      <c r="F19" s="18" t="n">
        <v>30.26</v>
      </c>
      <c r="H19" s="8" t="s">
        <v>245</v>
      </c>
      <c r="I19" s="18" t="n">
        <v>30.58</v>
      </c>
      <c r="K19" s="8" t="s">
        <v>253</v>
      </c>
      <c r="L19" s="18" t="n">
        <v>30.56</v>
      </c>
    </row>
    <row r="20" customFormat="false" ht="15" hidden="false" customHeight="false" outlineLevel="0" collapsed="false">
      <c r="A20" s="14" t="n">
        <v>15</v>
      </c>
      <c r="B20" s="8" t="s">
        <v>251</v>
      </c>
      <c r="C20" s="18" t="n">
        <v>28.59</v>
      </c>
      <c r="E20" s="8" t="s">
        <v>255</v>
      </c>
      <c r="F20" s="18" t="n">
        <v>29.74</v>
      </c>
      <c r="H20" s="8" t="s">
        <v>256</v>
      </c>
      <c r="I20" s="18" t="n">
        <v>30.21</v>
      </c>
      <c r="K20" s="8" t="s">
        <v>251</v>
      </c>
      <c r="L20" s="18" t="n">
        <v>29.56</v>
      </c>
    </row>
    <row r="21" customFormat="false" ht="15" hidden="false" customHeight="false" outlineLevel="0" collapsed="false">
      <c r="A21" s="14" t="n">
        <v>16</v>
      </c>
      <c r="B21" s="8" t="s">
        <v>257</v>
      </c>
      <c r="C21" s="18" t="n">
        <v>28.09</v>
      </c>
      <c r="E21" s="8" t="s">
        <v>235</v>
      </c>
      <c r="F21" s="18" t="n">
        <v>29.47</v>
      </c>
      <c r="H21" s="8" t="s">
        <v>258</v>
      </c>
      <c r="I21" s="18" t="n">
        <v>30.05</v>
      </c>
      <c r="K21" s="8" t="s">
        <v>259</v>
      </c>
      <c r="L21" s="18" t="n">
        <v>28.56</v>
      </c>
    </row>
    <row r="22" customFormat="false" ht="15" hidden="false" customHeight="false" outlineLevel="0" collapsed="false">
      <c r="A22" s="14" t="n">
        <v>17</v>
      </c>
      <c r="B22" s="8" t="s">
        <v>238</v>
      </c>
      <c r="C22" s="18" t="n">
        <v>27.73</v>
      </c>
      <c r="E22" s="8" t="s">
        <v>236</v>
      </c>
      <c r="F22" s="18" t="n">
        <v>29.47</v>
      </c>
      <c r="H22" s="8" t="s">
        <v>251</v>
      </c>
      <c r="I22" s="18" t="n">
        <v>29.32</v>
      </c>
      <c r="K22" s="8" t="s">
        <v>260</v>
      </c>
      <c r="L22" s="18" t="n">
        <v>28.56</v>
      </c>
    </row>
    <row r="23" customFormat="false" ht="15" hidden="false" customHeight="false" outlineLevel="0" collapsed="false">
      <c r="A23" s="14" t="n">
        <v>18</v>
      </c>
      <c r="B23" s="8" t="s">
        <v>261</v>
      </c>
      <c r="C23" s="18" t="n">
        <v>27.45</v>
      </c>
      <c r="E23" s="8" t="s">
        <v>253</v>
      </c>
      <c r="F23" s="18" t="n">
        <v>29.37</v>
      </c>
      <c r="H23" s="41" t="s">
        <v>186</v>
      </c>
      <c r="I23" s="42" t="n">
        <v>29.26</v>
      </c>
      <c r="K23" s="8" t="s">
        <v>258</v>
      </c>
      <c r="L23" s="18" t="n">
        <v>28.17</v>
      </c>
    </row>
    <row r="24" customFormat="false" ht="15" hidden="false" customHeight="false" outlineLevel="0" collapsed="false">
      <c r="A24" s="14" t="n">
        <v>19</v>
      </c>
      <c r="B24" s="8" t="s">
        <v>249</v>
      </c>
      <c r="C24" s="18" t="n">
        <v>27.45</v>
      </c>
      <c r="E24" s="8" t="s">
        <v>262</v>
      </c>
      <c r="F24" s="18" t="n">
        <v>29.05</v>
      </c>
      <c r="H24" s="8" t="s">
        <v>263</v>
      </c>
      <c r="I24" s="18" t="n">
        <v>29.05</v>
      </c>
      <c r="K24" s="8" t="s">
        <v>264</v>
      </c>
      <c r="L24" s="18" t="n">
        <v>28.06</v>
      </c>
    </row>
    <row r="25" customFormat="false" ht="15" hidden="false" customHeight="false" outlineLevel="0" collapsed="false">
      <c r="A25" s="14" t="n">
        <v>20</v>
      </c>
      <c r="B25" s="8" t="s">
        <v>236</v>
      </c>
      <c r="C25" s="18" t="n">
        <v>26.95</v>
      </c>
      <c r="E25" s="8" t="s">
        <v>187</v>
      </c>
      <c r="F25" s="18" t="n">
        <v>29.05</v>
      </c>
      <c r="H25" s="8" t="s">
        <v>255</v>
      </c>
      <c r="I25" s="18" t="n">
        <v>27.32</v>
      </c>
      <c r="K25" s="8" t="s">
        <v>238</v>
      </c>
      <c r="L25" s="18" t="n">
        <v>27.89</v>
      </c>
    </row>
    <row r="26" customFormat="false" ht="15" hidden="false" customHeight="false" outlineLevel="0" collapsed="false">
      <c r="A26" s="14" t="n">
        <v>21</v>
      </c>
      <c r="B26" s="8" t="s">
        <v>265</v>
      </c>
      <c r="C26" s="18" t="n">
        <v>26.91</v>
      </c>
      <c r="E26" s="8" t="s">
        <v>249</v>
      </c>
      <c r="F26" s="18" t="n">
        <v>28.63</v>
      </c>
      <c r="H26" s="8" t="s">
        <v>192</v>
      </c>
      <c r="I26" s="18" t="n">
        <v>27.26</v>
      </c>
      <c r="K26" s="41" t="s">
        <v>190</v>
      </c>
      <c r="L26" s="42" t="n">
        <v>27.89</v>
      </c>
    </row>
    <row r="27" customFormat="false" ht="15" hidden="false" customHeight="false" outlineLevel="0" collapsed="false">
      <c r="A27" s="14" t="n">
        <v>22</v>
      </c>
      <c r="B27" s="8" t="s">
        <v>266</v>
      </c>
      <c r="C27" s="18" t="n">
        <v>26.36</v>
      </c>
      <c r="E27" s="8" t="s">
        <v>267</v>
      </c>
      <c r="F27" s="18" t="n">
        <v>28.58</v>
      </c>
      <c r="H27" s="8" t="s">
        <v>182</v>
      </c>
      <c r="I27" s="18" t="n">
        <v>27</v>
      </c>
      <c r="K27" s="8" t="s">
        <v>268</v>
      </c>
      <c r="L27" s="18" t="n">
        <v>27.89</v>
      </c>
    </row>
    <row r="28" customFormat="false" ht="15" hidden="false" customHeight="false" outlineLevel="0" collapsed="false">
      <c r="A28" s="14" t="n">
        <v>23</v>
      </c>
      <c r="B28" s="8" t="s">
        <v>182</v>
      </c>
      <c r="C28" s="18" t="n">
        <v>26.18</v>
      </c>
      <c r="E28" s="8" t="s">
        <v>232</v>
      </c>
      <c r="F28" s="18" t="n">
        <v>28.47</v>
      </c>
      <c r="H28" s="8" t="s">
        <v>266</v>
      </c>
      <c r="I28" s="18" t="n">
        <v>26.79</v>
      </c>
      <c r="K28" s="41" t="s">
        <v>192</v>
      </c>
      <c r="L28" s="42" t="n">
        <v>27.83</v>
      </c>
    </row>
    <row r="29" customFormat="false" ht="15" hidden="false" customHeight="false" outlineLevel="0" collapsed="false">
      <c r="A29" s="14" t="n">
        <v>24</v>
      </c>
      <c r="B29" s="41" t="s">
        <v>177</v>
      </c>
      <c r="C29" s="42" t="n">
        <v>25.86</v>
      </c>
      <c r="E29" s="41" t="s">
        <v>183</v>
      </c>
      <c r="F29" s="42" t="n">
        <v>28.21</v>
      </c>
      <c r="H29" s="8" t="s">
        <v>269</v>
      </c>
      <c r="I29" s="18" t="n">
        <v>26.79</v>
      </c>
      <c r="K29" s="41" t="s">
        <v>187</v>
      </c>
      <c r="L29" s="42" t="n">
        <v>27.78</v>
      </c>
    </row>
    <row r="30" customFormat="false" ht="15" hidden="false" customHeight="false" outlineLevel="0" collapsed="false">
      <c r="A30" s="14" t="n">
        <v>25</v>
      </c>
      <c r="B30" s="8" t="s">
        <v>270</v>
      </c>
      <c r="C30" s="18" t="n">
        <v>25.86</v>
      </c>
      <c r="E30" s="8" t="s">
        <v>271</v>
      </c>
      <c r="F30" s="18" t="n">
        <v>28.16</v>
      </c>
      <c r="H30" s="8" t="s">
        <v>272</v>
      </c>
      <c r="I30" s="18" t="n">
        <v>26.68</v>
      </c>
      <c r="K30" s="8" t="s">
        <v>273</v>
      </c>
      <c r="L30" s="18" t="n">
        <v>27.56</v>
      </c>
    </row>
    <row r="31" customFormat="false" ht="15" hidden="false" customHeight="false" outlineLevel="0" collapsed="false">
      <c r="A31" s="14" t="n">
        <v>26</v>
      </c>
      <c r="B31" s="8" t="s">
        <v>244</v>
      </c>
      <c r="C31" s="18" t="n">
        <v>25.85</v>
      </c>
      <c r="E31" s="8" t="s">
        <v>259</v>
      </c>
      <c r="F31" s="18" t="n">
        <v>28.11</v>
      </c>
      <c r="H31" s="8" t="s">
        <v>178</v>
      </c>
      <c r="I31" s="18" t="n">
        <v>26.68</v>
      </c>
      <c r="K31" s="8" t="s">
        <v>274</v>
      </c>
      <c r="L31" s="18" t="n">
        <v>27.56</v>
      </c>
    </row>
    <row r="32" customFormat="false" ht="15" hidden="false" customHeight="false" outlineLevel="0" collapsed="false">
      <c r="A32" s="14" t="n">
        <v>27</v>
      </c>
      <c r="B32" s="8" t="s">
        <v>272</v>
      </c>
      <c r="C32" s="18" t="n">
        <v>25.5</v>
      </c>
      <c r="E32" s="8" t="s">
        <v>275</v>
      </c>
      <c r="F32" s="18" t="n">
        <v>27.79</v>
      </c>
      <c r="H32" s="8" t="s">
        <v>259</v>
      </c>
      <c r="I32" s="18" t="n">
        <v>26.68</v>
      </c>
      <c r="K32" s="8" t="s">
        <v>242</v>
      </c>
      <c r="L32" s="18" t="n">
        <v>27</v>
      </c>
    </row>
    <row r="33" customFormat="false" ht="15" hidden="false" customHeight="false" outlineLevel="0" collapsed="false">
      <c r="A33" s="14" t="n">
        <v>28</v>
      </c>
      <c r="B33" s="41" t="s">
        <v>173</v>
      </c>
      <c r="C33" s="42" t="n">
        <v>25.41</v>
      </c>
      <c r="E33" s="8" t="s">
        <v>266</v>
      </c>
      <c r="F33" s="18" t="n">
        <v>27.16</v>
      </c>
      <c r="H33" s="8" t="s">
        <v>267</v>
      </c>
      <c r="I33" s="18" t="n">
        <v>26.32</v>
      </c>
      <c r="K33" s="8" t="s">
        <v>236</v>
      </c>
      <c r="L33" s="18" t="n">
        <v>26.56</v>
      </c>
    </row>
    <row r="34" customFormat="false" ht="15" hidden="false" customHeight="false" outlineLevel="0" collapsed="false">
      <c r="A34" s="14" t="n">
        <v>29</v>
      </c>
      <c r="B34" s="8" t="s">
        <v>276</v>
      </c>
      <c r="C34" s="18" t="n">
        <v>25.05</v>
      </c>
      <c r="E34" s="8" t="s">
        <v>277</v>
      </c>
      <c r="F34" s="18" t="n">
        <v>27.11</v>
      </c>
      <c r="H34" s="41" t="s">
        <v>175</v>
      </c>
      <c r="I34" s="42" t="n">
        <v>26.11</v>
      </c>
      <c r="K34" s="8" t="s">
        <v>278</v>
      </c>
      <c r="L34" s="18" t="n">
        <v>26.56</v>
      </c>
    </row>
    <row r="35" customFormat="false" ht="15" hidden="false" customHeight="false" outlineLevel="0" collapsed="false">
      <c r="A35" s="14" t="n">
        <v>30</v>
      </c>
      <c r="B35" s="8" t="s">
        <v>279</v>
      </c>
      <c r="C35" s="18" t="n">
        <v>24.5</v>
      </c>
      <c r="E35" s="8" t="s">
        <v>254</v>
      </c>
      <c r="F35" s="18" t="n">
        <v>26.89</v>
      </c>
      <c r="H35" s="41" t="s">
        <v>187</v>
      </c>
      <c r="I35" s="42" t="n">
        <v>26.11</v>
      </c>
      <c r="K35" s="8" t="s">
        <v>280</v>
      </c>
      <c r="L35" s="18" t="n">
        <v>26.39</v>
      </c>
    </row>
    <row r="36" customFormat="false" ht="15" hidden="false" customHeight="false" outlineLevel="0" collapsed="false">
      <c r="A36" s="14" t="n">
        <v>31</v>
      </c>
      <c r="B36" s="41" t="s">
        <v>175</v>
      </c>
      <c r="C36" s="42" t="n">
        <v>23.16</v>
      </c>
      <c r="E36" s="41" t="s">
        <v>182</v>
      </c>
      <c r="F36" s="42" t="n">
        <v>26.32</v>
      </c>
      <c r="H36" s="8" t="s">
        <v>275</v>
      </c>
      <c r="I36" s="18" t="n">
        <v>25.74</v>
      </c>
      <c r="K36" s="8" t="s">
        <v>248</v>
      </c>
      <c r="L36" s="18" t="n">
        <v>26</v>
      </c>
    </row>
    <row r="37" customFormat="false" ht="15" hidden="false" customHeight="false" outlineLevel="0" collapsed="false">
      <c r="A37" s="14" t="n">
        <v>32</v>
      </c>
      <c r="B37" s="8" t="s">
        <v>230</v>
      </c>
      <c r="C37" s="18" t="n">
        <v>22.27</v>
      </c>
      <c r="E37" s="8" t="s">
        <v>192</v>
      </c>
      <c r="F37" s="18" t="n">
        <v>25.89</v>
      </c>
      <c r="H37" s="8" t="s">
        <v>249</v>
      </c>
      <c r="I37" s="18" t="n">
        <v>25.11</v>
      </c>
      <c r="K37" s="8" t="s">
        <v>263</v>
      </c>
      <c r="L37" s="18" t="n">
        <v>25.94</v>
      </c>
    </row>
    <row r="38" customFormat="false" ht="15" hidden="false" customHeight="false" outlineLevel="0" collapsed="false">
      <c r="A38" s="14" t="n">
        <v>33</v>
      </c>
      <c r="B38" s="41" t="s">
        <v>179</v>
      </c>
      <c r="C38" s="42" t="n">
        <v>20.86</v>
      </c>
      <c r="E38" s="41" t="s">
        <v>173</v>
      </c>
      <c r="F38" s="42" t="n">
        <v>25.53</v>
      </c>
      <c r="H38" s="8" t="s">
        <v>264</v>
      </c>
      <c r="I38" s="18" t="n">
        <v>25.11</v>
      </c>
      <c r="K38" s="8" t="s">
        <v>269</v>
      </c>
      <c r="L38" s="18" t="n">
        <v>25.83</v>
      </c>
    </row>
    <row r="39" customFormat="false" ht="15" hidden="false" customHeight="false" outlineLevel="0" collapsed="false">
      <c r="A39" s="14" t="n">
        <v>34</v>
      </c>
      <c r="B39" s="8" t="s">
        <v>189</v>
      </c>
      <c r="C39" s="18" t="n">
        <v>20.64</v>
      </c>
      <c r="E39" s="8" t="s">
        <v>276</v>
      </c>
      <c r="F39" s="18" t="n">
        <v>24.68</v>
      </c>
      <c r="H39" s="8" t="s">
        <v>276</v>
      </c>
      <c r="I39" s="18" t="n">
        <v>24.53</v>
      </c>
      <c r="K39" s="8" t="s">
        <v>188</v>
      </c>
      <c r="L39" s="18" t="n">
        <v>25.78</v>
      </c>
    </row>
    <row r="40" customFormat="false" ht="15" hidden="false" customHeight="false" outlineLevel="0" collapsed="false">
      <c r="A40" s="14" t="n">
        <v>35</v>
      </c>
      <c r="B40" s="8" t="s">
        <v>267</v>
      </c>
      <c r="C40" s="18" t="n">
        <v>20.45</v>
      </c>
      <c r="E40" s="41" t="s">
        <v>184</v>
      </c>
      <c r="F40" s="42" t="n">
        <v>24.37</v>
      </c>
      <c r="H40" s="8" t="s">
        <v>281</v>
      </c>
      <c r="I40" s="18" t="n">
        <v>23.05</v>
      </c>
      <c r="K40" s="8" t="s">
        <v>256</v>
      </c>
      <c r="L40" s="18" t="n">
        <v>24.33</v>
      </c>
    </row>
    <row r="41" customFormat="false" ht="15" hidden="false" customHeight="false" outlineLevel="0" collapsed="false">
      <c r="A41" s="8" t="s">
        <v>282</v>
      </c>
      <c r="C41" s="18" t="n">
        <f aca="false">AVERAGE(C6:C40)</f>
        <v>27.412</v>
      </c>
      <c r="F41" s="18" t="n">
        <f aca="false">AVERAGE(F6:F40)</f>
        <v>29.5082857142857</v>
      </c>
      <c r="I41" s="18" t="n">
        <f aca="false">AVERAGE(I6:I40)</f>
        <v>29.232</v>
      </c>
      <c r="L41" s="18" t="n">
        <f aca="false">AVERAGE(L6:L40)</f>
        <v>29.4565714285714</v>
      </c>
    </row>
    <row r="44" customFormat="false" ht="15" hidden="false" customHeight="false" outlineLevel="0" collapsed="false">
      <c r="A44" s="39" t="s">
        <v>283</v>
      </c>
    </row>
    <row r="45" customFormat="false" ht="33.75" hidden="false" customHeight="true" outlineLevel="0" collapsed="false">
      <c r="A45" s="11" t="s">
        <v>223</v>
      </c>
      <c r="B45" s="12" t="s">
        <v>284</v>
      </c>
      <c r="C45" s="12" t="s">
        <v>225</v>
      </c>
      <c r="D45" s="40"/>
      <c r="E45" s="12" t="s">
        <v>285</v>
      </c>
      <c r="F45" s="12" t="s">
        <v>225</v>
      </c>
      <c r="G45" s="40"/>
      <c r="H45" s="12" t="s">
        <v>286</v>
      </c>
      <c r="I45" s="12" t="s">
        <v>225</v>
      </c>
      <c r="J45" s="40"/>
      <c r="K45" s="12" t="s">
        <v>287</v>
      </c>
      <c r="L45" s="12" t="s">
        <v>225</v>
      </c>
    </row>
    <row r="46" customFormat="false" ht="15" hidden="false" customHeight="false" outlineLevel="0" collapsed="false">
      <c r="A46" s="14" t="n">
        <v>1</v>
      </c>
      <c r="B46" s="8" t="s">
        <v>238</v>
      </c>
      <c r="C46" s="18" t="n">
        <v>35</v>
      </c>
      <c r="E46" s="8" t="s">
        <v>233</v>
      </c>
      <c r="F46" s="18" t="n">
        <v>29.5</v>
      </c>
      <c r="H46" s="8" t="s">
        <v>249</v>
      </c>
      <c r="I46" s="18" t="n">
        <v>28.2</v>
      </c>
      <c r="K46" s="8" t="s">
        <v>231</v>
      </c>
      <c r="L46" s="18" t="n">
        <v>28.4</v>
      </c>
    </row>
    <row r="47" customFormat="false" ht="15" hidden="false" customHeight="false" outlineLevel="0" collapsed="false">
      <c r="A47" s="14" t="n">
        <v>2</v>
      </c>
      <c r="B47" s="8" t="s">
        <v>230</v>
      </c>
      <c r="C47" s="18" t="n">
        <v>34.4</v>
      </c>
      <c r="E47" s="8" t="s">
        <v>229</v>
      </c>
      <c r="F47" s="18" t="n">
        <v>27.7</v>
      </c>
      <c r="H47" s="41" t="s">
        <v>189</v>
      </c>
      <c r="I47" s="42" t="n">
        <v>26.6</v>
      </c>
      <c r="K47" s="8" t="s">
        <v>232</v>
      </c>
      <c r="L47" s="18" t="n">
        <v>27.8</v>
      </c>
    </row>
    <row r="48" customFormat="false" ht="15" hidden="false" customHeight="false" outlineLevel="0" collapsed="false">
      <c r="A48" s="14" t="n">
        <v>3</v>
      </c>
      <c r="B48" s="8" t="s">
        <v>237</v>
      </c>
      <c r="C48" s="18" t="n">
        <v>32.3</v>
      </c>
      <c r="E48" s="8" t="s">
        <v>238</v>
      </c>
      <c r="F48" s="18" t="n">
        <v>26.6</v>
      </c>
      <c r="H48" s="8" t="s">
        <v>231</v>
      </c>
      <c r="I48" s="18" t="n">
        <v>26.3</v>
      </c>
      <c r="K48" s="8" t="s">
        <v>242</v>
      </c>
      <c r="L48" s="18" t="n">
        <v>27.7</v>
      </c>
    </row>
    <row r="49" customFormat="false" ht="15" hidden="false" customHeight="false" outlineLevel="0" collapsed="false">
      <c r="A49" s="14" t="n">
        <v>4</v>
      </c>
      <c r="B49" s="8" t="s">
        <v>233</v>
      </c>
      <c r="C49" s="18" t="n">
        <v>32</v>
      </c>
      <c r="E49" s="8" t="s">
        <v>241</v>
      </c>
      <c r="F49" s="18" t="n">
        <v>25.5</v>
      </c>
      <c r="H49" s="8" t="s">
        <v>242</v>
      </c>
      <c r="I49" s="18" t="n">
        <v>25.9</v>
      </c>
      <c r="K49" s="8" t="s">
        <v>258</v>
      </c>
      <c r="L49" s="18" t="n">
        <v>25.92</v>
      </c>
    </row>
    <row r="50" customFormat="false" ht="15" hidden="false" customHeight="false" outlineLevel="0" collapsed="false">
      <c r="A50" s="14" t="n">
        <v>5</v>
      </c>
      <c r="B50" s="8" t="s">
        <v>244</v>
      </c>
      <c r="C50" s="18" t="n">
        <v>30.5</v>
      </c>
      <c r="E50" s="41" t="s">
        <v>183</v>
      </c>
      <c r="F50" s="42" t="n">
        <v>25.2</v>
      </c>
      <c r="H50" s="8" t="s">
        <v>230</v>
      </c>
      <c r="I50" s="18" t="n">
        <v>25.5</v>
      </c>
      <c r="K50" s="41" t="s">
        <v>193</v>
      </c>
      <c r="L50" s="42" t="n">
        <v>24.8</v>
      </c>
    </row>
    <row r="51" customFormat="false" ht="15" hidden="false" customHeight="false" outlineLevel="0" collapsed="false">
      <c r="A51" s="14" t="n">
        <v>6</v>
      </c>
      <c r="B51" s="8" t="s">
        <v>250</v>
      </c>
      <c r="C51" s="18" t="n">
        <v>29.6</v>
      </c>
      <c r="E51" s="8" t="s">
        <v>230</v>
      </c>
      <c r="F51" s="18" t="n">
        <v>25.2</v>
      </c>
      <c r="H51" s="8" t="s">
        <v>272</v>
      </c>
      <c r="I51" s="18" t="n">
        <v>25.2</v>
      </c>
      <c r="K51" s="8" t="s">
        <v>230</v>
      </c>
      <c r="L51" s="18" t="n">
        <v>24</v>
      </c>
    </row>
    <row r="52" customFormat="false" ht="15" hidden="false" customHeight="false" outlineLevel="0" collapsed="false">
      <c r="A52" s="14" t="n">
        <v>7</v>
      </c>
      <c r="B52" s="8" t="s">
        <v>257</v>
      </c>
      <c r="C52" s="18" t="n">
        <v>28.5</v>
      </c>
      <c r="E52" s="8" t="s">
        <v>272</v>
      </c>
      <c r="F52" s="18" t="n">
        <v>25.1</v>
      </c>
      <c r="H52" s="8" t="s">
        <v>235</v>
      </c>
      <c r="I52" s="18" t="n">
        <v>25.1</v>
      </c>
      <c r="K52" s="8" t="s">
        <v>188</v>
      </c>
      <c r="L52" s="18" t="n">
        <v>23.8</v>
      </c>
    </row>
    <row r="53" customFormat="false" ht="15" hidden="false" customHeight="false" outlineLevel="0" collapsed="false">
      <c r="A53" s="14" t="n">
        <v>8</v>
      </c>
      <c r="B53" s="8" t="s">
        <v>255</v>
      </c>
      <c r="C53" s="18" t="n">
        <v>27.6</v>
      </c>
      <c r="E53" s="8" t="s">
        <v>231</v>
      </c>
      <c r="F53" s="18" t="n">
        <v>25</v>
      </c>
      <c r="H53" s="8" t="s">
        <v>239</v>
      </c>
      <c r="I53" s="18" t="n">
        <v>25</v>
      </c>
      <c r="K53" s="8" t="s">
        <v>274</v>
      </c>
      <c r="L53" s="18" t="n">
        <v>23.6</v>
      </c>
    </row>
    <row r="54" customFormat="false" ht="15" hidden="false" customHeight="false" outlineLevel="0" collapsed="false">
      <c r="A54" s="14" t="n">
        <v>9</v>
      </c>
      <c r="B54" s="41" t="s">
        <v>173</v>
      </c>
      <c r="C54" s="42" t="n">
        <v>27.2</v>
      </c>
      <c r="E54" s="8" t="s">
        <v>236</v>
      </c>
      <c r="F54" s="18" t="n">
        <v>24.4</v>
      </c>
      <c r="H54" s="8" t="s">
        <v>182</v>
      </c>
      <c r="I54" s="18" t="n">
        <v>24.6</v>
      </c>
      <c r="K54" s="41" t="s">
        <v>178</v>
      </c>
      <c r="L54" s="42" t="n">
        <v>23.3</v>
      </c>
    </row>
    <row r="55" customFormat="false" ht="15" hidden="false" customHeight="false" outlineLevel="0" collapsed="false">
      <c r="A55" s="14" t="n">
        <v>10</v>
      </c>
      <c r="B55" s="41" t="s">
        <v>178</v>
      </c>
      <c r="C55" s="42" t="n">
        <v>27.1</v>
      </c>
      <c r="E55" s="8" t="s">
        <v>246</v>
      </c>
      <c r="F55" s="18" t="n">
        <v>24.4</v>
      </c>
      <c r="H55" s="8" t="s">
        <v>275</v>
      </c>
      <c r="I55" s="18" t="n">
        <v>24.2</v>
      </c>
      <c r="K55" s="41" t="s">
        <v>185</v>
      </c>
      <c r="L55" s="42" t="n">
        <v>23</v>
      </c>
    </row>
    <row r="56" customFormat="false" ht="15" hidden="false" customHeight="false" outlineLevel="0" collapsed="false">
      <c r="A56" s="14" t="n">
        <v>11</v>
      </c>
      <c r="B56" s="8" t="s">
        <v>234</v>
      </c>
      <c r="C56" s="18" t="n">
        <v>27</v>
      </c>
      <c r="E56" s="8" t="s">
        <v>248</v>
      </c>
      <c r="F56" s="18" t="n">
        <v>24.4</v>
      </c>
      <c r="H56" s="8" t="s">
        <v>190</v>
      </c>
      <c r="I56" s="18" t="n">
        <v>24.2</v>
      </c>
      <c r="K56" s="8" t="s">
        <v>263</v>
      </c>
      <c r="L56" s="18" t="n">
        <v>23</v>
      </c>
    </row>
    <row r="57" customFormat="false" ht="15" hidden="false" customHeight="false" outlineLevel="0" collapsed="false">
      <c r="A57" s="14" t="n">
        <v>12</v>
      </c>
      <c r="B57" s="8" t="s">
        <v>249</v>
      </c>
      <c r="C57" s="18" t="n">
        <v>26.7</v>
      </c>
      <c r="E57" s="8" t="s">
        <v>255</v>
      </c>
      <c r="F57" s="18" t="n">
        <v>24.2</v>
      </c>
      <c r="H57" s="8" t="s">
        <v>245</v>
      </c>
      <c r="I57" s="18" t="n">
        <v>24</v>
      </c>
      <c r="K57" s="8" t="s">
        <v>256</v>
      </c>
      <c r="L57" s="18" t="n">
        <v>22.83</v>
      </c>
    </row>
    <row r="58" customFormat="false" ht="15" hidden="false" customHeight="false" outlineLevel="0" collapsed="false">
      <c r="A58" s="14" t="n">
        <v>13</v>
      </c>
      <c r="B58" s="8" t="s">
        <v>270</v>
      </c>
      <c r="C58" s="18" t="n">
        <v>26.6</v>
      </c>
      <c r="E58" s="8" t="s">
        <v>251</v>
      </c>
      <c r="F58" s="18" t="n">
        <v>23.8</v>
      </c>
      <c r="H58" s="8" t="s">
        <v>238</v>
      </c>
      <c r="I58" s="18" t="n">
        <v>24</v>
      </c>
      <c r="K58" s="8" t="s">
        <v>245</v>
      </c>
      <c r="L58" s="18" t="n">
        <v>22.8</v>
      </c>
    </row>
    <row r="59" customFormat="false" ht="15" hidden="false" customHeight="false" outlineLevel="0" collapsed="false">
      <c r="A59" s="14" t="n">
        <v>14</v>
      </c>
      <c r="B59" s="8" t="s">
        <v>288</v>
      </c>
      <c r="C59" s="18" t="n">
        <v>26.6</v>
      </c>
      <c r="E59" s="8" t="s">
        <v>244</v>
      </c>
      <c r="F59" s="18" t="n">
        <v>23.6</v>
      </c>
      <c r="H59" s="41" t="s">
        <v>188</v>
      </c>
      <c r="I59" s="42" t="n">
        <v>24</v>
      </c>
      <c r="K59" s="8" t="s">
        <v>251</v>
      </c>
      <c r="L59" s="18" t="n">
        <v>22.58</v>
      </c>
    </row>
    <row r="60" customFormat="false" ht="15" hidden="false" customHeight="false" outlineLevel="0" collapsed="false">
      <c r="A60" s="14" t="n">
        <v>15</v>
      </c>
      <c r="B60" s="8" t="s">
        <v>235</v>
      </c>
      <c r="C60" s="18" t="n">
        <v>26.5</v>
      </c>
      <c r="E60" s="8" t="s">
        <v>250</v>
      </c>
      <c r="F60" s="18" t="n">
        <v>23.4</v>
      </c>
      <c r="H60" s="8" t="s">
        <v>241</v>
      </c>
      <c r="I60" s="18" t="n">
        <v>23.7</v>
      </c>
      <c r="K60" s="8" t="s">
        <v>278</v>
      </c>
      <c r="L60" s="18" t="n">
        <v>22.58</v>
      </c>
    </row>
    <row r="61" customFormat="false" ht="15" hidden="false" customHeight="false" outlineLevel="0" collapsed="false">
      <c r="A61" s="14" t="n">
        <v>16</v>
      </c>
      <c r="B61" s="8" t="s">
        <v>246</v>
      </c>
      <c r="C61" s="18" t="n">
        <v>26.1</v>
      </c>
      <c r="E61" s="8" t="s">
        <v>249</v>
      </c>
      <c r="F61" s="18" t="n">
        <v>23.4</v>
      </c>
      <c r="H61" s="8" t="s">
        <v>255</v>
      </c>
      <c r="I61" s="18" t="n">
        <v>23.4</v>
      </c>
      <c r="K61" s="8" t="s">
        <v>260</v>
      </c>
      <c r="L61" s="18" t="n">
        <v>22.58</v>
      </c>
    </row>
    <row r="62" customFormat="false" ht="15" hidden="false" customHeight="false" outlineLevel="0" collapsed="false">
      <c r="A62" s="14" t="n">
        <v>17</v>
      </c>
      <c r="B62" s="8" t="s">
        <v>251</v>
      </c>
      <c r="C62" s="18" t="n">
        <v>26</v>
      </c>
      <c r="E62" s="8" t="s">
        <v>185</v>
      </c>
      <c r="F62" s="18" t="n">
        <v>23.3</v>
      </c>
      <c r="H62" s="8" t="s">
        <v>246</v>
      </c>
      <c r="I62" s="18" t="n">
        <v>23.3</v>
      </c>
      <c r="K62" s="8" t="s">
        <v>289</v>
      </c>
      <c r="L62" s="18" t="n">
        <v>22.42</v>
      </c>
    </row>
    <row r="63" customFormat="false" ht="15" hidden="false" customHeight="false" outlineLevel="0" collapsed="false">
      <c r="A63" s="14" t="n">
        <v>18</v>
      </c>
      <c r="B63" s="8" t="s">
        <v>236</v>
      </c>
      <c r="C63" s="18" t="n">
        <v>25.5</v>
      </c>
      <c r="E63" s="8" t="s">
        <v>267</v>
      </c>
      <c r="F63" s="18" t="n">
        <v>23.2</v>
      </c>
      <c r="H63" s="8" t="s">
        <v>251</v>
      </c>
      <c r="I63" s="18" t="n">
        <v>23.2</v>
      </c>
      <c r="K63" s="8" t="s">
        <v>259</v>
      </c>
      <c r="L63" s="18" t="n">
        <v>22.3</v>
      </c>
    </row>
    <row r="64" customFormat="false" ht="15" hidden="false" customHeight="false" outlineLevel="0" collapsed="false">
      <c r="A64" s="14" t="n">
        <v>19</v>
      </c>
      <c r="B64" s="8" t="s">
        <v>171</v>
      </c>
      <c r="C64" s="18" t="n">
        <v>25.2</v>
      </c>
      <c r="E64" s="8" t="s">
        <v>262</v>
      </c>
      <c r="F64" s="18" t="n">
        <v>23.1</v>
      </c>
      <c r="H64" s="8" t="s">
        <v>266</v>
      </c>
      <c r="I64" s="18" t="n">
        <v>23</v>
      </c>
      <c r="K64" s="41" t="s">
        <v>192</v>
      </c>
      <c r="L64" s="42" t="n">
        <v>22.2</v>
      </c>
    </row>
    <row r="65" customFormat="false" ht="15" hidden="false" customHeight="false" outlineLevel="0" collapsed="false">
      <c r="A65" s="14" t="n">
        <v>20</v>
      </c>
      <c r="B65" s="8" t="s">
        <v>266</v>
      </c>
      <c r="C65" s="18" t="n">
        <v>24.9</v>
      </c>
      <c r="E65" s="8" t="s">
        <v>235</v>
      </c>
      <c r="F65" s="18" t="n">
        <v>23</v>
      </c>
      <c r="H65" s="8" t="s">
        <v>234</v>
      </c>
      <c r="I65" s="18" t="n">
        <v>23</v>
      </c>
      <c r="K65" s="8" t="s">
        <v>281</v>
      </c>
      <c r="L65" s="18" t="n">
        <v>22.2</v>
      </c>
    </row>
    <row r="66" customFormat="false" ht="15" hidden="false" customHeight="false" outlineLevel="0" collapsed="false">
      <c r="A66" s="14" t="n">
        <v>21</v>
      </c>
      <c r="B66" s="8" t="s">
        <v>189</v>
      </c>
      <c r="C66" s="18" t="n">
        <v>24.8</v>
      </c>
      <c r="E66" s="8" t="s">
        <v>242</v>
      </c>
      <c r="F66" s="18" t="n">
        <v>22.8</v>
      </c>
      <c r="H66" s="8" t="s">
        <v>268</v>
      </c>
      <c r="I66" s="18" t="n">
        <v>22.7</v>
      </c>
      <c r="K66" s="8" t="s">
        <v>186</v>
      </c>
      <c r="L66" s="18" t="n">
        <v>22.1</v>
      </c>
    </row>
    <row r="67" customFormat="false" ht="15" hidden="false" customHeight="false" outlineLevel="0" collapsed="false">
      <c r="A67" s="14" t="n">
        <v>22</v>
      </c>
      <c r="B67" s="8" t="s">
        <v>243</v>
      </c>
      <c r="C67" s="18" t="n">
        <v>24.7</v>
      </c>
      <c r="E67" s="8" t="s">
        <v>270</v>
      </c>
      <c r="F67" s="18" t="n">
        <v>22.5</v>
      </c>
      <c r="H67" s="8" t="s">
        <v>267</v>
      </c>
      <c r="I67" s="18" t="n">
        <v>22.6</v>
      </c>
      <c r="K67" s="41" t="s">
        <v>190</v>
      </c>
      <c r="L67" s="42" t="n">
        <v>22.1</v>
      </c>
    </row>
    <row r="68" customFormat="false" ht="15" hidden="false" customHeight="false" outlineLevel="0" collapsed="false">
      <c r="A68" s="14" t="n">
        <v>23</v>
      </c>
      <c r="B68" s="8" t="s">
        <v>279</v>
      </c>
      <c r="C68" s="18" t="n">
        <v>24.6</v>
      </c>
      <c r="E68" s="8" t="s">
        <v>234</v>
      </c>
      <c r="F68" s="18" t="n">
        <v>22.2</v>
      </c>
      <c r="H68" s="8" t="s">
        <v>192</v>
      </c>
      <c r="I68" s="18" t="n">
        <v>22.5</v>
      </c>
      <c r="K68" s="8" t="s">
        <v>273</v>
      </c>
      <c r="L68" s="18" t="n">
        <v>21.9</v>
      </c>
    </row>
    <row r="69" customFormat="false" ht="15" hidden="false" customHeight="false" outlineLevel="0" collapsed="false">
      <c r="A69" s="14" t="n">
        <v>24</v>
      </c>
      <c r="B69" s="8" t="s">
        <v>261</v>
      </c>
      <c r="C69" s="18" t="n">
        <v>24.2</v>
      </c>
      <c r="E69" s="8" t="s">
        <v>253</v>
      </c>
      <c r="F69" s="18" t="n">
        <v>22.2</v>
      </c>
      <c r="H69" s="8" t="s">
        <v>264</v>
      </c>
      <c r="I69" s="18" t="n">
        <v>22.5</v>
      </c>
      <c r="K69" s="8" t="s">
        <v>236</v>
      </c>
      <c r="L69" s="18" t="n">
        <v>21.8</v>
      </c>
    </row>
    <row r="70" customFormat="false" ht="15" hidden="false" customHeight="false" outlineLevel="0" collapsed="false">
      <c r="A70" s="14" t="n">
        <v>25</v>
      </c>
      <c r="B70" s="41" t="s">
        <v>177</v>
      </c>
      <c r="C70" s="42" t="n">
        <v>23.7</v>
      </c>
      <c r="E70" s="8" t="s">
        <v>189</v>
      </c>
      <c r="F70" s="18" t="n">
        <v>22</v>
      </c>
      <c r="H70" s="41" t="s">
        <v>175</v>
      </c>
      <c r="I70" s="42" t="n">
        <v>22.4</v>
      </c>
      <c r="K70" s="8" t="s">
        <v>290</v>
      </c>
      <c r="L70" s="18" t="n">
        <v>21.5</v>
      </c>
    </row>
    <row r="71" customFormat="false" ht="15" hidden="false" customHeight="false" outlineLevel="0" collapsed="false">
      <c r="A71" s="14" t="n">
        <v>26</v>
      </c>
      <c r="B71" s="41" t="s">
        <v>175</v>
      </c>
      <c r="C71" s="42" t="n">
        <v>23.4</v>
      </c>
      <c r="E71" s="8" t="s">
        <v>275</v>
      </c>
      <c r="F71" s="18" t="n">
        <v>22</v>
      </c>
      <c r="H71" s="8" t="s">
        <v>256</v>
      </c>
      <c r="I71" s="18" t="n">
        <v>22.3</v>
      </c>
      <c r="K71" s="8" t="s">
        <v>280</v>
      </c>
      <c r="L71" s="18" t="n">
        <v>21.5</v>
      </c>
    </row>
    <row r="72" customFormat="false" ht="15" hidden="false" customHeight="false" outlineLevel="0" collapsed="false">
      <c r="A72" s="14" t="n">
        <v>27</v>
      </c>
      <c r="B72" s="8" t="s">
        <v>272</v>
      </c>
      <c r="C72" s="18" t="n">
        <v>23.1</v>
      </c>
      <c r="E72" s="8" t="s">
        <v>245</v>
      </c>
      <c r="F72" s="18" t="n">
        <v>21.9</v>
      </c>
      <c r="H72" s="41" t="s">
        <v>187</v>
      </c>
      <c r="I72" s="42" t="n">
        <v>22.2</v>
      </c>
      <c r="K72" s="8" t="s">
        <v>252</v>
      </c>
      <c r="L72" s="18" t="n">
        <v>21.42</v>
      </c>
    </row>
    <row r="73" customFormat="false" ht="15" hidden="false" customHeight="false" outlineLevel="0" collapsed="false">
      <c r="A73" s="14" t="n">
        <v>28</v>
      </c>
      <c r="B73" s="8" t="s">
        <v>265</v>
      </c>
      <c r="C73" s="18" t="n">
        <v>22.8</v>
      </c>
      <c r="E73" s="8" t="s">
        <v>232</v>
      </c>
      <c r="F73" s="18" t="n">
        <v>21.6</v>
      </c>
      <c r="H73" s="8" t="s">
        <v>193</v>
      </c>
      <c r="I73" s="18" t="n">
        <v>22</v>
      </c>
      <c r="K73" s="8" t="s">
        <v>246</v>
      </c>
      <c r="L73" s="18" t="n">
        <v>21.3</v>
      </c>
    </row>
    <row r="74" customFormat="false" ht="15" hidden="false" customHeight="false" outlineLevel="0" collapsed="false">
      <c r="A74" s="14" t="n">
        <v>29</v>
      </c>
      <c r="B74" s="41" t="s">
        <v>179</v>
      </c>
      <c r="C74" s="42" t="n">
        <v>22</v>
      </c>
      <c r="E74" s="8" t="s">
        <v>192</v>
      </c>
      <c r="F74" s="18" t="n">
        <v>21.5</v>
      </c>
      <c r="H74" s="41" t="s">
        <v>186</v>
      </c>
      <c r="I74" s="42" t="n">
        <v>21.9</v>
      </c>
      <c r="K74" s="8" t="s">
        <v>269</v>
      </c>
      <c r="L74" s="18" t="n">
        <v>21.3</v>
      </c>
    </row>
    <row r="75" customFormat="false" ht="15" hidden="false" customHeight="false" outlineLevel="0" collapsed="false">
      <c r="A75" s="14" t="n">
        <v>30</v>
      </c>
      <c r="B75" s="8" t="s">
        <v>183</v>
      </c>
      <c r="C75" s="18" t="n">
        <v>21.78</v>
      </c>
      <c r="E75" s="8" t="s">
        <v>271</v>
      </c>
      <c r="F75" s="18" t="n">
        <v>21.4</v>
      </c>
      <c r="H75" s="8" t="s">
        <v>263</v>
      </c>
      <c r="I75" s="18" t="n">
        <v>21.8</v>
      </c>
      <c r="K75" s="41" t="s">
        <v>187</v>
      </c>
      <c r="L75" s="42" t="n">
        <v>21.2</v>
      </c>
    </row>
    <row r="76" customFormat="false" ht="15" hidden="false" customHeight="false" outlineLevel="0" collapsed="false">
      <c r="A76" s="14" t="n">
        <v>31</v>
      </c>
      <c r="B76" s="8" t="s">
        <v>245</v>
      </c>
      <c r="C76" s="18" t="n">
        <v>20.1</v>
      </c>
      <c r="E76" s="8" t="s">
        <v>178</v>
      </c>
      <c r="F76" s="18" t="n">
        <v>21</v>
      </c>
      <c r="H76" s="8" t="s">
        <v>258</v>
      </c>
      <c r="I76" s="18" t="n">
        <v>21.8</v>
      </c>
      <c r="K76" s="8" t="s">
        <v>253</v>
      </c>
      <c r="L76" s="18" t="n">
        <v>21.2</v>
      </c>
    </row>
    <row r="77" customFormat="false" ht="15" hidden="false" customHeight="false" outlineLevel="0" collapsed="false">
      <c r="A77" s="14" t="n">
        <v>32</v>
      </c>
      <c r="B77" s="8" t="s">
        <v>170</v>
      </c>
      <c r="C77" s="18" t="n">
        <v>20</v>
      </c>
      <c r="E77" s="41" t="s">
        <v>175</v>
      </c>
      <c r="F77" s="42" t="n">
        <v>20.6</v>
      </c>
      <c r="H77" s="8" t="s">
        <v>236</v>
      </c>
      <c r="I77" s="18" t="n">
        <v>21.2</v>
      </c>
      <c r="K77" s="8" t="s">
        <v>268</v>
      </c>
      <c r="L77" s="18" t="n">
        <v>21.08</v>
      </c>
    </row>
    <row r="78" customFormat="false" ht="15" hidden="false" customHeight="false" outlineLevel="0" collapsed="false">
      <c r="A78" s="14" t="n">
        <v>33</v>
      </c>
      <c r="B78" s="8" t="s">
        <v>184</v>
      </c>
      <c r="C78" s="18" t="n">
        <v>19.9</v>
      </c>
      <c r="E78" s="8" t="s">
        <v>259</v>
      </c>
      <c r="F78" s="18" t="n">
        <v>20.5</v>
      </c>
      <c r="H78" s="41" t="s">
        <v>185</v>
      </c>
      <c r="I78" s="42" t="n">
        <v>21.2</v>
      </c>
      <c r="K78" s="8" t="s">
        <v>248</v>
      </c>
      <c r="L78" s="18" t="n">
        <v>20.4</v>
      </c>
    </row>
    <row r="79" customFormat="false" ht="15" hidden="false" customHeight="false" outlineLevel="0" collapsed="false">
      <c r="A79" s="14" t="n">
        <v>34</v>
      </c>
      <c r="B79" s="8" t="s">
        <v>267</v>
      </c>
      <c r="C79" s="18" t="n">
        <v>17.5</v>
      </c>
      <c r="E79" s="8" t="s">
        <v>186</v>
      </c>
      <c r="F79" s="18" t="n">
        <v>20.4</v>
      </c>
      <c r="H79" s="8" t="s">
        <v>291</v>
      </c>
      <c r="I79" s="18" t="n">
        <v>21.2</v>
      </c>
      <c r="K79" s="8" t="s">
        <v>264</v>
      </c>
      <c r="L79" s="18" t="n">
        <v>20.3</v>
      </c>
    </row>
    <row r="80" customFormat="false" ht="15" hidden="false" customHeight="false" outlineLevel="0" collapsed="false">
      <c r="A80" s="14" t="n">
        <v>35</v>
      </c>
      <c r="B80" s="41" t="s">
        <v>176</v>
      </c>
      <c r="C80" s="42" t="n">
        <v>16</v>
      </c>
      <c r="E80" s="41" t="s">
        <v>179</v>
      </c>
      <c r="F80" s="42" t="n">
        <v>20.2</v>
      </c>
      <c r="H80" s="8" t="s">
        <v>289</v>
      </c>
      <c r="I80" s="18" t="n">
        <v>20.7</v>
      </c>
      <c r="K80" s="8" t="s">
        <v>292</v>
      </c>
      <c r="L80" s="18" t="n">
        <v>20</v>
      </c>
    </row>
    <row r="81" customFormat="false" ht="15" hidden="false" customHeight="false" outlineLevel="0" collapsed="false">
      <c r="A81" s="8" t="s">
        <v>282</v>
      </c>
      <c r="C81" s="18" t="n">
        <f aca="false">AVERAGE(C46:C80)</f>
        <v>25.5394285714286</v>
      </c>
      <c r="F81" s="18" t="n">
        <f aca="false">AVERAGE(F46:F80)</f>
        <v>23.3371428571429</v>
      </c>
      <c r="I81" s="18" t="n">
        <f aca="false">AVERAGE(I46:I80)</f>
        <v>23.4685714285714</v>
      </c>
      <c r="L81" s="18" t="n">
        <f aca="false">AVERAGE(L46:L80)</f>
        <v>22.7688571428571</v>
      </c>
    </row>
  </sheetData>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99B"/>
    <pageSetUpPr fitToPage="true"/>
  </sheetPr>
  <dimension ref="A1:N2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4" min="3" style="0" width="7"/>
    <col collapsed="false" customWidth="true" hidden="false" outlineLevel="0" max="5" min="5" style="0" width="2"/>
    <col collapsed="false" customWidth="true" hidden="false" outlineLevel="0" max="6" min="6" style="0" width="5"/>
    <col collapsed="false" customWidth="true" hidden="false" outlineLevel="0" max="7" min="7" style="0" width="12"/>
    <col collapsed="false" customWidth="true" hidden="false" outlineLevel="0" max="9" min="8" style="0" width="7"/>
    <col collapsed="false" customWidth="true" hidden="false" outlineLevel="0" max="10" min="10" style="0" width="2"/>
    <col collapsed="false" customWidth="true" hidden="false" outlineLevel="0" max="11" min="11" style="0" width="5"/>
    <col collapsed="false" customWidth="true" hidden="false" outlineLevel="0" max="12" min="12" style="0" width="12"/>
    <col collapsed="false" customWidth="true" hidden="false" outlineLevel="0" max="13" min="13" style="0" width="8"/>
  </cols>
  <sheetData>
    <row r="1" customFormat="false" ht="19.4" hidden="false" customHeight="false" outlineLevel="0" collapsed="false">
      <c r="A1" s="9" t="s">
        <v>293</v>
      </c>
    </row>
    <row r="2" customFormat="false" ht="30" hidden="false" customHeight="true" outlineLevel="0" collapsed="false">
      <c r="A2" s="10" t="s">
        <v>294</v>
      </c>
      <c r="B2" s="10"/>
      <c r="C2" s="10"/>
      <c r="D2" s="10"/>
      <c r="E2" s="10"/>
      <c r="F2" s="10"/>
      <c r="G2" s="10"/>
      <c r="H2" s="10"/>
      <c r="I2" s="10"/>
      <c r="J2" s="10"/>
      <c r="K2" s="10"/>
      <c r="L2" s="10"/>
      <c r="M2" s="10"/>
      <c r="N2" s="10"/>
    </row>
    <row r="4" customFormat="false" ht="15" hidden="false" customHeight="false" outlineLevel="0" collapsed="false">
      <c r="A4" s="39" t="s">
        <v>295</v>
      </c>
    </row>
    <row r="5" customFormat="false" ht="15" hidden="false" customHeight="false" outlineLevel="0" collapsed="false">
      <c r="A5" s="11" t="s">
        <v>223</v>
      </c>
      <c r="B5" s="12" t="s">
        <v>296</v>
      </c>
      <c r="C5" s="12" t="s">
        <v>297</v>
      </c>
      <c r="D5" s="12" t="s">
        <v>225</v>
      </c>
      <c r="F5" s="11" t="s">
        <v>223</v>
      </c>
      <c r="G5" s="12" t="s">
        <v>298</v>
      </c>
      <c r="H5" s="12" t="s">
        <v>297</v>
      </c>
      <c r="I5" s="12" t="s">
        <v>225</v>
      </c>
      <c r="K5" s="11" t="s">
        <v>223</v>
      </c>
      <c r="L5" s="12" t="s">
        <v>299</v>
      </c>
      <c r="M5" s="12" t="s">
        <v>297</v>
      </c>
    </row>
    <row r="6" customFormat="false" ht="15" hidden="false" customHeight="false" outlineLevel="0" collapsed="false">
      <c r="A6" s="14" t="n">
        <v>1</v>
      </c>
      <c r="B6" s="8" t="s">
        <v>229</v>
      </c>
      <c r="C6" s="18" t="n">
        <v>751</v>
      </c>
      <c r="D6" s="18" t="n">
        <f aca="false">C6/22</f>
        <v>34.1363636363636</v>
      </c>
      <c r="F6" s="14" t="n">
        <v>1</v>
      </c>
      <c r="G6" s="8" t="s">
        <v>238</v>
      </c>
      <c r="H6" s="18" t="n">
        <v>350</v>
      </c>
      <c r="I6" s="18" t="n">
        <f aca="false">H6/10</f>
        <v>35</v>
      </c>
      <c r="K6" s="14" t="n">
        <v>1</v>
      </c>
      <c r="L6" s="8" t="s">
        <v>237</v>
      </c>
      <c r="M6" s="18" t="n">
        <v>1010</v>
      </c>
    </row>
    <row r="7" customFormat="false" ht="15" hidden="false" customHeight="false" outlineLevel="0" collapsed="false">
      <c r="A7" s="14" t="n">
        <v>2</v>
      </c>
      <c r="B7" s="8" t="s">
        <v>170</v>
      </c>
      <c r="C7" s="18" t="n">
        <v>718</v>
      </c>
      <c r="D7" s="18" t="n">
        <f aca="false">C7/22</f>
        <v>32.6363636363636</v>
      </c>
      <c r="F7" s="14" t="n">
        <v>2</v>
      </c>
      <c r="G7" s="8" t="s">
        <v>230</v>
      </c>
      <c r="H7" s="18" t="n">
        <v>344</v>
      </c>
      <c r="I7" s="18" t="n">
        <f aca="false">H7/10</f>
        <v>34.4</v>
      </c>
      <c r="K7" s="43" t="n">
        <v>2</v>
      </c>
      <c r="L7" s="41" t="s">
        <v>178</v>
      </c>
      <c r="M7" s="42" t="n">
        <v>979</v>
      </c>
    </row>
    <row r="8" customFormat="false" ht="15" hidden="false" customHeight="false" outlineLevel="0" collapsed="false">
      <c r="A8" s="43" t="n">
        <v>3</v>
      </c>
      <c r="B8" s="41" t="s">
        <v>178</v>
      </c>
      <c r="C8" s="42" t="n">
        <v>708</v>
      </c>
      <c r="D8" s="42" t="n">
        <f aca="false">C8/22</f>
        <v>32.1818181818182</v>
      </c>
      <c r="F8" s="14" t="n">
        <v>3</v>
      </c>
      <c r="G8" s="8" t="s">
        <v>237</v>
      </c>
      <c r="H8" s="18" t="n">
        <v>323</v>
      </c>
      <c r="I8" s="18" t="n">
        <f aca="false">H8/10</f>
        <v>32.3</v>
      </c>
      <c r="K8" s="14" t="n">
        <v>3</v>
      </c>
      <c r="L8" s="8" t="s">
        <v>233</v>
      </c>
      <c r="M8" s="18" t="n">
        <v>972</v>
      </c>
    </row>
    <row r="9" customFormat="false" ht="15" hidden="false" customHeight="false" outlineLevel="0" collapsed="false">
      <c r="A9" s="14" t="n">
        <v>4</v>
      </c>
      <c r="B9" s="8" t="s">
        <v>235</v>
      </c>
      <c r="C9" s="18" t="n">
        <v>687</v>
      </c>
      <c r="D9" s="18" t="n">
        <f aca="false">C9/22</f>
        <v>31.2272727272727</v>
      </c>
      <c r="F9" s="14" t="n">
        <v>4</v>
      </c>
      <c r="G9" s="8" t="s">
        <v>233</v>
      </c>
      <c r="H9" s="18" t="n">
        <v>320</v>
      </c>
      <c r="I9" s="18" t="n">
        <f aca="false">H9/10</f>
        <v>32</v>
      </c>
      <c r="K9" s="14" t="n">
        <v>4</v>
      </c>
      <c r="L9" s="8" t="s">
        <v>238</v>
      </c>
      <c r="M9" s="18" t="n">
        <v>960</v>
      </c>
    </row>
    <row r="10" customFormat="false" ht="15" hidden="false" customHeight="false" outlineLevel="0" collapsed="false">
      <c r="A10" s="14" t="n">
        <v>4</v>
      </c>
      <c r="B10" s="8" t="s">
        <v>237</v>
      </c>
      <c r="C10" s="18" t="n">
        <v>687</v>
      </c>
      <c r="D10" s="18" t="n">
        <f aca="false">C10/22</f>
        <v>31.2272727272727</v>
      </c>
      <c r="F10" s="14" t="n">
        <v>5</v>
      </c>
      <c r="G10" s="8" t="s">
        <v>244</v>
      </c>
      <c r="H10" s="18" t="n">
        <v>305</v>
      </c>
      <c r="I10" s="18" t="n">
        <f aca="false">H10/10</f>
        <v>30.5</v>
      </c>
      <c r="K10" s="14" t="n">
        <v>5</v>
      </c>
      <c r="L10" s="8" t="s">
        <v>235</v>
      </c>
      <c r="M10" s="18" t="n">
        <v>952</v>
      </c>
    </row>
    <row r="11" customFormat="false" ht="15" hidden="false" customHeight="false" outlineLevel="0" collapsed="false">
      <c r="A11" s="14" t="n">
        <v>6</v>
      </c>
      <c r="B11" s="8" t="s">
        <v>240</v>
      </c>
      <c r="C11" s="18" t="n">
        <v>684</v>
      </c>
      <c r="D11" s="18" t="n">
        <f aca="false">C11/22</f>
        <v>31.0909090909091</v>
      </c>
      <c r="F11" s="14" t="n">
        <v>6</v>
      </c>
      <c r="G11" s="8" t="s">
        <v>250</v>
      </c>
      <c r="H11" s="18" t="n">
        <v>296</v>
      </c>
      <c r="I11" s="18" t="n">
        <f aca="false">H11/10</f>
        <v>29.6</v>
      </c>
      <c r="K11" s="14" t="n">
        <v>6</v>
      </c>
      <c r="L11" s="8" t="s">
        <v>250</v>
      </c>
      <c r="M11" s="18" t="n">
        <v>937</v>
      </c>
    </row>
    <row r="12" customFormat="false" ht="15" hidden="false" customHeight="false" outlineLevel="0" collapsed="false">
      <c r="A12" s="14" t="n">
        <v>7</v>
      </c>
      <c r="B12" s="8" t="s">
        <v>243</v>
      </c>
      <c r="C12" s="18" t="n">
        <v>663</v>
      </c>
      <c r="D12" s="18" t="n">
        <f aca="false">C12/22</f>
        <v>30.1363636363636</v>
      </c>
      <c r="F12" s="14" t="n">
        <v>7</v>
      </c>
      <c r="G12" s="8" t="s">
        <v>257</v>
      </c>
      <c r="H12" s="18" t="n">
        <v>285</v>
      </c>
      <c r="I12" s="18" t="n">
        <f aca="false">H12/10</f>
        <v>28.5</v>
      </c>
      <c r="K12" s="14" t="n">
        <v>7</v>
      </c>
      <c r="L12" s="8" t="s">
        <v>234</v>
      </c>
      <c r="M12" s="18" t="n">
        <v>920</v>
      </c>
    </row>
    <row r="13" customFormat="false" ht="15" hidden="false" customHeight="false" outlineLevel="0" collapsed="false">
      <c r="A13" s="14" t="n">
        <v>8</v>
      </c>
      <c r="B13" s="8" t="s">
        <v>171</v>
      </c>
      <c r="C13" s="18" t="n">
        <v>660</v>
      </c>
      <c r="D13" s="18" t="n">
        <f aca="false">C13/22</f>
        <v>30</v>
      </c>
      <c r="F13" s="14" t="n">
        <v>8</v>
      </c>
      <c r="G13" s="8" t="s">
        <v>255</v>
      </c>
      <c r="H13" s="18" t="n">
        <v>276</v>
      </c>
      <c r="I13" s="18" t="n">
        <f aca="false">H13/10</f>
        <v>27.6</v>
      </c>
      <c r="K13" s="14" t="n">
        <v>8</v>
      </c>
      <c r="L13" s="8" t="s">
        <v>170</v>
      </c>
      <c r="M13" s="18" t="n">
        <v>918</v>
      </c>
    </row>
    <row r="14" customFormat="false" ht="15" hidden="false" customHeight="false" outlineLevel="0" collapsed="false">
      <c r="A14" s="14" t="n">
        <v>9</v>
      </c>
      <c r="B14" s="8" t="s">
        <v>233</v>
      </c>
      <c r="C14" s="18" t="n">
        <v>652</v>
      </c>
      <c r="D14" s="18" t="n">
        <f aca="false">C14/22</f>
        <v>29.6363636363636</v>
      </c>
      <c r="F14" s="43" t="n">
        <v>9</v>
      </c>
      <c r="G14" s="41" t="s">
        <v>173</v>
      </c>
      <c r="H14" s="42" t="n">
        <v>272</v>
      </c>
      <c r="I14" s="42" t="n">
        <f aca="false">H14/10</f>
        <v>27.2</v>
      </c>
      <c r="K14" s="14" t="n">
        <v>9</v>
      </c>
      <c r="L14" s="8" t="s">
        <v>171</v>
      </c>
      <c r="M14" s="18" t="n">
        <v>912</v>
      </c>
    </row>
    <row r="15" customFormat="false" ht="15" hidden="false" customHeight="false" outlineLevel="0" collapsed="false">
      <c r="A15" s="14" t="n">
        <v>10</v>
      </c>
      <c r="B15" s="8" t="s">
        <v>234</v>
      </c>
      <c r="C15" s="18" t="n">
        <v>650</v>
      </c>
      <c r="D15" s="18" t="n">
        <f aca="false">C15/22</f>
        <v>29.5454545454545</v>
      </c>
      <c r="F15" s="43" t="n">
        <v>10</v>
      </c>
      <c r="G15" s="41" t="s">
        <v>178</v>
      </c>
      <c r="H15" s="42" t="n">
        <v>271</v>
      </c>
      <c r="I15" s="42" t="n">
        <f aca="false">H15/10</f>
        <v>27.1</v>
      </c>
      <c r="K15" s="14" t="n">
        <v>9</v>
      </c>
      <c r="L15" s="8" t="s">
        <v>255</v>
      </c>
      <c r="M15" s="18" t="n">
        <v>912</v>
      </c>
    </row>
    <row r="16" customFormat="false" ht="15" hidden="false" customHeight="false" outlineLevel="0" collapsed="false">
      <c r="A16" s="43" t="n">
        <v>11</v>
      </c>
      <c r="B16" s="41" t="s">
        <v>176</v>
      </c>
      <c r="C16" s="42" t="n">
        <v>647</v>
      </c>
      <c r="D16" s="42" t="n">
        <f aca="false">C16/22</f>
        <v>29.4090909090909</v>
      </c>
      <c r="F16" s="14" t="n">
        <v>11</v>
      </c>
      <c r="G16" s="8" t="s">
        <v>234</v>
      </c>
      <c r="H16" s="18" t="n">
        <v>270</v>
      </c>
      <c r="I16" s="18" t="n">
        <f aca="false">H16/10</f>
        <v>27</v>
      </c>
      <c r="K16" s="14" t="n">
        <v>11</v>
      </c>
      <c r="L16" s="8" t="s">
        <v>243</v>
      </c>
      <c r="M16" s="18" t="n">
        <v>910</v>
      </c>
    </row>
    <row r="17" customFormat="false" ht="15" hidden="false" customHeight="false" outlineLevel="0" collapsed="false">
      <c r="A17" s="14" t="n">
        <v>12</v>
      </c>
      <c r="B17" s="8" t="s">
        <v>250</v>
      </c>
      <c r="C17" s="18" t="n">
        <v>641</v>
      </c>
      <c r="D17" s="18" t="n">
        <f aca="false">C17/22</f>
        <v>29.1363636363636</v>
      </c>
      <c r="F17" s="14" t="n">
        <v>12</v>
      </c>
      <c r="G17" s="8" t="s">
        <v>249</v>
      </c>
      <c r="H17" s="18" t="n">
        <v>267</v>
      </c>
      <c r="I17" s="18" t="n">
        <f aca="false">H17/10</f>
        <v>26.7</v>
      </c>
      <c r="K17" s="14" t="n">
        <v>12</v>
      </c>
      <c r="L17" s="8" t="s">
        <v>257</v>
      </c>
      <c r="M17" s="18" t="n">
        <v>903</v>
      </c>
    </row>
    <row r="18" customFormat="false" ht="15" hidden="false" customHeight="false" outlineLevel="0" collapsed="false">
      <c r="A18" s="14" t="n">
        <v>13</v>
      </c>
      <c r="B18" s="8" t="s">
        <v>246</v>
      </c>
      <c r="C18" s="18" t="n">
        <v>638</v>
      </c>
      <c r="D18" s="18" t="n">
        <f aca="false">C18/22</f>
        <v>29</v>
      </c>
      <c r="F18" s="14" t="n">
        <v>13</v>
      </c>
      <c r="G18" s="8" t="s">
        <v>270</v>
      </c>
      <c r="H18" s="18" t="n">
        <v>266</v>
      </c>
      <c r="I18" s="18" t="n">
        <f aca="false">H18/10</f>
        <v>26.6</v>
      </c>
      <c r="K18" s="14" t="n">
        <v>13</v>
      </c>
      <c r="L18" s="8" t="s">
        <v>246</v>
      </c>
      <c r="M18" s="18" t="n">
        <v>899</v>
      </c>
    </row>
    <row r="19" customFormat="false" ht="15" hidden="false" customHeight="false" outlineLevel="0" collapsed="false">
      <c r="A19" s="14" t="n">
        <v>14</v>
      </c>
      <c r="B19" s="8" t="s">
        <v>255</v>
      </c>
      <c r="C19" s="18" t="n">
        <v>636</v>
      </c>
      <c r="D19" s="18" t="n">
        <f aca="false">C19/22</f>
        <v>28.9090909090909</v>
      </c>
      <c r="F19" s="14" t="n">
        <v>13</v>
      </c>
      <c r="G19" s="8" t="s">
        <v>288</v>
      </c>
      <c r="H19" s="18" t="n">
        <v>266</v>
      </c>
      <c r="I19" s="18" t="n">
        <f aca="false">H19/10</f>
        <v>26.6</v>
      </c>
      <c r="K19" s="14" t="n">
        <v>14</v>
      </c>
      <c r="L19" s="8" t="s">
        <v>251</v>
      </c>
      <c r="M19" s="18" t="n">
        <v>889</v>
      </c>
    </row>
    <row r="20" customFormat="false" ht="15" hidden="false" customHeight="false" outlineLevel="0" collapsed="false">
      <c r="A20" s="14" t="n">
        <v>15</v>
      </c>
      <c r="B20" s="8" t="s">
        <v>251</v>
      </c>
      <c r="C20" s="18" t="n">
        <v>629</v>
      </c>
      <c r="D20" s="18" t="n">
        <f aca="false">C20/22</f>
        <v>28.5909090909091</v>
      </c>
      <c r="F20" s="14" t="n">
        <v>15</v>
      </c>
      <c r="G20" s="8" t="s">
        <v>235</v>
      </c>
      <c r="H20" s="18" t="n">
        <v>265</v>
      </c>
      <c r="I20" s="18" t="n">
        <f aca="false">H20/10</f>
        <v>26.5</v>
      </c>
      <c r="K20" s="14" t="n">
        <v>15</v>
      </c>
      <c r="L20" s="8" t="s">
        <v>244</v>
      </c>
      <c r="M20" s="18" t="n">
        <v>873.6</v>
      </c>
    </row>
    <row r="21" customFormat="false" ht="15" hidden="false" customHeight="false" outlineLevel="0" collapsed="false">
      <c r="A21" s="14" t="n">
        <v>16</v>
      </c>
      <c r="B21" s="8" t="s">
        <v>257</v>
      </c>
      <c r="C21" s="18" t="n">
        <v>618</v>
      </c>
      <c r="D21" s="18" t="n">
        <f aca="false">C21/22</f>
        <v>28.0909090909091</v>
      </c>
      <c r="F21" s="14" t="n">
        <v>16</v>
      </c>
      <c r="G21" s="8" t="s">
        <v>246</v>
      </c>
      <c r="H21" s="18" t="n">
        <v>261</v>
      </c>
      <c r="I21" s="18" t="n">
        <f aca="false">H21/10</f>
        <v>26.1</v>
      </c>
      <c r="K21" s="14" t="n">
        <v>16</v>
      </c>
      <c r="L21" s="8" t="s">
        <v>249</v>
      </c>
      <c r="M21" s="18" t="n">
        <v>871</v>
      </c>
    </row>
    <row r="22" customFormat="false" ht="15" hidden="false" customHeight="false" outlineLevel="0" collapsed="false">
      <c r="A22" s="14" t="n">
        <v>17</v>
      </c>
      <c r="B22" s="8" t="s">
        <v>238</v>
      </c>
      <c r="C22" s="18" t="n">
        <v>610</v>
      </c>
      <c r="D22" s="18" t="n">
        <f aca="false">C22/22</f>
        <v>27.7272727272727</v>
      </c>
      <c r="F22" s="14" t="n">
        <v>17</v>
      </c>
      <c r="G22" s="8" t="s">
        <v>251</v>
      </c>
      <c r="H22" s="18" t="n">
        <v>260</v>
      </c>
      <c r="I22" s="18" t="n">
        <f aca="false">H22/10</f>
        <v>26</v>
      </c>
      <c r="K22" s="14" t="n">
        <v>17</v>
      </c>
      <c r="L22" s="8" t="s">
        <v>236</v>
      </c>
      <c r="M22" s="18" t="n">
        <v>848</v>
      </c>
    </row>
    <row r="23" customFormat="false" ht="15" hidden="false" customHeight="false" outlineLevel="0" collapsed="false">
      <c r="A23" s="14" t="n">
        <v>18</v>
      </c>
      <c r="B23" s="8" t="s">
        <v>261</v>
      </c>
      <c r="C23" s="18" t="n">
        <v>604</v>
      </c>
      <c r="D23" s="18" t="n">
        <f aca="false">C23/22</f>
        <v>27.4545454545455</v>
      </c>
      <c r="F23" s="14" t="n">
        <v>18</v>
      </c>
      <c r="G23" s="8" t="s">
        <v>236</v>
      </c>
      <c r="H23" s="18" t="n">
        <v>255</v>
      </c>
      <c r="I23" s="18" t="n">
        <f aca="false">H23/10</f>
        <v>25.5</v>
      </c>
      <c r="K23" s="14" t="n">
        <v>18</v>
      </c>
      <c r="L23" s="8" t="s">
        <v>261</v>
      </c>
      <c r="M23" s="18" t="n">
        <v>846</v>
      </c>
    </row>
    <row r="24" customFormat="false" ht="15" hidden="false" customHeight="false" outlineLevel="0" collapsed="false">
      <c r="A24" s="14" t="n">
        <v>18</v>
      </c>
      <c r="B24" s="8" t="s">
        <v>249</v>
      </c>
      <c r="C24" s="18" t="n">
        <v>604</v>
      </c>
      <c r="D24" s="18" t="n">
        <f aca="false">C24/22</f>
        <v>27.4545454545455</v>
      </c>
      <c r="F24" s="14" t="n">
        <v>19</v>
      </c>
      <c r="G24" s="8" t="s">
        <v>171</v>
      </c>
      <c r="H24" s="18" t="n">
        <v>252</v>
      </c>
      <c r="I24" s="18" t="n">
        <f aca="false">H24/10</f>
        <v>25.2</v>
      </c>
      <c r="K24" s="14" t="n">
        <v>19</v>
      </c>
      <c r="L24" s="8" t="s">
        <v>270</v>
      </c>
      <c r="M24" s="18" t="n">
        <v>835</v>
      </c>
    </row>
    <row r="25" customFormat="false" ht="15" hidden="false" customHeight="false" outlineLevel="0" collapsed="false">
      <c r="A25" s="14" t="n">
        <v>20</v>
      </c>
      <c r="B25" s="8" t="s">
        <v>236</v>
      </c>
      <c r="C25" s="18" t="n">
        <v>593</v>
      </c>
      <c r="D25" s="18" t="n">
        <f aca="false">C25/22</f>
        <v>26.9545454545455</v>
      </c>
      <c r="F25" s="14" t="n">
        <v>20</v>
      </c>
      <c r="G25" s="8" t="s">
        <v>266</v>
      </c>
      <c r="H25" s="18" t="n">
        <v>249</v>
      </c>
      <c r="I25" s="18" t="n">
        <f aca="false">H25/10</f>
        <v>24.9</v>
      </c>
      <c r="K25" s="14" t="n">
        <v>20</v>
      </c>
      <c r="L25" s="8" t="s">
        <v>230</v>
      </c>
      <c r="M25" s="18" t="n">
        <v>834</v>
      </c>
    </row>
    <row r="26" customFormat="false" ht="15" hidden="false" customHeight="false" outlineLevel="0" collapsed="false">
      <c r="A26" s="14" t="n">
        <v>21</v>
      </c>
      <c r="B26" s="8" t="s">
        <v>265</v>
      </c>
      <c r="C26" s="18" t="n">
        <v>592</v>
      </c>
      <c r="D26" s="18" t="n">
        <f aca="false">C26/22</f>
        <v>26.9090909090909</v>
      </c>
      <c r="F26" s="14" t="n">
        <v>21</v>
      </c>
      <c r="G26" s="8" t="s">
        <v>189</v>
      </c>
      <c r="H26" s="18" t="n">
        <v>248</v>
      </c>
      <c r="I26" s="18" t="n">
        <f aca="false">H26/10</f>
        <v>24.8</v>
      </c>
      <c r="K26" s="43" t="n">
        <v>21</v>
      </c>
      <c r="L26" s="41" t="s">
        <v>173</v>
      </c>
      <c r="M26" s="42" t="n">
        <v>831</v>
      </c>
    </row>
    <row r="27" customFormat="false" ht="15" hidden="false" customHeight="false" outlineLevel="0" collapsed="false">
      <c r="A27" s="14" t="n">
        <v>22</v>
      </c>
      <c r="B27" s="8" t="s">
        <v>266</v>
      </c>
      <c r="C27" s="18" t="n">
        <v>580</v>
      </c>
      <c r="D27" s="18" t="n">
        <f aca="false">C27/22</f>
        <v>26.3636363636364</v>
      </c>
      <c r="F27" s="14" t="n">
        <v>22</v>
      </c>
      <c r="G27" s="8" t="s">
        <v>243</v>
      </c>
      <c r="H27" s="18" t="n">
        <v>247</v>
      </c>
      <c r="I27" s="18" t="n">
        <f aca="false">H27/10</f>
        <v>24.7</v>
      </c>
      <c r="K27" s="14" t="n">
        <v>22</v>
      </c>
      <c r="L27" s="8" t="s">
        <v>266</v>
      </c>
      <c r="M27" s="18" t="n">
        <v>829</v>
      </c>
    </row>
    <row r="28" customFormat="false" ht="15" hidden="false" customHeight="false" outlineLevel="0" collapsed="false">
      <c r="A28" s="14" t="n">
        <v>23</v>
      </c>
      <c r="B28" s="8" t="s">
        <v>182</v>
      </c>
      <c r="C28" s="18" t="n">
        <v>576</v>
      </c>
      <c r="D28" s="18" t="n">
        <f aca="false">C28/22</f>
        <v>26.1818181818182</v>
      </c>
      <c r="F28" s="14" t="n">
        <v>23</v>
      </c>
      <c r="G28" s="8" t="s">
        <v>279</v>
      </c>
      <c r="H28" s="18" t="n">
        <v>246</v>
      </c>
      <c r="I28" s="18" t="n">
        <f aca="false">H28/10</f>
        <v>24.6</v>
      </c>
      <c r="K28" s="14" t="n">
        <v>23</v>
      </c>
      <c r="L28" s="8" t="s">
        <v>265</v>
      </c>
      <c r="M28" s="18" t="n">
        <v>820</v>
      </c>
    </row>
    <row r="29" customFormat="false" ht="15" hidden="false" customHeight="false" outlineLevel="0" collapsed="false">
      <c r="A29" s="43" t="n">
        <v>24</v>
      </c>
      <c r="B29" s="41" t="s">
        <v>177</v>
      </c>
      <c r="C29" s="42" t="n">
        <v>569</v>
      </c>
      <c r="D29" s="42" t="n">
        <f aca="false">C29/22</f>
        <v>25.8636363636364</v>
      </c>
      <c r="F29" s="14" t="n">
        <v>24</v>
      </c>
      <c r="G29" s="8" t="s">
        <v>261</v>
      </c>
      <c r="H29" s="18" t="n">
        <v>242</v>
      </c>
      <c r="I29" s="18" t="n">
        <f aca="false">H29/10</f>
        <v>24.2</v>
      </c>
      <c r="K29" s="43" t="n">
        <v>24</v>
      </c>
      <c r="L29" s="41" t="s">
        <v>176</v>
      </c>
      <c r="M29" s="42" t="n">
        <v>807</v>
      </c>
    </row>
    <row r="30" customFormat="false" ht="15" hidden="false" customHeight="false" outlineLevel="0" collapsed="false">
      <c r="A30" s="14" t="n">
        <v>24</v>
      </c>
      <c r="B30" s="8" t="s">
        <v>270</v>
      </c>
      <c r="C30" s="18" t="n">
        <v>569</v>
      </c>
      <c r="D30" s="18" t="n">
        <f aca="false">C30/22</f>
        <v>25.8636363636364</v>
      </c>
      <c r="F30" s="43" t="n">
        <v>25</v>
      </c>
      <c r="G30" s="41" t="s">
        <v>177</v>
      </c>
      <c r="H30" s="42" t="n">
        <v>237</v>
      </c>
      <c r="I30" s="42" t="n">
        <f aca="false">H30/10</f>
        <v>23.7</v>
      </c>
      <c r="K30" s="43" t="n">
        <v>25</v>
      </c>
      <c r="L30" s="41" t="s">
        <v>177</v>
      </c>
      <c r="M30" s="42" t="n">
        <v>806</v>
      </c>
    </row>
    <row r="31" customFormat="false" ht="15" hidden="false" customHeight="false" outlineLevel="0" collapsed="false">
      <c r="A31" s="14" t="n">
        <v>26</v>
      </c>
      <c r="B31" s="8" t="s">
        <v>244</v>
      </c>
      <c r="C31" s="18" t="n">
        <v>568.6</v>
      </c>
      <c r="D31" s="18" t="n">
        <f aca="false">C31/22</f>
        <v>25.8454545454545</v>
      </c>
      <c r="F31" s="43" t="n">
        <v>26</v>
      </c>
      <c r="G31" s="41" t="s">
        <v>175</v>
      </c>
      <c r="H31" s="42" t="n">
        <v>234</v>
      </c>
      <c r="I31" s="42" t="n">
        <f aca="false">H31/10</f>
        <v>23.4</v>
      </c>
      <c r="K31" s="14" t="n">
        <v>26</v>
      </c>
      <c r="L31" s="8" t="s">
        <v>272</v>
      </c>
      <c r="M31" s="18" t="n">
        <v>792</v>
      </c>
    </row>
    <row r="32" customFormat="false" ht="15" hidden="false" customHeight="false" outlineLevel="0" collapsed="false">
      <c r="A32" s="14" t="n">
        <v>27</v>
      </c>
      <c r="B32" s="8" t="s">
        <v>272</v>
      </c>
      <c r="C32" s="18" t="n">
        <v>561</v>
      </c>
      <c r="D32" s="18" t="n">
        <f aca="false">C32/22</f>
        <v>25.5</v>
      </c>
      <c r="F32" s="14" t="n">
        <v>27</v>
      </c>
      <c r="G32" s="8" t="s">
        <v>272</v>
      </c>
      <c r="H32" s="18" t="n">
        <v>231</v>
      </c>
      <c r="I32" s="18" t="n">
        <f aca="false">H32/10</f>
        <v>23.1</v>
      </c>
      <c r="K32" s="14" t="n">
        <v>27</v>
      </c>
      <c r="L32" s="8" t="s">
        <v>279</v>
      </c>
      <c r="M32" s="18" t="n">
        <v>785</v>
      </c>
    </row>
    <row r="33" customFormat="false" ht="15" hidden="false" customHeight="false" outlineLevel="0" collapsed="false">
      <c r="A33" s="43" t="n">
        <v>28</v>
      </c>
      <c r="B33" s="41" t="s">
        <v>173</v>
      </c>
      <c r="C33" s="42" t="n">
        <v>559</v>
      </c>
      <c r="D33" s="42" t="n">
        <f aca="false">C33/22</f>
        <v>25.4090909090909</v>
      </c>
      <c r="F33" s="14" t="n">
        <v>28</v>
      </c>
      <c r="G33" s="8" t="s">
        <v>265</v>
      </c>
      <c r="H33" s="18" t="n">
        <v>228</v>
      </c>
      <c r="I33" s="18" t="n">
        <f aca="false">H33/10</f>
        <v>22.8</v>
      </c>
      <c r="K33" s="14" t="n">
        <v>28</v>
      </c>
      <c r="L33" s="8" t="s">
        <v>300</v>
      </c>
      <c r="M33" s="18" t="n">
        <v>751</v>
      </c>
    </row>
    <row r="34" customFormat="false" ht="15" hidden="false" customHeight="false" outlineLevel="0" collapsed="false">
      <c r="A34" s="14" t="n">
        <v>29</v>
      </c>
      <c r="B34" s="8" t="s">
        <v>276</v>
      </c>
      <c r="C34" s="18" t="n">
        <v>551</v>
      </c>
      <c r="D34" s="18" t="n">
        <f aca="false">C34/22</f>
        <v>25.0454545454545</v>
      </c>
      <c r="F34" s="43" t="n">
        <v>29</v>
      </c>
      <c r="G34" s="41" t="s">
        <v>179</v>
      </c>
      <c r="H34" s="42" t="n">
        <v>220</v>
      </c>
      <c r="I34" s="42" t="n">
        <f aca="false">H34/10</f>
        <v>22</v>
      </c>
      <c r="K34" s="43" t="n">
        <v>29</v>
      </c>
      <c r="L34" s="41" t="s">
        <v>175</v>
      </c>
      <c r="M34" s="42" t="n">
        <v>743.5</v>
      </c>
    </row>
    <row r="35" customFormat="false" ht="15" hidden="false" customHeight="false" outlineLevel="0" collapsed="false">
      <c r="A35" s="14" t="n">
        <v>30</v>
      </c>
      <c r="B35" s="8" t="s">
        <v>279</v>
      </c>
      <c r="C35" s="18" t="n">
        <v>539</v>
      </c>
      <c r="D35" s="18" t="n">
        <f aca="false">C35/22</f>
        <v>24.5</v>
      </c>
      <c r="F35" s="14" t="n">
        <v>30</v>
      </c>
      <c r="G35" s="8" t="s">
        <v>183</v>
      </c>
      <c r="H35" s="18" t="n">
        <v>217.8</v>
      </c>
      <c r="I35" s="18" t="n">
        <f aca="false">H35/10</f>
        <v>21.78</v>
      </c>
      <c r="K35" s="14" t="n">
        <v>30</v>
      </c>
      <c r="L35" s="8" t="s">
        <v>182</v>
      </c>
      <c r="M35" s="18" t="n">
        <v>727</v>
      </c>
    </row>
    <row r="36" customFormat="false" ht="15" hidden="false" customHeight="false" outlineLevel="0" collapsed="false">
      <c r="A36" s="43" t="n">
        <v>31</v>
      </c>
      <c r="B36" s="41" t="s">
        <v>175</v>
      </c>
      <c r="C36" s="42" t="n">
        <v>509.5</v>
      </c>
      <c r="D36" s="42" t="n">
        <f aca="false">C36/22</f>
        <v>23.1590909090909</v>
      </c>
      <c r="F36" s="14" t="n">
        <v>31</v>
      </c>
      <c r="G36" s="8" t="s">
        <v>245</v>
      </c>
      <c r="H36" s="18" t="n">
        <v>201</v>
      </c>
      <c r="I36" s="18" t="n">
        <f aca="false">H36/10</f>
        <v>20.1</v>
      </c>
      <c r="K36" s="14" t="n">
        <v>31</v>
      </c>
      <c r="L36" s="8" t="s">
        <v>189</v>
      </c>
      <c r="M36" s="18" t="n">
        <v>702</v>
      </c>
    </row>
    <row r="37" customFormat="false" ht="15" hidden="false" customHeight="false" outlineLevel="0" collapsed="false">
      <c r="A37" s="14" t="n">
        <v>32</v>
      </c>
      <c r="B37" s="8" t="s">
        <v>230</v>
      </c>
      <c r="C37" s="18" t="n">
        <v>490</v>
      </c>
      <c r="D37" s="18" t="n">
        <f aca="false">C37/22</f>
        <v>22.2727272727273</v>
      </c>
      <c r="F37" s="14" t="n">
        <v>32</v>
      </c>
      <c r="G37" s="8" t="s">
        <v>170</v>
      </c>
      <c r="H37" s="18" t="n">
        <v>200</v>
      </c>
      <c r="I37" s="18" t="n">
        <f aca="false">H37/10</f>
        <v>20</v>
      </c>
      <c r="K37" s="14" t="n">
        <v>32</v>
      </c>
      <c r="L37" s="8" t="s">
        <v>301</v>
      </c>
      <c r="M37" s="18" t="n">
        <v>684</v>
      </c>
    </row>
    <row r="38" customFormat="false" ht="15" hidden="false" customHeight="false" outlineLevel="0" collapsed="false">
      <c r="A38" s="43" t="n">
        <v>33</v>
      </c>
      <c r="B38" s="41" t="s">
        <v>179</v>
      </c>
      <c r="C38" s="42" t="n">
        <v>459</v>
      </c>
      <c r="D38" s="42" t="n">
        <f aca="false">C38/22</f>
        <v>20.8636363636364</v>
      </c>
      <c r="F38" s="14" t="n">
        <v>33</v>
      </c>
      <c r="G38" s="8" t="s">
        <v>184</v>
      </c>
      <c r="H38" s="18" t="n">
        <v>199</v>
      </c>
      <c r="I38" s="18" t="n">
        <f aca="false">H38/10</f>
        <v>19.9</v>
      </c>
      <c r="K38" s="43" t="n">
        <v>33</v>
      </c>
      <c r="L38" s="41" t="s">
        <v>179</v>
      </c>
      <c r="M38" s="42" t="n">
        <v>679</v>
      </c>
    </row>
    <row r="39" customFormat="false" ht="15" hidden="false" customHeight="false" outlineLevel="0" collapsed="false">
      <c r="A39" s="14" t="n">
        <v>34</v>
      </c>
      <c r="B39" s="8" t="s">
        <v>189</v>
      </c>
      <c r="C39" s="18" t="n">
        <v>454</v>
      </c>
      <c r="D39" s="18" t="n">
        <f aca="false">C39/22</f>
        <v>20.6363636363636</v>
      </c>
      <c r="F39" s="14" t="n">
        <v>34</v>
      </c>
      <c r="G39" s="8" t="s">
        <v>267</v>
      </c>
      <c r="H39" s="18" t="n">
        <v>175</v>
      </c>
      <c r="I39" s="18" t="n">
        <f aca="false">H39/10</f>
        <v>17.5</v>
      </c>
      <c r="K39" s="14" t="n">
        <v>34</v>
      </c>
      <c r="L39" s="8" t="s">
        <v>276</v>
      </c>
      <c r="M39" s="18" t="n">
        <v>631</v>
      </c>
    </row>
    <row r="40" customFormat="false" ht="15" hidden="false" customHeight="false" outlineLevel="0" collapsed="false">
      <c r="A40" s="14" t="n">
        <v>35</v>
      </c>
      <c r="B40" s="8" t="s">
        <v>267</v>
      </c>
      <c r="C40" s="18" t="n">
        <v>450</v>
      </c>
      <c r="D40" s="18" t="n">
        <f aca="false">C40/22</f>
        <v>20.4545454545455</v>
      </c>
      <c r="F40" s="43" t="n">
        <v>35</v>
      </c>
      <c r="G40" s="41" t="s">
        <v>176</v>
      </c>
      <c r="H40" s="42" t="n">
        <v>160</v>
      </c>
      <c r="I40" s="42" t="n">
        <f aca="false">H40/10</f>
        <v>16</v>
      </c>
      <c r="K40" s="14" t="n">
        <v>35</v>
      </c>
      <c r="L40" s="8" t="s">
        <v>267</v>
      </c>
      <c r="M40" s="18" t="n">
        <v>625</v>
      </c>
    </row>
    <row r="41" customFormat="false" ht="15" hidden="false" customHeight="false" outlineLevel="0" collapsed="false">
      <c r="A41" s="14" t="n">
        <v>36</v>
      </c>
      <c r="B41" s="8" t="s">
        <v>271</v>
      </c>
      <c r="C41" s="18" t="n">
        <v>436</v>
      </c>
      <c r="D41" s="18" t="n">
        <f aca="false">C41/22</f>
        <v>19.8181818181818</v>
      </c>
      <c r="F41" s="14" t="n">
        <v>36</v>
      </c>
      <c r="G41" s="8" t="s">
        <v>182</v>
      </c>
      <c r="H41" s="18" t="n">
        <v>151</v>
      </c>
      <c r="I41" s="18" t="n">
        <f aca="false">H41/10</f>
        <v>15.1</v>
      </c>
      <c r="K41" s="14" t="n">
        <v>36</v>
      </c>
      <c r="L41" s="8" t="s">
        <v>288</v>
      </c>
      <c r="M41" s="18" t="n">
        <v>608</v>
      </c>
    </row>
    <row r="42" customFormat="false" ht="15" hidden="false" customHeight="false" outlineLevel="0" collapsed="false">
      <c r="A42" s="14" t="n">
        <v>37</v>
      </c>
      <c r="B42" s="8" t="s">
        <v>184</v>
      </c>
      <c r="C42" s="18" t="n">
        <v>350</v>
      </c>
      <c r="D42" s="18" t="n">
        <f aca="false">C42/22</f>
        <v>15.9090909090909</v>
      </c>
      <c r="F42" s="14" t="n">
        <v>37</v>
      </c>
      <c r="G42" s="8" t="s">
        <v>271</v>
      </c>
      <c r="H42" s="18" t="n">
        <v>149</v>
      </c>
      <c r="I42" s="18" t="n">
        <f aca="false">H42/10</f>
        <v>14.9</v>
      </c>
      <c r="K42" s="14" t="n">
        <v>37</v>
      </c>
      <c r="L42" s="8" t="s">
        <v>271</v>
      </c>
      <c r="M42" s="18" t="n">
        <v>585</v>
      </c>
    </row>
    <row r="43" customFormat="false" ht="15" hidden="false" customHeight="false" outlineLevel="0" collapsed="false">
      <c r="A43" s="14" t="n">
        <v>38</v>
      </c>
      <c r="B43" s="8" t="s">
        <v>302</v>
      </c>
      <c r="C43" s="18" t="n">
        <v>348</v>
      </c>
      <c r="D43" s="18" t="n">
        <f aca="false">C43/22</f>
        <v>15.8181818181818</v>
      </c>
      <c r="F43" s="14" t="n">
        <v>38</v>
      </c>
      <c r="G43" s="8" t="s">
        <v>262</v>
      </c>
      <c r="H43" s="18" t="n">
        <v>96</v>
      </c>
      <c r="I43" s="18" t="n">
        <f aca="false">H43/10</f>
        <v>9.6</v>
      </c>
      <c r="K43" s="14" t="n">
        <v>38</v>
      </c>
      <c r="L43" s="8" t="s">
        <v>184</v>
      </c>
      <c r="M43" s="18" t="n">
        <v>549</v>
      </c>
    </row>
    <row r="44" customFormat="false" ht="15" hidden="false" customHeight="false" outlineLevel="0" collapsed="false">
      <c r="A44" s="14" t="n">
        <v>39</v>
      </c>
      <c r="B44" s="8" t="s">
        <v>303</v>
      </c>
      <c r="C44" s="18" t="n">
        <v>346</v>
      </c>
      <c r="D44" s="18" t="n">
        <f aca="false">C44/22</f>
        <v>15.7272727272727</v>
      </c>
      <c r="F44" s="14" t="n">
        <v>39</v>
      </c>
      <c r="G44" s="8" t="s">
        <v>276</v>
      </c>
      <c r="H44" s="18" t="n">
        <v>80</v>
      </c>
      <c r="I44" s="18" t="n">
        <f aca="false">H44/10</f>
        <v>8</v>
      </c>
      <c r="K44" s="14" t="n">
        <v>39</v>
      </c>
      <c r="L44" s="8" t="s">
        <v>245</v>
      </c>
      <c r="M44" s="18" t="n">
        <v>434</v>
      </c>
    </row>
    <row r="45" customFormat="false" ht="15" hidden="false" customHeight="false" outlineLevel="0" collapsed="false">
      <c r="A45" s="14" t="n">
        <v>40</v>
      </c>
      <c r="B45" s="8" t="s">
        <v>288</v>
      </c>
      <c r="C45" s="18" t="n">
        <v>342</v>
      </c>
      <c r="D45" s="18" t="n">
        <f aca="false">C45/22</f>
        <v>15.5454545454545</v>
      </c>
      <c r="F45" s="14" t="n">
        <v>40</v>
      </c>
      <c r="G45" s="8" t="s">
        <v>304</v>
      </c>
      <c r="H45" s="18" t="n">
        <v>20</v>
      </c>
      <c r="I45" s="18" t="n">
        <f aca="false">H45/10</f>
        <v>2</v>
      </c>
      <c r="K45" s="14" t="n">
        <v>40</v>
      </c>
      <c r="L45" s="8" t="s">
        <v>305</v>
      </c>
      <c r="M45" s="18" t="n">
        <v>348</v>
      </c>
    </row>
    <row r="46" customFormat="false" ht="15" hidden="false" customHeight="false" outlineLevel="0" collapsed="false">
      <c r="A46" s="14" t="n">
        <v>41</v>
      </c>
      <c r="B46" s="8" t="s">
        <v>245</v>
      </c>
      <c r="C46" s="18" t="n">
        <v>233</v>
      </c>
      <c r="D46" s="18" t="n">
        <f aca="false">C46/22</f>
        <v>10.5909090909091</v>
      </c>
      <c r="F46" s="14" t="n">
        <v>41</v>
      </c>
      <c r="G46" s="8" t="s">
        <v>306</v>
      </c>
      <c r="H46" s="18" t="n">
        <v>8</v>
      </c>
      <c r="I46" s="18" t="n">
        <f aca="false">H46/10</f>
        <v>0.8</v>
      </c>
      <c r="K46" s="14" t="n">
        <v>41</v>
      </c>
      <c r="L46" s="8" t="s">
        <v>307</v>
      </c>
      <c r="M46" s="18" t="n">
        <v>346</v>
      </c>
    </row>
    <row r="47" customFormat="false" ht="15" hidden="false" customHeight="false" outlineLevel="0" collapsed="false">
      <c r="A47" s="14" t="n">
        <v>42</v>
      </c>
      <c r="B47" s="8" t="s">
        <v>306</v>
      </c>
      <c r="C47" s="18" t="n">
        <v>99</v>
      </c>
      <c r="D47" s="18" t="n">
        <f aca="false">C47/22</f>
        <v>4.5</v>
      </c>
      <c r="F47" s="14" t="n">
        <v>42</v>
      </c>
      <c r="G47" s="8" t="s">
        <v>277</v>
      </c>
      <c r="H47" s="18" t="n">
        <v>3</v>
      </c>
      <c r="I47" s="18" t="n">
        <f aca="false">H47/10</f>
        <v>0.3</v>
      </c>
      <c r="K47" s="14" t="n">
        <v>42</v>
      </c>
      <c r="L47" s="8" t="s">
        <v>183</v>
      </c>
      <c r="M47" s="18" t="n">
        <v>269.8</v>
      </c>
    </row>
    <row r="48" customFormat="false" ht="15" hidden="false" customHeight="false" outlineLevel="0" collapsed="false">
      <c r="A48" s="14" t="n">
        <v>43</v>
      </c>
      <c r="B48" s="8" t="s">
        <v>183</v>
      </c>
      <c r="C48" s="18" t="n">
        <v>52</v>
      </c>
      <c r="D48" s="18" t="n">
        <f aca="false">C48/22</f>
        <v>2.36363636363636</v>
      </c>
      <c r="K48" s="14" t="n">
        <v>43</v>
      </c>
      <c r="L48" s="8" t="s">
        <v>262</v>
      </c>
      <c r="M48" s="18" t="n">
        <v>148</v>
      </c>
    </row>
    <row r="49" customFormat="false" ht="15" hidden="false" customHeight="false" outlineLevel="0" collapsed="false">
      <c r="A49" s="14" t="n">
        <v>43</v>
      </c>
      <c r="B49" s="8" t="s">
        <v>262</v>
      </c>
      <c r="C49" s="18" t="n">
        <v>52</v>
      </c>
      <c r="D49" s="18" t="n">
        <f aca="false">C49/22</f>
        <v>2.36363636363636</v>
      </c>
      <c r="K49" s="14" t="n">
        <v>44</v>
      </c>
      <c r="L49" s="8" t="s">
        <v>306</v>
      </c>
      <c r="M49" s="18" t="n">
        <v>107</v>
      </c>
    </row>
    <row r="50" customFormat="false" ht="15" hidden="false" customHeight="false" outlineLevel="0" collapsed="false">
      <c r="A50" s="14" t="n">
        <v>45</v>
      </c>
      <c r="B50" s="8" t="s">
        <v>304</v>
      </c>
      <c r="C50" s="18" t="n">
        <v>0</v>
      </c>
      <c r="D50" s="18" t="n">
        <f aca="false">C50/22</f>
        <v>0</v>
      </c>
      <c r="K50" s="14" t="n">
        <v>45</v>
      </c>
      <c r="L50" s="8" t="s">
        <v>304</v>
      </c>
      <c r="M50" s="18" t="n">
        <v>20</v>
      </c>
    </row>
    <row r="51" customFormat="false" ht="15" hidden="false" customHeight="false" outlineLevel="0" collapsed="false">
      <c r="A51" s="14" t="n">
        <v>45</v>
      </c>
      <c r="B51" s="8" t="s">
        <v>277</v>
      </c>
      <c r="C51" s="18" t="n">
        <v>0</v>
      </c>
      <c r="D51" s="18" t="n">
        <f aca="false">C51/22</f>
        <v>0</v>
      </c>
      <c r="K51" s="14" t="n">
        <v>46</v>
      </c>
      <c r="L51" s="8" t="s">
        <v>277</v>
      </c>
      <c r="M51" s="18" t="n">
        <v>3</v>
      </c>
    </row>
    <row r="52" customFormat="false" ht="15" hidden="false" customHeight="false" outlineLevel="0" collapsed="false">
      <c r="B52" s="8" t="s">
        <v>282</v>
      </c>
      <c r="C52" s="18" t="n">
        <f aca="false">AVERAGE(C6:C51)</f>
        <v>507.936956521739</v>
      </c>
      <c r="D52" s="18" t="n">
        <f aca="false">AVERAGE(D6:D51)</f>
        <v>23.0880434782609</v>
      </c>
      <c r="G52" s="8" t="s">
        <v>282</v>
      </c>
      <c r="H52" s="18" t="n">
        <f aca="false">AVERAGE(H6:H51)</f>
        <v>224.9</v>
      </c>
      <c r="I52" s="18" t="n">
        <f aca="false">AVERAGE(I6:I51)</f>
        <v>22.49</v>
      </c>
      <c r="L52" s="8" t="s">
        <v>282</v>
      </c>
      <c r="M52" s="18" t="n">
        <f aca="false">AVERAGE(M6:M51)</f>
        <v>713.280434782609</v>
      </c>
    </row>
    <row r="55" customFormat="false" ht="15" hidden="false" customHeight="false" outlineLevel="0" collapsed="false">
      <c r="A55" s="39" t="s">
        <v>308</v>
      </c>
    </row>
    <row r="56" customFormat="false" ht="15" hidden="false" customHeight="false" outlineLevel="0" collapsed="false">
      <c r="A56" s="11" t="s">
        <v>223</v>
      </c>
      <c r="B56" s="12" t="s">
        <v>296</v>
      </c>
      <c r="C56" s="12" t="s">
        <v>297</v>
      </c>
      <c r="D56" s="12" t="s">
        <v>225</v>
      </c>
      <c r="F56" s="11" t="s">
        <v>223</v>
      </c>
      <c r="G56" s="12" t="s">
        <v>298</v>
      </c>
      <c r="H56" s="12" t="s">
        <v>297</v>
      </c>
      <c r="I56" s="12" t="s">
        <v>225</v>
      </c>
      <c r="K56" s="11" t="s">
        <v>223</v>
      </c>
      <c r="L56" s="12" t="s">
        <v>299</v>
      </c>
      <c r="M56" s="12" t="s">
        <v>297</v>
      </c>
    </row>
    <row r="57" customFormat="false" ht="15" hidden="false" customHeight="false" outlineLevel="0" collapsed="false">
      <c r="A57" s="14" t="n">
        <v>1</v>
      </c>
      <c r="B57" s="8" t="s">
        <v>189</v>
      </c>
      <c r="C57" s="18" t="n">
        <v>658</v>
      </c>
      <c r="D57" s="18" t="n">
        <f aca="false">C57/19</f>
        <v>34.6315789473684</v>
      </c>
      <c r="F57" s="14" t="n">
        <v>1</v>
      </c>
      <c r="G57" s="8" t="s">
        <v>233</v>
      </c>
      <c r="H57" s="18" t="n">
        <v>295</v>
      </c>
      <c r="I57" s="18" t="n">
        <f aca="false">H57/10</f>
        <v>29.5</v>
      </c>
      <c r="K57" s="14" t="n">
        <v>1</v>
      </c>
      <c r="L57" s="8" t="s">
        <v>233</v>
      </c>
      <c r="M57" s="18" t="n">
        <v>946</v>
      </c>
    </row>
    <row r="58" customFormat="false" ht="15" hidden="false" customHeight="false" outlineLevel="0" collapsed="false">
      <c r="A58" s="14" t="n">
        <v>2</v>
      </c>
      <c r="B58" s="8" t="s">
        <v>230</v>
      </c>
      <c r="C58" s="18" t="n">
        <v>652</v>
      </c>
      <c r="D58" s="18" t="n">
        <f aca="false">C58/19</f>
        <v>34.3157894736842</v>
      </c>
      <c r="F58" s="14" t="n">
        <v>2</v>
      </c>
      <c r="G58" s="8" t="s">
        <v>229</v>
      </c>
      <c r="H58" s="18" t="n">
        <v>277</v>
      </c>
      <c r="I58" s="18" t="n">
        <f aca="false">H58/10</f>
        <v>27.7</v>
      </c>
      <c r="K58" s="14" t="n">
        <v>2</v>
      </c>
      <c r="L58" s="8" t="s">
        <v>229</v>
      </c>
      <c r="M58" s="18" t="n">
        <v>912</v>
      </c>
    </row>
    <row r="59" customFormat="false" ht="15" hidden="false" customHeight="false" outlineLevel="0" collapsed="false">
      <c r="A59" s="14" t="n">
        <v>3</v>
      </c>
      <c r="B59" s="8" t="s">
        <v>233</v>
      </c>
      <c r="C59" s="18" t="n">
        <v>651</v>
      </c>
      <c r="D59" s="18" t="n">
        <f aca="false">C59/19</f>
        <v>34.2631578947368</v>
      </c>
      <c r="F59" s="14" t="n">
        <v>3</v>
      </c>
      <c r="G59" s="8" t="s">
        <v>238</v>
      </c>
      <c r="H59" s="18" t="n">
        <v>266</v>
      </c>
      <c r="I59" s="18" t="n">
        <f aca="false">H59/10</f>
        <v>26.6</v>
      </c>
      <c r="K59" s="14" t="n">
        <v>3</v>
      </c>
      <c r="L59" s="8" t="s">
        <v>230</v>
      </c>
      <c r="M59" s="18" t="n">
        <v>904</v>
      </c>
    </row>
    <row r="60" customFormat="false" ht="15" hidden="false" customHeight="false" outlineLevel="0" collapsed="false">
      <c r="A60" s="14" t="n">
        <v>4</v>
      </c>
      <c r="B60" s="8" t="s">
        <v>229</v>
      </c>
      <c r="C60" s="18" t="n">
        <v>635</v>
      </c>
      <c r="D60" s="18" t="n">
        <f aca="false">C60/19</f>
        <v>33.4210526315789</v>
      </c>
      <c r="F60" s="14" t="n">
        <v>4</v>
      </c>
      <c r="G60" s="8" t="s">
        <v>241</v>
      </c>
      <c r="H60" s="18" t="n">
        <v>255</v>
      </c>
      <c r="I60" s="18" t="n">
        <f aca="false">H60/10</f>
        <v>25.5</v>
      </c>
      <c r="K60" s="14" t="n">
        <v>4</v>
      </c>
      <c r="L60" s="8" t="s">
        <v>238</v>
      </c>
      <c r="M60" s="18" t="n">
        <v>881</v>
      </c>
    </row>
    <row r="61" customFormat="false" ht="15" hidden="false" customHeight="false" outlineLevel="0" collapsed="false">
      <c r="A61" s="14" t="n">
        <v>5</v>
      </c>
      <c r="B61" s="8" t="s">
        <v>238</v>
      </c>
      <c r="C61" s="18" t="n">
        <v>615</v>
      </c>
      <c r="D61" s="18" t="n">
        <f aca="false">C61/19</f>
        <v>32.3684210526316</v>
      </c>
      <c r="F61" s="43" t="n">
        <v>5</v>
      </c>
      <c r="G61" s="41" t="s">
        <v>183</v>
      </c>
      <c r="H61" s="42" t="n">
        <v>252</v>
      </c>
      <c r="I61" s="42" t="n">
        <f aca="false">H61/10</f>
        <v>25.2</v>
      </c>
      <c r="K61" s="14" t="n">
        <v>5</v>
      </c>
      <c r="L61" s="8" t="s">
        <v>189</v>
      </c>
      <c r="M61" s="18" t="n">
        <v>878</v>
      </c>
    </row>
    <row r="62" customFormat="false" ht="15" hidden="false" customHeight="false" outlineLevel="0" collapsed="false">
      <c r="A62" s="14" t="n">
        <v>5</v>
      </c>
      <c r="B62" s="8" t="s">
        <v>241</v>
      </c>
      <c r="C62" s="18" t="n">
        <v>615</v>
      </c>
      <c r="D62" s="18" t="n">
        <f aca="false">C62/19</f>
        <v>32.3684210526316</v>
      </c>
      <c r="F62" s="14" t="n">
        <v>5</v>
      </c>
      <c r="G62" s="8" t="s">
        <v>230</v>
      </c>
      <c r="H62" s="18" t="n">
        <v>252</v>
      </c>
      <c r="I62" s="18" t="n">
        <f aca="false">H62/10</f>
        <v>25.2</v>
      </c>
      <c r="K62" s="14" t="n">
        <v>6</v>
      </c>
      <c r="L62" s="8" t="s">
        <v>241</v>
      </c>
      <c r="M62" s="18" t="n">
        <v>870</v>
      </c>
    </row>
    <row r="63" customFormat="false" ht="15" hidden="false" customHeight="false" outlineLevel="0" collapsed="false">
      <c r="A63" s="14" t="n">
        <v>7</v>
      </c>
      <c r="B63" s="8" t="s">
        <v>244</v>
      </c>
      <c r="C63" s="18" t="n">
        <v>608</v>
      </c>
      <c r="D63" s="18" t="n">
        <f aca="false">C63/19</f>
        <v>32</v>
      </c>
      <c r="F63" s="14" t="n">
        <v>7</v>
      </c>
      <c r="G63" s="8" t="s">
        <v>272</v>
      </c>
      <c r="H63" s="18" t="n">
        <v>251</v>
      </c>
      <c r="I63" s="18" t="n">
        <f aca="false">H63/10</f>
        <v>25.1</v>
      </c>
      <c r="K63" s="14" t="n">
        <v>7</v>
      </c>
      <c r="L63" s="8" t="s">
        <v>231</v>
      </c>
      <c r="M63" s="18" t="n">
        <v>849</v>
      </c>
    </row>
    <row r="64" customFormat="false" ht="15" hidden="false" customHeight="false" outlineLevel="0" collapsed="false">
      <c r="A64" s="14" t="n">
        <v>8</v>
      </c>
      <c r="B64" s="8" t="s">
        <v>237</v>
      </c>
      <c r="C64" s="18" t="n">
        <v>607</v>
      </c>
      <c r="D64" s="18" t="n">
        <f aca="false">C64/19</f>
        <v>31.9473684210526</v>
      </c>
      <c r="F64" s="14" t="n">
        <v>8</v>
      </c>
      <c r="G64" s="8" t="s">
        <v>231</v>
      </c>
      <c r="H64" s="18" t="n">
        <v>250</v>
      </c>
      <c r="I64" s="18" t="n">
        <f aca="false">H64/10</f>
        <v>25</v>
      </c>
      <c r="K64" s="14" t="n">
        <v>8</v>
      </c>
      <c r="L64" s="8" t="s">
        <v>244</v>
      </c>
      <c r="M64" s="18" t="n">
        <v>844</v>
      </c>
    </row>
    <row r="65" customFormat="false" ht="15" hidden="false" customHeight="false" outlineLevel="0" collapsed="false">
      <c r="A65" s="14" t="n">
        <v>9</v>
      </c>
      <c r="B65" s="8" t="s">
        <v>231</v>
      </c>
      <c r="C65" s="18" t="n">
        <v>599</v>
      </c>
      <c r="D65" s="18" t="n">
        <f aca="false">C65/19</f>
        <v>31.5263157894737</v>
      </c>
      <c r="F65" s="14" t="n">
        <v>9</v>
      </c>
      <c r="G65" s="8" t="s">
        <v>236</v>
      </c>
      <c r="H65" s="18" t="n">
        <v>244</v>
      </c>
      <c r="I65" s="18" t="n">
        <f aca="false">H65/10</f>
        <v>24.4</v>
      </c>
      <c r="K65" s="14" t="n">
        <v>9</v>
      </c>
      <c r="L65" s="8" t="s">
        <v>185</v>
      </c>
      <c r="M65" s="18" t="n">
        <v>829</v>
      </c>
    </row>
    <row r="66" customFormat="false" ht="15" hidden="false" customHeight="false" outlineLevel="0" collapsed="false">
      <c r="A66" s="14" t="n">
        <v>10</v>
      </c>
      <c r="B66" s="8" t="s">
        <v>185</v>
      </c>
      <c r="C66" s="18" t="n">
        <v>596</v>
      </c>
      <c r="D66" s="18" t="n">
        <f aca="false">C66/19</f>
        <v>31.3684210526316</v>
      </c>
      <c r="F66" s="14" t="n">
        <v>9</v>
      </c>
      <c r="G66" s="8" t="s">
        <v>246</v>
      </c>
      <c r="H66" s="18" t="n">
        <v>244</v>
      </c>
      <c r="I66" s="18" t="n">
        <f aca="false">H66/10</f>
        <v>24.4</v>
      </c>
      <c r="K66" s="14" t="n">
        <v>10</v>
      </c>
      <c r="L66" s="8" t="s">
        <v>246</v>
      </c>
      <c r="M66" s="18" t="n">
        <v>824</v>
      </c>
    </row>
    <row r="67" customFormat="false" ht="15" hidden="false" customHeight="false" outlineLevel="0" collapsed="false">
      <c r="A67" s="14" t="n">
        <v>11</v>
      </c>
      <c r="B67" s="8" t="s">
        <v>178</v>
      </c>
      <c r="C67" s="18" t="n">
        <v>590</v>
      </c>
      <c r="D67" s="18" t="n">
        <f aca="false">C67/19</f>
        <v>31.0526315789474</v>
      </c>
      <c r="F67" s="14" t="n">
        <v>9</v>
      </c>
      <c r="G67" s="8" t="s">
        <v>248</v>
      </c>
      <c r="H67" s="18" t="n">
        <v>244</v>
      </c>
      <c r="I67" s="18" t="n">
        <f aca="false">H67/10</f>
        <v>24.4</v>
      </c>
      <c r="K67" s="14" t="n">
        <v>11</v>
      </c>
      <c r="L67" s="8" t="s">
        <v>251</v>
      </c>
      <c r="M67" s="18" t="n">
        <v>821</v>
      </c>
    </row>
    <row r="68" customFormat="false" ht="15" hidden="false" customHeight="false" outlineLevel="0" collapsed="false">
      <c r="A68" s="14" t="n">
        <v>12</v>
      </c>
      <c r="B68" s="8" t="s">
        <v>251</v>
      </c>
      <c r="C68" s="18" t="n">
        <v>583</v>
      </c>
      <c r="D68" s="18" t="n">
        <f aca="false">C68/19</f>
        <v>30.6842105263158</v>
      </c>
      <c r="F68" s="14" t="n">
        <v>12</v>
      </c>
      <c r="G68" s="8" t="s">
        <v>255</v>
      </c>
      <c r="H68" s="18" t="n">
        <v>242</v>
      </c>
      <c r="I68" s="18" t="n">
        <f aca="false">H68/10</f>
        <v>24.2</v>
      </c>
      <c r="K68" s="14" t="n">
        <v>12</v>
      </c>
      <c r="L68" s="8" t="s">
        <v>250</v>
      </c>
      <c r="M68" s="18" t="n">
        <v>809</v>
      </c>
    </row>
    <row r="69" customFormat="false" ht="15" hidden="false" customHeight="false" outlineLevel="0" collapsed="false">
      <c r="A69" s="14" t="n">
        <v>13</v>
      </c>
      <c r="B69" s="8" t="s">
        <v>246</v>
      </c>
      <c r="C69" s="18" t="n">
        <v>580</v>
      </c>
      <c r="D69" s="18" t="n">
        <f aca="false">C69/19</f>
        <v>30.5263157894737</v>
      </c>
      <c r="F69" s="14" t="n">
        <v>13</v>
      </c>
      <c r="G69" s="8" t="s">
        <v>251</v>
      </c>
      <c r="H69" s="18" t="n">
        <v>238</v>
      </c>
      <c r="I69" s="18" t="n">
        <f aca="false">H69/10</f>
        <v>23.8</v>
      </c>
      <c r="K69" s="14" t="n">
        <v>13</v>
      </c>
      <c r="L69" s="8" t="s">
        <v>255</v>
      </c>
      <c r="M69" s="18" t="n">
        <v>807</v>
      </c>
    </row>
    <row r="70" customFormat="false" ht="15" hidden="false" customHeight="false" outlineLevel="0" collapsed="false">
      <c r="A70" s="14" t="n">
        <v>14</v>
      </c>
      <c r="B70" s="8" t="s">
        <v>250</v>
      </c>
      <c r="C70" s="18" t="n">
        <v>575</v>
      </c>
      <c r="D70" s="18" t="n">
        <f aca="false">C70/19</f>
        <v>30.2631578947368</v>
      </c>
      <c r="F70" s="14" t="n">
        <v>14</v>
      </c>
      <c r="G70" s="8" t="s">
        <v>244</v>
      </c>
      <c r="H70" s="18" t="n">
        <v>236</v>
      </c>
      <c r="I70" s="18" t="n">
        <f aca="false">H70/10</f>
        <v>23.6</v>
      </c>
      <c r="K70" s="14" t="n">
        <v>14</v>
      </c>
      <c r="L70" s="8" t="s">
        <v>236</v>
      </c>
      <c r="M70" s="18" t="n">
        <v>804</v>
      </c>
    </row>
    <row r="71" customFormat="false" ht="15" hidden="false" customHeight="false" outlineLevel="0" collapsed="false">
      <c r="A71" s="14" t="n">
        <v>15</v>
      </c>
      <c r="B71" s="8" t="s">
        <v>255</v>
      </c>
      <c r="C71" s="18" t="n">
        <v>565</v>
      </c>
      <c r="D71" s="18" t="n">
        <f aca="false">C71/19</f>
        <v>29.7368421052632</v>
      </c>
      <c r="F71" s="14" t="n">
        <v>15</v>
      </c>
      <c r="G71" s="8" t="s">
        <v>250</v>
      </c>
      <c r="H71" s="18" t="n">
        <v>234</v>
      </c>
      <c r="I71" s="18" t="n">
        <f aca="false">H71/10</f>
        <v>23.4</v>
      </c>
      <c r="K71" s="14" t="n">
        <v>15</v>
      </c>
      <c r="L71" s="8" t="s">
        <v>178</v>
      </c>
      <c r="M71" s="18" t="n">
        <v>800</v>
      </c>
    </row>
    <row r="72" customFormat="false" ht="15" hidden="false" customHeight="false" outlineLevel="0" collapsed="false">
      <c r="A72" s="14" t="n">
        <v>16</v>
      </c>
      <c r="B72" s="8" t="s">
        <v>235</v>
      </c>
      <c r="C72" s="18" t="n">
        <v>560</v>
      </c>
      <c r="D72" s="18" t="n">
        <f aca="false">C72/19</f>
        <v>29.4736842105263</v>
      </c>
      <c r="F72" s="14" t="n">
        <v>15</v>
      </c>
      <c r="G72" s="8" t="s">
        <v>249</v>
      </c>
      <c r="H72" s="18" t="n">
        <v>234</v>
      </c>
      <c r="I72" s="18" t="n">
        <f aca="false">H72/10</f>
        <v>23.4</v>
      </c>
      <c r="K72" s="14" t="n">
        <v>16</v>
      </c>
      <c r="L72" s="8" t="s">
        <v>235</v>
      </c>
      <c r="M72" s="18" t="n">
        <v>790</v>
      </c>
    </row>
    <row r="73" customFormat="false" ht="15" hidden="false" customHeight="false" outlineLevel="0" collapsed="false">
      <c r="A73" s="14" t="n">
        <v>16</v>
      </c>
      <c r="B73" s="8" t="s">
        <v>236</v>
      </c>
      <c r="C73" s="18" t="n">
        <v>560</v>
      </c>
      <c r="D73" s="18" t="n">
        <f aca="false">C73/19</f>
        <v>29.4736842105263</v>
      </c>
      <c r="F73" s="14" t="n">
        <v>17</v>
      </c>
      <c r="G73" s="8" t="s">
        <v>185</v>
      </c>
      <c r="H73" s="18" t="n">
        <v>233</v>
      </c>
      <c r="I73" s="18" t="n">
        <f aca="false">H73/10</f>
        <v>23.3</v>
      </c>
      <c r="K73" s="43" t="n">
        <v>17</v>
      </c>
      <c r="L73" s="41" t="s">
        <v>183</v>
      </c>
      <c r="M73" s="42" t="n">
        <v>788</v>
      </c>
    </row>
    <row r="74" customFormat="false" ht="15" hidden="false" customHeight="false" outlineLevel="0" collapsed="false">
      <c r="A74" s="14" t="n">
        <v>18</v>
      </c>
      <c r="B74" s="8" t="s">
        <v>253</v>
      </c>
      <c r="C74" s="18" t="n">
        <v>558</v>
      </c>
      <c r="D74" s="18" t="n">
        <f aca="false">C74/19</f>
        <v>29.3684210526316</v>
      </c>
      <c r="F74" s="14" t="n">
        <v>18</v>
      </c>
      <c r="G74" s="8" t="s">
        <v>267</v>
      </c>
      <c r="H74" s="18" t="n">
        <v>232</v>
      </c>
      <c r="I74" s="18" t="n">
        <f aca="false">H74/10</f>
        <v>23.2</v>
      </c>
      <c r="K74" s="14" t="n">
        <v>18</v>
      </c>
      <c r="L74" s="8" t="s">
        <v>262</v>
      </c>
      <c r="M74" s="18" t="n">
        <v>783</v>
      </c>
    </row>
    <row r="75" customFormat="false" ht="15" hidden="false" customHeight="false" outlineLevel="0" collapsed="false">
      <c r="A75" s="14" t="n">
        <v>19</v>
      </c>
      <c r="B75" s="8" t="s">
        <v>262</v>
      </c>
      <c r="C75" s="18" t="n">
        <v>552</v>
      </c>
      <c r="D75" s="18" t="n">
        <f aca="false">C75/19</f>
        <v>29.0526315789474</v>
      </c>
      <c r="F75" s="14" t="n">
        <v>19</v>
      </c>
      <c r="G75" s="8" t="s">
        <v>262</v>
      </c>
      <c r="H75" s="18" t="n">
        <v>231</v>
      </c>
      <c r="I75" s="18" t="n">
        <f aca="false">H75/10</f>
        <v>23.1</v>
      </c>
      <c r="K75" s="14" t="n">
        <v>19</v>
      </c>
      <c r="L75" s="8" t="s">
        <v>253</v>
      </c>
      <c r="M75" s="18" t="n">
        <v>780</v>
      </c>
    </row>
    <row r="76" customFormat="false" ht="15" hidden="false" customHeight="false" outlineLevel="0" collapsed="false">
      <c r="A76" s="14" t="n">
        <v>19</v>
      </c>
      <c r="B76" s="8" t="s">
        <v>187</v>
      </c>
      <c r="C76" s="18" t="n">
        <v>552</v>
      </c>
      <c r="D76" s="18" t="n">
        <f aca="false">C76/19</f>
        <v>29.0526315789474</v>
      </c>
      <c r="F76" s="14" t="n">
        <v>20</v>
      </c>
      <c r="G76" s="8" t="s">
        <v>235</v>
      </c>
      <c r="H76" s="18" t="n">
        <v>230</v>
      </c>
      <c r="I76" s="18" t="n">
        <f aca="false">H76/10</f>
        <v>23</v>
      </c>
      <c r="K76" s="14" t="n">
        <v>20</v>
      </c>
      <c r="L76" s="8" t="s">
        <v>249</v>
      </c>
      <c r="M76" s="18" t="n">
        <v>778</v>
      </c>
    </row>
    <row r="77" customFormat="false" ht="15" hidden="false" customHeight="false" outlineLevel="0" collapsed="false">
      <c r="A77" s="14" t="n">
        <v>21</v>
      </c>
      <c r="B77" s="8" t="s">
        <v>249</v>
      </c>
      <c r="C77" s="18" t="n">
        <v>544</v>
      </c>
      <c r="D77" s="18" t="n">
        <f aca="false">C77/19</f>
        <v>28.6315789473684</v>
      </c>
      <c r="F77" s="14" t="n">
        <v>21</v>
      </c>
      <c r="G77" s="8" t="s">
        <v>242</v>
      </c>
      <c r="H77" s="18" t="n">
        <v>228</v>
      </c>
      <c r="I77" s="18" t="n">
        <f aca="false">H77/10</f>
        <v>22.8</v>
      </c>
      <c r="K77" s="14" t="n">
        <v>21</v>
      </c>
      <c r="L77" s="8" t="s">
        <v>267</v>
      </c>
      <c r="M77" s="18" t="n">
        <v>775</v>
      </c>
    </row>
    <row r="78" customFormat="false" ht="15" hidden="false" customHeight="false" outlineLevel="0" collapsed="false">
      <c r="A78" s="14" t="n">
        <v>22</v>
      </c>
      <c r="B78" s="8" t="s">
        <v>267</v>
      </c>
      <c r="C78" s="18" t="n">
        <v>543</v>
      </c>
      <c r="D78" s="18" t="n">
        <f aca="false">C78/19</f>
        <v>28.5789473684211</v>
      </c>
      <c r="F78" s="14" t="n">
        <v>22</v>
      </c>
      <c r="G78" s="8" t="s">
        <v>270</v>
      </c>
      <c r="H78" s="18" t="n">
        <v>225</v>
      </c>
      <c r="I78" s="18" t="n">
        <f aca="false">H78/10</f>
        <v>22.5</v>
      </c>
      <c r="K78" s="14" t="n">
        <v>22</v>
      </c>
      <c r="L78" s="8" t="s">
        <v>237</v>
      </c>
      <c r="M78" s="18" t="n">
        <v>767</v>
      </c>
    </row>
    <row r="79" customFormat="false" ht="15" hidden="false" customHeight="false" outlineLevel="0" collapsed="false">
      <c r="A79" s="14" t="n">
        <v>23</v>
      </c>
      <c r="B79" s="8" t="s">
        <v>232</v>
      </c>
      <c r="C79" s="18" t="n">
        <v>541</v>
      </c>
      <c r="D79" s="18" t="n">
        <f aca="false">C79/19</f>
        <v>28.4736842105263</v>
      </c>
      <c r="F79" s="14" t="n">
        <v>23</v>
      </c>
      <c r="G79" s="8" t="s">
        <v>234</v>
      </c>
      <c r="H79" s="18" t="n">
        <v>222</v>
      </c>
      <c r="I79" s="18" t="n">
        <f aca="false">H79/10</f>
        <v>22.2</v>
      </c>
      <c r="K79" s="14" t="n">
        <v>23</v>
      </c>
      <c r="L79" s="8" t="s">
        <v>232</v>
      </c>
      <c r="M79" s="18" t="n">
        <v>757</v>
      </c>
    </row>
    <row r="80" customFormat="false" ht="15" hidden="false" customHeight="false" outlineLevel="0" collapsed="false">
      <c r="A80" s="43" t="n">
        <v>24</v>
      </c>
      <c r="B80" s="41" t="s">
        <v>183</v>
      </c>
      <c r="C80" s="42" t="n">
        <v>536</v>
      </c>
      <c r="D80" s="42" t="n">
        <f aca="false">C80/19</f>
        <v>28.2105263157895</v>
      </c>
      <c r="F80" s="14" t="n">
        <v>23</v>
      </c>
      <c r="G80" s="8" t="s">
        <v>253</v>
      </c>
      <c r="H80" s="18" t="n">
        <v>222</v>
      </c>
      <c r="I80" s="18" t="n">
        <f aca="false">H80/10</f>
        <v>22.2</v>
      </c>
      <c r="K80" s="14" t="n">
        <v>24</v>
      </c>
      <c r="L80" s="8" t="s">
        <v>271</v>
      </c>
      <c r="M80" s="18" t="n">
        <v>749</v>
      </c>
    </row>
    <row r="81" customFormat="false" ht="15" hidden="false" customHeight="false" outlineLevel="0" collapsed="false">
      <c r="A81" s="14" t="n">
        <v>25</v>
      </c>
      <c r="B81" s="8" t="s">
        <v>271</v>
      </c>
      <c r="C81" s="18" t="n">
        <v>535</v>
      </c>
      <c r="D81" s="18" t="n">
        <f aca="false">C81/19</f>
        <v>28.1578947368421</v>
      </c>
      <c r="F81" s="14" t="n">
        <v>25</v>
      </c>
      <c r="G81" s="8" t="s">
        <v>189</v>
      </c>
      <c r="H81" s="18" t="n">
        <v>220</v>
      </c>
      <c r="I81" s="18" t="n">
        <f aca="false">H81/10</f>
        <v>22</v>
      </c>
      <c r="K81" s="14" t="n">
        <v>25</v>
      </c>
      <c r="L81" s="8" t="s">
        <v>275</v>
      </c>
      <c r="M81" s="18" t="n">
        <v>748</v>
      </c>
    </row>
    <row r="82" customFormat="false" ht="15" hidden="false" customHeight="false" outlineLevel="0" collapsed="false">
      <c r="A82" s="14" t="n">
        <v>26</v>
      </c>
      <c r="B82" s="8" t="s">
        <v>259</v>
      </c>
      <c r="C82" s="18" t="n">
        <v>534</v>
      </c>
      <c r="D82" s="18" t="n">
        <f aca="false">C82/19</f>
        <v>28.1052631578947</v>
      </c>
      <c r="F82" s="14" t="n">
        <v>25</v>
      </c>
      <c r="G82" s="8" t="s">
        <v>275</v>
      </c>
      <c r="H82" s="18" t="n">
        <v>220</v>
      </c>
      <c r="I82" s="18" t="n">
        <f aca="false">H82/10</f>
        <v>22</v>
      </c>
      <c r="K82" s="14" t="n">
        <v>26</v>
      </c>
      <c r="L82" s="8" t="s">
        <v>187</v>
      </c>
      <c r="M82" s="18" t="n">
        <v>745</v>
      </c>
    </row>
    <row r="83" customFormat="false" ht="15" hidden="false" customHeight="false" outlineLevel="0" collapsed="false">
      <c r="A83" s="14" t="n">
        <v>27</v>
      </c>
      <c r="B83" s="8" t="s">
        <v>275</v>
      </c>
      <c r="C83" s="18" t="n">
        <v>528</v>
      </c>
      <c r="D83" s="18" t="n">
        <f aca="false">C83/19</f>
        <v>27.7894736842105</v>
      </c>
      <c r="F83" s="14" t="n">
        <v>27</v>
      </c>
      <c r="G83" s="8" t="s">
        <v>245</v>
      </c>
      <c r="H83" s="18" t="n">
        <v>219</v>
      </c>
      <c r="I83" s="18" t="n">
        <f aca="false">H83/10</f>
        <v>21.9</v>
      </c>
      <c r="K83" s="14" t="n">
        <v>27</v>
      </c>
      <c r="L83" s="8" t="s">
        <v>259</v>
      </c>
      <c r="M83" s="18" t="n">
        <v>739</v>
      </c>
    </row>
    <row r="84" customFormat="false" ht="15" hidden="false" customHeight="false" outlineLevel="0" collapsed="false">
      <c r="A84" s="14" t="n">
        <v>28</v>
      </c>
      <c r="B84" s="8" t="s">
        <v>266</v>
      </c>
      <c r="C84" s="18" t="n">
        <v>516</v>
      </c>
      <c r="D84" s="18" t="n">
        <f aca="false">C84/19</f>
        <v>27.1578947368421</v>
      </c>
      <c r="F84" s="14" t="n">
        <v>28</v>
      </c>
      <c r="G84" s="8" t="s">
        <v>232</v>
      </c>
      <c r="H84" s="18" t="n">
        <v>216</v>
      </c>
      <c r="I84" s="18" t="n">
        <f aca="false">H84/10</f>
        <v>21.6</v>
      </c>
      <c r="K84" s="14" t="n">
        <v>28</v>
      </c>
      <c r="L84" s="8" t="s">
        <v>192</v>
      </c>
      <c r="M84" s="18" t="n">
        <v>707</v>
      </c>
    </row>
    <row r="85" customFormat="false" ht="15" hidden="false" customHeight="false" outlineLevel="0" collapsed="false">
      <c r="A85" s="14" t="n">
        <v>29</v>
      </c>
      <c r="B85" s="8" t="s">
        <v>277</v>
      </c>
      <c r="C85" s="18" t="n">
        <v>515</v>
      </c>
      <c r="D85" s="18" t="n">
        <f aca="false">C85/19</f>
        <v>27.1052631578947</v>
      </c>
      <c r="F85" s="14" t="n">
        <v>29</v>
      </c>
      <c r="G85" s="8" t="s">
        <v>192</v>
      </c>
      <c r="H85" s="18" t="n">
        <v>215</v>
      </c>
      <c r="I85" s="18" t="n">
        <f aca="false">H85/10</f>
        <v>21.5</v>
      </c>
      <c r="K85" s="14" t="n">
        <v>29</v>
      </c>
      <c r="L85" s="8" t="s">
        <v>266</v>
      </c>
      <c r="M85" s="18" t="n">
        <v>701</v>
      </c>
    </row>
    <row r="86" customFormat="false" ht="15" hidden="false" customHeight="false" outlineLevel="0" collapsed="false">
      <c r="A86" s="14" t="n">
        <v>30</v>
      </c>
      <c r="B86" s="8" t="s">
        <v>254</v>
      </c>
      <c r="C86" s="18" t="n">
        <v>511</v>
      </c>
      <c r="D86" s="18" t="n">
        <f aca="false">C86/19</f>
        <v>26.8947368421053</v>
      </c>
      <c r="F86" s="14" t="n">
        <v>30</v>
      </c>
      <c r="G86" s="8" t="s">
        <v>271</v>
      </c>
      <c r="H86" s="18" t="n">
        <v>214</v>
      </c>
      <c r="I86" s="18" t="n">
        <f aca="false">H86/10</f>
        <v>21.4</v>
      </c>
      <c r="K86" s="43" t="n">
        <v>30</v>
      </c>
      <c r="L86" s="41" t="s">
        <v>182</v>
      </c>
      <c r="M86" s="42" t="n">
        <v>699</v>
      </c>
    </row>
    <row r="87" customFormat="false" ht="15" hidden="false" customHeight="false" outlineLevel="0" collapsed="false">
      <c r="A87" s="43" t="n">
        <v>31</v>
      </c>
      <c r="B87" s="41" t="s">
        <v>182</v>
      </c>
      <c r="C87" s="42" t="n">
        <v>500</v>
      </c>
      <c r="D87" s="42" t="n">
        <f aca="false">C87/19</f>
        <v>26.3157894736842</v>
      </c>
      <c r="F87" s="14" t="n">
        <v>31</v>
      </c>
      <c r="G87" s="8" t="s">
        <v>178</v>
      </c>
      <c r="H87" s="18" t="n">
        <v>210</v>
      </c>
      <c r="I87" s="18" t="n">
        <f aca="false">H87/10</f>
        <v>21</v>
      </c>
      <c r="K87" s="14" t="n">
        <v>31</v>
      </c>
      <c r="L87" s="8" t="s">
        <v>254</v>
      </c>
      <c r="M87" s="18" t="n">
        <v>688</v>
      </c>
    </row>
    <row r="88" customFormat="false" ht="15" hidden="false" customHeight="false" outlineLevel="0" collapsed="false">
      <c r="A88" s="14" t="n">
        <v>32</v>
      </c>
      <c r="B88" s="8" t="s">
        <v>192</v>
      </c>
      <c r="C88" s="18" t="n">
        <v>492</v>
      </c>
      <c r="D88" s="18" t="n">
        <f aca="false">C88/19</f>
        <v>25.8947368421053</v>
      </c>
      <c r="F88" s="43" t="n">
        <v>32</v>
      </c>
      <c r="G88" s="41" t="s">
        <v>175</v>
      </c>
      <c r="H88" s="42" t="n">
        <v>206</v>
      </c>
      <c r="I88" s="42" t="n">
        <f aca="false">H88/10</f>
        <v>20.6</v>
      </c>
      <c r="K88" s="43" t="n">
        <v>32</v>
      </c>
      <c r="L88" s="41" t="s">
        <v>173</v>
      </c>
      <c r="M88" s="42" t="n">
        <v>687</v>
      </c>
    </row>
    <row r="89" customFormat="false" ht="15" hidden="false" customHeight="false" outlineLevel="0" collapsed="false">
      <c r="A89" s="43" t="n">
        <v>33</v>
      </c>
      <c r="B89" s="41" t="s">
        <v>173</v>
      </c>
      <c r="C89" s="42" t="n">
        <v>485</v>
      </c>
      <c r="D89" s="42" t="n">
        <f aca="false">C89/19</f>
        <v>25.5263157894737</v>
      </c>
      <c r="F89" s="14" t="n">
        <v>33</v>
      </c>
      <c r="G89" s="8" t="s">
        <v>259</v>
      </c>
      <c r="H89" s="18" t="n">
        <v>205</v>
      </c>
      <c r="I89" s="18" t="n">
        <f aca="false">H89/10</f>
        <v>20.5</v>
      </c>
      <c r="K89" s="14" t="n">
        <v>33</v>
      </c>
      <c r="L89" s="8" t="s">
        <v>234</v>
      </c>
      <c r="M89" s="18" t="n">
        <v>672</v>
      </c>
    </row>
    <row r="90" customFormat="false" ht="15" hidden="false" customHeight="false" outlineLevel="0" collapsed="false">
      <c r="A90" s="14" t="n">
        <v>34</v>
      </c>
      <c r="B90" s="8" t="s">
        <v>276</v>
      </c>
      <c r="C90" s="18" t="n">
        <v>469</v>
      </c>
      <c r="D90" s="18" t="n">
        <f aca="false">C90/19</f>
        <v>24.6842105263158</v>
      </c>
      <c r="F90" s="14" t="n">
        <v>34</v>
      </c>
      <c r="G90" s="8" t="s">
        <v>186</v>
      </c>
      <c r="H90" s="18" t="n">
        <v>204</v>
      </c>
      <c r="I90" s="18" t="n">
        <f aca="false">H90/10</f>
        <v>20.4</v>
      </c>
      <c r="K90" s="14" t="n">
        <v>34</v>
      </c>
      <c r="L90" s="8" t="s">
        <v>276</v>
      </c>
      <c r="M90" s="18" t="n">
        <v>670</v>
      </c>
    </row>
    <row r="91" customFormat="false" ht="15" hidden="false" customHeight="false" outlineLevel="0" collapsed="false">
      <c r="A91" s="43" t="n">
        <v>35</v>
      </c>
      <c r="B91" s="41" t="s">
        <v>184</v>
      </c>
      <c r="C91" s="42" t="n">
        <v>463</v>
      </c>
      <c r="D91" s="42" t="n">
        <f aca="false">C91/19</f>
        <v>24.3684210526316</v>
      </c>
      <c r="F91" s="43" t="n">
        <v>35</v>
      </c>
      <c r="G91" s="41" t="s">
        <v>179</v>
      </c>
      <c r="H91" s="42" t="n">
        <v>202</v>
      </c>
      <c r="I91" s="42" t="n">
        <f aca="false">H91/10</f>
        <v>20.2</v>
      </c>
      <c r="K91" s="43" t="n">
        <v>35</v>
      </c>
      <c r="L91" s="41" t="s">
        <v>184</v>
      </c>
      <c r="M91" s="42" t="n">
        <v>664</v>
      </c>
    </row>
    <row r="92" customFormat="false" ht="15" hidden="false" customHeight="false" outlineLevel="0" collapsed="false">
      <c r="A92" s="43" t="n">
        <v>36</v>
      </c>
      <c r="B92" s="41" t="s">
        <v>175</v>
      </c>
      <c r="C92" s="42" t="n">
        <v>453</v>
      </c>
      <c r="D92" s="42" t="n">
        <f aca="false">C92/19</f>
        <v>23.8421052631579</v>
      </c>
      <c r="F92" s="43" t="n">
        <v>35</v>
      </c>
      <c r="G92" s="41" t="s">
        <v>173</v>
      </c>
      <c r="H92" s="42" t="n">
        <v>202</v>
      </c>
      <c r="I92" s="42" t="n">
        <f aca="false">H92/10</f>
        <v>20.2</v>
      </c>
      <c r="K92" s="43" t="n">
        <v>36</v>
      </c>
      <c r="L92" s="41" t="s">
        <v>175</v>
      </c>
      <c r="M92" s="42" t="n">
        <v>659</v>
      </c>
    </row>
    <row r="93" customFormat="false" ht="15" hidden="false" customHeight="false" outlineLevel="0" collapsed="false">
      <c r="A93" s="14" t="n">
        <v>37</v>
      </c>
      <c r="B93" s="8" t="s">
        <v>234</v>
      </c>
      <c r="C93" s="18" t="n">
        <v>450</v>
      </c>
      <c r="D93" s="18" t="n">
        <f aca="false">C93/19</f>
        <v>23.6842105263158</v>
      </c>
      <c r="F93" s="43" t="n">
        <v>37</v>
      </c>
      <c r="G93" s="41" t="s">
        <v>184</v>
      </c>
      <c r="H93" s="42" t="n">
        <v>201</v>
      </c>
      <c r="I93" s="42" t="n">
        <f aca="false">H93/10</f>
        <v>20.1</v>
      </c>
      <c r="K93" s="14" t="n">
        <v>37</v>
      </c>
      <c r="L93" s="8" t="s">
        <v>270</v>
      </c>
      <c r="M93" s="18" t="n">
        <v>644</v>
      </c>
    </row>
    <row r="94" customFormat="false" ht="15" hidden="false" customHeight="false" outlineLevel="0" collapsed="false">
      <c r="A94" s="14" t="n">
        <v>38</v>
      </c>
      <c r="B94" s="8" t="s">
        <v>171</v>
      </c>
      <c r="C94" s="18" t="n">
        <v>442</v>
      </c>
      <c r="D94" s="18" t="n">
        <f aca="false">C94/19</f>
        <v>23.2631578947368</v>
      </c>
      <c r="F94" s="14" t="n">
        <v>37</v>
      </c>
      <c r="G94" s="8" t="s">
        <v>276</v>
      </c>
      <c r="H94" s="18" t="n">
        <v>201</v>
      </c>
      <c r="I94" s="18" t="n">
        <f aca="false">H94/10</f>
        <v>20.1</v>
      </c>
      <c r="K94" s="14" t="n">
        <v>38</v>
      </c>
      <c r="L94" s="8" t="s">
        <v>277</v>
      </c>
      <c r="M94" s="18" t="n">
        <v>621.5</v>
      </c>
    </row>
    <row r="95" customFormat="false" ht="15" hidden="false" customHeight="false" outlineLevel="0" collapsed="false">
      <c r="A95" s="14" t="n">
        <v>39</v>
      </c>
      <c r="B95" s="8" t="s">
        <v>309</v>
      </c>
      <c r="C95" s="18" t="n">
        <v>421</v>
      </c>
      <c r="D95" s="18" t="n">
        <f aca="false">C95/19</f>
        <v>22.1578947368421</v>
      </c>
      <c r="F95" s="43" t="n">
        <v>39</v>
      </c>
      <c r="G95" s="41" t="s">
        <v>182</v>
      </c>
      <c r="H95" s="42" t="n">
        <v>199</v>
      </c>
      <c r="I95" s="42" t="n">
        <f aca="false">H95/10</f>
        <v>19.9</v>
      </c>
      <c r="K95" s="43" t="n">
        <v>39</v>
      </c>
      <c r="L95" s="41" t="s">
        <v>179</v>
      </c>
      <c r="M95" s="42" t="n">
        <v>611</v>
      </c>
    </row>
    <row r="96" customFormat="false" ht="15" hidden="false" customHeight="false" outlineLevel="0" collapsed="false">
      <c r="A96" s="14" t="n">
        <v>40</v>
      </c>
      <c r="B96" s="8" t="s">
        <v>270</v>
      </c>
      <c r="C96" s="18" t="n">
        <v>419</v>
      </c>
      <c r="D96" s="18" t="n">
        <f aca="false">C96/19</f>
        <v>22.0526315789474</v>
      </c>
      <c r="F96" s="14" t="n">
        <v>40</v>
      </c>
      <c r="G96" s="8" t="s">
        <v>187</v>
      </c>
      <c r="H96" s="18" t="n">
        <v>193</v>
      </c>
      <c r="I96" s="18" t="n">
        <f aca="false">H96/10</f>
        <v>19.3</v>
      </c>
      <c r="K96" s="14" t="n">
        <v>40</v>
      </c>
      <c r="L96" s="8" t="s">
        <v>245</v>
      </c>
      <c r="M96" s="18" t="n">
        <v>601</v>
      </c>
    </row>
    <row r="97" customFormat="false" ht="15" hidden="false" customHeight="false" outlineLevel="0" collapsed="false">
      <c r="A97" s="43" t="n">
        <v>41</v>
      </c>
      <c r="B97" s="41" t="s">
        <v>179</v>
      </c>
      <c r="C97" s="42" t="n">
        <v>409</v>
      </c>
      <c r="D97" s="42" t="n">
        <f aca="false">C97/19</f>
        <v>21.5263157894737</v>
      </c>
      <c r="F97" s="14" t="n">
        <v>41</v>
      </c>
      <c r="G97" s="8" t="s">
        <v>266</v>
      </c>
      <c r="H97" s="18" t="n">
        <v>185</v>
      </c>
      <c r="I97" s="18" t="n">
        <f aca="false">H97/10</f>
        <v>18.5</v>
      </c>
      <c r="K97" s="14" t="n">
        <v>41</v>
      </c>
      <c r="L97" s="8" t="s">
        <v>272</v>
      </c>
      <c r="M97" s="18" t="n">
        <v>598</v>
      </c>
    </row>
    <row r="98" customFormat="false" ht="15" hidden="false" customHeight="false" outlineLevel="0" collapsed="false">
      <c r="A98" s="14" t="n">
        <v>42</v>
      </c>
      <c r="B98" s="8" t="s">
        <v>186</v>
      </c>
      <c r="C98" s="18" t="n">
        <v>391</v>
      </c>
      <c r="D98" s="18" t="n">
        <f aca="false">C98/19</f>
        <v>20.5789473684211</v>
      </c>
      <c r="F98" s="14" t="n">
        <v>42</v>
      </c>
      <c r="G98" s="8" t="s">
        <v>289</v>
      </c>
      <c r="H98" s="18" t="n">
        <v>184</v>
      </c>
      <c r="I98" s="18" t="n">
        <f aca="false">H98/10</f>
        <v>18.4</v>
      </c>
      <c r="K98" s="14" t="n">
        <v>42</v>
      </c>
      <c r="L98" s="8" t="s">
        <v>186</v>
      </c>
      <c r="M98" s="18" t="n">
        <v>595</v>
      </c>
    </row>
    <row r="99" customFormat="false" ht="15" hidden="false" customHeight="false" outlineLevel="0" collapsed="false">
      <c r="A99" s="14" t="n">
        <v>43</v>
      </c>
      <c r="B99" s="8" t="s">
        <v>245</v>
      </c>
      <c r="C99" s="18" t="n">
        <v>382</v>
      </c>
      <c r="D99" s="18" t="n">
        <f aca="false">C99/19</f>
        <v>20.1052631578947</v>
      </c>
      <c r="F99" s="14" t="n">
        <v>43</v>
      </c>
      <c r="G99" s="8" t="s">
        <v>254</v>
      </c>
      <c r="H99" s="18" t="n">
        <v>177</v>
      </c>
      <c r="I99" s="18" t="n">
        <f aca="false">H99/10</f>
        <v>17.7</v>
      </c>
      <c r="K99" s="14" t="n">
        <v>43</v>
      </c>
      <c r="L99" s="8" t="s">
        <v>309</v>
      </c>
      <c r="M99" s="18" t="n">
        <v>568</v>
      </c>
    </row>
    <row r="100" customFormat="false" ht="15" hidden="false" customHeight="false" outlineLevel="0" collapsed="false">
      <c r="A100" s="14" t="n">
        <v>44</v>
      </c>
      <c r="B100" s="8" t="s">
        <v>272</v>
      </c>
      <c r="C100" s="18" t="n">
        <v>347</v>
      </c>
      <c r="D100" s="18" t="n">
        <f aca="false">C100/19</f>
        <v>18.2631578947368</v>
      </c>
      <c r="F100" s="14" t="n">
        <v>44</v>
      </c>
      <c r="G100" s="8" t="s">
        <v>237</v>
      </c>
      <c r="H100" s="18" t="n">
        <v>160</v>
      </c>
      <c r="I100" s="18" t="n">
        <f aca="false">H100/10</f>
        <v>16</v>
      </c>
      <c r="K100" s="14" t="n">
        <v>44</v>
      </c>
      <c r="L100" s="8" t="s">
        <v>248</v>
      </c>
      <c r="M100" s="18" t="n">
        <v>564</v>
      </c>
    </row>
    <row r="101" customFormat="false" ht="15" hidden="false" customHeight="false" outlineLevel="0" collapsed="false">
      <c r="A101" s="14" t="n">
        <v>45</v>
      </c>
      <c r="B101" s="8" t="s">
        <v>248</v>
      </c>
      <c r="C101" s="18" t="n">
        <v>320</v>
      </c>
      <c r="D101" s="18" t="n">
        <f aca="false">C101/19</f>
        <v>16.8421052631579</v>
      </c>
      <c r="F101" s="14" t="n">
        <v>45</v>
      </c>
      <c r="G101" s="8" t="s">
        <v>309</v>
      </c>
      <c r="H101" s="18" t="n">
        <v>147</v>
      </c>
      <c r="I101" s="18" t="n">
        <f aca="false">H101/10</f>
        <v>14.7</v>
      </c>
      <c r="K101" s="14" t="n">
        <v>45</v>
      </c>
      <c r="L101" s="8" t="s">
        <v>171</v>
      </c>
      <c r="M101" s="18" t="n">
        <v>551</v>
      </c>
    </row>
    <row r="102" customFormat="false" ht="15" hidden="false" customHeight="false" outlineLevel="0" collapsed="false">
      <c r="A102" s="14" t="n">
        <v>46</v>
      </c>
      <c r="B102" s="8" t="s">
        <v>289</v>
      </c>
      <c r="C102" s="18" t="n">
        <v>242</v>
      </c>
      <c r="D102" s="18" t="n">
        <f aca="false">C102/19</f>
        <v>12.7368421052632</v>
      </c>
      <c r="F102" s="14" t="n">
        <v>46</v>
      </c>
      <c r="G102" s="8" t="s">
        <v>171</v>
      </c>
      <c r="H102" s="18" t="n">
        <v>109</v>
      </c>
      <c r="I102" s="18" t="n">
        <f aca="false">H102/10</f>
        <v>10.9</v>
      </c>
      <c r="K102" s="14" t="n">
        <v>46</v>
      </c>
      <c r="L102" s="8" t="s">
        <v>289</v>
      </c>
      <c r="M102" s="18" t="n">
        <v>426</v>
      </c>
    </row>
    <row r="103" customFormat="false" ht="15" hidden="false" customHeight="false" outlineLevel="0" collapsed="false">
      <c r="A103" s="14" t="n">
        <v>47</v>
      </c>
      <c r="B103" s="8" t="s">
        <v>242</v>
      </c>
      <c r="C103" s="18" t="n">
        <v>98.5</v>
      </c>
      <c r="D103" s="18" t="n">
        <f aca="false">C103/19</f>
        <v>5.18421052631579</v>
      </c>
      <c r="F103" s="14" t="n">
        <v>47</v>
      </c>
      <c r="G103" s="8" t="s">
        <v>277</v>
      </c>
      <c r="H103" s="18" t="n">
        <v>106.5</v>
      </c>
      <c r="I103" s="18" t="n">
        <f aca="false">H103/10</f>
        <v>10.65</v>
      </c>
      <c r="K103" s="14" t="n">
        <v>47</v>
      </c>
      <c r="L103" s="8" t="s">
        <v>242</v>
      </c>
      <c r="M103" s="18" t="n">
        <v>326.5</v>
      </c>
    </row>
    <row r="104" customFormat="false" ht="15" hidden="false" customHeight="false" outlineLevel="0" collapsed="false">
      <c r="B104" s="8" t="s">
        <v>282</v>
      </c>
      <c r="C104" s="18" t="n">
        <f aca="false">AVERAGE(C57:C103)</f>
        <v>510.585106382979</v>
      </c>
      <c r="D104" s="18" t="n">
        <f aca="false">AVERAGE(D57:D103)</f>
        <v>26.8729003359463</v>
      </c>
      <c r="G104" s="8" t="s">
        <v>282</v>
      </c>
      <c r="H104" s="18" t="n">
        <f aca="false">AVERAGE(H57:H103)</f>
        <v>217.712765957447</v>
      </c>
      <c r="I104" s="18" t="n">
        <f aca="false">AVERAGE(I57:I103)</f>
        <v>21.7712765957447</v>
      </c>
      <c r="L104" s="8" t="s">
        <v>282</v>
      </c>
      <c r="M104" s="18" t="n">
        <f aca="false">AVERAGE(M57:M103)</f>
        <v>728.297872340426</v>
      </c>
    </row>
    <row r="107" customFormat="false" ht="15" hidden="false" customHeight="false" outlineLevel="0" collapsed="false">
      <c r="A107" s="39" t="s">
        <v>310</v>
      </c>
    </row>
    <row r="108" customFormat="false" ht="15" hidden="false" customHeight="false" outlineLevel="0" collapsed="false">
      <c r="A108" s="11" t="s">
        <v>223</v>
      </c>
      <c r="B108" s="12" t="s">
        <v>296</v>
      </c>
      <c r="C108" s="12" t="s">
        <v>297</v>
      </c>
      <c r="D108" s="12" t="s">
        <v>225</v>
      </c>
      <c r="F108" s="11" t="s">
        <v>223</v>
      </c>
      <c r="G108" s="12" t="s">
        <v>298</v>
      </c>
      <c r="H108" s="12" t="s">
        <v>297</v>
      </c>
      <c r="I108" s="12" t="s">
        <v>225</v>
      </c>
      <c r="K108" s="11" t="s">
        <v>223</v>
      </c>
      <c r="L108" s="12" t="s">
        <v>299</v>
      </c>
      <c r="M108" s="12" t="s">
        <v>297</v>
      </c>
    </row>
    <row r="109" customFormat="false" ht="15" hidden="false" customHeight="false" outlineLevel="0" collapsed="false">
      <c r="A109" s="43" t="n">
        <v>1</v>
      </c>
      <c r="B109" s="41" t="s">
        <v>189</v>
      </c>
      <c r="C109" s="42" t="n">
        <v>721</v>
      </c>
      <c r="D109" s="42" t="n">
        <f aca="false">C109/19</f>
        <v>37.9473684210526</v>
      </c>
      <c r="F109" s="14" t="n">
        <v>1</v>
      </c>
      <c r="G109" s="8" t="s">
        <v>249</v>
      </c>
      <c r="H109" s="18" t="n">
        <v>282</v>
      </c>
      <c r="I109" s="18" t="n">
        <f aca="false">H109/10</f>
        <v>28.2</v>
      </c>
      <c r="K109" s="43" t="n">
        <v>1</v>
      </c>
      <c r="L109" s="41" t="s">
        <v>189</v>
      </c>
      <c r="M109" s="42" t="n">
        <v>987</v>
      </c>
    </row>
    <row r="110" customFormat="false" ht="15" hidden="false" customHeight="false" outlineLevel="0" collapsed="false">
      <c r="A110" s="14" t="n">
        <v>2</v>
      </c>
      <c r="B110" s="8" t="s">
        <v>231</v>
      </c>
      <c r="C110" s="18" t="n">
        <v>701</v>
      </c>
      <c r="D110" s="18" t="n">
        <f aca="false">C110/19</f>
        <v>36.8947368421053</v>
      </c>
      <c r="F110" s="43" t="n">
        <v>2</v>
      </c>
      <c r="G110" s="41" t="s">
        <v>189</v>
      </c>
      <c r="H110" s="42" t="n">
        <v>266</v>
      </c>
      <c r="I110" s="42" t="n">
        <f aca="false">H110/10</f>
        <v>26.6</v>
      </c>
      <c r="K110" s="14" t="n">
        <v>2</v>
      </c>
      <c r="L110" s="8" t="s">
        <v>231</v>
      </c>
      <c r="M110" s="18" t="n">
        <v>964</v>
      </c>
    </row>
    <row r="111" customFormat="false" ht="15" hidden="false" customHeight="false" outlineLevel="0" collapsed="false">
      <c r="A111" s="14" t="n">
        <v>3</v>
      </c>
      <c r="B111" s="8" t="s">
        <v>234</v>
      </c>
      <c r="C111" s="18" t="n">
        <v>630</v>
      </c>
      <c r="D111" s="18" t="n">
        <f aca="false">C111/19</f>
        <v>33.1578947368421</v>
      </c>
      <c r="F111" s="14" t="n">
        <v>3</v>
      </c>
      <c r="G111" s="8" t="s">
        <v>231</v>
      </c>
      <c r="H111" s="18" t="n">
        <v>263</v>
      </c>
      <c r="I111" s="18" t="n">
        <f aca="false">H111/10</f>
        <v>26.3</v>
      </c>
      <c r="K111" s="14" t="n">
        <v>3</v>
      </c>
      <c r="L111" s="8" t="s">
        <v>242</v>
      </c>
      <c r="M111" s="18" t="n">
        <v>881</v>
      </c>
    </row>
    <row r="112" customFormat="false" ht="15" hidden="false" customHeight="false" outlineLevel="0" collapsed="false">
      <c r="A112" s="14" t="n">
        <v>4</v>
      </c>
      <c r="B112" s="8" t="s">
        <v>236</v>
      </c>
      <c r="C112" s="18" t="n">
        <v>625</v>
      </c>
      <c r="D112" s="18" t="n">
        <f aca="false">C112/19</f>
        <v>32.8947368421053</v>
      </c>
      <c r="F112" s="14" t="n">
        <v>4</v>
      </c>
      <c r="G112" s="8" t="s">
        <v>242</v>
      </c>
      <c r="H112" s="18" t="n">
        <v>259</v>
      </c>
      <c r="I112" s="18" t="n">
        <f aca="false">H112/10</f>
        <v>25.9</v>
      </c>
      <c r="K112" s="14" t="n">
        <v>4</v>
      </c>
      <c r="L112" s="8" t="s">
        <v>238</v>
      </c>
      <c r="M112" s="18" t="n">
        <v>863</v>
      </c>
    </row>
    <row r="113" customFormat="false" ht="15" hidden="false" customHeight="false" outlineLevel="0" collapsed="false">
      <c r="A113" s="14" t="n">
        <v>5</v>
      </c>
      <c r="B113" s="8" t="s">
        <v>238</v>
      </c>
      <c r="C113" s="18" t="n">
        <v>623</v>
      </c>
      <c r="D113" s="18" t="n">
        <f aca="false">C113/19</f>
        <v>32.7894736842105</v>
      </c>
      <c r="F113" s="14" t="n">
        <v>5</v>
      </c>
      <c r="G113" s="8" t="s">
        <v>230</v>
      </c>
      <c r="H113" s="18" t="n">
        <v>255</v>
      </c>
      <c r="I113" s="18" t="n">
        <f aca="false">H113/10</f>
        <v>25.5</v>
      </c>
      <c r="K113" s="14" t="n">
        <v>5</v>
      </c>
      <c r="L113" s="8" t="s">
        <v>234</v>
      </c>
      <c r="M113" s="18" t="n">
        <v>860</v>
      </c>
    </row>
    <row r="114" customFormat="false" ht="15" hidden="false" customHeight="false" outlineLevel="0" collapsed="false">
      <c r="A114" s="14" t="n">
        <v>6</v>
      </c>
      <c r="B114" s="8" t="s">
        <v>242</v>
      </c>
      <c r="C114" s="18" t="n">
        <v>622</v>
      </c>
      <c r="D114" s="18" t="n">
        <f aca="false">C114/19</f>
        <v>32.7368421052632</v>
      </c>
      <c r="F114" s="14" t="n">
        <v>6</v>
      </c>
      <c r="G114" s="8" t="s">
        <v>272</v>
      </c>
      <c r="H114" s="18" t="n">
        <v>252</v>
      </c>
      <c r="I114" s="18" t="n">
        <f aca="false">H114/10</f>
        <v>25.2</v>
      </c>
      <c r="K114" s="14" t="n">
        <v>6</v>
      </c>
      <c r="L114" s="8" t="s">
        <v>193</v>
      </c>
      <c r="M114" s="18" t="n">
        <v>842</v>
      </c>
    </row>
    <row r="115" customFormat="false" ht="15" hidden="false" customHeight="false" outlineLevel="0" collapsed="false">
      <c r="A115" s="14" t="n">
        <v>6</v>
      </c>
      <c r="B115" s="8" t="s">
        <v>193</v>
      </c>
      <c r="C115" s="18" t="n">
        <v>622</v>
      </c>
      <c r="D115" s="18" t="n">
        <f aca="false">C115/19</f>
        <v>32.7368421052632</v>
      </c>
      <c r="F115" s="14" t="n">
        <v>7</v>
      </c>
      <c r="G115" s="8" t="s">
        <v>235</v>
      </c>
      <c r="H115" s="18" t="n">
        <v>251</v>
      </c>
      <c r="I115" s="18" t="n">
        <f aca="false">H115/10</f>
        <v>25.1</v>
      </c>
      <c r="K115" s="14" t="n">
        <v>7</v>
      </c>
      <c r="L115" s="8" t="s">
        <v>236</v>
      </c>
      <c r="M115" s="18" t="n">
        <v>837</v>
      </c>
    </row>
    <row r="116" customFormat="false" ht="15" hidden="false" customHeight="false" outlineLevel="0" collapsed="false">
      <c r="A116" s="43" t="n">
        <v>8</v>
      </c>
      <c r="B116" s="41" t="s">
        <v>185</v>
      </c>
      <c r="C116" s="42" t="n">
        <v>612</v>
      </c>
      <c r="D116" s="42" t="n">
        <f aca="false">C116/19</f>
        <v>32.2105263157895</v>
      </c>
      <c r="F116" s="14" t="n">
        <v>8</v>
      </c>
      <c r="G116" s="8" t="s">
        <v>239</v>
      </c>
      <c r="H116" s="18" t="n">
        <v>250</v>
      </c>
      <c r="I116" s="18" t="n">
        <f aca="false">H116/10</f>
        <v>25</v>
      </c>
      <c r="K116" s="14" t="n">
        <v>8</v>
      </c>
      <c r="L116" s="8" t="s">
        <v>246</v>
      </c>
      <c r="M116" s="18" t="n">
        <v>833</v>
      </c>
    </row>
    <row r="117" customFormat="false" ht="15" hidden="false" customHeight="false" outlineLevel="0" collapsed="false">
      <c r="A117" s="14" t="n">
        <v>9</v>
      </c>
      <c r="B117" s="8" t="s">
        <v>246</v>
      </c>
      <c r="C117" s="18" t="n">
        <v>600</v>
      </c>
      <c r="D117" s="18" t="n">
        <f aca="false">C117/19</f>
        <v>31.5789473684211</v>
      </c>
      <c r="F117" s="14" t="n">
        <v>9</v>
      </c>
      <c r="G117" s="8" t="s">
        <v>182</v>
      </c>
      <c r="H117" s="18" t="n">
        <v>246</v>
      </c>
      <c r="I117" s="18" t="n">
        <f aca="false">H117/10</f>
        <v>24.6</v>
      </c>
      <c r="K117" s="43" t="n">
        <v>9</v>
      </c>
      <c r="L117" s="41" t="s">
        <v>188</v>
      </c>
      <c r="M117" s="42" t="n">
        <v>831</v>
      </c>
    </row>
    <row r="118" customFormat="false" ht="15" hidden="false" customHeight="false" outlineLevel="0" collapsed="false">
      <c r="A118" s="14" t="n">
        <v>9</v>
      </c>
      <c r="B118" s="8" t="s">
        <v>248</v>
      </c>
      <c r="C118" s="18" t="n">
        <v>600</v>
      </c>
      <c r="D118" s="18" t="n">
        <f aca="false">C118/19</f>
        <v>31.5789473684211</v>
      </c>
      <c r="F118" s="14" t="n">
        <v>10</v>
      </c>
      <c r="G118" s="8" t="s">
        <v>275</v>
      </c>
      <c r="H118" s="18" t="n">
        <v>242</v>
      </c>
      <c r="I118" s="18" t="n">
        <f aca="false">H118/10</f>
        <v>24.2</v>
      </c>
      <c r="K118" s="14" t="n">
        <v>10</v>
      </c>
      <c r="L118" s="8" t="s">
        <v>241</v>
      </c>
      <c r="M118" s="18" t="n">
        <v>827</v>
      </c>
    </row>
    <row r="119" customFormat="false" ht="15" hidden="false" customHeight="false" outlineLevel="0" collapsed="false">
      <c r="A119" s="43" t="n">
        <v>11</v>
      </c>
      <c r="B119" s="41" t="s">
        <v>188</v>
      </c>
      <c r="C119" s="42" t="n">
        <v>591</v>
      </c>
      <c r="D119" s="42" t="n">
        <f aca="false">C119/19</f>
        <v>31.1052631578947</v>
      </c>
      <c r="F119" s="14" t="n">
        <v>10</v>
      </c>
      <c r="G119" s="8" t="s">
        <v>190</v>
      </c>
      <c r="H119" s="18" t="n">
        <v>242</v>
      </c>
      <c r="I119" s="18" t="n">
        <f aca="false">H119/10</f>
        <v>24.2</v>
      </c>
      <c r="K119" s="43" t="n">
        <v>11</v>
      </c>
      <c r="L119" s="41" t="s">
        <v>185</v>
      </c>
      <c r="M119" s="42" t="n">
        <v>824</v>
      </c>
    </row>
    <row r="120" customFormat="false" ht="15" hidden="false" customHeight="false" outlineLevel="0" collapsed="false">
      <c r="A120" s="14" t="n">
        <v>12</v>
      </c>
      <c r="B120" s="8" t="s">
        <v>241</v>
      </c>
      <c r="C120" s="18" t="n">
        <v>590</v>
      </c>
      <c r="D120" s="18" t="n">
        <f aca="false">C120/19</f>
        <v>31.0526315789474</v>
      </c>
      <c r="F120" s="14" t="n">
        <v>12</v>
      </c>
      <c r="G120" s="8" t="s">
        <v>245</v>
      </c>
      <c r="H120" s="18" t="n">
        <v>240</v>
      </c>
      <c r="I120" s="18" t="n">
        <f aca="false">H120/10</f>
        <v>24</v>
      </c>
      <c r="K120" s="14" t="n">
        <v>12</v>
      </c>
      <c r="L120" s="8" t="s">
        <v>245</v>
      </c>
      <c r="M120" s="18" t="n">
        <v>821</v>
      </c>
    </row>
    <row r="121" customFormat="false" ht="15" hidden="false" customHeight="false" outlineLevel="0" collapsed="false">
      <c r="A121" s="14" t="n">
        <v>13</v>
      </c>
      <c r="B121" s="8" t="s">
        <v>253</v>
      </c>
      <c r="C121" s="18" t="n">
        <v>583</v>
      </c>
      <c r="D121" s="18" t="n">
        <f aca="false">C121/19</f>
        <v>30.6842105263158</v>
      </c>
      <c r="F121" s="14" t="n">
        <v>12</v>
      </c>
      <c r="G121" s="8" t="s">
        <v>238</v>
      </c>
      <c r="H121" s="18" t="n">
        <v>240</v>
      </c>
      <c r="I121" s="18" t="n">
        <f aca="false">H121/10</f>
        <v>24</v>
      </c>
      <c r="K121" s="14" t="n">
        <v>13</v>
      </c>
      <c r="L121" s="8" t="s">
        <v>248</v>
      </c>
      <c r="M121" s="18" t="n">
        <v>807</v>
      </c>
    </row>
    <row r="122" customFormat="false" ht="15" hidden="false" customHeight="false" outlineLevel="0" collapsed="false">
      <c r="A122" s="14" t="n">
        <v>14</v>
      </c>
      <c r="B122" s="8" t="s">
        <v>245</v>
      </c>
      <c r="C122" s="18" t="n">
        <v>581</v>
      </c>
      <c r="D122" s="18" t="n">
        <f aca="false">C122/19</f>
        <v>30.5789473684211</v>
      </c>
      <c r="F122" s="43" t="n">
        <v>12</v>
      </c>
      <c r="G122" s="41" t="s">
        <v>188</v>
      </c>
      <c r="H122" s="42" t="n">
        <v>240</v>
      </c>
      <c r="I122" s="42" t="n">
        <f aca="false">H122/10</f>
        <v>24</v>
      </c>
      <c r="K122" s="14" t="n">
        <v>14</v>
      </c>
      <c r="L122" s="8" t="s">
        <v>256</v>
      </c>
      <c r="M122" s="18" t="n">
        <v>797</v>
      </c>
    </row>
    <row r="123" customFormat="false" ht="15" hidden="false" customHeight="false" outlineLevel="0" collapsed="false">
      <c r="A123" s="14" t="n">
        <v>15</v>
      </c>
      <c r="B123" s="8" t="s">
        <v>256</v>
      </c>
      <c r="C123" s="18" t="n">
        <v>574</v>
      </c>
      <c r="D123" s="18" t="n">
        <f aca="false">C123/19</f>
        <v>30.2105263157895</v>
      </c>
      <c r="F123" s="14" t="n">
        <v>15</v>
      </c>
      <c r="G123" s="8" t="s">
        <v>241</v>
      </c>
      <c r="H123" s="18" t="n">
        <v>237</v>
      </c>
      <c r="I123" s="18" t="n">
        <f aca="false">H123/10</f>
        <v>23.7</v>
      </c>
      <c r="K123" s="14" t="n">
        <v>15</v>
      </c>
      <c r="L123" s="8" t="s">
        <v>251</v>
      </c>
      <c r="M123" s="18" t="n">
        <v>789</v>
      </c>
    </row>
    <row r="124" customFormat="false" ht="15" hidden="false" customHeight="false" outlineLevel="0" collapsed="false">
      <c r="A124" s="14" t="n">
        <v>16</v>
      </c>
      <c r="B124" s="8" t="s">
        <v>258</v>
      </c>
      <c r="C124" s="18" t="n">
        <v>571</v>
      </c>
      <c r="D124" s="18" t="n">
        <f aca="false">C124/19</f>
        <v>30.0526315789474</v>
      </c>
      <c r="F124" s="14" t="n">
        <v>16</v>
      </c>
      <c r="G124" s="8" t="s">
        <v>255</v>
      </c>
      <c r="H124" s="18" t="n">
        <v>234</v>
      </c>
      <c r="I124" s="18" t="n">
        <f aca="false">H124/10</f>
        <v>23.4</v>
      </c>
      <c r="K124" s="14" t="n">
        <v>15</v>
      </c>
      <c r="L124" s="8" t="s">
        <v>258</v>
      </c>
      <c r="M124" s="18" t="n">
        <v>789</v>
      </c>
    </row>
    <row r="125" customFormat="false" ht="15" hidden="false" customHeight="false" outlineLevel="0" collapsed="false">
      <c r="A125" s="14" t="n">
        <v>17</v>
      </c>
      <c r="B125" s="8" t="s">
        <v>251</v>
      </c>
      <c r="C125" s="18" t="n">
        <v>557</v>
      </c>
      <c r="D125" s="18" t="n">
        <f aca="false">C125/19</f>
        <v>29.3157894736842</v>
      </c>
      <c r="F125" s="14" t="n">
        <v>17</v>
      </c>
      <c r="G125" s="8" t="s">
        <v>246</v>
      </c>
      <c r="H125" s="18" t="n">
        <v>233</v>
      </c>
      <c r="I125" s="18" t="n">
        <f aca="false">H125/10</f>
        <v>23.3</v>
      </c>
      <c r="K125" s="43" t="n">
        <v>17</v>
      </c>
      <c r="L125" s="41" t="s">
        <v>186</v>
      </c>
      <c r="M125" s="42" t="n">
        <v>775</v>
      </c>
    </row>
    <row r="126" customFormat="false" ht="15" hidden="false" customHeight="false" outlineLevel="0" collapsed="false">
      <c r="A126" s="43" t="n">
        <v>18</v>
      </c>
      <c r="B126" s="41" t="s">
        <v>186</v>
      </c>
      <c r="C126" s="42" t="n">
        <v>556</v>
      </c>
      <c r="D126" s="42" t="n">
        <f aca="false">C126/19</f>
        <v>29.2631578947368</v>
      </c>
      <c r="F126" s="14" t="n">
        <v>18</v>
      </c>
      <c r="G126" s="8" t="s">
        <v>251</v>
      </c>
      <c r="H126" s="18" t="n">
        <v>232</v>
      </c>
      <c r="I126" s="18" t="n">
        <f aca="false">H126/10</f>
        <v>23.2</v>
      </c>
      <c r="K126" s="14" t="n">
        <v>18</v>
      </c>
      <c r="L126" s="8" t="s">
        <v>263</v>
      </c>
      <c r="M126" s="18" t="n">
        <v>770</v>
      </c>
    </row>
    <row r="127" customFormat="false" ht="15" hidden="false" customHeight="false" outlineLevel="0" collapsed="false">
      <c r="A127" s="14" t="n">
        <v>19</v>
      </c>
      <c r="B127" s="8" t="s">
        <v>263</v>
      </c>
      <c r="C127" s="18" t="n">
        <v>552</v>
      </c>
      <c r="D127" s="18" t="n">
        <f aca="false">C127/19</f>
        <v>29.0526315789474</v>
      </c>
      <c r="F127" s="14" t="n">
        <v>19</v>
      </c>
      <c r="G127" s="8" t="s">
        <v>266</v>
      </c>
      <c r="H127" s="18" t="n">
        <v>230</v>
      </c>
      <c r="I127" s="18" t="n">
        <f aca="false">H127/10</f>
        <v>23</v>
      </c>
      <c r="K127" s="14" t="n">
        <v>19</v>
      </c>
      <c r="L127" s="8" t="s">
        <v>182</v>
      </c>
      <c r="M127" s="18" t="n">
        <v>759</v>
      </c>
    </row>
    <row r="128" customFormat="false" ht="15" hidden="false" customHeight="false" outlineLevel="0" collapsed="false">
      <c r="A128" s="14" t="n">
        <v>20</v>
      </c>
      <c r="B128" s="8" t="s">
        <v>255</v>
      </c>
      <c r="C128" s="18" t="n">
        <v>519</v>
      </c>
      <c r="D128" s="18" t="n">
        <f aca="false">C128/19</f>
        <v>27.3157894736842</v>
      </c>
      <c r="F128" s="14" t="n">
        <v>19</v>
      </c>
      <c r="G128" s="8" t="s">
        <v>234</v>
      </c>
      <c r="H128" s="18" t="n">
        <v>230</v>
      </c>
      <c r="I128" s="18" t="n">
        <f aca="false">H128/10</f>
        <v>23</v>
      </c>
      <c r="K128" s="14" t="n">
        <v>19</v>
      </c>
      <c r="L128" s="8" t="s">
        <v>272</v>
      </c>
      <c r="M128" s="18" t="n">
        <v>759</v>
      </c>
    </row>
    <row r="129" customFormat="false" ht="15" hidden="false" customHeight="false" outlineLevel="0" collapsed="false">
      <c r="A129" s="14" t="n">
        <v>21</v>
      </c>
      <c r="B129" s="8" t="s">
        <v>192</v>
      </c>
      <c r="C129" s="18" t="n">
        <v>518</v>
      </c>
      <c r="D129" s="18" t="n">
        <f aca="false">C129/19</f>
        <v>27.2631578947368</v>
      </c>
      <c r="F129" s="14" t="n">
        <v>21</v>
      </c>
      <c r="G129" s="8" t="s">
        <v>268</v>
      </c>
      <c r="H129" s="18" t="n">
        <v>227</v>
      </c>
      <c r="I129" s="18" t="n">
        <f aca="false">H129/10</f>
        <v>22.7</v>
      </c>
      <c r="K129" s="14" t="n">
        <v>19</v>
      </c>
      <c r="L129" s="8" t="s">
        <v>249</v>
      </c>
      <c r="M129" s="18" t="n">
        <v>759</v>
      </c>
    </row>
    <row r="130" customFormat="false" ht="15" hidden="false" customHeight="false" outlineLevel="0" collapsed="false">
      <c r="A130" s="14" t="n">
        <v>22</v>
      </c>
      <c r="B130" s="8" t="s">
        <v>182</v>
      </c>
      <c r="C130" s="18" t="n">
        <v>513</v>
      </c>
      <c r="D130" s="18" t="n">
        <f aca="false">C130/19</f>
        <v>27</v>
      </c>
      <c r="F130" s="14" t="n">
        <v>22</v>
      </c>
      <c r="G130" s="8" t="s">
        <v>267</v>
      </c>
      <c r="H130" s="18" t="n">
        <v>226</v>
      </c>
      <c r="I130" s="18" t="n">
        <f aca="false">H130/10</f>
        <v>22.6</v>
      </c>
      <c r="K130" s="14" t="n">
        <v>22</v>
      </c>
      <c r="L130" s="8" t="s">
        <v>255</v>
      </c>
      <c r="M130" s="18" t="n">
        <v>753</v>
      </c>
    </row>
    <row r="131" customFormat="false" ht="15" hidden="false" customHeight="false" outlineLevel="0" collapsed="false">
      <c r="A131" s="14" t="n">
        <v>23</v>
      </c>
      <c r="B131" s="8" t="s">
        <v>266</v>
      </c>
      <c r="C131" s="18" t="n">
        <v>509</v>
      </c>
      <c r="D131" s="18" t="n">
        <f aca="false">C131/19</f>
        <v>26.7894736842105</v>
      </c>
      <c r="F131" s="14" t="n">
        <v>23</v>
      </c>
      <c r="G131" s="8" t="s">
        <v>192</v>
      </c>
      <c r="H131" s="18" t="n">
        <v>225</v>
      </c>
      <c r="I131" s="18" t="n">
        <f aca="false">H131/10</f>
        <v>22.5</v>
      </c>
      <c r="K131" s="14" t="n">
        <v>23</v>
      </c>
      <c r="L131" s="8" t="s">
        <v>253</v>
      </c>
      <c r="M131" s="18" t="n">
        <v>748</v>
      </c>
    </row>
    <row r="132" customFormat="false" ht="15" hidden="false" customHeight="false" outlineLevel="0" collapsed="false">
      <c r="A132" s="14" t="n">
        <v>23</v>
      </c>
      <c r="B132" s="8" t="s">
        <v>269</v>
      </c>
      <c r="C132" s="18" t="n">
        <v>509</v>
      </c>
      <c r="D132" s="18" t="n">
        <f aca="false">C132/19</f>
        <v>26.7894736842105</v>
      </c>
      <c r="F132" s="14" t="n">
        <v>23</v>
      </c>
      <c r="G132" s="8" t="s">
        <v>264</v>
      </c>
      <c r="H132" s="18" t="n">
        <v>225</v>
      </c>
      <c r="I132" s="18" t="n">
        <f aca="false">H132/10</f>
        <v>22.5</v>
      </c>
      <c r="K132" s="14" t="n">
        <v>24</v>
      </c>
      <c r="L132" s="8" t="s">
        <v>192</v>
      </c>
      <c r="M132" s="18" t="n">
        <v>743</v>
      </c>
    </row>
    <row r="133" customFormat="false" ht="15" hidden="false" customHeight="false" outlineLevel="0" collapsed="false">
      <c r="A133" s="14" t="n">
        <v>25</v>
      </c>
      <c r="B133" s="8" t="s">
        <v>272</v>
      </c>
      <c r="C133" s="18" t="n">
        <v>507</v>
      </c>
      <c r="D133" s="18" t="n">
        <f aca="false">C133/19</f>
        <v>26.6842105263158</v>
      </c>
      <c r="F133" s="43" t="n">
        <v>25</v>
      </c>
      <c r="G133" s="41" t="s">
        <v>175</v>
      </c>
      <c r="H133" s="42" t="n">
        <v>224</v>
      </c>
      <c r="I133" s="42" t="n">
        <f aca="false">H133/10</f>
        <v>22.4</v>
      </c>
      <c r="K133" s="14" t="n">
        <v>25</v>
      </c>
      <c r="L133" s="8" t="s">
        <v>266</v>
      </c>
      <c r="M133" s="18" t="n">
        <v>739</v>
      </c>
    </row>
    <row r="134" customFormat="false" ht="15" hidden="false" customHeight="false" outlineLevel="0" collapsed="false">
      <c r="A134" s="14" t="n">
        <v>25</v>
      </c>
      <c r="B134" s="8" t="s">
        <v>178</v>
      </c>
      <c r="C134" s="18" t="n">
        <v>507</v>
      </c>
      <c r="D134" s="18" t="n">
        <f aca="false">C134/19</f>
        <v>26.6842105263158</v>
      </c>
      <c r="F134" s="14" t="n">
        <v>26</v>
      </c>
      <c r="G134" s="8" t="s">
        <v>256</v>
      </c>
      <c r="H134" s="18" t="n">
        <v>223</v>
      </c>
      <c r="I134" s="18" t="n">
        <f aca="false">H134/10</f>
        <v>22.3</v>
      </c>
      <c r="K134" s="14" t="n">
        <v>26</v>
      </c>
      <c r="L134" s="8" t="s">
        <v>275</v>
      </c>
      <c r="M134" s="18" t="n">
        <v>731</v>
      </c>
    </row>
    <row r="135" customFormat="false" ht="15" hidden="false" customHeight="false" outlineLevel="0" collapsed="false">
      <c r="A135" s="14" t="n">
        <v>25</v>
      </c>
      <c r="B135" s="8" t="s">
        <v>259</v>
      </c>
      <c r="C135" s="18" t="n">
        <v>507</v>
      </c>
      <c r="D135" s="18" t="n">
        <f aca="false">C135/19</f>
        <v>26.6842105263158</v>
      </c>
      <c r="F135" s="43" t="n">
        <v>27</v>
      </c>
      <c r="G135" s="41" t="s">
        <v>187</v>
      </c>
      <c r="H135" s="42" t="n">
        <v>222</v>
      </c>
      <c r="I135" s="42" t="n">
        <f aca="false">H135/10</f>
        <v>22.2</v>
      </c>
      <c r="K135" s="14" t="n">
        <v>27</v>
      </c>
      <c r="L135" s="8" t="s">
        <v>267</v>
      </c>
      <c r="M135" s="18" t="n">
        <v>726</v>
      </c>
    </row>
    <row r="136" customFormat="false" ht="15" hidden="false" customHeight="false" outlineLevel="0" collapsed="false">
      <c r="A136" s="14" t="n">
        <v>28</v>
      </c>
      <c r="B136" s="8" t="s">
        <v>267</v>
      </c>
      <c r="C136" s="18" t="n">
        <v>500</v>
      </c>
      <c r="D136" s="18" t="n">
        <f aca="false">C136/19</f>
        <v>26.3157894736842</v>
      </c>
      <c r="F136" s="14" t="n">
        <v>28</v>
      </c>
      <c r="G136" s="8" t="s">
        <v>193</v>
      </c>
      <c r="H136" s="18" t="n">
        <v>220</v>
      </c>
      <c r="I136" s="18" t="n">
        <f aca="false">H136/10</f>
        <v>22</v>
      </c>
      <c r="K136" s="43" t="n">
        <v>28</v>
      </c>
      <c r="L136" s="41" t="s">
        <v>175</v>
      </c>
      <c r="M136" s="42" t="n">
        <v>720</v>
      </c>
    </row>
    <row r="137" customFormat="false" ht="15" hidden="false" customHeight="false" outlineLevel="0" collapsed="false">
      <c r="A137" s="43" t="n">
        <v>29</v>
      </c>
      <c r="B137" s="41" t="s">
        <v>175</v>
      </c>
      <c r="C137" s="42" t="n">
        <v>496</v>
      </c>
      <c r="D137" s="42" t="n">
        <f aca="false">C137/19</f>
        <v>26.1052631578947</v>
      </c>
      <c r="F137" s="43" t="n">
        <v>29</v>
      </c>
      <c r="G137" s="41" t="s">
        <v>186</v>
      </c>
      <c r="H137" s="42" t="n">
        <v>219</v>
      </c>
      <c r="I137" s="42" t="n">
        <f aca="false">H137/10</f>
        <v>21.9</v>
      </c>
      <c r="K137" s="43" t="n">
        <v>29</v>
      </c>
      <c r="L137" s="41" t="s">
        <v>187</v>
      </c>
      <c r="M137" s="42" t="n">
        <v>718</v>
      </c>
    </row>
    <row r="138" customFormat="false" ht="15" hidden="false" customHeight="false" outlineLevel="0" collapsed="false">
      <c r="A138" s="43" t="n">
        <v>29</v>
      </c>
      <c r="B138" s="41" t="s">
        <v>187</v>
      </c>
      <c r="C138" s="42" t="n">
        <v>496</v>
      </c>
      <c r="D138" s="42" t="n">
        <f aca="false">C138/19</f>
        <v>26.1052631578947</v>
      </c>
      <c r="F138" s="14" t="n">
        <v>30</v>
      </c>
      <c r="G138" s="8" t="s">
        <v>263</v>
      </c>
      <c r="H138" s="18" t="n">
        <v>218</v>
      </c>
      <c r="I138" s="18" t="n">
        <f aca="false">H138/10</f>
        <v>21.8</v>
      </c>
      <c r="K138" s="14" t="n">
        <v>30</v>
      </c>
      <c r="L138" s="8" t="s">
        <v>264</v>
      </c>
      <c r="M138" s="18" t="n">
        <v>702</v>
      </c>
    </row>
    <row r="139" customFormat="false" ht="15" hidden="false" customHeight="false" outlineLevel="0" collapsed="false">
      <c r="A139" s="14" t="n">
        <v>31</v>
      </c>
      <c r="B139" s="8" t="s">
        <v>275</v>
      </c>
      <c r="C139" s="18" t="n">
        <v>489</v>
      </c>
      <c r="D139" s="18" t="n">
        <f aca="false">C139/19</f>
        <v>25.7368421052632</v>
      </c>
      <c r="F139" s="14" t="n">
        <v>30</v>
      </c>
      <c r="G139" s="8" t="s">
        <v>258</v>
      </c>
      <c r="H139" s="18" t="n">
        <v>218</v>
      </c>
      <c r="I139" s="18" t="n">
        <f aca="false">H139/10</f>
        <v>21.8</v>
      </c>
      <c r="K139" s="14" t="n">
        <v>31</v>
      </c>
      <c r="L139" s="8" t="s">
        <v>178</v>
      </c>
      <c r="M139" s="18" t="n">
        <v>696</v>
      </c>
    </row>
    <row r="140" customFormat="false" ht="15" hidden="false" customHeight="false" outlineLevel="0" collapsed="false">
      <c r="A140" s="14" t="n">
        <v>32</v>
      </c>
      <c r="B140" s="8" t="s">
        <v>249</v>
      </c>
      <c r="C140" s="18" t="n">
        <v>477</v>
      </c>
      <c r="D140" s="18" t="n">
        <f aca="false">C140/19</f>
        <v>25.1052631578947</v>
      </c>
      <c r="F140" s="14" t="n">
        <v>32</v>
      </c>
      <c r="G140" s="8" t="s">
        <v>236</v>
      </c>
      <c r="H140" s="18" t="n">
        <v>212</v>
      </c>
      <c r="I140" s="18" t="n">
        <f aca="false">H140/10</f>
        <v>21.2</v>
      </c>
      <c r="K140" s="14" t="n">
        <v>31</v>
      </c>
      <c r="L140" s="8" t="s">
        <v>269</v>
      </c>
      <c r="M140" s="18" t="n">
        <v>696</v>
      </c>
    </row>
    <row r="141" customFormat="false" ht="15" hidden="false" customHeight="false" outlineLevel="0" collapsed="false">
      <c r="A141" s="14" t="n">
        <v>32</v>
      </c>
      <c r="B141" s="8" t="s">
        <v>264</v>
      </c>
      <c r="C141" s="18" t="n">
        <v>477</v>
      </c>
      <c r="D141" s="18" t="n">
        <f aca="false">C141/19</f>
        <v>25.1052631578947</v>
      </c>
      <c r="F141" s="43" t="n">
        <v>32</v>
      </c>
      <c r="G141" s="41" t="s">
        <v>185</v>
      </c>
      <c r="H141" s="42" t="n">
        <v>212</v>
      </c>
      <c r="I141" s="42" t="n">
        <f aca="false">H141/10</f>
        <v>21.2</v>
      </c>
      <c r="K141" s="14" t="n">
        <v>33</v>
      </c>
      <c r="L141" s="8" t="s">
        <v>268</v>
      </c>
      <c r="M141" s="18" t="n">
        <v>664</v>
      </c>
    </row>
    <row r="142" customFormat="false" ht="15" hidden="false" customHeight="false" outlineLevel="0" collapsed="false">
      <c r="A142" s="14" t="n">
        <v>34</v>
      </c>
      <c r="B142" s="8" t="s">
        <v>276</v>
      </c>
      <c r="C142" s="18" t="n">
        <v>466</v>
      </c>
      <c r="D142" s="18" t="n">
        <f aca="false">C142/19</f>
        <v>24.5263157894737</v>
      </c>
      <c r="F142" s="14" t="n">
        <v>32</v>
      </c>
      <c r="G142" s="8" t="s">
        <v>291</v>
      </c>
      <c r="H142" s="18" t="n">
        <v>212</v>
      </c>
      <c r="I142" s="18" t="n">
        <f aca="false">H142/10</f>
        <v>21.2</v>
      </c>
      <c r="K142" s="14" t="n">
        <v>34</v>
      </c>
      <c r="L142" s="8" t="s">
        <v>276</v>
      </c>
      <c r="M142" s="18" t="n">
        <v>660</v>
      </c>
    </row>
    <row r="143" customFormat="false" ht="15" hidden="false" customHeight="false" outlineLevel="0" collapsed="false">
      <c r="A143" s="14" t="n">
        <v>35</v>
      </c>
      <c r="B143" s="8" t="s">
        <v>281</v>
      </c>
      <c r="C143" s="18" t="n">
        <v>438</v>
      </c>
      <c r="D143" s="18" t="n">
        <f aca="false">C143/19</f>
        <v>23.0526315789474</v>
      </c>
      <c r="F143" s="14" t="n">
        <v>35</v>
      </c>
      <c r="G143" s="8" t="s">
        <v>289</v>
      </c>
      <c r="H143" s="18" t="n">
        <v>207</v>
      </c>
      <c r="I143" s="18" t="n">
        <f aca="false">H143/10</f>
        <v>20.7</v>
      </c>
      <c r="K143" s="14" t="n">
        <v>35</v>
      </c>
      <c r="L143" s="8" t="s">
        <v>281</v>
      </c>
      <c r="M143" s="18" t="n">
        <v>633</v>
      </c>
    </row>
    <row r="144" customFormat="false" ht="15" hidden="false" customHeight="false" outlineLevel="0" collapsed="false">
      <c r="A144" s="14" t="n">
        <v>36</v>
      </c>
      <c r="B144" s="8" t="s">
        <v>268</v>
      </c>
      <c r="C144" s="18" t="n">
        <v>437</v>
      </c>
      <c r="D144" s="18" t="n">
        <f aca="false">C144/19</f>
        <v>23</v>
      </c>
      <c r="F144" s="14" t="n">
        <v>35</v>
      </c>
      <c r="G144" s="8" t="s">
        <v>248</v>
      </c>
      <c r="H144" s="18" t="n">
        <v>207</v>
      </c>
      <c r="I144" s="18" t="n">
        <f aca="false">H144/10</f>
        <v>20.7</v>
      </c>
      <c r="K144" s="14" t="n">
        <v>36</v>
      </c>
      <c r="L144" s="8" t="s">
        <v>259</v>
      </c>
      <c r="M144" s="18" t="n">
        <v>630</v>
      </c>
    </row>
    <row r="145" customFormat="false" ht="15" hidden="false" customHeight="false" outlineLevel="0" collapsed="false">
      <c r="A145" s="14" t="n">
        <v>37</v>
      </c>
      <c r="B145" s="8" t="s">
        <v>254</v>
      </c>
      <c r="C145" s="18" t="n">
        <v>413</v>
      </c>
      <c r="D145" s="18" t="n">
        <f aca="false">C145/19</f>
        <v>21.7368421052632</v>
      </c>
      <c r="F145" s="14" t="n">
        <v>37</v>
      </c>
      <c r="G145" s="8" t="s">
        <v>254</v>
      </c>
      <c r="H145" s="18" t="n">
        <v>204</v>
      </c>
      <c r="I145" s="18" t="n">
        <f aca="false">H145/10</f>
        <v>20.4</v>
      </c>
      <c r="K145" s="14" t="n">
        <v>37</v>
      </c>
      <c r="L145" s="8" t="s">
        <v>254</v>
      </c>
      <c r="M145" s="18" t="n">
        <v>617</v>
      </c>
    </row>
    <row r="146" customFormat="false" ht="15" hidden="false" customHeight="false" outlineLevel="0" collapsed="false">
      <c r="A146" s="14" t="n">
        <v>38</v>
      </c>
      <c r="B146" s="8" t="s">
        <v>190</v>
      </c>
      <c r="C146" s="18" t="n">
        <v>371</v>
      </c>
      <c r="D146" s="18" t="n">
        <f aca="false">C146/19</f>
        <v>19.5263157894737</v>
      </c>
      <c r="F146" s="14" t="n">
        <v>38</v>
      </c>
      <c r="G146" s="8" t="s">
        <v>281</v>
      </c>
      <c r="H146" s="18" t="n">
        <v>195</v>
      </c>
      <c r="I146" s="18" t="n">
        <f aca="false">H146/10</f>
        <v>19.5</v>
      </c>
      <c r="K146" s="14" t="n">
        <v>38</v>
      </c>
      <c r="L146" s="8" t="s">
        <v>190</v>
      </c>
      <c r="M146" s="18" t="n">
        <v>613</v>
      </c>
    </row>
    <row r="147" customFormat="false" ht="15" hidden="false" customHeight="false" outlineLevel="0" collapsed="false">
      <c r="A147" s="14" t="n">
        <v>39</v>
      </c>
      <c r="B147" s="8" t="s">
        <v>289</v>
      </c>
      <c r="C147" s="18" t="n">
        <v>347</v>
      </c>
      <c r="D147" s="18" t="n">
        <f aca="false">C147/19</f>
        <v>18.2631578947368</v>
      </c>
      <c r="F147" s="14" t="n">
        <v>39</v>
      </c>
      <c r="G147" s="8" t="s">
        <v>276</v>
      </c>
      <c r="H147" s="18" t="n">
        <v>194</v>
      </c>
      <c r="I147" s="18" t="n">
        <f aca="false">H147/10</f>
        <v>19.4</v>
      </c>
      <c r="K147" s="14" t="n">
        <v>39</v>
      </c>
      <c r="L147" s="8" t="s">
        <v>289</v>
      </c>
      <c r="M147" s="18" t="n">
        <v>554</v>
      </c>
    </row>
    <row r="148" customFormat="false" ht="15" hidden="false" customHeight="false" outlineLevel="0" collapsed="false">
      <c r="A148" s="14" t="n">
        <v>40</v>
      </c>
      <c r="B148" s="8" t="s">
        <v>291</v>
      </c>
      <c r="C148" s="18" t="n">
        <v>306</v>
      </c>
      <c r="D148" s="18" t="n">
        <f aca="false">C148/19</f>
        <v>16.1052631578947</v>
      </c>
      <c r="F148" s="14" t="n">
        <v>40</v>
      </c>
      <c r="G148" s="8" t="s">
        <v>178</v>
      </c>
      <c r="H148" s="18" t="n">
        <v>189</v>
      </c>
      <c r="I148" s="18" t="n">
        <f aca="false">H148/10</f>
        <v>18.9</v>
      </c>
      <c r="K148" s="14" t="n">
        <v>40</v>
      </c>
      <c r="L148" s="8" t="s">
        <v>239</v>
      </c>
      <c r="M148" s="18" t="n">
        <v>518</v>
      </c>
    </row>
    <row r="149" customFormat="false" ht="15" hidden="false" customHeight="false" outlineLevel="0" collapsed="false">
      <c r="A149" s="14" t="n">
        <v>41</v>
      </c>
      <c r="B149" s="8" t="s">
        <v>239</v>
      </c>
      <c r="C149" s="18" t="n">
        <v>268</v>
      </c>
      <c r="D149" s="18" t="n">
        <f aca="false">C149/19</f>
        <v>14.1052631578947</v>
      </c>
      <c r="F149" s="14" t="n">
        <v>41</v>
      </c>
      <c r="G149" s="8" t="s">
        <v>269</v>
      </c>
      <c r="H149" s="18" t="n">
        <v>187</v>
      </c>
      <c r="I149" s="18" t="n">
        <f aca="false">H149/10</f>
        <v>18.7</v>
      </c>
      <c r="K149" s="14" t="n">
        <v>40</v>
      </c>
      <c r="L149" s="8" t="s">
        <v>291</v>
      </c>
      <c r="M149" s="18" t="n">
        <v>518</v>
      </c>
    </row>
    <row r="150" customFormat="false" ht="15" hidden="false" customHeight="false" outlineLevel="0" collapsed="false">
      <c r="A150" s="14" t="n">
        <v>42</v>
      </c>
      <c r="B150" s="8" t="s">
        <v>270</v>
      </c>
      <c r="C150" s="18" t="n">
        <v>263</v>
      </c>
      <c r="D150" s="18" t="n">
        <f aca="false">C150/19</f>
        <v>13.8421052631579</v>
      </c>
      <c r="F150" s="14" t="n">
        <v>42</v>
      </c>
      <c r="G150" s="8" t="s">
        <v>309</v>
      </c>
      <c r="H150" s="18" t="n">
        <v>175</v>
      </c>
      <c r="I150" s="18" t="n">
        <f aca="false">H150/10</f>
        <v>17.5</v>
      </c>
      <c r="K150" s="14" t="n">
        <v>42</v>
      </c>
      <c r="L150" s="8" t="s">
        <v>235</v>
      </c>
      <c r="M150" s="18" t="n">
        <v>496</v>
      </c>
    </row>
    <row r="151" customFormat="false" ht="15" hidden="false" customHeight="false" outlineLevel="0" collapsed="false">
      <c r="A151" s="14" t="n">
        <v>43</v>
      </c>
      <c r="B151" s="8" t="s">
        <v>235</v>
      </c>
      <c r="C151" s="18" t="n">
        <v>245</v>
      </c>
      <c r="D151" s="18" t="n">
        <f aca="false">C151/19</f>
        <v>12.8947368421053</v>
      </c>
      <c r="F151" s="14" t="n">
        <v>43</v>
      </c>
      <c r="G151" s="8" t="s">
        <v>270</v>
      </c>
      <c r="H151" s="18" t="n">
        <v>169</v>
      </c>
      <c r="I151" s="18" t="n">
        <f aca="false">H151/10</f>
        <v>16.9</v>
      </c>
      <c r="K151" s="14" t="n">
        <v>43</v>
      </c>
      <c r="L151" s="8" t="s">
        <v>230</v>
      </c>
      <c r="M151" s="18" t="n">
        <v>467</v>
      </c>
    </row>
    <row r="152" customFormat="false" ht="15" hidden="false" customHeight="false" outlineLevel="0" collapsed="false">
      <c r="A152" s="14" t="n">
        <v>44</v>
      </c>
      <c r="B152" s="8" t="s">
        <v>309</v>
      </c>
      <c r="C152" s="18" t="n">
        <v>218</v>
      </c>
      <c r="D152" s="18" t="n">
        <f aca="false">C152/19</f>
        <v>11.4736842105263</v>
      </c>
      <c r="F152" s="14" t="n">
        <v>44</v>
      </c>
      <c r="G152" s="8" t="s">
        <v>253</v>
      </c>
      <c r="H152" s="18" t="n">
        <v>165</v>
      </c>
      <c r="I152" s="18" t="n">
        <f aca="false">H152/10</f>
        <v>16.5</v>
      </c>
      <c r="K152" s="14" t="n">
        <v>44</v>
      </c>
      <c r="L152" s="8" t="s">
        <v>270</v>
      </c>
      <c r="M152" s="18" t="n">
        <v>432</v>
      </c>
    </row>
    <row r="153" customFormat="false" ht="15" hidden="false" customHeight="false" outlineLevel="0" collapsed="false">
      <c r="A153" s="14" t="n">
        <v>45</v>
      </c>
      <c r="B153" s="8" t="s">
        <v>230</v>
      </c>
      <c r="C153" s="18" t="n">
        <v>212</v>
      </c>
      <c r="D153" s="18" t="n">
        <f aca="false">C153/19</f>
        <v>11.1578947368421</v>
      </c>
      <c r="F153" s="14" t="n">
        <v>45</v>
      </c>
      <c r="G153" s="8" t="s">
        <v>259</v>
      </c>
      <c r="H153" s="18" t="n">
        <v>123</v>
      </c>
      <c r="I153" s="18" t="n">
        <f aca="false">H153/10</f>
        <v>12.3</v>
      </c>
      <c r="K153" s="14" t="n">
        <v>45</v>
      </c>
      <c r="L153" s="8" t="s">
        <v>309</v>
      </c>
      <c r="M153" s="18" t="n">
        <v>393</v>
      </c>
    </row>
    <row r="154" customFormat="false" ht="15" hidden="false" customHeight="false" outlineLevel="0" collapsed="false">
      <c r="A154" s="14" t="n">
        <v>46</v>
      </c>
      <c r="B154" s="8" t="s">
        <v>311</v>
      </c>
      <c r="C154" s="18" t="n">
        <v>71</v>
      </c>
      <c r="D154" s="18" t="n">
        <f aca="false">C154/19</f>
        <v>3.73684210526316</v>
      </c>
      <c r="F154" s="14" t="n">
        <v>46</v>
      </c>
      <c r="G154" s="8" t="s">
        <v>311</v>
      </c>
      <c r="H154" s="18" t="n">
        <v>90</v>
      </c>
      <c r="I154" s="18" t="n">
        <f aca="false">H154/10</f>
        <v>9</v>
      </c>
      <c r="K154" s="14" t="n">
        <v>46</v>
      </c>
      <c r="L154" s="8" t="s">
        <v>311</v>
      </c>
      <c r="M154" s="18" t="n">
        <v>161</v>
      </c>
    </row>
    <row r="155" customFormat="false" ht="15" hidden="false" customHeight="false" outlineLevel="0" collapsed="false">
      <c r="A155" s="14" t="n">
        <v>47</v>
      </c>
      <c r="B155" s="8" t="s">
        <v>232</v>
      </c>
      <c r="C155" s="18" t="n">
        <v>0</v>
      </c>
      <c r="D155" s="18" t="n">
        <f aca="false">C155/19</f>
        <v>0</v>
      </c>
      <c r="F155" s="14" t="n">
        <v>47</v>
      </c>
      <c r="G155" s="8" t="s">
        <v>232</v>
      </c>
      <c r="H155" s="18" t="n">
        <v>58</v>
      </c>
      <c r="I155" s="18" t="n">
        <f aca="false">H155/10</f>
        <v>5.8</v>
      </c>
      <c r="K155" s="14" t="n">
        <v>47</v>
      </c>
      <c r="L155" s="8" t="s">
        <v>232</v>
      </c>
      <c r="M155" s="18" t="n">
        <v>58</v>
      </c>
    </row>
    <row r="156" customFormat="false" ht="15" hidden="false" customHeight="false" outlineLevel="0" collapsed="false">
      <c r="B156" s="8" t="s">
        <v>282</v>
      </c>
      <c r="C156" s="18" t="n">
        <f aca="false">AVERAGE(C109:C155)</f>
        <v>480.63829787234</v>
      </c>
      <c r="D156" s="18" t="n">
        <f aca="false">AVERAGE(D109:D155)</f>
        <v>25.2967525195969</v>
      </c>
      <c r="G156" s="8" t="s">
        <v>282</v>
      </c>
      <c r="H156" s="18" t="n">
        <f aca="false">AVERAGE(H109:H155)</f>
        <v>216.382978723404</v>
      </c>
      <c r="I156" s="18" t="n">
        <f aca="false">AVERAGE(I109:I155)</f>
        <v>21.6382978723404</v>
      </c>
      <c r="L156" s="8" t="s">
        <v>282</v>
      </c>
      <c r="M156" s="18" t="n">
        <f aca="false">AVERAGE(M109:M155)</f>
        <v>697.021276595745</v>
      </c>
    </row>
    <row r="159" customFormat="false" ht="15" hidden="false" customHeight="false" outlineLevel="0" collapsed="false">
      <c r="A159" s="39" t="s">
        <v>312</v>
      </c>
    </row>
    <row r="160" customFormat="false" ht="15" hidden="false" customHeight="false" outlineLevel="0" collapsed="false">
      <c r="A160" s="11" t="s">
        <v>223</v>
      </c>
      <c r="B160" s="12" t="s">
        <v>296</v>
      </c>
      <c r="C160" s="12" t="s">
        <v>297</v>
      </c>
      <c r="D160" s="12" t="s">
        <v>225</v>
      </c>
      <c r="F160" s="11" t="s">
        <v>223</v>
      </c>
      <c r="G160" s="12" t="s">
        <v>298</v>
      </c>
      <c r="H160" s="12" t="s">
        <v>297</v>
      </c>
      <c r="I160" s="12" t="s">
        <v>225</v>
      </c>
      <c r="K160" s="11" t="s">
        <v>223</v>
      </c>
      <c r="L160" s="12" t="s">
        <v>299</v>
      </c>
      <c r="M160" s="12" t="s">
        <v>297</v>
      </c>
    </row>
    <row r="161" customFormat="false" ht="15" hidden="false" customHeight="false" outlineLevel="0" collapsed="false">
      <c r="A161" s="14" t="n">
        <v>1</v>
      </c>
      <c r="B161" s="8" t="s">
        <v>186</v>
      </c>
      <c r="C161" s="18" t="n">
        <v>645</v>
      </c>
      <c r="D161" s="18" t="n">
        <f aca="false">C161/18</f>
        <v>35.8333333333333</v>
      </c>
      <c r="F161" s="14" t="n">
        <v>1</v>
      </c>
      <c r="G161" s="8" t="s">
        <v>258</v>
      </c>
      <c r="H161" s="18" t="n">
        <v>311</v>
      </c>
      <c r="I161" s="18" t="n">
        <f aca="false">H161/12</f>
        <v>25.9166666666667</v>
      </c>
      <c r="K161" s="14" t="n">
        <v>1</v>
      </c>
      <c r="L161" s="8" t="s">
        <v>232</v>
      </c>
      <c r="M161" s="18" t="n">
        <v>911</v>
      </c>
    </row>
    <row r="162" customFormat="false" ht="15" hidden="false" customHeight="false" outlineLevel="0" collapsed="false">
      <c r="A162" s="14" t="n">
        <v>2</v>
      </c>
      <c r="B162" s="8" t="s">
        <v>232</v>
      </c>
      <c r="C162" s="18" t="n">
        <v>633</v>
      </c>
      <c r="D162" s="18" t="n">
        <f aca="false">C162/18</f>
        <v>35.1666666666667</v>
      </c>
      <c r="F162" s="14" t="n">
        <v>2</v>
      </c>
      <c r="G162" s="8" t="s">
        <v>230</v>
      </c>
      <c r="H162" s="18" t="n">
        <v>288</v>
      </c>
      <c r="I162" s="18" t="n">
        <f aca="false">H162/12</f>
        <v>24</v>
      </c>
      <c r="K162" s="14" t="n">
        <v>2</v>
      </c>
      <c r="L162" s="8" t="s">
        <v>231</v>
      </c>
      <c r="M162" s="18" t="n">
        <v>882</v>
      </c>
    </row>
    <row r="163" customFormat="false" ht="15" hidden="false" customHeight="false" outlineLevel="0" collapsed="false">
      <c r="A163" s="43" t="n">
        <v>3</v>
      </c>
      <c r="B163" s="41" t="s">
        <v>193</v>
      </c>
      <c r="C163" s="42" t="n">
        <v>619</v>
      </c>
      <c r="D163" s="42" t="n">
        <f aca="false">C163/18</f>
        <v>34.3888888888889</v>
      </c>
      <c r="F163" s="14" t="n">
        <v>3</v>
      </c>
      <c r="G163" s="8" t="s">
        <v>231</v>
      </c>
      <c r="H163" s="18" t="n">
        <v>284</v>
      </c>
      <c r="I163" s="18" t="n">
        <f aca="false">H163/10</f>
        <v>28.4</v>
      </c>
      <c r="K163" s="43" t="n">
        <v>3</v>
      </c>
      <c r="L163" s="41" t="s">
        <v>193</v>
      </c>
      <c r="M163" s="42" t="n">
        <v>867</v>
      </c>
    </row>
    <row r="164" customFormat="false" ht="15" hidden="false" customHeight="false" outlineLevel="0" collapsed="false">
      <c r="A164" s="43" t="n">
        <v>4</v>
      </c>
      <c r="B164" s="41" t="s">
        <v>185</v>
      </c>
      <c r="C164" s="42" t="n">
        <v>616</v>
      </c>
      <c r="D164" s="42" t="n">
        <f aca="false">C164/18</f>
        <v>34.2222222222222</v>
      </c>
      <c r="F164" s="14" t="n">
        <v>4</v>
      </c>
      <c r="G164" s="8" t="s">
        <v>232</v>
      </c>
      <c r="H164" s="18" t="n">
        <v>278</v>
      </c>
      <c r="I164" s="18" t="n">
        <f aca="false">H164/10</f>
        <v>27.8</v>
      </c>
      <c r="K164" s="14" t="n">
        <v>4</v>
      </c>
      <c r="L164" s="8" t="s">
        <v>186</v>
      </c>
      <c r="M164" s="18" t="n">
        <v>866</v>
      </c>
    </row>
    <row r="165" customFormat="false" ht="15" hidden="false" customHeight="false" outlineLevel="0" collapsed="false">
      <c r="A165" s="14" t="n">
        <v>5</v>
      </c>
      <c r="B165" s="8" t="s">
        <v>239</v>
      </c>
      <c r="C165" s="18" t="n">
        <v>602</v>
      </c>
      <c r="D165" s="18" t="n">
        <f aca="false">C165/18</f>
        <v>33.4444444444444</v>
      </c>
      <c r="F165" s="14" t="n">
        <v>5</v>
      </c>
      <c r="G165" s="8" t="s">
        <v>242</v>
      </c>
      <c r="H165" s="18" t="n">
        <v>277</v>
      </c>
      <c r="I165" s="18" t="n">
        <f aca="false">H165/10</f>
        <v>27.7</v>
      </c>
      <c r="K165" s="14" t="n">
        <v>5</v>
      </c>
      <c r="L165" s="8" t="s">
        <v>230</v>
      </c>
      <c r="M165" s="18" t="n">
        <v>858</v>
      </c>
    </row>
    <row r="166" customFormat="false" ht="15" hidden="false" customHeight="false" outlineLevel="0" collapsed="false">
      <c r="A166" s="14" t="n">
        <v>6</v>
      </c>
      <c r="B166" s="8" t="s">
        <v>231</v>
      </c>
      <c r="C166" s="18" t="n">
        <v>598</v>
      </c>
      <c r="D166" s="18" t="n">
        <f aca="false">C166/18</f>
        <v>33.2222222222222</v>
      </c>
      <c r="F166" s="14" t="n">
        <v>6</v>
      </c>
      <c r="G166" s="8" t="s">
        <v>256</v>
      </c>
      <c r="H166" s="18" t="n">
        <v>274</v>
      </c>
      <c r="I166" s="18" t="n">
        <f aca="false">H166/12</f>
        <v>22.8333333333333</v>
      </c>
      <c r="K166" s="43" t="n">
        <v>6</v>
      </c>
      <c r="L166" s="41" t="s">
        <v>185</v>
      </c>
      <c r="M166" s="42" t="n">
        <v>846</v>
      </c>
    </row>
    <row r="167" customFormat="false" ht="15" hidden="false" customHeight="false" outlineLevel="0" collapsed="false">
      <c r="A167" s="43" t="n">
        <v>7</v>
      </c>
      <c r="B167" s="41" t="s">
        <v>178</v>
      </c>
      <c r="C167" s="42" t="n">
        <v>595</v>
      </c>
      <c r="D167" s="42" t="n">
        <f aca="false">C167/18</f>
        <v>33.0555555555556</v>
      </c>
      <c r="F167" s="14" t="n">
        <v>7</v>
      </c>
      <c r="G167" s="8" t="s">
        <v>251</v>
      </c>
      <c r="H167" s="18" t="n">
        <v>271</v>
      </c>
      <c r="I167" s="18" t="n">
        <f aca="false">H167/12</f>
        <v>22.5833333333333</v>
      </c>
      <c r="K167" s="43" t="n">
        <v>7</v>
      </c>
      <c r="L167" s="41" t="s">
        <v>178</v>
      </c>
      <c r="M167" s="42" t="n">
        <v>828</v>
      </c>
    </row>
    <row r="168" customFormat="false" ht="15" hidden="false" customHeight="false" outlineLevel="0" collapsed="false">
      <c r="A168" s="14" t="n">
        <v>8</v>
      </c>
      <c r="B168" s="8" t="s">
        <v>245</v>
      </c>
      <c r="C168" s="18" t="n">
        <v>593</v>
      </c>
      <c r="D168" s="18" t="n">
        <f aca="false">C168/18</f>
        <v>32.9444444444444</v>
      </c>
      <c r="F168" s="14" t="n">
        <v>7</v>
      </c>
      <c r="G168" s="8" t="s">
        <v>278</v>
      </c>
      <c r="H168" s="18" t="n">
        <v>271</v>
      </c>
      <c r="I168" s="18" t="n">
        <f aca="false">H168/12</f>
        <v>22.5833333333333</v>
      </c>
      <c r="K168" s="14" t="n">
        <v>8</v>
      </c>
      <c r="L168" s="8" t="s">
        <v>245</v>
      </c>
      <c r="M168" s="18" t="n">
        <v>821</v>
      </c>
    </row>
    <row r="169" customFormat="false" ht="15" hidden="false" customHeight="false" outlineLevel="0" collapsed="false">
      <c r="A169" s="14" t="n">
        <v>9</v>
      </c>
      <c r="B169" s="8" t="s">
        <v>247</v>
      </c>
      <c r="C169" s="18" t="n">
        <v>580</v>
      </c>
      <c r="D169" s="18" t="n">
        <f aca="false">C169/18</f>
        <v>32.2222222222222</v>
      </c>
      <c r="F169" s="14" t="n">
        <v>7</v>
      </c>
      <c r="G169" s="8" t="s">
        <v>260</v>
      </c>
      <c r="H169" s="18" t="n">
        <v>271</v>
      </c>
      <c r="I169" s="18" t="n">
        <f aca="false">H169/12</f>
        <v>22.5833333333333</v>
      </c>
      <c r="K169" s="14" t="n">
        <v>9</v>
      </c>
      <c r="L169" s="8" t="s">
        <v>258</v>
      </c>
      <c r="M169" s="18" t="n">
        <v>818</v>
      </c>
    </row>
    <row r="170" customFormat="false" ht="15" hidden="false" customHeight="false" outlineLevel="0" collapsed="false">
      <c r="A170" s="14" t="n">
        <v>10</v>
      </c>
      <c r="B170" s="8" t="s">
        <v>230</v>
      </c>
      <c r="C170" s="18" t="n">
        <v>570</v>
      </c>
      <c r="D170" s="18" t="n">
        <f aca="false">C170/18</f>
        <v>31.6666666666667</v>
      </c>
      <c r="F170" s="14" t="n">
        <v>10</v>
      </c>
      <c r="G170" s="8" t="s">
        <v>289</v>
      </c>
      <c r="H170" s="18" t="n">
        <v>269</v>
      </c>
      <c r="I170" s="18" t="n">
        <f aca="false">H170/12</f>
        <v>22.4166666666667</v>
      </c>
      <c r="K170" s="14" t="n">
        <v>10</v>
      </c>
      <c r="L170" s="8" t="s">
        <v>252</v>
      </c>
      <c r="M170" s="18" t="n">
        <v>813</v>
      </c>
    </row>
    <row r="171" customFormat="false" ht="15" hidden="false" customHeight="false" outlineLevel="0" collapsed="false">
      <c r="A171" s="14" t="n">
        <v>11</v>
      </c>
      <c r="B171" s="8" t="s">
        <v>249</v>
      </c>
      <c r="C171" s="18" t="n">
        <v>559</v>
      </c>
      <c r="D171" s="18" t="n">
        <f aca="false">C171/18</f>
        <v>31.0555555555556</v>
      </c>
      <c r="F171" s="14" t="n">
        <v>11</v>
      </c>
      <c r="G171" s="8" t="s">
        <v>280</v>
      </c>
      <c r="H171" s="18" t="n">
        <v>258</v>
      </c>
      <c r="I171" s="18" t="n">
        <f aca="false">H171/12</f>
        <v>21.5</v>
      </c>
      <c r="K171" s="14" t="n">
        <v>11</v>
      </c>
      <c r="L171" s="8" t="s">
        <v>251</v>
      </c>
      <c r="M171" s="18" t="n">
        <v>803</v>
      </c>
    </row>
    <row r="172" customFormat="false" ht="15" hidden="false" customHeight="false" outlineLevel="0" collapsed="false">
      <c r="A172" s="14" t="n">
        <v>12</v>
      </c>
      <c r="B172" s="8" t="s">
        <v>252</v>
      </c>
      <c r="C172" s="18" t="n">
        <v>556</v>
      </c>
      <c r="D172" s="18" t="n">
        <f aca="false">C172/18</f>
        <v>30.8888888888889</v>
      </c>
      <c r="F172" s="14" t="n">
        <v>12</v>
      </c>
      <c r="G172" s="8" t="s">
        <v>252</v>
      </c>
      <c r="H172" s="18" t="n">
        <v>257</v>
      </c>
      <c r="I172" s="18" t="n">
        <f aca="false">H172/12</f>
        <v>21.4166666666667</v>
      </c>
      <c r="K172" s="14" t="n">
        <v>12</v>
      </c>
      <c r="L172" s="8" t="s">
        <v>239</v>
      </c>
      <c r="M172" s="18" t="n">
        <v>790</v>
      </c>
    </row>
    <row r="173" customFormat="false" ht="15" hidden="false" customHeight="false" outlineLevel="0" collapsed="false">
      <c r="A173" s="14" t="n">
        <v>13</v>
      </c>
      <c r="B173" s="8" t="s">
        <v>254</v>
      </c>
      <c r="C173" s="18" t="n">
        <v>551</v>
      </c>
      <c r="D173" s="18" t="n">
        <f aca="false">C173/18</f>
        <v>30.6111111111111</v>
      </c>
      <c r="F173" s="14" t="n">
        <v>13</v>
      </c>
      <c r="G173" s="8" t="s">
        <v>268</v>
      </c>
      <c r="H173" s="18" t="n">
        <v>253</v>
      </c>
      <c r="I173" s="18" t="n">
        <f aca="false">H173/12</f>
        <v>21.0833333333333</v>
      </c>
      <c r="K173" s="14" t="n">
        <v>13</v>
      </c>
      <c r="L173" s="8" t="s">
        <v>260</v>
      </c>
      <c r="M173" s="18" t="n">
        <v>785</v>
      </c>
    </row>
    <row r="174" customFormat="false" ht="15" hidden="false" customHeight="false" outlineLevel="0" collapsed="false">
      <c r="A174" s="14" t="n">
        <v>14</v>
      </c>
      <c r="B174" s="8" t="s">
        <v>253</v>
      </c>
      <c r="C174" s="18" t="n">
        <v>550</v>
      </c>
      <c r="D174" s="18" t="n">
        <f aca="false">C174/18</f>
        <v>30.5555555555556</v>
      </c>
      <c r="F174" s="43" t="n">
        <v>14</v>
      </c>
      <c r="G174" s="41" t="s">
        <v>193</v>
      </c>
      <c r="H174" s="42" t="n">
        <v>248</v>
      </c>
      <c r="I174" s="42" t="n">
        <f aca="false">H174/10</f>
        <v>24.8</v>
      </c>
      <c r="K174" s="14" t="n">
        <v>14</v>
      </c>
      <c r="L174" s="8" t="s">
        <v>249</v>
      </c>
      <c r="M174" s="18" t="n">
        <v>769</v>
      </c>
    </row>
    <row r="175" customFormat="false" ht="15" hidden="false" customHeight="false" outlineLevel="0" collapsed="false">
      <c r="A175" s="14" t="n">
        <v>15</v>
      </c>
      <c r="B175" s="8" t="s">
        <v>251</v>
      </c>
      <c r="C175" s="18" t="n">
        <v>532</v>
      </c>
      <c r="D175" s="18" t="n">
        <f aca="false">C175/18</f>
        <v>29.5555555555556</v>
      </c>
      <c r="F175" s="14" t="n">
        <v>15</v>
      </c>
      <c r="G175" s="8" t="s">
        <v>292</v>
      </c>
      <c r="H175" s="18" t="n">
        <v>240</v>
      </c>
      <c r="I175" s="18" t="n">
        <f aca="false">H175/12</f>
        <v>20</v>
      </c>
      <c r="K175" s="14" t="n">
        <v>15</v>
      </c>
      <c r="L175" s="8" t="s">
        <v>242</v>
      </c>
      <c r="M175" s="18" t="n">
        <v>763</v>
      </c>
    </row>
    <row r="176" customFormat="false" ht="15" hidden="false" customHeight="false" outlineLevel="0" collapsed="false">
      <c r="A176" s="14" t="n">
        <v>16</v>
      </c>
      <c r="B176" s="8" t="s">
        <v>259</v>
      </c>
      <c r="C176" s="18" t="n">
        <v>514</v>
      </c>
      <c r="D176" s="18" t="n">
        <f aca="false">C176/18</f>
        <v>28.5555555555556</v>
      </c>
      <c r="F176" s="14" t="n">
        <v>16</v>
      </c>
      <c r="G176" s="8" t="s">
        <v>188</v>
      </c>
      <c r="H176" s="18" t="n">
        <v>238</v>
      </c>
      <c r="I176" s="18" t="n">
        <f aca="false">H176/10</f>
        <v>23.8</v>
      </c>
      <c r="K176" s="14" t="n">
        <v>16</v>
      </c>
      <c r="L176" s="8" t="s">
        <v>253</v>
      </c>
      <c r="M176" s="18" t="n">
        <v>762</v>
      </c>
    </row>
    <row r="177" customFormat="false" ht="15" hidden="false" customHeight="false" outlineLevel="0" collapsed="false">
      <c r="A177" s="14" t="n">
        <v>16</v>
      </c>
      <c r="B177" s="8" t="s">
        <v>260</v>
      </c>
      <c r="C177" s="18" t="n">
        <v>514</v>
      </c>
      <c r="D177" s="18" t="n">
        <f aca="false">C177/18</f>
        <v>28.5555555555556</v>
      </c>
      <c r="F177" s="14" t="n">
        <v>17</v>
      </c>
      <c r="G177" s="8" t="s">
        <v>274</v>
      </c>
      <c r="H177" s="18" t="n">
        <v>236</v>
      </c>
      <c r="I177" s="18" t="n">
        <f aca="false">H177/10</f>
        <v>23.6</v>
      </c>
      <c r="K177" s="14" t="n">
        <v>17</v>
      </c>
      <c r="L177" s="8" t="s">
        <v>268</v>
      </c>
      <c r="M177" s="18" t="n">
        <v>755</v>
      </c>
    </row>
    <row r="178" customFormat="false" ht="15" hidden="false" customHeight="false" outlineLevel="0" collapsed="false">
      <c r="A178" s="14" t="n">
        <v>18</v>
      </c>
      <c r="B178" s="8" t="s">
        <v>258</v>
      </c>
      <c r="C178" s="18" t="n">
        <v>507</v>
      </c>
      <c r="D178" s="18" t="n">
        <f aca="false">C178/18</f>
        <v>28.1666666666667</v>
      </c>
      <c r="F178" s="43" t="n">
        <v>18</v>
      </c>
      <c r="G178" s="41" t="s">
        <v>178</v>
      </c>
      <c r="H178" s="42" t="n">
        <v>233</v>
      </c>
      <c r="I178" s="42" t="n">
        <f aca="false">H178/10</f>
        <v>23.3</v>
      </c>
      <c r="K178" s="14" t="n">
        <v>18</v>
      </c>
      <c r="L178" s="8" t="s">
        <v>278</v>
      </c>
      <c r="M178" s="18" t="n">
        <v>749</v>
      </c>
    </row>
    <row r="179" customFormat="false" ht="15" hidden="false" customHeight="false" outlineLevel="0" collapsed="false">
      <c r="A179" s="14" t="n">
        <v>19</v>
      </c>
      <c r="B179" s="8" t="s">
        <v>264</v>
      </c>
      <c r="C179" s="18" t="n">
        <v>505</v>
      </c>
      <c r="D179" s="18" t="n">
        <f aca="false">C179/18</f>
        <v>28.0555555555556</v>
      </c>
      <c r="F179" s="43" t="n">
        <v>19</v>
      </c>
      <c r="G179" s="41" t="s">
        <v>185</v>
      </c>
      <c r="H179" s="42" t="n">
        <v>230</v>
      </c>
      <c r="I179" s="42" t="n">
        <f aca="false">H179/10</f>
        <v>23</v>
      </c>
      <c r="K179" s="14" t="n">
        <v>19</v>
      </c>
      <c r="L179" s="8" t="s">
        <v>254</v>
      </c>
      <c r="M179" s="18" t="n">
        <v>740</v>
      </c>
    </row>
    <row r="180" customFormat="false" ht="15" hidden="false" customHeight="false" outlineLevel="0" collapsed="false">
      <c r="A180" s="14" t="n">
        <v>20</v>
      </c>
      <c r="B180" s="8" t="s">
        <v>238</v>
      </c>
      <c r="C180" s="18" t="n">
        <v>502</v>
      </c>
      <c r="D180" s="18" t="n">
        <f aca="false">C180/18</f>
        <v>27.8888888888889</v>
      </c>
      <c r="F180" s="14" t="n">
        <v>19</v>
      </c>
      <c r="G180" s="8" t="s">
        <v>263</v>
      </c>
      <c r="H180" s="18" t="n">
        <v>230</v>
      </c>
      <c r="I180" s="18" t="n">
        <f aca="false">H180/10</f>
        <v>23</v>
      </c>
      <c r="K180" s="14" t="n">
        <v>20</v>
      </c>
      <c r="L180" s="8" t="s">
        <v>259</v>
      </c>
      <c r="M180" s="18" t="n">
        <v>737</v>
      </c>
    </row>
    <row r="181" customFormat="false" ht="15" hidden="false" customHeight="false" outlineLevel="0" collapsed="false">
      <c r="A181" s="43" t="n">
        <v>20</v>
      </c>
      <c r="B181" s="41" t="s">
        <v>190</v>
      </c>
      <c r="C181" s="42" t="n">
        <v>502</v>
      </c>
      <c r="D181" s="42" t="n">
        <f aca="false">C181/18</f>
        <v>27.8888888888889</v>
      </c>
      <c r="F181" s="14" t="n">
        <v>21</v>
      </c>
      <c r="G181" s="8" t="s">
        <v>245</v>
      </c>
      <c r="H181" s="18" t="n">
        <v>228</v>
      </c>
      <c r="I181" s="18" t="n">
        <f aca="false">H181/10</f>
        <v>22.8</v>
      </c>
      <c r="K181" s="14" t="n">
        <v>21</v>
      </c>
      <c r="L181" s="8" t="s">
        <v>247</v>
      </c>
      <c r="M181" s="18" t="n">
        <v>733</v>
      </c>
    </row>
    <row r="182" customFormat="false" ht="15" hidden="false" customHeight="false" outlineLevel="0" collapsed="false">
      <c r="A182" s="14" t="n">
        <v>20</v>
      </c>
      <c r="B182" s="8" t="s">
        <v>268</v>
      </c>
      <c r="C182" s="18" t="n">
        <v>502</v>
      </c>
      <c r="D182" s="18" t="n">
        <f aca="false">C182/18</f>
        <v>27.8888888888889</v>
      </c>
      <c r="F182" s="14" t="n">
        <v>22</v>
      </c>
      <c r="G182" s="8" t="s">
        <v>259</v>
      </c>
      <c r="H182" s="18" t="n">
        <v>223</v>
      </c>
      <c r="I182" s="18" t="n">
        <f aca="false">H182/10</f>
        <v>22.3</v>
      </c>
      <c r="K182" s="14" t="n">
        <v>21</v>
      </c>
      <c r="L182" s="8" t="s">
        <v>280</v>
      </c>
      <c r="M182" s="18" t="n">
        <v>733</v>
      </c>
    </row>
    <row r="183" customFormat="false" ht="15" hidden="false" customHeight="false" outlineLevel="0" collapsed="false">
      <c r="A183" s="43" t="n">
        <v>23</v>
      </c>
      <c r="B183" s="41" t="s">
        <v>192</v>
      </c>
      <c r="C183" s="42" t="n">
        <v>501</v>
      </c>
      <c r="D183" s="42" t="n">
        <f aca="false">C183/18</f>
        <v>27.8333333333333</v>
      </c>
      <c r="F183" s="43" t="n">
        <v>23</v>
      </c>
      <c r="G183" s="41" t="s">
        <v>192</v>
      </c>
      <c r="H183" s="42" t="n">
        <v>222</v>
      </c>
      <c r="I183" s="42" t="n">
        <f aca="false">H183/10</f>
        <v>22.2</v>
      </c>
      <c r="K183" s="14" t="n">
        <v>23</v>
      </c>
      <c r="L183" s="8" t="s">
        <v>274</v>
      </c>
      <c r="M183" s="18" t="n">
        <v>732</v>
      </c>
    </row>
    <row r="184" customFormat="false" ht="15" hidden="false" customHeight="false" outlineLevel="0" collapsed="false">
      <c r="A184" s="43" t="n">
        <v>24</v>
      </c>
      <c r="B184" s="41" t="s">
        <v>187</v>
      </c>
      <c r="C184" s="42" t="n">
        <v>500</v>
      </c>
      <c r="D184" s="42" t="n">
        <f aca="false">C184/18</f>
        <v>27.7777777777778</v>
      </c>
      <c r="F184" s="14" t="n">
        <v>23</v>
      </c>
      <c r="G184" s="8" t="s">
        <v>281</v>
      </c>
      <c r="H184" s="18" t="n">
        <v>222</v>
      </c>
      <c r="I184" s="18" t="n">
        <f aca="false">H184/10</f>
        <v>22.2</v>
      </c>
      <c r="K184" s="43" t="n">
        <v>24</v>
      </c>
      <c r="L184" s="41" t="s">
        <v>192</v>
      </c>
      <c r="M184" s="42" t="n">
        <v>723</v>
      </c>
    </row>
    <row r="185" customFormat="false" ht="15" hidden="false" customHeight="false" outlineLevel="0" collapsed="false">
      <c r="A185" s="14" t="n">
        <v>25</v>
      </c>
      <c r="B185" s="8" t="s">
        <v>273</v>
      </c>
      <c r="C185" s="18" t="n">
        <v>496</v>
      </c>
      <c r="D185" s="18" t="n">
        <f aca="false">C185/18</f>
        <v>27.5555555555556</v>
      </c>
      <c r="F185" s="14" t="n">
        <v>25</v>
      </c>
      <c r="G185" s="8" t="s">
        <v>186</v>
      </c>
      <c r="H185" s="18" t="n">
        <v>221</v>
      </c>
      <c r="I185" s="18" t="n">
        <f aca="false">H185/10</f>
        <v>22.1</v>
      </c>
      <c r="K185" s="43" t="n">
        <v>24</v>
      </c>
      <c r="L185" s="41" t="s">
        <v>190</v>
      </c>
      <c r="M185" s="42" t="n">
        <v>723</v>
      </c>
    </row>
    <row r="186" customFormat="false" ht="15" hidden="false" customHeight="false" outlineLevel="0" collapsed="false">
      <c r="A186" s="14" t="n">
        <v>25</v>
      </c>
      <c r="B186" s="8" t="s">
        <v>274</v>
      </c>
      <c r="C186" s="18" t="n">
        <v>496</v>
      </c>
      <c r="D186" s="18" t="n">
        <f aca="false">C186/18</f>
        <v>27.5555555555556</v>
      </c>
      <c r="F186" s="43" t="n">
        <v>25</v>
      </c>
      <c r="G186" s="41" t="s">
        <v>190</v>
      </c>
      <c r="H186" s="42" t="n">
        <v>221</v>
      </c>
      <c r="I186" s="42" t="n">
        <f aca="false">H186/10</f>
        <v>22.1</v>
      </c>
      <c r="K186" s="14" t="n">
        <v>26</v>
      </c>
      <c r="L186" s="8" t="s">
        <v>273</v>
      </c>
      <c r="M186" s="18" t="n">
        <v>715</v>
      </c>
    </row>
    <row r="187" customFormat="false" ht="15" hidden="false" customHeight="false" outlineLevel="0" collapsed="false">
      <c r="A187" s="14" t="n">
        <v>27</v>
      </c>
      <c r="B187" s="8" t="s">
        <v>242</v>
      </c>
      <c r="C187" s="18" t="n">
        <v>486</v>
      </c>
      <c r="D187" s="18" t="n">
        <f aca="false">C187/18</f>
        <v>27</v>
      </c>
      <c r="F187" s="14" t="n">
        <v>27</v>
      </c>
      <c r="G187" s="8" t="s">
        <v>273</v>
      </c>
      <c r="H187" s="18" t="n">
        <v>219</v>
      </c>
      <c r="I187" s="18" t="n">
        <f aca="false">H187/10</f>
        <v>21.9</v>
      </c>
      <c r="K187" s="43" t="n">
        <v>27</v>
      </c>
      <c r="L187" s="41" t="s">
        <v>187</v>
      </c>
      <c r="M187" s="42" t="n">
        <v>712</v>
      </c>
    </row>
    <row r="188" customFormat="false" ht="15" hidden="false" customHeight="false" outlineLevel="0" collapsed="false">
      <c r="A188" s="14" t="n">
        <v>28</v>
      </c>
      <c r="B188" s="8" t="s">
        <v>236</v>
      </c>
      <c r="C188" s="18" t="n">
        <v>478</v>
      </c>
      <c r="D188" s="18" t="n">
        <f aca="false">C188/18</f>
        <v>26.5555555555556</v>
      </c>
      <c r="F188" s="14" t="n">
        <v>28</v>
      </c>
      <c r="G188" s="8" t="s">
        <v>236</v>
      </c>
      <c r="H188" s="18" t="n">
        <v>218</v>
      </c>
      <c r="I188" s="18" t="n">
        <f aca="false">H188/10</f>
        <v>21.8</v>
      </c>
      <c r="K188" s="14" t="n">
        <v>27</v>
      </c>
      <c r="L188" s="8" t="s">
        <v>256</v>
      </c>
      <c r="M188" s="18" t="n">
        <v>712</v>
      </c>
    </row>
    <row r="189" customFormat="false" ht="15" hidden="false" customHeight="false" outlineLevel="0" collapsed="false">
      <c r="A189" s="14" t="n">
        <v>28</v>
      </c>
      <c r="B189" s="8" t="s">
        <v>278</v>
      </c>
      <c r="C189" s="18" t="n">
        <v>478</v>
      </c>
      <c r="D189" s="18" t="n">
        <f aca="false">C189/18</f>
        <v>26.5555555555556</v>
      </c>
      <c r="F189" s="14" t="n">
        <v>29</v>
      </c>
      <c r="G189" s="8" t="s">
        <v>290</v>
      </c>
      <c r="H189" s="18" t="n">
        <v>215</v>
      </c>
      <c r="I189" s="18" t="n">
        <f aca="false">H189/10</f>
        <v>21.5</v>
      </c>
      <c r="K189" s="14" t="n">
        <v>29</v>
      </c>
      <c r="L189" s="8" t="s">
        <v>264</v>
      </c>
      <c r="M189" s="18" t="n">
        <v>708</v>
      </c>
    </row>
    <row r="190" customFormat="false" ht="15" hidden="false" customHeight="false" outlineLevel="0" collapsed="false">
      <c r="A190" s="14" t="n">
        <v>30</v>
      </c>
      <c r="B190" s="8" t="s">
        <v>280</v>
      </c>
      <c r="C190" s="18" t="n">
        <v>475</v>
      </c>
      <c r="D190" s="18" t="n">
        <f aca="false">C190/18</f>
        <v>26.3888888888889</v>
      </c>
      <c r="F190" s="14" t="n">
        <v>30</v>
      </c>
      <c r="G190" s="8" t="s">
        <v>246</v>
      </c>
      <c r="H190" s="18" t="n">
        <v>213</v>
      </c>
      <c r="I190" s="18" t="n">
        <f aca="false">H190/10</f>
        <v>21.3</v>
      </c>
      <c r="K190" s="14" t="n">
        <v>30</v>
      </c>
      <c r="L190" s="8" t="s">
        <v>188</v>
      </c>
      <c r="M190" s="18" t="n">
        <v>702</v>
      </c>
    </row>
    <row r="191" customFormat="false" ht="15" hidden="false" customHeight="false" outlineLevel="0" collapsed="false">
      <c r="A191" s="14" t="n">
        <v>31</v>
      </c>
      <c r="B191" s="8" t="s">
        <v>248</v>
      </c>
      <c r="C191" s="18" t="n">
        <v>468</v>
      </c>
      <c r="D191" s="18" t="n">
        <f aca="false">C191/18</f>
        <v>26</v>
      </c>
      <c r="F191" s="14" t="n">
        <v>30</v>
      </c>
      <c r="G191" s="8" t="s">
        <v>269</v>
      </c>
      <c r="H191" s="18" t="n">
        <v>213</v>
      </c>
      <c r="I191" s="18" t="n">
        <f aca="false">H191/10</f>
        <v>21.3</v>
      </c>
      <c r="K191" s="14" t="n">
        <v>31</v>
      </c>
      <c r="L191" s="8" t="s">
        <v>263</v>
      </c>
      <c r="M191" s="18" t="n">
        <v>697</v>
      </c>
    </row>
    <row r="192" customFormat="false" ht="15" hidden="false" customHeight="false" outlineLevel="0" collapsed="false">
      <c r="A192" s="14" t="n">
        <v>32</v>
      </c>
      <c r="B192" s="8" t="s">
        <v>263</v>
      </c>
      <c r="C192" s="18" t="n">
        <v>467</v>
      </c>
      <c r="D192" s="18" t="n">
        <f aca="false">C192/18</f>
        <v>25.9444444444444</v>
      </c>
      <c r="F192" s="43" t="n">
        <v>32</v>
      </c>
      <c r="G192" s="41" t="s">
        <v>187</v>
      </c>
      <c r="H192" s="42" t="n">
        <v>212</v>
      </c>
      <c r="I192" s="42" t="n">
        <f aca="false">H192/10</f>
        <v>21.2</v>
      </c>
      <c r="K192" s="14" t="n">
        <v>32</v>
      </c>
      <c r="L192" s="8" t="s">
        <v>236</v>
      </c>
      <c r="M192" s="18" t="n">
        <v>696</v>
      </c>
    </row>
    <row r="193" customFormat="false" ht="15" hidden="false" customHeight="false" outlineLevel="0" collapsed="false">
      <c r="A193" s="14" t="n">
        <v>33</v>
      </c>
      <c r="B193" s="8" t="s">
        <v>269</v>
      </c>
      <c r="C193" s="18" t="n">
        <v>465</v>
      </c>
      <c r="D193" s="18" t="n">
        <f aca="false">C193/18</f>
        <v>25.8333333333333</v>
      </c>
      <c r="F193" s="14" t="n">
        <v>32</v>
      </c>
      <c r="G193" s="8" t="s">
        <v>253</v>
      </c>
      <c r="H193" s="18" t="n">
        <v>212</v>
      </c>
      <c r="I193" s="18" t="n">
        <f aca="false">H193/10</f>
        <v>21.2</v>
      </c>
      <c r="K193" s="14" t="n">
        <v>33</v>
      </c>
      <c r="L193" s="8" t="s">
        <v>269</v>
      </c>
      <c r="M193" s="18" t="n">
        <v>678</v>
      </c>
    </row>
    <row r="194" customFormat="false" ht="15" hidden="false" customHeight="false" outlineLevel="0" collapsed="false">
      <c r="A194" s="14" t="n">
        <v>34</v>
      </c>
      <c r="B194" s="8" t="s">
        <v>188</v>
      </c>
      <c r="C194" s="18" t="n">
        <v>464</v>
      </c>
      <c r="D194" s="18" t="n">
        <f aca="false">C194/18</f>
        <v>25.7777777777778</v>
      </c>
      <c r="F194" s="14" t="n">
        <v>34</v>
      </c>
      <c r="G194" s="8" t="s">
        <v>249</v>
      </c>
      <c r="H194" s="18" t="n">
        <v>210</v>
      </c>
      <c r="I194" s="18" t="n">
        <f aca="false">H194/12</f>
        <v>17.5</v>
      </c>
      <c r="K194" s="14" t="n">
        <v>34</v>
      </c>
      <c r="L194" s="8" t="s">
        <v>248</v>
      </c>
      <c r="M194" s="18" t="n">
        <v>672</v>
      </c>
    </row>
    <row r="195" customFormat="false" ht="15" hidden="false" customHeight="false" outlineLevel="0" collapsed="false">
      <c r="A195" s="14" t="n">
        <v>35</v>
      </c>
      <c r="B195" s="8" t="s">
        <v>256</v>
      </c>
      <c r="C195" s="18" t="n">
        <v>438</v>
      </c>
      <c r="D195" s="18" t="n">
        <f aca="false">C195/18</f>
        <v>24.3333333333333</v>
      </c>
      <c r="F195" s="14" t="n">
        <v>35</v>
      </c>
      <c r="G195" s="8" t="s">
        <v>311</v>
      </c>
      <c r="H195" s="18" t="n">
        <v>205</v>
      </c>
      <c r="I195" s="18" t="n">
        <f aca="false">H195/12</f>
        <v>17.0833333333333</v>
      </c>
      <c r="K195" s="14" t="n">
        <v>35</v>
      </c>
      <c r="L195" s="8" t="s">
        <v>281</v>
      </c>
      <c r="M195" s="18" t="n">
        <v>657</v>
      </c>
    </row>
    <row r="196" customFormat="false" ht="15" hidden="false" customHeight="false" outlineLevel="0" collapsed="false">
      <c r="A196" s="14" t="n">
        <v>36</v>
      </c>
      <c r="B196" s="8" t="s">
        <v>281</v>
      </c>
      <c r="C196" s="18" t="n">
        <v>435</v>
      </c>
      <c r="D196" s="18" t="n">
        <f aca="false">C196/18</f>
        <v>24.1666666666667</v>
      </c>
      <c r="F196" s="14" t="n">
        <v>35</v>
      </c>
      <c r="G196" s="8" t="s">
        <v>313</v>
      </c>
      <c r="H196" s="18" t="n">
        <v>205</v>
      </c>
      <c r="I196" s="18" t="n">
        <f aca="false">H196/12</f>
        <v>17.0833333333333</v>
      </c>
      <c r="K196" s="14" t="n">
        <v>36</v>
      </c>
      <c r="L196" s="8" t="s">
        <v>246</v>
      </c>
      <c r="M196" s="18" t="n">
        <v>607</v>
      </c>
    </row>
    <row r="197" customFormat="false" ht="15" hidden="false" customHeight="false" outlineLevel="0" collapsed="false">
      <c r="A197" s="14" t="n">
        <v>37</v>
      </c>
      <c r="B197" s="8" t="s">
        <v>309</v>
      </c>
      <c r="C197" s="18" t="n">
        <v>398</v>
      </c>
      <c r="D197" s="18" t="n">
        <f aca="false">C197/18</f>
        <v>22.1111111111111</v>
      </c>
      <c r="F197" s="14" t="n">
        <v>37</v>
      </c>
      <c r="G197" s="8" t="s">
        <v>248</v>
      </c>
      <c r="H197" s="18" t="n">
        <v>204</v>
      </c>
      <c r="I197" s="18" t="n">
        <f aca="false">H197/10</f>
        <v>20.4</v>
      </c>
      <c r="K197" s="14" t="n">
        <v>37</v>
      </c>
      <c r="L197" s="8" t="s">
        <v>238</v>
      </c>
      <c r="M197" s="18" t="n">
        <v>606</v>
      </c>
    </row>
    <row r="198" customFormat="false" ht="15" hidden="false" customHeight="false" outlineLevel="0" collapsed="false">
      <c r="A198" s="14" t="n">
        <v>38</v>
      </c>
      <c r="B198" s="8" t="s">
        <v>246</v>
      </c>
      <c r="C198" s="18" t="n">
        <v>394</v>
      </c>
      <c r="D198" s="18" t="n">
        <f aca="false">C198/18</f>
        <v>21.8888888888889</v>
      </c>
      <c r="F198" s="14" t="n">
        <v>38</v>
      </c>
      <c r="G198" s="8" t="s">
        <v>264</v>
      </c>
      <c r="H198" s="18" t="n">
        <v>203</v>
      </c>
      <c r="I198" s="18" t="n">
        <f aca="false">H198/10</f>
        <v>20.3</v>
      </c>
      <c r="K198" s="14" t="n">
        <v>38</v>
      </c>
      <c r="L198" s="8" t="s">
        <v>290</v>
      </c>
      <c r="M198" s="18" t="n">
        <v>603</v>
      </c>
    </row>
    <row r="199" customFormat="false" ht="15" hidden="false" customHeight="false" outlineLevel="0" collapsed="false">
      <c r="A199" s="14" t="n">
        <v>39</v>
      </c>
      <c r="B199" s="8" t="s">
        <v>290</v>
      </c>
      <c r="C199" s="18" t="n">
        <v>388</v>
      </c>
      <c r="D199" s="18" t="n">
        <f aca="false">C199/18</f>
        <v>21.5555555555556</v>
      </c>
      <c r="F199" s="14" t="n">
        <v>39</v>
      </c>
      <c r="G199" s="8" t="s">
        <v>309</v>
      </c>
      <c r="H199" s="18" t="n">
        <v>199</v>
      </c>
      <c r="I199" s="18" t="n">
        <f aca="false">H199/10</f>
        <v>19.9</v>
      </c>
      <c r="K199" s="14" t="n">
        <v>39</v>
      </c>
      <c r="L199" s="8" t="s">
        <v>309</v>
      </c>
      <c r="M199" s="18" t="n">
        <v>597</v>
      </c>
    </row>
    <row r="200" customFormat="false" ht="15" hidden="false" customHeight="false" outlineLevel="0" collapsed="false">
      <c r="A200" s="14" t="n">
        <v>40</v>
      </c>
      <c r="B200" s="8" t="s">
        <v>314</v>
      </c>
      <c r="C200" s="18" t="n">
        <v>267</v>
      </c>
      <c r="D200" s="18" t="n">
        <f aca="false">C200/18</f>
        <v>14.8333333333333</v>
      </c>
      <c r="F200" s="14" t="n">
        <v>40</v>
      </c>
      <c r="G200" s="8" t="s">
        <v>254</v>
      </c>
      <c r="H200" s="18" t="n">
        <v>189</v>
      </c>
      <c r="I200" s="18" t="n">
        <f aca="false">H200/12</f>
        <v>15.75</v>
      </c>
      <c r="K200" s="14" t="n">
        <v>40</v>
      </c>
      <c r="L200" s="8" t="s">
        <v>289</v>
      </c>
      <c r="M200" s="18" t="n">
        <v>495</v>
      </c>
    </row>
    <row r="201" customFormat="false" ht="15" hidden="false" customHeight="false" outlineLevel="0" collapsed="false">
      <c r="A201" s="14" t="n">
        <v>41</v>
      </c>
      <c r="B201" s="8" t="s">
        <v>313</v>
      </c>
      <c r="C201" s="18" t="n">
        <v>236</v>
      </c>
      <c r="D201" s="18" t="n">
        <f aca="false">C201/18</f>
        <v>13.1111111111111</v>
      </c>
      <c r="F201" s="14" t="n">
        <v>41</v>
      </c>
      <c r="G201" s="8" t="s">
        <v>239</v>
      </c>
      <c r="H201" s="18" t="n">
        <v>188</v>
      </c>
      <c r="I201" s="18" t="n">
        <f aca="false">H201/10</f>
        <v>18.8</v>
      </c>
      <c r="K201" s="14" t="n">
        <v>41</v>
      </c>
      <c r="L201" s="8" t="s">
        <v>313</v>
      </c>
      <c r="M201" s="18" t="n">
        <v>441</v>
      </c>
    </row>
    <row r="202" customFormat="false" ht="15" hidden="false" customHeight="false" outlineLevel="0" collapsed="false">
      <c r="A202" s="14" t="n">
        <v>42</v>
      </c>
      <c r="B202" s="8" t="s">
        <v>289</v>
      </c>
      <c r="C202" s="18" t="n">
        <v>226</v>
      </c>
      <c r="D202" s="18" t="n">
        <f aca="false">C202/18</f>
        <v>12.5555555555556</v>
      </c>
      <c r="F202" s="14" t="n">
        <v>42</v>
      </c>
      <c r="G202" s="8" t="s">
        <v>247</v>
      </c>
      <c r="H202" s="18" t="n">
        <v>153</v>
      </c>
      <c r="I202" s="18" t="n">
        <f aca="false">H202/12</f>
        <v>12.75</v>
      </c>
      <c r="K202" s="14" t="n">
        <v>42</v>
      </c>
      <c r="L202" s="8" t="s">
        <v>311</v>
      </c>
      <c r="M202" s="18" t="n">
        <v>423</v>
      </c>
    </row>
    <row r="203" customFormat="false" ht="15" hidden="false" customHeight="false" outlineLevel="0" collapsed="false">
      <c r="A203" s="14" t="n">
        <v>43</v>
      </c>
      <c r="B203" s="8" t="s">
        <v>311</v>
      </c>
      <c r="C203" s="18" t="n">
        <v>218</v>
      </c>
      <c r="D203" s="18" t="n">
        <f aca="false">C203/18</f>
        <v>12.1111111111111</v>
      </c>
      <c r="F203" s="14" t="n">
        <v>43</v>
      </c>
      <c r="G203" s="8" t="s">
        <v>291</v>
      </c>
      <c r="H203" s="18" t="n">
        <v>146</v>
      </c>
      <c r="I203" s="18" t="n">
        <f aca="false">H203/12</f>
        <v>12.1666666666667</v>
      </c>
      <c r="K203" s="14" t="n">
        <v>43</v>
      </c>
      <c r="L203" s="8" t="s">
        <v>314</v>
      </c>
      <c r="M203" s="18" t="n">
        <v>327</v>
      </c>
    </row>
    <row r="204" customFormat="false" ht="15" hidden="false" customHeight="false" outlineLevel="0" collapsed="false">
      <c r="A204" s="14" t="n">
        <v>44</v>
      </c>
      <c r="B204" s="8" t="s">
        <v>292</v>
      </c>
      <c r="C204" s="18" t="n">
        <v>51</v>
      </c>
      <c r="D204" s="18" t="n">
        <f aca="false">C204/18</f>
        <v>2.83333333333333</v>
      </c>
      <c r="F204" s="14" t="n">
        <v>44</v>
      </c>
      <c r="G204" s="8" t="s">
        <v>238</v>
      </c>
      <c r="H204" s="18" t="n">
        <v>104</v>
      </c>
      <c r="I204" s="18" t="n">
        <f aca="false">H204/12</f>
        <v>8.66666666666667</v>
      </c>
      <c r="K204" s="14" t="n">
        <v>44</v>
      </c>
      <c r="L204" s="8" t="s">
        <v>292</v>
      </c>
      <c r="M204" s="18" t="n">
        <v>291</v>
      </c>
    </row>
    <row r="205" customFormat="false" ht="15" hidden="false" customHeight="false" outlineLevel="0" collapsed="false">
      <c r="A205" s="14" t="n">
        <v>45</v>
      </c>
      <c r="B205" s="8" t="s">
        <v>291</v>
      </c>
      <c r="C205" s="18" t="n">
        <v>49</v>
      </c>
      <c r="D205" s="18" t="n">
        <f aca="false">C205/18</f>
        <v>2.72222222222222</v>
      </c>
      <c r="F205" s="14" t="n">
        <v>45</v>
      </c>
      <c r="G205" s="8" t="s">
        <v>314</v>
      </c>
      <c r="H205" s="18" t="n">
        <v>60</v>
      </c>
      <c r="I205" s="18" t="n">
        <f aca="false">H205/12</f>
        <v>5</v>
      </c>
      <c r="K205" s="14" t="n">
        <v>45</v>
      </c>
      <c r="L205" s="8" t="s">
        <v>291</v>
      </c>
      <c r="M205" s="18" t="n">
        <v>195</v>
      </c>
    </row>
    <row r="206" customFormat="false" ht="15" hidden="false" customHeight="false" outlineLevel="0" collapsed="false">
      <c r="B206" s="8" t="s">
        <v>282</v>
      </c>
      <c r="C206" s="18" t="n">
        <f aca="false">AVERAGE(C161:C205)</f>
        <v>471.533333333333</v>
      </c>
      <c r="D206" s="18" t="n">
        <f aca="false">AVERAGE(D161:D205)</f>
        <v>26.1962962962963</v>
      </c>
      <c r="G206" s="8" t="s">
        <v>282</v>
      </c>
      <c r="H206" s="18" t="n">
        <f aca="false">AVERAGE(H161:H205)</f>
        <v>224.933333333333</v>
      </c>
      <c r="I206" s="18" t="n">
        <f aca="false">AVERAGE(I161:I205)</f>
        <v>20.9248148148148</v>
      </c>
      <c r="L206" s="8" t="s">
        <v>282</v>
      </c>
      <c r="M206" s="18" t="n">
        <f aca="false">AVERAGE(M161:M205)</f>
        <v>696.466666666667</v>
      </c>
    </row>
  </sheetData>
  <mergeCells count="1">
    <mergeCell ref="A2:N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99B"/>
    <pageSetUpPr fitToPage="true"/>
  </sheetPr>
  <dimension ref="A1:M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12"/>
    <col collapsed="false" customWidth="true" hidden="false" outlineLevel="0" max="4" min="4" style="0" width="6"/>
    <col collapsed="false" customWidth="true" hidden="false" outlineLevel="0" max="7" min="5" style="0" width="10"/>
    <col collapsed="false" customWidth="true" hidden="false" outlineLevel="0" max="8" min="8" style="0" width="11"/>
    <col collapsed="false" customWidth="true" hidden="false" outlineLevel="0" max="11" min="9" style="0" width="10"/>
    <col collapsed="false" customWidth="true" hidden="false" outlineLevel="0" max="12" min="12" style="0" width="11"/>
  </cols>
  <sheetData>
    <row r="1" customFormat="false" ht="17.35" hidden="false" customHeight="false" outlineLevel="0" collapsed="false">
      <c r="A1" s="9" t="s">
        <v>315</v>
      </c>
    </row>
    <row r="2" customFormat="false" ht="30" hidden="false" customHeight="true" outlineLevel="0" collapsed="false">
      <c r="A2" s="10" t="s">
        <v>316</v>
      </c>
      <c r="B2" s="10"/>
      <c r="C2" s="10"/>
      <c r="D2" s="10"/>
      <c r="E2" s="10"/>
      <c r="F2" s="10"/>
      <c r="G2" s="10"/>
      <c r="H2" s="10"/>
      <c r="I2" s="10"/>
      <c r="J2" s="10"/>
      <c r="K2" s="10"/>
      <c r="L2" s="10"/>
    </row>
    <row r="4" customFormat="false" ht="48" hidden="false" customHeight="true" outlineLevel="0" collapsed="false">
      <c r="A4" s="11" t="s">
        <v>56</v>
      </c>
      <c r="B4" s="11" t="s">
        <v>57</v>
      </c>
      <c r="C4" s="12" t="s">
        <v>317</v>
      </c>
      <c r="D4" s="12" t="s">
        <v>198</v>
      </c>
      <c r="E4" s="12" t="s">
        <v>318</v>
      </c>
      <c r="F4" s="12" t="s">
        <v>319</v>
      </c>
      <c r="G4" s="12" t="s">
        <v>320</v>
      </c>
      <c r="H4" s="12" t="s">
        <v>321</v>
      </c>
      <c r="I4" s="11" t="s">
        <v>322</v>
      </c>
      <c r="J4" s="12" t="s">
        <v>323</v>
      </c>
      <c r="K4" s="12" t="s">
        <v>324</v>
      </c>
      <c r="L4" s="12" t="s">
        <v>325</v>
      </c>
    </row>
    <row r="5" customFormat="false" ht="15" hidden="false" customHeight="false" outlineLevel="0" collapsed="false">
      <c r="A5" s="13" t="s">
        <v>74</v>
      </c>
      <c r="B5" s="14" t="n">
        <v>4</v>
      </c>
      <c r="C5" s="13" t="s">
        <v>326</v>
      </c>
      <c r="D5" s="14" t="n">
        <v>22</v>
      </c>
      <c r="E5" s="18" t="n">
        <v>507.9</v>
      </c>
      <c r="F5" s="18" t="n">
        <f aca="false">E5/D5</f>
        <v>23.0863636363636</v>
      </c>
      <c r="G5" s="18" t="n">
        <v>27.41</v>
      </c>
      <c r="H5" s="18" t="n">
        <f aca="false">AVERAGEIFS(合宿走行距離!$F$5:$F$28,合宿走行距離!$A$5:$A$28,A5)</f>
        <v>26.1477272727273</v>
      </c>
      <c r="I5" s="19" t="n">
        <f aca="false">H5/F5</f>
        <v>1.13260484347312</v>
      </c>
      <c r="J5" s="18" t="n">
        <v>228.3</v>
      </c>
      <c r="K5" s="18" t="n">
        <v>226</v>
      </c>
      <c r="L5" s="18" t="n">
        <v>226.1</v>
      </c>
    </row>
    <row r="6" customFormat="false" ht="15" hidden="false" customHeight="false" outlineLevel="0" collapsed="false">
      <c r="A6" s="13" t="s">
        <v>75</v>
      </c>
      <c r="B6" s="14" t="n">
        <v>3</v>
      </c>
      <c r="C6" s="13" t="s">
        <v>327</v>
      </c>
      <c r="D6" s="14" t="n">
        <v>19</v>
      </c>
      <c r="E6" s="18" t="n">
        <v>510.6</v>
      </c>
      <c r="F6" s="18" t="n">
        <f aca="false">E6/D6</f>
        <v>26.8736842105263</v>
      </c>
      <c r="G6" s="18" t="n">
        <v>29.51</v>
      </c>
      <c r="H6" s="18" t="n">
        <f aca="false">AVERAGEIFS(合宿走行距離!$F$5:$F$28,合宿走行距離!$A$5:$A$28,A6)</f>
        <v>24.9649122807018</v>
      </c>
      <c r="I6" s="19" t="n">
        <f aca="false">H6/F6</f>
        <v>0.928972450711581</v>
      </c>
      <c r="J6" s="18" t="n">
        <v>217.7</v>
      </c>
      <c r="K6" s="18" t="n">
        <v>214</v>
      </c>
      <c r="L6" s="18" t="n">
        <v>223.6</v>
      </c>
    </row>
    <row r="7" customFormat="false" ht="15" hidden="false" customHeight="false" outlineLevel="0" collapsed="false">
      <c r="A7" s="13" t="s">
        <v>76</v>
      </c>
      <c r="B7" s="14" t="n">
        <v>7</v>
      </c>
      <c r="C7" s="13" t="s">
        <v>327</v>
      </c>
      <c r="D7" s="14" t="n">
        <v>19</v>
      </c>
      <c r="E7" s="18" t="n">
        <v>481</v>
      </c>
      <c r="F7" s="18" t="n">
        <f aca="false">E7/D7</f>
        <v>25.3157894736842</v>
      </c>
      <c r="G7" s="18" t="n">
        <v>29.23</v>
      </c>
      <c r="H7" s="18" t="n">
        <f aca="false">AVERAGEIFS(合宿走行距離!$F$5:$F$28,合宿走行距離!$A$5:$A$28,A7)</f>
        <v>30.4561403508772</v>
      </c>
      <c r="I7" s="19" t="n">
        <f aca="false">H7/F7</f>
        <v>1.2030492030492</v>
      </c>
      <c r="J7" s="18" t="n">
        <v>216.4</v>
      </c>
      <c r="K7" s="18" t="n">
        <v>222.4</v>
      </c>
      <c r="L7" s="18" t="n">
        <v>204.8</v>
      </c>
    </row>
    <row r="8" customFormat="false" ht="15" hidden="false" customHeight="false" outlineLevel="0" collapsed="false">
      <c r="A8" s="13" t="s">
        <v>77</v>
      </c>
      <c r="B8" s="14" t="n">
        <v>11</v>
      </c>
      <c r="C8" s="13" t="s">
        <v>328</v>
      </c>
      <c r="D8" s="14" t="n">
        <v>18</v>
      </c>
      <c r="E8" s="18" t="n">
        <v>460</v>
      </c>
      <c r="F8" s="18" t="n">
        <f aca="false">E8/D8</f>
        <v>25.5555555555556</v>
      </c>
      <c r="G8" s="18" t="n">
        <v>29.46</v>
      </c>
      <c r="H8" s="18" t="n">
        <f aca="false">AVERAGEIFS(合宿走行距離!$F$5:$F$28,合宿走行距離!$A$5:$A$28,A8)</f>
        <v>30.8611111111111</v>
      </c>
      <c r="I8" s="19" t="n">
        <f aca="false">H8/F8</f>
        <v>1.20760869565217</v>
      </c>
      <c r="J8" s="18"/>
      <c r="K8" s="18" t="n">
        <v>226.4</v>
      </c>
      <c r="L8" s="18" t="n">
        <v>213.2</v>
      </c>
    </row>
    <row r="10" customFormat="false" ht="15" hidden="false" customHeight="false" outlineLevel="0" collapsed="false">
      <c r="A10" s="23" t="s">
        <v>329</v>
      </c>
    </row>
    <row r="11" customFormat="false" ht="19.5" hidden="false" customHeight="true" outlineLevel="0" collapsed="false">
      <c r="A11" s="11" t="s">
        <v>56</v>
      </c>
      <c r="B11" s="12" t="s">
        <v>330</v>
      </c>
      <c r="C11" s="12" t="s">
        <v>331</v>
      </c>
      <c r="D11" s="12" t="s">
        <v>332</v>
      </c>
      <c r="E11" s="12" t="s">
        <v>333</v>
      </c>
      <c r="F11" s="12" t="s">
        <v>334</v>
      </c>
      <c r="G11" s="12" t="s">
        <v>335</v>
      </c>
      <c r="H11" s="12" t="s">
        <v>336</v>
      </c>
      <c r="I11" s="12" t="s">
        <v>337</v>
      </c>
      <c r="J11" s="12" t="s">
        <v>338</v>
      </c>
      <c r="K11" s="12" t="s">
        <v>339</v>
      </c>
      <c r="L11" s="12" t="s">
        <v>340</v>
      </c>
      <c r="M11" s="12" t="s">
        <v>341</v>
      </c>
    </row>
    <row r="12" customFormat="false" ht="15" hidden="false" customHeight="false" outlineLevel="0" collapsed="false">
      <c r="A12" s="13" t="s">
        <v>73</v>
      </c>
      <c r="B12" s="14" t="n">
        <v>282</v>
      </c>
      <c r="C12" s="14" t="n">
        <v>307</v>
      </c>
      <c r="D12" s="14" t="n">
        <v>353</v>
      </c>
      <c r="E12" s="14" t="n">
        <v>303</v>
      </c>
      <c r="F12" s="14" t="n">
        <v>323</v>
      </c>
      <c r="G12" s="14" t="n">
        <v>332</v>
      </c>
      <c r="H12" s="14" t="n">
        <v>326</v>
      </c>
      <c r="I12" s="14" t="n">
        <v>599</v>
      </c>
      <c r="J12" s="14" t="n">
        <v>346</v>
      </c>
      <c r="K12" s="14" t="n">
        <v>425</v>
      </c>
      <c r="L12" s="14" t="n">
        <v>345</v>
      </c>
      <c r="M12" s="14" t="n">
        <v>408</v>
      </c>
    </row>
    <row r="13" customFormat="false" ht="15" hidden="false" customHeight="false" outlineLevel="0" collapsed="false">
      <c r="A13" s="13" t="s">
        <v>74</v>
      </c>
      <c r="B13" s="14" t="n">
        <v>315</v>
      </c>
      <c r="C13" s="14" t="n">
        <v>344</v>
      </c>
      <c r="D13" s="14" t="n">
        <v>366</v>
      </c>
      <c r="E13" s="14" t="n">
        <v>313</v>
      </c>
      <c r="F13" s="14" t="n">
        <v>387</v>
      </c>
      <c r="G13" s="14" t="n">
        <v>365</v>
      </c>
      <c r="H13" s="14" t="n">
        <v>389</v>
      </c>
      <c r="I13" s="14" t="n">
        <v>586</v>
      </c>
      <c r="J13" s="14" t="n">
        <v>449</v>
      </c>
      <c r="K13" s="14" t="n">
        <v>414</v>
      </c>
      <c r="L13" s="14" t="n">
        <v>345</v>
      </c>
      <c r="M13" s="14"/>
    </row>
    <row r="14" customFormat="false" ht="15" hidden="false" customHeight="false" outlineLevel="0" collapsed="false">
      <c r="A14" s="13" t="s">
        <v>75</v>
      </c>
      <c r="B14" s="14" t="n">
        <v>263</v>
      </c>
      <c r="C14" s="14" t="n">
        <v>318</v>
      </c>
      <c r="D14" s="14" t="n">
        <v>399</v>
      </c>
      <c r="E14" s="14" t="n">
        <v>272</v>
      </c>
      <c r="F14" s="14" t="n">
        <v>340</v>
      </c>
      <c r="G14" s="14" t="n">
        <v>397</v>
      </c>
      <c r="H14" s="14"/>
      <c r="I14" s="14"/>
      <c r="J14" s="14"/>
      <c r="K14" s="14"/>
      <c r="L14" s="14"/>
      <c r="M14" s="14"/>
    </row>
    <row r="15" customFormat="false" ht="15" hidden="false" customHeight="false" outlineLevel="0" collapsed="false">
      <c r="A15" s="24" t="s">
        <v>342</v>
      </c>
    </row>
  </sheetData>
  <mergeCells count="1">
    <mergeCell ref="A2:L2"/>
  </mergeCells>
  <conditionalFormatting sqref="I5:I8">
    <cfRule type="colorScale" priority="2">
      <colorScale>
        <cfvo type="min" val="0"/>
        <cfvo type="max" val="0"/>
        <color rgb="FF63BE7B"/>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99B"/>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6" min="3" style="0" width="9"/>
    <col collapsed="false" customWidth="true" hidden="false" outlineLevel="0" max="7" min="7" style="0" width="8"/>
  </cols>
  <sheetData>
    <row r="1" customFormat="false" ht="19.4" hidden="false" customHeight="false" outlineLevel="0" collapsed="false">
      <c r="A1" s="9" t="s">
        <v>343</v>
      </c>
    </row>
    <row r="2" customFormat="false" ht="30" hidden="false" customHeight="true" outlineLevel="0" collapsed="false">
      <c r="A2" s="10" t="s">
        <v>344</v>
      </c>
      <c r="B2" s="10"/>
      <c r="C2" s="10"/>
      <c r="D2" s="10"/>
      <c r="E2" s="10"/>
      <c r="F2" s="10"/>
      <c r="G2" s="10"/>
    </row>
    <row r="4" customFormat="false" ht="33.75" hidden="false" customHeight="true" outlineLevel="0" collapsed="false">
      <c r="A4" s="11" t="s">
        <v>56</v>
      </c>
      <c r="B4" s="11" t="s">
        <v>159</v>
      </c>
      <c r="C4" s="12" t="s">
        <v>296</v>
      </c>
      <c r="D4" s="12" t="s">
        <v>298</v>
      </c>
      <c r="E4" s="12" t="s">
        <v>345</v>
      </c>
      <c r="F4" s="11" t="s">
        <v>346</v>
      </c>
      <c r="G4" s="11" t="s">
        <v>200</v>
      </c>
    </row>
    <row r="5" customFormat="false" ht="15" hidden="false" customHeight="false" outlineLevel="0" collapsed="false">
      <c r="A5" s="25" t="s">
        <v>74</v>
      </c>
      <c r="B5" s="28" t="s">
        <v>173</v>
      </c>
      <c r="C5" s="44" t="n">
        <v>0.614</v>
      </c>
      <c r="D5" s="44" t="n">
        <v>1</v>
      </c>
      <c r="E5" s="44" t="n">
        <v>1</v>
      </c>
      <c r="F5" s="45" t="n">
        <f aca="false">IFERROR(AVERAGE(C5:E5),"")</f>
        <v>0.871333333333333</v>
      </c>
      <c r="G5" s="28" t="n">
        <f aca="false">SUMIFS(5000m比較!$B$5:$B$34,5000m比較!$A$5:$A$34,A5,5000m比較!$C$5:$C$34,B5)</f>
        <v>1</v>
      </c>
    </row>
    <row r="6" customFormat="false" ht="15" hidden="false" customHeight="false" outlineLevel="0" collapsed="false">
      <c r="A6" s="25" t="s">
        <v>74</v>
      </c>
      <c r="B6" s="28" t="s">
        <v>175</v>
      </c>
      <c r="C6" s="44" t="n">
        <v>0.9</v>
      </c>
      <c r="D6" s="44" t="n">
        <v>1</v>
      </c>
      <c r="E6" s="44" t="n">
        <v>1</v>
      </c>
      <c r="F6" s="45" t="n">
        <f aca="false">IFERROR(AVERAGE(C6:E6),"")</f>
        <v>0.966666666666667</v>
      </c>
      <c r="G6" s="28" t="n">
        <f aca="false">SUMIFS(5000m比較!$B$5:$B$34,5000m比較!$A$5:$A$34,A6,5000m比較!$C$5:$C$34,B6)</f>
        <v>2</v>
      </c>
    </row>
    <row r="7" customFormat="false" ht="15" hidden="false" customHeight="false" outlineLevel="0" collapsed="false">
      <c r="A7" s="25" t="s">
        <v>74</v>
      </c>
      <c r="B7" s="28" t="s">
        <v>176</v>
      </c>
      <c r="C7" s="44" t="n">
        <v>1</v>
      </c>
      <c r="D7" s="44" t="n">
        <v>0.825</v>
      </c>
      <c r="E7" s="44" t="n">
        <v>0.925</v>
      </c>
      <c r="F7" s="45" t="n">
        <f aca="false">IFERROR(AVERAGE(C7:E7),"")</f>
        <v>0.916666666666667</v>
      </c>
      <c r="G7" s="28" t="n">
        <f aca="false">SUMIFS(5000m比較!$B$5:$B$34,5000m比較!$A$5:$A$34,A7,5000m比較!$C$5:$C$34,B7)</f>
        <v>3</v>
      </c>
    </row>
    <row r="8" customFormat="false" ht="15" hidden="false" customHeight="false" outlineLevel="0" collapsed="false">
      <c r="A8" s="25" t="s">
        <v>74</v>
      </c>
      <c r="B8" s="28" t="s">
        <v>177</v>
      </c>
      <c r="C8" s="44" t="n">
        <v>1</v>
      </c>
      <c r="D8" s="44" t="n">
        <v>1</v>
      </c>
      <c r="E8" s="44" t="n">
        <v>1</v>
      </c>
      <c r="F8" s="45" t="n">
        <f aca="false">IFERROR(AVERAGE(C8:E8),"")</f>
        <v>1</v>
      </c>
      <c r="G8" s="28" t="n">
        <f aca="false">SUMIFS(5000m比較!$B$5:$B$34,5000m比較!$A$5:$A$34,A8,5000m比較!$C$5:$C$34,B8)</f>
        <v>4</v>
      </c>
    </row>
    <row r="9" customFormat="false" ht="15" hidden="false" customHeight="false" outlineLevel="0" collapsed="false">
      <c r="A9" s="25" t="s">
        <v>74</v>
      </c>
      <c r="B9" s="28" t="s">
        <v>178</v>
      </c>
      <c r="C9" s="44" t="n">
        <v>1</v>
      </c>
      <c r="D9" s="44" t="n">
        <v>1</v>
      </c>
      <c r="E9" s="44" t="n">
        <v>1</v>
      </c>
      <c r="F9" s="45" t="n">
        <f aca="false">IFERROR(AVERAGE(C9:E9),"")</f>
        <v>1</v>
      </c>
      <c r="G9" s="28" t="n">
        <f aca="false">SUMIFS(5000m比較!$B$5:$B$34,5000m比較!$A$5:$A$34,A9,5000m比較!$C$5:$C$34,B9)</f>
        <v>5</v>
      </c>
    </row>
    <row r="10" customFormat="false" ht="15" hidden="false" customHeight="false" outlineLevel="0" collapsed="false">
      <c r="A10" s="25" t="s">
        <v>74</v>
      </c>
      <c r="B10" s="28" t="s">
        <v>179</v>
      </c>
      <c r="C10" s="44" t="n">
        <v>0.414</v>
      </c>
      <c r="D10" s="44" t="n">
        <v>0.925</v>
      </c>
      <c r="E10" s="44" t="n">
        <v>0.75</v>
      </c>
      <c r="F10" s="45" t="n">
        <f aca="false">IFERROR(AVERAGE(C10:E10),"")</f>
        <v>0.696333333333333</v>
      </c>
      <c r="G10" s="28" t="n">
        <f aca="false">SUMIFS(5000m比較!$B$5:$B$34,5000m比較!$A$5:$A$34,A10,5000m比較!$C$5:$C$34,B10)</f>
        <v>6</v>
      </c>
    </row>
    <row r="11" customFormat="false" ht="15" hidden="false" customHeight="false" outlineLevel="0" collapsed="false">
      <c r="A11" s="13" t="s">
        <v>75</v>
      </c>
      <c r="B11" s="8" t="s">
        <v>179</v>
      </c>
      <c r="C11" s="19" t="n">
        <v>1</v>
      </c>
      <c r="D11" s="19" t="n">
        <v>0.825</v>
      </c>
      <c r="E11" s="19" t="n">
        <v>1</v>
      </c>
      <c r="F11" s="20" t="n">
        <f aca="false">IFERROR(AVERAGE(C11:E11),"")</f>
        <v>0.941666666666667</v>
      </c>
      <c r="G11" s="8" t="n">
        <f aca="false">SUMIFS(5000m比較!$B$5:$B$34,5000m比較!$A$5:$A$34,A11,5000m比較!$C$5:$C$34,B11)</f>
        <v>1</v>
      </c>
    </row>
    <row r="12" customFormat="false" ht="15" hidden="false" customHeight="false" outlineLevel="0" collapsed="false">
      <c r="A12" s="13" t="s">
        <v>75</v>
      </c>
      <c r="B12" s="8" t="s">
        <v>173</v>
      </c>
      <c r="C12" s="19" t="n">
        <v>1</v>
      </c>
      <c r="D12" s="19" t="n">
        <v>1</v>
      </c>
      <c r="E12" s="19" t="n">
        <v>1</v>
      </c>
      <c r="F12" s="20" t="n">
        <f aca="false">IFERROR(AVERAGE(C12:E12),"")</f>
        <v>1</v>
      </c>
      <c r="G12" s="8" t="n">
        <f aca="false">SUMIFS(5000m比較!$B$5:$B$34,5000m比較!$A$5:$A$34,A12,5000m比較!$C$5:$C$34,B12)</f>
        <v>2</v>
      </c>
    </row>
    <row r="13" customFormat="false" ht="15" hidden="false" customHeight="false" outlineLevel="0" collapsed="false">
      <c r="A13" s="13" t="s">
        <v>75</v>
      </c>
      <c r="B13" s="8" t="s">
        <v>175</v>
      </c>
      <c r="C13" s="19" t="n">
        <v>1</v>
      </c>
      <c r="D13" s="19" t="n">
        <v>1</v>
      </c>
      <c r="E13" s="19" t="n">
        <v>1</v>
      </c>
      <c r="F13" s="20" t="n">
        <f aca="false">IFERROR(AVERAGE(C13:E13),"")</f>
        <v>1</v>
      </c>
      <c r="G13" s="8" t="n">
        <f aca="false">SUMIFS(5000m比較!$B$5:$B$34,5000m比較!$A$5:$A$34,A13,5000m比較!$C$5:$C$34,B13)</f>
        <v>3</v>
      </c>
    </row>
    <row r="14" customFormat="false" ht="15" hidden="false" customHeight="false" outlineLevel="0" collapsed="false">
      <c r="A14" s="13" t="s">
        <v>75</v>
      </c>
      <c r="B14" s="8" t="s">
        <v>182</v>
      </c>
      <c r="C14" s="19" t="n">
        <v>1</v>
      </c>
      <c r="D14" s="19" t="n">
        <v>0.975</v>
      </c>
      <c r="E14" s="19" t="n">
        <v>1</v>
      </c>
      <c r="F14" s="20" t="n">
        <f aca="false">IFERROR(AVERAGE(C14:E14),"")</f>
        <v>0.991666666666667</v>
      </c>
      <c r="G14" s="8" t="n">
        <f aca="false">SUMIFS(5000m比較!$B$5:$B$34,5000m比較!$A$5:$A$34,A14,5000m比較!$C$5:$C$34,B14)</f>
        <v>4</v>
      </c>
    </row>
    <row r="15" customFormat="false" ht="15" hidden="false" customHeight="false" outlineLevel="0" collapsed="false">
      <c r="A15" s="13" t="s">
        <v>75</v>
      </c>
      <c r="B15" s="8" t="s">
        <v>183</v>
      </c>
      <c r="C15" s="19" t="n">
        <v>0.825</v>
      </c>
      <c r="D15" s="19" t="n">
        <v>1</v>
      </c>
      <c r="E15" s="19" t="n">
        <v>1</v>
      </c>
      <c r="F15" s="20" t="n">
        <f aca="false">IFERROR(AVERAGE(C15:E15),"")</f>
        <v>0.941666666666667</v>
      </c>
      <c r="G15" s="8" t="n">
        <f aca="false">SUMIFS(5000m比較!$B$5:$B$34,5000m比較!$A$5:$A$34,A15,5000m比較!$C$5:$C$34,B15)</f>
        <v>5</v>
      </c>
    </row>
    <row r="16" customFormat="false" ht="15" hidden="false" customHeight="false" outlineLevel="0" collapsed="false">
      <c r="A16" s="13" t="s">
        <v>75</v>
      </c>
      <c r="B16" s="8" t="s">
        <v>184</v>
      </c>
      <c r="C16" s="19" t="n">
        <v>0.925</v>
      </c>
      <c r="D16" s="19" t="n">
        <v>1</v>
      </c>
      <c r="E16" s="19" t="n">
        <v>0.925</v>
      </c>
      <c r="F16" s="20" t="n">
        <f aca="false">IFERROR(AVERAGE(C16:E16),"")</f>
        <v>0.95</v>
      </c>
      <c r="G16" s="8" t="n">
        <f aca="false">SUMIFS(5000m比較!$B$5:$B$34,5000m比較!$A$5:$A$34,A16,5000m比較!$C$5:$C$34,B16)</f>
        <v>6</v>
      </c>
    </row>
    <row r="17" customFormat="false" ht="15" hidden="false" customHeight="false" outlineLevel="0" collapsed="false">
      <c r="A17" s="25" t="s">
        <v>76</v>
      </c>
      <c r="B17" s="28" t="s">
        <v>185</v>
      </c>
      <c r="C17" s="44" t="n">
        <v>1</v>
      </c>
      <c r="D17" s="44" t="n">
        <v>1</v>
      </c>
      <c r="E17" s="44" t="n">
        <v>1</v>
      </c>
      <c r="F17" s="45" t="n">
        <f aca="false">IFERROR(AVERAGE(C17:E17),"")</f>
        <v>1</v>
      </c>
      <c r="G17" s="28" t="n">
        <f aca="false">SUMIFS(5000m比較!$B$5:$B$34,5000m比較!$A$5:$A$34,A17,5000m比較!$C$5:$C$34,B17)</f>
        <v>1</v>
      </c>
    </row>
    <row r="18" customFormat="false" ht="15" hidden="false" customHeight="false" outlineLevel="0" collapsed="false">
      <c r="A18" s="25" t="s">
        <v>76</v>
      </c>
      <c r="B18" s="28" t="s">
        <v>186</v>
      </c>
      <c r="C18" s="44" t="n">
        <v>1</v>
      </c>
      <c r="D18" s="44" t="n">
        <v>1</v>
      </c>
      <c r="E18" s="44" t="n">
        <v>1</v>
      </c>
      <c r="F18" s="45" t="n">
        <f aca="false">IFERROR(AVERAGE(C18:E18),"")</f>
        <v>1</v>
      </c>
      <c r="G18" s="28" t="n">
        <f aca="false">SUMIFS(5000m比較!$B$5:$B$34,5000m比較!$A$5:$A$34,A18,5000m比較!$C$5:$C$34,B18)</f>
        <v>2</v>
      </c>
    </row>
    <row r="19" customFormat="false" ht="15" hidden="false" customHeight="false" outlineLevel="0" collapsed="false">
      <c r="A19" s="25" t="s">
        <v>76</v>
      </c>
      <c r="B19" s="28" t="s">
        <v>187</v>
      </c>
      <c r="C19" s="44" t="n">
        <v>0.66</v>
      </c>
      <c r="D19" s="44" t="n">
        <v>1</v>
      </c>
      <c r="E19" s="44" t="n">
        <v>1</v>
      </c>
      <c r="F19" s="45" t="n">
        <f aca="false">IFERROR(AVERAGE(C19:E19),"")</f>
        <v>0.886666666666667</v>
      </c>
      <c r="G19" s="28" t="n">
        <f aca="false">SUMIFS(5000m比較!$B$5:$B$34,5000m比較!$A$5:$A$34,A19,5000m比較!$C$5:$C$34,B19)</f>
        <v>3</v>
      </c>
    </row>
    <row r="20" customFormat="false" ht="15" hidden="false" customHeight="false" outlineLevel="0" collapsed="false">
      <c r="A20" s="25" t="s">
        <v>76</v>
      </c>
      <c r="B20" s="28" t="s">
        <v>188</v>
      </c>
      <c r="C20" s="44" t="n">
        <v>1</v>
      </c>
      <c r="D20" s="44" t="n">
        <v>1</v>
      </c>
      <c r="E20" s="44" t="n">
        <v>1</v>
      </c>
      <c r="F20" s="45" t="n">
        <f aca="false">IFERROR(AVERAGE(C20:E20),"")</f>
        <v>1</v>
      </c>
      <c r="G20" s="28" t="n">
        <f aca="false">SUMIFS(5000m比較!$B$5:$B$34,5000m比較!$A$5:$A$34,A20,5000m比較!$C$5:$C$34,B20)</f>
        <v>4</v>
      </c>
    </row>
    <row r="21" customFormat="false" ht="15" hidden="false" customHeight="false" outlineLevel="0" collapsed="false">
      <c r="A21" s="25" t="s">
        <v>76</v>
      </c>
      <c r="B21" s="28" t="s">
        <v>189</v>
      </c>
      <c r="C21" s="44" t="n">
        <v>1</v>
      </c>
      <c r="D21" s="44" t="n">
        <v>1</v>
      </c>
      <c r="E21" s="44" t="n">
        <v>1</v>
      </c>
      <c r="F21" s="45" t="n">
        <f aca="false">IFERROR(AVERAGE(C21:E21),"")</f>
        <v>1</v>
      </c>
      <c r="G21" s="28" t="n">
        <f aca="false">SUMIFS(5000m比較!$B$5:$B$34,5000m比較!$A$5:$A$34,A21,5000m比較!$C$5:$C$34,B21)</f>
        <v>5</v>
      </c>
    </row>
    <row r="22" customFormat="false" ht="15" hidden="false" customHeight="false" outlineLevel="0" collapsed="false">
      <c r="A22" s="25" t="s">
        <v>76</v>
      </c>
      <c r="B22" s="28" t="s">
        <v>175</v>
      </c>
      <c r="C22" s="44" t="n">
        <v>1</v>
      </c>
      <c r="D22" s="44" t="n">
        <v>1</v>
      </c>
      <c r="E22" s="44" t="n">
        <v>1</v>
      </c>
      <c r="F22" s="45" t="n">
        <f aca="false">IFERROR(AVERAGE(C22:E22),"")</f>
        <v>1</v>
      </c>
      <c r="G22" s="28" t="n">
        <f aca="false">SUMIFS(5000m比較!$B$5:$B$34,5000m比較!$A$5:$A$34,A22,5000m比較!$C$5:$C$34,B22)</f>
        <v>6</v>
      </c>
    </row>
    <row r="23" customFormat="false" ht="15" hidden="false" customHeight="false" outlineLevel="0" collapsed="false">
      <c r="A23" s="13" t="s">
        <v>77</v>
      </c>
      <c r="B23" s="8" t="s">
        <v>190</v>
      </c>
      <c r="C23" s="19" t="n">
        <v>0.83</v>
      </c>
      <c r="D23" s="19" t="n">
        <v>1</v>
      </c>
      <c r="E23" s="19" t="n">
        <v>1</v>
      </c>
      <c r="F23" s="20" t="n">
        <f aca="false">IFERROR(AVERAGE(C23:E23),"")</f>
        <v>0.943333333333333</v>
      </c>
      <c r="G23" s="8" t="n">
        <f aca="false">SUMIFS(5000m比較!$B$5:$B$34,5000m比較!$A$5:$A$34,A23,5000m比較!$C$5:$C$34,B23)</f>
        <v>1</v>
      </c>
    </row>
    <row r="24" customFormat="false" ht="15" hidden="false" customHeight="false" outlineLevel="0" collapsed="false">
      <c r="A24" s="13" t="s">
        <v>77</v>
      </c>
      <c r="B24" s="8" t="s">
        <v>178</v>
      </c>
      <c r="C24" s="19" t="n">
        <v>1</v>
      </c>
      <c r="D24" s="19" t="n">
        <v>1</v>
      </c>
      <c r="E24" s="19" t="n">
        <v>1</v>
      </c>
      <c r="F24" s="20" t="n">
        <f aca="false">IFERROR(AVERAGE(C24:E24),"")</f>
        <v>1</v>
      </c>
      <c r="G24" s="8" t="n">
        <f aca="false">SUMIFS(5000m比較!$B$5:$B$34,5000m比較!$A$5:$A$34,A24,5000m比較!$C$5:$C$34,B24)</f>
        <v>2</v>
      </c>
    </row>
    <row r="25" customFormat="false" ht="15" hidden="false" customHeight="false" outlineLevel="0" collapsed="false">
      <c r="A25" s="13" t="s">
        <v>77</v>
      </c>
      <c r="B25" s="8" t="s">
        <v>187</v>
      </c>
      <c r="C25" s="19" t="n">
        <v>0.83</v>
      </c>
      <c r="D25" s="19" t="n">
        <v>1</v>
      </c>
      <c r="E25" s="19" t="n">
        <v>1</v>
      </c>
      <c r="F25" s="20" t="n">
        <f aca="false">IFERROR(AVERAGE(C25:E25),"")</f>
        <v>0.943333333333333</v>
      </c>
      <c r="G25" s="8" t="n">
        <f aca="false">SUMIFS(5000m比較!$B$5:$B$34,5000m比較!$A$5:$A$34,A25,5000m比較!$C$5:$C$34,B25)</f>
        <v>3</v>
      </c>
    </row>
    <row r="26" customFormat="false" ht="15" hidden="false" customHeight="false" outlineLevel="0" collapsed="false">
      <c r="A26" s="13" t="s">
        <v>77</v>
      </c>
      <c r="B26" s="8" t="s">
        <v>185</v>
      </c>
      <c r="C26" s="19" t="n">
        <v>1</v>
      </c>
      <c r="D26" s="19" t="n">
        <v>1</v>
      </c>
      <c r="E26" s="19" t="n">
        <v>1</v>
      </c>
      <c r="F26" s="20" t="n">
        <f aca="false">IFERROR(AVERAGE(C26:E26),"")</f>
        <v>1</v>
      </c>
      <c r="G26" s="8" t="n">
        <f aca="false">SUMIFS(5000m比較!$B$5:$B$34,5000m比較!$A$5:$A$34,A26,5000m比較!$C$5:$C$34,B26)</f>
        <v>4</v>
      </c>
    </row>
    <row r="27" customFormat="false" ht="15" hidden="false" customHeight="false" outlineLevel="0" collapsed="false">
      <c r="A27" s="13" t="s">
        <v>77</v>
      </c>
      <c r="B27" s="8" t="s">
        <v>192</v>
      </c>
      <c r="C27" s="19" t="n">
        <v>1</v>
      </c>
      <c r="D27" s="19" t="n">
        <v>1</v>
      </c>
      <c r="E27" s="19" t="n">
        <v>1</v>
      </c>
      <c r="F27" s="20" t="n">
        <f aca="false">IFERROR(AVERAGE(C27:E27),"")</f>
        <v>1</v>
      </c>
      <c r="G27" s="8" t="n">
        <f aca="false">SUMIFS(5000m比較!$B$5:$B$34,5000m比較!$A$5:$A$34,A27,5000m比較!$C$5:$C$34,B27)</f>
        <v>5</v>
      </c>
    </row>
    <row r="28" customFormat="false" ht="15" hidden="false" customHeight="false" outlineLevel="0" collapsed="false">
      <c r="A28" s="13" t="s">
        <v>77</v>
      </c>
      <c r="B28" s="8" t="s">
        <v>193</v>
      </c>
      <c r="C28" s="19" t="n">
        <v>1</v>
      </c>
      <c r="D28" s="19" t="n">
        <v>1</v>
      </c>
      <c r="E28" s="19" t="n">
        <v>0.98</v>
      </c>
      <c r="F28" s="20" t="n">
        <f aca="false">IFERROR(AVERAGE(C28:E28),"")</f>
        <v>0.993333333333333</v>
      </c>
      <c r="G28" s="8" t="n">
        <f aca="false">SUMIFS(5000m比較!$B$5:$B$34,5000m比較!$A$5:$A$34,A28,5000m比較!$C$5:$C$34,B28)</f>
        <v>6</v>
      </c>
    </row>
  </sheetData>
  <autoFilter ref="A4:G28"/>
  <mergeCells count="1">
    <mergeCell ref="A2:G2"/>
  </mergeCells>
  <conditionalFormatting sqref="C5:F28">
    <cfRule type="colorScale" priority="2">
      <colorScale>
        <cfvo type="num" val="0"/>
        <cfvo type="num" val="0.7"/>
        <cfvo type="num" val="1"/>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99B"/>
    <pageSetUpPr fitToPage="true"/>
  </sheetPr>
  <dimension ref="A1:P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14" min="3" style="0" width="7"/>
    <col collapsed="false" customWidth="true" hidden="false" outlineLevel="0" max="15" min="15" style="0" width="9"/>
    <col collapsed="false" customWidth="true" hidden="false" outlineLevel="0" max="16" min="16" style="0" width="8"/>
  </cols>
  <sheetData>
    <row r="1" customFormat="false" ht="19.4" hidden="false" customHeight="false" outlineLevel="0" collapsed="false">
      <c r="A1" s="9" t="s">
        <v>347</v>
      </c>
    </row>
    <row r="2" customFormat="false" ht="30" hidden="false" customHeight="true" outlineLevel="0" collapsed="false">
      <c r="A2" s="10" t="s">
        <v>348</v>
      </c>
      <c r="B2" s="10"/>
      <c r="C2" s="10"/>
      <c r="D2" s="10"/>
      <c r="E2" s="10"/>
      <c r="F2" s="10"/>
      <c r="G2" s="10"/>
      <c r="H2" s="10"/>
      <c r="I2" s="10"/>
      <c r="J2" s="10"/>
      <c r="K2" s="10"/>
      <c r="L2" s="10"/>
      <c r="M2" s="10"/>
      <c r="N2" s="10"/>
      <c r="O2" s="10"/>
      <c r="P2" s="10"/>
    </row>
    <row r="4" customFormat="false" ht="33.75" hidden="false" customHeight="true" outlineLevel="0" collapsed="false">
      <c r="A4" s="11" t="s">
        <v>56</v>
      </c>
      <c r="B4" s="11" t="s">
        <v>159</v>
      </c>
      <c r="C4" s="12" t="s">
        <v>330</v>
      </c>
      <c r="D4" s="12" t="s">
        <v>331</v>
      </c>
      <c r="E4" s="12" t="s">
        <v>332</v>
      </c>
      <c r="F4" s="12" t="s">
        <v>333</v>
      </c>
      <c r="G4" s="12" t="s">
        <v>334</v>
      </c>
      <c r="H4" s="12" t="s">
        <v>335</v>
      </c>
      <c r="I4" s="12" t="s">
        <v>336</v>
      </c>
      <c r="J4" s="12" t="s">
        <v>337</v>
      </c>
      <c r="K4" s="12" t="s">
        <v>338</v>
      </c>
      <c r="L4" s="12" t="s">
        <v>339</v>
      </c>
      <c r="M4" s="12" t="s">
        <v>340</v>
      </c>
      <c r="N4" s="12" t="s">
        <v>341</v>
      </c>
      <c r="O4" s="12" t="s">
        <v>69</v>
      </c>
      <c r="P4" s="11" t="s">
        <v>200</v>
      </c>
    </row>
    <row r="5" customFormat="false" ht="15" hidden="false" customHeight="false" outlineLevel="0" collapsed="false">
      <c r="A5" s="25" t="s">
        <v>73</v>
      </c>
      <c r="B5" s="28" t="s">
        <v>166</v>
      </c>
      <c r="C5" s="27" t="n">
        <v>286</v>
      </c>
      <c r="D5" s="27" t="n">
        <v>405</v>
      </c>
      <c r="E5" s="27" t="n">
        <v>489</v>
      </c>
      <c r="F5" s="27"/>
      <c r="G5" s="27" t="n">
        <v>369</v>
      </c>
      <c r="H5" s="27" t="n">
        <v>404</v>
      </c>
      <c r="I5" s="27" t="n">
        <v>344</v>
      </c>
      <c r="J5" s="27" t="n">
        <v>674</v>
      </c>
      <c r="K5" s="27" t="n">
        <v>373</v>
      </c>
      <c r="L5" s="27" t="n">
        <v>443</v>
      </c>
      <c r="M5" s="27" t="n">
        <v>384</v>
      </c>
      <c r="N5" s="27" t="n">
        <v>478</v>
      </c>
      <c r="O5" s="46" t="n">
        <f aca="false">IF(OR(J5="",K5="",J5=0),"",K5/J5)</f>
        <v>0.553412462908012</v>
      </c>
      <c r="P5" s="28" t="n">
        <f aca="false">SUMIFS(5000m比較!$B$5:$B$34,5000m比較!$A$5:$A$34,A5,5000m比較!$C$5:$C$34,B5)</f>
        <v>1</v>
      </c>
    </row>
    <row r="6" customFormat="false" ht="15" hidden="false" customHeight="false" outlineLevel="0" collapsed="false">
      <c r="A6" s="25" t="s">
        <v>73</v>
      </c>
      <c r="B6" s="28" t="s">
        <v>168</v>
      </c>
      <c r="C6" s="27" t="n">
        <v>370</v>
      </c>
      <c r="D6" s="27" t="n">
        <v>303</v>
      </c>
      <c r="E6" s="27" t="n">
        <v>237</v>
      </c>
      <c r="F6" s="27" t="n">
        <v>363</v>
      </c>
      <c r="G6" s="27" t="n">
        <v>421</v>
      </c>
      <c r="H6" s="27" t="n">
        <v>396</v>
      </c>
      <c r="I6" s="27" t="n">
        <v>394</v>
      </c>
      <c r="J6" s="27" t="n">
        <v>710</v>
      </c>
      <c r="K6" s="27" t="n">
        <v>384</v>
      </c>
      <c r="L6" s="27" t="n">
        <v>415</v>
      </c>
      <c r="M6" s="27" t="n">
        <v>432</v>
      </c>
      <c r="N6" s="27" t="n">
        <v>430</v>
      </c>
      <c r="O6" s="46" t="n">
        <f aca="false">IF(OR(J6="",K6="",J6=0),"",K6/J6)</f>
        <v>0.540845070422535</v>
      </c>
      <c r="P6" s="28" t="n">
        <f aca="false">SUMIFS(5000m比較!$B$5:$B$34,5000m比較!$A$5:$A$34,A6,5000m比較!$C$5:$C$34,B6)</f>
        <v>2</v>
      </c>
    </row>
    <row r="7" customFormat="false" ht="15" hidden="false" customHeight="false" outlineLevel="0" collapsed="false">
      <c r="A7" s="25" t="s">
        <v>73</v>
      </c>
      <c r="B7" s="28" t="s">
        <v>169</v>
      </c>
      <c r="C7" s="27" t="n">
        <v>321</v>
      </c>
      <c r="D7" s="27" t="n">
        <v>23</v>
      </c>
      <c r="E7" s="27" t="n">
        <v>314</v>
      </c>
      <c r="F7" s="27" t="n">
        <v>373</v>
      </c>
      <c r="G7" s="27" t="n">
        <v>191</v>
      </c>
      <c r="H7" s="27" t="n">
        <v>169</v>
      </c>
      <c r="I7" s="27" t="n">
        <v>408</v>
      </c>
      <c r="J7" s="27" t="n">
        <v>638</v>
      </c>
      <c r="K7" s="27" t="n">
        <v>510</v>
      </c>
      <c r="L7" s="27" t="n">
        <v>430</v>
      </c>
      <c r="M7" s="27" t="n">
        <v>479</v>
      </c>
      <c r="N7" s="27" t="n">
        <v>450</v>
      </c>
      <c r="O7" s="46" t="n">
        <f aca="false">IF(OR(J7="",K7="",J7=0),"",K7/J7)</f>
        <v>0.799373040752351</v>
      </c>
      <c r="P7" s="28" t="n">
        <f aca="false">SUMIFS(5000m比較!$B$5:$B$34,5000m比較!$A$5:$A$34,A7,5000m比較!$C$5:$C$34,B7)</f>
        <v>3</v>
      </c>
    </row>
    <row r="8" customFormat="false" ht="15" hidden="false" customHeight="false" outlineLevel="0" collapsed="false">
      <c r="A8" s="25" t="s">
        <v>73</v>
      </c>
      <c r="B8" s="28" t="s">
        <v>170</v>
      </c>
      <c r="C8" s="27" t="n">
        <v>126</v>
      </c>
      <c r="D8" s="27" t="n">
        <v>411</v>
      </c>
      <c r="E8" s="27" t="n">
        <v>446</v>
      </c>
      <c r="F8" s="27" t="n">
        <v>274</v>
      </c>
      <c r="G8" s="27" t="n">
        <v>305</v>
      </c>
      <c r="H8" s="27" t="n">
        <v>384</v>
      </c>
      <c r="I8" s="27" t="n">
        <v>336</v>
      </c>
      <c r="J8" s="27" t="n">
        <v>698</v>
      </c>
      <c r="K8" s="27" t="n">
        <v>384</v>
      </c>
      <c r="L8" s="27" t="n">
        <v>350</v>
      </c>
      <c r="M8" s="27" t="n">
        <v>415</v>
      </c>
      <c r="N8" s="27" t="n">
        <v>448</v>
      </c>
      <c r="O8" s="46" t="n">
        <f aca="false">IF(OR(J8="",K8="",J8=0),"",K8/J8)</f>
        <v>0.550143266475645</v>
      </c>
      <c r="P8" s="28" t="n">
        <f aca="false">SUMIFS(5000m比較!$B$5:$B$34,5000m比較!$A$5:$A$34,A8,5000m比較!$C$5:$C$34,B8)</f>
        <v>4</v>
      </c>
    </row>
    <row r="9" customFormat="false" ht="15" hidden="false" customHeight="false" outlineLevel="0" collapsed="false">
      <c r="A9" s="25" t="s">
        <v>73</v>
      </c>
      <c r="B9" s="28" t="s">
        <v>171</v>
      </c>
      <c r="C9" s="27" t="n">
        <v>348</v>
      </c>
      <c r="D9" s="27" t="n">
        <v>411</v>
      </c>
      <c r="E9" s="27" t="n">
        <v>503</v>
      </c>
      <c r="F9" s="27" t="n">
        <v>345</v>
      </c>
      <c r="G9" s="27" t="n">
        <v>274</v>
      </c>
      <c r="H9" s="27" t="n">
        <v>359</v>
      </c>
      <c r="I9" s="27" t="n">
        <v>337</v>
      </c>
      <c r="J9" s="27" t="n">
        <v>630</v>
      </c>
      <c r="K9" s="27" t="n">
        <v>310</v>
      </c>
      <c r="L9" s="27" t="n">
        <v>494</v>
      </c>
      <c r="M9" s="27" t="n">
        <v>341</v>
      </c>
      <c r="N9" s="27" t="n">
        <v>491</v>
      </c>
      <c r="O9" s="46" t="n">
        <f aca="false">IF(OR(J9="",K9="",J9=0),"",K9/J9)</f>
        <v>0.492063492063492</v>
      </c>
      <c r="P9" s="28" t="n">
        <f aca="false">SUMIFS(5000m比較!$B$5:$B$34,5000m比較!$A$5:$A$34,A9,5000m比較!$C$5:$C$34,B9)</f>
        <v>5</v>
      </c>
    </row>
    <row r="10" customFormat="false" ht="15" hidden="false" customHeight="false" outlineLevel="0" collapsed="false">
      <c r="A10" s="25" t="s">
        <v>73</v>
      </c>
      <c r="B10" s="28" t="s">
        <v>172</v>
      </c>
      <c r="C10" s="27" t="n">
        <v>138</v>
      </c>
      <c r="D10" s="27" t="n">
        <v>345</v>
      </c>
      <c r="E10" s="27" t="n">
        <v>439</v>
      </c>
      <c r="F10" s="27" t="n">
        <v>344</v>
      </c>
      <c r="G10" s="27" t="n">
        <v>63</v>
      </c>
      <c r="H10" s="27" t="n">
        <v>437</v>
      </c>
      <c r="I10" s="27" t="n">
        <v>405</v>
      </c>
      <c r="J10" s="27" t="n">
        <v>701</v>
      </c>
      <c r="K10" s="27" t="n">
        <v>420</v>
      </c>
      <c r="L10" s="27" t="n">
        <v>390</v>
      </c>
      <c r="M10" s="27" t="n">
        <v>415</v>
      </c>
      <c r="N10" s="27" t="n">
        <v>345</v>
      </c>
      <c r="O10" s="46" t="n">
        <f aca="false">IF(OR(J10="",K10="",J10=0),"",K10/J10)</f>
        <v>0.599144079885877</v>
      </c>
      <c r="P10" s="28" t="n">
        <f aca="false">SUMIFS(5000m比較!$B$5:$B$34,5000m比較!$A$5:$A$34,A10,5000m比較!$C$5:$C$34,B10)</f>
        <v>6</v>
      </c>
    </row>
    <row r="11" customFormat="false" ht="15" hidden="false" customHeight="false" outlineLevel="0" collapsed="false">
      <c r="A11" s="13" t="s">
        <v>74</v>
      </c>
      <c r="B11" s="8" t="s">
        <v>173</v>
      </c>
      <c r="C11" s="14" t="n">
        <v>112</v>
      </c>
      <c r="D11" s="14" t="n">
        <v>177</v>
      </c>
      <c r="E11" s="14" t="n">
        <v>315</v>
      </c>
      <c r="F11" s="14" t="n">
        <v>501</v>
      </c>
      <c r="G11" s="14"/>
      <c r="H11" s="14" t="n">
        <v>85</v>
      </c>
      <c r="I11" s="14" t="n">
        <v>303</v>
      </c>
      <c r="J11" s="14" t="n">
        <v>652</v>
      </c>
      <c r="K11" s="14" t="n">
        <v>477</v>
      </c>
      <c r="L11" s="14" t="n">
        <v>100</v>
      </c>
      <c r="M11" s="14" t="n">
        <v>415</v>
      </c>
      <c r="N11" s="14"/>
      <c r="O11" s="21" t="n">
        <f aca="false">IF(OR(J11="",K11="",J11=0),"",K11/J11)</f>
        <v>0.73159509202454</v>
      </c>
      <c r="P11" s="8" t="n">
        <f aca="false">SUMIFS(5000m比較!$B$5:$B$34,5000m比較!$A$5:$A$34,A11,5000m比較!$C$5:$C$34,B11)</f>
        <v>1</v>
      </c>
    </row>
    <row r="12" customFormat="false" ht="15" hidden="false" customHeight="false" outlineLevel="0" collapsed="false">
      <c r="A12" s="13" t="s">
        <v>74</v>
      </c>
      <c r="B12" s="8" t="s">
        <v>175</v>
      </c>
      <c r="C12" s="14" t="n">
        <v>380</v>
      </c>
      <c r="D12" s="14" t="n">
        <v>132</v>
      </c>
      <c r="E12" s="14" t="n">
        <v>462</v>
      </c>
      <c r="F12" s="14" t="n">
        <v>471</v>
      </c>
      <c r="G12" s="14" t="n">
        <v>293</v>
      </c>
      <c r="H12" s="14" t="n">
        <v>352.5</v>
      </c>
      <c r="I12" s="14" t="n">
        <v>365</v>
      </c>
      <c r="J12" s="14" t="n">
        <v>626</v>
      </c>
      <c r="K12" s="14" t="n">
        <v>435.8</v>
      </c>
      <c r="L12" s="14"/>
      <c r="M12" s="14"/>
      <c r="N12" s="14"/>
      <c r="O12" s="21" t="n">
        <f aca="false">IF(OR(J12="",K12="",J12=0),"",K12/J12)</f>
        <v>0.696166134185304</v>
      </c>
      <c r="P12" s="8" t="n">
        <f aca="false">SUMIFS(5000m比較!$B$5:$B$34,5000m比較!$A$5:$A$34,A12,5000m比較!$C$5:$C$34,B12)</f>
        <v>2</v>
      </c>
    </row>
    <row r="13" customFormat="false" ht="15" hidden="false" customHeight="false" outlineLevel="0" collapsed="false">
      <c r="A13" s="13" t="s">
        <v>74</v>
      </c>
      <c r="B13" s="8" t="s">
        <v>176</v>
      </c>
      <c r="C13" s="14" t="n">
        <v>207</v>
      </c>
      <c r="D13" s="14" t="n">
        <v>397</v>
      </c>
      <c r="E13" s="14"/>
      <c r="F13" s="14" t="n">
        <v>305</v>
      </c>
      <c r="G13" s="14" t="n">
        <v>363</v>
      </c>
      <c r="H13" s="14" t="n">
        <v>389</v>
      </c>
      <c r="I13" s="14" t="n">
        <v>478</v>
      </c>
      <c r="J13" s="14" t="n">
        <v>639</v>
      </c>
      <c r="K13" s="14" t="n">
        <v>412</v>
      </c>
      <c r="L13" s="14" t="n">
        <v>398</v>
      </c>
      <c r="M13" s="14" t="n">
        <v>338</v>
      </c>
      <c r="N13" s="14"/>
      <c r="O13" s="21" t="n">
        <f aca="false">IF(OR(J13="",K13="",J13=0),"",K13/J13)</f>
        <v>0.644757433489828</v>
      </c>
      <c r="P13" s="8" t="n">
        <f aca="false">SUMIFS(5000m比較!$B$5:$B$34,5000m比較!$A$5:$A$34,A13,5000m比較!$C$5:$C$34,B13)</f>
        <v>3</v>
      </c>
    </row>
    <row r="14" customFormat="false" ht="15" hidden="false" customHeight="false" outlineLevel="0" collapsed="false">
      <c r="A14" s="13" t="s">
        <v>74</v>
      </c>
      <c r="B14" s="8" t="s">
        <v>177</v>
      </c>
      <c r="C14" s="14" t="n">
        <v>353</v>
      </c>
      <c r="D14" s="14" t="n">
        <v>320</v>
      </c>
      <c r="E14" s="14" t="n">
        <v>390</v>
      </c>
      <c r="F14" s="14" t="n">
        <v>319</v>
      </c>
      <c r="G14" s="14" t="n">
        <v>290</v>
      </c>
      <c r="H14" s="14"/>
      <c r="I14" s="14" t="n">
        <v>474</v>
      </c>
      <c r="J14" s="14" t="n">
        <v>611</v>
      </c>
      <c r="K14" s="14" t="n">
        <v>467</v>
      </c>
      <c r="L14" s="14" t="n">
        <v>440</v>
      </c>
      <c r="M14" s="14"/>
      <c r="N14" s="14"/>
      <c r="O14" s="21" t="n">
        <f aca="false">IF(OR(J14="",K14="",J14=0),"",K14/J14)</f>
        <v>0.764320785597381</v>
      </c>
      <c r="P14" s="8" t="n">
        <f aca="false">SUMIFS(5000m比較!$B$5:$B$34,5000m比較!$A$5:$A$34,A14,5000m比較!$C$5:$C$34,B14)</f>
        <v>4</v>
      </c>
    </row>
    <row r="15" customFormat="false" ht="15" hidden="false" customHeight="false" outlineLevel="0" collapsed="false">
      <c r="A15" s="13" t="s">
        <v>74</v>
      </c>
      <c r="B15" s="8" t="s">
        <v>178</v>
      </c>
      <c r="C15" s="14"/>
      <c r="D15" s="14"/>
      <c r="E15" s="14" t="n">
        <v>441</v>
      </c>
      <c r="F15" s="14" t="n">
        <v>232</v>
      </c>
      <c r="G15" s="14" t="n">
        <v>346</v>
      </c>
      <c r="H15" s="14" t="n">
        <v>354</v>
      </c>
      <c r="I15" s="14" t="n">
        <v>402</v>
      </c>
      <c r="J15" s="14" t="n">
        <v>672</v>
      </c>
      <c r="K15" s="14" t="n">
        <v>502</v>
      </c>
      <c r="L15" s="14" t="n">
        <v>408</v>
      </c>
      <c r="M15" s="14" t="n">
        <v>352.6</v>
      </c>
      <c r="N15" s="14"/>
      <c r="O15" s="21" t="n">
        <f aca="false">IF(OR(J15="",K15="",J15=0),"",K15/J15)</f>
        <v>0.74702380952381</v>
      </c>
      <c r="P15" s="8" t="n">
        <f aca="false">SUMIFS(5000m比較!$B$5:$B$34,5000m比較!$A$5:$A$34,A15,5000m比較!$C$5:$C$34,B15)</f>
        <v>5</v>
      </c>
    </row>
    <row r="16" customFormat="false" ht="15" hidden="false" customHeight="false" outlineLevel="0" collapsed="false">
      <c r="A16" s="13" t="s">
        <v>74</v>
      </c>
      <c r="B16" s="8" t="s">
        <v>179</v>
      </c>
      <c r="C16" s="14" t="n">
        <v>400</v>
      </c>
      <c r="D16" s="14" t="n">
        <v>430</v>
      </c>
      <c r="E16" s="14" t="n">
        <v>80</v>
      </c>
      <c r="F16" s="14" t="n">
        <v>440</v>
      </c>
      <c r="G16" s="14" t="n">
        <v>463</v>
      </c>
      <c r="H16" s="14" t="n">
        <v>137</v>
      </c>
      <c r="I16" s="14" t="n">
        <v>168</v>
      </c>
      <c r="J16" s="14" t="n">
        <v>618</v>
      </c>
      <c r="K16" s="14" t="n">
        <v>515</v>
      </c>
      <c r="L16" s="14" t="n">
        <v>402</v>
      </c>
      <c r="M16" s="14" t="n">
        <v>184</v>
      </c>
      <c r="N16" s="14"/>
      <c r="O16" s="21" t="n">
        <f aca="false">IF(OR(J16="",K16="",J16=0),"",K16/J16)</f>
        <v>0.833333333333333</v>
      </c>
      <c r="P16" s="8" t="n">
        <f aca="false">SUMIFS(5000m比較!$B$5:$B$34,5000m比較!$A$5:$A$34,A16,5000m比較!$C$5:$C$34,B16)</f>
        <v>6</v>
      </c>
    </row>
    <row r="17" customFormat="false" ht="15" hidden="false" customHeight="false" outlineLevel="0" collapsed="false">
      <c r="A17" s="25" t="s">
        <v>75</v>
      </c>
      <c r="B17" s="28" t="s">
        <v>179</v>
      </c>
      <c r="C17" s="27" t="n">
        <v>284</v>
      </c>
      <c r="D17" s="27" t="n">
        <v>423</v>
      </c>
      <c r="E17" s="27" t="n">
        <v>470</v>
      </c>
      <c r="F17" s="27" t="n">
        <v>0</v>
      </c>
      <c r="G17" s="27" t="n">
        <v>358</v>
      </c>
      <c r="H17" s="27" t="n">
        <v>364</v>
      </c>
      <c r="I17" s="27"/>
      <c r="J17" s="27"/>
      <c r="K17" s="27"/>
      <c r="L17" s="27"/>
      <c r="M17" s="27"/>
      <c r="N17" s="27"/>
      <c r="O17" s="46" t="str">
        <f aca="false">IF(OR(J17="",K17="",J17=0),"",K17/J17)</f>
        <v/>
      </c>
      <c r="P17" s="28" t="n">
        <f aca="false">SUMIFS(5000m比較!$B$5:$B$34,5000m比較!$A$5:$A$34,A17,5000m比較!$C$5:$C$34,B17)</f>
        <v>1</v>
      </c>
    </row>
    <row r="18" customFormat="false" ht="15" hidden="false" customHeight="false" outlineLevel="0" collapsed="false">
      <c r="A18" s="25" t="s">
        <v>75</v>
      </c>
      <c r="B18" s="28" t="s">
        <v>173</v>
      </c>
      <c r="C18" s="27" t="n">
        <v>103</v>
      </c>
      <c r="D18" s="27" t="n">
        <v>134</v>
      </c>
      <c r="E18" s="27" t="n">
        <v>438</v>
      </c>
      <c r="F18" s="27" t="n">
        <v>421</v>
      </c>
      <c r="G18" s="27" t="n">
        <v>403</v>
      </c>
      <c r="H18" s="27" t="n">
        <v>407</v>
      </c>
      <c r="I18" s="27"/>
      <c r="J18" s="27"/>
      <c r="K18" s="27"/>
      <c r="L18" s="27"/>
      <c r="M18" s="27"/>
      <c r="N18" s="27"/>
      <c r="O18" s="46" t="str">
        <f aca="false">IF(OR(J18="",K18="",J18=0),"",K18/J18)</f>
        <v/>
      </c>
      <c r="P18" s="28" t="n">
        <f aca="false">SUMIFS(5000m比較!$B$5:$B$34,5000m比較!$A$5:$A$34,A18,5000m比較!$C$5:$C$34,B18)</f>
        <v>2</v>
      </c>
    </row>
    <row r="19" customFormat="false" ht="15" hidden="false" customHeight="false" outlineLevel="0" collapsed="false">
      <c r="A19" s="25" t="s">
        <v>75</v>
      </c>
      <c r="B19" s="28" t="s">
        <v>175</v>
      </c>
      <c r="C19" s="27" t="n">
        <v>0</v>
      </c>
      <c r="D19" s="27" t="n">
        <v>0</v>
      </c>
      <c r="E19" s="27" t="n">
        <v>0</v>
      </c>
      <c r="F19" s="27" t="n">
        <v>0</v>
      </c>
      <c r="G19" s="27" t="n">
        <v>326</v>
      </c>
      <c r="H19" s="27" t="n">
        <v>307.5</v>
      </c>
      <c r="I19" s="27"/>
      <c r="J19" s="27"/>
      <c r="K19" s="27"/>
      <c r="L19" s="27"/>
      <c r="M19" s="27"/>
      <c r="N19" s="27"/>
      <c r="O19" s="46" t="str">
        <f aca="false">IF(OR(J19="",K19="",J19=0),"",K19/J19)</f>
        <v/>
      </c>
      <c r="P19" s="28" t="n">
        <f aca="false">SUMIFS(5000m比較!$B$5:$B$34,5000m比較!$A$5:$A$34,A19,5000m比較!$C$5:$C$34,B19)</f>
        <v>3</v>
      </c>
    </row>
    <row r="20" customFormat="false" ht="15" hidden="false" customHeight="false" outlineLevel="0" collapsed="false">
      <c r="A20" s="25" t="s">
        <v>75</v>
      </c>
      <c r="B20" s="28" t="s">
        <v>182</v>
      </c>
      <c r="C20" s="27" t="n">
        <v>175</v>
      </c>
      <c r="D20" s="27" t="n">
        <v>210</v>
      </c>
      <c r="E20" s="27" t="n">
        <v>452.1</v>
      </c>
      <c r="F20" s="27" t="n">
        <v>416</v>
      </c>
      <c r="G20" s="27" t="n">
        <v>425</v>
      </c>
      <c r="H20" s="27" t="n">
        <v>230</v>
      </c>
      <c r="I20" s="27"/>
      <c r="J20" s="27"/>
      <c r="K20" s="27"/>
      <c r="L20" s="27"/>
      <c r="M20" s="27"/>
      <c r="N20" s="27"/>
      <c r="O20" s="46" t="str">
        <f aca="false">IF(OR(J20="",K20="",J20=0),"",K20/J20)</f>
        <v/>
      </c>
      <c r="P20" s="28" t="n">
        <f aca="false">SUMIFS(5000m比較!$B$5:$B$34,5000m比較!$A$5:$A$34,A20,5000m比較!$C$5:$C$34,B20)</f>
        <v>4</v>
      </c>
    </row>
    <row r="21" customFormat="false" ht="15" hidden="false" customHeight="false" outlineLevel="0" collapsed="false">
      <c r="A21" s="25" t="s">
        <v>75</v>
      </c>
      <c r="B21" s="28" t="s">
        <v>183</v>
      </c>
      <c r="C21" s="27" t="n">
        <v>265</v>
      </c>
      <c r="D21" s="27" t="n">
        <v>415.2</v>
      </c>
      <c r="E21" s="27" t="n">
        <v>387.8</v>
      </c>
      <c r="F21" s="27" t="n">
        <v>0</v>
      </c>
      <c r="G21" s="27" t="n">
        <v>275.3</v>
      </c>
      <c r="H21" s="27" t="n">
        <v>400.7</v>
      </c>
      <c r="I21" s="27"/>
      <c r="J21" s="27"/>
      <c r="K21" s="27"/>
      <c r="L21" s="27"/>
      <c r="M21" s="27"/>
      <c r="N21" s="27"/>
      <c r="O21" s="46" t="str">
        <f aca="false">IF(OR(J21="",K21="",J21=0),"",K21/J21)</f>
        <v/>
      </c>
      <c r="P21" s="28" t="n">
        <f aca="false">SUMIFS(5000m比較!$B$5:$B$34,5000m比較!$A$5:$A$34,A21,5000m比較!$C$5:$C$34,B21)</f>
        <v>5</v>
      </c>
    </row>
    <row r="22" customFormat="false" ht="15" hidden="false" customHeight="false" outlineLevel="0" collapsed="false">
      <c r="A22" s="25" t="s">
        <v>75</v>
      </c>
      <c r="B22" s="28" t="s">
        <v>184</v>
      </c>
      <c r="C22" s="27" t="n">
        <v>156</v>
      </c>
      <c r="D22" s="27" t="n">
        <v>182</v>
      </c>
      <c r="E22" s="27" t="n">
        <v>384</v>
      </c>
      <c r="F22" s="27" t="n">
        <v>0</v>
      </c>
      <c r="G22" s="27" t="n">
        <v>463</v>
      </c>
      <c r="H22" s="27" t="n">
        <v>570</v>
      </c>
      <c r="I22" s="27"/>
      <c r="J22" s="27"/>
      <c r="K22" s="27"/>
      <c r="L22" s="27"/>
      <c r="M22" s="27"/>
      <c r="N22" s="27"/>
      <c r="O22" s="46" t="str">
        <f aca="false">IF(OR(J22="",K22="",J22=0),"",K22/J22)</f>
        <v/>
      </c>
      <c r="P22" s="28" t="n">
        <f aca="false">SUMIFS(5000m比較!$B$5:$B$34,5000m比較!$A$5:$A$34,A22,5000m比較!$C$5:$C$34,B22)</f>
        <v>6</v>
      </c>
    </row>
  </sheetData>
  <autoFilter ref="A4:P22"/>
  <mergeCells count="1">
    <mergeCell ref="A2:P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99B"/>
    <pageSetUpPr fitToPage="tru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
    <col collapsed="false" customWidth="true" hidden="false" outlineLevel="0" max="3" min="3" style="0" width="6"/>
    <col collapsed="false" customWidth="true" hidden="false" outlineLevel="0" max="4" min="4" style="0" width="9"/>
    <col collapsed="false" customWidth="true" hidden="false" outlineLevel="0" max="5" min="5" style="0" width="11"/>
    <col collapsed="false" customWidth="true" hidden="false" outlineLevel="0" max="6" min="6" style="0" width="12"/>
    <col collapsed="false" customWidth="true" hidden="false" outlineLevel="0" max="7" min="7" style="0" width="14"/>
    <col collapsed="false" customWidth="true" hidden="false" outlineLevel="0" max="8" min="8" style="0" width="26"/>
  </cols>
  <sheetData>
    <row r="1" customFormat="false" ht="19.4" hidden="false" customHeight="false" outlineLevel="0" collapsed="false">
      <c r="A1" s="9" t="s">
        <v>349</v>
      </c>
    </row>
    <row r="2" customFormat="false" ht="30" hidden="false" customHeight="true" outlineLevel="0" collapsed="false">
      <c r="A2" s="10" t="s">
        <v>350</v>
      </c>
      <c r="B2" s="10"/>
      <c r="C2" s="10"/>
      <c r="D2" s="10"/>
      <c r="E2" s="10"/>
      <c r="F2" s="10"/>
      <c r="G2" s="10"/>
      <c r="H2" s="10"/>
    </row>
    <row r="4" customFormat="false" ht="33.75" hidden="false" customHeight="true" outlineLevel="0" collapsed="false">
      <c r="A4" s="11" t="s">
        <v>351</v>
      </c>
      <c r="B4" s="11"/>
      <c r="C4" s="11" t="s">
        <v>217</v>
      </c>
      <c r="D4" s="11" t="s">
        <v>81</v>
      </c>
      <c r="E4" s="11" t="s">
        <v>352</v>
      </c>
      <c r="F4" s="11" t="s">
        <v>353</v>
      </c>
      <c r="G4" s="11" t="s">
        <v>354</v>
      </c>
      <c r="H4" s="11" t="s">
        <v>355</v>
      </c>
    </row>
    <row r="5" customFormat="false" ht="15" hidden="false" customHeight="true" outlineLevel="0" collapsed="false">
      <c r="A5" s="47" t="s">
        <v>356</v>
      </c>
      <c r="B5" s="47"/>
      <c r="C5" s="48" t="n">
        <f aca="false">SUMPRODUCT((選手一覧!$K$6:$K$35&lt;&gt;"")*(選手一覧!$G$6:$G$35&lt;&gt;""))</f>
        <v>30</v>
      </c>
      <c r="D5" s="49" t="n">
        <f aca="false">CORREL(選手一覧!$K$6:$K$35,選手一覧!$G$6:$G$35)</f>
        <v>0.0462545672233085</v>
      </c>
      <c r="E5" s="49" t="n">
        <v>0.347</v>
      </c>
      <c r="F5" s="50" t="n">
        <v>0.8082</v>
      </c>
      <c r="G5" s="50" t="n">
        <v>0.0822</v>
      </c>
      <c r="H5" s="51" t="s">
        <v>357</v>
      </c>
    </row>
    <row r="6" customFormat="false" ht="15" hidden="false" customHeight="true" outlineLevel="0" collapsed="false">
      <c r="A6" s="52" t="s">
        <v>358</v>
      </c>
      <c r="B6" s="52"/>
      <c r="C6" s="53" t="n">
        <f aca="false">SUMPRODUCT((選手一覧!$M$6:$M$35&lt;&gt;"")*(選手一覧!$G$6:$G$35&lt;&gt;""))</f>
        <v>30</v>
      </c>
      <c r="D6" s="54" t="n">
        <f aca="false">CORREL(選手一覧!$M$6:$M$35,選手一覧!$G$6:$G$35)</f>
        <v>0.430406790124634</v>
      </c>
      <c r="E6" s="54" t="n">
        <v>0.386</v>
      </c>
      <c r="F6" s="55" t="n">
        <v>0.0176</v>
      </c>
      <c r="G6" s="55" t="n">
        <v>0.0516</v>
      </c>
      <c r="H6" s="56" t="s">
        <v>359</v>
      </c>
    </row>
    <row r="7" customFormat="false" ht="15" hidden="false" customHeight="true" outlineLevel="0" collapsed="false">
      <c r="A7" s="56" t="s">
        <v>34</v>
      </c>
      <c r="B7" s="56"/>
      <c r="C7" s="53" t="n">
        <f aca="false">SUMPRODUCT((選手一覧!$O$6:$O$35&lt;&gt;"")*(選手一覧!$G$6:$G$35&lt;&gt;""))</f>
        <v>30</v>
      </c>
      <c r="D7" s="54" t="n">
        <f aca="false">CORREL(選手一覧!$O$6:$O$35,選手一覧!$G$6:$G$35)</f>
        <v>0.372732909153628</v>
      </c>
      <c r="E7" s="54" t="n">
        <v>0.413</v>
      </c>
      <c r="F7" s="55" t="n">
        <v>0.0425</v>
      </c>
      <c r="G7" s="55" t="n">
        <v>0.0359</v>
      </c>
      <c r="H7" s="56" t="s">
        <v>359</v>
      </c>
    </row>
    <row r="8" customFormat="false" ht="15" hidden="false" customHeight="true" outlineLevel="0" collapsed="false">
      <c r="A8" s="5" t="s">
        <v>360</v>
      </c>
      <c r="B8" s="5"/>
      <c r="C8" s="14" t="n">
        <f aca="false">SUMPRODUCT((選手一覧!$B$6:$B$35&lt;&gt;"")*(選手一覧!$G$6:$G$35&lt;&gt;""))</f>
        <v>30</v>
      </c>
      <c r="D8" s="57" t="n">
        <f aca="false">CORREL(選手一覧!$B$6:$B$35,選手一覧!$G$6:$G$35)</f>
        <v>0.0614488382566854</v>
      </c>
      <c r="E8" s="57" t="n">
        <v>0.071</v>
      </c>
      <c r="F8" s="20" t="n">
        <v>0.747</v>
      </c>
      <c r="G8" s="20" t="n">
        <v>0.7299</v>
      </c>
      <c r="H8" s="5" t="s">
        <v>361</v>
      </c>
    </row>
    <row r="9" customFormat="false" ht="15" hidden="false" customHeight="true" outlineLevel="0" collapsed="false">
      <c r="A9" s="7" t="s">
        <v>210</v>
      </c>
      <c r="B9" s="7"/>
      <c r="C9" s="14" t="n">
        <f aca="false">SUMPRODUCT((選手一覧!$P$6:$P$35&lt;&gt;"")*(選手一覧!$G$6:$G$35&lt;&gt;""))</f>
        <v>24</v>
      </c>
      <c r="D9" s="57" t="n">
        <f aca="false">CORREL(選手一覧!$P$6:$P$35,選手一覧!$G$6:$G$35)</f>
        <v>0.21035603271837</v>
      </c>
      <c r="E9" s="57" t="n">
        <v>0.119</v>
      </c>
      <c r="F9" s="20" t="n">
        <v>0.3238</v>
      </c>
      <c r="G9" s="20" t="n">
        <v>0.608</v>
      </c>
      <c r="H9" s="5" t="s">
        <v>361</v>
      </c>
    </row>
    <row r="10" customFormat="false" ht="15" hidden="false" customHeight="true" outlineLevel="0" collapsed="false">
      <c r="A10" s="47" t="s">
        <v>211</v>
      </c>
      <c r="B10" s="47"/>
      <c r="C10" s="48" t="n">
        <f aca="false">SUMPRODUCT((選手一覧!$Q$6:$Q$35&lt;&gt;"")*(選手一覧!$G$6:$G$35&lt;&gt;""))</f>
        <v>24</v>
      </c>
      <c r="D10" s="49" t="n">
        <f aca="false">CORREL(選手一覧!$Q$6:$Q$35,選手一覧!$G$6:$G$35)</f>
        <v>0.3528208001734</v>
      </c>
      <c r="E10" s="49" t="n">
        <v>0.117</v>
      </c>
      <c r="F10" s="50" t="n">
        <v>0.0908</v>
      </c>
      <c r="G10" s="50" t="n">
        <v>0.6133</v>
      </c>
      <c r="H10" s="51" t="s">
        <v>357</v>
      </c>
    </row>
    <row r="11" customFormat="false" ht="15" hidden="false" customHeight="true" outlineLevel="0" collapsed="false">
      <c r="A11" s="7" t="s">
        <v>212</v>
      </c>
      <c r="B11" s="7"/>
      <c r="C11" s="14" t="n">
        <f aca="false">SUMPRODUCT((選手一覧!$S$6:$S$35&lt;&gt;"")*(選手一覧!$G$6:$G$35&lt;&gt;""))</f>
        <v>24</v>
      </c>
      <c r="D11" s="57" t="n">
        <f aca="false">CORREL(選手一覧!$S$6:$S$35,選手一覧!$G$6:$G$35)</f>
        <v>0.158827292582218</v>
      </c>
      <c r="E11" s="57" t="n">
        <v>0.099</v>
      </c>
      <c r="F11" s="20" t="n">
        <v>0.4585</v>
      </c>
      <c r="G11" s="20" t="n">
        <v>0.6709</v>
      </c>
      <c r="H11" s="5" t="s">
        <v>361</v>
      </c>
    </row>
    <row r="12" customFormat="false" ht="15" hidden="false" customHeight="true" outlineLevel="0" collapsed="false">
      <c r="A12" s="7" t="s">
        <v>213</v>
      </c>
      <c r="B12" s="7"/>
      <c r="C12" s="14" t="n">
        <f aca="false">SUMPRODUCT((選手一覧!$V$6:$V$35&lt;&gt;"")*(選手一覧!$G$6:$G$35&lt;&gt;""))</f>
        <v>24</v>
      </c>
      <c r="D12" s="57" t="n">
        <f aca="false">CORREL(選手一覧!$V$6:$V$35,選手一覧!$G$6:$G$35)</f>
        <v>0.221128744912739</v>
      </c>
      <c r="E12" s="57" t="n">
        <v>0.131</v>
      </c>
      <c r="F12" s="20" t="n">
        <v>0.2991</v>
      </c>
      <c r="G12" s="20" t="n">
        <v>0.57</v>
      </c>
      <c r="H12" s="5" t="s">
        <v>361</v>
      </c>
    </row>
    <row r="13" customFormat="false" ht="15" hidden="false" customHeight="true" outlineLevel="0" collapsed="false">
      <c r="A13" s="7" t="s">
        <v>362</v>
      </c>
      <c r="B13" s="7"/>
      <c r="C13" s="14" t="n">
        <f aca="false">SUMPRODUCT((選手一覧!$W$6:$W$35&lt;&gt;"")*(選手一覧!$G$6:$G$35&lt;&gt;""))</f>
        <v>24</v>
      </c>
      <c r="D13" s="57" t="n">
        <f aca="false">CORREL(選手一覧!$W$6:$W$35,選手一覧!$G$6:$G$35)</f>
        <v>-0.158744482023338</v>
      </c>
      <c r="E13" s="57" t="n">
        <v>-0.261</v>
      </c>
      <c r="F13" s="20" t="n">
        <v>0.4588</v>
      </c>
      <c r="G13" s="20" t="n">
        <v>0.2531</v>
      </c>
      <c r="H13" s="5" t="s">
        <v>361</v>
      </c>
    </row>
    <row r="14" customFormat="false" ht="15" hidden="false" customHeight="true" outlineLevel="0" collapsed="false">
      <c r="A14" s="7" t="s">
        <v>363</v>
      </c>
      <c r="B14" s="7"/>
      <c r="C14" s="14" t="n">
        <f aca="false">SUMPRODUCT((選手一覧!$X$6:$X$35&lt;&gt;"")*(選手一覧!$G$6:$G$35&lt;&gt;""))</f>
        <v>24</v>
      </c>
      <c r="D14" s="57" t="n">
        <f aca="false">CORREL(選手一覧!$X$6:$X$35,選手一覧!$G$6:$G$35)</f>
        <v>0.289634509571093</v>
      </c>
      <c r="E14" s="57" t="n">
        <v>0.164</v>
      </c>
      <c r="F14" s="20" t="n">
        <v>0.1698</v>
      </c>
      <c r="G14" s="20" t="n">
        <v>0.4762</v>
      </c>
      <c r="H14" s="5" t="s">
        <v>361</v>
      </c>
    </row>
    <row r="15" customFormat="false" ht="15" hidden="false" customHeight="true" outlineLevel="0" collapsed="false">
      <c r="A15" s="7" t="s">
        <v>364</v>
      </c>
      <c r="B15" s="7"/>
      <c r="C15" s="14" t="n">
        <f aca="false">SUMPRODUCT((選手一覧!$Y$6:$Y$35&lt;&gt;"")*(選手一覧!$G$6:$G$35&lt;&gt;""))</f>
        <v>24</v>
      </c>
      <c r="D15" s="57" t="n">
        <f aca="false">CORREL(選手一覧!$Y$6:$Y$35,選手一覧!$G$6:$G$35)</f>
        <v>-0.00403472756216907</v>
      </c>
      <c r="E15" s="57" t="n">
        <v>-0.135</v>
      </c>
      <c r="F15" s="20" t="n">
        <v>0.9851</v>
      </c>
      <c r="G15" s="20" t="n">
        <v>0.5596</v>
      </c>
      <c r="H15" s="5" t="s">
        <v>361</v>
      </c>
    </row>
    <row r="16" customFormat="false" ht="15" hidden="false" customHeight="true" outlineLevel="0" collapsed="false">
      <c r="A16" s="5" t="s">
        <v>365</v>
      </c>
      <c r="B16" s="5"/>
      <c r="C16" s="14" t="n">
        <f aca="false">SUMPRODUCT((選手一覧!$Z$6:$Z$35&lt;&gt;"")*(選手一覧!$G$6:$G$35&lt;&gt;""))</f>
        <v>24</v>
      </c>
      <c r="D16" s="57" t="n">
        <f aca="false">CORREL(選手一覧!$Z$6:$Z$35,選手一覧!$G$6:$G$35)</f>
        <v>-0.0492946240678913</v>
      </c>
      <c r="E16" s="57" t="n">
        <v>-0.199</v>
      </c>
      <c r="F16" s="20" t="n">
        <v>0.8191</v>
      </c>
      <c r="G16" s="20" t="n">
        <v>0.3864</v>
      </c>
      <c r="H16" s="5" t="s">
        <v>361</v>
      </c>
    </row>
    <row r="17" customFormat="false" ht="15" hidden="false" customHeight="true" outlineLevel="0" collapsed="false">
      <c r="A17" s="47" t="s">
        <v>366</v>
      </c>
      <c r="B17" s="47"/>
      <c r="C17" s="48" t="n">
        <f aca="false">SUMPRODUCT((選手一覧!$AA$6:$AA$35&lt;&gt;"")*(選手一覧!$G$6:$G$35&lt;&gt;""))</f>
        <v>12</v>
      </c>
      <c r="D17" s="49" t="n">
        <f aca="false">CORREL(選手一覧!$AA$6:$AA$35,選手一覧!$G$6:$G$35)</f>
        <v>-0.517811146691944</v>
      </c>
      <c r="E17" s="49" t="n">
        <v>-0.517</v>
      </c>
      <c r="F17" s="50" t="n">
        <v>0.0846</v>
      </c>
      <c r="G17" s="50" t="n">
        <v>0.1035</v>
      </c>
      <c r="H17" s="51" t="s">
        <v>357</v>
      </c>
    </row>
    <row r="18" customFormat="false" ht="15" hidden="false" customHeight="true" outlineLevel="0" collapsed="false">
      <c r="A18" s="7" t="s">
        <v>367</v>
      </c>
      <c r="B18" s="7"/>
      <c r="C18" s="14" t="n">
        <f aca="false">SUMPRODUCT((選手一覧!$AB$6:$AB$35&lt;&gt;"")*(選手一覧!$G$6:$G$35&lt;&gt;""))</f>
        <v>12</v>
      </c>
      <c r="D18" s="57" t="n">
        <f aca="false">CORREL(選手一覧!$AB$6:$AB$35,選手一覧!$G$6:$G$35)</f>
        <v>0.202269453739216</v>
      </c>
      <c r="E18" s="57" t="n">
        <v>0.303</v>
      </c>
      <c r="F18" s="20" t="n">
        <v>0.5284</v>
      </c>
      <c r="G18" s="20" t="n">
        <v>0.3646</v>
      </c>
      <c r="H18" s="5" t="s">
        <v>361</v>
      </c>
    </row>
    <row r="19" customFormat="false" ht="15" hidden="false" customHeight="true" outlineLevel="0" collapsed="false">
      <c r="A19" s="7" t="s">
        <v>368</v>
      </c>
      <c r="B19" s="7"/>
      <c r="C19" s="14" t="n">
        <f aca="false">SUMPRODUCT((選手一覧!$AC$6:$AC$35&lt;&gt;"")*(選手一覧!$G$6:$G$35&lt;&gt;""))</f>
        <v>12</v>
      </c>
      <c r="D19" s="57" t="n">
        <f aca="false">CORREL(選手一覧!$AC$6:$AC$35,選手一覧!$G$6:$G$35)</f>
        <v>0.141228732253496</v>
      </c>
      <c r="E19" s="57" t="n">
        <v>0.123</v>
      </c>
      <c r="F19" s="20" t="n">
        <v>0.6615</v>
      </c>
      <c r="G19" s="20" t="n">
        <v>0.7177</v>
      </c>
      <c r="H19" s="5" t="s">
        <v>361</v>
      </c>
    </row>
    <row r="20" customFormat="false" ht="15" hidden="false" customHeight="true" outlineLevel="0" collapsed="false">
      <c r="A20" s="7" t="s">
        <v>369</v>
      </c>
      <c r="B20" s="7"/>
      <c r="C20" s="14" t="n">
        <f aca="false">SUMPRODUCT((選手一覧!$AD$6:$AD$35&lt;&gt;"")*(選手一覧!$G$6:$G$35&lt;&gt;""))</f>
        <v>12</v>
      </c>
      <c r="D20" s="57" t="n">
        <f aca="false">CORREL(選手一覧!$AD$6:$AD$35,選手一覧!$G$6:$G$35)</f>
        <v>0.0496478933941311</v>
      </c>
      <c r="E20" s="57" t="n">
        <v>0.003</v>
      </c>
      <c r="F20" s="20" t="n">
        <v>0.8782</v>
      </c>
      <c r="G20" s="20" t="n">
        <v>0.9931</v>
      </c>
      <c r="H20" s="5" t="s">
        <v>361</v>
      </c>
    </row>
    <row r="22" customFormat="false" ht="15" hidden="false" customHeight="false" outlineLevel="0" collapsed="false">
      <c r="A22" s="38" t="s">
        <v>370</v>
      </c>
    </row>
    <row r="23" customFormat="false" ht="15" hidden="false" customHeight="false" outlineLevel="0" collapsed="false">
      <c r="A23" s="24" t="s">
        <v>371</v>
      </c>
    </row>
  </sheetData>
  <mergeCells count="17">
    <mergeCell ref="A2:H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99B"/>
    <pageSetUpPr fitToPage="tru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8" min="3" style="0" width="15"/>
  </cols>
  <sheetData>
    <row r="1" customFormat="false" ht="19.4" hidden="false" customHeight="false" outlineLevel="0" collapsed="false">
      <c r="A1" s="32" t="s">
        <v>372</v>
      </c>
    </row>
    <row r="2" customFormat="false" ht="15" hidden="false" customHeight="false" outlineLevel="0" collapsed="false">
      <c r="A2" s="38" t="s">
        <v>373</v>
      </c>
    </row>
    <row r="3" customFormat="false" ht="15" hidden="false" customHeight="false" outlineLevel="0" collapsed="false">
      <c r="A3" s="38" t="s">
        <v>374</v>
      </c>
    </row>
    <row r="4" customFormat="false" ht="15" hidden="false" customHeight="false" outlineLevel="0" collapsed="false">
      <c r="A4" s="38" t="s">
        <v>375</v>
      </c>
    </row>
    <row r="5" customFormat="false" ht="15" hidden="false" customHeight="false" outlineLevel="0" collapsed="false">
      <c r="A5" s="24" t="s">
        <v>376</v>
      </c>
    </row>
    <row r="6" customFormat="false" ht="15" hidden="false" customHeight="false" outlineLevel="0" collapsed="false">
      <c r="A6" s="24" t="s">
        <v>377</v>
      </c>
    </row>
    <row r="8" customFormat="false" ht="15" hidden="false" customHeight="false" outlineLevel="0" collapsed="false">
      <c r="A8" s="58" t="s">
        <v>378</v>
      </c>
    </row>
    <row r="10" customFormat="false" ht="15" hidden="false" customHeight="false" outlineLevel="0" collapsed="false">
      <c r="A10" s="39" t="s">
        <v>379</v>
      </c>
    </row>
    <row r="11" customFormat="false" ht="15" hidden="false" customHeight="false" outlineLevel="0" collapsed="false">
      <c r="A11" s="11" t="s">
        <v>380</v>
      </c>
      <c r="B11" s="11" t="s">
        <v>381</v>
      </c>
      <c r="C11" s="11" t="s">
        <v>382</v>
      </c>
      <c r="D11" s="11" t="s">
        <v>383</v>
      </c>
      <c r="E11" s="11" t="s">
        <v>384</v>
      </c>
      <c r="F11" s="11" t="s">
        <v>385</v>
      </c>
      <c r="G11" s="11" t="s">
        <v>386</v>
      </c>
      <c r="H11" s="11" t="s">
        <v>387</v>
      </c>
    </row>
    <row r="12" customFormat="false" ht="30" hidden="false" customHeight="true" outlineLevel="0" collapsed="false">
      <c r="A12" s="13" t="s">
        <v>388</v>
      </c>
      <c r="B12" s="7" t="s">
        <v>389</v>
      </c>
      <c r="C12" s="59" t="s">
        <v>390</v>
      </c>
      <c r="D12" s="13" t="s">
        <v>391</v>
      </c>
      <c r="E12" s="13" t="s">
        <v>391</v>
      </c>
      <c r="F12" s="13" t="s">
        <v>391</v>
      </c>
      <c r="G12" s="13" t="s">
        <v>391</v>
      </c>
      <c r="H12" s="59" t="s">
        <v>392</v>
      </c>
    </row>
    <row r="13" customFormat="false" ht="30" hidden="false" customHeight="true" outlineLevel="0" collapsed="false">
      <c r="A13" s="13" t="s">
        <v>393</v>
      </c>
      <c r="B13" s="7" t="s">
        <v>394</v>
      </c>
      <c r="C13" s="59" t="s">
        <v>395</v>
      </c>
      <c r="D13" s="59" t="s">
        <v>390</v>
      </c>
      <c r="E13" s="13" t="s">
        <v>396</v>
      </c>
      <c r="F13" s="13" t="s">
        <v>396</v>
      </c>
      <c r="G13" s="13" t="s">
        <v>397</v>
      </c>
      <c r="H13" s="59" t="s">
        <v>390</v>
      </c>
    </row>
    <row r="14" customFormat="false" ht="30" hidden="false" customHeight="true" outlineLevel="0" collapsed="false">
      <c r="A14" s="13" t="s">
        <v>398</v>
      </c>
      <c r="B14" s="7" t="s">
        <v>399</v>
      </c>
      <c r="C14" s="59" t="s">
        <v>400</v>
      </c>
      <c r="D14" s="13" t="s">
        <v>391</v>
      </c>
      <c r="E14" s="13" t="s">
        <v>391</v>
      </c>
      <c r="F14" s="13" t="s">
        <v>391</v>
      </c>
      <c r="G14" s="13" t="s">
        <v>401</v>
      </c>
      <c r="H14" s="59" t="s">
        <v>390</v>
      </c>
    </row>
    <row r="15" customFormat="false" ht="30" hidden="false" customHeight="true" outlineLevel="0" collapsed="false">
      <c r="A15" s="13" t="s">
        <v>402</v>
      </c>
      <c r="B15" s="7" t="s">
        <v>403</v>
      </c>
      <c r="C15" s="13" t="s">
        <v>404</v>
      </c>
      <c r="D15" s="13" t="s">
        <v>405</v>
      </c>
      <c r="E15" s="13" t="s">
        <v>406</v>
      </c>
      <c r="F15" s="13" t="s">
        <v>407</v>
      </c>
      <c r="G15" s="13" t="s">
        <v>408</v>
      </c>
      <c r="H15" s="59" t="s">
        <v>409</v>
      </c>
    </row>
    <row r="16" customFormat="false" ht="30" hidden="false" customHeight="true" outlineLevel="0" collapsed="false">
      <c r="A16" s="13" t="s">
        <v>410</v>
      </c>
      <c r="B16" s="7" t="s">
        <v>411</v>
      </c>
      <c r="C16" s="59" t="s">
        <v>412</v>
      </c>
      <c r="D16" s="13" t="s">
        <v>391</v>
      </c>
      <c r="E16" s="13" t="s">
        <v>391</v>
      </c>
      <c r="F16" s="13" t="s">
        <v>391</v>
      </c>
      <c r="G16" s="13" t="s">
        <v>401</v>
      </c>
      <c r="H16" s="59" t="s">
        <v>412</v>
      </c>
    </row>
    <row r="17" customFormat="false" ht="30" hidden="false" customHeight="true" outlineLevel="0" collapsed="false">
      <c r="A17" s="13" t="s">
        <v>413</v>
      </c>
      <c r="B17" s="7" t="s">
        <v>403</v>
      </c>
      <c r="C17" s="13" t="s">
        <v>414</v>
      </c>
      <c r="D17" s="13" t="s">
        <v>415</v>
      </c>
      <c r="E17" s="13" t="s">
        <v>416</v>
      </c>
      <c r="F17" s="13" t="s">
        <v>417</v>
      </c>
      <c r="G17" s="13" t="s">
        <v>418</v>
      </c>
      <c r="H17" s="13" t="s">
        <v>419</v>
      </c>
    </row>
    <row r="18" customFormat="false" ht="30" hidden="false" customHeight="true" outlineLevel="0" collapsed="false">
      <c r="A18" s="13" t="s">
        <v>420</v>
      </c>
      <c r="B18" s="7" t="s">
        <v>421</v>
      </c>
      <c r="C18" s="59" t="s">
        <v>422</v>
      </c>
      <c r="D18" s="13" t="s">
        <v>423</v>
      </c>
      <c r="E18" s="13" t="s">
        <v>423</v>
      </c>
      <c r="F18" s="13" t="s">
        <v>423</v>
      </c>
      <c r="G18" s="13" t="s">
        <v>423</v>
      </c>
      <c r="H18" s="59" t="s">
        <v>422</v>
      </c>
    </row>
    <row r="20" customFormat="false" ht="15" hidden="false" customHeight="false" outlineLevel="0" collapsed="false">
      <c r="A20" s="39" t="s">
        <v>424</v>
      </c>
    </row>
    <row r="21" customFormat="false" ht="15" hidden="false" customHeight="false" outlineLevel="0" collapsed="false">
      <c r="A21" s="11" t="s">
        <v>380</v>
      </c>
      <c r="B21" s="11" t="s">
        <v>381</v>
      </c>
      <c r="C21" s="11" t="s">
        <v>382</v>
      </c>
      <c r="D21" s="11" t="s">
        <v>383</v>
      </c>
      <c r="E21" s="11" t="s">
        <v>384</v>
      </c>
      <c r="F21" s="11" t="s">
        <v>385</v>
      </c>
      <c r="G21" s="11" t="s">
        <v>386</v>
      </c>
      <c r="H21" s="11" t="s">
        <v>387</v>
      </c>
    </row>
    <row r="22" customFormat="false" ht="30" hidden="false" customHeight="true" outlineLevel="0" collapsed="false">
      <c r="A22" s="13" t="s">
        <v>425</v>
      </c>
      <c r="B22" s="7" t="s">
        <v>426</v>
      </c>
      <c r="C22" s="13" t="s">
        <v>391</v>
      </c>
      <c r="D22" s="13" t="s">
        <v>391</v>
      </c>
      <c r="E22" s="13" t="s">
        <v>391</v>
      </c>
      <c r="F22" s="13" t="s">
        <v>391</v>
      </c>
      <c r="G22" s="13" t="s">
        <v>401</v>
      </c>
      <c r="H22" s="59" t="s">
        <v>427</v>
      </c>
    </row>
    <row r="23" customFormat="false" ht="30" hidden="false" customHeight="true" outlineLevel="0" collapsed="false">
      <c r="A23" s="13" t="s">
        <v>428</v>
      </c>
      <c r="B23" s="7" t="s">
        <v>429</v>
      </c>
      <c r="C23" s="13" t="s">
        <v>391</v>
      </c>
      <c r="D23" s="13" t="s">
        <v>391</v>
      </c>
      <c r="E23" s="13" t="s">
        <v>391</v>
      </c>
      <c r="F23" s="13" t="s">
        <v>391</v>
      </c>
      <c r="G23" s="13" t="s">
        <v>401</v>
      </c>
      <c r="H23" s="13" t="s">
        <v>391</v>
      </c>
    </row>
    <row r="24" customFormat="false" ht="30" hidden="false" customHeight="true" outlineLevel="0" collapsed="false">
      <c r="A24" s="13" t="s">
        <v>430</v>
      </c>
      <c r="B24" s="7" t="s">
        <v>431</v>
      </c>
      <c r="C24" s="13" t="s">
        <v>391</v>
      </c>
      <c r="D24" s="13" t="s">
        <v>391</v>
      </c>
      <c r="E24" s="13" t="s">
        <v>391</v>
      </c>
      <c r="F24" s="13" t="s">
        <v>391</v>
      </c>
      <c r="G24" s="13" t="s">
        <v>401</v>
      </c>
      <c r="H24" s="13" t="s">
        <v>391</v>
      </c>
    </row>
    <row r="25" customFormat="false" ht="30" hidden="false" customHeight="true" outlineLevel="0" collapsed="false">
      <c r="A25" s="13" t="s">
        <v>432</v>
      </c>
      <c r="B25" s="7" t="s">
        <v>429</v>
      </c>
      <c r="C25" s="13" t="s">
        <v>391</v>
      </c>
      <c r="D25" s="13" t="s">
        <v>391</v>
      </c>
      <c r="E25" s="59" t="s">
        <v>390</v>
      </c>
      <c r="F25" s="13" t="s">
        <v>391</v>
      </c>
      <c r="G25" s="13" t="s">
        <v>401</v>
      </c>
      <c r="H25" s="13" t="s">
        <v>391</v>
      </c>
    </row>
    <row r="27" customFormat="false" ht="15" hidden="false" customHeight="false" outlineLevel="0" collapsed="false">
      <c r="A27" s="39" t="s">
        <v>433</v>
      </c>
    </row>
    <row r="28" customFormat="false" ht="15" hidden="false" customHeight="false" outlineLevel="0" collapsed="false">
      <c r="A28" s="11" t="s">
        <v>380</v>
      </c>
      <c r="B28" s="11" t="s">
        <v>381</v>
      </c>
      <c r="C28" s="11" t="s">
        <v>382</v>
      </c>
      <c r="D28" s="11" t="s">
        <v>383</v>
      </c>
      <c r="E28" s="11" t="s">
        <v>384</v>
      </c>
      <c r="F28" s="11" t="s">
        <v>385</v>
      </c>
      <c r="G28" s="11" t="s">
        <v>386</v>
      </c>
      <c r="H28" s="11" t="s">
        <v>387</v>
      </c>
    </row>
    <row r="29" customFormat="false" ht="30" hidden="false" customHeight="true" outlineLevel="0" collapsed="false">
      <c r="A29" s="13" t="s">
        <v>434</v>
      </c>
      <c r="B29" s="7" t="s">
        <v>435</v>
      </c>
      <c r="C29" s="13" t="s">
        <v>391</v>
      </c>
      <c r="D29" s="13" t="s">
        <v>391</v>
      </c>
      <c r="E29" s="13" t="s">
        <v>391</v>
      </c>
      <c r="F29" s="13" t="s">
        <v>391</v>
      </c>
      <c r="G29" s="13" t="s">
        <v>391</v>
      </c>
      <c r="H29" s="59" t="s">
        <v>390</v>
      </c>
    </row>
    <row r="30" customFormat="false" ht="30" hidden="false" customHeight="true" outlineLevel="0" collapsed="false">
      <c r="A30" s="13" t="s">
        <v>436</v>
      </c>
      <c r="B30" s="7" t="s">
        <v>437</v>
      </c>
      <c r="C30" s="13" t="s">
        <v>396</v>
      </c>
      <c r="D30" s="13" t="s">
        <v>396</v>
      </c>
      <c r="E30" s="13" t="s">
        <v>396</v>
      </c>
      <c r="F30" s="13" t="s">
        <v>396</v>
      </c>
      <c r="G30" s="13" t="s">
        <v>396</v>
      </c>
      <c r="H30" s="59" t="s">
        <v>438</v>
      </c>
    </row>
    <row r="31" customFormat="false" ht="30" hidden="false" customHeight="true" outlineLevel="0" collapsed="false">
      <c r="A31" s="13" t="s">
        <v>439</v>
      </c>
      <c r="B31" s="7" t="s">
        <v>440</v>
      </c>
      <c r="C31" s="13" t="s">
        <v>396</v>
      </c>
      <c r="D31" s="13" t="s">
        <v>396</v>
      </c>
      <c r="E31" s="59" t="s">
        <v>441</v>
      </c>
      <c r="F31" s="13" t="s">
        <v>442</v>
      </c>
      <c r="G31" s="13" t="s">
        <v>396</v>
      </c>
      <c r="H31" s="13" t="s">
        <v>396</v>
      </c>
    </row>
    <row r="32" customFormat="false" ht="30" hidden="false" customHeight="true" outlineLevel="0" collapsed="false">
      <c r="A32" s="13" t="s">
        <v>443</v>
      </c>
      <c r="B32" s="7" t="s">
        <v>444</v>
      </c>
      <c r="C32" s="13" t="s">
        <v>396</v>
      </c>
      <c r="D32" s="13" t="s">
        <v>396</v>
      </c>
      <c r="E32" s="13" t="s">
        <v>396</v>
      </c>
      <c r="F32" s="13" t="s">
        <v>396</v>
      </c>
      <c r="G32" s="13" t="s">
        <v>442</v>
      </c>
      <c r="H32" s="13" t="s">
        <v>396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99B"/>
    <pageSetUpPr fitToPage="tru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8" min="3" style="0" width="15"/>
  </cols>
  <sheetData>
    <row r="1" customFormat="false" ht="19.4" hidden="false" customHeight="false" outlineLevel="0" collapsed="false">
      <c r="A1" s="32" t="s">
        <v>445</v>
      </c>
    </row>
    <row r="2" customFormat="false" ht="15" hidden="false" customHeight="false" outlineLevel="0" collapsed="false">
      <c r="A2" s="38" t="s">
        <v>373</v>
      </c>
    </row>
    <row r="3" customFormat="false" ht="15" hidden="false" customHeight="false" outlineLevel="0" collapsed="false">
      <c r="A3" s="38" t="s">
        <v>374</v>
      </c>
    </row>
    <row r="4" customFormat="false" ht="15" hidden="false" customHeight="false" outlineLevel="0" collapsed="false">
      <c r="A4" s="38" t="s">
        <v>375</v>
      </c>
    </row>
    <row r="5" customFormat="false" ht="15" hidden="false" customHeight="false" outlineLevel="0" collapsed="false">
      <c r="A5" s="24" t="s">
        <v>376</v>
      </c>
    </row>
    <row r="6" customFormat="false" ht="15" hidden="false" customHeight="false" outlineLevel="0" collapsed="false">
      <c r="A6" s="24" t="s">
        <v>377</v>
      </c>
    </row>
    <row r="8" customFormat="false" ht="15" hidden="false" customHeight="false" outlineLevel="0" collapsed="false">
      <c r="A8" s="58" t="s">
        <v>446</v>
      </c>
    </row>
    <row r="10" customFormat="false" ht="15" hidden="false" customHeight="false" outlineLevel="0" collapsed="false">
      <c r="A10" s="39" t="s">
        <v>447</v>
      </c>
    </row>
    <row r="11" customFormat="false" ht="15" hidden="false" customHeight="false" outlineLevel="0" collapsed="false">
      <c r="A11" s="11" t="s">
        <v>380</v>
      </c>
      <c r="B11" s="11" t="s">
        <v>381</v>
      </c>
      <c r="C11" s="11" t="s">
        <v>387</v>
      </c>
      <c r="D11" s="11" t="s">
        <v>382</v>
      </c>
      <c r="E11" s="11" t="s">
        <v>383</v>
      </c>
      <c r="F11" s="11" t="s">
        <v>448</v>
      </c>
      <c r="G11" s="11" t="s">
        <v>449</v>
      </c>
      <c r="H11" s="11" t="s">
        <v>450</v>
      </c>
    </row>
    <row r="12" customFormat="false" ht="30" hidden="false" customHeight="true" outlineLevel="0" collapsed="false">
      <c r="A12" s="13" t="s">
        <v>451</v>
      </c>
      <c r="B12" s="7" t="s">
        <v>452</v>
      </c>
      <c r="C12" s="13" t="s">
        <v>453</v>
      </c>
      <c r="D12" s="13" t="s">
        <v>454</v>
      </c>
      <c r="E12" s="13" t="s">
        <v>455</v>
      </c>
      <c r="F12" s="13" t="s">
        <v>456</v>
      </c>
      <c r="G12" s="13" t="s">
        <v>457</v>
      </c>
      <c r="H12" s="59" t="s">
        <v>458</v>
      </c>
    </row>
    <row r="13" customFormat="false" ht="30" hidden="false" customHeight="true" outlineLevel="0" collapsed="false">
      <c r="A13" s="13" t="s">
        <v>413</v>
      </c>
      <c r="B13" s="7" t="s">
        <v>459</v>
      </c>
      <c r="C13" s="13" t="s">
        <v>391</v>
      </c>
      <c r="D13" s="13" t="s">
        <v>391</v>
      </c>
      <c r="E13" s="13" t="s">
        <v>391</v>
      </c>
      <c r="F13" s="13" t="s">
        <v>391</v>
      </c>
      <c r="G13" s="13" t="s">
        <v>391</v>
      </c>
      <c r="H13" s="13" t="s">
        <v>460</v>
      </c>
    </row>
    <row r="14" customFormat="false" ht="30" hidden="false" customHeight="true" outlineLevel="0" collapsed="false">
      <c r="A14" s="13" t="s">
        <v>420</v>
      </c>
      <c r="B14" s="7" t="s">
        <v>452</v>
      </c>
      <c r="C14" s="13" t="s">
        <v>461</v>
      </c>
      <c r="D14" s="13" t="s">
        <v>462</v>
      </c>
      <c r="E14" s="13" t="s">
        <v>463</v>
      </c>
      <c r="F14" s="13" t="s">
        <v>464</v>
      </c>
      <c r="G14" s="13" t="s">
        <v>465</v>
      </c>
      <c r="H14" s="13" t="s">
        <v>466</v>
      </c>
    </row>
    <row r="15" customFormat="false" ht="30" hidden="false" customHeight="true" outlineLevel="0" collapsed="false">
      <c r="A15" s="13" t="s">
        <v>467</v>
      </c>
      <c r="B15" s="7" t="s">
        <v>468</v>
      </c>
      <c r="C15" s="13" t="s">
        <v>423</v>
      </c>
      <c r="D15" s="13" t="s">
        <v>423</v>
      </c>
      <c r="E15" s="13" t="s">
        <v>423</v>
      </c>
      <c r="F15" s="13" t="s">
        <v>423</v>
      </c>
      <c r="G15" s="59" t="s">
        <v>469</v>
      </c>
      <c r="H15" s="13" t="s">
        <v>423</v>
      </c>
    </row>
    <row r="17" customFormat="false" ht="15" hidden="false" customHeight="false" outlineLevel="0" collapsed="false">
      <c r="A17" s="39" t="s">
        <v>470</v>
      </c>
    </row>
    <row r="18" customFormat="false" ht="15" hidden="false" customHeight="false" outlineLevel="0" collapsed="false">
      <c r="A18" s="11" t="s">
        <v>380</v>
      </c>
      <c r="B18" s="11" t="s">
        <v>381</v>
      </c>
      <c r="C18" s="11" t="s">
        <v>387</v>
      </c>
      <c r="D18" s="11" t="s">
        <v>382</v>
      </c>
      <c r="E18" s="11" t="s">
        <v>383</v>
      </c>
      <c r="F18" s="11" t="s">
        <v>448</v>
      </c>
      <c r="G18" s="11" t="s">
        <v>449</v>
      </c>
      <c r="H18" s="11" t="s">
        <v>450</v>
      </c>
    </row>
    <row r="19" customFormat="false" ht="30" hidden="false" customHeight="true" outlineLevel="0" collapsed="false">
      <c r="A19" s="13" t="s">
        <v>471</v>
      </c>
      <c r="B19" s="7" t="s">
        <v>472</v>
      </c>
      <c r="C19" s="13" t="s">
        <v>396</v>
      </c>
      <c r="D19" s="13" t="s">
        <v>396</v>
      </c>
      <c r="E19" s="13" t="s">
        <v>396</v>
      </c>
      <c r="F19" s="13" t="s">
        <v>442</v>
      </c>
      <c r="G19" s="13" t="s">
        <v>396</v>
      </c>
      <c r="H19" s="13" t="s">
        <v>442</v>
      </c>
    </row>
    <row r="20" customFormat="false" ht="30" hidden="false" customHeight="true" outlineLevel="0" collapsed="false">
      <c r="A20" s="13" t="s">
        <v>430</v>
      </c>
      <c r="B20" s="7" t="s">
        <v>473</v>
      </c>
      <c r="C20" s="13" t="s">
        <v>396</v>
      </c>
      <c r="D20" s="13" t="s">
        <v>396</v>
      </c>
      <c r="E20" s="13" t="s">
        <v>396</v>
      </c>
      <c r="F20" s="13" t="s">
        <v>442</v>
      </c>
      <c r="G20" s="13" t="s">
        <v>396</v>
      </c>
      <c r="H20" s="13" t="s">
        <v>396</v>
      </c>
    </row>
    <row r="21" customFormat="false" ht="30" hidden="false" customHeight="true" outlineLevel="0" collapsed="false">
      <c r="A21" s="13" t="s">
        <v>474</v>
      </c>
      <c r="B21" s="7" t="s">
        <v>475</v>
      </c>
      <c r="C21" s="13" t="s">
        <v>396</v>
      </c>
      <c r="D21" s="13" t="s">
        <v>396</v>
      </c>
      <c r="E21" s="13" t="s">
        <v>396</v>
      </c>
      <c r="F21" s="13" t="s">
        <v>476</v>
      </c>
      <c r="G21" s="13" t="s">
        <v>396</v>
      </c>
      <c r="H21" s="13" t="s">
        <v>396</v>
      </c>
    </row>
    <row r="22" customFormat="false" ht="30" hidden="false" customHeight="true" outlineLevel="0" collapsed="false">
      <c r="A22" s="13" t="s">
        <v>477</v>
      </c>
      <c r="B22" s="7" t="s">
        <v>429</v>
      </c>
      <c r="C22" s="59" t="s">
        <v>478</v>
      </c>
      <c r="D22" s="13" t="s">
        <v>396</v>
      </c>
      <c r="E22" s="13" t="s">
        <v>396</v>
      </c>
      <c r="F22" s="13" t="s">
        <v>442</v>
      </c>
      <c r="G22" s="13" t="s">
        <v>396</v>
      </c>
      <c r="H22" s="13" t="s">
        <v>396</v>
      </c>
    </row>
    <row r="24" customFormat="false" ht="15" hidden="false" customHeight="false" outlineLevel="0" collapsed="false">
      <c r="A24" s="39" t="s">
        <v>479</v>
      </c>
    </row>
    <row r="25" customFormat="false" ht="15" hidden="false" customHeight="false" outlineLevel="0" collapsed="false">
      <c r="A25" s="11" t="s">
        <v>380</v>
      </c>
      <c r="B25" s="11" t="s">
        <v>381</v>
      </c>
      <c r="C25" s="11" t="s">
        <v>387</v>
      </c>
      <c r="D25" s="11" t="s">
        <v>382</v>
      </c>
      <c r="E25" s="11" t="s">
        <v>383</v>
      </c>
      <c r="F25" s="11" t="s">
        <v>448</v>
      </c>
      <c r="G25" s="11" t="s">
        <v>449</v>
      </c>
      <c r="H25" s="11" t="s">
        <v>450</v>
      </c>
    </row>
    <row r="26" customFormat="false" ht="30" hidden="false" customHeight="true" outlineLevel="0" collapsed="false">
      <c r="A26" s="13" t="s">
        <v>480</v>
      </c>
      <c r="B26" s="7" t="s">
        <v>481</v>
      </c>
      <c r="C26" s="13" t="s">
        <v>396</v>
      </c>
      <c r="D26" s="13" t="s">
        <v>396</v>
      </c>
      <c r="E26" s="13" t="s">
        <v>396</v>
      </c>
      <c r="F26" s="13" t="s">
        <v>442</v>
      </c>
      <c r="G26" s="13" t="s">
        <v>396</v>
      </c>
      <c r="H26" s="59" t="s">
        <v>482</v>
      </c>
    </row>
    <row r="27" customFormat="false" ht="30" hidden="false" customHeight="true" outlineLevel="0" collapsed="false">
      <c r="A27" s="13" t="s">
        <v>439</v>
      </c>
      <c r="B27" s="7" t="s">
        <v>483</v>
      </c>
      <c r="C27" s="13" t="s">
        <v>396</v>
      </c>
      <c r="D27" s="13" t="s">
        <v>396</v>
      </c>
      <c r="E27" s="13" t="s">
        <v>396</v>
      </c>
      <c r="F27" s="13" t="s">
        <v>442</v>
      </c>
      <c r="G27" s="13" t="s">
        <v>396</v>
      </c>
      <c r="H27" s="13" t="s">
        <v>396</v>
      </c>
    </row>
    <row r="28" customFormat="false" ht="30" hidden="false" customHeight="true" outlineLevel="0" collapsed="false">
      <c r="A28" s="13" t="s">
        <v>484</v>
      </c>
      <c r="B28" s="7" t="s">
        <v>485</v>
      </c>
      <c r="C28" s="13" t="s">
        <v>396</v>
      </c>
      <c r="D28" s="13" t="s">
        <v>396</v>
      </c>
      <c r="E28" s="13" t="s">
        <v>396</v>
      </c>
      <c r="F28" s="13" t="s">
        <v>442</v>
      </c>
      <c r="G28" s="13" t="s">
        <v>396</v>
      </c>
      <c r="H28" s="13" t="s">
        <v>396</v>
      </c>
    </row>
    <row r="29" customFormat="false" ht="30" hidden="false" customHeight="true" outlineLevel="0" collapsed="false">
      <c r="A29" s="13" t="s">
        <v>486</v>
      </c>
      <c r="B29" s="7" t="s">
        <v>487</v>
      </c>
      <c r="C29" s="13" t="s">
        <v>391</v>
      </c>
      <c r="D29" s="13" t="s">
        <v>391</v>
      </c>
      <c r="E29" s="13" t="s">
        <v>391</v>
      </c>
      <c r="F29" s="13" t="s">
        <v>391</v>
      </c>
      <c r="G29" s="13" t="s">
        <v>391</v>
      </c>
      <c r="H29" s="13" t="s">
        <v>391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99B"/>
    <pageSetUpPr fitToPage="tru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8" min="3" style="0" width="15"/>
  </cols>
  <sheetData>
    <row r="1" customFormat="false" ht="19.4" hidden="false" customHeight="false" outlineLevel="0" collapsed="false">
      <c r="A1" s="32" t="s">
        <v>488</v>
      </c>
    </row>
    <row r="2" customFormat="false" ht="15" hidden="false" customHeight="false" outlineLevel="0" collapsed="false">
      <c r="A2" s="38" t="s">
        <v>373</v>
      </c>
    </row>
    <row r="3" customFormat="false" ht="15" hidden="false" customHeight="false" outlineLevel="0" collapsed="false">
      <c r="A3" s="38" t="s">
        <v>374</v>
      </c>
    </row>
    <row r="4" customFormat="false" ht="15" hidden="false" customHeight="false" outlineLevel="0" collapsed="false">
      <c r="A4" s="38" t="s">
        <v>375</v>
      </c>
    </row>
    <row r="5" customFormat="false" ht="15" hidden="false" customHeight="false" outlineLevel="0" collapsed="false">
      <c r="A5" s="24" t="s">
        <v>376</v>
      </c>
    </row>
    <row r="6" customFormat="false" ht="15" hidden="false" customHeight="false" outlineLevel="0" collapsed="false">
      <c r="A6" s="24" t="s">
        <v>377</v>
      </c>
    </row>
    <row r="8" customFormat="false" ht="15" hidden="false" customHeight="false" outlineLevel="0" collapsed="false">
      <c r="A8" s="58" t="s">
        <v>489</v>
      </c>
    </row>
    <row r="10" customFormat="false" ht="15" hidden="false" customHeight="false" outlineLevel="0" collapsed="false">
      <c r="A10" s="39" t="s">
        <v>490</v>
      </c>
    </row>
    <row r="11" customFormat="false" ht="15" hidden="false" customHeight="false" outlineLevel="0" collapsed="false">
      <c r="A11" s="11" t="s">
        <v>380</v>
      </c>
      <c r="B11" s="11" t="s">
        <v>381</v>
      </c>
      <c r="C11" s="11" t="s">
        <v>491</v>
      </c>
      <c r="D11" s="11" t="s">
        <v>492</v>
      </c>
      <c r="E11" s="11" t="s">
        <v>493</v>
      </c>
      <c r="F11" s="11" t="s">
        <v>494</v>
      </c>
      <c r="G11" s="11" t="s">
        <v>495</v>
      </c>
      <c r="H11" s="11" t="s">
        <v>383</v>
      </c>
    </row>
    <row r="12" customFormat="false" ht="30" hidden="false" customHeight="true" outlineLevel="0" collapsed="false">
      <c r="A12" s="13" t="s">
        <v>402</v>
      </c>
      <c r="B12" s="7" t="s">
        <v>496</v>
      </c>
      <c r="C12" s="13" t="s">
        <v>391</v>
      </c>
      <c r="D12" s="13" t="s">
        <v>391</v>
      </c>
      <c r="E12" s="13" t="s">
        <v>391</v>
      </c>
      <c r="F12" s="13" t="s">
        <v>401</v>
      </c>
      <c r="G12" s="13" t="s">
        <v>391</v>
      </c>
      <c r="H12" s="13" t="s">
        <v>391</v>
      </c>
    </row>
    <row r="13" customFormat="false" ht="30" hidden="false" customHeight="true" outlineLevel="0" collapsed="false">
      <c r="A13" s="13" t="s">
        <v>451</v>
      </c>
      <c r="B13" s="7" t="s">
        <v>452</v>
      </c>
      <c r="C13" s="13" t="s">
        <v>497</v>
      </c>
      <c r="D13" s="13" t="s">
        <v>498</v>
      </c>
      <c r="E13" s="13" t="s">
        <v>499</v>
      </c>
      <c r="F13" s="13" t="s">
        <v>500</v>
      </c>
      <c r="G13" s="13" t="s">
        <v>501</v>
      </c>
      <c r="H13" s="13" t="s">
        <v>502</v>
      </c>
    </row>
    <row r="14" customFormat="false" ht="30" hidden="false" customHeight="true" outlineLevel="0" collapsed="false">
      <c r="A14" s="13" t="s">
        <v>413</v>
      </c>
      <c r="B14" s="7" t="s">
        <v>496</v>
      </c>
      <c r="C14" s="13" t="s">
        <v>391</v>
      </c>
      <c r="D14" s="13" t="s">
        <v>401</v>
      </c>
      <c r="E14" s="13" t="s">
        <v>391</v>
      </c>
      <c r="F14" s="13" t="s">
        <v>401</v>
      </c>
      <c r="G14" s="13" t="s">
        <v>391</v>
      </c>
      <c r="H14" s="13" t="s">
        <v>391</v>
      </c>
    </row>
    <row r="15" customFormat="false" ht="30" hidden="false" customHeight="true" outlineLevel="0" collapsed="false">
      <c r="A15" s="13" t="s">
        <v>420</v>
      </c>
      <c r="B15" s="7" t="s">
        <v>452</v>
      </c>
      <c r="C15" s="13" t="s">
        <v>503</v>
      </c>
      <c r="D15" s="13" t="s">
        <v>504</v>
      </c>
      <c r="E15" s="59" t="s">
        <v>390</v>
      </c>
      <c r="F15" s="13" t="s">
        <v>505</v>
      </c>
      <c r="G15" s="13" t="s">
        <v>506</v>
      </c>
      <c r="H15" s="13" t="s">
        <v>507</v>
      </c>
    </row>
    <row r="16" customFormat="false" ht="30" hidden="false" customHeight="true" outlineLevel="0" collapsed="false">
      <c r="A16" s="8" t="s">
        <v>508</v>
      </c>
      <c r="B16" s="7" t="s">
        <v>509</v>
      </c>
      <c r="C16" s="13" t="s">
        <v>423</v>
      </c>
      <c r="D16" s="13" t="s">
        <v>423</v>
      </c>
      <c r="E16" s="59" t="s">
        <v>392</v>
      </c>
      <c r="F16" s="13" t="s">
        <v>423</v>
      </c>
      <c r="G16" s="13" t="s">
        <v>423</v>
      </c>
      <c r="H16" s="13" t="s">
        <v>423</v>
      </c>
    </row>
    <row r="18" customFormat="false" ht="15" hidden="false" customHeight="false" outlineLevel="0" collapsed="false">
      <c r="A18" s="39" t="s">
        <v>510</v>
      </c>
    </row>
    <row r="19" customFormat="false" ht="15" hidden="false" customHeight="false" outlineLevel="0" collapsed="false">
      <c r="A19" s="11" t="s">
        <v>380</v>
      </c>
      <c r="B19" s="11" t="s">
        <v>381</v>
      </c>
      <c r="C19" s="11" t="s">
        <v>491</v>
      </c>
      <c r="D19" s="11" t="s">
        <v>492</v>
      </c>
      <c r="E19" s="11" t="s">
        <v>493</v>
      </c>
      <c r="F19" s="11" t="s">
        <v>494</v>
      </c>
      <c r="G19" s="11" t="s">
        <v>495</v>
      </c>
      <c r="H19" s="11" t="s">
        <v>383</v>
      </c>
    </row>
    <row r="20" customFormat="false" ht="30" hidden="false" customHeight="true" outlineLevel="0" collapsed="false">
      <c r="A20" s="13" t="s">
        <v>511</v>
      </c>
      <c r="B20" s="7" t="s">
        <v>512</v>
      </c>
      <c r="C20" s="13" t="s">
        <v>391</v>
      </c>
      <c r="D20" s="13" t="s">
        <v>391</v>
      </c>
      <c r="E20" s="13" t="s">
        <v>513</v>
      </c>
      <c r="F20" s="13" t="s">
        <v>513</v>
      </c>
      <c r="G20" s="13" t="s">
        <v>391</v>
      </c>
      <c r="H20" s="13" t="s">
        <v>391</v>
      </c>
    </row>
    <row r="21" customFormat="false" ht="30" hidden="false" customHeight="true" outlineLevel="0" collapsed="false">
      <c r="A21" s="13" t="s">
        <v>511</v>
      </c>
      <c r="B21" s="7" t="s">
        <v>514</v>
      </c>
      <c r="C21" s="13" t="s">
        <v>391</v>
      </c>
      <c r="D21" s="13" t="s">
        <v>391</v>
      </c>
      <c r="E21" s="13" t="s">
        <v>513</v>
      </c>
      <c r="F21" s="13" t="s">
        <v>513</v>
      </c>
      <c r="G21" s="13" t="s">
        <v>391</v>
      </c>
      <c r="H21" s="13" t="s">
        <v>391</v>
      </c>
    </row>
    <row r="22" customFormat="false" ht="30" hidden="false" customHeight="true" outlineLevel="0" collapsed="false">
      <c r="A22" s="13" t="s">
        <v>511</v>
      </c>
      <c r="B22" s="7" t="s">
        <v>515</v>
      </c>
      <c r="C22" s="13" t="s">
        <v>391</v>
      </c>
      <c r="D22" s="13" t="s">
        <v>391</v>
      </c>
      <c r="E22" s="13" t="s">
        <v>423</v>
      </c>
      <c r="F22" s="13" t="s">
        <v>513</v>
      </c>
      <c r="G22" s="13" t="s">
        <v>391</v>
      </c>
      <c r="H22" s="13" t="s">
        <v>391</v>
      </c>
    </row>
    <row r="23" customFormat="false" ht="30" hidden="false" customHeight="true" outlineLevel="0" collapsed="false">
      <c r="A23" s="13" t="s">
        <v>511</v>
      </c>
      <c r="B23" s="7" t="s">
        <v>472</v>
      </c>
      <c r="C23" s="13" t="s">
        <v>391</v>
      </c>
      <c r="D23" s="13" t="s">
        <v>391</v>
      </c>
      <c r="E23" s="13" t="s">
        <v>401</v>
      </c>
      <c r="F23" s="13" t="s">
        <v>401</v>
      </c>
      <c r="G23" s="13" t="s">
        <v>391</v>
      </c>
      <c r="H23" s="13" t="s">
        <v>391</v>
      </c>
    </row>
    <row r="24" customFormat="false" ht="30" hidden="false" customHeight="true" outlineLevel="0" collapsed="false">
      <c r="A24" s="13" t="s">
        <v>516</v>
      </c>
      <c r="B24" s="7" t="s">
        <v>517</v>
      </c>
      <c r="C24" s="13" t="s">
        <v>391</v>
      </c>
      <c r="D24" s="13" t="s">
        <v>391</v>
      </c>
      <c r="E24" s="13" t="s">
        <v>401</v>
      </c>
      <c r="F24" s="13" t="s">
        <v>513</v>
      </c>
      <c r="G24" s="13" t="s">
        <v>391</v>
      </c>
      <c r="H24" s="13" t="s">
        <v>391</v>
      </c>
    </row>
    <row r="26" customFormat="false" ht="15" hidden="false" customHeight="false" outlineLevel="0" collapsed="false">
      <c r="A26" s="39" t="s">
        <v>518</v>
      </c>
    </row>
    <row r="27" customFormat="false" ht="15" hidden="false" customHeight="false" outlineLevel="0" collapsed="false">
      <c r="A27" s="11" t="s">
        <v>380</v>
      </c>
      <c r="B27" s="11" t="s">
        <v>381</v>
      </c>
      <c r="C27" s="11" t="s">
        <v>491</v>
      </c>
      <c r="D27" s="11" t="s">
        <v>492</v>
      </c>
      <c r="E27" s="11" t="s">
        <v>493</v>
      </c>
      <c r="F27" s="11" t="s">
        <v>494</v>
      </c>
      <c r="G27" s="11" t="s">
        <v>495</v>
      </c>
      <c r="H27" s="11" t="s">
        <v>383</v>
      </c>
    </row>
    <row r="28" customFormat="false" ht="30" hidden="false" customHeight="true" outlineLevel="0" collapsed="false">
      <c r="A28" s="13" t="s">
        <v>434</v>
      </c>
      <c r="B28" s="7" t="s">
        <v>519</v>
      </c>
      <c r="C28" s="13" t="s">
        <v>391</v>
      </c>
      <c r="D28" s="13" t="s">
        <v>391</v>
      </c>
      <c r="E28" s="13" t="s">
        <v>391</v>
      </c>
      <c r="F28" s="13" t="s">
        <v>401</v>
      </c>
      <c r="G28" s="13" t="s">
        <v>391</v>
      </c>
      <c r="H28" s="13" t="s">
        <v>391</v>
      </c>
    </row>
    <row r="29" customFormat="false" ht="30" hidden="false" customHeight="true" outlineLevel="0" collapsed="false">
      <c r="A29" s="13" t="s">
        <v>480</v>
      </c>
      <c r="B29" s="7" t="s">
        <v>485</v>
      </c>
      <c r="C29" s="13" t="s">
        <v>396</v>
      </c>
      <c r="D29" s="13" t="s">
        <v>396</v>
      </c>
      <c r="E29" s="13" t="s">
        <v>396</v>
      </c>
      <c r="F29" s="13" t="s">
        <v>442</v>
      </c>
      <c r="G29" s="13" t="s">
        <v>396</v>
      </c>
      <c r="H29" s="13" t="s">
        <v>396</v>
      </c>
    </row>
    <row r="30" customFormat="false" ht="30" hidden="false" customHeight="true" outlineLevel="0" collapsed="false">
      <c r="A30" s="13" t="s">
        <v>443</v>
      </c>
      <c r="B30" s="7" t="s">
        <v>520</v>
      </c>
      <c r="C30" s="13" t="s">
        <v>391</v>
      </c>
      <c r="D30" s="13" t="s">
        <v>391</v>
      </c>
      <c r="E30" s="13" t="s">
        <v>391</v>
      </c>
      <c r="F30" s="13" t="s">
        <v>401</v>
      </c>
      <c r="G30" s="13" t="s">
        <v>391</v>
      </c>
      <c r="H30" s="13" t="s">
        <v>391</v>
      </c>
    </row>
    <row r="31" customFormat="false" ht="30" hidden="false" customHeight="true" outlineLevel="0" collapsed="false">
      <c r="A31" s="13" t="s">
        <v>521</v>
      </c>
      <c r="B31" s="7" t="s">
        <v>522</v>
      </c>
      <c r="C31" s="13" t="s">
        <v>391</v>
      </c>
      <c r="D31" s="13" t="s">
        <v>391</v>
      </c>
      <c r="E31" s="13" t="s">
        <v>391</v>
      </c>
      <c r="F31" s="13" t="s">
        <v>401</v>
      </c>
      <c r="G31" s="13" t="s">
        <v>391</v>
      </c>
      <c r="H31" s="13" t="s">
        <v>391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99B"/>
    <pageSetUpPr fitToPage="tru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8" min="3" style="0" width="15"/>
  </cols>
  <sheetData>
    <row r="1" customFormat="false" ht="19.4" hidden="false" customHeight="false" outlineLevel="0" collapsed="false">
      <c r="A1" s="32" t="s">
        <v>523</v>
      </c>
    </row>
    <row r="2" customFormat="false" ht="15" hidden="false" customHeight="false" outlineLevel="0" collapsed="false">
      <c r="A2" s="38" t="s">
        <v>373</v>
      </c>
    </row>
    <row r="3" customFormat="false" ht="15" hidden="false" customHeight="false" outlineLevel="0" collapsed="false">
      <c r="A3" s="38" t="s">
        <v>374</v>
      </c>
    </row>
    <row r="4" customFormat="false" ht="15" hidden="false" customHeight="false" outlineLevel="0" collapsed="false">
      <c r="A4" s="38" t="s">
        <v>375</v>
      </c>
    </row>
    <row r="5" customFormat="false" ht="15" hidden="false" customHeight="false" outlineLevel="0" collapsed="false">
      <c r="A5" s="24" t="s">
        <v>376</v>
      </c>
    </row>
    <row r="6" customFormat="false" ht="15" hidden="false" customHeight="false" outlineLevel="0" collapsed="false">
      <c r="A6" s="24" t="s">
        <v>377</v>
      </c>
    </row>
    <row r="8" customFormat="false" ht="15" hidden="false" customHeight="false" outlineLevel="0" collapsed="false">
      <c r="A8" s="58" t="s">
        <v>524</v>
      </c>
    </row>
    <row r="10" customFormat="false" ht="15" hidden="false" customHeight="false" outlineLevel="0" collapsed="false">
      <c r="A10" s="39" t="s">
        <v>525</v>
      </c>
    </row>
    <row r="11" customFormat="false" ht="15" hidden="false" customHeight="false" outlineLevel="0" collapsed="false">
      <c r="A11" s="11" t="s">
        <v>380</v>
      </c>
      <c r="B11" s="11" t="s">
        <v>381</v>
      </c>
      <c r="C11" s="11" t="s">
        <v>526</v>
      </c>
      <c r="D11" s="11" t="s">
        <v>386</v>
      </c>
      <c r="E11" s="11" t="s">
        <v>493</v>
      </c>
      <c r="F11" s="11" t="s">
        <v>491</v>
      </c>
      <c r="G11" s="11" t="s">
        <v>192</v>
      </c>
      <c r="H11" s="11" t="s">
        <v>527</v>
      </c>
    </row>
    <row r="12" customFormat="false" ht="45" hidden="false" customHeight="true" outlineLevel="0" collapsed="false">
      <c r="A12" s="13" t="s">
        <v>528</v>
      </c>
      <c r="B12" s="7" t="s">
        <v>529</v>
      </c>
      <c r="C12" s="13" t="s">
        <v>391</v>
      </c>
      <c r="D12" s="13" t="s">
        <v>391</v>
      </c>
      <c r="E12" s="59" t="s">
        <v>390</v>
      </c>
      <c r="F12" s="13" t="s">
        <v>391</v>
      </c>
      <c r="G12" s="13" t="s">
        <v>530</v>
      </c>
      <c r="H12" s="13" t="s">
        <v>401</v>
      </c>
    </row>
    <row r="13" customFormat="false" ht="30" hidden="false" customHeight="true" outlineLevel="0" collapsed="false">
      <c r="A13" s="13" t="s">
        <v>402</v>
      </c>
      <c r="B13" s="7" t="s">
        <v>496</v>
      </c>
      <c r="C13" s="13" t="s">
        <v>391</v>
      </c>
      <c r="D13" s="13" t="s">
        <v>391</v>
      </c>
      <c r="E13" s="59" t="s">
        <v>531</v>
      </c>
      <c r="F13" s="13" t="s">
        <v>391</v>
      </c>
      <c r="G13" s="13" t="s">
        <v>391</v>
      </c>
      <c r="H13" s="13" t="s">
        <v>401</v>
      </c>
    </row>
    <row r="14" customFormat="false" ht="30" hidden="false" customHeight="true" outlineLevel="0" collapsed="false">
      <c r="A14" s="13" t="s">
        <v>451</v>
      </c>
      <c r="B14" s="7" t="s">
        <v>532</v>
      </c>
      <c r="C14" s="13" t="s">
        <v>533</v>
      </c>
      <c r="D14" s="13" t="s">
        <v>534</v>
      </c>
      <c r="E14" s="13" t="s">
        <v>535</v>
      </c>
      <c r="F14" s="13" t="s">
        <v>536</v>
      </c>
      <c r="G14" s="13" t="s">
        <v>537</v>
      </c>
      <c r="H14" s="13" t="s">
        <v>538</v>
      </c>
    </row>
    <row r="15" customFormat="false" ht="30" hidden="false" customHeight="true" outlineLevel="0" collapsed="false">
      <c r="A15" s="13" t="s">
        <v>413</v>
      </c>
      <c r="B15" s="7" t="s">
        <v>539</v>
      </c>
      <c r="C15" s="13" t="s">
        <v>391</v>
      </c>
      <c r="D15" s="13" t="s">
        <v>391</v>
      </c>
      <c r="E15" s="13" t="s">
        <v>391</v>
      </c>
      <c r="F15" s="13" t="s">
        <v>391</v>
      </c>
      <c r="G15" s="13" t="s">
        <v>391</v>
      </c>
      <c r="H15" s="13" t="s">
        <v>401</v>
      </c>
    </row>
    <row r="16" customFormat="false" ht="30" hidden="false" customHeight="true" outlineLevel="0" collapsed="false">
      <c r="A16" s="13" t="s">
        <v>540</v>
      </c>
      <c r="B16" s="7" t="s">
        <v>541</v>
      </c>
      <c r="C16" s="59" t="s">
        <v>392</v>
      </c>
      <c r="D16" s="13" t="s">
        <v>542</v>
      </c>
      <c r="E16" s="13" t="s">
        <v>543</v>
      </c>
      <c r="F16" s="13" t="s">
        <v>544</v>
      </c>
      <c r="G16" s="13" t="s">
        <v>545</v>
      </c>
      <c r="H16" s="13" t="s">
        <v>546</v>
      </c>
    </row>
    <row r="17" customFormat="false" ht="30" hidden="false" customHeight="true" outlineLevel="0" collapsed="false">
      <c r="A17" s="13" t="s">
        <v>467</v>
      </c>
      <c r="B17" s="7" t="s">
        <v>509</v>
      </c>
      <c r="C17" s="13" t="s">
        <v>423</v>
      </c>
      <c r="D17" s="13" t="s">
        <v>423</v>
      </c>
      <c r="E17" s="13" t="s">
        <v>423</v>
      </c>
      <c r="F17" s="13" t="s">
        <v>423</v>
      </c>
      <c r="G17" s="13" t="s">
        <v>423</v>
      </c>
      <c r="H17" s="13" t="s">
        <v>423</v>
      </c>
    </row>
    <row r="19" customFormat="false" ht="15" hidden="false" customHeight="false" outlineLevel="0" collapsed="false">
      <c r="A19" s="39" t="s">
        <v>470</v>
      </c>
    </row>
    <row r="20" customFormat="false" ht="15" hidden="false" customHeight="false" outlineLevel="0" collapsed="false">
      <c r="A20" s="11" t="s">
        <v>380</v>
      </c>
      <c r="B20" s="11" t="s">
        <v>381</v>
      </c>
      <c r="C20" s="11" t="s">
        <v>526</v>
      </c>
      <c r="D20" s="11" t="s">
        <v>386</v>
      </c>
      <c r="E20" s="11" t="s">
        <v>493</v>
      </c>
      <c r="F20" s="11" t="s">
        <v>491</v>
      </c>
      <c r="G20" s="11" t="s">
        <v>192</v>
      </c>
      <c r="H20" s="11" t="s">
        <v>527</v>
      </c>
    </row>
    <row r="21" customFormat="false" ht="30" hidden="false" customHeight="true" outlineLevel="0" collapsed="false">
      <c r="A21" s="13" t="s">
        <v>547</v>
      </c>
      <c r="B21" s="7" t="s">
        <v>548</v>
      </c>
      <c r="C21" s="13" t="s">
        <v>391</v>
      </c>
      <c r="D21" s="13" t="s">
        <v>391</v>
      </c>
      <c r="E21" s="13" t="s">
        <v>391</v>
      </c>
      <c r="F21" s="13" t="s">
        <v>391</v>
      </c>
      <c r="G21" s="13" t="s">
        <v>401</v>
      </c>
      <c r="H21" s="13" t="s">
        <v>401</v>
      </c>
    </row>
    <row r="22" customFormat="false" ht="30" hidden="false" customHeight="true" outlineLevel="0" collapsed="false">
      <c r="A22" s="13" t="s">
        <v>549</v>
      </c>
      <c r="B22" s="7" t="s">
        <v>550</v>
      </c>
      <c r="C22" s="13" t="s">
        <v>396</v>
      </c>
      <c r="D22" s="13" t="s">
        <v>442</v>
      </c>
      <c r="E22" s="13" t="s">
        <v>396</v>
      </c>
      <c r="F22" s="13" t="s">
        <v>396</v>
      </c>
      <c r="G22" s="13" t="s">
        <v>442</v>
      </c>
      <c r="H22" s="13" t="s">
        <v>397</v>
      </c>
    </row>
    <row r="23" customFormat="false" ht="30" hidden="false" customHeight="true" outlineLevel="0" collapsed="false">
      <c r="A23" s="13" t="s">
        <v>516</v>
      </c>
      <c r="B23" s="7" t="s">
        <v>551</v>
      </c>
      <c r="C23" s="13" t="s">
        <v>552</v>
      </c>
      <c r="D23" s="13" t="s">
        <v>553</v>
      </c>
      <c r="E23" s="13" t="s">
        <v>554</v>
      </c>
      <c r="F23" s="13" t="s">
        <v>555</v>
      </c>
      <c r="G23" s="13" t="s">
        <v>556</v>
      </c>
      <c r="H23" s="13" t="s">
        <v>557</v>
      </c>
    </row>
    <row r="24" customFormat="false" ht="30" hidden="false" customHeight="true" outlineLevel="0" collapsed="false">
      <c r="A24" s="13" t="s">
        <v>477</v>
      </c>
      <c r="B24" s="7" t="s">
        <v>558</v>
      </c>
      <c r="C24" s="13" t="s">
        <v>391</v>
      </c>
      <c r="D24" s="13" t="s">
        <v>391</v>
      </c>
      <c r="E24" s="13" t="s">
        <v>391</v>
      </c>
      <c r="F24" s="13" t="s">
        <v>391</v>
      </c>
      <c r="G24" s="13" t="s">
        <v>401</v>
      </c>
      <c r="H24" s="13" t="s">
        <v>401</v>
      </c>
    </row>
    <row r="26" customFormat="false" ht="15" hidden="false" customHeight="false" outlineLevel="0" collapsed="false">
      <c r="A26" s="39" t="s">
        <v>559</v>
      </c>
    </row>
    <row r="27" customFormat="false" ht="15" hidden="false" customHeight="false" outlineLevel="0" collapsed="false">
      <c r="A27" s="11" t="s">
        <v>380</v>
      </c>
      <c r="B27" s="11" t="s">
        <v>381</v>
      </c>
      <c r="C27" s="11" t="s">
        <v>526</v>
      </c>
      <c r="D27" s="11" t="s">
        <v>386</v>
      </c>
      <c r="E27" s="11" t="s">
        <v>493</v>
      </c>
      <c r="F27" s="11" t="s">
        <v>491</v>
      </c>
      <c r="G27" s="11" t="s">
        <v>192</v>
      </c>
      <c r="H27" s="11" t="s">
        <v>527</v>
      </c>
    </row>
    <row r="28" customFormat="false" ht="30" hidden="false" customHeight="true" outlineLevel="0" collapsed="false">
      <c r="A28" s="13" t="s">
        <v>560</v>
      </c>
      <c r="B28" s="7" t="s">
        <v>561</v>
      </c>
      <c r="C28" s="13" t="s">
        <v>391</v>
      </c>
      <c r="D28" s="13" t="s">
        <v>391</v>
      </c>
      <c r="E28" s="13" t="s">
        <v>391</v>
      </c>
      <c r="F28" s="13" t="s">
        <v>391</v>
      </c>
      <c r="G28" s="13" t="s">
        <v>391</v>
      </c>
      <c r="H28" s="13" t="s">
        <v>401</v>
      </c>
    </row>
    <row r="29" customFormat="false" ht="30" hidden="false" customHeight="true" outlineLevel="0" collapsed="false">
      <c r="A29" s="13" t="s">
        <v>484</v>
      </c>
      <c r="B29" s="7" t="s">
        <v>562</v>
      </c>
      <c r="C29" s="13" t="s">
        <v>563</v>
      </c>
      <c r="D29" s="13" t="s">
        <v>563</v>
      </c>
      <c r="E29" s="13" t="s">
        <v>563</v>
      </c>
      <c r="F29" s="13" t="s">
        <v>564</v>
      </c>
      <c r="G29" s="13" t="s">
        <v>564</v>
      </c>
      <c r="H29" s="13" t="s">
        <v>564</v>
      </c>
    </row>
    <row r="30" customFormat="false" ht="30" hidden="false" customHeight="true" outlineLevel="0" collapsed="false">
      <c r="A30" s="13" t="s">
        <v>486</v>
      </c>
      <c r="B30" s="7" t="s">
        <v>565</v>
      </c>
      <c r="C30" s="13" t="s">
        <v>391</v>
      </c>
      <c r="D30" s="13" t="s">
        <v>391</v>
      </c>
      <c r="E30" s="13" t="s">
        <v>391</v>
      </c>
      <c r="F30" s="13" t="s">
        <v>391</v>
      </c>
      <c r="G30" s="13" t="s">
        <v>391</v>
      </c>
      <c r="H30" s="13" t="s">
        <v>566</v>
      </c>
    </row>
    <row r="31" customFormat="false" ht="30" hidden="false" customHeight="true" outlineLevel="0" collapsed="false">
      <c r="A31" s="13" t="s">
        <v>567</v>
      </c>
      <c r="B31" s="7" t="s">
        <v>568</v>
      </c>
      <c r="C31" s="13" t="s">
        <v>391</v>
      </c>
      <c r="D31" s="13" t="s">
        <v>391</v>
      </c>
      <c r="E31" s="13" t="s">
        <v>391</v>
      </c>
      <c r="F31" s="13" t="s">
        <v>391</v>
      </c>
      <c r="G31" s="13" t="s">
        <v>391</v>
      </c>
      <c r="H31" s="13" t="s">
        <v>401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99B"/>
    <pageSetUpPr fitToPage="true"/>
  </sheetPr>
  <dimension ref="A1:AD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
    <col collapsed="false" customWidth="true" hidden="false" outlineLevel="0" max="3" min="3" style="0" width="12"/>
    <col collapsed="false" customWidth="true" hidden="false" outlineLevel="0" max="5" min="4" style="0" width="7"/>
    <col collapsed="false" customWidth="true" hidden="false" outlineLevel="0" max="6" min="6" style="0" width="8"/>
    <col collapsed="false" customWidth="true" hidden="false" outlineLevel="0" max="7" min="7" style="0" width="7"/>
    <col collapsed="false" customWidth="true" hidden="false" outlineLevel="0" max="10" min="8" style="0" width="10"/>
    <col collapsed="false" customWidth="true" hidden="false" outlineLevel="0" max="11" min="11" style="0" width="9"/>
    <col collapsed="false" customWidth="true" hidden="false" outlineLevel="0" max="12" min="12" style="0" width="27"/>
    <col collapsed="false" customWidth="true" hidden="false" outlineLevel="0" max="13" min="13" style="0" width="7"/>
    <col collapsed="false" customWidth="true" hidden="false" outlineLevel="0" max="14" min="14" style="0" width="9"/>
    <col collapsed="false" customWidth="true" hidden="false" outlineLevel="0" max="15" min="15" style="0" width="8"/>
    <col collapsed="false" customWidth="true" hidden="false" outlineLevel="0" max="16" min="16" style="0" width="7"/>
    <col collapsed="false" customWidth="true" hidden="false" outlineLevel="0" max="17" min="17" style="0" width="8"/>
    <col collapsed="false" customWidth="true" hidden="false" outlineLevel="0" max="18" min="18" style="0" width="9"/>
    <col collapsed="false" customWidth="true" hidden="false" outlineLevel="0" max="19" min="19" style="0" width="7"/>
    <col collapsed="false" customWidth="true" hidden="false" outlineLevel="0" max="20" min="20" style="0" width="8"/>
    <col collapsed="false" customWidth="true" hidden="false" outlineLevel="0" max="21" min="21" style="0" width="9"/>
    <col collapsed="false" customWidth="true" hidden="false" outlineLevel="0" max="22" min="22" style="0" width="8"/>
    <col collapsed="false" customWidth="true" hidden="false" outlineLevel="0" max="25" min="23" style="0" width="6"/>
    <col collapsed="false" customWidth="true" hidden="false" outlineLevel="0" max="26" min="26" style="0" width="7"/>
    <col collapsed="false" customWidth="true" hidden="false" outlineLevel="0" max="29" min="27" style="0" width="6"/>
    <col collapsed="false" customWidth="true" hidden="false" outlineLevel="0" max="30" min="30" style="0" width="7"/>
  </cols>
  <sheetData>
    <row r="1" customFormat="false" ht="19.4" hidden="false" customHeight="false" outlineLevel="0" collapsed="false">
      <c r="A1" s="9" t="s">
        <v>569</v>
      </c>
    </row>
    <row r="2" customFormat="false" ht="30" hidden="false" customHeight="true" outlineLevel="0" collapsed="false">
      <c r="A2" s="10" t="s">
        <v>570</v>
      </c>
      <c r="B2" s="10"/>
      <c r="C2" s="10"/>
      <c r="D2" s="10"/>
      <c r="E2" s="10"/>
      <c r="F2" s="10"/>
      <c r="G2" s="10"/>
      <c r="H2" s="10"/>
      <c r="I2" s="10"/>
      <c r="J2" s="10"/>
      <c r="K2" s="10"/>
      <c r="L2" s="10"/>
      <c r="M2" s="10"/>
      <c r="N2" s="10"/>
      <c r="O2" s="10"/>
      <c r="P2" s="10"/>
      <c r="Q2" s="10"/>
      <c r="R2" s="10"/>
      <c r="S2" s="10"/>
      <c r="T2" s="10"/>
    </row>
    <row r="4" customFormat="false" ht="15" hidden="false" customHeight="true" outlineLevel="0" collapsed="false">
      <c r="A4" s="60" t="s">
        <v>571</v>
      </c>
      <c r="B4" s="60"/>
      <c r="C4" s="60"/>
      <c r="D4" s="60"/>
      <c r="E4" s="60" t="s">
        <v>572</v>
      </c>
      <c r="F4" s="60"/>
      <c r="G4" s="60"/>
      <c r="H4" s="60"/>
      <c r="I4" s="60"/>
      <c r="J4" s="60"/>
      <c r="K4" s="61" t="s">
        <v>573</v>
      </c>
      <c r="L4" s="61"/>
      <c r="M4" s="61"/>
      <c r="N4" s="61"/>
      <c r="O4" s="61"/>
      <c r="P4" s="60" t="s">
        <v>9</v>
      </c>
      <c r="Q4" s="60"/>
      <c r="R4" s="60"/>
      <c r="S4" s="60"/>
      <c r="T4" s="60"/>
      <c r="U4" s="60"/>
      <c r="V4" s="60"/>
      <c r="W4" s="60" t="s">
        <v>13</v>
      </c>
      <c r="X4" s="60"/>
      <c r="Y4" s="60"/>
      <c r="Z4" s="60"/>
      <c r="AA4" s="60" t="s">
        <v>15</v>
      </c>
      <c r="AB4" s="60"/>
      <c r="AC4" s="60"/>
      <c r="AD4" s="60"/>
    </row>
    <row r="5" customFormat="false" ht="48" hidden="false" customHeight="true" outlineLevel="0" collapsed="false">
      <c r="A5" s="11" t="s">
        <v>56</v>
      </c>
      <c r="B5" s="11" t="s">
        <v>90</v>
      </c>
      <c r="C5" s="11" t="s">
        <v>159</v>
      </c>
      <c r="D5" s="11" t="s">
        <v>57</v>
      </c>
      <c r="E5" s="11" t="s">
        <v>163</v>
      </c>
      <c r="F5" s="11" t="s">
        <v>99</v>
      </c>
      <c r="G5" s="11" t="s">
        <v>102</v>
      </c>
      <c r="H5" s="11" t="s">
        <v>574</v>
      </c>
      <c r="I5" s="11" t="s">
        <v>575</v>
      </c>
      <c r="J5" s="11" t="s">
        <v>205</v>
      </c>
      <c r="K5" s="11" t="s">
        <v>576</v>
      </c>
      <c r="L5" s="11" t="s">
        <v>577</v>
      </c>
      <c r="M5" s="11" t="s">
        <v>578</v>
      </c>
      <c r="N5" s="11" t="s">
        <v>164</v>
      </c>
      <c r="O5" s="11" t="s">
        <v>34</v>
      </c>
      <c r="P5" s="12" t="s">
        <v>579</v>
      </c>
      <c r="Q5" s="12" t="s">
        <v>199</v>
      </c>
      <c r="R5" s="12" t="s">
        <v>580</v>
      </c>
      <c r="S5" s="12" t="s">
        <v>581</v>
      </c>
      <c r="T5" s="12" t="s">
        <v>582</v>
      </c>
      <c r="U5" s="12" t="s">
        <v>583</v>
      </c>
      <c r="V5" s="12" t="s">
        <v>584</v>
      </c>
      <c r="W5" s="12" t="s">
        <v>585</v>
      </c>
      <c r="X5" s="12" t="s">
        <v>586</v>
      </c>
      <c r="Y5" s="12" t="s">
        <v>587</v>
      </c>
      <c r="Z5" s="11" t="s">
        <v>588</v>
      </c>
      <c r="AA5" s="12" t="s">
        <v>336</v>
      </c>
      <c r="AB5" s="12" t="s">
        <v>337</v>
      </c>
      <c r="AC5" s="12" t="s">
        <v>338</v>
      </c>
      <c r="AD5" s="12" t="s">
        <v>69</v>
      </c>
    </row>
    <row r="6" customFormat="false" ht="15" hidden="false" customHeight="false" outlineLevel="0" collapsed="false">
      <c r="A6" s="25" t="s">
        <v>73</v>
      </c>
      <c r="B6" s="27" t="n">
        <v>1</v>
      </c>
      <c r="C6" s="28" t="s">
        <v>166</v>
      </c>
      <c r="D6" s="27" t="n">
        <v>4</v>
      </c>
      <c r="E6" s="26" t="n">
        <v>8</v>
      </c>
      <c r="F6" s="29" t="n">
        <v>0.0157986111111111</v>
      </c>
      <c r="G6" s="27" t="n">
        <v>3</v>
      </c>
      <c r="H6" s="29" t="n">
        <v>0.00987413194444444</v>
      </c>
      <c r="I6" s="29" t="n">
        <v>0.00978009259259259</v>
      </c>
      <c r="J6" s="30" t="n">
        <v>8.1</v>
      </c>
      <c r="K6" s="33" t="n">
        <v>0.00959375</v>
      </c>
      <c r="L6" s="62" t="s">
        <v>167</v>
      </c>
      <c r="M6" s="27" t="n">
        <v>8</v>
      </c>
      <c r="N6" s="34" t="n">
        <v>0.00987413194444444</v>
      </c>
      <c r="O6" s="35" t="n">
        <v>0.0292254795512124</v>
      </c>
      <c r="P6" s="26"/>
      <c r="Q6" s="26"/>
      <c r="R6" s="28"/>
      <c r="S6" s="26"/>
      <c r="T6" s="26"/>
      <c r="U6" s="28"/>
      <c r="V6" s="26"/>
      <c r="W6" s="44"/>
      <c r="X6" s="44"/>
      <c r="Y6" s="44"/>
      <c r="Z6" s="45"/>
      <c r="AA6" s="27" t="n">
        <v>344</v>
      </c>
      <c r="AB6" s="27" t="n">
        <v>674</v>
      </c>
      <c r="AC6" s="27" t="n">
        <v>373</v>
      </c>
      <c r="AD6" s="46" t="n">
        <v>0.553412462908012</v>
      </c>
    </row>
    <row r="7" customFormat="false" ht="15" hidden="false" customHeight="false" outlineLevel="0" collapsed="false">
      <c r="A7" s="25" t="s">
        <v>73</v>
      </c>
      <c r="B7" s="27" t="n">
        <v>2</v>
      </c>
      <c r="C7" s="28" t="s">
        <v>168</v>
      </c>
      <c r="D7" s="27" t="n">
        <v>4</v>
      </c>
      <c r="E7" s="26" t="n">
        <v>5.8</v>
      </c>
      <c r="F7" s="29" t="n">
        <v>0.0109027777777778</v>
      </c>
      <c r="G7" s="27" t="n">
        <v>4</v>
      </c>
      <c r="H7" s="29" t="n">
        <v>0.00939894636015326</v>
      </c>
      <c r="I7" s="29" t="n">
        <v>0.0092492816091954</v>
      </c>
      <c r="J7" s="30" t="n">
        <v>12.9</v>
      </c>
      <c r="K7" s="33" t="n">
        <v>0.00956956018518518</v>
      </c>
      <c r="L7" s="62" t="s">
        <v>167</v>
      </c>
      <c r="M7" s="27" t="n">
        <v>7</v>
      </c>
      <c r="N7" s="34" t="n">
        <v>0.00939894636015326</v>
      </c>
      <c r="O7" s="35" t="n">
        <v>-0.0178288052669398</v>
      </c>
      <c r="P7" s="26"/>
      <c r="Q7" s="26"/>
      <c r="R7" s="28"/>
      <c r="S7" s="26"/>
      <c r="T7" s="26"/>
      <c r="U7" s="28"/>
      <c r="V7" s="26"/>
      <c r="W7" s="44"/>
      <c r="X7" s="44"/>
      <c r="Y7" s="44"/>
      <c r="Z7" s="45"/>
      <c r="AA7" s="27" t="n">
        <v>394</v>
      </c>
      <c r="AB7" s="27" t="n">
        <v>710</v>
      </c>
      <c r="AC7" s="27" t="n">
        <v>384</v>
      </c>
      <c r="AD7" s="46" t="n">
        <v>0.540845070422535</v>
      </c>
    </row>
    <row r="8" customFormat="false" ht="15" hidden="false" customHeight="false" outlineLevel="0" collapsed="false">
      <c r="A8" s="25" t="s">
        <v>73</v>
      </c>
      <c r="B8" s="27" t="n">
        <v>3</v>
      </c>
      <c r="C8" s="28" t="s">
        <v>169</v>
      </c>
      <c r="D8" s="27" t="n">
        <v>4</v>
      </c>
      <c r="E8" s="26" t="n">
        <v>8.5</v>
      </c>
      <c r="F8" s="29" t="n">
        <v>0.0165625</v>
      </c>
      <c r="G8" s="27" t="n">
        <v>3</v>
      </c>
      <c r="H8" s="29" t="n">
        <v>0.00974264705882353</v>
      </c>
      <c r="I8" s="29" t="n">
        <v>0.00973583877995643</v>
      </c>
      <c r="J8" s="30" t="n">
        <v>0.6</v>
      </c>
      <c r="K8" s="33" t="n">
        <v>0.00952627314814815</v>
      </c>
      <c r="L8" s="62" t="s">
        <v>167</v>
      </c>
      <c r="M8" s="27" t="n">
        <v>3</v>
      </c>
      <c r="N8" s="34" t="n">
        <v>0.00974264705882353</v>
      </c>
      <c r="O8" s="35" t="n">
        <v>0.0227133851098365</v>
      </c>
      <c r="P8" s="26"/>
      <c r="Q8" s="26"/>
      <c r="R8" s="28"/>
      <c r="S8" s="26"/>
      <c r="T8" s="26"/>
      <c r="U8" s="28"/>
      <c r="V8" s="26"/>
      <c r="W8" s="44"/>
      <c r="X8" s="44"/>
      <c r="Y8" s="44"/>
      <c r="Z8" s="45"/>
      <c r="AA8" s="27" t="n">
        <v>408</v>
      </c>
      <c r="AB8" s="27" t="n">
        <v>638</v>
      </c>
      <c r="AC8" s="27" t="n">
        <v>510</v>
      </c>
      <c r="AD8" s="46" t="n">
        <v>0.799373040752351</v>
      </c>
    </row>
    <row r="9" customFormat="false" ht="15" hidden="false" customHeight="false" outlineLevel="0" collapsed="false">
      <c r="A9" s="25" t="s">
        <v>73</v>
      </c>
      <c r="B9" s="27" t="n">
        <v>4</v>
      </c>
      <c r="C9" s="28" t="s">
        <v>170</v>
      </c>
      <c r="D9" s="27" t="n">
        <v>4</v>
      </c>
      <c r="E9" s="26" t="n">
        <v>6.2</v>
      </c>
      <c r="F9" s="29" t="n">
        <v>0.0130208333333333</v>
      </c>
      <c r="G9" s="27" t="n">
        <v>6</v>
      </c>
      <c r="H9" s="29" t="n">
        <v>0.0105006720430108</v>
      </c>
      <c r="I9" s="29" t="n">
        <v>0.00998730585424134</v>
      </c>
      <c r="J9" s="30" t="n">
        <v>44.4</v>
      </c>
      <c r="K9" s="33" t="n">
        <v>0.00991412037037037</v>
      </c>
      <c r="L9" s="62" t="s">
        <v>167</v>
      </c>
      <c r="M9" s="27" t="n">
        <v>18</v>
      </c>
      <c r="N9" s="34" t="n">
        <v>0.0105006720430108</v>
      </c>
      <c r="O9" s="35" t="n">
        <v>0.0591632591423208</v>
      </c>
      <c r="P9" s="26"/>
      <c r="Q9" s="26"/>
      <c r="R9" s="28"/>
      <c r="S9" s="26"/>
      <c r="T9" s="26"/>
      <c r="U9" s="28"/>
      <c r="V9" s="26"/>
      <c r="W9" s="44"/>
      <c r="X9" s="44"/>
      <c r="Y9" s="44"/>
      <c r="Z9" s="45"/>
      <c r="AA9" s="27" t="n">
        <v>336</v>
      </c>
      <c r="AB9" s="27" t="n">
        <v>698</v>
      </c>
      <c r="AC9" s="27" t="n">
        <v>384</v>
      </c>
      <c r="AD9" s="46" t="n">
        <v>0.550143266475645</v>
      </c>
    </row>
    <row r="10" customFormat="false" ht="15" hidden="false" customHeight="false" outlineLevel="0" collapsed="false">
      <c r="A10" s="25" t="s">
        <v>73</v>
      </c>
      <c r="B10" s="27" t="n">
        <v>5</v>
      </c>
      <c r="C10" s="28" t="s">
        <v>171</v>
      </c>
      <c r="D10" s="27" t="n">
        <v>4</v>
      </c>
      <c r="E10" s="26" t="n">
        <v>6.4</v>
      </c>
      <c r="F10" s="29" t="n">
        <v>0.0135416666666667</v>
      </c>
      <c r="G10" s="27" t="n">
        <v>6</v>
      </c>
      <c r="H10" s="29" t="n">
        <v>0.0105794270833333</v>
      </c>
      <c r="I10" s="29" t="n">
        <v>0.0103443287037037</v>
      </c>
      <c r="J10" s="30" t="n">
        <v>20.3</v>
      </c>
      <c r="K10" s="33" t="n">
        <v>0.00985868055555556</v>
      </c>
      <c r="L10" s="62" t="s">
        <v>167</v>
      </c>
      <c r="M10" s="27" t="n">
        <v>15</v>
      </c>
      <c r="N10" s="34" t="n">
        <v>0.0105794270833333</v>
      </c>
      <c r="O10" s="35" t="n">
        <v>0.0731078082626</v>
      </c>
      <c r="P10" s="26"/>
      <c r="Q10" s="26"/>
      <c r="R10" s="28"/>
      <c r="S10" s="26"/>
      <c r="T10" s="26"/>
      <c r="U10" s="28"/>
      <c r="V10" s="26"/>
      <c r="W10" s="44"/>
      <c r="X10" s="44"/>
      <c r="Y10" s="44"/>
      <c r="Z10" s="45"/>
      <c r="AA10" s="27" t="n">
        <v>337</v>
      </c>
      <c r="AB10" s="27" t="n">
        <v>630</v>
      </c>
      <c r="AC10" s="27" t="n">
        <v>310</v>
      </c>
      <c r="AD10" s="46" t="n">
        <v>0.492063492063492</v>
      </c>
    </row>
    <row r="11" customFormat="false" ht="15" hidden="false" customHeight="false" outlineLevel="0" collapsed="false">
      <c r="A11" s="25" t="s">
        <v>73</v>
      </c>
      <c r="B11" s="27" t="n">
        <v>6</v>
      </c>
      <c r="C11" s="28" t="s">
        <v>172</v>
      </c>
      <c r="D11" s="27" t="n">
        <v>4</v>
      </c>
      <c r="E11" s="26" t="n">
        <v>10.2</v>
      </c>
      <c r="F11" s="29" t="n">
        <v>0.0206597222222222</v>
      </c>
      <c r="G11" s="27" t="n">
        <v>3</v>
      </c>
      <c r="H11" s="29" t="n">
        <v>0.0202546296296296</v>
      </c>
      <c r="I11" s="29" t="n">
        <v>0.0199822984749455</v>
      </c>
      <c r="J11" s="30" t="n">
        <v>23.5</v>
      </c>
      <c r="K11" s="33" t="n">
        <v>0.00955810185185185</v>
      </c>
      <c r="L11" s="62" t="s">
        <v>167</v>
      </c>
      <c r="M11" s="27" t="n">
        <v>6</v>
      </c>
      <c r="N11" s="34" t="n">
        <v>0.0101273148148148</v>
      </c>
      <c r="O11" s="35" t="n">
        <v>0.0595529292097552</v>
      </c>
      <c r="P11" s="26"/>
      <c r="Q11" s="26"/>
      <c r="R11" s="28"/>
      <c r="S11" s="26"/>
      <c r="T11" s="26"/>
      <c r="U11" s="28"/>
      <c r="V11" s="26"/>
      <c r="W11" s="44"/>
      <c r="X11" s="44"/>
      <c r="Y11" s="44"/>
      <c r="Z11" s="45"/>
      <c r="AA11" s="27" t="n">
        <v>405</v>
      </c>
      <c r="AB11" s="27" t="n">
        <v>701</v>
      </c>
      <c r="AC11" s="27" t="n">
        <v>420</v>
      </c>
      <c r="AD11" s="46" t="n">
        <v>0.599144079885877</v>
      </c>
    </row>
    <row r="12" customFormat="false" ht="26.85" hidden="false" customHeight="false" outlineLevel="0" collapsed="false">
      <c r="A12" s="13" t="s">
        <v>74</v>
      </c>
      <c r="B12" s="14" t="n">
        <v>1</v>
      </c>
      <c r="C12" s="8" t="s">
        <v>173</v>
      </c>
      <c r="D12" s="14" t="n">
        <v>4</v>
      </c>
      <c r="E12" s="18" t="n">
        <v>8</v>
      </c>
      <c r="F12" s="31" t="n">
        <v>0.01625</v>
      </c>
      <c r="G12" s="14" t="n">
        <v>6</v>
      </c>
      <c r="H12" s="31" t="n">
        <v>0.01015625</v>
      </c>
      <c r="I12" s="31" t="n">
        <v>0.00987413194444444</v>
      </c>
      <c r="J12" s="15" t="n">
        <v>24.4</v>
      </c>
      <c r="K12" s="36" t="n">
        <v>0.00945520833333333</v>
      </c>
      <c r="L12" s="5" t="s">
        <v>174</v>
      </c>
      <c r="M12" s="14" t="n">
        <v>7</v>
      </c>
      <c r="N12" s="16" t="n">
        <v>0.01015625</v>
      </c>
      <c r="O12" s="37" t="n">
        <v>0.0741434394623775</v>
      </c>
      <c r="P12" s="18" t="n">
        <v>559</v>
      </c>
      <c r="Q12" s="18" t="n">
        <v>25.4090909090909</v>
      </c>
      <c r="R12" s="13" t="s">
        <v>589</v>
      </c>
      <c r="S12" s="18" t="n">
        <v>272</v>
      </c>
      <c r="T12" s="18" t="n">
        <v>27.2</v>
      </c>
      <c r="U12" s="13" t="s">
        <v>590</v>
      </c>
      <c r="V12" s="18" t="n">
        <v>831</v>
      </c>
      <c r="W12" s="19" t="n">
        <v>0.614</v>
      </c>
      <c r="X12" s="19" t="n">
        <v>1</v>
      </c>
      <c r="Y12" s="19" t="n">
        <v>1</v>
      </c>
      <c r="Z12" s="20" t="n">
        <v>0.871</v>
      </c>
      <c r="AA12" s="14" t="n">
        <v>303</v>
      </c>
      <c r="AB12" s="14" t="n">
        <v>652</v>
      </c>
      <c r="AC12" s="14" t="n">
        <v>477</v>
      </c>
      <c r="AD12" s="21" t="n">
        <v>0.73159509202454</v>
      </c>
    </row>
    <row r="13" customFormat="false" ht="26.85" hidden="false" customHeight="false" outlineLevel="0" collapsed="false">
      <c r="A13" s="13" t="s">
        <v>74</v>
      </c>
      <c r="B13" s="14" t="n">
        <v>2</v>
      </c>
      <c r="C13" s="8" t="s">
        <v>175</v>
      </c>
      <c r="D13" s="14" t="n">
        <v>4</v>
      </c>
      <c r="E13" s="18" t="n">
        <v>5.8</v>
      </c>
      <c r="F13" s="31" t="n">
        <v>0.0112037037037037</v>
      </c>
      <c r="G13" s="14" t="n">
        <v>1</v>
      </c>
      <c r="H13" s="31" t="n">
        <v>0.00965836526181354</v>
      </c>
      <c r="I13" s="31" t="n">
        <v>0.00965836526181354</v>
      </c>
      <c r="J13" s="15" t="n">
        <v>0</v>
      </c>
      <c r="K13" s="36" t="n">
        <v>0.00945081018518519</v>
      </c>
      <c r="L13" s="5" t="s">
        <v>174</v>
      </c>
      <c r="M13" s="14" t="n">
        <v>5</v>
      </c>
      <c r="N13" s="16" t="n">
        <v>0.00965836526181354</v>
      </c>
      <c r="O13" s="37" t="n">
        <v>0.0219616173176043</v>
      </c>
      <c r="P13" s="18" t="n">
        <v>509.5</v>
      </c>
      <c r="Q13" s="18" t="n">
        <v>23.1590909090909</v>
      </c>
      <c r="R13" s="13" t="s">
        <v>591</v>
      </c>
      <c r="S13" s="18" t="n">
        <v>234</v>
      </c>
      <c r="T13" s="18" t="n">
        <v>23.4</v>
      </c>
      <c r="U13" s="13" t="s">
        <v>592</v>
      </c>
      <c r="V13" s="18" t="n">
        <v>743.5</v>
      </c>
      <c r="W13" s="19" t="n">
        <v>0.9</v>
      </c>
      <c r="X13" s="19" t="n">
        <v>1</v>
      </c>
      <c r="Y13" s="19" t="n">
        <v>1</v>
      </c>
      <c r="Z13" s="20" t="n">
        <v>0.967</v>
      </c>
      <c r="AA13" s="14" t="n">
        <v>365</v>
      </c>
      <c r="AB13" s="14" t="n">
        <v>626</v>
      </c>
      <c r="AC13" s="14" t="n">
        <v>435.8</v>
      </c>
      <c r="AD13" s="21" t="n">
        <v>0.696166134185304</v>
      </c>
    </row>
    <row r="14" customFormat="false" ht="26.85" hidden="false" customHeight="false" outlineLevel="0" collapsed="false">
      <c r="A14" s="13" t="s">
        <v>74</v>
      </c>
      <c r="B14" s="14" t="n">
        <v>3</v>
      </c>
      <c r="C14" s="8" t="s">
        <v>176</v>
      </c>
      <c r="D14" s="14" t="n">
        <v>4</v>
      </c>
      <c r="E14" s="18" t="n">
        <v>8.5</v>
      </c>
      <c r="F14" s="31" t="n">
        <v>0.0172685185185185</v>
      </c>
      <c r="G14" s="14" t="n">
        <v>3</v>
      </c>
      <c r="H14" s="31" t="n">
        <v>0.0101579520697168</v>
      </c>
      <c r="I14" s="31" t="n">
        <v>0.0099400871459695</v>
      </c>
      <c r="J14" s="15" t="n">
        <v>18.8</v>
      </c>
      <c r="K14" s="36" t="n">
        <v>0.0094494212962963</v>
      </c>
      <c r="L14" s="5" t="s">
        <v>174</v>
      </c>
      <c r="M14" s="14" t="n">
        <v>4</v>
      </c>
      <c r="N14" s="16" t="n">
        <v>0.0101579520697168</v>
      </c>
      <c r="O14" s="37" t="n">
        <v>0.0749813931672396</v>
      </c>
      <c r="P14" s="18" t="n">
        <v>647</v>
      </c>
      <c r="Q14" s="18" t="n">
        <v>29.4090909090909</v>
      </c>
      <c r="R14" s="13" t="s">
        <v>593</v>
      </c>
      <c r="S14" s="18" t="n">
        <v>160</v>
      </c>
      <c r="T14" s="18" t="n">
        <v>16</v>
      </c>
      <c r="U14" s="13" t="s">
        <v>594</v>
      </c>
      <c r="V14" s="18" t="n">
        <v>807</v>
      </c>
      <c r="W14" s="19" t="n">
        <v>1</v>
      </c>
      <c r="X14" s="19" t="n">
        <v>0.825</v>
      </c>
      <c r="Y14" s="19" t="n">
        <v>0.925</v>
      </c>
      <c r="Z14" s="20" t="n">
        <v>0.917</v>
      </c>
      <c r="AA14" s="14" t="n">
        <v>478</v>
      </c>
      <c r="AB14" s="14" t="n">
        <v>639</v>
      </c>
      <c r="AC14" s="14" t="n">
        <v>412</v>
      </c>
      <c r="AD14" s="21" t="n">
        <v>0.644757433489828</v>
      </c>
    </row>
    <row r="15" customFormat="false" ht="26.85" hidden="false" customHeight="false" outlineLevel="0" collapsed="false">
      <c r="A15" s="13" t="s">
        <v>74</v>
      </c>
      <c r="B15" s="14" t="n">
        <v>4</v>
      </c>
      <c r="C15" s="8" t="s">
        <v>177</v>
      </c>
      <c r="D15" s="14" t="n">
        <v>4</v>
      </c>
      <c r="E15" s="18" t="n">
        <v>6.2</v>
      </c>
      <c r="F15" s="31" t="n">
        <v>0.0122106481481482</v>
      </c>
      <c r="G15" s="14" t="n">
        <v>1</v>
      </c>
      <c r="H15" s="31" t="n">
        <v>0.00984729689366786</v>
      </c>
      <c r="I15" s="31" t="n">
        <v>0.00984729689366786</v>
      </c>
      <c r="J15" s="15" t="n">
        <v>0</v>
      </c>
      <c r="K15" s="36" t="n">
        <v>0.00943333333333333</v>
      </c>
      <c r="L15" s="5" t="s">
        <v>174</v>
      </c>
      <c r="M15" s="14" t="n">
        <v>3</v>
      </c>
      <c r="N15" s="16" t="n">
        <v>0.00984729689366786</v>
      </c>
      <c r="O15" s="37" t="n">
        <v>0.0438830629329887</v>
      </c>
      <c r="P15" s="18" t="n">
        <v>569</v>
      </c>
      <c r="Q15" s="18" t="n">
        <v>25.8636363636364</v>
      </c>
      <c r="R15" s="13" t="s">
        <v>595</v>
      </c>
      <c r="S15" s="18" t="n">
        <v>237</v>
      </c>
      <c r="T15" s="18" t="n">
        <v>23.7</v>
      </c>
      <c r="U15" s="13" t="s">
        <v>596</v>
      </c>
      <c r="V15" s="18" t="n">
        <v>806</v>
      </c>
      <c r="W15" s="19" t="n">
        <v>1</v>
      </c>
      <c r="X15" s="19" t="n">
        <v>1</v>
      </c>
      <c r="Y15" s="19" t="n">
        <v>1</v>
      </c>
      <c r="Z15" s="20" t="n">
        <v>1</v>
      </c>
      <c r="AA15" s="14" t="n">
        <v>474</v>
      </c>
      <c r="AB15" s="14" t="n">
        <v>611</v>
      </c>
      <c r="AC15" s="14" t="n">
        <v>467</v>
      </c>
      <c r="AD15" s="21" t="n">
        <v>0.764320785597381</v>
      </c>
    </row>
    <row r="16" customFormat="false" ht="15" hidden="false" customHeight="false" outlineLevel="0" collapsed="false">
      <c r="A16" s="13" t="s">
        <v>74</v>
      </c>
      <c r="B16" s="14" t="n">
        <v>5</v>
      </c>
      <c r="C16" s="8" t="s">
        <v>178</v>
      </c>
      <c r="D16" s="14" t="n">
        <v>4</v>
      </c>
      <c r="E16" s="18" t="n">
        <v>6.4</v>
      </c>
      <c r="F16" s="31" t="n">
        <v>0.0132523148148148</v>
      </c>
      <c r="G16" s="14" t="n">
        <v>9</v>
      </c>
      <c r="H16" s="31" t="n">
        <v>0.0103533709490741</v>
      </c>
      <c r="I16" s="31" t="n">
        <v>0.00968424479166667</v>
      </c>
      <c r="J16" s="15" t="n">
        <v>57.8</v>
      </c>
      <c r="K16" s="36" t="n">
        <v>0.00945289351851852</v>
      </c>
      <c r="L16" s="5" t="s">
        <v>174</v>
      </c>
      <c r="M16" s="14" t="n">
        <v>6</v>
      </c>
      <c r="N16" s="16" t="n">
        <v>0.0103533709490741</v>
      </c>
      <c r="O16" s="37" t="n">
        <v>0.0952594492671997</v>
      </c>
      <c r="P16" s="18" t="n">
        <v>708</v>
      </c>
      <c r="Q16" s="18" t="n">
        <v>32.1818181818182</v>
      </c>
      <c r="R16" s="13" t="s">
        <v>597</v>
      </c>
      <c r="S16" s="18" t="n">
        <v>271</v>
      </c>
      <c r="T16" s="18" t="n">
        <v>27.1</v>
      </c>
      <c r="U16" s="13" t="s">
        <v>598</v>
      </c>
      <c r="V16" s="18" t="n">
        <v>979</v>
      </c>
      <c r="W16" s="19" t="n">
        <v>1</v>
      </c>
      <c r="X16" s="19" t="n">
        <v>1</v>
      </c>
      <c r="Y16" s="19" t="n">
        <v>1</v>
      </c>
      <c r="Z16" s="20" t="n">
        <v>1</v>
      </c>
      <c r="AA16" s="14" t="n">
        <v>402</v>
      </c>
      <c r="AB16" s="14" t="n">
        <v>672</v>
      </c>
      <c r="AC16" s="14" t="n">
        <v>502</v>
      </c>
      <c r="AD16" s="21" t="n">
        <v>0.74702380952381</v>
      </c>
    </row>
    <row r="17" customFormat="false" ht="26.85" hidden="false" customHeight="false" outlineLevel="0" collapsed="false">
      <c r="A17" s="13" t="s">
        <v>74</v>
      </c>
      <c r="B17" s="14" t="n">
        <v>6</v>
      </c>
      <c r="C17" s="8" t="s">
        <v>179</v>
      </c>
      <c r="D17" s="14" t="n">
        <v>4</v>
      </c>
      <c r="E17" s="18" t="n">
        <v>10.2</v>
      </c>
      <c r="F17" s="31" t="n">
        <v>0.0211111111111111</v>
      </c>
      <c r="G17" s="14" t="n">
        <v>7</v>
      </c>
      <c r="H17" s="31" t="n">
        <v>0.0206971677559913</v>
      </c>
      <c r="I17" s="31" t="n">
        <v>0.019744008714597</v>
      </c>
      <c r="J17" s="15" t="n">
        <v>82.4</v>
      </c>
      <c r="K17" s="36" t="n">
        <v>0.00962106481481482</v>
      </c>
      <c r="L17" s="5" t="s">
        <v>174</v>
      </c>
      <c r="M17" s="14" t="n">
        <v>13</v>
      </c>
      <c r="N17" s="16" t="n">
        <v>0.0103485838779956</v>
      </c>
      <c r="O17" s="37" t="n">
        <v>0.0756173123436994</v>
      </c>
      <c r="P17" s="18" t="n">
        <v>459</v>
      </c>
      <c r="Q17" s="18" t="n">
        <v>20.8636363636364</v>
      </c>
      <c r="R17" s="13" t="s">
        <v>599</v>
      </c>
      <c r="S17" s="18" t="n">
        <v>220</v>
      </c>
      <c r="T17" s="18" t="n">
        <v>22</v>
      </c>
      <c r="U17" s="13" t="s">
        <v>600</v>
      </c>
      <c r="V17" s="18" t="n">
        <v>679</v>
      </c>
      <c r="W17" s="19" t="n">
        <v>0.414</v>
      </c>
      <c r="X17" s="19" t="n">
        <v>0.925</v>
      </c>
      <c r="Y17" s="19" t="n">
        <v>0.75</v>
      </c>
      <c r="Z17" s="20" t="n">
        <v>0.696</v>
      </c>
      <c r="AA17" s="14" t="n">
        <v>168</v>
      </c>
      <c r="AB17" s="14" t="n">
        <v>618</v>
      </c>
      <c r="AC17" s="14" t="n">
        <v>515</v>
      </c>
      <c r="AD17" s="21" t="n">
        <v>0.833333333333333</v>
      </c>
    </row>
    <row r="18" customFormat="false" ht="26.85" hidden="false" customHeight="false" outlineLevel="0" collapsed="false">
      <c r="A18" s="25" t="s">
        <v>75</v>
      </c>
      <c r="B18" s="27" t="n">
        <v>1</v>
      </c>
      <c r="C18" s="28" t="s">
        <v>179</v>
      </c>
      <c r="D18" s="27" t="n">
        <v>3</v>
      </c>
      <c r="E18" s="26" t="n">
        <v>8</v>
      </c>
      <c r="F18" s="29" t="n">
        <v>0.0164351851851852</v>
      </c>
      <c r="G18" s="27" t="n">
        <v>1</v>
      </c>
      <c r="H18" s="29" t="n">
        <v>0.0102719907407407</v>
      </c>
      <c r="I18" s="29" t="n">
        <v>0.0102719907407407</v>
      </c>
      <c r="J18" s="30" t="n">
        <v>0</v>
      </c>
      <c r="K18" s="33" t="n">
        <v>0.0096212962962963</v>
      </c>
      <c r="L18" s="62" t="s">
        <v>180</v>
      </c>
      <c r="M18" s="27" t="n">
        <v>1</v>
      </c>
      <c r="N18" s="34" t="n">
        <v>0.0102719907407407</v>
      </c>
      <c r="O18" s="35" t="n">
        <v>0.0676306419016457</v>
      </c>
      <c r="P18" s="26" t="n">
        <v>409</v>
      </c>
      <c r="Q18" s="26" t="n">
        <v>21.5263157894737</v>
      </c>
      <c r="R18" s="25" t="s">
        <v>601</v>
      </c>
      <c r="S18" s="26" t="n">
        <v>202</v>
      </c>
      <c r="T18" s="26" t="n">
        <v>20.2</v>
      </c>
      <c r="U18" s="25" t="s">
        <v>602</v>
      </c>
      <c r="V18" s="26" t="n">
        <v>611</v>
      </c>
      <c r="W18" s="44" t="n">
        <v>1</v>
      </c>
      <c r="X18" s="44" t="n">
        <v>0.825</v>
      </c>
      <c r="Y18" s="44" t="n">
        <v>1</v>
      </c>
      <c r="Z18" s="45" t="n">
        <v>0.942</v>
      </c>
      <c r="AA18" s="27"/>
      <c r="AB18" s="27"/>
      <c r="AC18" s="27"/>
      <c r="AD18" s="46"/>
    </row>
    <row r="19" customFormat="false" ht="26.85" hidden="false" customHeight="false" outlineLevel="0" collapsed="false">
      <c r="A19" s="25" t="s">
        <v>75</v>
      </c>
      <c r="B19" s="27" t="n">
        <v>2</v>
      </c>
      <c r="C19" s="28" t="s">
        <v>173</v>
      </c>
      <c r="D19" s="27" t="n">
        <v>3</v>
      </c>
      <c r="E19" s="26" t="n">
        <v>5.8</v>
      </c>
      <c r="F19" s="29" t="n">
        <v>0.0114814814814815</v>
      </c>
      <c r="G19" s="27" t="n">
        <v>6</v>
      </c>
      <c r="H19" s="29" t="n">
        <v>0.00989782886334611</v>
      </c>
      <c r="I19" s="29" t="n">
        <v>0.00943885696040869</v>
      </c>
      <c r="J19" s="30" t="n">
        <v>39.7</v>
      </c>
      <c r="K19" s="33" t="n">
        <v>0.0095974537037037</v>
      </c>
      <c r="L19" s="62" t="s">
        <v>181</v>
      </c>
      <c r="M19" s="27" t="n">
        <v>14</v>
      </c>
      <c r="N19" s="34" t="n">
        <v>0.00989782886334611</v>
      </c>
      <c r="O19" s="35" t="n">
        <v>0.0312973804214847</v>
      </c>
      <c r="P19" s="26" t="n">
        <v>485</v>
      </c>
      <c r="Q19" s="26" t="n">
        <v>25.5263157894737</v>
      </c>
      <c r="R19" s="25" t="s">
        <v>603</v>
      </c>
      <c r="S19" s="26" t="n">
        <v>202</v>
      </c>
      <c r="T19" s="26" t="n">
        <v>20.2</v>
      </c>
      <c r="U19" s="25" t="s">
        <v>602</v>
      </c>
      <c r="V19" s="26" t="n">
        <v>687</v>
      </c>
      <c r="W19" s="44" t="n">
        <v>1</v>
      </c>
      <c r="X19" s="44" t="n">
        <v>1</v>
      </c>
      <c r="Y19" s="44" t="n">
        <v>1</v>
      </c>
      <c r="Z19" s="45" t="n">
        <v>1</v>
      </c>
      <c r="AA19" s="27"/>
      <c r="AB19" s="27"/>
      <c r="AC19" s="27"/>
      <c r="AD19" s="46"/>
    </row>
    <row r="20" customFormat="false" ht="26.85" hidden="false" customHeight="false" outlineLevel="0" collapsed="false">
      <c r="A20" s="25" t="s">
        <v>75</v>
      </c>
      <c r="B20" s="27" t="n">
        <v>3</v>
      </c>
      <c r="C20" s="28" t="s">
        <v>175</v>
      </c>
      <c r="D20" s="27" t="n">
        <v>3</v>
      </c>
      <c r="E20" s="26" t="n">
        <v>8.5</v>
      </c>
      <c r="F20" s="29" t="n">
        <v>0.0166087962962963</v>
      </c>
      <c r="G20" s="27" t="n">
        <v>3</v>
      </c>
      <c r="H20" s="29" t="n">
        <v>0.00976988017429194</v>
      </c>
      <c r="I20" s="29" t="n">
        <v>0.00974945533769063</v>
      </c>
      <c r="J20" s="30" t="n">
        <v>1.8</v>
      </c>
      <c r="K20" s="33" t="n">
        <v>0.00949016203703704</v>
      </c>
      <c r="L20" s="62" t="s">
        <v>181</v>
      </c>
      <c r="M20" s="27" t="n">
        <v>6</v>
      </c>
      <c r="N20" s="34" t="n">
        <v>0.00976988017429194</v>
      </c>
      <c r="O20" s="35" t="n">
        <v>0.0294745375435372</v>
      </c>
      <c r="P20" s="26" t="n">
        <v>453</v>
      </c>
      <c r="Q20" s="26" t="n">
        <v>23.8421052631579</v>
      </c>
      <c r="R20" s="25" t="s">
        <v>604</v>
      </c>
      <c r="S20" s="26" t="n">
        <v>206</v>
      </c>
      <c r="T20" s="26" t="n">
        <v>20.6</v>
      </c>
      <c r="U20" s="25" t="s">
        <v>605</v>
      </c>
      <c r="V20" s="26" t="n">
        <v>659</v>
      </c>
      <c r="W20" s="44" t="n">
        <v>1</v>
      </c>
      <c r="X20" s="44" t="n">
        <v>1</v>
      </c>
      <c r="Y20" s="44" t="n">
        <v>1</v>
      </c>
      <c r="Z20" s="45" t="n">
        <v>1</v>
      </c>
      <c r="AA20" s="27"/>
      <c r="AB20" s="27"/>
      <c r="AC20" s="27"/>
      <c r="AD20" s="46"/>
    </row>
    <row r="21" customFormat="false" ht="26.85" hidden="false" customHeight="false" outlineLevel="0" collapsed="false">
      <c r="A21" s="25" t="s">
        <v>75</v>
      </c>
      <c r="B21" s="27" t="n">
        <v>4</v>
      </c>
      <c r="C21" s="28" t="s">
        <v>182</v>
      </c>
      <c r="D21" s="27" t="n">
        <v>3</v>
      </c>
      <c r="E21" s="26" t="n">
        <v>6.2</v>
      </c>
      <c r="F21" s="29" t="n">
        <v>0.0124768518518519</v>
      </c>
      <c r="G21" s="27" t="n">
        <v>5</v>
      </c>
      <c r="H21" s="29" t="n">
        <v>0.0100619772998805</v>
      </c>
      <c r="I21" s="29" t="n">
        <v>0.00991263440860215</v>
      </c>
      <c r="J21" s="30" t="n">
        <v>12.9</v>
      </c>
      <c r="K21" s="33" t="n">
        <v>0.00946493055555556</v>
      </c>
      <c r="L21" s="62" t="s">
        <v>181</v>
      </c>
      <c r="M21" s="27" t="n">
        <v>3</v>
      </c>
      <c r="N21" s="34" t="n">
        <v>0.0100619772998805</v>
      </c>
      <c r="O21" s="35" t="n">
        <v>0.06307988641021</v>
      </c>
      <c r="P21" s="26" t="n">
        <v>500</v>
      </c>
      <c r="Q21" s="26" t="n">
        <v>26.3157894736842</v>
      </c>
      <c r="R21" s="25" t="s">
        <v>606</v>
      </c>
      <c r="S21" s="26" t="n">
        <v>199</v>
      </c>
      <c r="T21" s="26" t="n">
        <v>19.9</v>
      </c>
      <c r="U21" s="25" t="s">
        <v>607</v>
      </c>
      <c r="V21" s="26" t="n">
        <v>699</v>
      </c>
      <c r="W21" s="44" t="n">
        <v>1</v>
      </c>
      <c r="X21" s="44" t="n">
        <v>0.975</v>
      </c>
      <c r="Y21" s="44" t="n">
        <v>1</v>
      </c>
      <c r="Z21" s="45" t="n">
        <v>0.992</v>
      </c>
      <c r="AA21" s="27"/>
      <c r="AB21" s="27"/>
      <c r="AC21" s="27"/>
      <c r="AD21" s="46"/>
    </row>
    <row r="22" customFormat="false" ht="26.85" hidden="false" customHeight="false" outlineLevel="0" collapsed="false">
      <c r="A22" s="25" t="s">
        <v>75</v>
      </c>
      <c r="B22" s="27" t="n">
        <v>5</v>
      </c>
      <c r="C22" s="28" t="s">
        <v>183</v>
      </c>
      <c r="D22" s="27" t="n">
        <v>3</v>
      </c>
      <c r="E22" s="26" t="n">
        <v>6.4</v>
      </c>
      <c r="F22" s="29" t="n">
        <v>0.012962962962963</v>
      </c>
      <c r="G22" s="27" t="n">
        <v>5</v>
      </c>
      <c r="H22" s="29" t="n">
        <v>0.0101273148148148</v>
      </c>
      <c r="I22" s="29" t="n">
        <v>0.00987413194444444</v>
      </c>
      <c r="J22" s="30" t="n">
        <v>21.9</v>
      </c>
      <c r="K22" s="33" t="n">
        <v>0.0096494212962963</v>
      </c>
      <c r="L22" s="62" t="s">
        <v>181</v>
      </c>
      <c r="M22" s="27" t="n">
        <v>17</v>
      </c>
      <c r="N22" s="34" t="n">
        <v>0.0101273148148148</v>
      </c>
      <c r="O22" s="35" t="n">
        <v>0.0495256144222809</v>
      </c>
      <c r="P22" s="26" t="n">
        <v>536</v>
      </c>
      <c r="Q22" s="26" t="n">
        <v>28.2105263157895</v>
      </c>
      <c r="R22" s="25" t="s">
        <v>608</v>
      </c>
      <c r="S22" s="26" t="n">
        <v>252</v>
      </c>
      <c r="T22" s="26" t="n">
        <v>25.2</v>
      </c>
      <c r="U22" s="25" t="s">
        <v>609</v>
      </c>
      <c r="V22" s="26" t="n">
        <v>788</v>
      </c>
      <c r="W22" s="44" t="n">
        <v>0.825</v>
      </c>
      <c r="X22" s="44" t="n">
        <v>1</v>
      </c>
      <c r="Y22" s="44" t="n">
        <v>1</v>
      </c>
      <c r="Z22" s="45" t="n">
        <v>0.942</v>
      </c>
      <c r="AA22" s="27"/>
      <c r="AB22" s="27"/>
      <c r="AC22" s="27"/>
      <c r="AD22" s="46"/>
    </row>
    <row r="23" customFormat="false" ht="26.85" hidden="false" customHeight="false" outlineLevel="0" collapsed="false">
      <c r="A23" s="25" t="s">
        <v>75</v>
      </c>
      <c r="B23" s="27" t="n">
        <v>6</v>
      </c>
      <c r="C23" s="28" t="s">
        <v>184</v>
      </c>
      <c r="D23" s="27" t="n">
        <v>3</v>
      </c>
      <c r="E23" s="26" t="n">
        <v>10.2</v>
      </c>
      <c r="F23" s="29" t="n">
        <v>0.0205902777777778</v>
      </c>
      <c r="G23" s="27" t="n">
        <v>3</v>
      </c>
      <c r="H23" s="29" t="n">
        <v>0.0201865468409586</v>
      </c>
      <c r="I23" s="29" t="n">
        <v>0.0197780501089325</v>
      </c>
      <c r="J23" s="30" t="n">
        <v>35.3</v>
      </c>
      <c r="K23" s="33" t="n">
        <v>0.00973819444444445</v>
      </c>
      <c r="L23" s="62" t="s">
        <v>181</v>
      </c>
      <c r="M23" s="27" t="n">
        <v>19</v>
      </c>
      <c r="N23" s="34" t="n">
        <v>0.0100932734204793</v>
      </c>
      <c r="O23" s="35" t="n">
        <v>0.0364625062747055</v>
      </c>
      <c r="P23" s="26" t="n">
        <v>463</v>
      </c>
      <c r="Q23" s="26" t="n">
        <v>24.3684210526316</v>
      </c>
      <c r="R23" s="25" t="s">
        <v>602</v>
      </c>
      <c r="S23" s="26" t="n">
        <v>201</v>
      </c>
      <c r="T23" s="26" t="n">
        <v>20.1</v>
      </c>
      <c r="U23" s="25" t="s">
        <v>610</v>
      </c>
      <c r="V23" s="26" t="n">
        <v>664</v>
      </c>
      <c r="W23" s="44" t="n">
        <v>0.925</v>
      </c>
      <c r="X23" s="44" t="n">
        <v>1</v>
      </c>
      <c r="Y23" s="44" t="n">
        <v>0.925</v>
      </c>
      <c r="Z23" s="45" t="n">
        <v>0.95</v>
      </c>
      <c r="AA23" s="27"/>
      <c r="AB23" s="27"/>
      <c r="AC23" s="27"/>
      <c r="AD23" s="46"/>
    </row>
    <row r="24" customFormat="false" ht="26.85" hidden="false" customHeight="false" outlineLevel="0" collapsed="false">
      <c r="A24" s="13" t="s">
        <v>76</v>
      </c>
      <c r="B24" s="14" t="n">
        <v>1</v>
      </c>
      <c r="C24" s="8" t="s">
        <v>185</v>
      </c>
      <c r="D24" s="14" t="n">
        <v>7</v>
      </c>
      <c r="E24" s="18" t="n">
        <v>8</v>
      </c>
      <c r="F24" s="31" t="n">
        <v>0.0165046296296296</v>
      </c>
      <c r="G24" s="14" t="n">
        <v>6</v>
      </c>
      <c r="H24" s="31" t="n">
        <v>0.0103153935185185</v>
      </c>
      <c r="I24" s="31" t="n">
        <v>0.0101851851851852</v>
      </c>
      <c r="J24" s="15" t="n">
        <v>11.3</v>
      </c>
      <c r="K24" s="36" t="n">
        <v>0.00951111111111111</v>
      </c>
      <c r="L24" s="5" t="s">
        <v>180</v>
      </c>
      <c r="M24" s="14" t="n">
        <v>3</v>
      </c>
      <c r="N24" s="16" t="n">
        <v>0.0103153935185185</v>
      </c>
      <c r="O24" s="37" t="n">
        <v>0.0845624026479752</v>
      </c>
      <c r="P24" s="18" t="n">
        <v>612</v>
      </c>
      <c r="Q24" s="18" t="n">
        <v>32.2105263157895</v>
      </c>
      <c r="R24" s="13" t="s">
        <v>611</v>
      </c>
      <c r="S24" s="18" t="n">
        <v>212</v>
      </c>
      <c r="T24" s="18" t="n">
        <v>21.2</v>
      </c>
      <c r="U24" s="13" t="s">
        <v>605</v>
      </c>
      <c r="V24" s="18" t="n">
        <v>824</v>
      </c>
      <c r="W24" s="19" t="n">
        <v>1</v>
      </c>
      <c r="X24" s="19" t="n">
        <v>1</v>
      </c>
      <c r="Y24" s="19" t="n">
        <v>1</v>
      </c>
      <c r="Z24" s="20" t="n">
        <v>1</v>
      </c>
      <c r="AA24" s="14"/>
      <c r="AB24" s="14"/>
      <c r="AC24" s="14"/>
      <c r="AD24" s="21"/>
    </row>
    <row r="25" customFormat="false" ht="26.85" hidden="false" customHeight="false" outlineLevel="0" collapsed="false">
      <c r="A25" s="13" t="s">
        <v>76</v>
      </c>
      <c r="B25" s="14" t="n">
        <v>2</v>
      </c>
      <c r="C25" s="8" t="s">
        <v>186</v>
      </c>
      <c r="D25" s="14" t="n">
        <v>7</v>
      </c>
      <c r="E25" s="18" t="n">
        <v>5.8</v>
      </c>
      <c r="F25" s="31" t="n">
        <v>0.0117592592592593</v>
      </c>
      <c r="G25" s="14" t="n">
        <v>10</v>
      </c>
      <c r="H25" s="31" t="n">
        <v>0.0101372924648787</v>
      </c>
      <c r="I25" s="31" t="n">
        <v>0.00954861111111111</v>
      </c>
      <c r="J25" s="15" t="n">
        <v>50.9</v>
      </c>
      <c r="K25" s="36" t="n">
        <v>0.00970798611111111</v>
      </c>
      <c r="L25" s="5" t="s">
        <v>180</v>
      </c>
      <c r="M25" s="14" t="n">
        <v>21</v>
      </c>
      <c r="N25" s="16" t="n">
        <v>0.0101372924648787</v>
      </c>
      <c r="O25" s="37" t="n">
        <v>0.0442219785704272</v>
      </c>
      <c r="P25" s="18" t="n">
        <v>556</v>
      </c>
      <c r="Q25" s="18" t="n">
        <v>29.2631578947368</v>
      </c>
      <c r="R25" s="13" t="s">
        <v>612</v>
      </c>
      <c r="S25" s="18" t="n">
        <v>219</v>
      </c>
      <c r="T25" s="18" t="n">
        <v>21.9</v>
      </c>
      <c r="U25" s="13" t="s">
        <v>613</v>
      </c>
      <c r="V25" s="18" t="n">
        <v>775</v>
      </c>
      <c r="W25" s="19" t="n">
        <v>1</v>
      </c>
      <c r="X25" s="19" t="n">
        <v>1</v>
      </c>
      <c r="Y25" s="19" t="n">
        <v>1</v>
      </c>
      <c r="Z25" s="20" t="n">
        <v>1</v>
      </c>
      <c r="AA25" s="14"/>
      <c r="AB25" s="14"/>
      <c r="AC25" s="14"/>
      <c r="AD25" s="21"/>
    </row>
    <row r="26" customFormat="false" ht="26.85" hidden="false" customHeight="false" outlineLevel="0" collapsed="false">
      <c r="A26" s="13" t="s">
        <v>76</v>
      </c>
      <c r="B26" s="14" t="n">
        <v>3</v>
      </c>
      <c r="C26" s="8" t="s">
        <v>187</v>
      </c>
      <c r="D26" s="14" t="n">
        <v>7</v>
      </c>
      <c r="E26" s="18" t="n">
        <v>8.5</v>
      </c>
      <c r="F26" s="31" t="n">
        <v>0.0175578703703704</v>
      </c>
      <c r="G26" s="14" t="n">
        <v>10</v>
      </c>
      <c r="H26" s="31" t="n">
        <v>0.0103281590413943</v>
      </c>
      <c r="I26" s="31" t="n">
        <v>0.00972903050108932</v>
      </c>
      <c r="J26" s="15" t="n">
        <v>51.8</v>
      </c>
      <c r="K26" s="36" t="n">
        <v>0.00958854166666667</v>
      </c>
      <c r="L26" s="5" t="s">
        <v>180</v>
      </c>
      <c r="M26" s="14" t="n">
        <v>12</v>
      </c>
      <c r="N26" s="16" t="n">
        <v>0.0103281590413943</v>
      </c>
      <c r="O26" s="37" t="n">
        <v>0.077135543697834</v>
      </c>
      <c r="P26" s="18" t="n">
        <v>496</v>
      </c>
      <c r="Q26" s="18" t="n">
        <v>26.1052631578947</v>
      </c>
      <c r="R26" s="13" t="s">
        <v>613</v>
      </c>
      <c r="S26" s="18" t="n">
        <v>222</v>
      </c>
      <c r="T26" s="18" t="n">
        <v>22.2</v>
      </c>
      <c r="U26" s="13" t="s">
        <v>614</v>
      </c>
      <c r="V26" s="18" t="n">
        <v>718</v>
      </c>
      <c r="W26" s="19" t="n">
        <v>0.66</v>
      </c>
      <c r="X26" s="19" t="n">
        <v>1</v>
      </c>
      <c r="Y26" s="19" t="n">
        <v>1</v>
      </c>
      <c r="Z26" s="20" t="n">
        <v>0.887</v>
      </c>
      <c r="AA26" s="14"/>
      <c r="AB26" s="14"/>
      <c r="AC26" s="14"/>
      <c r="AD26" s="21"/>
    </row>
    <row r="27" customFormat="false" ht="15" hidden="false" customHeight="false" outlineLevel="0" collapsed="false">
      <c r="A27" s="13" t="s">
        <v>76</v>
      </c>
      <c r="B27" s="14" t="n">
        <v>4</v>
      </c>
      <c r="C27" s="8" t="s">
        <v>188</v>
      </c>
      <c r="D27" s="14" t="n">
        <v>7</v>
      </c>
      <c r="E27" s="18" t="n">
        <v>6.2</v>
      </c>
      <c r="F27" s="31" t="n">
        <v>0.0123148148148148</v>
      </c>
      <c r="G27" s="14" t="n">
        <v>8</v>
      </c>
      <c r="H27" s="31" t="n">
        <v>0.00993130227001195</v>
      </c>
      <c r="I27" s="31" t="n">
        <v>0.00970728793309439</v>
      </c>
      <c r="J27" s="15" t="n">
        <v>19.4</v>
      </c>
      <c r="K27" s="36" t="n">
        <v>0.0095369212962963</v>
      </c>
      <c r="L27" s="5" t="s">
        <v>180</v>
      </c>
      <c r="M27" s="14" t="n">
        <v>5</v>
      </c>
      <c r="N27" s="16" t="n">
        <v>0.00993130227001195</v>
      </c>
      <c r="O27" s="37" t="n">
        <v>0.0413530699754028</v>
      </c>
      <c r="P27" s="18" t="n">
        <v>591</v>
      </c>
      <c r="Q27" s="18" t="n">
        <v>31.1052631578947</v>
      </c>
      <c r="R27" s="13" t="s">
        <v>615</v>
      </c>
      <c r="S27" s="18" t="n">
        <v>240</v>
      </c>
      <c r="T27" s="18" t="n">
        <v>24</v>
      </c>
      <c r="U27" s="13" t="s">
        <v>616</v>
      </c>
      <c r="V27" s="18" t="n">
        <v>831</v>
      </c>
      <c r="W27" s="19" t="n">
        <v>1</v>
      </c>
      <c r="X27" s="19" t="n">
        <v>1</v>
      </c>
      <c r="Y27" s="19" t="n">
        <v>1</v>
      </c>
      <c r="Z27" s="20" t="n">
        <v>1</v>
      </c>
      <c r="AA27" s="14"/>
      <c r="AB27" s="14"/>
      <c r="AC27" s="14"/>
      <c r="AD27" s="21"/>
    </row>
    <row r="28" customFormat="false" ht="15" hidden="false" customHeight="false" outlineLevel="0" collapsed="false">
      <c r="A28" s="13" t="s">
        <v>76</v>
      </c>
      <c r="B28" s="14" t="n">
        <v>5</v>
      </c>
      <c r="C28" s="8" t="s">
        <v>189</v>
      </c>
      <c r="D28" s="14" t="n">
        <v>7</v>
      </c>
      <c r="E28" s="18" t="n">
        <v>6.4</v>
      </c>
      <c r="F28" s="31" t="n">
        <v>0.0124305555555556</v>
      </c>
      <c r="G28" s="14" t="n">
        <v>1</v>
      </c>
      <c r="H28" s="31" t="n">
        <v>0.00971137152777778</v>
      </c>
      <c r="I28" s="31" t="n">
        <v>0.00971137152777778</v>
      </c>
      <c r="J28" s="15" t="n">
        <v>0</v>
      </c>
      <c r="K28" s="36" t="n">
        <v>0.00960138888888889</v>
      </c>
      <c r="L28" s="5" t="s">
        <v>180</v>
      </c>
      <c r="M28" s="14" t="n">
        <v>14</v>
      </c>
      <c r="N28" s="16" t="n">
        <v>0.00971137152777778</v>
      </c>
      <c r="O28" s="37" t="n">
        <v>0.0114548676406772</v>
      </c>
      <c r="P28" s="18" t="n">
        <v>721</v>
      </c>
      <c r="Q28" s="18" t="n">
        <v>37.9473684210526</v>
      </c>
      <c r="R28" s="13" t="s">
        <v>617</v>
      </c>
      <c r="S28" s="18" t="n">
        <v>266</v>
      </c>
      <c r="T28" s="18" t="n">
        <v>26.6</v>
      </c>
      <c r="U28" s="13" t="s">
        <v>618</v>
      </c>
      <c r="V28" s="18" t="n">
        <v>987</v>
      </c>
      <c r="W28" s="19" t="n">
        <v>1</v>
      </c>
      <c r="X28" s="19" t="n">
        <v>1</v>
      </c>
      <c r="Y28" s="19" t="n">
        <v>1</v>
      </c>
      <c r="Z28" s="20" t="n">
        <v>1</v>
      </c>
      <c r="AA28" s="14"/>
      <c r="AB28" s="14"/>
      <c r="AC28" s="14"/>
      <c r="AD28" s="21"/>
    </row>
    <row r="29" customFormat="false" ht="26.85" hidden="false" customHeight="false" outlineLevel="0" collapsed="false">
      <c r="A29" s="13" t="s">
        <v>76</v>
      </c>
      <c r="B29" s="14" t="n">
        <v>6</v>
      </c>
      <c r="C29" s="8" t="s">
        <v>175</v>
      </c>
      <c r="D29" s="14" t="n">
        <v>7</v>
      </c>
      <c r="E29" s="18" t="n">
        <v>10.2</v>
      </c>
      <c r="F29" s="31" t="n">
        <v>0.0203125</v>
      </c>
      <c r="G29" s="14" t="n">
        <v>1</v>
      </c>
      <c r="H29" s="31" t="n">
        <v>0.0199142156862745</v>
      </c>
      <c r="I29" s="31" t="n">
        <v>0.0199142156862745</v>
      </c>
      <c r="J29" s="15" t="n">
        <v>0</v>
      </c>
      <c r="K29" s="36" t="n">
        <v>0.00942141203703704</v>
      </c>
      <c r="L29" s="5" t="s">
        <v>180</v>
      </c>
      <c r="M29" s="14" t="n">
        <v>1</v>
      </c>
      <c r="N29" s="16" t="n">
        <v>0.00995710784313726</v>
      </c>
      <c r="O29" s="37" t="n">
        <v>0.0568593968711182</v>
      </c>
      <c r="P29" s="18" t="n">
        <v>496</v>
      </c>
      <c r="Q29" s="18" t="n">
        <v>26.1052631578947</v>
      </c>
      <c r="R29" s="13" t="s">
        <v>613</v>
      </c>
      <c r="S29" s="18" t="n">
        <v>224</v>
      </c>
      <c r="T29" s="18" t="n">
        <v>22.4</v>
      </c>
      <c r="U29" s="13" t="s">
        <v>619</v>
      </c>
      <c r="V29" s="18" t="n">
        <v>720</v>
      </c>
      <c r="W29" s="19" t="n">
        <v>1</v>
      </c>
      <c r="X29" s="19" t="n">
        <v>1</v>
      </c>
      <c r="Y29" s="19" t="n">
        <v>1</v>
      </c>
      <c r="Z29" s="20" t="n">
        <v>1</v>
      </c>
      <c r="AA29" s="14"/>
      <c r="AB29" s="14"/>
      <c r="AC29" s="14"/>
      <c r="AD29" s="21"/>
    </row>
    <row r="30" customFormat="false" ht="26.85" hidden="false" customHeight="false" outlineLevel="0" collapsed="false">
      <c r="A30" s="25" t="s">
        <v>77</v>
      </c>
      <c r="B30" s="27" t="n">
        <v>1</v>
      </c>
      <c r="C30" s="28" t="s">
        <v>190</v>
      </c>
      <c r="D30" s="27" t="n">
        <v>11</v>
      </c>
      <c r="E30" s="26" t="n">
        <v>8</v>
      </c>
      <c r="F30" s="29" t="n">
        <v>0.0158333333333333</v>
      </c>
      <c r="G30" s="27" t="n">
        <v>2</v>
      </c>
      <c r="H30" s="29" t="n">
        <v>0.00989583333333334</v>
      </c>
      <c r="I30" s="29" t="n">
        <v>0.00985243055555556</v>
      </c>
      <c r="J30" s="30" t="n">
        <v>3.8</v>
      </c>
      <c r="K30" s="29" t="n">
        <v>0.00945601851851852</v>
      </c>
      <c r="L30" s="62" t="s">
        <v>191</v>
      </c>
      <c r="M30" s="27" t="n">
        <v>12</v>
      </c>
      <c r="N30" s="34" t="n">
        <v>0.00989583333333334</v>
      </c>
      <c r="O30" s="35" t="n">
        <v>0.0465116279069768</v>
      </c>
      <c r="P30" s="26" t="n">
        <v>502</v>
      </c>
      <c r="Q30" s="26" t="n">
        <v>27.8888888888889</v>
      </c>
      <c r="R30" s="25" t="s">
        <v>620</v>
      </c>
      <c r="S30" s="26" t="n">
        <v>221</v>
      </c>
      <c r="T30" s="26" t="n">
        <v>22.1</v>
      </c>
      <c r="U30" s="25" t="s">
        <v>621</v>
      </c>
      <c r="V30" s="26" t="n">
        <v>723</v>
      </c>
      <c r="W30" s="44" t="n">
        <v>0.83</v>
      </c>
      <c r="X30" s="44" t="n">
        <v>1</v>
      </c>
      <c r="Y30" s="44" t="n">
        <v>1</v>
      </c>
      <c r="Z30" s="45" t="n">
        <v>0.944</v>
      </c>
      <c r="AA30" s="27"/>
      <c r="AB30" s="27"/>
      <c r="AC30" s="27"/>
      <c r="AD30" s="46"/>
    </row>
    <row r="31" customFormat="false" ht="26.85" hidden="false" customHeight="false" outlineLevel="0" collapsed="false">
      <c r="A31" s="25" t="s">
        <v>77</v>
      </c>
      <c r="B31" s="27" t="n">
        <v>2</v>
      </c>
      <c r="C31" s="28" t="s">
        <v>178</v>
      </c>
      <c r="D31" s="27" t="n">
        <v>11</v>
      </c>
      <c r="E31" s="26" t="n">
        <v>5.8</v>
      </c>
      <c r="F31" s="29" t="n">
        <v>0.0112268518518519</v>
      </c>
      <c r="G31" s="27" t="n">
        <v>9</v>
      </c>
      <c r="H31" s="29" t="n">
        <v>0.00967832056194125</v>
      </c>
      <c r="I31" s="29" t="n">
        <v>0.00939894636015326</v>
      </c>
      <c r="J31" s="30" t="n">
        <v>24.1</v>
      </c>
      <c r="K31" s="29" t="n">
        <v>0.00944444444444445</v>
      </c>
      <c r="L31" s="62" t="s">
        <v>191</v>
      </c>
      <c r="M31" s="27" t="n">
        <v>11</v>
      </c>
      <c r="N31" s="34" t="n">
        <v>0.00967832056194125</v>
      </c>
      <c r="O31" s="35" t="n">
        <v>0.0247633536173089</v>
      </c>
      <c r="P31" s="26" t="n">
        <v>595</v>
      </c>
      <c r="Q31" s="26" t="n">
        <v>33.0555555555556</v>
      </c>
      <c r="R31" s="25" t="s">
        <v>622</v>
      </c>
      <c r="S31" s="26" t="n">
        <v>233</v>
      </c>
      <c r="T31" s="26" t="n">
        <v>23.3</v>
      </c>
      <c r="U31" s="25" t="s">
        <v>623</v>
      </c>
      <c r="V31" s="26" t="n">
        <v>828</v>
      </c>
      <c r="W31" s="44" t="n">
        <v>1</v>
      </c>
      <c r="X31" s="44" t="n">
        <v>1</v>
      </c>
      <c r="Y31" s="44" t="n">
        <v>1</v>
      </c>
      <c r="Z31" s="45" t="n">
        <v>1</v>
      </c>
      <c r="AA31" s="27"/>
      <c r="AB31" s="27"/>
      <c r="AC31" s="27"/>
      <c r="AD31" s="46"/>
    </row>
    <row r="32" customFormat="false" ht="26.85" hidden="false" customHeight="false" outlineLevel="0" collapsed="false">
      <c r="A32" s="25" t="s">
        <v>77</v>
      </c>
      <c r="B32" s="27" t="n">
        <v>3</v>
      </c>
      <c r="C32" s="28" t="s">
        <v>187</v>
      </c>
      <c r="D32" s="27" t="n">
        <v>11</v>
      </c>
      <c r="E32" s="26" t="n">
        <v>8.5</v>
      </c>
      <c r="F32" s="29" t="n">
        <v>0.0171180555555556</v>
      </c>
      <c r="G32" s="27" t="n">
        <v>11</v>
      </c>
      <c r="H32" s="29" t="n">
        <v>0.0100694444444445</v>
      </c>
      <c r="I32" s="29" t="n">
        <v>0.00959286492374728</v>
      </c>
      <c r="J32" s="30" t="n">
        <v>41.2</v>
      </c>
      <c r="K32" s="29" t="n">
        <v>0.00943287037037037</v>
      </c>
      <c r="L32" s="62" t="s">
        <v>191</v>
      </c>
      <c r="M32" s="27" t="n">
        <v>8</v>
      </c>
      <c r="N32" s="34" t="n">
        <v>0.0100694444444445</v>
      </c>
      <c r="O32" s="35" t="n">
        <v>0.0674846625766872</v>
      </c>
      <c r="P32" s="26" t="n">
        <v>500</v>
      </c>
      <c r="Q32" s="26" t="n">
        <v>27.7777777777778</v>
      </c>
      <c r="R32" s="25" t="s">
        <v>624</v>
      </c>
      <c r="S32" s="26" t="n">
        <v>212</v>
      </c>
      <c r="T32" s="26" t="n">
        <v>21.2</v>
      </c>
      <c r="U32" s="25" t="s">
        <v>625</v>
      </c>
      <c r="V32" s="26" t="n">
        <v>712</v>
      </c>
      <c r="W32" s="44" t="n">
        <v>0.83</v>
      </c>
      <c r="X32" s="44" t="n">
        <v>1</v>
      </c>
      <c r="Y32" s="44" t="n">
        <v>1</v>
      </c>
      <c r="Z32" s="45" t="n">
        <v>0.944</v>
      </c>
      <c r="AA32" s="27"/>
      <c r="AB32" s="27"/>
      <c r="AC32" s="27"/>
      <c r="AD32" s="46"/>
    </row>
    <row r="33" customFormat="false" ht="26.85" hidden="false" customHeight="false" outlineLevel="0" collapsed="false">
      <c r="A33" s="25" t="s">
        <v>77</v>
      </c>
      <c r="B33" s="27" t="n">
        <v>4</v>
      </c>
      <c r="C33" s="28" t="s">
        <v>185</v>
      </c>
      <c r="D33" s="27" t="n">
        <v>11</v>
      </c>
      <c r="E33" s="26" t="n">
        <v>6.2</v>
      </c>
      <c r="F33" s="29" t="n">
        <v>0.0124884259259259</v>
      </c>
      <c r="G33" s="27" t="n">
        <v>11</v>
      </c>
      <c r="H33" s="29" t="n">
        <v>0.0100713112305854</v>
      </c>
      <c r="I33" s="29" t="n">
        <v>0.0096139486260454</v>
      </c>
      <c r="J33" s="30" t="n">
        <v>39.5</v>
      </c>
      <c r="K33" s="29" t="n">
        <v>0.00951388888888889</v>
      </c>
      <c r="L33" s="62" t="s">
        <v>191</v>
      </c>
      <c r="M33" s="27" t="n">
        <v>16</v>
      </c>
      <c r="N33" s="34" t="n">
        <v>0.0100713112305854</v>
      </c>
      <c r="O33" s="35" t="n">
        <v>0.0585903775213876</v>
      </c>
      <c r="P33" s="26" t="n">
        <v>616</v>
      </c>
      <c r="Q33" s="26" t="n">
        <v>34.2222222222222</v>
      </c>
      <c r="R33" s="25" t="s">
        <v>626</v>
      </c>
      <c r="S33" s="26" t="n">
        <v>230</v>
      </c>
      <c r="T33" s="26" t="n">
        <v>23</v>
      </c>
      <c r="U33" s="25" t="s">
        <v>627</v>
      </c>
      <c r="V33" s="26" t="n">
        <v>846</v>
      </c>
      <c r="W33" s="44" t="n">
        <v>1</v>
      </c>
      <c r="X33" s="44" t="n">
        <v>1</v>
      </c>
      <c r="Y33" s="44" t="n">
        <v>1</v>
      </c>
      <c r="Z33" s="45" t="n">
        <v>1</v>
      </c>
      <c r="AA33" s="27"/>
      <c r="AB33" s="27"/>
      <c r="AC33" s="27"/>
      <c r="AD33" s="46"/>
    </row>
    <row r="34" customFormat="false" ht="26.85" hidden="false" customHeight="false" outlineLevel="0" collapsed="false">
      <c r="A34" s="25" t="s">
        <v>77</v>
      </c>
      <c r="B34" s="27" t="n">
        <v>5</v>
      </c>
      <c r="C34" s="28" t="s">
        <v>192</v>
      </c>
      <c r="D34" s="27" t="n">
        <v>11</v>
      </c>
      <c r="E34" s="26" t="n">
        <v>6.4</v>
      </c>
      <c r="F34" s="29" t="n">
        <v>0.0124074074074074</v>
      </c>
      <c r="G34" s="27" t="n">
        <v>7</v>
      </c>
      <c r="H34" s="29" t="n">
        <v>0.00969328703703704</v>
      </c>
      <c r="I34" s="29" t="n">
        <v>0.00953956886574074</v>
      </c>
      <c r="J34" s="30" t="n">
        <v>13.3</v>
      </c>
      <c r="K34" s="29" t="n">
        <v>0.00949074074074074</v>
      </c>
      <c r="L34" s="62" t="s">
        <v>191</v>
      </c>
      <c r="M34" s="27" t="n">
        <v>15</v>
      </c>
      <c r="N34" s="34" t="n">
        <v>0.00969328703703704</v>
      </c>
      <c r="O34" s="35" t="n">
        <v>0.0213414634146341</v>
      </c>
      <c r="P34" s="26" t="n">
        <v>501</v>
      </c>
      <c r="Q34" s="26" t="n">
        <v>27.8333333333333</v>
      </c>
      <c r="R34" s="25" t="s">
        <v>628</v>
      </c>
      <c r="S34" s="26" t="n">
        <v>222</v>
      </c>
      <c r="T34" s="26" t="n">
        <v>22.2</v>
      </c>
      <c r="U34" s="25" t="s">
        <v>629</v>
      </c>
      <c r="V34" s="26" t="n">
        <v>723</v>
      </c>
      <c r="W34" s="44" t="n">
        <v>1</v>
      </c>
      <c r="X34" s="44" t="n">
        <v>1</v>
      </c>
      <c r="Y34" s="44" t="n">
        <v>1</v>
      </c>
      <c r="Z34" s="45" t="n">
        <v>1</v>
      </c>
      <c r="AA34" s="27"/>
      <c r="AB34" s="27"/>
      <c r="AC34" s="27"/>
      <c r="AD34" s="46"/>
    </row>
    <row r="35" customFormat="false" ht="26.85" hidden="false" customHeight="false" outlineLevel="0" collapsed="false">
      <c r="A35" s="25" t="s">
        <v>77</v>
      </c>
      <c r="B35" s="27" t="n">
        <v>6</v>
      </c>
      <c r="C35" s="28" t="s">
        <v>193</v>
      </c>
      <c r="D35" s="27" t="n">
        <v>11</v>
      </c>
      <c r="E35" s="26" t="n">
        <v>10.2</v>
      </c>
      <c r="F35" s="29" t="n">
        <v>0.0211226851851852</v>
      </c>
      <c r="G35" s="27" t="n">
        <v>9</v>
      </c>
      <c r="H35" s="29" t="n">
        <v>0.0207085148874365</v>
      </c>
      <c r="I35" s="29" t="n">
        <v>0.019744008714597</v>
      </c>
      <c r="J35" s="30" t="n">
        <v>83.3</v>
      </c>
      <c r="K35" s="29" t="n">
        <v>0.00947916666666667</v>
      </c>
      <c r="L35" s="62" t="s">
        <v>191</v>
      </c>
      <c r="M35" s="27" t="n">
        <v>14</v>
      </c>
      <c r="N35" s="34" t="n">
        <v>0.0103542574437182</v>
      </c>
      <c r="O35" s="35" t="n">
        <v>0.0923172687878571</v>
      </c>
      <c r="P35" s="26" t="n">
        <v>619</v>
      </c>
      <c r="Q35" s="26" t="n">
        <v>34.3888888888889</v>
      </c>
      <c r="R35" s="25" t="s">
        <v>630</v>
      </c>
      <c r="S35" s="26" t="n">
        <v>248</v>
      </c>
      <c r="T35" s="26" t="n">
        <v>24.8</v>
      </c>
      <c r="U35" s="25" t="s">
        <v>631</v>
      </c>
      <c r="V35" s="26" t="n">
        <v>867</v>
      </c>
      <c r="W35" s="44" t="n">
        <v>1</v>
      </c>
      <c r="X35" s="44" t="n">
        <v>1</v>
      </c>
      <c r="Y35" s="44" t="n">
        <v>0.98</v>
      </c>
      <c r="Z35" s="45" t="n">
        <v>0.993</v>
      </c>
      <c r="AA35" s="27"/>
      <c r="AB35" s="27"/>
      <c r="AC35" s="27"/>
      <c r="AD35" s="46"/>
    </row>
  </sheetData>
  <autoFilter ref="A5:AD35"/>
  <mergeCells count="7">
    <mergeCell ref="A2:T2"/>
    <mergeCell ref="A4:D4"/>
    <mergeCell ref="E4:J4"/>
    <mergeCell ref="K4:O4"/>
    <mergeCell ref="P4:V4"/>
    <mergeCell ref="W4:Z4"/>
    <mergeCell ref="AA4:AD4"/>
  </mergeCells>
  <conditionalFormatting sqref="G6:G35">
    <cfRule type="expression" priority="2" aboveAverage="0" equalAverage="0" bottom="0" percent="0" rank="0" text="" dxfId="28">
      <formula>$G6=1</formula>
    </cfRule>
  </conditionalFormatting>
  <conditionalFormatting sqref="O6:O35">
    <cfRule type="colorScale" priority="3">
      <colorScale>
        <cfvo type="min" val="0"/>
        <cfvo type="percentile" val="50"/>
        <cfvo type="max" val="0"/>
        <color rgb="FF63BE7B"/>
        <color rgb="FFFFEB84"/>
        <color rgb="FFF8696B"/>
      </colorScale>
    </cfRule>
  </conditionalFormatting>
  <conditionalFormatting sqref="J6:J35">
    <cfRule type="colorScale" priority="4">
      <colorScale>
        <cfvo type="min" val="0"/>
        <cfvo type="percentile" val="50"/>
        <cfvo type="max" val="0"/>
        <color rgb="FF63BE7B"/>
        <color rgb="FFFFEB84"/>
        <color rgb="FFF8696B"/>
      </colorScale>
    </cfRule>
  </conditionalFormatting>
  <conditionalFormatting sqref="Q6:Q35">
    <cfRule type="colorScale" priority="5">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2026-10-12T09:40:30Z</dcterms:created>
  <dc:creator>openpyxl</dc:creator>
  <dc:description/>
  <dc:language>en-US</dc:language>
  <cp:lastModifiedBy/>
  <dcterms:modified xsi:type="dcterms:W3CDTF">2026-10-12T09:40:30Z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