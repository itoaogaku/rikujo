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年別まとめ" sheetId="2" state="visible" r:id="rId4"/>
    <sheet name="出雲区間記録" sheetId="3" state="visible" r:id="rId5"/>
    <sheet name="5000m比較" sheetId="4" state="visible" r:id="rId6"/>
    <sheet name="5000m記録_全部員" sheetId="5" state="visible" r:id="rId7"/>
    <sheet name="合宿走行距離" sheetId="6" state="visible" r:id="rId8"/>
    <sheet name="合宿消化率" sheetId="7" state="visible" r:id="rId9"/>
    <sheet name="月間走行距離" sheetId="8" state="visible" r:id="rId10"/>
    <sheet name="合宿メニュー_2023" sheetId="9" state="visible" r:id="rId11"/>
    <sheet name="合宿メニュー_2024" sheetId="10" state="visible" r:id="rId12"/>
    <sheet name="合宿メニュー_2025" sheetId="11" state="visible" r:id="rId13"/>
    <sheet name="合宿メニュー_2026" sheetId="12" state="visible" r:id="rId14"/>
  </sheets>
  <definedNames>
    <definedName function="false" hidden="true" localSheetId="3" name="_xlnm._FilterDatabase" vbProcedure="false">5000m比較!$A$4:$K$34</definedName>
    <definedName function="false" hidden="true" localSheetId="4" name="_xlnm._FilterDatabase" vbProcedure="false">5000m記録_全部員!$A$4:$F$100</definedName>
    <definedName function="false" hidden="true" localSheetId="2" name="_xlnm._FilterDatabase" vbProcedure="false">出雲区間記録!$A$4:$M$34</definedName>
    <definedName function="false" hidden="true" localSheetId="6" name="_xlnm._FilterDatabase" vbProcedure="false">合宿消化率!$A$4:$G$190</definedName>
    <definedName function="false" hidden="true" localSheetId="5" name="_xlnm._FilterDatabase" vbProcedure="false">合宿走行距離!$A$4:$G$191</definedName>
    <definedName function="false" hidden="true" localSheetId="7" name="_xlnm._FilterDatabase" vbProcedure="false">月間走行距離!$A$4:$P$143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6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7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8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9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H6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7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8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9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O6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7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8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9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</commentList>
</comments>
</file>

<file path=xl/sharedStrings.xml><?xml version="1.0" encoding="utf-8"?>
<sst xmlns="http://schemas.openxmlformats.org/spreadsheetml/2006/main" count="2265" uniqueCount="491">
  <si>
    <r>
      <rPr>
        <b val="true"/>
        <sz val="16"/>
        <color rgb="FF1E5945"/>
        <rFont val="WenQuanYi Zen Hei"/>
        <family val="2"/>
      </rPr>
      <t xml:space="preserve">出雲駅伝 振り返り分析（</t>
    </r>
    <r>
      <rPr>
        <b val="true"/>
        <sz val="16"/>
        <color rgb="FF1E5945"/>
        <rFont val="Arial"/>
        <family val="0"/>
        <charset val="1"/>
      </rPr>
      <t xml:space="preserve">2022</t>
    </r>
    <r>
      <rPr>
        <b val="true"/>
        <sz val="16"/>
        <color rgb="FF1E5945"/>
        <rFont val="WenQuanYi Zen Hei"/>
        <family val="2"/>
      </rPr>
      <t xml:space="preserve">〜</t>
    </r>
    <r>
      <rPr>
        <b val="true"/>
        <sz val="16"/>
        <color rgb="FF1E5945"/>
        <rFont val="Arial"/>
        <family val="0"/>
        <charset val="1"/>
      </rPr>
      <t xml:space="preserve">2026</t>
    </r>
    <r>
      <rPr>
        <b val="true"/>
        <sz val="16"/>
        <color rgb="FF1E5945"/>
        <rFont val="WenQuanYi Zen Hei"/>
        <family val="2"/>
      </rPr>
      <t xml:space="preserve">年）</t>
    </r>
  </si>
  <si>
    <r>
      <rPr>
        <sz val="10"/>
        <rFont val="WenQuanYi Zen Hei"/>
        <family val="2"/>
      </rPr>
      <t xml:space="preserve">目的：近年ピーキングが合わず順位が伸びない原因を、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週間前の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と夏合宿のデータから探る</t>
    </r>
  </si>
  <si>
    <t xml:space="preserve">シート一覧</t>
  </si>
  <si>
    <t xml:space="preserve">年別まとめ</t>
  </si>
  <si>
    <r>
      <rPr>
        <sz val="10"/>
        <rFont val="WenQuanYi Zen Hei"/>
        <family val="2"/>
      </rPr>
      <t xml:space="preserve">年ごとの総合順位・区間差・悪化率・合宿の負荷を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表に集約。相関係数と区間別平均つき</t>
    </r>
  </si>
  <si>
    <t xml:space="preserve">出雲区間記録</t>
  </si>
  <si>
    <r>
      <rPr>
        <sz val="10"/>
        <rFont val="WenQuanYi Zen Hei"/>
        <family val="2"/>
      </rPr>
      <t xml:space="preserve">各区間の日本人トップと青学選手のタイム、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区は</t>
    </r>
    <r>
      <rPr>
        <sz val="10"/>
        <rFont val="Arial"/>
        <family val="0"/>
        <charset val="1"/>
      </rPr>
      <t xml:space="preserve">10km</t>
    </r>
    <r>
      <rPr>
        <sz val="10"/>
        <rFont val="WenQuanYi Zen Hei"/>
        <family val="2"/>
      </rPr>
      <t xml:space="preserve">）換算と差</t>
    </r>
  </si>
  <si>
    <r>
      <rPr>
        <b val="true"/>
        <sz val="10"/>
        <rFont val="Arial"/>
        <family val="0"/>
        <charset val="1"/>
      </rPr>
      <t xml:space="preserve">5000m</t>
    </r>
    <r>
      <rPr>
        <b val="true"/>
        <sz val="10"/>
        <rFont val="WenQuanYi Zen Hei"/>
        <family val="2"/>
      </rPr>
      <t xml:space="preserve">比較</t>
    </r>
  </si>
  <si>
    <r>
      <rPr>
        <sz val="10"/>
        <rFont val="WenQuanYi Zen Hei"/>
        <family val="2"/>
      </rPr>
      <t xml:space="preserve">出雲メンバーの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週間前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）と出雲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換算ペース、悪化率</t>
    </r>
  </si>
  <si>
    <r>
      <rPr>
        <b val="true"/>
        <sz val="10"/>
        <rFont val="Arial"/>
        <family val="0"/>
        <charset val="1"/>
      </rPr>
      <t xml:space="preserve">5000m</t>
    </r>
    <r>
      <rPr>
        <b val="true"/>
        <sz val="10"/>
        <rFont val="WenQuanYi Zen Hei"/>
        <family val="2"/>
      </rPr>
      <t xml:space="preserve">記録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WenQuanYi Zen Hei"/>
        <family val="2"/>
      </rPr>
      <t xml:space="preserve">全部員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</si>
  <si>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週間前の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）に出走した青学部員全員の記録</t>
    </r>
  </si>
  <si>
    <t xml:space="preserve">合宿走行距離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</si>
  <si>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次・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次合宿の選手別走行距離（</t>
    </r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年）</t>
    </r>
  </si>
  <si>
    <t xml:space="preserve">合宿消化率</t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</si>
  <si>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次合宿の選手別消化率（</t>
    </r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年）</t>
    </r>
  </si>
  <si>
    <t xml:space="preserve">月間走行距離</t>
  </si>
  <si>
    <r>
      <rPr>
        <sz val="10"/>
        <rFont val="WenQuanYi Zen Hei"/>
        <family val="2"/>
      </rPr>
      <t xml:space="preserve">選手別の月間走行距離（</t>
    </r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年通年、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月）</t>
    </r>
  </si>
  <si>
    <r>
      <rPr>
        <b val="true"/>
        <sz val="10"/>
        <rFont val="WenQuanYi Zen Hei"/>
        <family val="2"/>
      </rPr>
      <t xml:space="preserve">合宿メニュー</t>
    </r>
    <r>
      <rPr>
        <b val="true"/>
        <sz val="10"/>
        <rFont val="Arial"/>
        <family val="0"/>
        <charset val="1"/>
      </rPr>
      <t xml:space="preserve">_2023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2026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</si>
  <si>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次合宿のポイント練習と、出雲メンバー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人の組・消化率</t>
    </r>
  </si>
  <si>
    <t xml:space="preserve">用語と計算方法</t>
  </si>
  <si>
    <t xml:space="preserve">換算タイム</t>
  </si>
  <si>
    <r>
      <rPr>
        <sz val="10"/>
        <rFont val="WenQuanYi Zen Hei"/>
        <family val="2"/>
      </rPr>
      <t xml:space="preserve">実タイム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換算距離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区間距離。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区は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区は</t>
    </r>
    <r>
      <rPr>
        <sz val="10"/>
        <rFont val="Arial"/>
        <family val="0"/>
        <charset val="1"/>
      </rPr>
      <t xml:space="preserve">10km</t>
    </r>
    <r>
      <rPr>
        <sz val="10"/>
        <rFont val="WenQuanYi Zen Hei"/>
        <family val="2"/>
      </rPr>
      <t xml:space="preserve">あたり</t>
    </r>
  </si>
  <si>
    <t xml:space="preserve">日本人トップ</t>
  </si>
  <si>
    <r>
      <rPr>
        <sz val="10"/>
        <rFont val="WenQuanYi Zen Hei"/>
        <family val="2"/>
      </rPr>
      <t xml:space="preserve">留学生を除いた区間最速の選手（区間賞が留学生だったのは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年とも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区のみ）</t>
    </r>
  </si>
  <si>
    <t xml:space="preserve">悪化率</t>
  </si>
  <si>
    <r>
      <rPr>
        <sz val="10"/>
        <rFont val="WenQuanYi Zen Hei"/>
        <family val="2"/>
      </rPr>
      <t xml:space="preserve">出雲の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換算ペース</t>
    </r>
    <r>
      <rPr>
        <sz val="10"/>
        <rFont val="Arial"/>
        <family val="0"/>
        <charset val="1"/>
      </rPr>
      <t xml:space="preserve">÷2</t>
    </r>
    <r>
      <rPr>
        <sz val="10"/>
        <rFont val="WenQuanYi Zen Hei"/>
        <family val="2"/>
      </rPr>
      <t xml:space="preserve">週間前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記録−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。大きいほど本番で落ちている</t>
    </r>
  </si>
  <si>
    <t xml:space="preserve">チーム比</t>
  </si>
  <si>
    <r>
      <rPr>
        <sz val="10"/>
        <rFont val="WenQuanYi Zen Hei"/>
        <family val="2"/>
      </rPr>
      <t xml:space="preserve">出雲メンバー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人の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次合宿距離の平均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チーム全体の平均</t>
    </r>
  </si>
  <si>
    <t xml:space="preserve">色の意味</t>
  </si>
  <si>
    <t xml:space="preserve">青字＝元資料から入力した値、黒字＝計算式。緑〜赤の色は良い〜悪い</t>
  </si>
  <si>
    <t xml:space="preserve">これまでの分析で見えたこと（仮説）</t>
  </si>
  <si>
    <t xml:space="preserve">・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</si>
  <si>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週間前の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が速い年ほど出雲での悪化率が大きい（年単位で強い負の相関）。個人単位では関係がほぼない</t>
    </r>
  </si>
  <si>
    <r>
      <rPr>
        <sz val="10"/>
        <rFont val="WenQuanYi Zen Hei"/>
        <family val="2"/>
      </rPr>
      <t xml:space="preserve">総合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位の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年だけ、出雲メンバーの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次合宿距離がチーム平均を下回った（</t>
    </r>
    <r>
      <rPr>
        <sz val="10"/>
        <rFont val="Arial"/>
        <family val="0"/>
        <charset val="1"/>
      </rPr>
      <t xml:space="preserve">93%</t>
    </r>
    <r>
      <rPr>
        <sz val="10"/>
        <rFont val="WenQuanYi Zen Hei"/>
        <family val="2"/>
      </rPr>
      <t xml:space="preserve">）。他の年は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121%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</si>
  <si>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次合宿の骨組み（距離走→変化走→スピード）と消化率は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年とも大差なく、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年も最終日は強い練習だった</t>
    </r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</si>
  <si>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年は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次合宿の最終日が</t>
    </r>
    <r>
      <rPr>
        <sz val="10"/>
        <rFont val="Arial"/>
        <family val="0"/>
        <charset val="1"/>
      </rPr>
      <t xml:space="preserve">9/23</t>
    </r>
    <r>
      <rPr>
        <sz val="10"/>
        <rFont val="WenQuanYi Zen Hei"/>
        <family val="2"/>
      </rPr>
      <t xml:space="preserve">と遅く、出雲まで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日（他の年は</t>
    </r>
    <r>
      <rPr>
        <sz val="10"/>
        <rFont val="Arial"/>
        <family val="0"/>
        <charset val="1"/>
      </rPr>
      <t xml:space="preserve">22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日）。最後の練習の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日後の</t>
    </r>
    <r>
      <rPr>
        <sz val="10"/>
        <rFont val="Arial"/>
        <family val="0"/>
        <charset val="1"/>
      </rPr>
      <t xml:space="preserve">5km</t>
    </r>
    <r>
      <rPr>
        <sz val="10"/>
        <rFont val="WenQuanYi Zen Hei"/>
        <family val="2"/>
      </rPr>
      <t xml:space="preserve">で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人中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人が自己ベスト</t>
    </r>
  </si>
  <si>
    <r>
      <rPr>
        <sz val="10"/>
        <rFont val="WenQuanYi Zen Hei"/>
        <family val="2"/>
      </rPr>
      <t xml:space="preserve">注意：年単位の比較は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年分しかなく、統計的に確かとは言えない</t>
    </r>
  </si>
  <si>
    <t xml:space="preserve">未提供のデータ</t>
  </si>
  <si>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年の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記録会の日付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</si>
  <si>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次合宿終了から出雲までの練習内容（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年の</t>
    </r>
    <r>
      <rPr>
        <sz val="10"/>
        <rFont val="Arial"/>
        <family val="0"/>
        <charset val="1"/>
      </rPr>
      <t xml:space="preserve">9/18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9/29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</si>
  <si>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年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月、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年の月間走行距離</t>
    </r>
  </si>
  <si>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年の合宿データ（走行距離・消化率・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次合宿日程）</t>
    </r>
  </si>
  <si>
    <r>
      <rPr>
        <b val="true"/>
        <sz val="14"/>
        <color rgb="FF1E5945"/>
        <rFont val="WenQuanYi Zen Hei"/>
        <family val="2"/>
      </rPr>
      <t xml:space="preserve">年別まとめ：出雲の成績と、</t>
    </r>
    <r>
      <rPr>
        <b val="true"/>
        <sz val="14"/>
        <color rgb="FF1E5945"/>
        <rFont val="Arial"/>
        <family val="0"/>
        <charset val="1"/>
      </rPr>
      <t xml:space="preserve">2</t>
    </r>
    <r>
      <rPr>
        <b val="true"/>
        <sz val="14"/>
        <color rgb="FF1E5945"/>
        <rFont val="WenQuanYi Zen Hei"/>
        <family val="2"/>
      </rPr>
      <t xml:space="preserve">週間前</t>
    </r>
    <r>
      <rPr>
        <b val="true"/>
        <sz val="14"/>
        <color rgb="FF1E5945"/>
        <rFont val="Arial"/>
        <family val="0"/>
        <charset val="1"/>
      </rPr>
      <t xml:space="preserve">5000m</t>
    </r>
    <r>
      <rPr>
        <b val="true"/>
        <sz val="14"/>
        <color rgb="FF1E5945"/>
        <rFont val="WenQuanYi Zen Hei"/>
        <family val="2"/>
      </rPr>
      <t xml:space="preserve">・合宿データの比較</t>
    </r>
  </si>
  <si>
    <r>
      <rPr>
        <sz val="9"/>
        <color rgb="FF595959"/>
        <rFont val="WenQuanYi Zen Hei"/>
        <family val="2"/>
      </rPr>
      <t xml:space="preserve">青字＝手入力（出典は各セルのコメント）、黒字＝他シートからの集計式。メンバー＝その年の出雲出走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人。空欄はデータ未提供</t>
    </r>
  </si>
  <si>
    <t xml:space="preserve">年</t>
  </si>
  <si>
    <t xml:space="preserve">出雲
総合順位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</si>
  <si>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〜</t>
    </r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区
平均差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秒</t>
    </r>
    <r>
      <rPr>
        <b val="true"/>
        <sz val="10"/>
        <color rgb="FFFFFFFF"/>
        <rFont val="Arial"/>
        <family val="0"/>
        <charset val="1"/>
      </rPr>
      <t xml:space="preserve">/5km)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</si>
  <si>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区差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秒</t>
    </r>
    <r>
      <rPr>
        <b val="true"/>
        <sz val="10"/>
        <color rgb="FFFFFFFF"/>
        <rFont val="Arial"/>
        <family val="0"/>
        <charset val="1"/>
      </rPr>
      <t xml:space="preserve">/10km)</t>
    </r>
  </si>
  <si>
    <r>
      <rPr>
        <b val="true"/>
        <sz val="10"/>
        <color rgb="FFFFFFFF"/>
        <rFont val="WenQuanYi Zen Hei"/>
        <family val="2"/>
      </rPr>
      <t xml:space="preserve">メンバー
</t>
    </r>
    <r>
      <rPr>
        <b val="true"/>
        <sz val="10"/>
        <color rgb="FFFFFFFF"/>
        <rFont val="Arial"/>
        <family val="0"/>
        <charset val="1"/>
      </rPr>
      <t xml:space="preserve">5000m</t>
    </r>
    <r>
      <rPr>
        <b val="true"/>
        <sz val="10"/>
        <color rgb="FFFFFFFF"/>
        <rFont val="WenQuanYi Zen Hei"/>
        <family val="2"/>
      </rPr>
      <t xml:space="preserve">平均</t>
    </r>
  </si>
  <si>
    <t xml:space="preserve">悪化率
平均</t>
  </si>
  <si>
    <r>
      <rPr>
        <b val="true"/>
        <sz val="10"/>
        <color rgb="FFFFFFFF"/>
        <rFont val="WenQuanYi Zen Hei"/>
        <family val="2"/>
      </rPr>
      <t xml:space="preserve">メンバー
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次距離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</si>
  <si>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WenQuanYi Zen Hei"/>
        <family val="2"/>
      </rPr>
      <t xml:space="preserve">チーム
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次平均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</si>
  <si>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次距離
チーム比</t>
    </r>
  </si>
  <si>
    <r>
      <rPr>
        <b val="true"/>
        <sz val="10"/>
        <color rgb="FFFFFFFF"/>
        <rFont val="WenQuanYi Zen Hei"/>
        <family val="2"/>
      </rPr>
      <t xml:space="preserve">メンバー
</t>
    </r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次距離
</t>
    </r>
    <r>
      <rPr>
        <b val="true"/>
        <sz val="10"/>
        <color rgb="FFFFFFFF"/>
        <rFont val="Arial"/>
        <family val="0"/>
        <charset val="1"/>
      </rPr>
      <t xml:space="preserve">(km)</t>
    </r>
  </si>
  <si>
    <t xml:space="preserve">メンバー
夏消化率</t>
  </si>
  <si>
    <r>
      <rPr>
        <b val="true"/>
        <sz val="10"/>
        <color rgb="FFFFFFFF"/>
        <rFont val="WenQuanYi Zen Hei"/>
        <family val="2"/>
      </rPr>
      <t xml:space="preserve">メンバー
</t>
    </r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月月間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</si>
  <si>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WenQuanYi Zen Hei"/>
        <family val="2"/>
      </rPr>
      <t xml:space="preserve">メンバー
</t>
    </r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月月間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</si>
  <si>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÷8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</si>
  <si>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次合宿
最終日</t>
    </r>
  </si>
  <si>
    <t xml:space="preserve">出雲
開催日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</si>
  <si>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次終了→
出雲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日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</si>
  <si>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</si>
  <si>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</si>
  <si>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</si>
  <si>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</si>
  <si>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</si>
  <si>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年単位の相関係数（データのある年のみ。年数が少ないため参考値）</t>
  </si>
  <si>
    <t xml:space="preserve">組み合わせ</t>
  </si>
  <si>
    <t xml:space="preserve">対象年</t>
  </si>
  <si>
    <t xml:space="preserve">相関係数</t>
  </si>
  <si>
    <r>
      <rPr>
        <sz val="10"/>
        <rFont val="WenQuanYi Zen Hei"/>
        <family val="2"/>
      </rPr>
      <t xml:space="preserve">メンバー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平均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悪化率平均</t>
    </r>
  </si>
  <si>
    <r>
      <rPr>
        <sz val="10"/>
        <rFont val="Arial"/>
        <family val="0"/>
        <charset val="1"/>
      </rPr>
      <t xml:space="preserve">2022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26</t>
    </r>
    <r>
      <rPr>
        <sz val="10"/>
        <rFont val="WenQuanYi Zen Hei"/>
        <family val="2"/>
      </rPr>
      <t xml:space="preserve">年</t>
    </r>
  </si>
  <si>
    <r>
      <rPr>
        <sz val="10"/>
        <rFont val="WenQuanYi Zen Hei"/>
        <family val="2"/>
      </rPr>
      <t xml:space="preserve">メンバー</t>
    </r>
    <r>
      <rPr>
        <sz val="10"/>
        <rFont val="Arial"/>
        <family val="0"/>
        <charset val="1"/>
      </rPr>
      <t xml:space="preserve">5000m</t>
    </r>
    <r>
      <rPr>
        <sz val="10"/>
        <rFont val="WenQuanYi Zen Hei"/>
        <family val="2"/>
      </rPr>
      <t xml:space="preserve">平均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総合順位</t>
    </r>
  </si>
  <si>
    <r>
      <rPr>
        <sz val="10"/>
        <rFont val="WenQuanYi Zen Hei"/>
        <family val="2"/>
      </rPr>
      <t xml:space="preserve">悪化率平均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総合順位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</si>
  <si>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次距離チーム比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総合順位</t>
    </r>
  </si>
  <si>
    <r>
      <rPr>
        <sz val="10"/>
        <rFont val="Arial"/>
        <family val="0"/>
        <charset val="1"/>
      </rPr>
      <t xml:space="preserve">2023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26</t>
    </r>
    <r>
      <rPr>
        <sz val="10"/>
        <rFont val="WenQuanYi Zen Hei"/>
        <family val="2"/>
      </rPr>
      <t xml:space="preserve">年</t>
    </r>
  </si>
  <si>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次距離チーム比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悪化率平均</t>
    </r>
  </si>
  <si>
    <r>
      <rPr>
        <b val="true"/>
        <sz val="11"/>
        <color rgb="FF1E5945"/>
        <rFont val="WenQuanYi Zen Hei"/>
        <family val="2"/>
      </rPr>
      <t xml:space="preserve">区間別の平均（</t>
    </r>
    <r>
      <rPr>
        <b val="true"/>
        <sz val="11"/>
        <color rgb="FF1E5945"/>
        <rFont val="Arial"/>
        <family val="0"/>
        <charset val="1"/>
      </rPr>
      <t xml:space="preserve">5</t>
    </r>
    <r>
      <rPr>
        <b val="true"/>
        <sz val="11"/>
        <color rgb="FF1E5945"/>
        <rFont val="WenQuanYi Zen Hei"/>
        <family val="2"/>
      </rPr>
      <t xml:space="preserve">年間）</t>
    </r>
  </si>
  <si>
    <t xml:space="preserve">区間</t>
  </si>
  <si>
    <r>
      <rPr>
        <b val="true"/>
        <sz val="10"/>
        <color rgb="FFFFFFFF"/>
        <rFont val="WenQuanYi Zen Hei"/>
        <family val="2"/>
      </rPr>
      <t xml:space="preserve">距離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</si>
  <si>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WenQuanYi Zen Hei"/>
        <family val="2"/>
      </rPr>
      <t xml:space="preserve">日本人
トップとの
平均差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秒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</si>
  <si>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区間賞
回数</t>
  </si>
  <si>
    <r>
      <rPr>
        <sz val="9"/>
        <color rgb="FF595959"/>
        <rFont val="Arial"/>
        <family val="0"/>
        <charset val="1"/>
      </rPr>
      <t xml:space="preserve">※6</t>
    </r>
    <r>
      <rPr>
        <sz val="9"/>
        <color rgb="FF595959"/>
        <rFont val="WenQuanYi Zen Hei"/>
        <family val="2"/>
      </rPr>
      <t xml:space="preserve">区の平均差は</t>
    </r>
    <r>
      <rPr>
        <sz val="9"/>
        <color rgb="FF595959"/>
        <rFont val="Arial"/>
        <family val="0"/>
        <charset val="1"/>
      </rPr>
      <t xml:space="preserve">10km</t>
    </r>
    <r>
      <rPr>
        <sz val="9"/>
        <color rgb="FF595959"/>
        <rFont val="WenQuanYi Zen Hei"/>
        <family val="2"/>
      </rPr>
      <t xml:space="preserve">あたり。悪化率は全区間とも</t>
    </r>
    <r>
      <rPr>
        <sz val="9"/>
        <color rgb="FF595959"/>
        <rFont val="Arial"/>
        <family val="0"/>
        <charset val="1"/>
      </rPr>
      <t xml:space="preserve">5km</t>
    </r>
    <r>
      <rPr>
        <sz val="9"/>
        <color rgb="FF595959"/>
        <rFont val="WenQuanYi Zen Hei"/>
        <family val="2"/>
      </rPr>
      <t xml:space="preserve">あたりで比較</t>
    </r>
  </si>
  <si>
    <r>
      <rPr>
        <b val="true"/>
        <sz val="14"/>
        <color rgb="FF1E5945"/>
        <rFont val="WenQuanYi Zen Hei"/>
        <family val="2"/>
      </rPr>
      <t xml:space="preserve">出雲駅伝 区間記録：日本人トップと青学の比較（</t>
    </r>
    <r>
      <rPr>
        <b val="true"/>
        <sz val="14"/>
        <color rgb="FF1E5945"/>
        <rFont val="Arial"/>
        <family val="0"/>
        <charset val="1"/>
      </rPr>
      <t xml:space="preserve">2022</t>
    </r>
    <r>
      <rPr>
        <b val="true"/>
        <sz val="14"/>
        <color rgb="FF1E5945"/>
        <rFont val="WenQuanYi Zen Hei"/>
        <family val="2"/>
      </rPr>
      <t xml:space="preserve">〜</t>
    </r>
    <r>
      <rPr>
        <b val="true"/>
        <sz val="14"/>
        <color rgb="FF1E5945"/>
        <rFont val="Arial"/>
        <family val="0"/>
        <charset val="1"/>
      </rPr>
      <t xml:space="preserve">2026</t>
    </r>
    <r>
      <rPr>
        <b val="true"/>
        <sz val="14"/>
        <color rgb="FF1E5945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</si>
  <si>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換算タイム＝実タイム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換算距離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区間距離（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区は</t>
    </r>
    <r>
      <rPr>
        <sz val="9"/>
        <color rgb="FF595959"/>
        <rFont val="Arial"/>
        <family val="0"/>
        <charset val="1"/>
      </rPr>
      <t xml:space="preserve">5km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区は</t>
    </r>
    <r>
      <rPr>
        <sz val="9"/>
        <color rgb="FF595959"/>
        <rFont val="Arial"/>
        <family val="0"/>
        <charset val="1"/>
      </rPr>
      <t xml:space="preserve">10km</t>
    </r>
    <r>
      <rPr>
        <sz val="9"/>
        <color rgb="FF595959"/>
        <rFont val="WenQuanYi Zen Hei"/>
        <family val="2"/>
      </rPr>
      <t xml:space="preserve">）。差＝換算後の青学−日本人トップ（秒）。日本人トップ＝留学生を除いた区間最速。区間順位は留学生を含む公式記録。出典：各年の公式リザルト</t>
    </r>
    <r>
      <rPr>
        <sz val="9"/>
        <color rgb="FF595959"/>
        <rFont val="Arial"/>
        <family val="0"/>
        <charset val="1"/>
      </rPr>
      <t xml:space="preserve">PDF</t>
    </r>
  </si>
  <si>
    <r>
      <rPr>
        <b val="true"/>
        <sz val="10"/>
        <color rgb="FFFFFFFF"/>
        <rFont val="WenQuanYi Zen Hei"/>
        <family val="2"/>
      </rPr>
      <t xml:space="preserve">換算距離
</t>
    </r>
    <r>
      <rPr>
        <b val="true"/>
        <sz val="10"/>
        <color rgb="FFFFFFFF"/>
        <rFont val="Arial"/>
        <family val="0"/>
        <charset val="1"/>
      </rPr>
      <t xml:space="preserve">(km)</t>
    </r>
  </si>
  <si>
    <t xml:space="preserve">所属</t>
  </si>
  <si>
    <t xml:space="preserve">実タイム</t>
  </si>
  <si>
    <t xml:space="preserve">換算</t>
  </si>
  <si>
    <t xml:space="preserve">青学選手</t>
  </si>
  <si>
    <t xml:space="preserve">区間順位</t>
  </si>
  <si>
    <t xml:space="preserve">差（秒）</t>
  </si>
  <si>
    <t xml:space="preserve">吉居 大和</t>
  </si>
  <si>
    <t xml:space="preserve">中央大学</t>
  </si>
  <si>
    <t xml:space="preserve">目片 将大</t>
  </si>
  <si>
    <t xml:space="preserve">佐藤 圭汰</t>
  </si>
  <si>
    <t xml:space="preserve">駒澤大学</t>
  </si>
  <si>
    <t xml:space="preserve">横田 俊吾</t>
  </si>
  <si>
    <t xml:space="preserve">田澤 廉</t>
  </si>
  <si>
    <t xml:space="preserve">近藤 幸太郎</t>
  </si>
  <si>
    <t xml:space="preserve">中西 大翔</t>
  </si>
  <si>
    <t xml:space="preserve">國學院大學</t>
  </si>
  <si>
    <t xml:space="preserve">志貴 勇斗</t>
  </si>
  <si>
    <t xml:space="preserve">安原 太陽</t>
  </si>
  <si>
    <t xml:space="preserve">田中 悠登</t>
  </si>
  <si>
    <t xml:space="preserve">鈴木 芽吹</t>
  </si>
  <si>
    <t xml:space="preserve">中村 唯翔</t>
  </si>
  <si>
    <t xml:space="preserve">篠原 倖太朗</t>
  </si>
  <si>
    <t xml:space="preserve">野村 昭夢</t>
  </si>
  <si>
    <t xml:space="preserve">佐藤 圭汰／黒田 朝日</t>
  </si>
  <si>
    <t xml:space="preserve">駒澤大学／青山学院大学</t>
  </si>
  <si>
    <t xml:space="preserve">黒田 朝日</t>
  </si>
  <si>
    <t xml:space="preserve">山川 拓馬</t>
  </si>
  <si>
    <t xml:space="preserve">佐藤 一世</t>
  </si>
  <si>
    <t xml:space="preserve">山内 健登</t>
  </si>
  <si>
    <t xml:space="preserve">青山学院大学</t>
  </si>
  <si>
    <t xml:space="preserve">鳥井 健太</t>
  </si>
  <si>
    <t xml:space="preserve">鶴川 正也</t>
  </si>
  <si>
    <t xml:space="preserve">吉田 響</t>
  </si>
  <si>
    <t xml:space="preserve">創価大学</t>
  </si>
  <si>
    <t xml:space="preserve">野中 恒亨</t>
  </si>
  <si>
    <t xml:space="preserve">宇田川 瞬矢</t>
  </si>
  <si>
    <t xml:space="preserve">上原 琉翔</t>
  </si>
  <si>
    <t xml:space="preserve">若林 宏樹</t>
  </si>
  <si>
    <t xml:space="preserve">平林 清澄</t>
  </si>
  <si>
    <t xml:space="preserve">太田 蒼生</t>
  </si>
  <si>
    <t xml:space="preserve">岡田 開成</t>
  </si>
  <si>
    <t xml:space="preserve">小河原 陽琉</t>
  </si>
  <si>
    <t xml:space="preserve">山口 智規</t>
  </si>
  <si>
    <t xml:space="preserve">早稲田大学</t>
  </si>
  <si>
    <t xml:space="preserve">折田 壮太</t>
  </si>
  <si>
    <t xml:space="preserve">飯田 翔大</t>
  </si>
  <si>
    <t xml:space="preserve">辻原 輝</t>
  </si>
  <si>
    <t xml:space="preserve">神邑 亮佑</t>
  </si>
  <si>
    <t xml:space="preserve">塩出 翔太</t>
  </si>
  <si>
    <t xml:space="preserve">鈴木 大翔</t>
  </si>
  <si>
    <t xml:space="preserve">石川 浩輝</t>
  </si>
  <si>
    <t xml:space="preserve">本田 桜二郎</t>
  </si>
  <si>
    <t xml:space="preserve">楠岡 由浩</t>
  </si>
  <si>
    <t xml:space="preserve">帝京大学</t>
  </si>
  <si>
    <t xml:space="preserve">新妻 遼己</t>
  </si>
  <si>
    <t xml:space="preserve">山口 竣平</t>
  </si>
  <si>
    <t xml:space="preserve">黒田 然</t>
  </si>
  <si>
    <t xml:space="preserve">工藤 慎作</t>
  </si>
  <si>
    <t xml:space="preserve">前川 竜之将</t>
  </si>
  <si>
    <r>
      <rPr>
        <b val="true"/>
        <sz val="14"/>
        <color rgb="FF1E5945"/>
        <rFont val="Arial"/>
        <family val="0"/>
        <charset val="1"/>
      </rPr>
      <t xml:space="preserve">2</t>
    </r>
    <r>
      <rPr>
        <b val="true"/>
        <sz val="14"/>
        <color rgb="FF1E5945"/>
        <rFont val="WenQuanYi Zen Hei"/>
        <family val="2"/>
      </rPr>
      <t xml:space="preserve">週間前の</t>
    </r>
    <r>
      <rPr>
        <b val="true"/>
        <sz val="14"/>
        <color rgb="FF1E5945"/>
        <rFont val="Arial"/>
        <family val="0"/>
        <charset val="1"/>
      </rPr>
      <t xml:space="preserve">5000m</t>
    </r>
    <r>
      <rPr>
        <b val="true"/>
        <sz val="14"/>
        <color rgb="FF1E5945"/>
        <rFont val="WenQuanYi Zen Hei"/>
        <family val="2"/>
      </rPr>
      <t xml:space="preserve">（</t>
    </r>
    <r>
      <rPr>
        <b val="true"/>
        <sz val="14"/>
        <color rgb="FF1E5945"/>
        <rFont val="Arial"/>
        <family val="0"/>
        <charset val="1"/>
      </rPr>
      <t xml:space="preserve">5km</t>
    </r>
    <r>
      <rPr>
        <b val="true"/>
        <sz val="14"/>
        <color rgb="FF1E5945"/>
        <rFont val="WenQuanYi Zen Hei"/>
        <family val="2"/>
      </rPr>
      <t xml:space="preserve">）と出雲の比較：出雲出走メンバー</t>
    </r>
  </si>
  <si>
    <r>
      <rPr>
        <sz val="9"/>
        <color rgb="FF595959"/>
        <rFont val="WenQuanYi Zen Hei"/>
        <family val="2"/>
      </rPr>
      <t xml:space="preserve">出雲</t>
    </r>
    <r>
      <rPr>
        <sz val="9"/>
        <color rgb="FF595959"/>
        <rFont val="Arial"/>
        <family val="0"/>
        <charset val="1"/>
      </rPr>
      <t xml:space="preserve">5km</t>
    </r>
    <r>
      <rPr>
        <sz val="9"/>
        <color rgb="FF595959"/>
        <rFont val="WenQuanYi Zen Hei"/>
        <family val="2"/>
      </rPr>
      <t xml:space="preserve">換算＝出雲の実タイム</t>
    </r>
    <r>
      <rPr>
        <sz val="9"/>
        <color rgb="FF595959"/>
        <rFont val="Arial"/>
        <family val="0"/>
        <charset val="1"/>
      </rPr>
      <t xml:space="preserve">×5÷</t>
    </r>
    <r>
      <rPr>
        <sz val="9"/>
        <color rgb="FF595959"/>
        <rFont val="WenQuanYi Zen Hei"/>
        <family val="2"/>
      </rPr>
      <t xml:space="preserve">区間距離（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区も</t>
    </r>
    <r>
      <rPr>
        <sz val="9"/>
        <color rgb="FF595959"/>
        <rFont val="Arial"/>
        <family val="0"/>
        <charset val="1"/>
      </rPr>
      <t xml:space="preserve">5km</t>
    </r>
    <r>
      <rPr>
        <sz val="9"/>
        <color rgb="FF595959"/>
        <rFont val="WenQuanYi Zen Hei"/>
        <family val="2"/>
      </rPr>
      <t xml:space="preserve">あたりに換算）。悪化率＝出雲</t>
    </r>
    <r>
      <rPr>
        <sz val="9"/>
        <color rgb="FF595959"/>
        <rFont val="Arial"/>
        <family val="0"/>
        <charset val="1"/>
      </rPr>
      <t xml:space="preserve">5km</t>
    </r>
    <r>
      <rPr>
        <sz val="9"/>
        <color rgb="FF595959"/>
        <rFont val="WenQuanYi Zen Hei"/>
        <family val="2"/>
      </rPr>
      <t xml:space="preserve">換算</t>
    </r>
    <r>
      <rPr>
        <sz val="9"/>
        <color rgb="FF595959"/>
        <rFont val="Arial"/>
        <family val="0"/>
        <charset val="1"/>
      </rPr>
      <t xml:space="preserve">÷2</t>
    </r>
    <r>
      <rPr>
        <sz val="9"/>
        <color rgb="FF595959"/>
        <rFont val="WenQuanYi Zen Hei"/>
        <family val="2"/>
      </rPr>
      <t xml:space="preserve">週間前</t>
    </r>
    <r>
      <rPr>
        <sz val="9"/>
        <color rgb="FF595959"/>
        <rFont val="Arial"/>
        <family val="0"/>
        <charset val="1"/>
      </rPr>
      <t xml:space="preserve">5000m−1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年はロード</t>
    </r>
    <r>
      <rPr>
        <sz val="9"/>
        <color rgb="FF595959"/>
        <rFont val="Arial"/>
        <family val="0"/>
        <charset val="1"/>
      </rPr>
      <t xml:space="preserve">5km</t>
    </r>
    <r>
      <rPr>
        <sz val="9"/>
        <color rgb="FF595959"/>
        <rFont val="WenQuanYi Zen Hei"/>
        <family val="2"/>
      </rPr>
      <t xml:space="preserve">、他の年はトラック</t>
    </r>
    <r>
      <rPr>
        <sz val="9"/>
        <color rgb="FF595959"/>
        <rFont val="Arial"/>
        <family val="0"/>
        <charset val="1"/>
      </rPr>
      <t xml:space="preserve">5000m</t>
    </r>
    <r>
      <rPr>
        <sz val="9"/>
        <color rgb="FF595959"/>
        <rFont val="WenQuanYi Zen Hei"/>
        <family val="2"/>
      </rPr>
      <t xml:space="preserve">。出典：各年の記録会リザルト、出雲公式リザルト</t>
    </r>
  </si>
  <si>
    <t xml:space="preserve">選手</t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</si>
  <si>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週間前
</t>
    </r>
    <r>
      <rPr>
        <b val="true"/>
        <sz val="10"/>
        <color rgb="FFFFFFFF"/>
        <rFont val="Arial"/>
        <family val="0"/>
        <charset val="1"/>
      </rPr>
      <t xml:space="preserve">5000m</t>
    </r>
  </si>
  <si>
    <t xml:space="preserve">レース種別</t>
  </si>
  <si>
    <t xml:space="preserve">出雲
実タイム</t>
  </si>
  <si>
    <r>
      <rPr>
        <b val="true"/>
        <sz val="10"/>
        <color rgb="FFFFFFFF"/>
        <rFont val="WenQuanYi Zen Hei"/>
        <family val="2"/>
      </rPr>
      <t xml:space="preserve">区間距離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</si>
  <si>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WenQuanYi Zen Hei"/>
        <family val="2"/>
      </rPr>
      <t xml:space="preserve">出雲
</t>
    </r>
    <r>
      <rPr>
        <b val="true"/>
        <sz val="10"/>
        <color rgb="FFFFFFFF"/>
        <rFont val="Arial"/>
        <family val="0"/>
        <charset val="1"/>
      </rPr>
      <t xml:space="preserve">5km</t>
    </r>
    <r>
      <rPr>
        <b val="true"/>
        <sz val="10"/>
        <color rgb="FFFFFFFF"/>
        <rFont val="WenQuanYi Zen Hei"/>
        <family val="2"/>
      </rPr>
      <t xml:space="preserve">換算</t>
    </r>
  </si>
  <si>
    <t xml:space="preserve">目片将大</t>
  </si>
  <si>
    <r>
      <rPr>
        <sz val="10"/>
        <color rgb="FF0000FF"/>
        <rFont val="WenQuanYi Zen Hei"/>
        <family val="2"/>
      </rPr>
      <t xml:space="preserve">トラック</t>
    </r>
    <r>
      <rPr>
        <sz val="10"/>
        <color rgb="FF0000FF"/>
        <rFont val="Arial"/>
        <family val="0"/>
        <charset val="1"/>
      </rPr>
      <t xml:space="preserve">5000m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WenQuanYi Zen Hei"/>
        <family val="2"/>
      </rPr>
      <t xml:space="preserve">組）</t>
    </r>
  </si>
  <si>
    <t xml:space="preserve">横田俊吾</t>
  </si>
  <si>
    <t xml:space="preserve">近藤幸太郎</t>
  </si>
  <si>
    <t xml:space="preserve">志貴勇斗</t>
  </si>
  <si>
    <t xml:space="preserve">田中悠登</t>
  </si>
  <si>
    <t xml:space="preserve">中村唯翔</t>
  </si>
  <si>
    <t xml:space="preserve">野村昭夢</t>
  </si>
  <si>
    <r>
      <rPr>
        <sz val="10"/>
        <color rgb="FF0000FF"/>
        <rFont val="WenQuanYi Zen Hei"/>
        <family val="2"/>
      </rPr>
      <t xml:space="preserve">トラック</t>
    </r>
    <r>
      <rPr>
        <sz val="10"/>
        <color rgb="FF0000FF"/>
        <rFont val="Arial"/>
        <family val="0"/>
        <charset val="1"/>
      </rPr>
      <t xml:space="preserve">5000m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WenQuanYi Zen Hei"/>
        <family val="2"/>
      </rPr>
      <t xml:space="preserve">組）</t>
    </r>
  </si>
  <si>
    <t xml:space="preserve">黒田朝日</t>
  </si>
  <si>
    <t xml:space="preserve">佐藤一世</t>
  </si>
  <si>
    <t xml:space="preserve">山内健登</t>
  </si>
  <si>
    <t xml:space="preserve">鳥井健太</t>
  </si>
  <si>
    <t xml:space="preserve">鶴川正也</t>
  </si>
  <si>
    <r>
      <rPr>
        <sz val="10"/>
        <color rgb="FF0000FF"/>
        <rFont val="WenQuanYi Zen Hei"/>
        <family val="2"/>
      </rPr>
      <t xml:space="preserve">トラック</t>
    </r>
    <r>
      <rPr>
        <sz val="10"/>
        <color rgb="FF0000FF"/>
        <rFont val="Arial"/>
        <family val="0"/>
        <charset val="1"/>
      </rPr>
      <t xml:space="preserve">5000m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WenQuanYi Zen Hei"/>
        <family val="2"/>
      </rPr>
      <t xml:space="preserve">組）</t>
    </r>
  </si>
  <si>
    <r>
      <rPr>
        <sz val="10"/>
        <color rgb="FF0000FF"/>
        <rFont val="WenQuanYi Zen Hei"/>
        <family val="2"/>
      </rPr>
      <t xml:space="preserve">トラック</t>
    </r>
    <r>
      <rPr>
        <sz val="10"/>
        <color rgb="FF0000FF"/>
        <rFont val="Arial"/>
        <family val="0"/>
        <charset val="1"/>
      </rPr>
      <t xml:space="preserve">5000m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WenQuanYi Zen Hei"/>
        <family val="2"/>
      </rPr>
      <t xml:space="preserve">組）</t>
    </r>
  </si>
  <si>
    <t xml:space="preserve">宇田川瞬矢</t>
  </si>
  <si>
    <t xml:space="preserve">若林宏樹</t>
  </si>
  <si>
    <t xml:space="preserve">太田蒼生</t>
  </si>
  <si>
    <t xml:space="preserve">小河原陽琉</t>
  </si>
  <si>
    <t xml:space="preserve">折田壮太</t>
  </si>
  <si>
    <t xml:space="preserve">飯田翔大</t>
  </si>
  <si>
    <t xml:space="preserve">神邑亮佑</t>
  </si>
  <si>
    <t xml:space="preserve">塩出翔太</t>
  </si>
  <si>
    <t xml:space="preserve">石川浩輝</t>
  </si>
  <si>
    <r>
      <rPr>
        <sz val="10"/>
        <color rgb="FF0000FF"/>
        <rFont val="WenQuanYi Zen Hei"/>
        <family val="2"/>
      </rPr>
      <t xml:space="preserve">ロード</t>
    </r>
    <r>
      <rPr>
        <sz val="10"/>
        <color rgb="FF0000FF"/>
        <rFont val="Arial"/>
        <family val="0"/>
        <charset val="1"/>
      </rPr>
      <t xml:space="preserve">5km</t>
    </r>
    <r>
      <rPr>
        <sz val="10"/>
        <color rgb="FF0000FF"/>
        <rFont val="WenQuanYi Zen Hei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adizero 5K</t>
    </r>
    <r>
      <rPr>
        <sz val="10"/>
        <color rgb="FF0000FF"/>
        <rFont val="WenQuanYi Zen Hei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9/27</t>
    </r>
    <r>
      <rPr>
        <sz val="10"/>
        <color rgb="FF0000FF"/>
        <rFont val="WenQuanYi Zen Hei"/>
        <family val="2"/>
      </rPr>
      <t xml:space="preserve">）</t>
    </r>
  </si>
  <si>
    <t xml:space="preserve">黒田然</t>
  </si>
  <si>
    <t xml:space="preserve">前川竜之将</t>
  </si>
  <si>
    <r>
      <rPr>
        <b val="true"/>
        <sz val="14"/>
        <color rgb="FF1E5945"/>
        <rFont val="WenQuanYi Zen Hei"/>
        <family val="2"/>
      </rPr>
      <t xml:space="preserve">出雲</t>
    </r>
    <r>
      <rPr>
        <b val="true"/>
        <sz val="14"/>
        <color rgb="FF1E5945"/>
        <rFont val="Arial"/>
        <family val="0"/>
        <charset val="1"/>
      </rPr>
      <t xml:space="preserve">2</t>
    </r>
    <r>
      <rPr>
        <b val="true"/>
        <sz val="14"/>
        <color rgb="FF1E5945"/>
        <rFont val="WenQuanYi Zen Hei"/>
        <family val="2"/>
      </rPr>
      <t xml:space="preserve">週間前の</t>
    </r>
    <r>
      <rPr>
        <b val="true"/>
        <sz val="14"/>
        <color rgb="FF1E5945"/>
        <rFont val="Arial"/>
        <family val="0"/>
        <charset val="1"/>
      </rPr>
      <t xml:space="preserve">5000m</t>
    </r>
    <r>
      <rPr>
        <b val="true"/>
        <sz val="14"/>
        <color rgb="FF1E5945"/>
        <rFont val="WenQuanYi Zen Hei"/>
        <family val="2"/>
      </rPr>
      <t xml:space="preserve">（</t>
    </r>
    <r>
      <rPr>
        <b val="true"/>
        <sz val="14"/>
        <color rgb="FF1E5945"/>
        <rFont val="Arial"/>
        <family val="0"/>
        <charset val="1"/>
      </rPr>
      <t xml:space="preserve">5km</t>
    </r>
    <r>
      <rPr>
        <b val="true"/>
        <sz val="14"/>
        <color rgb="FF1E5945"/>
        <rFont val="WenQuanYi Zen Hei"/>
        <family val="2"/>
      </rPr>
      <t xml:space="preserve">）記録：青学の全出走部員</t>
    </r>
  </si>
  <si>
    <r>
      <rPr>
        <sz val="9"/>
        <color rgb="FF595959"/>
        <rFont val="WenQuanYi Zen Hei"/>
        <family val="2"/>
      </rPr>
      <t xml:space="preserve">組内順位は留学生・他大学を含むその組の順位。出雲メンバー欄は「</t>
    </r>
    <r>
      <rPr>
        <sz val="9"/>
        <color rgb="FF595959"/>
        <rFont val="Arial"/>
        <family val="0"/>
        <charset val="1"/>
      </rPr>
      <t xml:space="preserve">5000m</t>
    </r>
    <r>
      <rPr>
        <sz val="9"/>
        <color rgb="FF595959"/>
        <rFont val="WenQuanYi Zen Hei"/>
        <family val="2"/>
      </rPr>
      <t xml:space="preserve">比較」シートに同じ年・選手名があれば○</t>
    </r>
  </si>
  <si>
    <t xml:space="preserve">タイム</t>
  </si>
  <si>
    <t xml:space="preserve">組内順位</t>
  </si>
  <si>
    <t xml:space="preserve">出雲
メンバー</t>
  </si>
  <si>
    <t xml:space="preserve">西川魁星</t>
  </si>
  <si>
    <t xml:space="preserve">白石光星</t>
  </si>
  <si>
    <t xml:space="preserve">皆渡星七</t>
  </si>
  <si>
    <t xml:space="preserve">池田知史</t>
  </si>
  <si>
    <t xml:space="preserve">鈴木竜太朗</t>
  </si>
  <si>
    <t xml:space="preserve">西久保遼</t>
  </si>
  <si>
    <t xml:space="preserve">岸本大紀</t>
  </si>
  <si>
    <t xml:space="preserve">神田大地</t>
  </si>
  <si>
    <t xml:space="preserve">佐藤有一</t>
  </si>
  <si>
    <t xml:space="preserve">多田奏太</t>
  </si>
  <si>
    <t xml:space="preserve">松並昂勢</t>
  </si>
  <si>
    <t xml:space="preserve">小原響</t>
  </si>
  <si>
    <t xml:space="preserve">佐々木塁</t>
  </si>
  <si>
    <t xml:space="preserve">平松享祐</t>
  </si>
  <si>
    <t xml:space="preserve">荒巻朋熙</t>
  </si>
  <si>
    <t xml:space="preserve">倉本玄太</t>
  </si>
  <si>
    <t xml:space="preserve">遠藤大成</t>
  </si>
  <si>
    <t xml:space="preserve">本間創</t>
  </si>
  <si>
    <t xml:space="preserve">佐々木大輝</t>
  </si>
  <si>
    <t xml:space="preserve">安島莉玖</t>
  </si>
  <si>
    <t xml:space="preserve">中村海斗</t>
  </si>
  <si>
    <t xml:space="preserve">徳本陽</t>
  </si>
  <si>
    <t xml:space="preserve">佐藤愛斗</t>
  </si>
  <si>
    <t xml:space="preserve">喜多村慧</t>
  </si>
  <si>
    <t xml:space="preserve">浜川舜斗</t>
  </si>
  <si>
    <t xml:space="preserve">熊井渓人</t>
  </si>
  <si>
    <t xml:space="preserve">村上直弥</t>
  </si>
  <si>
    <t xml:space="preserve">片山宗哉</t>
  </si>
  <si>
    <t xml:space="preserve">福冨翔</t>
  </si>
  <si>
    <t xml:space="preserve">植村真登</t>
  </si>
  <si>
    <t xml:space="preserve">椙山一颯</t>
  </si>
  <si>
    <t xml:space="preserve">櫨元優馬</t>
  </si>
  <si>
    <t xml:space="preserve">古川陽樹</t>
  </si>
  <si>
    <r>
      <rPr>
        <b val="true"/>
        <sz val="14"/>
        <color rgb="FF1E5945"/>
        <rFont val="WenQuanYi Zen Hei"/>
        <family val="2"/>
      </rPr>
      <t xml:space="preserve">夏合宿 走行距離（</t>
    </r>
    <r>
      <rPr>
        <b val="true"/>
        <sz val="14"/>
        <color rgb="FF1E5945"/>
        <rFont val="Arial"/>
        <family val="0"/>
        <charset val="1"/>
      </rPr>
      <t xml:space="preserve">1</t>
    </r>
    <r>
      <rPr>
        <b val="true"/>
        <sz val="14"/>
        <color rgb="FF1E5945"/>
        <rFont val="WenQuanYi Zen Hei"/>
        <family val="2"/>
      </rPr>
      <t xml:space="preserve">次・</t>
    </r>
    <r>
      <rPr>
        <b val="true"/>
        <sz val="14"/>
        <color rgb="FF1E5945"/>
        <rFont val="Arial"/>
        <family val="0"/>
        <charset val="1"/>
      </rPr>
      <t xml:space="preserve">2</t>
    </r>
    <r>
      <rPr>
        <b val="true"/>
        <sz val="14"/>
        <color rgb="FF1E5945"/>
        <rFont val="WenQuanYi Zen Hei"/>
        <family val="2"/>
      </rPr>
      <t xml:space="preserve">次）：選手別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</si>
  <si>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次合宿の期間：</t>
    </r>
    <r>
      <rPr>
        <sz val="9"/>
        <color rgb="FF595959"/>
        <rFont val="Arial"/>
        <family val="0"/>
        <charset val="1"/>
      </rPr>
      <t xml:space="preserve">2023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7/26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8/16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WenQuanYi Zen Hei"/>
        <family val="2"/>
      </rPr>
      <t xml:space="preserve">日）、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8/1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WenQuanYi Zen Hei"/>
        <family val="2"/>
      </rPr>
      <t xml:space="preserve">日）、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8/2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8/19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WenQuanYi Zen Hei"/>
        <family val="2"/>
      </rPr>
      <t xml:space="preserve">日）。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次合宿は各年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日。出典：各年の走行距離ランキング（</t>
    </r>
    <r>
      <rPr>
        <sz val="9"/>
        <color rgb="FF595959"/>
        <rFont val="Arial"/>
        <family val="0"/>
        <charset val="1"/>
      </rPr>
      <t xml:space="preserve">Excel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PDF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</si>
  <si>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次合宿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</si>
  <si>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次合宿
</t>
    </r>
    <r>
      <rPr>
        <b val="true"/>
        <sz val="10"/>
        <color rgb="FFFFFFFF"/>
        <rFont val="Arial"/>
        <family val="0"/>
        <charset val="1"/>
      </rPr>
      <t xml:space="preserve">(km)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</si>
  <si>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
日数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</si>
  <si>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
</t>
    </r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日あたり</t>
    </r>
  </si>
  <si>
    <t xml:space="preserve">松下勇樹</t>
  </si>
  <si>
    <t xml:space="preserve">阿戶将太朗</t>
  </si>
  <si>
    <t xml:space="preserve">笹川洸成</t>
  </si>
  <si>
    <t xml:space="preserve">池澤悠冬</t>
  </si>
  <si>
    <t xml:space="preserve">石原正翔</t>
  </si>
  <si>
    <t xml:space="preserve">花本史龍</t>
  </si>
  <si>
    <t xml:space="preserve">西澤マハロ</t>
  </si>
  <si>
    <t xml:space="preserve">白石将隆</t>
  </si>
  <si>
    <t xml:space="preserve">大須賀風葵</t>
  </si>
  <si>
    <t xml:space="preserve">荒巻朋煕</t>
  </si>
  <si>
    <t xml:space="preserve">岡本龍聖</t>
  </si>
  <si>
    <t xml:space="preserve">白石優樹</t>
  </si>
  <si>
    <t xml:space="preserve">鈴木⻯太朗</t>
  </si>
  <si>
    <t xml:space="preserve">山下悠河</t>
  </si>
  <si>
    <t xml:space="preserve">徳丸涼大</t>
  </si>
  <si>
    <t xml:space="preserve">鈴木千翔</t>
  </si>
  <si>
    <t xml:space="preserve">松田煌希</t>
  </si>
  <si>
    <t xml:space="preserve">橋本昊太</t>
  </si>
  <si>
    <t xml:space="preserve">若林良樹</t>
  </si>
  <si>
    <t xml:space="preserve">船越碧</t>
  </si>
  <si>
    <t xml:space="preserve">坂本康太</t>
  </si>
  <si>
    <t xml:space="preserve">大島福</t>
  </si>
  <si>
    <t xml:space="preserve">上野山拳士朗</t>
  </si>
  <si>
    <t xml:space="preserve">松田祐真</t>
  </si>
  <si>
    <t xml:space="preserve">榅山一颯</t>
  </si>
  <si>
    <t xml:space="preserve">村岡大雅</t>
  </si>
  <si>
    <t xml:space="preserve">日向春空</t>
  </si>
  <si>
    <t xml:space="preserve">田中智稀</t>
  </si>
  <si>
    <t xml:space="preserve">本宮優心</t>
  </si>
  <si>
    <t xml:space="preserve">大竹実吹</t>
  </si>
  <si>
    <t xml:space="preserve">谷口僚哉</t>
  </si>
  <si>
    <t xml:space="preserve">前田蒼空</t>
  </si>
  <si>
    <t xml:space="preserve">新見春陽</t>
  </si>
  <si>
    <t xml:space="preserve">大藪遙斗</t>
  </si>
  <si>
    <t xml:space="preserve">横畑僚大</t>
  </si>
  <si>
    <t xml:space="preserve">藤岡孝太郎</t>
  </si>
  <si>
    <t xml:space="preserve">池野絵莉</t>
  </si>
  <si>
    <t xml:space="preserve">寺内頼</t>
  </si>
  <si>
    <t xml:space="preserve">栗林凛太朗</t>
  </si>
  <si>
    <t xml:space="preserve">芦田和佳</t>
  </si>
  <si>
    <t xml:space="preserve">斎藤晴樹</t>
  </si>
  <si>
    <r>
      <rPr>
        <b val="true"/>
        <sz val="14"/>
        <color rgb="FF1E5945"/>
        <rFont val="WenQuanYi Zen Hei"/>
        <family val="2"/>
      </rPr>
      <t xml:space="preserve">夏合宿 消化率（</t>
    </r>
    <r>
      <rPr>
        <b val="true"/>
        <sz val="14"/>
        <color rgb="FF1E5945"/>
        <rFont val="Arial"/>
        <family val="0"/>
        <charset val="1"/>
      </rPr>
      <t xml:space="preserve">1</t>
    </r>
    <r>
      <rPr>
        <b val="true"/>
        <sz val="14"/>
        <color rgb="FF1E5945"/>
        <rFont val="WenQuanYi Zen Hei"/>
        <family val="2"/>
      </rPr>
      <t xml:space="preserve">〜</t>
    </r>
    <r>
      <rPr>
        <b val="true"/>
        <sz val="14"/>
        <color rgb="FF1E5945"/>
        <rFont val="Arial"/>
        <family val="0"/>
        <charset val="1"/>
      </rPr>
      <t xml:space="preserve">3</t>
    </r>
    <r>
      <rPr>
        <b val="true"/>
        <sz val="14"/>
        <color rgb="FF1E5945"/>
        <rFont val="WenQuanYi Zen Hei"/>
        <family val="2"/>
      </rPr>
      <t xml:space="preserve">次）：選手別</t>
    </r>
  </si>
  <si>
    <r>
      <rPr>
        <sz val="9"/>
        <color rgb="FF595959"/>
        <rFont val="WenQuanYi Zen Hei"/>
        <family val="2"/>
      </rPr>
      <t xml:space="preserve">消化率はポイント練習の実施度（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＝全メニュー完遂）。出典：各年の合宿消化率（</t>
    </r>
    <r>
      <rPr>
        <sz val="9"/>
        <color rgb="FF595959"/>
        <rFont val="Arial"/>
        <family val="0"/>
        <charset val="1"/>
      </rPr>
      <t xml:space="preserve">2023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年は</t>
    </r>
    <r>
      <rPr>
        <sz val="9"/>
        <color rgb="FF595959"/>
        <rFont val="Arial"/>
        <family val="0"/>
        <charset val="1"/>
      </rPr>
      <t xml:space="preserve">Excel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年は</t>
    </r>
    <r>
      <rPr>
        <sz val="9"/>
        <color rgb="FF595959"/>
        <rFont val="Arial"/>
        <family val="0"/>
        <charset val="1"/>
      </rPr>
      <t xml:space="preserve">PDF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</si>
  <si>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次合宿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</si>
  <si>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次合宿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</si>
  <si>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次合宿</t>
    </r>
  </si>
  <si>
    <t xml:space="preserve">夏合宿
平均</t>
  </si>
  <si>
    <t xml:space="preserve">阿戸将太朗</t>
  </si>
  <si>
    <r>
      <rPr>
        <b val="true"/>
        <sz val="14"/>
        <color rgb="FF1E5945"/>
        <rFont val="WenQuanYi Zen Hei"/>
        <family val="2"/>
      </rPr>
      <t xml:space="preserve">月間走行距離：選手別（</t>
    </r>
    <r>
      <rPr>
        <b val="true"/>
        <sz val="14"/>
        <color rgb="FF1E5945"/>
        <rFont val="Arial"/>
        <family val="0"/>
        <charset val="1"/>
      </rPr>
      <t xml:space="preserve">2022</t>
    </r>
    <r>
      <rPr>
        <b val="true"/>
        <sz val="14"/>
        <color rgb="FF1E5945"/>
        <rFont val="WenQuanYi Zen Hei"/>
        <family val="2"/>
      </rPr>
      <t xml:space="preserve">・</t>
    </r>
    <r>
      <rPr>
        <b val="true"/>
        <sz val="14"/>
        <color rgb="FF1E5945"/>
        <rFont val="Arial"/>
        <family val="0"/>
        <charset val="1"/>
      </rPr>
      <t xml:space="preserve">2023</t>
    </r>
    <r>
      <rPr>
        <b val="true"/>
        <sz val="14"/>
        <color rgb="FF1E5945"/>
        <rFont val="WenQuanYi Zen Hei"/>
        <family val="2"/>
      </rPr>
      <t xml:space="preserve">年は通年、</t>
    </r>
    <r>
      <rPr>
        <b val="true"/>
        <sz val="14"/>
        <color rgb="FF1E5945"/>
        <rFont val="Arial"/>
        <family val="0"/>
        <charset val="1"/>
      </rPr>
      <t xml:space="preserve">2024</t>
    </r>
    <r>
      <rPr>
        <b val="true"/>
        <sz val="14"/>
        <color rgb="FF1E5945"/>
        <rFont val="WenQuanYi Zen Hei"/>
        <family val="2"/>
      </rPr>
      <t xml:space="preserve">年は</t>
    </r>
    <r>
      <rPr>
        <b val="true"/>
        <sz val="14"/>
        <color rgb="FF1E5945"/>
        <rFont val="Arial"/>
        <family val="0"/>
        <charset val="1"/>
      </rPr>
      <t xml:space="preserve">1</t>
    </r>
    <r>
      <rPr>
        <b val="true"/>
        <sz val="14"/>
        <color rgb="FF1E5945"/>
        <rFont val="WenQuanYi Zen Hei"/>
        <family val="2"/>
      </rPr>
      <t xml:space="preserve">〜</t>
    </r>
    <r>
      <rPr>
        <b val="true"/>
        <sz val="14"/>
        <color rgb="FF1E5945"/>
        <rFont val="Arial"/>
        <family val="0"/>
        <charset val="1"/>
      </rPr>
      <t xml:space="preserve">6</t>
    </r>
    <r>
      <rPr>
        <b val="true"/>
        <sz val="14"/>
        <color rgb="FF1E5945"/>
        <rFont val="WenQuanYi Zen Hei"/>
        <family val="2"/>
      </rPr>
      <t xml:space="preserve">月のみ）</t>
    </r>
  </si>
  <si>
    <r>
      <rPr>
        <sz val="9"/>
        <color rgb="FF595959"/>
        <rFont val="WenQuanYi Zen Hei"/>
        <family val="2"/>
      </rPr>
      <t xml:space="preserve">出典：月間走行距離</t>
    </r>
    <r>
      <rPr>
        <sz val="9"/>
        <color rgb="FF595959"/>
        <rFont val="Arial"/>
        <family val="0"/>
        <charset val="1"/>
      </rPr>
      <t xml:space="preserve">Excel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月以降と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年はデータ未提供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</si>
  <si>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</si>
  <si>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</si>
  <si>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</si>
  <si>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</si>
  <si>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</si>
  <si>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</si>
  <si>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</si>
  <si>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</si>
  <si>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</si>
  <si>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</si>
  <si>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月</t>
    </r>
  </si>
  <si>
    <r>
      <rPr>
        <b val="true"/>
        <sz val="10"/>
        <color rgb="FFFFFFFF"/>
        <rFont val="Arial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月</t>
    </r>
  </si>
  <si>
    <t xml:space="preserve">中倉啓敦</t>
  </si>
  <si>
    <t xml:space="preserve">大澤佑介</t>
  </si>
  <si>
    <t xml:space="preserve">宮坂大器</t>
  </si>
  <si>
    <t xml:space="preserve">畦地貴斗</t>
  </si>
  <si>
    <t xml:space="preserve">脇田幸太朗</t>
  </si>
  <si>
    <t xml:space="preserve">関口雄大</t>
  </si>
  <si>
    <t xml:space="preserve">阿戸将太郎</t>
  </si>
  <si>
    <r>
      <rPr>
        <b val="true"/>
        <sz val="14"/>
        <color rgb="FF1E5945"/>
        <rFont val="Arial"/>
        <family val="0"/>
        <charset val="1"/>
      </rPr>
      <t xml:space="preserve">2023</t>
    </r>
    <r>
      <rPr>
        <b val="true"/>
        <sz val="14"/>
        <color rgb="FF1E5945"/>
        <rFont val="WenQuanYi Zen Hei"/>
        <family val="2"/>
      </rPr>
      <t xml:space="preserve">年 夏合宿ポイント練習：出雲メンバー</t>
    </r>
    <r>
      <rPr>
        <b val="true"/>
        <sz val="14"/>
        <color rgb="FF1E5945"/>
        <rFont val="Arial"/>
        <family val="0"/>
        <charset val="1"/>
      </rPr>
      <t xml:space="preserve">6</t>
    </r>
    <r>
      <rPr>
        <b val="true"/>
        <sz val="14"/>
        <color rgb="FF1E5945"/>
        <rFont val="WenQuanYi Zen Hei"/>
        <family val="2"/>
      </rPr>
      <t xml:space="preserve">人の組・消化率</t>
    </r>
  </si>
  <si>
    <r>
      <rPr>
        <sz val="9"/>
        <color rgb="FF595959"/>
        <rFont val="WenQuanYi Zen Hei"/>
        <family val="2"/>
      </rPr>
      <t xml:space="preserve">※ 各セルは「組 消化率」。坂</t>
    </r>
    <r>
      <rPr>
        <sz val="9"/>
        <color rgb="FF595959"/>
        <rFont val="Arial"/>
        <family val="0"/>
        <charset val="1"/>
      </rPr>
      <t xml:space="preserve">PTT</t>
    </r>
    <r>
      <rPr>
        <sz val="9"/>
        <color rgb="FF595959"/>
        <rFont val="WenQuanYi Zen Hei"/>
        <family val="2"/>
      </rPr>
      <t xml:space="preserve">は「坂</t>
    </r>
    <r>
      <rPr>
        <sz val="9"/>
        <color rgb="FF595959"/>
        <rFont val="Arial"/>
        <family val="0"/>
        <charset val="1"/>
      </rPr>
      <t xml:space="preserve">TT/</t>
    </r>
    <r>
      <rPr>
        <sz val="9"/>
        <color rgb="FF595959"/>
        <rFont val="WenQuanYi Zen Hei"/>
        <family val="2"/>
      </rPr>
      <t xml:space="preserve">トータル」タイム、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次の</t>
    </r>
    <r>
      <rPr>
        <sz val="9"/>
        <color rgb="FF595959"/>
        <rFont val="Arial"/>
        <family val="0"/>
        <charset val="1"/>
      </rPr>
      <t xml:space="preserve">3000m+12000m</t>
    </r>
    <r>
      <rPr>
        <sz val="9"/>
        <color rgb="FF595959"/>
        <rFont val="WenQuanYi Zen Hei"/>
        <family val="2"/>
      </rPr>
      <t xml:space="preserve">ビルドアップは最後の</t>
    </r>
    <r>
      <rPr>
        <sz val="9"/>
        <color rgb="FF595959"/>
        <rFont val="Arial"/>
        <family val="0"/>
        <charset val="1"/>
      </rPr>
      <t xml:space="preserve">1km</t>
    </r>
    <r>
      <rPr>
        <sz val="9"/>
        <color rgb="FF595959"/>
        <rFont val="WenQuanYi Zen Hei"/>
        <family val="2"/>
      </rPr>
      <t xml:space="preserve">のタイム</t>
    </r>
  </si>
  <si>
    <r>
      <rPr>
        <sz val="9"/>
        <color rgb="FF595959"/>
        <rFont val="WenQuanYi Zen Hei"/>
        <family val="2"/>
      </rPr>
      <t xml:space="preserve">※ 「–」は記録なし（その練習に入っていない）。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は実施なし・部分実施</t>
    </r>
  </si>
  <si>
    <r>
      <rPr>
        <sz val="9"/>
        <color rgb="FF595959"/>
        <rFont val="WenQuanYi Zen Hei"/>
        <family val="2"/>
      </rPr>
      <t xml:space="preserve">※ 出典：各年の合宿消化率（</t>
    </r>
    <r>
      <rPr>
        <sz val="9"/>
        <color rgb="FF595959"/>
        <rFont val="Arial"/>
        <family val="0"/>
        <charset val="1"/>
      </rPr>
      <t xml:space="preserve">2023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WenQuanYi Zen Hei"/>
        <family val="2"/>
      </rPr>
      <t xml:space="preserve">年は</t>
    </r>
    <r>
      <rPr>
        <sz val="9"/>
        <color rgb="FF595959"/>
        <rFont val="Arial"/>
        <family val="0"/>
        <charset val="1"/>
      </rPr>
      <t xml:space="preserve">Excel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2024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年は</t>
    </r>
    <r>
      <rPr>
        <sz val="9"/>
        <color rgb="FF595959"/>
        <rFont val="Arial"/>
        <family val="0"/>
        <charset val="1"/>
      </rPr>
      <t xml:space="preserve">PDF</t>
    </r>
    <r>
      <rPr>
        <sz val="9"/>
        <color rgb="FF595959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</si>
  <si>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※ 2025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次合宿は、元データの日付欄が</t>
    </r>
    <r>
      <rPr>
        <sz val="9"/>
        <color rgb="FF595959"/>
        <rFont val="Arial"/>
        <family val="0"/>
        <charset val="1"/>
      </rPr>
      <t xml:space="preserve">2023</t>
    </r>
    <r>
      <rPr>
        <sz val="9"/>
        <color rgb="FF595959"/>
        <rFont val="WenQuanYi Zen Hei"/>
        <family val="2"/>
      </rPr>
      <t xml:space="preserve">年の日付のまま残っていたため、日付を「—」とし実施順に並べた</t>
    </r>
  </si>
  <si>
    <r>
      <rPr>
        <sz val="9"/>
        <color rgb="FF595959"/>
        <rFont val="Arial"/>
        <family val="0"/>
        <charset val="1"/>
      </rPr>
      <t xml:space="preserve">※ 2024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次合宿と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次合宿は、</t>
    </r>
    <r>
      <rPr>
        <sz val="9"/>
        <color rgb="FF595959"/>
        <rFont val="Arial"/>
        <family val="0"/>
        <charset val="1"/>
      </rPr>
      <t xml:space="preserve">PDF</t>
    </r>
    <r>
      <rPr>
        <sz val="9"/>
        <color rgb="FF595959"/>
        <rFont val="WenQuanYi Zen Hei"/>
        <family val="2"/>
      </rPr>
      <t xml:space="preserve">で日付欄が複数メニューにまたがっていたため、天候の記録時刻と並び順から日付を判断した</t>
    </r>
  </si>
  <si>
    <r>
      <rPr>
        <b val="true"/>
        <sz val="10"/>
        <rFont val="Arial"/>
        <family val="0"/>
        <charset val="1"/>
      </rPr>
      <t xml:space="preserve">2023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野村昭夢／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黒田朝日／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佐藤一世／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山内健登／</t>
    </r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鳥井健太／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鶴川正也</t>
    </r>
  </si>
  <si>
    <r>
      <rPr>
        <b val="true"/>
        <sz val="11"/>
        <color rgb="FF1E5945"/>
        <rFont val="Arial"/>
        <family val="0"/>
        <charset val="1"/>
      </rPr>
      <t xml:space="preserve">1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7/26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8/16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</si>
  <si>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日付</t>
  </si>
  <si>
    <t xml:space="preserve">メニュー（設定）</t>
  </si>
  <si>
    <t xml:space="preserve">野村</t>
  </si>
  <si>
    <t xml:space="preserve">黒田朝</t>
  </si>
  <si>
    <t xml:space="preserve">佐藤一</t>
  </si>
  <si>
    <t xml:space="preserve">山内</t>
  </si>
  <si>
    <t xml:space="preserve">鳥井</t>
  </si>
  <si>
    <t xml:space="preserve">鶴川</t>
  </si>
  <si>
    <t xml:space="preserve">7/26</t>
  </si>
  <si>
    <r>
      <rPr>
        <sz val="10"/>
        <rFont val="Arial"/>
        <family val="0"/>
        <charset val="1"/>
      </rPr>
      <t xml:space="preserve">16km+200m×5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</t>
    </r>
  </si>
  <si>
    <t xml:space="preserve">30%</t>
  </si>
  <si>
    <t xml:space="preserve">A 100%</t>
  </si>
  <si>
    <t xml:space="preserve">0%</t>
  </si>
  <si>
    <t xml:space="preserve">8/3</t>
  </si>
  <si>
    <r>
      <rPr>
        <sz val="10"/>
        <rFont val="Arial"/>
        <family val="0"/>
        <charset val="1"/>
      </rPr>
      <t xml:space="preserve">CC24km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 3:36→3:30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 3:48→3:30</t>
    </r>
    <r>
      <rPr>
        <sz val="10"/>
        <rFont val="WenQuanYi Zen Hei"/>
        <family val="2"/>
      </rPr>
      <t xml:space="preserve">）</t>
    </r>
  </si>
  <si>
    <t xml:space="preserve">B1(16km) 30%</t>
  </si>
  <si>
    <t xml:space="preserve">A1 100%</t>
  </si>
  <si>
    <t xml:space="preserve">B1 100%</t>
  </si>
  <si>
    <t xml:space="preserve">8/5</t>
  </si>
  <si>
    <r>
      <rPr>
        <sz val="10"/>
        <rFont val="Arial"/>
        <family val="0"/>
        <charset val="1"/>
      </rPr>
      <t xml:space="preserve">25km </t>
    </r>
    <r>
      <rPr>
        <sz val="10"/>
        <rFont val="WenQuanYi Zen Hei"/>
        <family val="2"/>
      </rPr>
      <t xml:space="preserve">中</t>
    </r>
    <r>
      <rPr>
        <sz val="10"/>
        <rFont val="Arial"/>
        <family val="0"/>
        <charset val="1"/>
      </rPr>
      <t xml:space="preserve">×4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 3:30</t>
    </r>
    <r>
      <rPr>
        <sz val="10"/>
        <rFont val="WenQuanYi Zen Hei"/>
        <family val="2"/>
      </rPr>
      <t xml:space="preserve">通し／</t>
    </r>
    <r>
      <rPr>
        <sz val="10"/>
        <rFont val="Arial"/>
        <family val="0"/>
        <charset val="1"/>
      </rPr>
      <t xml:space="preserve">B 3:36→3:30</t>
    </r>
    <r>
      <rPr>
        <sz val="10"/>
        <rFont val="WenQuanYi Zen Hei"/>
        <family val="2"/>
      </rPr>
      <t xml:space="preserve">）</t>
    </r>
  </si>
  <si>
    <t xml:space="preserve">B(22.75km) 70%</t>
  </si>
  <si>
    <t xml:space="preserve">B 100%</t>
  </si>
  <si>
    <t xml:space="preserve">8/8</t>
  </si>
  <si>
    <r>
      <rPr>
        <sz val="10"/>
        <rFont val="Arial"/>
        <family val="0"/>
        <charset val="1"/>
      </rPr>
      <t xml:space="preserve">20km</t>
    </r>
    <r>
      <rPr>
        <sz val="10"/>
        <rFont val="WenQuanYi Zen Hei"/>
        <family val="2"/>
      </rPr>
      <t xml:space="preserve">坂</t>
    </r>
    <r>
      <rPr>
        <sz val="10"/>
        <rFont val="Arial"/>
        <family val="0"/>
        <charset val="1"/>
      </rPr>
      <t xml:space="preserve">PTT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3:42→3:36</t>
    </r>
    <r>
      <rPr>
        <sz val="10"/>
        <rFont val="WenQuanYi Zen Hei"/>
        <family val="2"/>
      </rPr>
      <t xml:space="preserve">）</t>
    </r>
  </si>
  <si>
    <t xml:space="preserve">11:03/1:13:42 100%</t>
  </si>
  <si>
    <t xml:space="preserve">10:11/1:12:49 100%</t>
  </si>
  <si>
    <t xml:space="preserve">11:15/1:13:54 100%</t>
  </si>
  <si>
    <t xml:space="preserve">11:42/1:14:20 100%</t>
  </si>
  <si>
    <t xml:space="preserve">10:39/1:13:17 100%</t>
  </si>
  <si>
    <t xml:space="preserve">10:53/1:13:31 30%</t>
  </si>
  <si>
    <t xml:space="preserve">8/10</t>
  </si>
  <si>
    <r>
      <rPr>
        <sz val="10"/>
        <rFont val="Arial"/>
        <family val="0"/>
        <charset val="1"/>
      </rPr>
      <t xml:space="preserve">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 3:42→3:36→3:30</t>
    </r>
    <r>
      <rPr>
        <sz val="10"/>
        <rFont val="WenQuanYi Zen Hei"/>
        <family val="2"/>
      </rPr>
      <t xml:space="preserve">）</t>
    </r>
  </si>
  <si>
    <t xml:space="preserve">A(22km) 70%</t>
  </si>
  <si>
    <t xml:space="preserve">8/13</t>
  </si>
  <si>
    <t xml:space="preserve">11:16/1:14:39 100%</t>
  </si>
  <si>
    <t xml:space="preserve">10:00/1:13:23 100%</t>
  </si>
  <si>
    <t xml:space="preserve">11:05/1:14:28 100%</t>
  </si>
  <si>
    <t xml:space="preserve">11:54/1:15:17 100%</t>
  </si>
  <si>
    <t xml:space="preserve">10:39/1:14:02 100%</t>
  </si>
  <si>
    <t xml:space="preserve">10:41/1:14:04 100%</t>
  </si>
  <si>
    <t xml:space="preserve">8/15</t>
  </si>
  <si>
    <r>
      <rPr>
        <sz val="10"/>
        <rFont val="Arial"/>
        <family val="0"/>
        <charset val="1"/>
      </rPr>
      <t xml:space="preserve">42.195km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4:00</t>
    </r>
    <r>
      <rPr>
        <sz val="10"/>
        <rFont val="WenQuanYi Zen Hei"/>
        <family val="2"/>
      </rPr>
      <t xml:space="preserve">目安）</t>
    </r>
  </si>
  <si>
    <t xml:space="preserve">21km+1km 30%</t>
  </si>
  <si>
    <t xml:space="preserve">100%</t>
  </si>
  <si>
    <r>
      <rPr>
        <b val="true"/>
        <sz val="11"/>
        <color rgb="FF1E5945"/>
        <rFont val="Arial"/>
        <family val="0"/>
        <charset val="1"/>
      </rPr>
      <t xml:space="preserve">2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8/25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9/3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</si>
  <si>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8/26</t>
  </si>
  <si>
    <r>
      <rPr>
        <sz val="10"/>
        <rFont val="Arial"/>
        <family val="0"/>
        <charset val="1"/>
      </rPr>
      <t xml:space="preserve">16km+200m×5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3:30→3:10</t>
    </r>
    <r>
      <rPr>
        <sz val="10"/>
        <rFont val="WenQuanYi Zen Hei"/>
        <family val="2"/>
      </rPr>
      <t xml:space="preserve">）</t>
    </r>
  </si>
  <si>
    <t xml:space="preserve">A 70%</t>
  </si>
  <si>
    <t xml:space="preserve">8/27</t>
  </si>
  <si>
    <r>
      <rPr>
        <sz val="10"/>
        <rFont val="Arial"/>
        <family val="0"/>
        <charset val="1"/>
      </rPr>
      <t xml:space="preserve">CC30km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3:42→3:36→3:30</t>
    </r>
    <r>
      <rPr>
        <sz val="10"/>
        <rFont val="WenQuanYi Zen Hei"/>
        <family val="2"/>
      </rPr>
      <t xml:space="preserve">）</t>
    </r>
  </si>
  <si>
    <t xml:space="preserve">8/30</t>
  </si>
  <si>
    <r>
      <rPr>
        <sz val="10"/>
        <rFont val="Arial"/>
        <family val="0"/>
        <charset val="1"/>
      </rPr>
      <t xml:space="preserve">24000m</t>
    </r>
    <r>
      <rPr>
        <sz val="10"/>
        <rFont val="WenQuanYi Zen Hei"/>
        <family val="2"/>
      </rPr>
      <t xml:space="preserve">ペース走</t>
    </r>
    <r>
      <rPr>
        <sz val="10"/>
        <rFont val="Arial"/>
        <family val="0"/>
        <charset val="1"/>
      </rPr>
      <t xml:space="preserve">+1000m×2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3:30→3:10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2:50</t>
    </r>
    <r>
      <rPr>
        <sz val="10"/>
        <rFont val="WenQuanYi Zen Hei"/>
        <family val="2"/>
      </rPr>
      <t xml:space="preserve">）</t>
    </r>
  </si>
  <si>
    <t xml:space="preserve">9/2</t>
  </si>
  <si>
    <r>
      <rPr>
        <b val="true"/>
        <sz val="11"/>
        <color rgb="FF1E5945"/>
        <rFont val="Arial"/>
        <family val="0"/>
        <charset val="1"/>
      </rPr>
      <t xml:space="preserve">3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9/12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9/17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</si>
  <si>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9/12</t>
  </si>
  <si>
    <r>
      <rPr>
        <sz val="10"/>
        <rFont val="Arial"/>
        <family val="0"/>
        <charset val="1"/>
      </rPr>
      <t xml:space="preserve">15km+150m×3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3:30→3:20</t>
    </r>
    <r>
      <rPr>
        <sz val="10"/>
        <rFont val="WenQuanYi Zen Hei"/>
        <family val="2"/>
      </rPr>
      <t xml:space="preserve">）</t>
    </r>
  </si>
  <si>
    <t xml:space="preserve">9/13</t>
  </si>
  <si>
    <r>
      <rPr>
        <sz val="10"/>
        <rFont val="Arial"/>
        <family val="0"/>
        <charset val="1"/>
      </rPr>
      <t xml:space="preserve">1000m+12000m+400m+200m×5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2:40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3:20→3:10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58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</si>
  <si>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12000m</t>
    </r>
    <r>
      <rPr>
        <sz val="10"/>
        <rFont val="WenQuanYi Zen Hei"/>
        <family val="2"/>
      </rPr>
      <t xml:space="preserve">以降のみ </t>
    </r>
    <r>
      <rPr>
        <sz val="10"/>
        <rFont val="Arial"/>
        <family val="0"/>
        <charset val="1"/>
      </rPr>
      <t xml:space="preserve">70%</t>
    </r>
  </si>
  <si>
    <t xml:space="preserve">9/15</t>
  </si>
  <si>
    <r>
      <rPr>
        <sz val="10"/>
        <rFont val="Arial"/>
        <family val="0"/>
        <charset val="1"/>
      </rPr>
      <t xml:space="preserve">20km+1000m+200m×5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2:45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30-28</t>
    </r>
    <r>
      <rPr>
        <sz val="10"/>
        <rFont val="WenQuanYi Zen Hei"/>
        <family val="2"/>
      </rPr>
      <t xml:space="preserve">）</t>
    </r>
  </si>
  <si>
    <t xml:space="preserve">A1 70%</t>
  </si>
  <si>
    <t xml:space="preserve">A2 100%</t>
  </si>
  <si>
    <t xml:space="preserve">9/17</t>
  </si>
  <si>
    <r>
      <rPr>
        <sz val="10"/>
        <rFont val="Arial"/>
        <family val="0"/>
        <charset val="1"/>
      </rPr>
      <t xml:space="preserve">400m×12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66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R100m</t>
    </r>
  </si>
  <si>
    <r>
      <rPr>
        <b val="true"/>
        <sz val="14"/>
        <color rgb="FF1E5945"/>
        <rFont val="Arial"/>
        <family val="0"/>
        <charset val="1"/>
      </rPr>
      <t xml:space="preserve">2024</t>
    </r>
    <r>
      <rPr>
        <b val="true"/>
        <sz val="14"/>
        <color rgb="FF1E5945"/>
        <rFont val="WenQuanYi Zen Hei"/>
        <family val="2"/>
      </rPr>
      <t xml:space="preserve">年 夏合宿ポイント練習：出雲メンバー</t>
    </r>
    <r>
      <rPr>
        <b val="true"/>
        <sz val="14"/>
        <color rgb="FF1E5945"/>
        <rFont val="Arial"/>
        <family val="0"/>
        <charset val="1"/>
      </rPr>
      <t xml:space="preserve">6</t>
    </r>
    <r>
      <rPr>
        <b val="true"/>
        <sz val="14"/>
        <color rgb="FF1E5945"/>
        <rFont val="WenQuanYi Zen Hei"/>
        <family val="2"/>
      </rPr>
      <t xml:space="preserve">人の組・消化率</t>
    </r>
  </si>
  <si>
    <r>
      <rPr>
        <b val="true"/>
        <sz val="10"/>
        <rFont val="Arial"/>
        <family val="0"/>
        <charset val="1"/>
      </rPr>
      <t xml:space="preserve">2024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鶴川正也／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野村昭夢／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黒田朝日／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宇田川瞬矢／</t>
    </r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若林宏樹／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太田蒼生</t>
    </r>
  </si>
  <si>
    <r>
      <rPr>
        <b val="true"/>
        <sz val="11"/>
        <color rgb="FF1E5945"/>
        <rFont val="Arial"/>
        <family val="0"/>
        <charset val="1"/>
      </rPr>
      <t xml:space="preserve">1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8/1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8/19</t>
    </r>
    <r>
      <rPr>
        <b val="true"/>
        <sz val="11"/>
        <color rgb="FF1E5945"/>
        <rFont val="WenQuanYi Zen Hei"/>
        <family val="2"/>
      </rPr>
      <t xml:space="preserve">、消化率の記録は</t>
    </r>
    <r>
      <rPr>
        <b val="true"/>
        <sz val="11"/>
        <color rgb="FF1E5945"/>
        <rFont val="Arial"/>
        <family val="0"/>
        <charset val="1"/>
      </rPr>
      <t xml:space="preserve">8/11</t>
    </r>
    <r>
      <rPr>
        <b val="true"/>
        <sz val="11"/>
        <color rgb="FF1E5945"/>
        <rFont val="WenQuanYi Zen Hei"/>
        <family val="2"/>
      </rPr>
      <t xml:space="preserve">以降）</t>
    </r>
  </si>
  <si>
    <t xml:space="preserve">宇田川</t>
  </si>
  <si>
    <t xml:space="preserve">若林</t>
  </si>
  <si>
    <t xml:space="preserve">太田</t>
  </si>
  <si>
    <t xml:space="preserve">8/11</t>
  </si>
  <si>
    <r>
      <rPr>
        <sz val="10"/>
        <rFont val="Arial"/>
        <family val="0"/>
        <charset val="1"/>
      </rPr>
      <t xml:space="preserve">21km</t>
    </r>
    <r>
      <rPr>
        <sz val="10"/>
        <rFont val="WenQuanYi Zen Hei"/>
        <family val="2"/>
      </rPr>
      <t xml:space="preserve">坂</t>
    </r>
    <r>
      <rPr>
        <sz val="10"/>
        <rFont val="Arial"/>
        <family val="0"/>
        <charset val="1"/>
      </rPr>
      <t xml:space="preserve">PTT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3:42→3:36</t>
    </r>
    <r>
      <rPr>
        <sz val="10"/>
        <rFont val="WenQuanYi Zen Hei"/>
        <family val="2"/>
      </rPr>
      <t xml:space="preserve">）</t>
    </r>
  </si>
  <si>
    <t xml:space="preserve">10:35/1:13:56 100%</t>
  </si>
  <si>
    <t xml:space="preserve">10:40/1:14:01 100%</t>
  </si>
  <si>
    <t xml:space="preserve">9:56/1:13:17 100%</t>
  </si>
  <si>
    <t xml:space="preserve">11:18/1:14:39 100%</t>
  </si>
  <si>
    <t xml:space="preserve">10:29/1:13:50 100%</t>
  </si>
  <si>
    <t xml:space="preserve">70%</t>
  </si>
  <si>
    <r>
      <rPr>
        <sz val="10"/>
        <rFont val="Arial"/>
        <family val="0"/>
        <charset val="1"/>
      </rPr>
      <t xml:space="preserve">25km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）／</t>
    </r>
    <r>
      <rPr>
        <sz val="10"/>
        <rFont val="Arial"/>
        <family val="0"/>
        <charset val="1"/>
      </rPr>
      <t xml:space="preserve">30km</t>
    </r>
    <r>
      <rPr>
        <sz val="10"/>
        <rFont val="WenQuanYi Zen Hei"/>
        <family val="2"/>
      </rPr>
      <t xml:space="preserve">組</t>
    </r>
  </si>
  <si>
    <t xml:space="preserve">A(30km) 100%</t>
  </si>
  <si>
    <t xml:space="preserve">10:19/1:13:56 100%</t>
  </si>
  <si>
    <t xml:space="preserve">10:59/1:14:36 100%</t>
  </si>
  <si>
    <t xml:space="preserve">10:06/1:13:43 100%</t>
  </si>
  <si>
    <t xml:space="preserve">11:23/1:15:00 100%</t>
  </si>
  <si>
    <t xml:space="preserve">10:51/1:14:28 100%</t>
  </si>
  <si>
    <t xml:space="preserve">10:57/1:14:34 100%</t>
  </si>
  <si>
    <t xml:space="preserve">8/18</t>
  </si>
  <si>
    <r>
      <rPr>
        <sz val="10"/>
        <rFont val="Arial"/>
        <family val="0"/>
        <charset val="1"/>
      </rPr>
      <t xml:space="preserve">42.195km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2:45:00</t>
    </r>
    <r>
      <rPr>
        <sz val="10"/>
        <rFont val="WenQuanYi Zen Hei"/>
        <family val="2"/>
      </rPr>
      <t xml:space="preserve">目安）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</si>
  <si>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周目以降山</t>
    </r>
    <r>
      <rPr>
        <sz val="10"/>
        <rFont val="Arial"/>
        <family val="0"/>
        <charset val="1"/>
      </rPr>
      <t xml:space="preserve">jog 30%</t>
    </r>
  </si>
  <si>
    <r>
      <rPr>
        <b val="true"/>
        <sz val="11"/>
        <color rgb="FF1E5945"/>
        <rFont val="Arial"/>
        <family val="0"/>
        <charset val="1"/>
      </rPr>
      <t xml:space="preserve">2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8/27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9/5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</si>
  <si>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8/28</t>
  </si>
  <si>
    <r>
      <rPr>
        <sz val="10"/>
        <rFont val="Arial"/>
        <family val="0"/>
        <charset val="1"/>
      </rPr>
      <t xml:space="preserve">CC25km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</si>
  <si>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400m×12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 65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R200m</t>
    </r>
  </si>
  <si>
    <t xml:space="preserve">9/1</t>
  </si>
  <si>
    <r>
      <rPr>
        <sz val="10"/>
        <rFont val="Arial"/>
        <family val="0"/>
        <charset val="1"/>
      </rPr>
      <t xml:space="preserve">CC21km+3000m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 8:50</t>
    </r>
    <r>
      <rPr>
        <sz val="10"/>
        <rFont val="WenQuanYi Zen Hei"/>
        <family val="2"/>
      </rPr>
      <t xml:space="preserve">）</t>
    </r>
  </si>
  <si>
    <t xml:space="preserve">A2 90%</t>
  </si>
  <si>
    <t xml:space="preserve">9/4</t>
  </si>
  <si>
    <t xml:space="preserve">A1 30%</t>
  </si>
  <si>
    <r>
      <rPr>
        <b val="true"/>
        <sz val="11"/>
        <color rgb="FF1E5945"/>
        <rFont val="Arial"/>
        <family val="0"/>
        <charset val="1"/>
      </rPr>
      <t xml:space="preserve">3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9/13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9/21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</si>
  <si>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9/14</t>
  </si>
  <si>
    <r>
      <rPr>
        <sz val="10"/>
        <rFont val="Arial"/>
        <family val="0"/>
        <charset val="1"/>
      </rPr>
      <t xml:space="preserve">25km(30km)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3:42→3:30</t>
    </r>
    <r>
      <rPr>
        <sz val="10"/>
        <rFont val="WenQuanYi Zen Hei"/>
        <family val="2"/>
      </rPr>
      <t xml:space="preserve">）</t>
    </r>
  </si>
  <si>
    <t xml:space="preserve">A1(21km) 70%</t>
  </si>
  <si>
    <r>
      <rPr>
        <sz val="10"/>
        <rFont val="Arial"/>
        <family val="0"/>
        <charset val="1"/>
      </rPr>
      <t xml:space="preserve">400m×12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 64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B2 65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R200m</t>
    </r>
  </si>
  <si>
    <t xml:space="preserve">9/18</t>
  </si>
  <si>
    <r>
      <rPr>
        <sz val="10"/>
        <rFont val="Arial"/>
        <family val="0"/>
        <charset val="1"/>
      </rPr>
      <t xml:space="preserve">1000m×2+12000m+200m×5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2:40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3:20→3:10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30-28</t>
    </r>
    <r>
      <rPr>
        <sz val="10"/>
        <rFont val="WenQuanYi Zen Hei"/>
        <family val="2"/>
      </rPr>
      <t xml:space="preserve">）</t>
    </r>
  </si>
  <si>
    <t xml:space="preserve">9/21</t>
  </si>
  <si>
    <r>
      <rPr>
        <sz val="10"/>
        <rFont val="Arial"/>
        <family val="0"/>
        <charset val="1"/>
      </rPr>
      <t xml:space="preserve">3000m+8000m</t>
    </r>
    <r>
      <rPr>
        <sz val="10"/>
        <rFont val="WenQuanYi Zen Hei"/>
        <family val="2"/>
      </rPr>
      <t xml:space="preserve">ビルドアップ</t>
    </r>
    <r>
      <rPr>
        <sz val="10"/>
        <rFont val="Arial"/>
        <family val="0"/>
        <charset val="1"/>
      </rPr>
      <t xml:space="preserve">+1000m+400m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 8:25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3:30→2:50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2:45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）</t>
    </r>
  </si>
  <si>
    <r>
      <rPr>
        <b val="true"/>
        <sz val="14"/>
        <color rgb="FF1E5945"/>
        <rFont val="Arial"/>
        <family val="0"/>
        <charset val="1"/>
      </rPr>
      <t xml:space="preserve">2025</t>
    </r>
    <r>
      <rPr>
        <b val="true"/>
        <sz val="14"/>
        <color rgb="FF1E5945"/>
        <rFont val="WenQuanYi Zen Hei"/>
        <family val="2"/>
      </rPr>
      <t xml:space="preserve">年 夏合宿ポイント練習：出雲メンバー</t>
    </r>
    <r>
      <rPr>
        <b val="true"/>
        <sz val="14"/>
        <color rgb="FF1E5945"/>
        <rFont val="Arial"/>
        <family val="0"/>
        <charset val="1"/>
      </rPr>
      <t xml:space="preserve">6</t>
    </r>
    <r>
      <rPr>
        <b val="true"/>
        <sz val="14"/>
        <color rgb="FF1E5945"/>
        <rFont val="WenQuanYi Zen Hei"/>
        <family val="2"/>
      </rPr>
      <t xml:space="preserve">人の組・消化率</t>
    </r>
  </si>
  <si>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小河原陽琉／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折田壮太／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飯田翔大／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神邑亮佑／</t>
    </r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塩出翔太／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黒田朝日</t>
    </r>
  </si>
  <si>
    <r>
      <rPr>
        <b val="true"/>
        <sz val="11"/>
        <color rgb="FF1E5945"/>
        <rFont val="Arial"/>
        <family val="0"/>
        <charset val="1"/>
      </rPr>
      <t xml:space="preserve">1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8/1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8/19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</si>
  <si>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小河原</t>
  </si>
  <si>
    <t xml:space="preserve">折田</t>
  </si>
  <si>
    <t xml:space="preserve">飯田</t>
  </si>
  <si>
    <t xml:space="preserve">神邑</t>
  </si>
  <si>
    <t xml:space="preserve">塩出</t>
  </si>
  <si>
    <r>
      <rPr>
        <sz val="10"/>
        <rFont val="Arial"/>
        <family val="0"/>
        <charset val="1"/>
      </rPr>
      <t xml:space="preserve">25km </t>
    </r>
    <r>
      <rPr>
        <sz val="10"/>
        <rFont val="WenQuanYi Zen Hei"/>
        <family val="2"/>
      </rPr>
      <t xml:space="preserve">中</t>
    </r>
    <r>
      <rPr>
        <sz val="10"/>
        <rFont val="Arial"/>
        <family val="0"/>
        <charset val="1"/>
      </rPr>
      <t xml:space="preserve">×4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</t>
    </r>
  </si>
  <si>
    <t xml:space="preserve">10:44/1:13:50 100%</t>
  </si>
  <si>
    <t xml:space="preserve">11:31/1:14:37 100%</t>
  </si>
  <si>
    <t xml:space="preserve">10:31/1:13:37 100%</t>
  </si>
  <si>
    <t xml:space="preserve">10:54/1:14:00 100%</t>
  </si>
  <si>
    <t xml:space="preserve">10:58/1:14:04 100%</t>
  </si>
  <si>
    <t xml:space="preserve">9:41/1:12:47 100%</t>
  </si>
  <si>
    <t xml:space="preserve">11:36/1:14:48 100%</t>
  </si>
  <si>
    <t xml:space="preserve">11:26/1:14:38 100%</t>
  </si>
  <si>
    <t xml:space="preserve">10:39/1:13:51 100%</t>
  </si>
  <si>
    <t xml:space="preserve">11:04/1:14:16 100%</t>
  </si>
  <si>
    <t xml:space="preserve">9:58/1:13:10 100%</t>
  </si>
  <si>
    <t xml:space="preserve">最終盤</t>
  </si>
  <si>
    <r>
      <rPr>
        <sz val="10"/>
        <rFont val="Arial"/>
        <family val="0"/>
        <charset val="1"/>
      </rPr>
      <t xml:space="preserve">42.195km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時間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分前後）</t>
    </r>
  </si>
  <si>
    <r>
      <rPr>
        <b val="true"/>
        <sz val="11"/>
        <color rgb="FF1E5945"/>
        <rFont val="Arial"/>
        <family val="0"/>
        <charset val="1"/>
      </rPr>
      <t xml:space="preserve">2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8/26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9/4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</si>
  <si>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—</t>
  </si>
  <si>
    <r>
      <rPr>
        <sz val="10"/>
        <rFont val="Arial"/>
        <family val="0"/>
        <charset val="1"/>
      </rPr>
      <t xml:space="preserve">CC16km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3:30</t>
    </r>
    <r>
      <rPr>
        <sz val="10"/>
        <rFont val="WenQuanYi Zen Hei"/>
        <family val="2"/>
      </rPr>
      <t xml:space="preserve">）</t>
    </r>
  </si>
  <si>
    <t xml:space="preserve">C 100%</t>
  </si>
  <si>
    <r>
      <rPr>
        <sz val="10"/>
        <rFont val="Arial"/>
        <family val="0"/>
        <charset val="1"/>
      </rPr>
      <t xml:space="preserve">1000m×2+8000m+200m×5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2:45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3:20→3:10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</si>
  <si>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CC30km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3:42→3:36→3:30</t>
    </r>
    <r>
      <rPr>
        <sz val="10"/>
        <rFont val="WenQuanYi Zen Hei"/>
        <family val="2"/>
      </rPr>
      <t xml:space="preserve">）※飯田は別メニューの</t>
    </r>
    <r>
      <rPr>
        <sz val="10"/>
        <rFont val="Arial"/>
        <family val="0"/>
        <charset val="1"/>
      </rPr>
      <t xml:space="preserve">CC30km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</t>
    </r>
  </si>
  <si>
    <t xml:space="preserve">9/3</t>
  </si>
  <si>
    <r>
      <rPr>
        <sz val="10"/>
        <rFont val="Arial"/>
        <family val="0"/>
        <charset val="1"/>
      </rPr>
      <t xml:space="preserve">400m×12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R200m</t>
    </r>
  </si>
  <si>
    <r>
      <rPr>
        <b val="true"/>
        <sz val="11"/>
        <color rgb="FF1E5945"/>
        <rFont val="Arial"/>
        <family val="0"/>
        <charset val="1"/>
      </rPr>
      <t xml:space="preserve">3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9/12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9/20</t>
    </r>
    <r>
      <rPr>
        <b val="true"/>
        <sz val="11"/>
        <color rgb="FF1E5945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</si>
  <si>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1:45</t>
    </r>
    <r>
      <rPr>
        <sz val="10"/>
        <rFont val="WenQuanYi Zen Hei"/>
        <family val="2"/>
      </rPr>
      <t xml:space="preserve">目安）</t>
    </r>
  </si>
  <si>
    <r>
      <rPr>
        <sz val="10"/>
        <rFont val="Arial"/>
        <family val="0"/>
        <charset val="1"/>
      </rPr>
      <t xml:space="preserve">(1200m+800m+400m)×3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A,B 64</t>
    </r>
    <r>
      <rPr>
        <sz val="10"/>
        <rFont val="WenQuanYi Zen Hei"/>
        <family val="2"/>
      </rPr>
      <t xml:space="preserve">）</t>
    </r>
  </si>
  <si>
    <t xml:space="preserve">9/20</t>
  </si>
  <si>
    <r>
      <rPr>
        <sz val="10"/>
        <rFont val="Arial"/>
        <family val="0"/>
        <charset val="1"/>
      </rPr>
      <t xml:space="preserve">400m×12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R200m</t>
    </r>
  </si>
  <si>
    <r>
      <rPr>
        <b val="true"/>
        <sz val="14"/>
        <color rgb="FF1E5945"/>
        <rFont val="Arial"/>
        <family val="0"/>
        <charset val="1"/>
      </rPr>
      <t xml:space="preserve">2026</t>
    </r>
    <r>
      <rPr>
        <b val="true"/>
        <sz val="14"/>
        <color rgb="FF1E5945"/>
        <rFont val="WenQuanYi Zen Hei"/>
        <family val="2"/>
      </rPr>
      <t xml:space="preserve">年 夏合宿ポイント練習：出雲メンバー</t>
    </r>
    <r>
      <rPr>
        <b val="true"/>
        <sz val="14"/>
        <color rgb="FF1E5945"/>
        <rFont val="Arial"/>
        <family val="0"/>
        <charset val="1"/>
      </rPr>
      <t xml:space="preserve">6</t>
    </r>
    <r>
      <rPr>
        <b val="true"/>
        <sz val="14"/>
        <color rgb="FF1E5945"/>
        <rFont val="WenQuanYi Zen Hei"/>
        <family val="2"/>
      </rPr>
      <t xml:space="preserve">人の組・消化率</t>
    </r>
  </si>
  <si>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Arial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石川浩輝／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鳥井健太／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飯田翔大／</t>
    </r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小河原陽琉／</t>
    </r>
    <r>
      <rPr>
        <b val="true"/>
        <sz val="10"/>
        <rFont val="Arial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黒田然／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前川竜之将</t>
    </r>
  </si>
  <si>
    <r>
      <rPr>
        <b val="true"/>
        <sz val="11"/>
        <color rgb="FF1E5945"/>
        <rFont val="Arial"/>
        <family val="0"/>
        <charset val="1"/>
      </rPr>
      <t xml:space="preserve">1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8/2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8/19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</si>
  <si>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石川</t>
  </si>
  <si>
    <t xml:space="preserve">前川</t>
  </si>
  <si>
    <t xml:space="preserve">8/6</t>
  </si>
  <si>
    <r>
      <rPr>
        <sz val="10"/>
        <rFont val="Arial"/>
        <family val="0"/>
        <charset val="1"/>
      </rPr>
      <t xml:space="preserve">CC25km</t>
    </r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(485m×6+1003m×2+2000m)×3+485m×6+1003m</t>
    </r>
    <r>
      <rPr>
        <sz val="10"/>
        <rFont val="WenQuanYi Zen Hei"/>
        <family val="2"/>
      </rPr>
      <t xml:space="preserve">】（</t>
    </r>
    <r>
      <rPr>
        <sz val="10"/>
        <rFont val="Arial"/>
        <family val="0"/>
        <charset val="1"/>
      </rPr>
      <t xml:space="preserve">3:42→3:36→3:30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</si>
  <si>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CC21km(</t>
    </r>
    <r>
      <rPr>
        <sz val="10"/>
        <rFont val="WenQuanYi Zen Hei"/>
        <family val="2"/>
      </rPr>
      <t xml:space="preserve">山の家</t>
    </r>
    <r>
      <rPr>
        <sz val="10"/>
        <rFont val="Arial"/>
        <family val="0"/>
        <charset val="1"/>
      </rPr>
      <t xml:space="preserve">) 11:19/1:11:34 100%</t>
    </r>
  </si>
  <si>
    <r>
      <rPr>
        <sz val="10"/>
        <rFont val="Arial"/>
        <family val="0"/>
        <charset val="1"/>
      </rPr>
      <t xml:space="preserve">A(</t>
    </r>
    <r>
      <rPr>
        <sz val="10"/>
        <rFont val="WenQuanYi Zen Hei"/>
        <family val="2"/>
      </rPr>
      <t xml:space="preserve">中</t>
    </r>
    <r>
      <rPr>
        <sz val="10"/>
        <rFont val="Arial"/>
        <family val="0"/>
        <charset val="1"/>
      </rPr>
      <t xml:space="preserve">×3) 70%</t>
    </r>
  </si>
  <si>
    <r>
      <rPr>
        <sz val="10"/>
        <rFont val="Arial"/>
        <family val="0"/>
        <charset val="1"/>
      </rPr>
      <t xml:space="preserve">21km</t>
    </r>
    <r>
      <rPr>
        <sz val="10"/>
        <rFont val="WenQuanYi Zen Hei"/>
        <family val="2"/>
      </rPr>
      <t xml:space="preserve">坂</t>
    </r>
    <r>
      <rPr>
        <sz val="10"/>
        <rFont val="Arial"/>
        <family val="0"/>
        <charset val="1"/>
      </rPr>
      <t xml:space="preserve">PTT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</t>
    </r>
    <r>
      <rPr>
        <sz val="10"/>
        <rFont val="WenQuanYi Zen Hei"/>
        <family val="2"/>
      </rPr>
      <t xml:space="preserve">）</t>
    </r>
  </si>
  <si>
    <t xml:space="preserve">10:37/1:13:09 100%</t>
  </si>
  <si>
    <t xml:space="preserve">10:10/1:12:42 100%</t>
  </si>
  <si>
    <t xml:space="preserve">10:26/1:12:58 100%</t>
  </si>
  <si>
    <t xml:space="preserve">10:50/1:13:22 100%</t>
  </si>
  <si>
    <t xml:space="preserve">10:23/1:12:55 100%</t>
  </si>
  <si>
    <t xml:space="preserve">11:02/1:13:34 100%</t>
  </si>
  <si>
    <r>
      <rPr>
        <sz val="10"/>
        <rFont val="Arial"/>
        <family val="0"/>
        <charset val="1"/>
      </rPr>
      <t xml:space="preserve">30km </t>
    </r>
    <r>
      <rPr>
        <sz val="10"/>
        <rFont val="WenQuanYi Zen Hei"/>
        <family val="2"/>
      </rPr>
      <t xml:space="preserve">中</t>
    </r>
    <r>
      <rPr>
        <sz val="10"/>
        <rFont val="Arial"/>
        <family val="0"/>
        <charset val="1"/>
      </rPr>
      <t xml:space="preserve">×4+5km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</t>
    </r>
  </si>
  <si>
    <t xml:space="preserve">8/16</t>
  </si>
  <si>
    <r>
      <rPr>
        <sz val="10"/>
        <rFont val="Arial"/>
        <family val="0"/>
        <charset val="1"/>
      </rPr>
      <t xml:space="preserve">21km</t>
    </r>
    <r>
      <rPr>
        <sz val="10"/>
        <rFont val="WenQuanYi Zen Hei"/>
        <family val="2"/>
      </rPr>
      <t xml:space="preserve">坂</t>
    </r>
    <r>
      <rPr>
        <sz val="10"/>
        <rFont val="Arial"/>
        <family val="0"/>
        <charset val="1"/>
      </rPr>
      <t xml:space="preserve">PTT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</t>
    </r>
    <r>
      <rPr>
        <sz val="10"/>
        <rFont val="WenQuanYi Zen Hei"/>
        <family val="2"/>
      </rPr>
      <t xml:space="preserve">通し）</t>
    </r>
  </si>
  <si>
    <t xml:space="preserve">10:01/1:12:39 100%</t>
  </si>
  <si>
    <t xml:space="preserve">10:20/1:12:58 100%</t>
  </si>
  <si>
    <t xml:space="preserve">10:55/1:13:33 100%</t>
  </si>
  <si>
    <t xml:space="preserve">10:09/1:12:47 100%</t>
  </si>
  <si>
    <t xml:space="preserve">11:43/1:14:21 100%</t>
  </si>
  <si>
    <t xml:space="preserve">8/29</t>
  </si>
  <si>
    <r>
      <rPr>
        <sz val="10"/>
        <rFont val="Arial"/>
        <family val="0"/>
        <charset val="1"/>
      </rPr>
      <t xml:space="preserve">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3:36→3:30</t>
    </r>
    <r>
      <rPr>
        <sz val="10"/>
        <rFont val="WenQuanYi Zen Hei"/>
        <family val="2"/>
      </rPr>
      <t xml:space="preserve">）</t>
    </r>
  </si>
  <si>
    <t xml:space="preserve">8/31</t>
  </si>
  <si>
    <r>
      <rPr>
        <sz val="10"/>
        <rFont val="Arial"/>
        <family val="0"/>
        <charset val="1"/>
      </rPr>
      <t xml:space="preserve">2km×4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5:40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R2:00</t>
    </r>
  </si>
  <si>
    <r>
      <rPr>
        <sz val="10"/>
        <rFont val="Arial"/>
        <family val="0"/>
        <charset val="1"/>
      </rPr>
      <t xml:space="preserve">3000m+12000m</t>
    </r>
    <r>
      <rPr>
        <sz val="10"/>
        <rFont val="WenQuanYi Zen Hei"/>
        <family val="2"/>
      </rPr>
      <t xml:space="preserve">ビルドアップ（</t>
    </r>
    <r>
      <rPr>
        <sz val="10"/>
        <rFont val="Arial"/>
        <family val="0"/>
        <charset val="1"/>
      </rPr>
      <t xml:space="preserve">8:20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3:30→2:55→</t>
    </r>
    <r>
      <rPr>
        <sz val="10"/>
        <rFont val="WenQuanYi Zen Hei"/>
        <family val="2"/>
      </rPr>
      <t xml:space="preserve">フリー）</t>
    </r>
  </si>
  <si>
    <t xml:space="preserve">2:49.0 100%</t>
  </si>
  <si>
    <t xml:space="preserve">2:35.3 100%</t>
  </si>
  <si>
    <t xml:space="preserve">2:37.2 100%</t>
  </si>
  <si>
    <t xml:space="preserve">2:33.2 100%</t>
  </si>
  <si>
    <t xml:space="preserve">2:39.1 100%</t>
  </si>
  <si>
    <t xml:space="preserve">2:45.4 100%</t>
  </si>
  <si>
    <r>
      <rPr>
        <sz val="10"/>
        <rFont val="Arial"/>
        <family val="0"/>
        <charset val="1"/>
      </rPr>
      <t xml:space="preserve">21km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3:30</t>
    </r>
    <r>
      <rPr>
        <sz val="10"/>
        <rFont val="WenQuanYi Zen Hei"/>
        <family val="2"/>
      </rPr>
      <t xml:space="preserve">）</t>
    </r>
  </si>
  <si>
    <r>
      <rPr>
        <b val="true"/>
        <sz val="11"/>
        <color rgb="FF1E5945"/>
        <rFont val="Arial"/>
        <family val="0"/>
        <charset val="1"/>
      </rPr>
      <t xml:space="preserve">3</t>
    </r>
    <r>
      <rPr>
        <b val="true"/>
        <sz val="11"/>
        <color rgb="FF1E5945"/>
        <rFont val="WenQuanYi Zen Hei"/>
        <family val="2"/>
      </rPr>
      <t xml:space="preserve">次合宿（</t>
    </r>
    <r>
      <rPr>
        <b val="true"/>
        <sz val="11"/>
        <color rgb="FF1E5945"/>
        <rFont val="Arial"/>
        <family val="0"/>
        <charset val="1"/>
      </rPr>
      <t xml:space="preserve">9/16</t>
    </r>
    <r>
      <rPr>
        <b val="true"/>
        <sz val="11"/>
        <color rgb="FF1E5945"/>
        <rFont val="WenQuanYi Zen Hei"/>
        <family val="2"/>
      </rPr>
      <t xml:space="preserve">〜</t>
    </r>
    <r>
      <rPr>
        <b val="true"/>
        <sz val="11"/>
        <color rgb="FF1E5945"/>
        <rFont val="Arial"/>
        <family val="0"/>
        <charset val="1"/>
      </rPr>
      <t xml:space="preserve">9/23</t>
    </r>
    <r>
      <rPr>
        <b val="true"/>
        <sz val="11"/>
        <color rgb="FF1E5945"/>
        <rFont val="WenQuanYi Zen Hei"/>
        <family val="2"/>
      </rPr>
      <t xml:space="preserve">）</t>
    </r>
  </si>
  <si>
    <t xml:space="preserve">9/16</t>
  </si>
  <si>
    <r>
      <rPr>
        <sz val="10"/>
        <rFont val="Arial"/>
        <family val="0"/>
        <charset val="1"/>
      </rPr>
      <t xml:space="preserve">30km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1:45:00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</si>
  <si>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1000m×2+12000m+200m×5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2:40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3:20→3:10</t>
    </r>
    <r>
      <rPr>
        <sz val="10"/>
        <rFont val="WenQuanYi Zen Hei"/>
        <family val="2"/>
      </rPr>
      <t xml:space="preserve">）</t>
    </r>
  </si>
  <si>
    <t xml:space="preserve">A/A1' 100%</t>
  </si>
  <si>
    <t xml:space="preserve">A/A2' 100%</t>
  </si>
  <si>
    <r>
      <rPr>
        <sz val="10"/>
        <rFont val="Arial"/>
        <family val="0"/>
        <charset val="1"/>
      </rPr>
      <t xml:space="preserve">3000m×4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8:30-8:40-8:40-8:30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R600m</t>
    </r>
  </si>
  <si>
    <t xml:space="preserve">A 90%</t>
  </si>
  <si>
    <t xml:space="preserve">9/23</t>
  </si>
  <si>
    <r>
      <rPr>
        <sz val="10"/>
        <rFont val="Arial"/>
        <family val="0"/>
        <charset val="1"/>
      </rPr>
      <t xml:space="preserve">400m×6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R100m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</si>
</sst>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\+0.0;\-0.0;0"/>
    <numFmt numFmtId="167" formatCode="[m]:ss.0"/>
    <numFmt numFmtId="168" formatCode="\+0.0%;\-0.0%"/>
    <numFmt numFmtId="169" formatCode="0.0"/>
    <numFmt numFmtId="170" formatCode="0%"/>
    <numFmt numFmtId="171" formatCode="0.0%"/>
    <numFmt numFmtId="172" formatCode="0.00"/>
    <numFmt numFmtId="173" formatCode="m/d"/>
    <numFmt numFmtId="174" formatCode="[m]:ss"/>
    <numFmt numFmtId="175" formatCode="[m]:ss.00"/>
    <numFmt numFmtId="176" formatCode="\+0.0%;\-0.0%;0.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5945"/>
      <name val="WenQuanYi Zen Hei"/>
      <family val="2"/>
    </font>
    <font>
      <b val="true"/>
      <sz val="16"/>
      <color rgb="FF1E5945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2"/>
      <color rgb="FF1E5945"/>
      <name val="WenQuanYi Zen Hei"/>
      <family val="2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4"/>
      <color rgb="FF1E5945"/>
      <name val="WenQuanYi Zen Hei"/>
      <family val="2"/>
    </font>
    <font>
      <b val="true"/>
      <sz val="14"/>
      <color rgb="FF1E5945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5945"/>
      <name val="WenQuanYi Zen Hei"/>
      <family val="2"/>
    </font>
    <font>
      <b val="true"/>
      <sz val="11"/>
      <color rgb="FF1E5945"/>
      <name val="Arial"/>
      <family val="0"/>
      <charset val="1"/>
    </font>
    <font>
      <sz val="10"/>
      <name val="Arial"/>
      <family val="2"/>
    </font>
    <font>
      <sz val="10"/>
      <color rgb="FF0000FF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1E5945"/>
        <bgColor rgb="FF595959"/>
      </patternFill>
    </fill>
    <fill>
      <patternFill patternType="solid">
        <fgColor rgb="FFE8F1EC"/>
        <bgColor rgb="FFFCE4D6"/>
      </patternFill>
    </fill>
    <fill>
      <patternFill patternType="solid">
        <fgColor rgb="FFFCE4D6"/>
        <bgColor rgb="FFE8F1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8">
    <dxf>
      <fill>
        <patternFill patternType="solid">
          <fgColor rgb="FF1E5945"/>
          <bgColor rgb="FF000000"/>
        </patternFill>
      </fill>
    </dxf>
    <dxf>
      <fill>
        <patternFill patternType="solid">
          <fgColor rgb="FFE8F1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395"/>
          <bgColor rgb="FF000000"/>
        </patternFill>
      </fill>
    </dxf>
    <dxf>
      <fill>
        <patternFill patternType="solid">
          <fgColor rgb="FFFB9EA0"/>
          <bgColor rgb="FF000000"/>
        </patternFill>
      </fill>
    </dxf>
    <dxf>
      <fill>
        <patternFill patternType="solid">
          <fgColor rgb="FFFBA0A1"/>
          <bgColor rgb="FF000000"/>
        </patternFill>
      </fill>
    </dxf>
    <dxf>
      <fill>
        <patternFill patternType="solid">
          <fgColor rgb="FFFCACAD"/>
          <bgColor rgb="FF000000"/>
        </patternFill>
      </fill>
    </dxf>
    <dxf>
      <fill>
        <patternFill patternType="solid">
          <fgColor rgb="FFFCB2B3"/>
          <bgColor rgb="FF000000"/>
        </patternFill>
      </fill>
    </dxf>
    <dxf>
      <fill>
        <patternFill patternType="solid">
          <fgColor rgb="FFFCB5B6"/>
          <bgColor rgb="FF000000"/>
        </patternFill>
      </fill>
    </dxf>
    <dxf>
      <fill>
        <patternFill patternType="solid">
          <fgColor rgb="FFFCBDBE"/>
          <bgColor rgb="FF000000"/>
        </patternFill>
      </fill>
    </dxf>
    <dxf>
      <fill>
        <patternFill patternType="solid">
          <fgColor rgb="FFFDD2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4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BDC"/>
          <bgColor rgb="FF000000"/>
        </patternFill>
      </fill>
    </dxf>
    <dxf>
      <fill>
        <patternFill patternType="solid">
          <fgColor rgb="FFFEDCDD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F0F1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87D"/>
          <bgColor rgb="FF000000"/>
        </patternFill>
      </fill>
    </dxf>
    <dxf>
      <fill>
        <patternFill patternType="solid">
          <fgColor rgb="FFA5D17E"/>
          <bgColor rgb="FF000000"/>
        </patternFill>
      </fill>
    </dxf>
    <dxf>
      <fill>
        <patternFill patternType="solid">
          <fgColor rgb="FFA7D17E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B0D47F"/>
          <bgColor rgb="FF000000"/>
        </patternFill>
      </fill>
    </dxf>
    <dxf>
      <fill>
        <patternFill patternType="solid">
          <fgColor rgb="FFBED880"/>
          <bgColor rgb="FF000000"/>
        </patternFill>
      </fill>
    </dxf>
    <dxf>
      <fill>
        <patternFill patternType="solid">
          <fgColor rgb="FFC4DA80"/>
          <bgColor rgb="FF000000"/>
        </patternFill>
      </fill>
    </dxf>
    <dxf>
      <fill>
        <patternFill patternType="solid">
          <fgColor rgb="FFD4DE81"/>
          <bgColor rgb="FF000000"/>
        </patternFill>
      </fill>
    </dxf>
    <dxf>
      <fill>
        <patternFill patternType="solid">
          <fgColor rgb="FFE4E382"/>
          <bgColor rgb="FF000000"/>
        </patternFill>
      </fill>
    </dxf>
    <dxf>
      <fill>
        <patternFill patternType="solid">
          <fgColor rgb="FFEBE582"/>
          <bgColor rgb="FF000000"/>
        </patternFill>
      </fill>
    </dxf>
    <dxf>
      <fill>
        <patternFill patternType="solid">
          <fgColor rgb="FFECE582"/>
          <bgColor rgb="FF000000"/>
        </patternFill>
      </fill>
    </dxf>
    <dxf>
      <fill>
        <patternFill patternType="solid">
          <fgColor rgb="FFF4E783"/>
          <bgColor rgb="FF000000"/>
        </patternFill>
      </fill>
    </dxf>
    <dxf>
      <fill>
        <patternFill patternType="solid">
          <fgColor rgb="FFF9716D"/>
          <bgColor rgb="FF000000"/>
        </patternFill>
      </fill>
    </dxf>
    <dxf>
      <fill>
        <patternFill patternType="solid">
          <fgColor rgb="FFFA8871"/>
          <bgColor rgb="FF000000"/>
        </patternFill>
      </fill>
    </dxf>
    <dxf>
      <fill>
        <patternFill patternType="solid">
          <fgColor rgb="FFFB9D75"/>
          <bgColor rgb="FF000000"/>
        </patternFill>
      </fill>
    </dxf>
    <dxf>
      <fill>
        <patternFill patternType="solid">
          <fgColor rgb="FFFCA176"/>
          <bgColor rgb="FF000000"/>
        </patternFill>
      </fill>
    </dxf>
    <dxf>
      <fill>
        <patternFill patternType="solid">
          <fgColor rgb="FFFCA377"/>
          <bgColor rgb="FF000000"/>
        </patternFill>
      </fill>
    </dxf>
    <dxf>
      <fill>
        <patternFill patternType="solid">
          <fgColor rgb="FFFCA677"/>
          <bgColor rgb="FF000000"/>
        </patternFill>
      </fill>
    </dxf>
    <dxf>
      <fill>
        <patternFill patternType="solid">
          <fgColor rgb="FFFCA978"/>
          <bgColor rgb="FF000000"/>
        </patternFill>
      </fill>
    </dxf>
    <dxf>
      <fill>
        <patternFill patternType="solid">
          <fgColor rgb="FFFDB97B"/>
          <bgColor rgb="FF000000"/>
        </patternFill>
      </fill>
    </dxf>
    <dxf>
      <fill>
        <patternFill patternType="solid">
          <fgColor rgb="FFFDC67D"/>
          <bgColor rgb="FF000000"/>
        </patternFill>
      </fill>
    </dxf>
    <dxf>
      <fill>
        <patternFill patternType="solid">
          <fgColor rgb="FFFDEA83"/>
          <bgColor rgb="FF000000"/>
        </patternFill>
      </fill>
    </dxf>
    <dxf>
      <fill>
        <patternFill patternType="solid">
          <fgColor rgb="FFFED07F"/>
          <bgColor rgb="FF000000"/>
        </patternFill>
      </fill>
    </dxf>
    <dxf>
      <fill>
        <patternFill patternType="solid">
          <fgColor rgb="FFFED17F"/>
          <bgColor rgb="FF000000"/>
        </patternFill>
      </fill>
    </dxf>
    <dxf>
      <fill>
        <patternFill patternType="solid">
          <fgColor rgb="FFFED380"/>
          <bgColor rgb="FF000000"/>
        </patternFill>
      </fill>
    </dxf>
    <dxf>
      <fill>
        <patternFill patternType="solid">
          <fgColor rgb="FFFED881"/>
          <bgColor rgb="FF000000"/>
        </patternFill>
      </fill>
    </dxf>
    <dxf>
      <font>
        <name val="Arial"/>
        <charset val="1"/>
        <family val="0"/>
        <b val="1"/>
        <color rgb="FF1E5945"/>
      </font>
    </dxf>
    <dxf>
      <fill>
        <patternFill patternType="solid">
          <fgColor rgb="FF6BC17C"/>
          <bgColor rgb="FF000000"/>
        </patternFill>
      </fill>
    </dxf>
    <dxf>
      <fill>
        <patternFill patternType="solid">
          <fgColor rgb="FF81C77D"/>
          <bgColor rgb="FF000000"/>
        </patternFill>
      </fill>
    </dxf>
    <dxf>
      <fill>
        <patternFill patternType="solid">
          <fgColor rgb="FF83C87D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9FD07F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4D17F"/>
          <bgColor rgb="FF000000"/>
        </patternFill>
      </fill>
    </dxf>
    <dxf>
      <fill>
        <patternFill patternType="solid">
          <fgColor rgb="FFACD380"/>
          <bgColor rgb="FF000000"/>
        </patternFill>
      </fill>
    </dxf>
    <dxf>
      <fill>
        <patternFill patternType="solid">
          <fgColor rgb="FFB5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2E383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706C"/>
          <bgColor rgb="FF000000"/>
        </patternFill>
      </fill>
    </dxf>
    <dxf>
      <fill>
        <patternFill patternType="solid">
          <fgColor rgb="FFF8786E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97B6E"/>
          <bgColor rgb="FF000000"/>
        </patternFill>
      </fill>
    </dxf>
    <dxf>
      <fill>
        <patternFill patternType="solid">
          <fgColor rgb="FFF98470"/>
          <bgColor rgb="FF000000"/>
        </patternFill>
      </fill>
    </dxf>
    <dxf>
      <fill>
        <patternFill patternType="solid">
          <fgColor rgb="FFF98871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773"/>
          <bgColor rgb="FF000000"/>
        </patternFill>
      </fill>
    </dxf>
    <dxf>
      <fill>
        <patternFill patternType="solid">
          <fgColor rgb="FFFA9974"/>
          <bgColor rgb="FF000000"/>
        </patternFill>
      </fill>
    </dxf>
    <dxf>
      <fill>
        <patternFill patternType="solid">
          <fgColor rgb="FFFA9B74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FBA075"/>
          <bgColor rgb="FF000000"/>
        </patternFill>
      </fill>
    </dxf>
    <dxf>
      <fill>
        <patternFill patternType="solid">
          <fgColor rgb="FFFBA376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A877"/>
          <bgColor rgb="FF000000"/>
        </patternFill>
      </fill>
    </dxf>
    <dxf>
      <fill>
        <patternFill patternType="solid">
          <fgColor rgb="FFFBAD78"/>
          <bgColor rgb="FF000000"/>
        </patternFill>
      </fill>
    </dxf>
    <dxf>
      <fill>
        <patternFill patternType="solid">
          <fgColor rgb="FFFBAF78"/>
          <bgColor rgb="FF000000"/>
        </patternFill>
      </fill>
    </dxf>
    <dxf>
      <fill>
        <patternFill patternType="solid">
          <fgColor rgb="FFFCB379"/>
          <bgColor rgb="FF000000"/>
        </patternFill>
      </fill>
    </dxf>
    <dxf>
      <fill>
        <patternFill patternType="solid">
          <fgColor rgb="FFFCB5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C7B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DC57C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ED880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EDD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582"/>
          <bgColor rgb="FF000000"/>
        </patternFill>
      </fill>
    </dxf>
    <dxf>
      <fill>
        <patternFill patternType="solid">
          <fgColor rgb="FF6CC17C"/>
          <bgColor rgb="FF000000"/>
        </patternFill>
      </fill>
    </dxf>
    <dxf>
      <fill>
        <patternFill patternType="solid">
          <fgColor rgb="FF6EC27C"/>
          <bgColor rgb="FF000000"/>
        </patternFill>
      </fill>
    </dxf>
    <dxf>
      <fill>
        <patternFill patternType="solid">
          <fgColor rgb="FF70C27C"/>
          <bgColor rgb="FF000000"/>
        </patternFill>
      </fill>
    </dxf>
    <dxf>
      <fill>
        <patternFill patternType="solid">
          <fgColor rgb="FF78C57D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A7E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98A71"/>
          <bgColor rgb="FF000000"/>
        </patternFill>
      </fill>
    </dxf>
    <dxf>
      <fill>
        <patternFill patternType="solid">
          <fgColor rgb="FFFA8E72"/>
          <bgColor rgb="FF000000"/>
        </patternFill>
      </fill>
    </dxf>
    <dxf>
      <fill>
        <patternFill patternType="solid">
          <fgColor rgb="FFFA9273"/>
          <bgColor rgb="FF000000"/>
        </patternFill>
      </fill>
    </dxf>
    <dxf>
      <fill>
        <patternFill patternType="solid">
          <fgColor rgb="FFFBA576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CBA7A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47F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75C37C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6DF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66BF7C"/>
          <bgColor rgb="FF000000"/>
        </patternFill>
      </fill>
    </dxf>
    <dxf>
      <fill>
        <patternFill patternType="solid">
          <fgColor rgb="FF67C07C"/>
          <bgColor rgb="FF000000"/>
        </patternFill>
      </fill>
    </dxf>
    <dxf>
      <fill>
        <patternFill patternType="solid">
          <fgColor rgb="FF68C07C"/>
          <bgColor rgb="FF000000"/>
        </patternFill>
      </fill>
    </dxf>
    <dxf>
      <fill>
        <patternFill patternType="solid">
          <fgColor rgb="FF69C07C"/>
          <bgColor rgb="FF000000"/>
        </patternFill>
      </fill>
    </dxf>
    <dxf>
      <fill>
        <patternFill patternType="solid">
          <fgColor rgb="FF6DC17C"/>
          <bgColor rgb="FF000000"/>
        </patternFill>
      </fill>
    </dxf>
    <dxf>
      <fill>
        <patternFill patternType="solid">
          <fgColor rgb="FF6FC27C"/>
          <bgColor rgb="FF000000"/>
        </patternFill>
      </fill>
    </dxf>
    <dxf>
      <fill>
        <patternFill patternType="solid">
          <fgColor rgb="FF77C47D"/>
          <bgColor rgb="FF000000"/>
        </patternFill>
      </fill>
    </dxf>
    <dxf>
      <fill>
        <patternFill patternType="solid">
          <fgColor rgb="FF7FC67D"/>
          <bgColor rgb="FF000000"/>
        </patternFill>
      </fill>
    </dxf>
    <dxf>
      <fill>
        <patternFill patternType="solid">
          <fgColor rgb="FF80C77D"/>
          <bgColor rgb="FF000000"/>
        </patternFill>
      </fill>
    </dxf>
    <dxf>
      <fill>
        <patternFill patternType="solid">
          <fgColor rgb="FF82C77D"/>
          <bgColor rgb="FF000000"/>
        </patternFill>
      </fill>
    </dxf>
    <dxf>
      <fill>
        <patternFill patternType="solid">
          <fgColor rgb="FF84C87D"/>
          <bgColor rgb="FF000000"/>
        </patternFill>
      </fill>
    </dxf>
    <dxf>
      <fill>
        <patternFill patternType="solid">
          <fgColor rgb="FF85C87D"/>
          <bgColor rgb="FF000000"/>
        </patternFill>
      </fill>
    </dxf>
    <dxf>
      <fill>
        <patternFill patternType="solid">
          <fgColor rgb="FF86C97E"/>
          <bgColor rgb="FF000000"/>
        </patternFill>
      </fill>
    </dxf>
    <dxf>
      <fill>
        <patternFill patternType="solid">
          <fgColor rgb="FF8AC97E"/>
          <bgColor rgb="FF000000"/>
        </patternFill>
      </fill>
    </dxf>
    <dxf>
      <fill>
        <patternFill patternType="solid">
          <fgColor rgb="FF8BCA7E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3CC7E"/>
          <bgColor rgb="FF000000"/>
        </patternFill>
      </fill>
    </dxf>
    <dxf>
      <fill>
        <patternFill patternType="solid">
          <fgColor rgb="FF96CD7E"/>
          <bgColor rgb="FF000000"/>
        </patternFill>
      </fill>
    </dxf>
    <dxf>
      <fill>
        <patternFill patternType="solid">
          <fgColor rgb="FF9BCE7F"/>
          <bgColor rgb="FF000000"/>
        </patternFill>
      </fill>
    </dxf>
    <dxf>
      <fill>
        <patternFill patternType="solid">
          <fgColor rgb="FF9CCF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0D07F"/>
          <bgColor rgb="FF000000"/>
        </patternFill>
      </fill>
    </dxf>
    <dxf>
      <fill>
        <patternFill patternType="solid">
          <fgColor rgb="FFA1D0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3D17F"/>
          <bgColor rgb="FF000000"/>
        </patternFill>
      </fill>
    </dxf>
    <dxf>
      <fill>
        <patternFill patternType="solid">
          <fgColor rgb="FFA5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DD480"/>
          <bgColor rgb="FF000000"/>
        </patternFill>
      </fill>
    </dxf>
    <dxf>
      <fill>
        <patternFill patternType="solid">
          <fgColor rgb="FFAED4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3DA81"/>
          <bgColor rgb="FF000000"/>
        </patternFill>
      </fill>
    </dxf>
    <dxf>
      <fill>
        <patternFill patternType="solid">
          <fgColor rgb="FFC5DA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7DB81"/>
          <bgColor rgb="FF000000"/>
        </patternFill>
      </fill>
    </dxf>
    <dxf>
      <fill>
        <patternFill patternType="solid">
          <fgColor rgb="FFC8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CDD82"/>
          <bgColor rgb="FF000000"/>
        </patternFill>
      </fill>
    </dxf>
    <dxf>
      <fill>
        <patternFill patternType="solid">
          <fgColor rgb="FFD5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EE283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CE6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8726C"/>
          <bgColor rgb="FF000000"/>
        </patternFill>
      </fill>
    </dxf>
    <dxf>
      <fill>
        <patternFill patternType="solid">
          <fgColor rgb="FFF8766D"/>
          <bgColor rgb="FF000000"/>
        </patternFill>
      </fill>
    </dxf>
    <dxf>
      <fill>
        <patternFill patternType="solid">
          <fgColor rgb="FFF97E6F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E75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B77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679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F7E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783"/>
          <bgColor rgb="FF000000"/>
        </patternFill>
      </fill>
    </dxf>
    <dxf>
      <fill>
        <patternFill patternType="solid">
          <fgColor rgb="FFFEE983"/>
          <bgColor rgb="FF000000"/>
        </patternFill>
      </fill>
    </dxf>
    <dxf>
      <fill>
        <patternFill patternType="solid">
          <fgColor rgb="FFFEEA8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8F1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7FA99B"/>
      <rgbColor rgb="FF003366"/>
      <rgbColor rgb="FF339966"/>
      <rgbColor rgb="FF003300"/>
      <rgbColor rgb="FF333300"/>
      <rgbColor rgb="FF9C5700"/>
      <rgbColor rgb="FF993366"/>
      <rgbColor rgb="FF333399"/>
      <rgbColor rgb="FF1E59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945"/>
    <pageSetUpPr fitToPage="tru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6" t="s">
        <v>7</v>
      </c>
      <c r="B7" s="5" t="s">
        <v>8</v>
      </c>
    </row>
    <row r="8" customFormat="false" ht="15" hidden="false" customHeight="false" outlineLevel="0" collapsed="false">
      <c r="A8" s="6" t="s">
        <v>9</v>
      </c>
      <c r="B8" s="7" t="s">
        <v>10</v>
      </c>
    </row>
    <row r="9" customFormat="false" ht="15" hidden="false" customHeight="false" outlineLevel="0" collapsed="false">
      <c r="A9" s="4" t="s">
        <v>11</v>
      </c>
      <c r="B9" s="7" t="s">
        <v>12</v>
      </c>
    </row>
    <row r="10" customFormat="false" ht="15" hidden="false" customHeight="false" outlineLevel="0" collapsed="false">
      <c r="A10" s="4" t="s">
        <v>13</v>
      </c>
      <c r="B10" s="7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4" t="s">
        <v>17</v>
      </c>
      <c r="B12" s="7" t="s">
        <v>18</v>
      </c>
    </row>
    <row r="14" customFormat="false" ht="15" hidden="false" customHeight="false" outlineLevel="0" collapsed="false">
      <c r="A14" s="3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4" t="s">
        <v>24</v>
      </c>
      <c r="B17" s="5" t="s">
        <v>25</v>
      </c>
    </row>
    <row r="18" customFormat="false" ht="15" hidden="false" customHeight="false" outlineLevel="0" collapsed="false">
      <c r="A18" s="4" t="s">
        <v>26</v>
      </c>
      <c r="B18" s="5" t="s">
        <v>27</v>
      </c>
    </row>
    <row r="19" customFormat="false" ht="15" hidden="false" customHeight="false" outlineLevel="0" collapsed="false">
      <c r="A19" s="4" t="s">
        <v>28</v>
      </c>
      <c r="B19" s="5" t="s">
        <v>29</v>
      </c>
    </row>
    <row r="21" customFormat="false" ht="15" hidden="false" customHeight="false" outlineLevel="0" collapsed="false">
      <c r="A21" s="3" t="s">
        <v>30</v>
      </c>
    </row>
    <row r="22" customFormat="false" ht="15" hidden="false" customHeight="false" outlineLevel="0" collapsed="false">
      <c r="A22" s="8" t="s">
        <v>31</v>
      </c>
      <c r="B22" s="7" t="s">
        <v>32</v>
      </c>
    </row>
    <row r="23" customFormat="false" ht="15" hidden="false" customHeight="false" outlineLevel="0" collapsed="false">
      <c r="A23" s="8" t="s">
        <v>31</v>
      </c>
      <c r="B23" s="5" t="s">
        <v>33</v>
      </c>
    </row>
    <row r="24" customFormat="false" ht="15" hidden="false" customHeight="false" outlineLevel="0" collapsed="false">
      <c r="A24" s="8" t="s">
        <v>31</v>
      </c>
      <c r="B24" s="7" t="s">
        <v>34</v>
      </c>
    </row>
    <row r="25" customFormat="false" ht="26.85" hidden="false" customHeight="false" outlineLevel="0" collapsed="false">
      <c r="A25" s="8" t="s">
        <v>31</v>
      </c>
      <c r="B25" s="7" t="s">
        <v>35</v>
      </c>
    </row>
    <row r="26" customFormat="false" ht="15" hidden="false" customHeight="false" outlineLevel="0" collapsed="false">
      <c r="A26" s="8" t="s">
        <v>31</v>
      </c>
      <c r="B26" s="5" t="s">
        <v>36</v>
      </c>
    </row>
    <row r="28" customFormat="false" ht="15" hidden="false" customHeight="false" outlineLevel="0" collapsed="false">
      <c r="A28" s="3" t="s">
        <v>37</v>
      </c>
    </row>
    <row r="29" customFormat="false" ht="15" hidden="false" customHeight="false" outlineLevel="0" collapsed="false">
      <c r="A29" s="8" t="s">
        <v>31</v>
      </c>
      <c r="B29" s="7" t="s">
        <v>38</v>
      </c>
    </row>
    <row r="30" customFormat="false" ht="15" hidden="false" customHeight="false" outlineLevel="0" collapsed="false">
      <c r="A30" s="8" t="s">
        <v>31</v>
      </c>
      <c r="B30" s="7" t="s">
        <v>39</v>
      </c>
    </row>
    <row r="31" customFormat="false" ht="15" hidden="false" customHeight="false" outlineLevel="0" collapsed="false">
      <c r="A31" s="8" t="s">
        <v>31</v>
      </c>
      <c r="B31" s="7" t="s">
        <v>40</v>
      </c>
    </row>
    <row r="32" customFormat="false" ht="15" hidden="false" customHeight="false" outlineLevel="0" collapsed="false">
      <c r="A32" s="8" t="s">
        <v>31</v>
      </c>
      <c r="B32" s="7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945"/>
    <pageSetUpPr fitToPage="true"/>
  </sheetPr>
  <dimension ref="A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13" min="7" style="0" width="9"/>
    <col collapsed="false" customWidth="true" hidden="false" outlineLevel="0" max="14" min="14" style="0" width="8"/>
    <col collapsed="false" customWidth="true" hidden="false" outlineLevel="0" max="16" min="15" style="0" width="10"/>
    <col collapsed="false" customWidth="true" hidden="false" outlineLevel="0" max="17" min="17" style="0" width="9"/>
  </cols>
  <sheetData>
    <row r="1" customFormat="false" ht="19.4" hidden="false" customHeight="false" outlineLevel="0" collapsed="false">
      <c r="A1" s="9" t="s">
        <v>42</v>
      </c>
    </row>
    <row r="2" customFormat="false" ht="30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4" customFormat="false" ht="48" hidden="false" customHeight="true" outlineLevel="0" collapsed="false">
      <c r="A4" s="11" t="s">
        <v>44</v>
      </c>
      <c r="B4" s="11" t="s">
        <v>45</v>
      </c>
      <c r="C4" s="12" t="s">
        <v>46</v>
      </c>
      <c r="D4" s="12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2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2" t="s">
        <v>57</v>
      </c>
      <c r="O4" s="12" t="s">
        <v>58</v>
      </c>
      <c r="P4" s="11" t="s">
        <v>59</v>
      </c>
      <c r="Q4" s="12" t="s">
        <v>60</v>
      </c>
    </row>
    <row r="5" customFormat="false" ht="15" hidden="false" customHeight="false" outlineLevel="0" collapsed="false">
      <c r="A5" s="13" t="s">
        <v>61</v>
      </c>
      <c r="B5" s="14" t="n">
        <v>4</v>
      </c>
      <c r="C5" s="15" t="n">
        <f aca="false">IFERROR(AVERAGEIFS(出雲区間記録!$M$5:$M$34,出雲区間記録!$A$5:$A$34,A5,出雲区間記録!$B$5:$B$34,"&lt;6"),"")</f>
        <v>17.26</v>
      </c>
      <c r="D5" s="15" t="n">
        <f aca="false">IFERROR(AVERAGEIFS(出雲区間記録!$M$5:$M$34,出雲区間記録!$A$5:$A$34,A5,出雲区間記録!$B$5:$B$34,6),"")</f>
        <v>23.5</v>
      </c>
      <c r="E5" s="16" t="n">
        <f aca="false">IFERROR(AVERAGEIFS(5000m比較!$D$5:$D$34,5000m比較!$A$5:$A$34,A5),"")</f>
        <v>0.00967008101851852</v>
      </c>
      <c r="F5" s="17" t="n">
        <f aca="false">IFERROR(AVERAGEIFS(5000m比較!$K$5:$K$34,5000m比較!$A$5:$A$34,A5),"")</f>
        <v>0.0376556760014642</v>
      </c>
      <c r="G5" s="18" t="str">
        <f aca="false">IFERROR(AVERAGEIFS(合宿走行距離!$C$5:$C$191,合宿走行距離!$A$5:$A$191,A5,合宿走行距離!$G$5:$G$191,"○"),"")</f>
        <v/>
      </c>
      <c r="H5" s="8"/>
      <c r="I5" s="19" t="str">
        <f aca="false">IFERROR(G5/H5,"")</f>
        <v/>
      </c>
      <c r="J5" s="18" t="str">
        <f aca="false">IFERROR(AVERAGEIFS(合宿走行距離!$D$5:$D$191,合宿走行距離!$A$5:$A$191,A5,合宿走行距離!$G$5:$G$191,"○"),"")</f>
        <v/>
      </c>
      <c r="K5" s="20" t="str">
        <f aca="false">IFERROR(AVERAGEIFS(合宿消化率!$F$5:$F$190,合宿消化率!$A$5:$A$190,A5,合宿消化率!$G$5:$G$190,"○"),"")</f>
        <v/>
      </c>
      <c r="L5" s="21" t="n">
        <f aca="false">IFERROR(AVERAGEIFS(月間走行距離!$J$5:$J$143,月間走行距離!$A$5:$A$143,A5,月間走行距離!$P$5:$P$143,"○"),"")</f>
        <v>675.166666666667</v>
      </c>
      <c r="M5" s="21" t="n">
        <f aca="false">IFERROR(AVERAGEIFS(月間走行距離!$K$5:$K$143,月間走行距離!$A$5:$A$143,A5,月間走行距離!$P$5:$P$143,"○"),"")</f>
        <v>396.833333333333</v>
      </c>
      <c r="N5" s="22" t="n">
        <f aca="false">IFERROR(M5/L5,"")</f>
        <v>0.587756109602567</v>
      </c>
      <c r="O5" s="8"/>
      <c r="P5" s="23" t="n">
        <v>44844</v>
      </c>
      <c r="Q5" s="21" t="str">
        <f aca="false">IF(O5="","",P5-O5)</f>
        <v/>
      </c>
    </row>
    <row r="6" customFormat="false" ht="15" hidden="false" customHeight="false" outlineLevel="0" collapsed="false">
      <c r="A6" s="13" t="s">
        <v>62</v>
      </c>
      <c r="B6" s="14" t="n">
        <v>4</v>
      </c>
      <c r="C6" s="15" t="n">
        <f aca="false">IFERROR(AVERAGEIFS(出雲区間記録!$M$5:$M$34,出雲区間記録!$A$5:$A$34,A6,出雲区間記録!$B$5:$B$34,"&lt;6"),"")</f>
        <v>20.2</v>
      </c>
      <c r="D6" s="15" t="n">
        <f aca="false">IFERROR(AVERAGEIFS(出雲区間記録!$M$5:$M$34,出雲区間記録!$A$5:$A$34,A6,出雲区間記録!$B$5:$B$34,6),"")</f>
        <v>82.4</v>
      </c>
      <c r="E6" s="16" t="n">
        <f aca="false">IFERROR(AVERAGEIFS(5000m比較!$D$5:$D$34,5000m比較!$A$5:$A$34,A6),"")</f>
        <v>0.00947712191358025</v>
      </c>
      <c r="F6" s="17" t="n">
        <f aca="false">IFERROR(AVERAGEIFS(5000m比較!$K$5:$K$34,5000m比較!$A$5:$A$34,A6),"")</f>
        <v>0.0643077124151847</v>
      </c>
      <c r="G6" s="18" t="n">
        <f aca="false">IFERROR(AVERAGEIFS(合宿走行距離!$C$5:$C$191,合宿走行距離!$A$5:$A$191,A6,合宿走行距離!$G$5:$G$191,"○"),"")</f>
        <v>575.25</v>
      </c>
      <c r="H6" s="24" t="n">
        <v>507.9</v>
      </c>
      <c r="I6" s="19" t="n">
        <f aca="false">IFERROR(G6/H6,"")</f>
        <v>1.13260484347312</v>
      </c>
      <c r="J6" s="18" t="n">
        <f aca="false">IFERROR(AVERAGEIFS(合宿走行距離!$D$5:$D$191,合宿走行距離!$A$5:$A$191,A6,合宿走行距離!$G$5:$G$191,"○"),"")</f>
        <v>232.333333333333</v>
      </c>
      <c r="K6" s="20" t="n">
        <f aca="false">IFERROR(AVERAGEIFS(合宿消化率!$F$5:$F$190,合宿消化率!$A$5:$A$190,A6,合宿消化率!$G$5:$G$190,"○"),"")</f>
        <v>0.9085</v>
      </c>
      <c r="L6" s="21" t="n">
        <f aca="false">IFERROR(AVERAGEIFS(月間走行距離!$J$5:$J$143,月間走行距離!$A$5:$A$143,A6,月間走行距離!$P$5:$P$143,"○"),"")</f>
        <v>636.333333333333</v>
      </c>
      <c r="M6" s="21" t="n">
        <f aca="false">IFERROR(AVERAGEIFS(月間走行距離!$K$5:$K$143,月間走行距離!$A$5:$A$143,A6,月間走行距離!$P$5:$P$143,"○"),"")</f>
        <v>468.133333333333</v>
      </c>
      <c r="N6" s="22" t="n">
        <f aca="false">IFERROR(M6/L6,"")</f>
        <v>0.735673127291776</v>
      </c>
      <c r="O6" s="23" t="n">
        <v>45186</v>
      </c>
      <c r="P6" s="23" t="n">
        <v>45208</v>
      </c>
      <c r="Q6" s="21" t="n">
        <f aca="false">IF(O6="","",P6-O6)</f>
        <v>22</v>
      </c>
    </row>
    <row r="7" customFormat="false" ht="15" hidden="false" customHeight="false" outlineLevel="0" collapsed="false">
      <c r="A7" s="13" t="s">
        <v>63</v>
      </c>
      <c r="B7" s="14" t="n">
        <v>3</v>
      </c>
      <c r="C7" s="15" t="n">
        <f aca="false">IFERROR(AVERAGEIFS(出雲区間記録!$M$5:$M$34,出雲区間記録!$A$5:$A$34,A7,出雲区間記録!$B$5:$B$34,"&lt;6"),"")</f>
        <v>15.26</v>
      </c>
      <c r="D7" s="15" t="n">
        <f aca="false">IFERROR(AVERAGEIFS(出雲区間記録!$M$5:$M$34,出雲区間記録!$A$5:$A$34,A7,出雲区間記録!$B$5:$B$34,6),"")</f>
        <v>35.3</v>
      </c>
      <c r="E7" s="16" t="n">
        <f aca="false">IFERROR(AVERAGEIFS(5000m比較!$D$5:$D$34,5000m比較!$A$5:$A$34,A7),"")</f>
        <v>0.00959357638888889</v>
      </c>
      <c r="F7" s="17" t="n">
        <f aca="false">IFERROR(AVERAGEIFS(5000m比較!$K$5:$K$34,5000m比較!$A$5:$A$34,A7),"")</f>
        <v>0.0462450944956439</v>
      </c>
      <c r="G7" s="18" t="n">
        <f aca="false">IFERROR(AVERAGEIFS(合宿走行距離!$C$5:$C$191,合宿走行距離!$A$5:$A$191,A7,合宿走行距離!$G$5:$G$191,"○"),"")</f>
        <v>474.333333333333</v>
      </c>
      <c r="H7" s="24" t="n">
        <v>510.6</v>
      </c>
      <c r="I7" s="19" t="n">
        <f aca="false">IFERROR(G7/H7,"")</f>
        <v>0.928972450711581</v>
      </c>
      <c r="J7" s="18" t="n">
        <f aca="false">IFERROR(AVERAGEIFS(合宿走行距離!$D$5:$D$191,合宿走行距離!$A$5:$A$191,A7,合宿走行距離!$G$5:$G$191,"○"),"")</f>
        <v>210.333333333333</v>
      </c>
      <c r="K7" s="20" t="n">
        <f aca="false">IFERROR(AVERAGEIFS(合宿消化率!$F$5:$F$190,合宿消化率!$A$5:$A$190,A7,合宿消化率!$G$5:$G$190,"○"),"")</f>
        <v>0.970833333333333</v>
      </c>
      <c r="L7" s="21" t="str">
        <f aca="false">IFERROR(AVERAGEIFS(月間走行距離!$J$5:$J$143,月間走行距離!$A$5:$A$143,A7,月間走行距離!$P$5:$P$143,"○"),"")</f>
        <v/>
      </c>
      <c r="M7" s="21" t="str">
        <f aca="false">IFERROR(AVERAGEIFS(月間走行距離!$K$5:$K$143,月間走行距離!$A$5:$A$143,A7,月間走行距離!$P$5:$P$143,"○"),"")</f>
        <v/>
      </c>
      <c r="N7" s="22" t="str">
        <f aca="false">IFERROR(M7/L7,"")</f>
        <v/>
      </c>
      <c r="O7" s="23" t="n">
        <v>45556</v>
      </c>
      <c r="P7" s="23" t="n">
        <v>45579</v>
      </c>
      <c r="Q7" s="21" t="n">
        <f aca="false">IF(O7="","",P7-O7)</f>
        <v>23</v>
      </c>
    </row>
    <row r="8" customFormat="false" ht="15" hidden="false" customHeight="false" outlineLevel="0" collapsed="false">
      <c r="A8" s="13" t="s">
        <v>64</v>
      </c>
      <c r="B8" s="14" t="n">
        <v>7</v>
      </c>
      <c r="C8" s="15" t="n">
        <f aca="false">IFERROR(AVERAGEIFS(出雲区間記録!$M$5:$M$34,出雲区間記録!$A$5:$A$34,A8,出雲区間記録!$B$5:$B$34,"&lt;6"),"")</f>
        <v>26.68</v>
      </c>
      <c r="D8" s="15" t="n">
        <f aca="false">IFERROR(AVERAGEIFS(出雲区間記録!$M$5:$M$34,出雲区間記録!$A$5:$A$34,A8,出雲区間記録!$B$5:$B$34,6),"")</f>
        <v>0</v>
      </c>
      <c r="E8" s="16" t="n">
        <f aca="false">IFERROR(AVERAGEIFS(5000m比較!$D$5:$D$34,5000m比較!$A$5:$A$34,A8),"")</f>
        <v>0.00956122685185185</v>
      </c>
      <c r="F8" s="17" t="n">
        <f aca="false">IFERROR(AVERAGEIFS(5000m比較!$K$5:$K$34,5000m比較!$A$5:$A$34,A8),"")</f>
        <v>0.052597876567239</v>
      </c>
      <c r="G8" s="18" t="n">
        <f aca="false">IFERROR(AVERAGEIFS(合宿走行距離!$C$5:$C$191,合宿走行距離!$A$5:$A$191,A8,合宿走行距離!$G$5:$G$191,"○"),"")</f>
        <v>578.666666666667</v>
      </c>
      <c r="H8" s="24" t="n">
        <v>481</v>
      </c>
      <c r="I8" s="19" t="n">
        <f aca="false">IFERROR(G8/H8,"")</f>
        <v>1.2030492030492</v>
      </c>
      <c r="J8" s="18" t="n">
        <f aca="false">IFERROR(AVERAGEIFS(合宿走行距離!$D$5:$D$191,合宿走行距離!$A$5:$A$191,A8,合宿走行距離!$G$5:$G$191,"○"),"")</f>
        <v>230.5</v>
      </c>
      <c r="K8" s="20" t="n">
        <f aca="false">IFERROR(AVERAGEIFS(合宿消化率!$F$5:$F$190,合宿消化率!$A$5:$A$190,A8,合宿消化率!$G$5:$G$190,"○"),"")</f>
        <v>0.981111111111111</v>
      </c>
      <c r="L8" s="21" t="str">
        <f aca="false">IFERROR(AVERAGEIFS(月間走行距離!$J$5:$J$143,月間走行距離!$A$5:$A$143,A8,月間走行距離!$P$5:$P$143,"○"),"")</f>
        <v/>
      </c>
      <c r="M8" s="21" t="str">
        <f aca="false">IFERROR(AVERAGEIFS(月間走行距離!$K$5:$K$143,月間走行距離!$A$5:$A$143,A8,月間走行距離!$P$5:$P$143,"○"),"")</f>
        <v/>
      </c>
      <c r="N8" s="22" t="str">
        <f aca="false">IFERROR(M8/L8,"")</f>
        <v/>
      </c>
      <c r="O8" s="23" t="n">
        <v>45920</v>
      </c>
      <c r="P8" s="23" t="n">
        <v>45943</v>
      </c>
      <c r="Q8" s="21" t="n">
        <f aca="false">IF(O8="","",P8-O8)</f>
        <v>23</v>
      </c>
    </row>
    <row r="9" customFormat="false" ht="15" hidden="false" customHeight="false" outlineLevel="0" collapsed="false">
      <c r="A9" s="13" t="s">
        <v>65</v>
      </c>
      <c r="B9" s="14" t="n">
        <v>11</v>
      </c>
      <c r="C9" s="15" t="n">
        <f aca="false">IFERROR(AVERAGEIFS(出雲区間記録!$M$5:$M$34,出雲区間記録!$A$5:$A$34,A9,出雲区間記録!$B$5:$B$34,"&lt;6"),"")</f>
        <v>24.36</v>
      </c>
      <c r="D9" s="15" t="n">
        <f aca="false">IFERROR(AVERAGEIFS(出雲区間記録!$M$5:$M$34,出雲区間記録!$A$5:$A$34,A9,出雲区間記録!$B$5:$B$34,6),"")</f>
        <v>83.3</v>
      </c>
      <c r="E9" s="16" t="n">
        <f aca="false">IFERROR(AVERAGEIFS(5000m比較!$D$5:$D$34,5000m比較!$A$5:$A$34,A9),"")</f>
        <v>0.00946952160493827</v>
      </c>
      <c r="F9" s="17" t="n">
        <f aca="false">IFERROR(AVERAGEIFS(5000m比較!$K$5:$K$34,5000m比較!$A$5:$A$34,A9),"")</f>
        <v>0.0518347923041421</v>
      </c>
      <c r="G9" s="18" t="n">
        <f aca="false">IFERROR(AVERAGEIFS(合宿走行距離!$C$5:$C$191,合宿走行距離!$A$5:$A$191,A9,合宿走行距離!$G$5:$G$191,"○"),"")</f>
        <v>555.5</v>
      </c>
      <c r="H9" s="24" t="n">
        <v>460</v>
      </c>
      <c r="I9" s="19" t="n">
        <f aca="false">IFERROR(G9/H9,"")</f>
        <v>1.20760869565217</v>
      </c>
      <c r="J9" s="18" t="n">
        <f aca="false">IFERROR(AVERAGEIFS(合宿走行距離!$D$5:$D$191,合宿走行距離!$A$5:$A$191,A9,合宿走行距離!$G$5:$G$191,"○"),"")</f>
        <v>227.666666666667</v>
      </c>
      <c r="K9" s="20" t="n">
        <f aca="false">IFERROR(AVERAGEIFS(合宿消化率!$F$5:$F$190,合宿消化率!$A$5:$A$190,A9,合宿消化率!$G$5:$G$190,"○"),"")</f>
        <v>0.98</v>
      </c>
      <c r="L9" s="21" t="str">
        <f aca="false">IFERROR(AVERAGEIFS(月間走行距離!$J$5:$J$143,月間走行距離!$A$5:$A$143,A9,月間走行距離!$P$5:$P$143,"○"),"")</f>
        <v/>
      </c>
      <c r="M9" s="21" t="str">
        <f aca="false">IFERROR(AVERAGEIFS(月間走行距離!$K$5:$K$143,月間走行距離!$A$5:$A$143,A9,月間走行距離!$P$5:$P$143,"○"),"")</f>
        <v/>
      </c>
      <c r="N9" s="22" t="str">
        <f aca="false">IFERROR(M9/L9,"")</f>
        <v/>
      </c>
      <c r="O9" s="23" t="n">
        <v>46288</v>
      </c>
      <c r="P9" s="23" t="n">
        <v>46307</v>
      </c>
      <c r="Q9" s="21" t="n">
        <f aca="false">IF(O9="","",P9-O9)</f>
        <v>19</v>
      </c>
    </row>
    <row r="11" customFormat="false" ht="15" hidden="false" customHeight="false" outlineLevel="0" collapsed="false">
      <c r="A11" s="25" t="s">
        <v>66</v>
      </c>
    </row>
    <row r="12" customFormat="false" ht="19.5" hidden="false" customHeight="true" outlineLevel="0" collapsed="false">
      <c r="A12" s="11" t="s">
        <v>67</v>
      </c>
      <c r="B12" s="11"/>
      <c r="C12" s="11"/>
      <c r="D12" s="11"/>
      <c r="E12" s="11" t="s">
        <v>68</v>
      </c>
      <c r="F12" s="11" t="s">
        <v>69</v>
      </c>
    </row>
    <row r="13" customFormat="false" ht="26.85" hidden="false" customHeight="true" outlineLevel="0" collapsed="false">
      <c r="A13" s="5" t="s">
        <v>70</v>
      </c>
      <c r="B13" s="5"/>
      <c r="C13" s="5"/>
      <c r="D13" s="5"/>
      <c r="E13" s="26" t="s">
        <v>71</v>
      </c>
      <c r="F13" s="22" t="n">
        <f aca="false">CORREL(E5:E9,F5:F9)</f>
        <v>-0.862027465529468</v>
      </c>
    </row>
    <row r="14" customFormat="false" ht="26.85" hidden="false" customHeight="true" outlineLevel="0" collapsed="false">
      <c r="A14" s="5" t="s">
        <v>72</v>
      </c>
      <c r="B14" s="5"/>
      <c r="C14" s="5"/>
      <c r="D14" s="5"/>
      <c r="E14" s="26" t="s">
        <v>71</v>
      </c>
      <c r="F14" s="22" t="n">
        <f aca="false">CORREL(E5:E9,B5:B9)</f>
        <v>-0.557655544094555</v>
      </c>
    </row>
    <row r="15" customFormat="false" ht="26.85" hidden="false" customHeight="true" outlineLevel="0" collapsed="false">
      <c r="A15" s="5" t="s">
        <v>73</v>
      </c>
      <c r="B15" s="5"/>
      <c r="C15" s="5"/>
      <c r="D15" s="5"/>
      <c r="E15" s="26" t="s">
        <v>71</v>
      </c>
      <c r="F15" s="22" t="n">
        <f aca="false">CORREL(F5:F9,B5:B9)</f>
        <v>0.154004608533012</v>
      </c>
    </row>
    <row r="16" customFormat="false" ht="26.85" hidden="false" customHeight="true" outlineLevel="0" collapsed="false">
      <c r="A16" s="7" t="s">
        <v>74</v>
      </c>
      <c r="B16" s="7"/>
      <c r="C16" s="7"/>
      <c r="D16" s="7"/>
      <c r="E16" s="26" t="s">
        <v>75</v>
      </c>
      <c r="F16" s="22" t="n">
        <f aca="false">CORREL(I6:I9,B6:B9)</f>
        <v>0.760234957327082</v>
      </c>
    </row>
    <row r="17" customFormat="false" ht="26.85" hidden="false" customHeight="true" outlineLevel="0" collapsed="false">
      <c r="A17" s="7" t="s">
        <v>76</v>
      </c>
      <c r="B17" s="7"/>
      <c r="C17" s="7"/>
      <c r="D17" s="7"/>
      <c r="E17" s="26" t="s">
        <v>75</v>
      </c>
      <c r="F17" s="22" t="n">
        <f aca="false">CORREL(I6:I9,F6:F9)</f>
        <v>0.438125297896412</v>
      </c>
    </row>
    <row r="19" customFormat="false" ht="15" hidden="false" customHeight="false" outlineLevel="0" collapsed="false">
      <c r="A19" s="25" t="s">
        <v>77</v>
      </c>
    </row>
    <row r="20" customFormat="false" ht="48" hidden="false" customHeight="true" outlineLevel="0" collapsed="false">
      <c r="A20" s="11" t="s">
        <v>78</v>
      </c>
      <c r="B20" s="11" t="s">
        <v>79</v>
      </c>
      <c r="C20" s="11" t="s">
        <v>80</v>
      </c>
      <c r="D20" s="11" t="s">
        <v>49</v>
      </c>
      <c r="E20" s="11" t="s">
        <v>81</v>
      </c>
    </row>
    <row r="21" customFormat="false" ht="15" hidden="false" customHeight="false" outlineLevel="0" collapsed="false">
      <c r="A21" s="14" t="n">
        <v>1</v>
      </c>
      <c r="B21" s="24" t="n">
        <v>8</v>
      </c>
      <c r="C21" s="15" t="n">
        <f aca="false">AVERAGEIFS(出雲区間記録!$M$5:$M$34,出雲区間記録!$B$5:$B$34,A21)</f>
        <v>9.5</v>
      </c>
      <c r="D21" s="17" t="n">
        <f aca="false">AVERAGEIFS(5000m比較!$K$5:$K$34,5000m比較!$B$5:$B$34,A21)</f>
        <v>0.0604147182940374</v>
      </c>
      <c r="E21" s="21" t="n">
        <f aca="false">COUNTIFS(出雲区間記録!$B$5:$B$34,A21,出雲区間記録!$K$5:$K$34,1)</f>
        <v>1</v>
      </c>
    </row>
    <row r="22" customFormat="false" ht="15" hidden="false" customHeight="false" outlineLevel="0" collapsed="false">
      <c r="A22" s="14" t="n">
        <v>2</v>
      </c>
      <c r="B22" s="24" t="n">
        <v>5.8</v>
      </c>
      <c r="C22" s="15" t="n">
        <f aca="false">AVERAGEIFS(出雲区間記録!$M$5:$M$34,出雲区間記録!$B$5:$B$34,A22)</f>
        <v>25.52</v>
      </c>
      <c r="D22" s="17" t="n">
        <f aca="false">AVERAGEIFS(5000m比較!$K$5:$K$34,5000m比較!$B$5:$B$34,A22)</f>
        <v>0.020883104931977</v>
      </c>
      <c r="E22" s="21" t="n">
        <f aca="false">COUNTIFS(出雲区間記録!$B$5:$B$34,A22,出雲区間記録!$K$5:$K$34,1)</f>
        <v>1</v>
      </c>
    </row>
    <row r="23" customFormat="false" ht="15" hidden="false" customHeight="false" outlineLevel="0" collapsed="false">
      <c r="A23" s="14" t="n">
        <v>3</v>
      </c>
      <c r="B23" s="24" t="n">
        <v>8.5</v>
      </c>
      <c r="C23" s="15" t="n">
        <f aca="false">AVERAGEIFS(出雲区間記録!$M$5:$M$34,出雲区間記録!$B$5:$B$34,A23)</f>
        <v>22.84</v>
      </c>
      <c r="D23" s="17" t="n">
        <f aca="false">AVERAGEIFS(5000m比較!$K$5:$K$34,5000m比較!$B$5:$B$34,A23)</f>
        <v>0.054357904419027</v>
      </c>
      <c r="E23" s="21" t="n">
        <f aca="false">COUNTIFS(出雲区間記録!$B$5:$B$34,A23,出雲区間記録!$K$5:$K$34,1)</f>
        <v>0</v>
      </c>
    </row>
    <row r="24" customFormat="false" ht="15" hidden="false" customHeight="false" outlineLevel="0" collapsed="false">
      <c r="A24" s="14" t="n">
        <v>4</v>
      </c>
      <c r="B24" s="24" t="n">
        <v>6.2</v>
      </c>
      <c r="C24" s="15" t="n">
        <f aca="false">AVERAGEIFS(出雲区間記録!$M$5:$M$34,出雲区間記録!$B$5:$B$34,A24)</f>
        <v>23.24</v>
      </c>
      <c r="D24" s="17" t="n">
        <f aca="false">AVERAGEIFS(5000m比較!$K$5:$K$34,5000m比較!$B$5:$B$34,A24)</f>
        <v>0.0532139311964619</v>
      </c>
      <c r="E24" s="21" t="n">
        <f aca="false">COUNTIFS(出雲区間記録!$B$5:$B$34,A24,出雲区間記録!$K$5:$K$34,1)</f>
        <v>1</v>
      </c>
    </row>
    <row r="25" customFormat="false" ht="15" hidden="false" customHeight="false" outlineLevel="0" collapsed="false">
      <c r="A25" s="14" t="n">
        <v>5</v>
      </c>
      <c r="B25" s="24" t="n">
        <v>6.4</v>
      </c>
      <c r="C25" s="15" t="n">
        <f aca="false">AVERAGEIFS(出雲区間記録!$M$5:$M$34,出雲区間記録!$B$5:$B$34,A25)</f>
        <v>22.66</v>
      </c>
      <c r="D25" s="17" t="n">
        <f aca="false">AVERAGEIFS(5000m比較!$K$5:$K$34,5000m比較!$B$5:$B$34,A25)</f>
        <v>0.0501378406014783</v>
      </c>
      <c r="E25" s="21" t="n">
        <f aca="false">COUNTIFS(出雲区間記録!$B$5:$B$34,A25,出雲区間記録!$K$5:$K$34,1)</f>
        <v>1</v>
      </c>
    </row>
    <row r="26" customFormat="false" ht="15" hidden="false" customHeight="false" outlineLevel="0" collapsed="false">
      <c r="A26" s="14" t="n">
        <v>6</v>
      </c>
      <c r="B26" s="24" t="n">
        <v>10.2</v>
      </c>
      <c r="C26" s="15" t="n">
        <f aca="false">AVERAGEIFS(出雲区間記録!$M$5:$M$34,出雲区間記録!$B$5:$B$34,A26)</f>
        <v>44.9</v>
      </c>
      <c r="D26" s="17" t="n">
        <f aca="false">AVERAGEIFS(5000m比較!$K$5:$K$34,5000m比較!$B$5:$B$34,A26)</f>
        <v>0.0641618826974271</v>
      </c>
      <c r="E26" s="21" t="n">
        <f aca="false">COUNTIFS(出雲区間記録!$B$5:$B$34,A26,出雲区間記録!$K$5:$K$34,1)</f>
        <v>1</v>
      </c>
    </row>
    <row r="27" customFormat="false" ht="15" hidden="false" customHeight="false" outlineLevel="0" collapsed="false">
      <c r="A27" s="27" t="s">
        <v>82</v>
      </c>
    </row>
  </sheetData>
  <mergeCells count="7">
    <mergeCell ref="A2:Q2"/>
    <mergeCell ref="A12:D12"/>
    <mergeCell ref="A13:D13"/>
    <mergeCell ref="A14:D14"/>
    <mergeCell ref="A15:D15"/>
    <mergeCell ref="A16:D16"/>
    <mergeCell ref="A17:D17"/>
  </mergeCells>
  <conditionalFormatting sqref="F5:F9">
    <cfRule type="colorScale" priority="2">
      <colorScale>
        <cfvo type="min" val="0"/>
        <cfvo type="max" val="0"/>
        <color rgb="FF63BE7B"/>
        <color rgb="FFF8696B"/>
      </colorScale>
    </cfRule>
  </conditionalFormatting>
  <conditionalFormatting sqref="B5:B9">
    <cfRule type="colorScale" priority="3">
      <colorScale>
        <cfvo type="min" val="0"/>
        <cfvo type="max" val="0"/>
        <color rgb="FF63BE7B"/>
        <color rgb="FFF8696B"/>
      </colorScale>
    </cfRule>
  </conditionalFormatting>
  <conditionalFormatting sqref="I5:I9">
    <cfRule type="colorScale" priority="4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9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9"/>
  </cols>
  <sheetData>
    <row r="1" customFormat="false" ht="19.4" hidden="false" customHeight="false" outlineLevel="0" collapsed="false">
      <c r="A1" s="9" t="s">
        <v>83</v>
      </c>
    </row>
    <row r="2" customFormat="false" ht="30" hidden="false" customHeight="true" outlineLevel="0" collapsed="false">
      <c r="A2" s="10" t="s">
        <v>84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customFormat="false" ht="33.75" hidden="false" customHeight="true" outlineLevel="0" collapsed="false">
      <c r="A4" s="11" t="s">
        <v>44</v>
      </c>
      <c r="B4" s="11" t="s">
        <v>78</v>
      </c>
      <c r="C4" s="11" t="s">
        <v>79</v>
      </c>
      <c r="D4" s="11" t="s">
        <v>85</v>
      </c>
      <c r="E4" s="11" t="s">
        <v>22</v>
      </c>
      <c r="F4" s="11" t="s">
        <v>86</v>
      </c>
      <c r="G4" s="11" t="s">
        <v>87</v>
      </c>
      <c r="H4" s="11" t="s">
        <v>88</v>
      </c>
      <c r="I4" s="11" t="s">
        <v>89</v>
      </c>
      <c r="J4" s="11" t="s">
        <v>87</v>
      </c>
      <c r="K4" s="11" t="s">
        <v>90</v>
      </c>
      <c r="L4" s="11" t="s">
        <v>88</v>
      </c>
      <c r="M4" s="11" t="s">
        <v>91</v>
      </c>
    </row>
    <row r="5" customFormat="false" ht="15" hidden="false" customHeight="false" outlineLevel="0" collapsed="false">
      <c r="A5" s="28" t="s">
        <v>61</v>
      </c>
      <c r="B5" s="28" t="n">
        <v>1</v>
      </c>
      <c r="C5" s="29" t="n">
        <v>8</v>
      </c>
      <c r="D5" s="30" t="n">
        <f aca="false">IF(B5=6,10,5)</f>
        <v>5</v>
      </c>
      <c r="E5" s="31" t="s">
        <v>92</v>
      </c>
      <c r="F5" s="31" t="s">
        <v>93</v>
      </c>
      <c r="G5" s="32" t="n">
        <v>0.0156481481481482</v>
      </c>
      <c r="H5" s="33" t="n">
        <f aca="false">G5*D5/C5</f>
        <v>0.00978009259259259</v>
      </c>
      <c r="I5" s="31" t="s">
        <v>94</v>
      </c>
      <c r="J5" s="32" t="n">
        <v>0.0157986111111111</v>
      </c>
      <c r="K5" s="34" t="n">
        <v>3</v>
      </c>
      <c r="L5" s="33" t="n">
        <f aca="false">J5*D5/C5</f>
        <v>0.00987413194444444</v>
      </c>
      <c r="M5" s="35" t="n">
        <f aca="false">ROUND((L5-H5)*86400,1)</f>
        <v>8.1</v>
      </c>
    </row>
    <row r="6" customFormat="false" ht="15" hidden="false" customHeight="false" outlineLevel="0" collapsed="false">
      <c r="A6" s="28" t="s">
        <v>61</v>
      </c>
      <c r="B6" s="28" t="n">
        <v>2</v>
      </c>
      <c r="C6" s="29" t="n">
        <v>5.8</v>
      </c>
      <c r="D6" s="30" t="n">
        <f aca="false">IF(B6=6,10,5)</f>
        <v>5</v>
      </c>
      <c r="E6" s="31" t="s">
        <v>95</v>
      </c>
      <c r="F6" s="31" t="s">
        <v>96</v>
      </c>
      <c r="G6" s="32" t="n">
        <v>0.0107291666666667</v>
      </c>
      <c r="H6" s="33" t="n">
        <f aca="false">G6*D6/C6</f>
        <v>0.00924928160919541</v>
      </c>
      <c r="I6" s="31" t="s">
        <v>97</v>
      </c>
      <c r="J6" s="32" t="n">
        <v>0.0109027777777778</v>
      </c>
      <c r="K6" s="34" t="n">
        <v>4</v>
      </c>
      <c r="L6" s="33" t="n">
        <f aca="false">J6*D6/C6</f>
        <v>0.00939894636015326</v>
      </c>
      <c r="M6" s="35" t="n">
        <f aca="false">ROUND((L6-H6)*86400,1)</f>
        <v>12.9</v>
      </c>
    </row>
    <row r="7" customFormat="false" ht="15" hidden="false" customHeight="false" outlineLevel="0" collapsed="false">
      <c r="A7" s="28" t="s">
        <v>61</v>
      </c>
      <c r="B7" s="28" t="n">
        <v>3</v>
      </c>
      <c r="C7" s="29" t="n">
        <v>8.5</v>
      </c>
      <c r="D7" s="30" t="n">
        <f aca="false">IF(B7=6,10,5)</f>
        <v>5</v>
      </c>
      <c r="E7" s="31" t="s">
        <v>98</v>
      </c>
      <c r="F7" s="31" t="s">
        <v>96</v>
      </c>
      <c r="G7" s="32" t="n">
        <v>0.0165509259259259</v>
      </c>
      <c r="H7" s="33" t="n">
        <f aca="false">G7*D7/C7</f>
        <v>0.00973583877995643</v>
      </c>
      <c r="I7" s="31" t="s">
        <v>99</v>
      </c>
      <c r="J7" s="32" t="n">
        <v>0.0165625</v>
      </c>
      <c r="K7" s="34" t="n">
        <v>3</v>
      </c>
      <c r="L7" s="33" t="n">
        <f aca="false">J7*D7/C7</f>
        <v>0.00974264705882353</v>
      </c>
      <c r="M7" s="35" t="n">
        <f aca="false">ROUND((L7-H7)*86400,1)</f>
        <v>0.6</v>
      </c>
    </row>
    <row r="8" customFormat="false" ht="15" hidden="false" customHeight="false" outlineLevel="0" collapsed="false">
      <c r="A8" s="28" t="s">
        <v>61</v>
      </c>
      <c r="B8" s="28" t="n">
        <v>4</v>
      </c>
      <c r="C8" s="29" t="n">
        <v>6.2</v>
      </c>
      <c r="D8" s="30" t="n">
        <f aca="false">IF(B8=6,10,5)</f>
        <v>5</v>
      </c>
      <c r="E8" s="31" t="s">
        <v>100</v>
      </c>
      <c r="F8" s="31" t="s">
        <v>101</v>
      </c>
      <c r="G8" s="32" t="n">
        <v>0.0123842592592593</v>
      </c>
      <c r="H8" s="33" t="n">
        <f aca="false">G8*D8/C8</f>
        <v>0.00998730585424134</v>
      </c>
      <c r="I8" s="31" t="s">
        <v>102</v>
      </c>
      <c r="J8" s="32" t="n">
        <v>0.0130208333333333</v>
      </c>
      <c r="K8" s="34" t="n">
        <v>6</v>
      </c>
      <c r="L8" s="33" t="n">
        <f aca="false">J8*D8/C8</f>
        <v>0.0105006720430108</v>
      </c>
      <c r="M8" s="35" t="n">
        <f aca="false">ROUND((L8-H8)*86400,1)</f>
        <v>44.4</v>
      </c>
    </row>
    <row r="9" customFormat="false" ht="15" hidden="false" customHeight="false" outlineLevel="0" collapsed="false">
      <c r="A9" s="28" t="s">
        <v>61</v>
      </c>
      <c r="B9" s="28" t="n">
        <v>5</v>
      </c>
      <c r="C9" s="29" t="n">
        <v>6.4</v>
      </c>
      <c r="D9" s="30" t="n">
        <f aca="false">IF(B9=6,10,5)</f>
        <v>5</v>
      </c>
      <c r="E9" s="31" t="s">
        <v>103</v>
      </c>
      <c r="F9" s="31" t="s">
        <v>96</v>
      </c>
      <c r="G9" s="32" t="n">
        <v>0.0132407407407407</v>
      </c>
      <c r="H9" s="33" t="n">
        <f aca="false">G9*D9/C9</f>
        <v>0.0103443287037037</v>
      </c>
      <c r="I9" s="31" t="s">
        <v>104</v>
      </c>
      <c r="J9" s="32" t="n">
        <v>0.0135416666666667</v>
      </c>
      <c r="K9" s="34" t="n">
        <v>6</v>
      </c>
      <c r="L9" s="33" t="n">
        <f aca="false">J9*D9/C9</f>
        <v>0.0105794270833333</v>
      </c>
      <c r="M9" s="35" t="n">
        <f aca="false">ROUND((L9-H9)*86400,1)</f>
        <v>20.3</v>
      </c>
    </row>
    <row r="10" customFormat="false" ht="15" hidden="false" customHeight="false" outlineLevel="0" collapsed="false">
      <c r="A10" s="28" t="s">
        <v>61</v>
      </c>
      <c r="B10" s="28" t="n">
        <v>6</v>
      </c>
      <c r="C10" s="29" t="n">
        <v>10.2</v>
      </c>
      <c r="D10" s="30" t="n">
        <f aca="false">IF(B10=6,10,5)</f>
        <v>10</v>
      </c>
      <c r="E10" s="31" t="s">
        <v>105</v>
      </c>
      <c r="F10" s="31" t="s">
        <v>96</v>
      </c>
      <c r="G10" s="32" t="n">
        <v>0.0203819444444445</v>
      </c>
      <c r="H10" s="33" t="n">
        <f aca="false">G10*D10/C10</f>
        <v>0.0199822984749455</v>
      </c>
      <c r="I10" s="31" t="s">
        <v>106</v>
      </c>
      <c r="J10" s="32" t="n">
        <v>0.0206597222222222</v>
      </c>
      <c r="K10" s="34" t="n">
        <v>3</v>
      </c>
      <c r="L10" s="33" t="n">
        <f aca="false">J10*D10/C10</f>
        <v>0.0202546296296296</v>
      </c>
      <c r="M10" s="35" t="n">
        <f aca="false">ROUND((L10-H10)*86400,1)</f>
        <v>23.5</v>
      </c>
    </row>
    <row r="11" customFormat="false" ht="15" hidden="false" customHeight="false" outlineLevel="0" collapsed="false">
      <c r="A11" s="13" t="s">
        <v>62</v>
      </c>
      <c r="B11" s="13" t="n">
        <v>1</v>
      </c>
      <c r="C11" s="24" t="n">
        <v>8</v>
      </c>
      <c r="D11" s="21" t="n">
        <f aca="false">IF(B11=6,10,5)</f>
        <v>5</v>
      </c>
      <c r="E11" s="36" t="s">
        <v>107</v>
      </c>
      <c r="F11" s="36" t="s">
        <v>96</v>
      </c>
      <c r="G11" s="37" t="n">
        <v>0.0157986111111111</v>
      </c>
      <c r="H11" s="38" t="n">
        <f aca="false">G11*D11/C11</f>
        <v>0.00987413194444444</v>
      </c>
      <c r="I11" s="36" t="s">
        <v>108</v>
      </c>
      <c r="J11" s="37" t="n">
        <v>0.01625</v>
      </c>
      <c r="K11" s="14" t="n">
        <v>6</v>
      </c>
      <c r="L11" s="38" t="n">
        <f aca="false">J11*D11/C11</f>
        <v>0.01015625</v>
      </c>
      <c r="M11" s="15" t="n">
        <f aca="false">ROUND((L11-H11)*86400,1)</f>
        <v>24.4</v>
      </c>
    </row>
    <row r="12" customFormat="false" ht="26.85" hidden="false" customHeight="false" outlineLevel="0" collapsed="false">
      <c r="A12" s="13" t="s">
        <v>62</v>
      </c>
      <c r="B12" s="13" t="n">
        <v>2</v>
      </c>
      <c r="C12" s="24" t="n">
        <v>5.8</v>
      </c>
      <c r="D12" s="21" t="n">
        <f aca="false">IF(B12=6,10,5)</f>
        <v>5</v>
      </c>
      <c r="E12" s="36" t="s">
        <v>109</v>
      </c>
      <c r="F12" s="36" t="s">
        <v>110</v>
      </c>
      <c r="G12" s="37" t="n">
        <v>0.0112037037037037</v>
      </c>
      <c r="H12" s="38" t="n">
        <f aca="false">G12*D12/C12</f>
        <v>0.00965836526181354</v>
      </c>
      <c r="I12" s="36" t="s">
        <v>111</v>
      </c>
      <c r="J12" s="37" t="n">
        <v>0.0112037037037037</v>
      </c>
      <c r="K12" s="14" t="n">
        <v>1</v>
      </c>
      <c r="L12" s="38" t="n">
        <f aca="false">J12*D12/C12</f>
        <v>0.00965836526181354</v>
      </c>
      <c r="M12" s="15" t="n">
        <f aca="false">ROUND((L12-H12)*86400,1)</f>
        <v>0</v>
      </c>
    </row>
    <row r="13" customFormat="false" ht="15" hidden="false" customHeight="false" outlineLevel="0" collapsed="false">
      <c r="A13" s="13" t="s">
        <v>62</v>
      </c>
      <c r="B13" s="13" t="n">
        <v>3</v>
      </c>
      <c r="C13" s="24" t="n">
        <v>8.5</v>
      </c>
      <c r="D13" s="21" t="n">
        <f aca="false">IF(B13=6,10,5)</f>
        <v>5</v>
      </c>
      <c r="E13" s="36" t="s">
        <v>112</v>
      </c>
      <c r="F13" s="36" t="s">
        <v>96</v>
      </c>
      <c r="G13" s="37" t="n">
        <v>0.0168981481481482</v>
      </c>
      <c r="H13" s="38" t="n">
        <f aca="false">G13*D13/C13</f>
        <v>0.0099400871459695</v>
      </c>
      <c r="I13" s="36" t="s">
        <v>113</v>
      </c>
      <c r="J13" s="37" t="n">
        <v>0.0172685185185185</v>
      </c>
      <c r="K13" s="14" t="n">
        <v>3</v>
      </c>
      <c r="L13" s="38" t="n">
        <f aca="false">J13*D13/C13</f>
        <v>0.0101579520697168</v>
      </c>
      <c r="M13" s="15" t="n">
        <f aca="false">ROUND((L13-H13)*86400,1)</f>
        <v>18.8</v>
      </c>
    </row>
    <row r="14" customFormat="false" ht="15" hidden="false" customHeight="false" outlineLevel="0" collapsed="false">
      <c r="A14" s="13" t="s">
        <v>62</v>
      </c>
      <c r="B14" s="13" t="n">
        <v>4</v>
      </c>
      <c r="C14" s="24" t="n">
        <v>6.2</v>
      </c>
      <c r="D14" s="21" t="n">
        <f aca="false">IF(B14=6,10,5)</f>
        <v>5</v>
      </c>
      <c r="E14" s="36" t="s">
        <v>114</v>
      </c>
      <c r="F14" s="36" t="s">
        <v>115</v>
      </c>
      <c r="G14" s="37" t="n">
        <v>0.0122106481481482</v>
      </c>
      <c r="H14" s="38" t="n">
        <f aca="false">G14*D14/C14</f>
        <v>0.00984729689366786</v>
      </c>
      <c r="I14" s="36" t="s">
        <v>114</v>
      </c>
      <c r="J14" s="37" t="n">
        <v>0.0122106481481482</v>
      </c>
      <c r="K14" s="14" t="n">
        <v>1</v>
      </c>
      <c r="L14" s="38" t="n">
        <f aca="false">J14*D14/C14</f>
        <v>0.00984729689366786</v>
      </c>
      <c r="M14" s="15" t="n">
        <f aca="false">ROUND((L14-H14)*86400,1)</f>
        <v>0</v>
      </c>
    </row>
    <row r="15" customFormat="false" ht="15" hidden="false" customHeight="false" outlineLevel="0" collapsed="false">
      <c r="A15" s="13" t="s">
        <v>62</v>
      </c>
      <c r="B15" s="13" t="n">
        <v>5</v>
      </c>
      <c r="C15" s="24" t="n">
        <v>6.4</v>
      </c>
      <c r="D15" s="21" t="n">
        <f aca="false">IF(B15=6,10,5)</f>
        <v>5</v>
      </c>
      <c r="E15" s="36" t="s">
        <v>103</v>
      </c>
      <c r="F15" s="36" t="s">
        <v>96</v>
      </c>
      <c r="G15" s="37" t="n">
        <v>0.0123958333333333</v>
      </c>
      <c r="H15" s="38" t="n">
        <f aca="false">G15*D15/C15</f>
        <v>0.00968424479166666</v>
      </c>
      <c r="I15" s="36" t="s">
        <v>116</v>
      </c>
      <c r="J15" s="37" t="n">
        <v>0.0132523148148148</v>
      </c>
      <c r="K15" s="14" t="n">
        <v>9</v>
      </c>
      <c r="L15" s="38" t="n">
        <f aca="false">J15*D15/C15</f>
        <v>0.0103533709490741</v>
      </c>
      <c r="M15" s="15" t="n">
        <f aca="false">ROUND((L15-H15)*86400,1)</f>
        <v>57.8</v>
      </c>
    </row>
    <row r="16" customFormat="false" ht="15" hidden="false" customHeight="false" outlineLevel="0" collapsed="false">
      <c r="A16" s="13" t="s">
        <v>62</v>
      </c>
      <c r="B16" s="13" t="n">
        <v>6</v>
      </c>
      <c r="C16" s="24" t="n">
        <v>10.2</v>
      </c>
      <c r="D16" s="21" t="n">
        <f aca="false">IF(B16=6,10,5)</f>
        <v>10</v>
      </c>
      <c r="E16" s="36" t="s">
        <v>105</v>
      </c>
      <c r="F16" s="36" t="s">
        <v>96</v>
      </c>
      <c r="G16" s="37" t="n">
        <v>0.0201388888888889</v>
      </c>
      <c r="H16" s="38" t="n">
        <f aca="false">G16*D16/C16</f>
        <v>0.019744008714597</v>
      </c>
      <c r="I16" s="36" t="s">
        <v>117</v>
      </c>
      <c r="J16" s="37" t="n">
        <v>0.0211111111111111</v>
      </c>
      <c r="K16" s="14" t="n">
        <v>7</v>
      </c>
      <c r="L16" s="38" t="n">
        <f aca="false">J16*D16/C16</f>
        <v>0.0206971677559913</v>
      </c>
      <c r="M16" s="15" t="n">
        <f aca="false">ROUND((L16-H16)*86400,1)</f>
        <v>82.4</v>
      </c>
    </row>
    <row r="17" customFormat="false" ht="15" hidden="false" customHeight="false" outlineLevel="0" collapsed="false">
      <c r="A17" s="28" t="s">
        <v>63</v>
      </c>
      <c r="B17" s="28" t="n">
        <v>1</v>
      </c>
      <c r="C17" s="29" t="n">
        <v>8</v>
      </c>
      <c r="D17" s="30" t="n">
        <f aca="false">IF(B17=6,10,5)</f>
        <v>5</v>
      </c>
      <c r="E17" s="31" t="s">
        <v>117</v>
      </c>
      <c r="F17" s="31" t="s">
        <v>115</v>
      </c>
      <c r="G17" s="32" t="n">
        <v>0.0164351851851852</v>
      </c>
      <c r="H17" s="33" t="n">
        <f aca="false">G17*D17/C17</f>
        <v>0.0102719907407407</v>
      </c>
      <c r="I17" s="31" t="s">
        <v>117</v>
      </c>
      <c r="J17" s="32" t="n">
        <v>0.0164351851851852</v>
      </c>
      <c r="K17" s="34" t="n">
        <v>1</v>
      </c>
      <c r="L17" s="33" t="n">
        <f aca="false">J17*D17/C17</f>
        <v>0.0102719907407407</v>
      </c>
      <c r="M17" s="35" t="n">
        <f aca="false">ROUND((L17-H17)*86400,1)</f>
        <v>0</v>
      </c>
    </row>
    <row r="18" customFormat="false" ht="15" hidden="false" customHeight="false" outlineLevel="0" collapsed="false">
      <c r="A18" s="28" t="s">
        <v>63</v>
      </c>
      <c r="B18" s="28" t="n">
        <v>2</v>
      </c>
      <c r="C18" s="29" t="n">
        <v>5.8</v>
      </c>
      <c r="D18" s="30" t="n">
        <f aca="false">IF(B18=6,10,5)</f>
        <v>5</v>
      </c>
      <c r="E18" s="31" t="s">
        <v>118</v>
      </c>
      <c r="F18" s="31" t="s">
        <v>119</v>
      </c>
      <c r="G18" s="32" t="n">
        <v>0.0109490740740741</v>
      </c>
      <c r="H18" s="33" t="n">
        <f aca="false">G18*D18/C18</f>
        <v>0.00943885696040868</v>
      </c>
      <c r="I18" s="31" t="s">
        <v>108</v>
      </c>
      <c r="J18" s="32" t="n">
        <v>0.0114814814814815</v>
      </c>
      <c r="K18" s="34" t="n">
        <v>6</v>
      </c>
      <c r="L18" s="33" t="n">
        <f aca="false">J18*D18/C18</f>
        <v>0.0098978288633461</v>
      </c>
      <c r="M18" s="35" t="n">
        <f aca="false">ROUND((L18-H18)*86400,1)</f>
        <v>39.7</v>
      </c>
    </row>
    <row r="19" customFormat="false" ht="15" hidden="false" customHeight="false" outlineLevel="0" collapsed="false">
      <c r="A19" s="28" t="s">
        <v>63</v>
      </c>
      <c r="B19" s="28" t="n">
        <v>3</v>
      </c>
      <c r="C19" s="29" t="n">
        <v>8.5</v>
      </c>
      <c r="D19" s="30" t="n">
        <f aca="false">IF(B19=6,10,5)</f>
        <v>5</v>
      </c>
      <c r="E19" s="31" t="s">
        <v>112</v>
      </c>
      <c r="F19" s="31" t="s">
        <v>96</v>
      </c>
      <c r="G19" s="32" t="n">
        <v>0.0165740740740741</v>
      </c>
      <c r="H19" s="33" t="n">
        <f aca="false">G19*D19/C19</f>
        <v>0.00974945533769063</v>
      </c>
      <c r="I19" s="31" t="s">
        <v>111</v>
      </c>
      <c r="J19" s="32" t="n">
        <v>0.0166087962962963</v>
      </c>
      <c r="K19" s="34" t="n">
        <v>3</v>
      </c>
      <c r="L19" s="33" t="n">
        <f aca="false">J19*D19/C19</f>
        <v>0.00976988017429194</v>
      </c>
      <c r="M19" s="35" t="n">
        <f aca="false">ROUND((L19-H19)*86400,1)</f>
        <v>1.8</v>
      </c>
    </row>
    <row r="20" customFormat="false" ht="15" hidden="false" customHeight="false" outlineLevel="0" collapsed="false">
      <c r="A20" s="28" t="s">
        <v>63</v>
      </c>
      <c r="B20" s="28" t="n">
        <v>4</v>
      </c>
      <c r="C20" s="29" t="n">
        <v>6.2</v>
      </c>
      <c r="D20" s="30" t="n">
        <f aca="false">IF(B20=6,10,5)</f>
        <v>5</v>
      </c>
      <c r="E20" s="31" t="s">
        <v>120</v>
      </c>
      <c r="F20" s="31" t="s">
        <v>101</v>
      </c>
      <c r="G20" s="32" t="n">
        <v>0.0122916666666667</v>
      </c>
      <c r="H20" s="33" t="n">
        <f aca="false">G20*D20/C20</f>
        <v>0.00991263440860215</v>
      </c>
      <c r="I20" s="31" t="s">
        <v>121</v>
      </c>
      <c r="J20" s="32" t="n">
        <v>0.0124768518518519</v>
      </c>
      <c r="K20" s="34" t="n">
        <v>5</v>
      </c>
      <c r="L20" s="33" t="n">
        <f aca="false">J20*D20/C20</f>
        <v>0.0100619772998805</v>
      </c>
      <c r="M20" s="35" t="n">
        <f aca="false">ROUND((L20-H20)*86400,1)</f>
        <v>12.9</v>
      </c>
    </row>
    <row r="21" customFormat="false" ht="15" hidden="false" customHeight="false" outlineLevel="0" collapsed="false">
      <c r="A21" s="28" t="s">
        <v>63</v>
      </c>
      <c r="B21" s="28" t="n">
        <v>5</v>
      </c>
      <c r="C21" s="29" t="n">
        <v>6.4</v>
      </c>
      <c r="D21" s="30" t="n">
        <f aca="false">IF(B21=6,10,5)</f>
        <v>5</v>
      </c>
      <c r="E21" s="31" t="s">
        <v>122</v>
      </c>
      <c r="F21" s="31" t="s">
        <v>101</v>
      </c>
      <c r="G21" s="32" t="n">
        <v>0.0126388888888889</v>
      </c>
      <c r="H21" s="33" t="n">
        <f aca="false">G21*D21/C21</f>
        <v>0.00987413194444445</v>
      </c>
      <c r="I21" s="31" t="s">
        <v>123</v>
      </c>
      <c r="J21" s="32" t="n">
        <v>0.012962962962963</v>
      </c>
      <c r="K21" s="34" t="n">
        <v>5</v>
      </c>
      <c r="L21" s="33" t="n">
        <f aca="false">J21*D21/C21</f>
        <v>0.0101273148148148</v>
      </c>
      <c r="M21" s="35" t="n">
        <f aca="false">ROUND((L21-H21)*86400,1)</f>
        <v>21.9</v>
      </c>
    </row>
    <row r="22" customFormat="false" ht="15" hidden="false" customHeight="false" outlineLevel="0" collapsed="false">
      <c r="A22" s="28" t="s">
        <v>63</v>
      </c>
      <c r="B22" s="28" t="n">
        <v>6</v>
      </c>
      <c r="C22" s="29" t="n">
        <v>10.2</v>
      </c>
      <c r="D22" s="30" t="n">
        <f aca="false">IF(B22=6,10,5)</f>
        <v>10</v>
      </c>
      <c r="E22" s="31" t="s">
        <v>124</v>
      </c>
      <c r="F22" s="31" t="s">
        <v>101</v>
      </c>
      <c r="G22" s="32" t="n">
        <v>0.0201736111111111</v>
      </c>
      <c r="H22" s="33" t="n">
        <f aca="false">G22*D22/C22</f>
        <v>0.0197780501089325</v>
      </c>
      <c r="I22" s="31" t="s">
        <v>125</v>
      </c>
      <c r="J22" s="32" t="n">
        <v>0.0205902777777778</v>
      </c>
      <c r="K22" s="34" t="n">
        <v>3</v>
      </c>
      <c r="L22" s="33" t="n">
        <f aca="false">J22*D22/C22</f>
        <v>0.0201865468409586</v>
      </c>
      <c r="M22" s="35" t="n">
        <f aca="false">ROUND((L22-H22)*86400,1)</f>
        <v>35.3</v>
      </c>
    </row>
    <row r="23" customFormat="false" ht="15" hidden="false" customHeight="false" outlineLevel="0" collapsed="false">
      <c r="A23" s="13" t="s">
        <v>64</v>
      </c>
      <c r="B23" s="13" t="n">
        <v>1</v>
      </c>
      <c r="C23" s="24" t="n">
        <v>8</v>
      </c>
      <c r="D23" s="21" t="n">
        <f aca="false">IF(B23=6,10,5)</f>
        <v>5</v>
      </c>
      <c r="E23" s="36" t="s">
        <v>126</v>
      </c>
      <c r="F23" s="36" t="s">
        <v>93</v>
      </c>
      <c r="G23" s="37" t="n">
        <v>0.0162962962962963</v>
      </c>
      <c r="H23" s="38" t="n">
        <f aca="false">G23*D23/C23</f>
        <v>0.0101851851851852</v>
      </c>
      <c r="I23" s="36" t="s">
        <v>127</v>
      </c>
      <c r="J23" s="37" t="n">
        <v>0.0165046296296296</v>
      </c>
      <c r="K23" s="14" t="n">
        <v>6</v>
      </c>
      <c r="L23" s="38" t="n">
        <f aca="false">J23*D23/C23</f>
        <v>0.0103153935185185</v>
      </c>
      <c r="M23" s="15" t="n">
        <f aca="false">ROUND((L23-H23)*86400,1)</f>
        <v>11.3</v>
      </c>
    </row>
    <row r="24" customFormat="false" ht="15" hidden="false" customHeight="false" outlineLevel="0" collapsed="false">
      <c r="A24" s="13" t="s">
        <v>64</v>
      </c>
      <c r="B24" s="13" t="n">
        <v>2</v>
      </c>
      <c r="C24" s="24" t="n">
        <v>5.8</v>
      </c>
      <c r="D24" s="21" t="n">
        <f aca="false">IF(B24=6,10,5)</f>
        <v>5</v>
      </c>
      <c r="E24" s="36" t="s">
        <v>128</v>
      </c>
      <c r="F24" s="36" t="s">
        <v>129</v>
      </c>
      <c r="G24" s="37" t="n">
        <v>0.0110763888888889</v>
      </c>
      <c r="H24" s="38" t="n">
        <f aca="false">G24*D24/C24</f>
        <v>0.00954861111111111</v>
      </c>
      <c r="I24" s="36" t="s">
        <v>130</v>
      </c>
      <c r="J24" s="37" t="n">
        <v>0.0117592592592593</v>
      </c>
      <c r="K24" s="14" t="n">
        <v>10</v>
      </c>
      <c r="L24" s="38" t="n">
        <f aca="false">J24*D24/C24</f>
        <v>0.0101372924648787</v>
      </c>
      <c r="M24" s="15" t="n">
        <f aca="false">ROUND((L24-H24)*86400,1)</f>
        <v>50.9</v>
      </c>
    </row>
    <row r="25" customFormat="false" ht="15" hidden="false" customHeight="false" outlineLevel="0" collapsed="false">
      <c r="A25" s="13" t="s">
        <v>64</v>
      </c>
      <c r="B25" s="13" t="n">
        <v>3</v>
      </c>
      <c r="C25" s="24" t="n">
        <v>8.5</v>
      </c>
      <c r="D25" s="21" t="n">
        <f aca="false">IF(B25=6,10,5)</f>
        <v>5</v>
      </c>
      <c r="E25" s="36" t="s">
        <v>120</v>
      </c>
      <c r="F25" s="36" t="s">
        <v>101</v>
      </c>
      <c r="G25" s="37" t="n">
        <v>0.0165393518518519</v>
      </c>
      <c r="H25" s="38" t="n">
        <f aca="false">G25*D25/C25</f>
        <v>0.00972903050108932</v>
      </c>
      <c r="I25" s="36" t="s">
        <v>131</v>
      </c>
      <c r="J25" s="37" t="n">
        <v>0.0175578703703704</v>
      </c>
      <c r="K25" s="14" t="n">
        <v>10</v>
      </c>
      <c r="L25" s="38" t="n">
        <f aca="false">J25*D25/C25</f>
        <v>0.0103281590413943</v>
      </c>
      <c r="M25" s="15" t="n">
        <f aca="false">ROUND((L25-H25)*86400,1)</f>
        <v>51.8</v>
      </c>
    </row>
    <row r="26" customFormat="false" ht="15" hidden="false" customHeight="false" outlineLevel="0" collapsed="false">
      <c r="A26" s="13" t="s">
        <v>64</v>
      </c>
      <c r="B26" s="13" t="n">
        <v>4</v>
      </c>
      <c r="C26" s="24" t="n">
        <v>6.2</v>
      </c>
      <c r="D26" s="21" t="n">
        <f aca="false">IF(B26=6,10,5)</f>
        <v>5</v>
      </c>
      <c r="E26" s="36" t="s">
        <v>132</v>
      </c>
      <c r="F26" s="36" t="s">
        <v>101</v>
      </c>
      <c r="G26" s="37" t="n">
        <v>0.012037037037037</v>
      </c>
      <c r="H26" s="38" t="n">
        <f aca="false">G26*D26/C26</f>
        <v>0.00970728793309439</v>
      </c>
      <c r="I26" s="36" t="s">
        <v>133</v>
      </c>
      <c r="J26" s="37" t="n">
        <v>0.0123148148148148</v>
      </c>
      <c r="K26" s="14" t="n">
        <v>8</v>
      </c>
      <c r="L26" s="38" t="n">
        <f aca="false">J26*D26/C26</f>
        <v>0.00993130227001194</v>
      </c>
      <c r="M26" s="15" t="n">
        <f aca="false">ROUND((L26-H26)*86400,1)</f>
        <v>19.4</v>
      </c>
    </row>
    <row r="27" customFormat="false" ht="15" hidden="false" customHeight="false" outlineLevel="0" collapsed="false">
      <c r="A27" s="13" t="s">
        <v>64</v>
      </c>
      <c r="B27" s="13" t="n">
        <v>5</v>
      </c>
      <c r="C27" s="24" t="n">
        <v>6.4</v>
      </c>
      <c r="D27" s="21" t="n">
        <f aca="false">IF(B27=6,10,5)</f>
        <v>5</v>
      </c>
      <c r="E27" s="36" t="s">
        <v>134</v>
      </c>
      <c r="F27" s="36" t="s">
        <v>115</v>
      </c>
      <c r="G27" s="37" t="n">
        <v>0.0124305555555556</v>
      </c>
      <c r="H27" s="38" t="n">
        <f aca="false">G27*D27/C27</f>
        <v>0.00971137152777778</v>
      </c>
      <c r="I27" s="36" t="s">
        <v>134</v>
      </c>
      <c r="J27" s="37" t="n">
        <v>0.0124305555555556</v>
      </c>
      <c r="K27" s="14" t="n">
        <v>1</v>
      </c>
      <c r="L27" s="38" t="n">
        <f aca="false">J27*D27/C27</f>
        <v>0.00971137152777778</v>
      </c>
      <c r="M27" s="15" t="n">
        <f aca="false">ROUND((L27-H27)*86400,1)</f>
        <v>0</v>
      </c>
    </row>
    <row r="28" customFormat="false" ht="15" hidden="false" customHeight="false" outlineLevel="0" collapsed="false">
      <c r="A28" s="13" t="s">
        <v>64</v>
      </c>
      <c r="B28" s="13" t="n">
        <v>6</v>
      </c>
      <c r="C28" s="24" t="n">
        <v>10.2</v>
      </c>
      <c r="D28" s="21" t="n">
        <f aca="false">IF(B28=6,10,5)</f>
        <v>10</v>
      </c>
      <c r="E28" s="36" t="s">
        <v>111</v>
      </c>
      <c r="F28" s="36" t="s">
        <v>115</v>
      </c>
      <c r="G28" s="37" t="n">
        <v>0.0203125</v>
      </c>
      <c r="H28" s="38" t="n">
        <f aca="false">G28*D28/C28</f>
        <v>0.0199142156862745</v>
      </c>
      <c r="I28" s="36" t="s">
        <v>111</v>
      </c>
      <c r="J28" s="37" t="n">
        <v>0.0203125</v>
      </c>
      <c r="K28" s="14" t="n">
        <v>1</v>
      </c>
      <c r="L28" s="38" t="n">
        <f aca="false">J28*D28/C28</f>
        <v>0.0199142156862745</v>
      </c>
      <c r="M28" s="15" t="n">
        <f aca="false">ROUND((L28-H28)*86400,1)</f>
        <v>0</v>
      </c>
    </row>
    <row r="29" customFormat="false" ht="15" hidden="false" customHeight="false" outlineLevel="0" collapsed="false">
      <c r="A29" s="28" t="s">
        <v>65</v>
      </c>
      <c r="B29" s="28" t="n">
        <v>1</v>
      </c>
      <c r="C29" s="29" t="n">
        <v>8</v>
      </c>
      <c r="D29" s="30" t="n">
        <f aca="false">IF(B29=6,10,5)</f>
        <v>5</v>
      </c>
      <c r="E29" s="31" t="s">
        <v>135</v>
      </c>
      <c r="F29" s="31" t="s">
        <v>96</v>
      </c>
      <c r="G29" s="32" t="n">
        <v>0.0157638888888889</v>
      </c>
      <c r="H29" s="33" t="n">
        <f aca="false">G29*D29/C29</f>
        <v>0.00985243055555556</v>
      </c>
      <c r="I29" s="31" t="s">
        <v>136</v>
      </c>
      <c r="J29" s="32" t="n">
        <v>0.0158333333333333</v>
      </c>
      <c r="K29" s="34" t="n">
        <v>2</v>
      </c>
      <c r="L29" s="33" t="n">
        <f aca="false">J29*D29/C29</f>
        <v>0.00989583333333333</v>
      </c>
      <c r="M29" s="35" t="n">
        <f aca="false">ROUND((L29-H29)*86400,1)</f>
        <v>3.7</v>
      </c>
    </row>
    <row r="30" customFormat="false" ht="15" hidden="false" customHeight="false" outlineLevel="0" collapsed="false">
      <c r="A30" s="28" t="s">
        <v>65</v>
      </c>
      <c r="B30" s="28" t="n">
        <v>2</v>
      </c>
      <c r="C30" s="29" t="n">
        <v>5.8</v>
      </c>
      <c r="D30" s="30" t="n">
        <f aca="false">IF(B30=6,10,5)</f>
        <v>5</v>
      </c>
      <c r="E30" s="31" t="s">
        <v>137</v>
      </c>
      <c r="F30" s="31" t="s">
        <v>129</v>
      </c>
      <c r="G30" s="32" t="n">
        <v>0.0109027777777778</v>
      </c>
      <c r="H30" s="33" t="n">
        <f aca="false">G30*D30/C30</f>
        <v>0.00939894636015326</v>
      </c>
      <c r="I30" s="31" t="s">
        <v>116</v>
      </c>
      <c r="J30" s="32" t="n">
        <v>0.0112268518518519</v>
      </c>
      <c r="K30" s="34" t="n">
        <v>9</v>
      </c>
      <c r="L30" s="33" t="n">
        <f aca="false">J30*D30/C30</f>
        <v>0.00967832056194125</v>
      </c>
      <c r="M30" s="35" t="n">
        <f aca="false">ROUND((L30-H30)*86400,1)</f>
        <v>24.1</v>
      </c>
    </row>
    <row r="31" customFormat="false" ht="15" hidden="false" customHeight="false" outlineLevel="0" collapsed="false">
      <c r="A31" s="28" t="s">
        <v>65</v>
      </c>
      <c r="B31" s="28" t="n">
        <v>3</v>
      </c>
      <c r="C31" s="29" t="n">
        <v>8.5</v>
      </c>
      <c r="D31" s="30" t="n">
        <f aca="false">IF(B31=6,10,5)</f>
        <v>5</v>
      </c>
      <c r="E31" s="31" t="s">
        <v>138</v>
      </c>
      <c r="F31" s="31" t="s">
        <v>139</v>
      </c>
      <c r="G31" s="32" t="n">
        <v>0.0163078703703704</v>
      </c>
      <c r="H31" s="33" t="n">
        <f aca="false">G31*D31/C31</f>
        <v>0.00959286492374728</v>
      </c>
      <c r="I31" s="31" t="s">
        <v>131</v>
      </c>
      <c r="J31" s="32" t="n">
        <v>0.0171180555555556</v>
      </c>
      <c r="K31" s="34" t="n">
        <v>11</v>
      </c>
      <c r="L31" s="33" t="n">
        <f aca="false">J31*D31/C31</f>
        <v>0.0100694444444444</v>
      </c>
      <c r="M31" s="35" t="n">
        <f aca="false">ROUND((L31-H31)*86400,1)</f>
        <v>41.2</v>
      </c>
    </row>
    <row r="32" customFormat="false" ht="15" hidden="false" customHeight="false" outlineLevel="0" collapsed="false">
      <c r="A32" s="28" t="s">
        <v>65</v>
      </c>
      <c r="B32" s="28" t="n">
        <v>4</v>
      </c>
      <c r="C32" s="29" t="n">
        <v>6.2</v>
      </c>
      <c r="D32" s="30" t="n">
        <f aca="false">IF(B32=6,10,5)</f>
        <v>5</v>
      </c>
      <c r="E32" s="31" t="s">
        <v>140</v>
      </c>
      <c r="F32" s="31" t="s">
        <v>129</v>
      </c>
      <c r="G32" s="32" t="n">
        <v>0.0119212962962963</v>
      </c>
      <c r="H32" s="33" t="n">
        <f aca="false">G32*D32/C32</f>
        <v>0.0096139486260454</v>
      </c>
      <c r="I32" s="31" t="s">
        <v>127</v>
      </c>
      <c r="J32" s="32" t="n">
        <v>0.0124884259259259</v>
      </c>
      <c r="K32" s="34" t="n">
        <v>11</v>
      </c>
      <c r="L32" s="33" t="n">
        <f aca="false">J32*D32/C32</f>
        <v>0.0100713112305854</v>
      </c>
      <c r="M32" s="35" t="n">
        <f aca="false">ROUND((L32-H32)*86400,1)</f>
        <v>39.5</v>
      </c>
    </row>
    <row r="33" customFormat="false" ht="15" hidden="false" customHeight="false" outlineLevel="0" collapsed="false">
      <c r="A33" s="28" t="s">
        <v>65</v>
      </c>
      <c r="B33" s="28" t="n">
        <v>5</v>
      </c>
      <c r="C33" s="29" t="n">
        <v>6.4</v>
      </c>
      <c r="D33" s="30" t="n">
        <f aca="false">IF(B33=6,10,5)</f>
        <v>5</v>
      </c>
      <c r="E33" s="31" t="s">
        <v>141</v>
      </c>
      <c r="F33" s="31" t="s">
        <v>129</v>
      </c>
      <c r="G33" s="32" t="n">
        <v>0.0122106481481482</v>
      </c>
      <c r="H33" s="33" t="n">
        <f aca="false">G33*D33/C33</f>
        <v>0.00953956886574074</v>
      </c>
      <c r="I33" s="31" t="s">
        <v>142</v>
      </c>
      <c r="J33" s="32" t="n">
        <v>0.0124074074074074</v>
      </c>
      <c r="K33" s="34" t="n">
        <v>7</v>
      </c>
      <c r="L33" s="33" t="n">
        <f aca="false">J33*D33/C33</f>
        <v>0.00969328703703704</v>
      </c>
      <c r="M33" s="35" t="n">
        <f aca="false">ROUND((L33-H33)*86400,1)</f>
        <v>13.3</v>
      </c>
    </row>
    <row r="34" customFormat="false" ht="15" hidden="false" customHeight="false" outlineLevel="0" collapsed="false">
      <c r="A34" s="28" t="s">
        <v>65</v>
      </c>
      <c r="B34" s="28" t="n">
        <v>6</v>
      </c>
      <c r="C34" s="29" t="n">
        <v>10.2</v>
      </c>
      <c r="D34" s="30" t="n">
        <f aca="false">IF(B34=6,10,5)</f>
        <v>10</v>
      </c>
      <c r="E34" s="31" t="s">
        <v>143</v>
      </c>
      <c r="F34" s="31" t="s">
        <v>129</v>
      </c>
      <c r="G34" s="32" t="n">
        <v>0.0201388888888889</v>
      </c>
      <c r="H34" s="33" t="n">
        <f aca="false">G34*D34/C34</f>
        <v>0.019744008714597</v>
      </c>
      <c r="I34" s="31" t="s">
        <v>144</v>
      </c>
      <c r="J34" s="32" t="n">
        <v>0.0211226851851852</v>
      </c>
      <c r="K34" s="34" t="n">
        <v>9</v>
      </c>
      <c r="L34" s="33" t="n">
        <f aca="false">J34*D34/C34</f>
        <v>0.0207085148874365</v>
      </c>
      <c r="M34" s="35" t="n">
        <f aca="false">ROUND((L34-H34)*86400,1)</f>
        <v>83.3</v>
      </c>
    </row>
  </sheetData>
  <autoFilter ref="A4:M34"/>
  <mergeCells count="1">
    <mergeCell ref="A2:M2"/>
  </mergeCells>
  <conditionalFormatting sqref="M5:M34">
    <cfRule type="colorScale" priority="2">
      <colorScale>
        <cfvo type="num" val="0"/>
        <cfvo type="num" val="80"/>
        <color rgb="FFFFFFFF"/>
        <color rgb="FFF8696B"/>
      </colorScale>
    </cfRule>
  </conditionalFormatting>
  <conditionalFormatting sqref="K5:K34">
    <cfRule type="expression" priority="3" aboveAverage="0" equalAverage="0" bottom="0" percent="0" rank="0" text="" dxfId="29">
      <formula>$K5=1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K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1" min="10" style="0" width="9"/>
  </cols>
  <sheetData>
    <row r="1" customFormat="false" ht="19.4" hidden="false" customHeight="false" outlineLevel="0" collapsed="false">
      <c r="A1" s="39" t="s">
        <v>145</v>
      </c>
    </row>
    <row r="2" customFormat="false" ht="30" hidden="false" customHeight="true" outlineLevel="0" collapsed="false">
      <c r="A2" s="10" t="s">
        <v>146</v>
      </c>
      <c r="B2" s="10"/>
      <c r="C2" s="10"/>
      <c r="D2" s="10"/>
      <c r="E2" s="10"/>
      <c r="F2" s="10"/>
      <c r="G2" s="10"/>
      <c r="H2" s="10"/>
      <c r="I2" s="10"/>
      <c r="J2" s="10"/>
      <c r="K2" s="10"/>
    </row>
    <row r="4" customFormat="false" ht="33.75" hidden="false" customHeight="true" outlineLevel="0" collapsed="false">
      <c r="A4" s="11" t="s">
        <v>44</v>
      </c>
      <c r="B4" s="11" t="s">
        <v>78</v>
      </c>
      <c r="C4" s="11" t="s">
        <v>147</v>
      </c>
      <c r="D4" s="12" t="s">
        <v>148</v>
      </c>
      <c r="E4" s="11" t="s">
        <v>149</v>
      </c>
      <c r="F4" s="11" t="s">
        <v>150</v>
      </c>
      <c r="G4" s="11" t="s">
        <v>90</v>
      </c>
      <c r="H4" s="11" t="s">
        <v>151</v>
      </c>
      <c r="I4" s="11" t="s">
        <v>152</v>
      </c>
      <c r="J4" s="11" t="s">
        <v>91</v>
      </c>
      <c r="K4" s="11" t="s">
        <v>24</v>
      </c>
    </row>
    <row r="5" customFormat="false" ht="15" hidden="false" customHeight="false" outlineLevel="0" collapsed="false">
      <c r="A5" s="28" t="s">
        <v>61</v>
      </c>
      <c r="B5" s="28" t="n">
        <v>1</v>
      </c>
      <c r="C5" s="31" t="s">
        <v>153</v>
      </c>
      <c r="D5" s="40" t="n">
        <v>0.00959375</v>
      </c>
      <c r="E5" s="31" t="s">
        <v>154</v>
      </c>
      <c r="F5" s="32" t="n">
        <v>0.0157986111111111</v>
      </c>
      <c r="G5" s="34" t="n">
        <v>3</v>
      </c>
      <c r="H5" s="29" t="n">
        <v>8</v>
      </c>
      <c r="I5" s="41" t="n">
        <f aca="false">F5*5/H5</f>
        <v>0.00987413194444444</v>
      </c>
      <c r="J5" s="35" t="n">
        <f aca="false">ROUND((I5-D5)*86400,1)</f>
        <v>24.2</v>
      </c>
      <c r="K5" s="42" t="n">
        <f aca="false">I5/D5-1</f>
        <v>0.0292254795512124</v>
      </c>
    </row>
    <row r="6" customFormat="false" ht="15" hidden="false" customHeight="false" outlineLevel="0" collapsed="false">
      <c r="A6" s="28" t="s">
        <v>61</v>
      </c>
      <c r="B6" s="28" t="n">
        <v>2</v>
      </c>
      <c r="C6" s="31" t="s">
        <v>155</v>
      </c>
      <c r="D6" s="40" t="n">
        <v>0.00956956018518518</v>
      </c>
      <c r="E6" s="31" t="s">
        <v>154</v>
      </c>
      <c r="F6" s="32" t="n">
        <v>0.0109027777777778</v>
      </c>
      <c r="G6" s="34" t="n">
        <v>4</v>
      </c>
      <c r="H6" s="29" t="n">
        <v>5.8</v>
      </c>
      <c r="I6" s="41" t="n">
        <f aca="false">F6*5/H6</f>
        <v>0.00939894636015326</v>
      </c>
      <c r="J6" s="35" t="n">
        <f aca="false">ROUND((I6-D6)*86400,1)</f>
        <v>-14.7</v>
      </c>
      <c r="K6" s="42" t="n">
        <f aca="false">I6/D6-1</f>
        <v>-0.0178288052669395</v>
      </c>
    </row>
    <row r="7" customFormat="false" ht="15" hidden="false" customHeight="false" outlineLevel="0" collapsed="false">
      <c r="A7" s="28" t="s">
        <v>61</v>
      </c>
      <c r="B7" s="28" t="n">
        <v>3</v>
      </c>
      <c r="C7" s="31" t="s">
        <v>156</v>
      </c>
      <c r="D7" s="40" t="n">
        <v>0.00952627314814815</v>
      </c>
      <c r="E7" s="31" t="s">
        <v>154</v>
      </c>
      <c r="F7" s="32" t="n">
        <v>0.0165625</v>
      </c>
      <c r="G7" s="34" t="n">
        <v>3</v>
      </c>
      <c r="H7" s="29" t="n">
        <v>8.5</v>
      </c>
      <c r="I7" s="41" t="n">
        <f aca="false">F7*5/H7</f>
        <v>0.00974264705882353</v>
      </c>
      <c r="J7" s="35" t="n">
        <f aca="false">ROUND((I7-D7)*86400,1)</f>
        <v>18.7</v>
      </c>
      <c r="K7" s="42" t="n">
        <f aca="false">I7/D7-1</f>
        <v>0.0227133851098364</v>
      </c>
    </row>
    <row r="8" customFormat="false" ht="15" hidden="false" customHeight="false" outlineLevel="0" collapsed="false">
      <c r="A8" s="28" t="s">
        <v>61</v>
      </c>
      <c r="B8" s="28" t="n">
        <v>4</v>
      </c>
      <c r="C8" s="31" t="s">
        <v>157</v>
      </c>
      <c r="D8" s="40" t="n">
        <v>0.00991412037037037</v>
      </c>
      <c r="E8" s="31" t="s">
        <v>154</v>
      </c>
      <c r="F8" s="32" t="n">
        <v>0.0130208333333333</v>
      </c>
      <c r="G8" s="34" t="n">
        <v>6</v>
      </c>
      <c r="H8" s="29" t="n">
        <v>6.2</v>
      </c>
      <c r="I8" s="41" t="n">
        <f aca="false">F8*5/H8</f>
        <v>0.0105006720430108</v>
      </c>
      <c r="J8" s="35" t="n">
        <f aca="false">ROUND((I8-D8)*86400,1)</f>
        <v>50.7</v>
      </c>
      <c r="K8" s="42" t="n">
        <f aca="false">I8/D8-1</f>
        <v>0.0591632591423206</v>
      </c>
    </row>
    <row r="9" customFormat="false" ht="15" hidden="false" customHeight="false" outlineLevel="0" collapsed="false">
      <c r="A9" s="28" t="s">
        <v>61</v>
      </c>
      <c r="B9" s="28" t="n">
        <v>5</v>
      </c>
      <c r="C9" s="31" t="s">
        <v>158</v>
      </c>
      <c r="D9" s="40" t="n">
        <v>0.00985868055555556</v>
      </c>
      <c r="E9" s="31" t="s">
        <v>154</v>
      </c>
      <c r="F9" s="32" t="n">
        <v>0.0135416666666667</v>
      </c>
      <c r="G9" s="34" t="n">
        <v>6</v>
      </c>
      <c r="H9" s="29" t="n">
        <v>6.4</v>
      </c>
      <c r="I9" s="41" t="n">
        <f aca="false">F9*5/H9</f>
        <v>0.0105794270833333</v>
      </c>
      <c r="J9" s="35" t="n">
        <f aca="false">ROUND((I9-D9)*86400,1)</f>
        <v>62.3</v>
      </c>
      <c r="K9" s="42" t="n">
        <f aca="false">I9/D9-1</f>
        <v>0.0731078082626002</v>
      </c>
    </row>
    <row r="10" customFormat="false" ht="15" hidden="false" customHeight="false" outlineLevel="0" collapsed="false">
      <c r="A10" s="28" t="s">
        <v>61</v>
      </c>
      <c r="B10" s="28" t="n">
        <v>6</v>
      </c>
      <c r="C10" s="31" t="s">
        <v>159</v>
      </c>
      <c r="D10" s="40" t="n">
        <v>0.00955810185185185</v>
      </c>
      <c r="E10" s="31" t="s">
        <v>154</v>
      </c>
      <c r="F10" s="32" t="n">
        <v>0.0206597222222222</v>
      </c>
      <c r="G10" s="34" t="n">
        <v>3</v>
      </c>
      <c r="H10" s="29" t="n">
        <v>10.2</v>
      </c>
      <c r="I10" s="41" t="n">
        <f aca="false">F10*5/H10</f>
        <v>0.0101273148148148</v>
      </c>
      <c r="J10" s="35" t="n">
        <f aca="false">ROUND((I10-D10)*86400,1)</f>
        <v>49.2</v>
      </c>
      <c r="K10" s="42" t="n">
        <f aca="false">I10/D10-1</f>
        <v>0.0595529292097552</v>
      </c>
    </row>
    <row r="11" customFormat="false" ht="15" hidden="false" customHeight="false" outlineLevel="0" collapsed="false">
      <c r="A11" s="13" t="s">
        <v>62</v>
      </c>
      <c r="B11" s="13" t="n">
        <v>1</v>
      </c>
      <c r="C11" s="36" t="s">
        <v>160</v>
      </c>
      <c r="D11" s="43" t="n">
        <v>0.00945520833333333</v>
      </c>
      <c r="E11" s="36" t="s">
        <v>161</v>
      </c>
      <c r="F11" s="37" t="n">
        <v>0.01625</v>
      </c>
      <c r="G11" s="14" t="n">
        <v>6</v>
      </c>
      <c r="H11" s="24" t="n">
        <v>8</v>
      </c>
      <c r="I11" s="16" t="n">
        <f aca="false">F11*5/H11</f>
        <v>0.01015625</v>
      </c>
      <c r="J11" s="15" t="n">
        <f aca="false">ROUND((I11-D11)*86400,1)</f>
        <v>60.6</v>
      </c>
      <c r="K11" s="44" t="n">
        <f aca="false">I11/D11-1</f>
        <v>0.0741434394623775</v>
      </c>
    </row>
    <row r="12" customFormat="false" ht="15" hidden="false" customHeight="false" outlineLevel="0" collapsed="false">
      <c r="A12" s="13" t="s">
        <v>62</v>
      </c>
      <c r="B12" s="13" t="n">
        <v>2</v>
      </c>
      <c r="C12" s="36" t="s">
        <v>162</v>
      </c>
      <c r="D12" s="43" t="n">
        <v>0.00945081018518519</v>
      </c>
      <c r="E12" s="36" t="s">
        <v>161</v>
      </c>
      <c r="F12" s="37" t="n">
        <v>0.0112037037037037</v>
      </c>
      <c r="G12" s="14" t="n">
        <v>1</v>
      </c>
      <c r="H12" s="24" t="n">
        <v>5.8</v>
      </c>
      <c r="I12" s="16" t="n">
        <f aca="false">F12*5/H12</f>
        <v>0.00965836526181354</v>
      </c>
      <c r="J12" s="15" t="n">
        <f aca="false">ROUND((I12-D12)*86400,1)</f>
        <v>17.9</v>
      </c>
      <c r="K12" s="44" t="n">
        <f aca="false">I12/D12-1</f>
        <v>0.0219616173176038</v>
      </c>
    </row>
    <row r="13" customFormat="false" ht="15" hidden="false" customHeight="false" outlineLevel="0" collapsed="false">
      <c r="A13" s="13" t="s">
        <v>62</v>
      </c>
      <c r="B13" s="13" t="n">
        <v>3</v>
      </c>
      <c r="C13" s="36" t="s">
        <v>163</v>
      </c>
      <c r="D13" s="43" t="n">
        <v>0.0094494212962963</v>
      </c>
      <c r="E13" s="36" t="s">
        <v>161</v>
      </c>
      <c r="F13" s="37" t="n">
        <v>0.0172685185185185</v>
      </c>
      <c r="G13" s="14" t="n">
        <v>3</v>
      </c>
      <c r="H13" s="24" t="n">
        <v>8.5</v>
      </c>
      <c r="I13" s="16" t="n">
        <f aca="false">F13*5/H13</f>
        <v>0.0101579520697168</v>
      </c>
      <c r="J13" s="15" t="n">
        <f aca="false">ROUND((I13-D13)*86400,1)</f>
        <v>61.2</v>
      </c>
      <c r="K13" s="44" t="n">
        <f aca="false">I13/D13-1</f>
        <v>0.0749813931672396</v>
      </c>
    </row>
    <row r="14" customFormat="false" ht="15" hidden="false" customHeight="false" outlineLevel="0" collapsed="false">
      <c r="A14" s="13" t="s">
        <v>62</v>
      </c>
      <c r="B14" s="13" t="n">
        <v>4</v>
      </c>
      <c r="C14" s="36" t="s">
        <v>164</v>
      </c>
      <c r="D14" s="43" t="n">
        <v>0.00943333333333333</v>
      </c>
      <c r="E14" s="36" t="s">
        <v>161</v>
      </c>
      <c r="F14" s="37" t="n">
        <v>0.0122106481481482</v>
      </c>
      <c r="G14" s="14" t="n">
        <v>1</v>
      </c>
      <c r="H14" s="24" t="n">
        <v>6.2</v>
      </c>
      <c r="I14" s="16" t="n">
        <f aca="false">F14*5/H14</f>
        <v>0.00984729689366786</v>
      </c>
      <c r="J14" s="15" t="n">
        <f aca="false">ROUND((I14-D14)*86400,1)</f>
        <v>35.8</v>
      </c>
      <c r="K14" s="44" t="n">
        <f aca="false">I14/D14-1</f>
        <v>0.0438830629329889</v>
      </c>
    </row>
    <row r="15" customFormat="false" ht="15" hidden="false" customHeight="false" outlineLevel="0" collapsed="false">
      <c r="A15" s="13" t="s">
        <v>62</v>
      </c>
      <c r="B15" s="13" t="n">
        <v>5</v>
      </c>
      <c r="C15" s="36" t="s">
        <v>165</v>
      </c>
      <c r="D15" s="43" t="n">
        <v>0.00945289351851852</v>
      </c>
      <c r="E15" s="36" t="s">
        <v>161</v>
      </c>
      <c r="F15" s="37" t="n">
        <v>0.0132523148148148</v>
      </c>
      <c r="G15" s="14" t="n">
        <v>9</v>
      </c>
      <c r="H15" s="24" t="n">
        <v>6.4</v>
      </c>
      <c r="I15" s="16" t="n">
        <f aca="false">F15*5/H15</f>
        <v>0.0103533709490741</v>
      </c>
      <c r="J15" s="15" t="n">
        <f aca="false">ROUND((I15-D15)*86400,1)</f>
        <v>77.8</v>
      </c>
      <c r="K15" s="44" t="n">
        <f aca="false">I15/D15-1</f>
        <v>0.0952594492671992</v>
      </c>
    </row>
    <row r="16" customFormat="false" ht="15" hidden="false" customHeight="false" outlineLevel="0" collapsed="false">
      <c r="A16" s="13" t="s">
        <v>62</v>
      </c>
      <c r="B16" s="13" t="n">
        <v>6</v>
      </c>
      <c r="C16" s="36" t="s">
        <v>166</v>
      </c>
      <c r="D16" s="43" t="n">
        <v>0.00962106481481482</v>
      </c>
      <c r="E16" s="36" t="s">
        <v>161</v>
      </c>
      <c r="F16" s="37" t="n">
        <v>0.0211111111111111</v>
      </c>
      <c r="G16" s="14" t="n">
        <v>7</v>
      </c>
      <c r="H16" s="24" t="n">
        <v>10.2</v>
      </c>
      <c r="I16" s="16" t="n">
        <f aca="false">F16*5/H16</f>
        <v>0.0103485838779956</v>
      </c>
      <c r="J16" s="15" t="n">
        <f aca="false">ROUND((I16-D16)*86400,1)</f>
        <v>62.9</v>
      </c>
      <c r="K16" s="44" t="n">
        <f aca="false">I16/D16-1</f>
        <v>0.0756173123436992</v>
      </c>
    </row>
    <row r="17" customFormat="false" ht="15" hidden="false" customHeight="false" outlineLevel="0" collapsed="false">
      <c r="A17" s="28" t="s">
        <v>63</v>
      </c>
      <c r="B17" s="28" t="n">
        <v>1</v>
      </c>
      <c r="C17" s="31" t="s">
        <v>166</v>
      </c>
      <c r="D17" s="40" t="n">
        <v>0.0096212962962963</v>
      </c>
      <c r="E17" s="31" t="s">
        <v>167</v>
      </c>
      <c r="F17" s="32" t="n">
        <v>0.0164351851851852</v>
      </c>
      <c r="G17" s="34" t="n">
        <v>1</v>
      </c>
      <c r="H17" s="29" t="n">
        <v>8</v>
      </c>
      <c r="I17" s="41" t="n">
        <f aca="false">F17*5/H17</f>
        <v>0.0102719907407407</v>
      </c>
      <c r="J17" s="35" t="n">
        <f aca="false">ROUND((I17-D17)*86400,1)</f>
        <v>56.2</v>
      </c>
      <c r="K17" s="42" t="n">
        <f aca="false">I17/D17-1</f>
        <v>0.0676306419016453</v>
      </c>
    </row>
    <row r="18" customFormat="false" ht="15" hidden="false" customHeight="false" outlineLevel="0" collapsed="false">
      <c r="A18" s="28" t="s">
        <v>63</v>
      </c>
      <c r="B18" s="28" t="n">
        <v>2</v>
      </c>
      <c r="C18" s="31" t="s">
        <v>160</v>
      </c>
      <c r="D18" s="40" t="n">
        <v>0.0095974537037037</v>
      </c>
      <c r="E18" s="31" t="s">
        <v>168</v>
      </c>
      <c r="F18" s="32" t="n">
        <v>0.0114814814814815</v>
      </c>
      <c r="G18" s="34" t="n">
        <v>6</v>
      </c>
      <c r="H18" s="29" t="n">
        <v>5.8</v>
      </c>
      <c r="I18" s="41" t="n">
        <f aca="false">F18*5/H18</f>
        <v>0.0098978288633461</v>
      </c>
      <c r="J18" s="35" t="n">
        <f aca="false">ROUND((I18-D18)*86400,1)</f>
        <v>26</v>
      </c>
      <c r="K18" s="42" t="n">
        <f aca="false">I18/D18-1</f>
        <v>0.0312973804214844</v>
      </c>
    </row>
    <row r="19" customFormat="false" ht="15" hidden="false" customHeight="false" outlineLevel="0" collapsed="false">
      <c r="A19" s="28" t="s">
        <v>63</v>
      </c>
      <c r="B19" s="28" t="n">
        <v>3</v>
      </c>
      <c r="C19" s="31" t="s">
        <v>162</v>
      </c>
      <c r="D19" s="40" t="n">
        <v>0.00949016203703704</v>
      </c>
      <c r="E19" s="31" t="s">
        <v>168</v>
      </c>
      <c r="F19" s="32" t="n">
        <v>0.0166087962962963</v>
      </c>
      <c r="G19" s="34" t="n">
        <v>3</v>
      </c>
      <c r="H19" s="29" t="n">
        <v>8.5</v>
      </c>
      <c r="I19" s="41" t="n">
        <f aca="false">F19*5/H19</f>
        <v>0.00976988017429194</v>
      </c>
      <c r="J19" s="35" t="n">
        <f aca="false">ROUND((I19-D19)*86400,1)</f>
        <v>24.2</v>
      </c>
      <c r="K19" s="42" t="n">
        <f aca="false">I19/D19-1</f>
        <v>0.0294745375435375</v>
      </c>
    </row>
    <row r="20" customFormat="false" ht="15" hidden="false" customHeight="false" outlineLevel="0" collapsed="false">
      <c r="A20" s="28" t="s">
        <v>63</v>
      </c>
      <c r="B20" s="28" t="n">
        <v>4</v>
      </c>
      <c r="C20" s="31" t="s">
        <v>169</v>
      </c>
      <c r="D20" s="40" t="n">
        <v>0.00946493055555556</v>
      </c>
      <c r="E20" s="31" t="s">
        <v>168</v>
      </c>
      <c r="F20" s="32" t="n">
        <v>0.0124768518518519</v>
      </c>
      <c r="G20" s="34" t="n">
        <v>5</v>
      </c>
      <c r="H20" s="29" t="n">
        <v>6.2</v>
      </c>
      <c r="I20" s="41" t="n">
        <f aca="false">F20*5/H20</f>
        <v>0.0100619772998805</v>
      </c>
      <c r="J20" s="35" t="n">
        <f aca="false">ROUND((I20-D20)*86400,1)</f>
        <v>51.6</v>
      </c>
      <c r="K20" s="42" t="n">
        <f aca="false">I20/D20-1</f>
        <v>0.06307988641021</v>
      </c>
    </row>
    <row r="21" customFormat="false" ht="15" hidden="false" customHeight="false" outlineLevel="0" collapsed="false">
      <c r="A21" s="28" t="s">
        <v>63</v>
      </c>
      <c r="B21" s="28" t="n">
        <v>5</v>
      </c>
      <c r="C21" s="31" t="s">
        <v>170</v>
      </c>
      <c r="D21" s="40" t="n">
        <v>0.0096494212962963</v>
      </c>
      <c r="E21" s="31" t="s">
        <v>168</v>
      </c>
      <c r="F21" s="32" t="n">
        <v>0.012962962962963</v>
      </c>
      <c r="G21" s="34" t="n">
        <v>5</v>
      </c>
      <c r="H21" s="29" t="n">
        <v>6.4</v>
      </c>
      <c r="I21" s="41" t="n">
        <f aca="false">F21*5/H21</f>
        <v>0.0101273148148148</v>
      </c>
      <c r="J21" s="35" t="n">
        <f aca="false">ROUND((I21-D21)*86400,1)</f>
        <v>41.3</v>
      </c>
      <c r="K21" s="42" t="n">
        <f aca="false">I21/D21-1</f>
        <v>0.0495256144222807</v>
      </c>
    </row>
    <row r="22" customFormat="false" ht="15" hidden="false" customHeight="false" outlineLevel="0" collapsed="false">
      <c r="A22" s="28" t="s">
        <v>63</v>
      </c>
      <c r="B22" s="28" t="n">
        <v>6</v>
      </c>
      <c r="C22" s="31" t="s">
        <v>171</v>
      </c>
      <c r="D22" s="40" t="n">
        <v>0.00973819444444445</v>
      </c>
      <c r="E22" s="31" t="s">
        <v>168</v>
      </c>
      <c r="F22" s="32" t="n">
        <v>0.0205902777777778</v>
      </c>
      <c r="G22" s="34" t="n">
        <v>3</v>
      </c>
      <c r="H22" s="29" t="n">
        <v>10.2</v>
      </c>
      <c r="I22" s="41" t="n">
        <f aca="false">F22*5/H22</f>
        <v>0.0100932734204793</v>
      </c>
      <c r="J22" s="35" t="n">
        <f aca="false">ROUND((I22-D22)*86400,1)</f>
        <v>30.7</v>
      </c>
      <c r="K22" s="42" t="n">
        <f aca="false">I22/D22-1</f>
        <v>0.0364625062747057</v>
      </c>
    </row>
    <row r="23" customFormat="false" ht="15" hidden="false" customHeight="false" outlineLevel="0" collapsed="false">
      <c r="A23" s="13" t="s">
        <v>64</v>
      </c>
      <c r="B23" s="13" t="n">
        <v>1</v>
      </c>
      <c r="C23" s="36" t="s">
        <v>172</v>
      </c>
      <c r="D23" s="43" t="n">
        <v>0.00951111111111111</v>
      </c>
      <c r="E23" s="36" t="s">
        <v>167</v>
      </c>
      <c r="F23" s="37" t="n">
        <v>0.0165046296296296</v>
      </c>
      <c r="G23" s="14" t="n">
        <v>6</v>
      </c>
      <c r="H23" s="24" t="n">
        <v>8</v>
      </c>
      <c r="I23" s="16" t="n">
        <f aca="false">F23*5/H23</f>
        <v>0.0103153935185185</v>
      </c>
      <c r="J23" s="15" t="n">
        <f aca="false">ROUND((I23-D23)*86400,1)</f>
        <v>69.5</v>
      </c>
      <c r="K23" s="44" t="n">
        <f aca="false">I23/D23-1</f>
        <v>0.0845624026479752</v>
      </c>
    </row>
    <row r="24" customFormat="false" ht="15" hidden="false" customHeight="false" outlineLevel="0" collapsed="false">
      <c r="A24" s="13" t="s">
        <v>64</v>
      </c>
      <c r="B24" s="13" t="n">
        <v>2</v>
      </c>
      <c r="C24" s="36" t="s">
        <v>173</v>
      </c>
      <c r="D24" s="43" t="n">
        <v>0.00970798611111111</v>
      </c>
      <c r="E24" s="36" t="s">
        <v>167</v>
      </c>
      <c r="F24" s="37" t="n">
        <v>0.0117592592592593</v>
      </c>
      <c r="G24" s="14" t="n">
        <v>10</v>
      </c>
      <c r="H24" s="24" t="n">
        <v>5.8</v>
      </c>
      <c r="I24" s="16" t="n">
        <f aca="false">F24*5/H24</f>
        <v>0.0101372924648787</v>
      </c>
      <c r="J24" s="15" t="n">
        <f aca="false">ROUND((I24-D24)*86400,1)</f>
        <v>37.1</v>
      </c>
      <c r="K24" s="44" t="n">
        <f aca="false">I24/D24-1</f>
        <v>0.0442219785704272</v>
      </c>
    </row>
    <row r="25" customFormat="false" ht="15" hidden="false" customHeight="false" outlineLevel="0" collapsed="false">
      <c r="A25" s="13" t="s">
        <v>64</v>
      </c>
      <c r="B25" s="13" t="n">
        <v>3</v>
      </c>
      <c r="C25" s="36" t="s">
        <v>174</v>
      </c>
      <c r="D25" s="43" t="n">
        <v>0.00958854166666667</v>
      </c>
      <c r="E25" s="36" t="s">
        <v>167</v>
      </c>
      <c r="F25" s="37" t="n">
        <v>0.0175578703703704</v>
      </c>
      <c r="G25" s="14" t="n">
        <v>10</v>
      </c>
      <c r="H25" s="24" t="n">
        <v>8.5</v>
      </c>
      <c r="I25" s="16" t="n">
        <f aca="false">F25*5/H25</f>
        <v>0.0103281590413943</v>
      </c>
      <c r="J25" s="15" t="n">
        <f aca="false">ROUND((I25-D25)*86400,1)</f>
        <v>63.9</v>
      </c>
      <c r="K25" s="44" t="n">
        <f aca="false">I25/D25-1</f>
        <v>0.077135543697834</v>
      </c>
    </row>
    <row r="26" customFormat="false" ht="15" hidden="false" customHeight="false" outlineLevel="0" collapsed="false">
      <c r="A26" s="13" t="s">
        <v>64</v>
      </c>
      <c r="B26" s="13" t="n">
        <v>4</v>
      </c>
      <c r="C26" s="36" t="s">
        <v>175</v>
      </c>
      <c r="D26" s="43" t="n">
        <v>0.0095369212962963</v>
      </c>
      <c r="E26" s="36" t="s">
        <v>167</v>
      </c>
      <c r="F26" s="37" t="n">
        <v>0.0123148148148148</v>
      </c>
      <c r="G26" s="14" t="n">
        <v>8</v>
      </c>
      <c r="H26" s="24" t="n">
        <v>6.2</v>
      </c>
      <c r="I26" s="16" t="n">
        <f aca="false">F26*5/H26</f>
        <v>0.00993130227001194</v>
      </c>
      <c r="J26" s="15" t="n">
        <f aca="false">ROUND((I26-D26)*86400,1)</f>
        <v>34.1</v>
      </c>
      <c r="K26" s="44" t="n">
        <f aca="false">I26/D26-1</f>
        <v>0.0413530699754023</v>
      </c>
    </row>
    <row r="27" customFormat="false" ht="15" hidden="false" customHeight="false" outlineLevel="0" collapsed="false">
      <c r="A27" s="13" t="s">
        <v>64</v>
      </c>
      <c r="B27" s="13" t="n">
        <v>5</v>
      </c>
      <c r="C27" s="36" t="s">
        <v>176</v>
      </c>
      <c r="D27" s="43" t="n">
        <v>0.00960138888888889</v>
      </c>
      <c r="E27" s="36" t="s">
        <v>167</v>
      </c>
      <c r="F27" s="37" t="n">
        <v>0.0124305555555556</v>
      </c>
      <c r="G27" s="14" t="n">
        <v>1</v>
      </c>
      <c r="H27" s="24" t="n">
        <v>6.4</v>
      </c>
      <c r="I27" s="16" t="n">
        <f aca="false">F27*5/H27</f>
        <v>0.00971137152777778</v>
      </c>
      <c r="J27" s="15" t="n">
        <f aca="false">ROUND((I27-D27)*86400,1)</f>
        <v>9.5</v>
      </c>
      <c r="K27" s="44" t="n">
        <f aca="false">I27/D27-1</f>
        <v>0.0114548676406772</v>
      </c>
    </row>
    <row r="28" customFormat="false" ht="15" hidden="false" customHeight="false" outlineLevel="0" collapsed="false">
      <c r="A28" s="13" t="s">
        <v>64</v>
      </c>
      <c r="B28" s="13" t="n">
        <v>6</v>
      </c>
      <c r="C28" s="36" t="s">
        <v>162</v>
      </c>
      <c r="D28" s="43" t="n">
        <v>0.00942141203703704</v>
      </c>
      <c r="E28" s="36" t="s">
        <v>167</v>
      </c>
      <c r="F28" s="37" t="n">
        <v>0.0203125</v>
      </c>
      <c r="G28" s="14" t="n">
        <v>1</v>
      </c>
      <c r="H28" s="24" t="n">
        <v>10.2</v>
      </c>
      <c r="I28" s="16" t="n">
        <f aca="false">F28*5/H28</f>
        <v>0.00995710784313726</v>
      </c>
      <c r="J28" s="15" t="n">
        <f aca="false">ROUND((I28-D28)*86400,1)</f>
        <v>46.3</v>
      </c>
      <c r="K28" s="44" t="n">
        <f aca="false">I28/D28-1</f>
        <v>0.0568593968711182</v>
      </c>
    </row>
    <row r="29" customFormat="false" ht="26.85" hidden="false" customHeight="false" outlineLevel="0" collapsed="false">
      <c r="A29" s="28" t="s">
        <v>65</v>
      </c>
      <c r="B29" s="28" t="n">
        <v>1</v>
      </c>
      <c r="C29" s="31" t="s">
        <v>177</v>
      </c>
      <c r="D29" s="32" t="n">
        <v>0.00945601851851852</v>
      </c>
      <c r="E29" s="31" t="s">
        <v>178</v>
      </c>
      <c r="F29" s="32" t="n">
        <v>0.0158333333333333</v>
      </c>
      <c r="G29" s="34" t="n">
        <v>2</v>
      </c>
      <c r="H29" s="29" t="n">
        <v>8</v>
      </c>
      <c r="I29" s="41" t="n">
        <f aca="false">F29*5/H29</f>
        <v>0.00989583333333333</v>
      </c>
      <c r="J29" s="35" t="n">
        <f aca="false">ROUND((I29-D29)*86400,1)</f>
        <v>38</v>
      </c>
      <c r="K29" s="42" t="n">
        <f aca="false">I29/D29-1</f>
        <v>0.0465116279069768</v>
      </c>
    </row>
    <row r="30" customFormat="false" ht="26.85" hidden="false" customHeight="false" outlineLevel="0" collapsed="false">
      <c r="A30" s="28" t="s">
        <v>65</v>
      </c>
      <c r="B30" s="28" t="n">
        <v>2</v>
      </c>
      <c r="C30" s="31" t="s">
        <v>165</v>
      </c>
      <c r="D30" s="32" t="n">
        <v>0.00944444444444445</v>
      </c>
      <c r="E30" s="31" t="s">
        <v>178</v>
      </c>
      <c r="F30" s="32" t="n">
        <v>0.0112268518518519</v>
      </c>
      <c r="G30" s="34" t="n">
        <v>9</v>
      </c>
      <c r="H30" s="29" t="n">
        <v>5.8</v>
      </c>
      <c r="I30" s="41" t="n">
        <f aca="false">F30*5/H30</f>
        <v>0.00967832056194125</v>
      </c>
      <c r="J30" s="35" t="n">
        <f aca="false">ROUND((I30-D30)*86400,1)</f>
        <v>20.2</v>
      </c>
      <c r="K30" s="42" t="n">
        <f aca="false">I30/D30-1</f>
        <v>0.0247633536173089</v>
      </c>
    </row>
    <row r="31" customFormat="false" ht="26.85" hidden="false" customHeight="false" outlineLevel="0" collapsed="false">
      <c r="A31" s="28" t="s">
        <v>65</v>
      </c>
      <c r="B31" s="28" t="n">
        <v>3</v>
      </c>
      <c r="C31" s="31" t="s">
        <v>174</v>
      </c>
      <c r="D31" s="32" t="n">
        <v>0.00943287037037037</v>
      </c>
      <c r="E31" s="31" t="s">
        <v>178</v>
      </c>
      <c r="F31" s="32" t="n">
        <v>0.0171180555555556</v>
      </c>
      <c r="G31" s="34" t="n">
        <v>11</v>
      </c>
      <c r="H31" s="29" t="n">
        <v>8.5</v>
      </c>
      <c r="I31" s="41" t="n">
        <f aca="false">F31*5/H31</f>
        <v>0.0100694444444444</v>
      </c>
      <c r="J31" s="35" t="n">
        <f aca="false">ROUND((I31-D31)*86400,1)</f>
        <v>55</v>
      </c>
      <c r="K31" s="42" t="n">
        <f aca="false">I31/D31-1</f>
        <v>0.0674846625766874</v>
      </c>
    </row>
    <row r="32" customFormat="false" ht="26.85" hidden="false" customHeight="false" outlineLevel="0" collapsed="false">
      <c r="A32" s="28" t="s">
        <v>65</v>
      </c>
      <c r="B32" s="28" t="n">
        <v>4</v>
      </c>
      <c r="C32" s="31" t="s">
        <v>172</v>
      </c>
      <c r="D32" s="32" t="n">
        <v>0.00951388888888889</v>
      </c>
      <c r="E32" s="31" t="s">
        <v>178</v>
      </c>
      <c r="F32" s="32" t="n">
        <v>0.0124884259259259</v>
      </c>
      <c r="G32" s="34" t="n">
        <v>11</v>
      </c>
      <c r="H32" s="29" t="n">
        <v>6.2</v>
      </c>
      <c r="I32" s="41" t="n">
        <f aca="false">F32*5/H32</f>
        <v>0.0100713112305854</v>
      </c>
      <c r="J32" s="35" t="n">
        <f aca="false">ROUND((I32-D32)*86400,1)</f>
        <v>48.2</v>
      </c>
      <c r="K32" s="42" t="n">
        <f aca="false">I32/D32-1</f>
        <v>0.0585903775213879</v>
      </c>
    </row>
    <row r="33" customFormat="false" ht="26.85" hidden="false" customHeight="false" outlineLevel="0" collapsed="false">
      <c r="A33" s="28" t="s">
        <v>65</v>
      </c>
      <c r="B33" s="28" t="n">
        <v>5</v>
      </c>
      <c r="C33" s="31" t="s">
        <v>179</v>
      </c>
      <c r="D33" s="32" t="n">
        <v>0.00949074074074074</v>
      </c>
      <c r="E33" s="31" t="s">
        <v>178</v>
      </c>
      <c r="F33" s="32" t="n">
        <v>0.0124074074074074</v>
      </c>
      <c r="G33" s="34" t="n">
        <v>7</v>
      </c>
      <c r="H33" s="29" t="n">
        <v>6.4</v>
      </c>
      <c r="I33" s="41" t="n">
        <f aca="false">F33*5/H33</f>
        <v>0.00969328703703704</v>
      </c>
      <c r="J33" s="35" t="n">
        <f aca="false">ROUND((I33-D33)*86400,1)</f>
        <v>17.5</v>
      </c>
      <c r="K33" s="42" t="n">
        <f aca="false">I33/D33-1</f>
        <v>0.0213414634146343</v>
      </c>
    </row>
    <row r="34" customFormat="false" ht="26.85" hidden="false" customHeight="false" outlineLevel="0" collapsed="false">
      <c r="A34" s="28" t="s">
        <v>65</v>
      </c>
      <c r="B34" s="28" t="n">
        <v>6</v>
      </c>
      <c r="C34" s="31" t="s">
        <v>180</v>
      </c>
      <c r="D34" s="32" t="n">
        <v>0.00947916666666667</v>
      </c>
      <c r="E34" s="31" t="s">
        <v>178</v>
      </c>
      <c r="F34" s="32" t="n">
        <v>0.0211226851851852</v>
      </c>
      <c r="G34" s="34" t="n">
        <v>9</v>
      </c>
      <c r="H34" s="29" t="n">
        <v>10.2</v>
      </c>
      <c r="I34" s="41" t="n">
        <f aca="false">F34*5/H34</f>
        <v>0.0103542574437182</v>
      </c>
      <c r="J34" s="35" t="n">
        <f aca="false">ROUND((I34-D34)*86400,1)</f>
        <v>75.6</v>
      </c>
      <c r="K34" s="42" t="n">
        <f aca="false">I34/D34-1</f>
        <v>0.0923172687878573</v>
      </c>
    </row>
  </sheetData>
  <autoFilter ref="A4:K34"/>
  <mergeCells count="1">
    <mergeCell ref="A2:K2"/>
  </mergeCells>
  <conditionalFormatting sqref="K5:K34">
    <cfRule type="colorScale" priority="2">
      <colorScale>
        <cfvo type="num" val="0"/>
        <cfvo type="num" val="0.05"/>
        <cfvo type="num" val="0.095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F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6" min="5" style="0" width="8"/>
  </cols>
  <sheetData>
    <row r="1" customFormat="false" ht="19.4" hidden="false" customHeight="false" outlineLevel="0" collapsed="false">
      <c r="A1" s="9" t="s">
        <v>181</v>
      </c>
    </row>
    <row r="2" customFormat="false" ht="30" hidden="false" customHeight="true" outlineLevel="0" collapsed="false">
      <c r="A2" s="10" t="s">
        <v>182</v>
      </c>
      <c r="B2" s="10"/>
      <c r="C2" s="10"/>
      <c r="D2" s="10"/>
      <c r="E2" s="10"/>
      <c r="F2" s="10"/>
    </row>
    <row r="4" customFormat="false" ht="33.75" hidden="false" customHeight="true" outlineLevel="0" collapsed="false">
      <c r="A4" s="11" t="s">
        <v>44</v>
      </c>
      <c r="B4" s="11" t="s">
        <v>147</v>
      </c>
      <c r="C4" s="11" t="s">
        <v>183</v>
      </c>
      <c r="D4" s="11" t="s">
        <v>149</v>
      </c>
      <c r="E4" s="11" t="s">
        <v>184</v>
      </c>
      <c r="F4" s="11" t="s">
        <v>185</v>
      </c>
    </row>
    <row r="5" customFormat="false" ht="15" hidden="false" customHeight="false" outlineLevel="0" collapsed="false">
      <c r="A5" s="28" t="s">
        <v>61</v>
      </c>
      <c r="B5" s="31" t="s">
        <v>156</v>
      </c>
      <c r="C5" s="40" t="n">
        <v>0.00952627314814815</v>
      </c>
      <c r="D5" s="31" t="s">
        <v>154</v>
      </c>
      <c r="E5" s="34" t="n">
        <v>3</v>
      </c>
      <c r="F5" s="45" t="str">
        <f aca="false">IF(COUNTIFS(5000m比較!$A$5:$A$34,A5,5000m比較!$C$5:$C$34,B5)&gt;0,"○","")</f>
        <v>○</v>
      </c>
    </row>
    <row r="6" customFormat="false" ht="15" hidden="false" customHeight="false" outlineLevel="0" collapsed="false">
      <c r="A6" s="28" t="s">
        <v>61</v>
      </c>
      <c r="B6" s="31" t="s">
        <v>159</v>
      </c>
      <c r="C6" s="40" t="n">
        <v>0.00955810185185185</v>
      </c>
      <c r="D6" s="31" t="s">
        <v>154</v>
      </c>
      <c r="E6" s="34" t="n">
        <v>6</v>
      </c>
      <c r="F6" s="45" t="str">
        <f aca="false">IF(COUNTIFS(5000m比較!$A$5:$A$34,A6,5000m比較!$C$5:$C$34,B6)&gt;0,"○","")</f>
        <v>○</v>
      </c>
    </row>
    <row r="7" customFormat="false" ht="15" hidden="false" customHeight="false" outlineLevel="0" collapsed="false">
      <c r="A7" s="28" t="s">
        <v>61</v>
      </c>
      <c r="B7" s="31" t="s">
        <v>155</v>
      </c>
      <c r="C7" s="40" t="n">
        <v>0.00956956018518518</v>
      </c>
      <c r="D7" s="31" t="s">
        <v>154</v>
      </c>
      <c r="E7" s="34" t="n">
        <v>7</v>
      </c>
      <c r="F7" s="45" t="str">
        <f aca="false">IF(COUNTIFS(5000m比較!$A$5:$A$34,A7,5000m比較!$C$5:$C$34,B7)&gt;0,"○","")</f>
        <v>○</v>
      </c>
    </row>
    <row r="8" customFormat="false" ht="15" hidden="false" customHeight="false" outlineLevel="0" collapsed="false">
      <c r="A8" s="28" t="s">
        <v>61</v>
      </c>
      <c r="B8" s="31" t="s">
        <v>153</v>
      </c>
      <c r="C8" s="40" t="n">
        <v>0.00959375</v>
      </c>
      <c r="D8" s="31" t="s">
        <v>154</v>
      </c>
      <c r="E8" s="34" t="n">
        <v>8</v>
      </c>
      <c r="F8" s="45" t="str">
        <f aca="false">IF(COUNTIFS(5000m比較!$A$5:$A$34,A8,5000m比較!$C$5:$C$34,B8)&gt;0,"○","")</f>
        <v>○</v>
      </c>
    </row>
    <row r="9" customFormat="false" ht="15" hidden="false" customHeight="false" outlineLevel="0" collapsed="false">
      <c r="A9" s="28" t="s">
        <v>61</v>
      </c>
      <c r="B9" s="31" t="s">
        <v>162</v>
      </c>
      <c r="C9" s="40" t="n">
        <v>0.00967615740740741</v>
      </c>
      <c r="D9" s="31" t="s">
        <v>154</v>
      </c>
      <c r="E9" s="34" t="n">
        <v>10</v>
      </c>
      <c r="F9" s="45" t="str">
        <f aca="false">IF(COUNTIFS(5000m比較!$A$5:$A$34,A9,5000m比較!$C$5:$C$34,B9)&gt;0,"○","")</f>
        <v/>
      </c>
    </row>
    <row r="10" customFormat="false" ht="15" hidden="false" customHeight="false" outlineLevel="0" collapsed="false">
      <c r="A10" s="28" t="s">
        <v>61</v>
      </c>
      <c r="B10" s="31" t="s">
        <v>163</v>
      </c>
      <c r="C10" s="40" t="n">
        <v>0.00970798611111111</v>
      </c>
      <c r="D10" s="31" t="s">
        <v>154</v>
      </c>
      <c r="E10" s="34" t="n">
        <v>11</v>
      </c>
      <c r="F10" s="45" t="str">
        <f aca="false">IF(COUNTIFS(5000m比較!$A$5:$A$34,A10,5000m比較!$C$5:$C$34,B10)&gt;0,"○","")</f>
        <v/>
      </c>
    </row>
    <row r="11" customFormat="false" ht="15" hidden="false" customHeight="false" outlineLevel="0" collapsed="false">
      <c r="A11" s="28" t="s">
        <v>61</v>
      </c>
      <c r="B11" s="31" t="s">
        <v>186</v>
      </c>
      <c r="C11" s="40" t="n">
        <v>0.00973923611111111</v>
      </c>
      <c r="D11" s="31" t="s">
        <v>154</v>
      </c>
      <c r="E11" s="34" t="n">
        <v>12</v>
      </c>
      <c r="F11" s="45" t="str">
        <f aca="false">IF(COUNTIFS(5000m比較!$A$5:$A$34,A11,5000m比較!$C$5:$C$34,B11)&gt;0,"○","")</f>
        <v/>
      </c>
    </row>
    <row r="12" customFormat="false" ht="15" hidden="false" customHeight="false" outlineLevel="0" collapsed="false">
      <c r="A12" s="28" t="s">
        <v>61</v>
      </c>
      <c r="B12" s="31" t="s">
        <v>158</v>
      </c>
      <c r="C12" s="40" t="n">
        <v>0.00985868055555556</v>
      </c>
      <c r="D12" s="31" t="s">
        <v>154</v>
      </c>
      <c r="E12" s="34" t="n">
        <v>15</v>
      </c>
      <c r="F12" s="45" t="str">
        <f aca="false">IF(COUNTIFS(5000m比較!$A$5:$A$34,A12,5000m比較!$C$5:$C$34,B12)&gt;0,"○","")</f>
        <v>○</v>
      </c>
    </row>
    <row r="13" customFormat="false" ht="15" hidden="false" customHeight="false" outlineLevel="0" collapsed="false">
      <c r="A13" s="28" t="s">
        <v>61</v>
      </c>
      <c r="B13" s="31" t="s">
        <v>187</v>
      </c>
      <c r="C13" s="40" t="n">
        <v>0.00986759259259259</v>
      </c>
      <c r="D13" s="31" t="s">
        <v>161</v>
      </c>
      <c r="E13" s="34" t="n">
        <v>1</v>
      </c>
      <c r="F13" s="45" t="str">
        <f aca="false">IF(COUNTIFS(5000m比較!$A$5:$A$34,A13,5000m比較!$C$5:$C$34,B13)&gt;0,"○","")</f>
        <v/>
      </c>
    </row>
    <row r="14" customFormat="false" ht="15" hidden="false" customHeight="false" outlineLevel="0" collapsed="false">
      <c r="A14" s="28" t="s">
        <v>61</v>
      </c>
      <c r="B14" s="31" t="s">
        <v>176</v>
      </c>
      <c r="C14" s="40" t="n">
        <v>0.00987141203703704</v>
      </c>
      <c r="D14" s="31" t="s">
        <v>154</v>
      </c>
      <c r="E14" s="34" t="n">
        <v>16</v>
      </c>
      <c r="F14" s="45" t="str">
        <f aca="false">IF(COUNTIFS(5000m比較!$A$5:$A$34,A14,5000m比較!$C$5:$C$34,B14)&gt;0,"○","")</f>
        <v/>
      </c>
    </row>
    <row r="15" customFormat="false" ht="15" hidden="false" customHeight="false" outlineLevel="0" collapsed="false">
      <c r="A15" s="28" t="s">
        <v>61</v>
      </c>
      <c r="B15" s="31" t="s">
        <v>188</v>
      </c>
      <c r="C15" s="40" t="n">
        <v>0.00988854166666667</v>
      </c>
      <c r="D15" s="31" t="s">
        <v>161</v>
      </c>
      <c r="E15" s="34" t="n">
        <v>3</v>
      </c>
      <c r="F15" s="45" t="str">
        <f aca="false">IF(COUNTIFS(5000m比較!$A$5:$A$34,A15,5000m比較!$C$5:$C$34,B15)&gt;0,"○","")</f>
        <v/>
      </c>
    </row>
    <row r="16" customFormat="false" ht="15" hidden="false" customHeight="false" outlineLevel="0" collapsed="false">
      <c r="A16" s="28" t="s">
        <v>61</v>
      </c>
      <c r="B16" s="31" t="s">
        <v>157</v>
      </c>
      <c r="C16" s="40" t="n">
        <v>0.00991412037037037</v>
      </c>
      <c r="D16" s="31" t="s">
        <v>154</v>
      </c>
      <c r="E16" s="34" t="n">
        <v>18</v>
      </c>
      <c r="F16" s="45" t="str">
        <f aca="false">IF(COUNTIFS(5000m比較!$A$5:$A$34,A16,5000m比較!$C$5:$C$34,B16)&gt;0,"○","")</f>
        <v>○</v>
      </c>
    </row>
    <row r="17" customFormat="false" ht="15" hidden="false" customHeight="false" outlineLevel="0" collapsed="false">
      <c r="A17" s="28" t="s">
        <v>61</v>
      </c>
      <c r="B17" s="31" t="s">
        <v>189</v>
      </c>
      <c r="C17" s="40" t="n">
        <v>0.0099162037037037</v>
      </c>
      <c r="D17" s="31" t="s">
        <v>161</v>
      </c>
      <c r="E17" s="34" t="n">
        <v>4</v>
      </c>
      <c r="F17" s="45" t="str">
        <f aca="false">IF(COUNTIFS(5000m比較!$A$5:$A$34,A17,5000m比較!$C$5:$C$34,B17)&gt;0,"○","")</f>
        <v/>
      </c>
    </row>
    <row r="18" customFormat="false" ht="15" hidden="false" customHeight="false" outlineLevel="0" collapsed="false">
      <c r="A18" s="28" t="s">
        <v>61</v>
      </c>
      <c r="B18" s="31" t="s">
        <v>190</v>
      </c>
      <c r="C18" s="40" t="n">
        <v>0.00992986111111111</v>
      </c>
      <c r="D18" s="31" t="s">
        <v>161</v>
      </c>
      <c r="E18" s="34" t="n">
        <v>6</v>
      </c>
      <c r="F18" s="45" t="str">
        <f aca="false">IF(COUNTIFS(5000m比較!$A$5:$A$34,A18,5000m比較!$C$5:$C$34,B18)&gt;0,"○","")</f>
        <v/>
      </c>
    </row>
    <row r="19" customFormat="false" ht="15" hidden="false" customHeight="false" outlineLevel="0" collapsed="false">
      <c r="A19" s="28" t="s">
        <v>61</v>
      </c>
      <c r="B19" s="31" t="s">
        <v>191</v>
      </c>
      <c r="C19" s="40" t="n">
        <v>0.00999814814814815</v>
      </c>
      <c r="D19" s="31" t="s">
        <v>161</v>
      </c>
      <c r="E19" s="34" t="n">
        <v>11</v>
      </c>
      <c r="F19" s="45" t="str">
        <f aca="false">IF(COUNTIFS(5000m比較!$A$5:$A$34,A19,5000m比較!$C$5:$C$34,B19)&gt;0,"○","")</f>
        <v/>
      </c>
    </row>
    <row r="20" customFormat="false" ht="15" hidden="false" customHeight="false" outlineLevel="0" collapsed="false">
      <c r="A20" s="28" t="s">
        <v>61</v>
      </c>
      <c r="B20" s="31" t="s">
        <v>192</v>
      </c>
      <c r="C20" s="40" t="n">
        <v>0.0100467592592593</v>
      </c>
      <c r="D20" s="31" t="s">
        <v>161</v>
      </c>
      <c r="E20" s="34" t="n">
        <v>13</v>
      </c>
      <c r="F20" s="45" t="str">
        <f aca="false">IF(COUNTIFS(5000m比較!$A$5:$A$34,A20,5000m比較!$C$5:$C$34,B20)&gt;0,"○","")</f>
        <v/>
      </c>
    </row>
    <row r="21" customFormat="false" ht="15" hidden="false" customHeight="false" outlineLevel="0" collapsed="false">
      <c r="A21" s="28" t="s">
        <v>61</v>
      </c>
      <c r="B21" s="31" t="s">
        <v>193</v>
      </c>
      <c r="C21" s="40" t="n">
        <v>0.0100773148148148</v>
      </c>
      <c r="D21" s="31" t="s">
        <v>161</v>
      </c>
      <c r="E21" s="34" t="n">
        <v>15</v>
      </c>
      <c r="F21" s="45" t="str">
        <f aca="false">IF(COUNTIFS(5000m比較!$A$5:$A$34,A21,5000m比較!$C$5:$C$34,B21)&gt;0,"○","")</f>
        <v/>
      </c>
    </row>
    <row r="22" customFormat="false" ht="15" hidden="false" customHeight="false" outlineLevel="0" collapsed="false">
      <c r="A22" s="28" t="s">
        <v>61</v>
      </c>
      <c r="B22" s="31" t="s">
        <v>169</v>
      </c>
      <c r="C22" s="40" t="n">
        <v>0.0101127314814815</v>
      </c>
      <c r="D22" s="31" t="s">
        <v>154</v>
      </c>
      <c r="E22" s="34" t="n">
        <v>24</v>
      </c>
      <c r="F22" s="45" t="str">
        <f aca="false">IF(COUNTIFS(5000m比較!$A$5:$A$34,A22,5000m比較!$C$5:$C$34,B22)&gt;0,"○","")</f>
        <v/>
      </c>
    </row>
    <row r="23" customFormat="false" ht="15" hidden="false" customHeight="false" outlineLevel="0" collapsed="false">
      <c r="A23" s="28" t="s">
        <v>61</v>
      </c>
      <c r="B23" s="31" t="s">
        <v>194</v>
      </c>
      <c r="C23" s="40" t="n">
        <v>0.0101721064814815</v>
      </c>
      <c r="D23" s="31" t="s">
        <v>154</v>
      </c>
      <c r="E23" s="34" t="n">
        <v>25</v>
      </c>
      <c r="F23" s="45" t="str">
        <f aca="false">IF(COUNTIFS(5000m比較!$A$5:$A$34,A23,5000m比較!$C$5:$C$34,B23)&gt;0,"○","")</f>
        <v/>
      </c>
    </row>
    <row r="24" customFormat="false" ht="15" hidden="false" customHeight="false" outlineLevel="0" collapsed="false">
      <c r="A24" s="28" t="s">
        <v>61</v>
      </c>
      <c r="B24" s="31" t="s">
        <v>195</v>
      </c>
      <c r="C24" s="40" t="n">
        <v>0.0102209490740741</v>
      </c>
      <c r="D24" s="31" t="s">
        <v>161</v>
      </c>
      <c r="E24" s="34" t="n">
        <v>25</v>
      </c>
      <c r="F24" s="45" t="str">
        <f aca="false">IF(COUNTIFS(5000m比較!$A$5:$A$34,A24,5000m比較!$C$5:$C$34,B24)&gt;0,"○","")</f>
        <v/>
      </c>
    </row>
    <row r="25" customFormat="false" ht="15" hidden="false" customHeight="false" outlineLevel="0" collapsed="false">
      <c r="A25" s="28" t="s">
        <v>61</v>
      </c>
      <c r="B25" s="31" t="s">
        <v>196</v>
      </c>
      <c r="C25" s="40" t="n">
        <v>0.0103806712962963</v>
      </c>
      <c r="D25" s="31" t="s">
        <v>161</v>
      </c>
      <c r="E25" s="34" t="n">
        <v>29</v>
      </c>
      <c r="F25" s="45" t="str">
        <f aca="false">IF(COUNTIFS(5000m比較!$A$5:$A$34,A25,5000m比較!$C$5:$C$34,B25)&gt;0,"○","")</f>
        <v/>
      </c>
    </row>
    <row r="26" customFormat="false" ht="15" hidden="false" customHeight="false" outlineLevel="0" collapsed="false">
      <c r="A26" s="13" t="s">
        <v>62</v>
      </c>
      <c r="B26" s="36" t="s">
        <v>164</v>
      </c>
      <c r="C26" s="43" t="n">
        <v>0.00943333333333333</v>
      </c>
      <c r="D26" s="36" t="s">
        <v>161</v>
      </c>
      <c r="E26" s="14" t="n">
        <v>3</v>
      </c>
      <c r="F26" s="8" t="str">
        <f aca="false">IF(COUNTIFS(5000m比較!$A$5:$A$34,A26,5000m比較!$C$5:$C$34,B26)&gt;0,"○","")</f>
        <v>○</v>
      </c>
    </row>
    <row r="27" customFormat="false" ht="15" hidden="false" customHeight="false" outlineLevel="0" collapsed="false">
      <c r="A27" s="13" t="s">
        <v>62</v>
      </c>
      <c r="B27" s="36" t="s">
        <v>163</v>
      </c>
      <c r="C27" s="43" t="n">
        <v>0.0094494212962963</v>
      </c>
      <c r="D27" s="36" t="s">
        <v>161</v>
      </c>
      <c r="E27" s="14" t="n">
        <v>4</v>
      </c>
      <c r="F27" s="8" t="str">
        <f aca="false">IF(COUNTIFS(5000m比較!$A$5:$A$34,A27,5000m比較!$C$5:$C$34,B27)&gt;0,"○","")</f>
        <v>○</v>
      </c>
    </row>
    <row r="28" customFormat="false" ht="15" hidden="false" customHeight="false" outlineLevel="0" collapsed="false">
      <c r="A28" s="13" t="s">
        <v>62</v>
      </c>
      <c r="B28" s="36" t="s">
        <v>162</v>
      </c>
      <c r="C28" s="43" t="n">
        <v>0.00945081018518519</v>
      </c>
      <c r="D28" s="36" t="s">
        <v>161</v>
      </c>
      <c r="E28" s="14" t="n">
        <v>5</v>
      </c>
      <c r="F28" s="8" t="str">
        <f aca="false">IF(COUNTIFS(5000m比較!$A$5:$A$34,A28,5000m比較!$C$5:$C$34,B28)&gt;0,"○","")</f>
        <v>○</v>
      </c>
    </row>
    <row r="29" customFormat="false" ht="15" hidden="false" customHeight="false" outlineLevel="0" collapsed="false">
      <c r="A29" s="13" t="s">
        <v>62</v>
      </c>
      <c r="B29" s="36" t="s">
        <v>165</v>
      </c>
      <c r="C29" s="43" t="n">
        <v>0.00945289351851852</v>
      </c>
      <c r="D29" s="36" t="s">
        <v>161</v>
      </c>
      <c r="E29" s="14" t="n">
        <v>6</v>
      </c>
      <c r="F29" s="8" t="str">
        <f aca="false">IF(COUNTIFS(5000m比較!$A$5:$A$34,A29,5000m比較!$C$5:$C$34,B29)&gt;0,"○","")</f>
        <v>○</v>
      </c>
    </row>
    <row r="30" customFormat="false" ht="15" hidden="false" customHeight="false" outlineLevel="0" collapsed="false">
      <c r="A30" s="13" t="s">
        <v>62</v>
      </c>
      <c r="B30" s="36" t="s">
        <v>160</v>
      </c>
      <c r="C30" s="43" t="n">
        <v>0.00945520833333333</v>
      </c>
      <c r="D30" s="36" t="s">
        <v>161</v>
      </c>
      <c r="E30" s="14" t="n">
        <v>7</v>
      </c>
      <c r="F30" s="8" t="str">
        <f aca="false">IF(COUNTIFS(5000m比較!$A$5:$A$34,A30,5000m比較!$C$5:$C$34,B30)&gt;0,"○","")</f>
        <v>○</v>
      </c>
    </row>
    <row r="31" customFormat="false" ht="15" hidden="false" customHeight="false" outlineLevel="0" collapsed="false">
      <c r="A31" s="13" t="s">
        <v>62</v>
      </c>
      <c r="B31" s="36" t="s">
        <v>197</v>
      </c>
      <c r="C31" s="43" t="n">
        <v>0.0094849537037037</v>
      </c>
      <c r="D31" s="36" t="s">
        <v>161</v>
      </c>
      <c r="E31" s="14" t="n">
        <v>8</v>
      </c>
      <c r="F31" s="8" t="str">
        <f aca="false">IF(COUNTIFS(5000m比較!$A$5:$A$34,A31,5000m比較!$C$5:$C$34,B31)&gt;0,"○","")</f>
        <v/>
      </c>
    </row>
    <row r="32" customFormat="false" ht="15" hidden="false" customHeight="false" outlineLevel="0" collapsed="false">
      <c r="A32" s="13" t="s">
        <v>62</v>
      </c>
      <c r="B32" s="36" t="s">
        <v>158</v>
      </c>
      <c r="C32" s="43" t="n">
        <v>0.00961932870370371</v>
      </c>
      <c r="D32" s="36" t="s">
        <v>161</v>
      </c>
      <c r="E32" s="14" t="n">
        <v>12</v>
      </c>
      <c r="F32" s="8" t="str">
        <f aca="false">IF(COUNTIFS(5000m比較!$A$5:$A$34,A32,5000m比較!$C$5:$C$34,B32)&gt;0,"○","")</f>
        <v/>
      </c>
    </row>
    <row r="33" customFormat="false" ht="15" hidden="false" customHeight="false" outlineLevel="0" collapsed="false">
      <c r="A33" s="13" t="s">
        <v>62</v>
      </c>
      <c r="B33" s="36" t="s">
        <v>166</v>
      </c>
      <c r="C33" s="43" t="n">
        <v>0.00962106481481482</v>
      </c>
      <c r="D33" s="36" t="s">
        <v>161</v>
      </c>
      <c r="E33" s="14" t="n">
        <v>13</v>
      </c>
      <c r="F33" s="8" t="str">
        <f aca="false">IF(COUNTIFS(5000m比較!$A$5:$A$34,A33,5000m比較!$C$5:$C$34,B33)&gt;0,"○","")</f>
        <v>○</v>
      </c>
    </row>
    <row r="34" customFormat="false" ht="15" hidden="false" customHeight="false" outlineLevel="0" collapsed="false">
      <c r="A34" s="13" t="s">
        <v>62</v>
      </c>
      <c r="B34" s="36" t="s">
        <v>169</v>
      </c>
      <c r="C34" s="43" t="n">
        <v>0.00962210648148148</v>
      </c>
      <c r="D34" s="36" t="s">
        <v>161</v>
      </c>
      <c r="E34" s="14" t="n">
        <v>14</v>
      </c>
      <c r="F34" s="8" t="str">
        <f aca="false">IF(COUNTIFS(5000m比較!$A$5:$A$34,A34,5000m比較!$C$5:$C$34,B34)&gt;0,"○","")</f>
        <v/>
      </c>
    </row>
    <row r="35" customFormat="false" ht="15" hidden="false" customHeight="false" outlineLevel="0" collapsed="false">
      <c r="A35" s="13" t="s">
        <v>62</v>
      </c>
      <c r="B35" s="36" t="s">
        <v>198</v>
      </c>
      <c r="C35" s="43" t="n">
        <v>0.00962581018518519</v>
      </c>
      <c r="D35" s="36" t="s">
        <v>161</v>
      </c>
      <c r="E35" s="14" t="n">
        <v>16</v>
      </c>
      <c r="F35" s="8" t="str">
        <f aca="false">IF(COUNTIFS(5000m比較!$A$5:$A$34,A35,5000m比較!$C$5:$C$34,B35)&gt;0,"○","")</f>
        <v/>
      </c>
    </row>
    <row r="36" customFormat="false" ht="15" hidden="false" customHeight="false" outlineLevel="0" collapsed="false">
      <c r="A36" s="13" t="s">
        <v>62</v>
      </c>
      <c r="B36" s="36" t="s">
        <v>199</v>
      </c>
      <c r="C36" s="43" t="n">
        <v>0.00963078703703704</v>
      </c>
      <c r="D36" s="36" t="s">
        <v>161</v>
      </c>
      <c r="E36" s="14" t="n">
        <v>18</v>
      </c>
      <c r="F36" s="8" t="str">
        <f aca="false">IF(COUNTIFS(5000m比較!$A$5:$A$34,A36,5000m比較!$C$5:$C$34,B36)&gt;0,"○","")</f>
        <v/>
      </c>
    </row>
    <row r="37" customFormat="false" ht="15" hidden="false" customHeight="false" outlineLevel="0" collapsed="false">
      <c r="A37" s="13" t="s">
        <v>62</v>
      </c>
      <c r="B37" s="36" t="s">
        <v>171</v>
      </c>
      <c r="C37" s="43" t="n">
        <v>0.00964236111111111</v>
      </c>
      <c r="D37" s="36" t="s">
        <v>161</v>
      </c>
      <c r="E37" s="14" t="n">
        <v>20</v>
      </c>
      <c r="F37" s="8" t="str">
        <f aca="false">IF(COUNTIFS(5000m比較!$A$5:$A$34,A37,5000m比較!$C$5:$C$34,B37)&gt;0,"○","")</f>
        <v/>
      </c>
    </row>
    <row r="38" customFormat="false" ht="15" hidden="false" customHeight="false" outlineLevel="0" collapsed="false">
      <c r="A38" s="13" t="s">
        <v>62</v>
      </c>
      <c r="B38" s="36" t="s">
        <v>176</v>
      </c>
      <c r="C38" s="43" t="n">
        <v>0.00964456018518519</v>
      </c>
      <c r="D38" s="36" t="s">
        <v>161</v>
      </c>
      <c r="E38" s="14" t="n">
        <v>21</v>
      </c>
      <c r="F38" s="8" t="str">
        <f aca="false">IF(COUNTIFS(5000m比較!$A$5:$A$34,A38,5000m比較!$C$5:$C$34,B38)&gt;0,"○","")</f>
        <v/>
      </c>
    </row>
    <row r="39" customFormat="false" ht="15" hidden="false" customHeight="false" outlineLevel="0" collapsed="false">
      <c r="A39" s="13" t="s">
        <v>62</v>
      </c>
      <c r="B39" s="36" t="s">
        <v>200</v>
      </c>
      <c r="C39" s="43" t="n">
        <v>0.00965648148148148</v>
      </c>
      <c r="D39" s="36" t="s">
        <v>161</v>
      </c>
      <c r="E39" s="14" t="n">
        <v>22</v>
      </c>
      <c r="F39" s="8" t="str">
        <f aca="false">IF(COUNTIFS(5000m比較!$A$5:$A$34,A39,5000m比較!$C$5:$C$34,B39)&gt;0,"○","")</f>
        <v/>
      </c>
    </row>
    <row r="40" customFormat="false" ht="15" hidden="false" customHeight="false" outlineLevel="0" collapsed="false">
      <c r="A40" s="13" t="s">
        <v>62</v>
      </c>
      <c r="B40" s="36" t="s">
        <v>196</v>
      </c>
      <c r="C40" s="43" t="n">
        <v>0.00965798611111111</v>
      </c>
      <c r="D40" s="36" t="s">
        <v>161</v>
      </c>
      <c r="E40" s="14" t="n">
        <v>23</v>
      </c>
      <c r="F40" s="8" t="str">
        <f aca="false">IF(COUNTIFS(5000m比較!$A$5:$A$34,A40,5000m比較!$C$5:$C$34,B40)&gt;0,"○","")</f>
        <v/>
      </c>
    </row>
    <row r="41" customFormat="false" ht="15" hidden="false" customHeight="false" outlineLevel="0" collapsed="false">
      <c r="A41" s="13" t="s">
        <v>62</v>
      </c>
      <c r="B41" s="36" t="s">
        <v>187</v>
      </c>
      <c r="C41" s="43" t="n">
        <v>0.00970636574074074</v>
      </c>
      <c r="D41" s="36" t="s">
        <v>161</v>
      </c>
      <c r="E41" s="14" t="n">
        <v>25</v>
      </c>
      <c r="F41" s="8" t="str">
        <f aca="false">IF(COUNTIFS(5000m比較!$A$5:$A$34,A41,5000m比較!$C$5:$C$34,B41)&gt;0,"○","")</f>
        <v/>
      </c>
    </row>
    <row r="42" customFormat="false" ht="15" hidden="false" customHeight="false" outlineLevel="0" collapsed="false">
      <c r="A42" s="13" t="s">
        <v>62</v>
      </c>
      <c r="B42" s="36" t="s">
        <v>201</v>
      </c>
      <c r="C42" s="43" t="n">
        <v>0.00970717592592593</v>
      </c>
      <c r="D42" s="36" t="s">
        <v>161</v>
      </c>
      <c r="E42" s="14" t="n">
        <v>26</v>
      </c>
      <c r="F42" s="8" t="str">
        <f aca="false">IF(COUNTIFS(5000m比較!$A$5:$A$34,A42,5000m比較!$C$5:$C$34,B42)&gt;0,"○","")</f>
        <v/>
      </c>
    </row>
    <row r="43" customFormat="false" ht="15" hidden="false" customHeight="false" outlineLevel="0" collapsed="false">
      <c r="A43" s="13" t="s">
        <v>62</v>
      </c>
      <c r="B43" s="36" t="s">
        <v>157</v>
      </c>
      <c r="C43" s="43" t="n">
        <v>0.00981550925925926</v>
      </c>
      <c r="D43" s="36" t="s">
        <v>161</v>
      </c>
      <c r="E43" s="14" t="n">
        <v>28</v>
      </c>
      <c r="F43" s="8" t="str">
        <f aca="false">IF(COUNTIFS(5000m比較!$A$5:$A$34,A43,5000m比較!$C$5:$C$34,B43)&gt;0,"○","")</f>
        <v/>
      </c>
    </row>
    <row r="44" customFormat="false" ht="15" hidden="false" customHeight="false" outlineLevel="0" collapsed="false">
      <c r="A44" s="13" t="s">
        <v>62</v>
      </c>
      <c r="B44" s="36" t="s">
        <v>194</v>
      </c>
      <c r="C44" s="43" t="n">
        <v>0.00985162037037037</v>
      </c>
      <c r="D44" s="36" t="s">
        <v>161</v>
      </c>
      <c r="E44" s="14" t="n">
        <v>30</v>
      </c>
      <c r="F44" s="8" t="str">
        <f aca="false">IF(COUNTIFS(5000m比較!$A$5:$A$34,A44,5000m比較!$C$5:$C$34,B44)&gt;0,"○","")</f>
        <v/>
      </c>
    </row>
    <row r="45" customFormat="false" ht="15" hidden="false" customHeight="false" outlineLevel="0" collapsed="false">
      <c r="A45" s="13" t="s">
        <v>62</v>
      </c>
      <c r="B45" s="36" t="s">
        <v>170</v>
      </c>
      <c r="C45" s="43" t="n">
        <v>0.0099369212962963</v>
      </c>
      <c r="D45" s="36" t="s">
        <v>161</v>
      </c>
      <c r="E45" s="14" t="n">
        <v>32</v>
      </c>
      <c r="F45" s="8" t="str">
        <f aca="false">IF(COUNTIFS(5000m比較!$A$5:$A$34,A45,5000m比較!$C$5:$C$34,B45)&gt;0,"○","")</f>
        <v/>
      </c>
    </row>
    <row r="46" customFormat="false" ht="15" hidden="false" customHeight="false" outlineLevel="0" collapsed="false">
      <c r="A46" s="28" t="s">
        <v>63</v>
      </c>
      <c r="B46" s="31" t="s">
        <v>169</v>
      </c>
      <c r="C46" s="40" t="n">
        <v>0.00946493055555556</v>
      </c>
      <c r="D46" s="31" t="s">
        <v>168</v>
      </c>
      <c r="E46" s="34" t="n">
        <v>3</v>
      </c>
      <c r="F46" s="45" t="str">
        <f aca="false">IF(COUNTIFS(5000m比較!$A$5:$A$34,A46,5000m比較!$C$5:$C$34,B46)&gt;0,"○","")</f>
        <v>○</v>
      </c>
    </row>
    <row r="47" customFormat="false" ht="15" hidden="false" customHeight="false" outlineLevel="0" collapsed="false">
      <c r="A47" s="28" t="s">
        <v>63</v>
      </c>
      <c r="B47" s="31" t="s">
        <v>165</v>
      </c>
      <c r="C47" s="40" t="n">
        <v>0.00948298611111111</v>
      </c>
      <c r="D47" s="31" t="s">
        <v>168</v>
      </c>
      <c r="E47" s="34" t="n">
        <v>5</v>
      </c>
      <c r="F47" s="45" t="str">
        <f aca="false">IF(COUNTIFS(5000m比較!$A$5:$A$34,A47,5000m比較!$C$5:$C$34,B47)&gt;0,"○","")</f>
        <v/>
      </c>
    </row>
    <row r="48" customFormat="false" ht="15" hidden="false" customHeight="false" outlineLevel="0" collapsed="false">
      <c r="A48" s="28" t="s">
        <v>63</v>
      </c>
      <c r="B48" s="31" t="s">
        <v>162</v>
      </c>
      <c r="C48" s="40" t="n">
        <v>0.00949016203703704</v>
      </c>
      <c r="D48" s="31" t="s">
        <v>168</v>
      </c>
      <c r="E48" s="34" t="n">
        <v>6</v>
      </c>
      <c r="F48" s="45" t="str">
        <f aca="false">IF(COUNTIFS(5000m比較!$A$5:$A$34,A48,5000m比較!$C$5:$C$34,B48)&gt;0,"○","")</f>
        <v>○</v>
      </c>
    </row>
    <row r="49" customFormat="false" ht="15" hidden="false" customHeight="false" outlineLevel="0" collapsed="false">
      <c r="A49" s="28" t="s">
        <v>63</v>
      </c>
      <c r="B49" s="31" t="s">
        <v>173</v>
      </c>
      <c r="C49" s="40" t="n">
        <v>0.00953842592592593</v>
      </c>
      <c r="D49" s="31" t="s">
        <v>168</v>
      </c>
      <c r="E49" s="34" t="n">
        <v>8</v>
      </c>
      <c r="F49" s="45" t="str">
        <f aca="false">IF(COUNTIFS(5000m比較!$A$5:$A$34,A49,5000m比較!$C$5:$C$34,B49)&gt;0,"○","")</f>
        <v/>
      </c>
    </row>
    <row r="50" customFormat="false" ht="15" hidden="false" customHeight="false" outlineLevel="0" collapsed="false">
      <c r="A50" s="28" t="s">
        <v>63</v>
      </c>
      <c r="B50" s="31" t="s">
        <v>187</v>
      </c>
      <c r="C50" s="40" t="n">
        <v>0.00955694444444444</v>
      </c>
      <c r="D50" s="31" t="s">
        <v>168</v>
      </c>
      <c r="E50" s="34" t="n">
        <v>9</v>
      </c>
      <c r="F50" s="45" t="str">
        <f aca="false">IF(COUNTIFS(5000m比較!$A$5:$A$34,A50,5000m比較!$C$5:$C$34,B50)&gt;0,"○","")</f>
        <v/>
      </c>
    </row>
    <row r="51" customFormat="false" ht="15" hidden="false" customHeight="false" outlineLevel="0" collapsed="false">
      <c r="A51" s="28" t="s">
        <v>63</v>
      </c>
      <c r="B51" s="31" t="s">
        <v>199</v>
      </c>
      <c r="C51" s="40" t="n">
        <v>0.00956087962962963</v>
      </c>
      <c r="D51" s="31" t="s">
        <v>168</v>
      </c>
      <c r="E51" s="34" t="n">
        <v>10</v>
      </c>
      <c r="F51" s="45" t="str">
        <f aca="false">IF(COUNTIFS(5000m比較!$A$5:$A$34,A51,5000m比較!$C$5:$C$34,B51)&gt;0,"○","")</f>
        <v/>
      </c>
    </row>
    <row r="52" customFormat="false" ht="15" hidden="false" customHeight="false" outlineLevel="0" collapsed="false">
      <c r="A52" s="28" t="s">
        <v>63</v>
      </c>
      <c r="B52" s="31" t="s">
        <v>160</v>
      </c>
      <c r="C52" s="40" t="n">
        <v>0.0095974537037037</v>
      </c>
      <c r="D52" s="31" t="s">
        <v>168</v>
      </c>
      <c r="E52" s="34" t="n">
        <v>14</v>
      </c>
      <c r="F52" s="45" t="str">
        <f aca="false">IF(COUNTIFS(5000m比較!$A$5:$A$34,A52,5000m比較!$C$5:$C$34,B52)&gt;0,"○","")</f>
        <v>○</v>
      </c>
    </row>
    <row r="53" customFormat="false" ht="15" hidden="false" customHeight="false" outlineLevel="0" collapsed="false">
      <c r="A53" s="28" t="s">
        <v>63</v>
      </c>
      <c r="B53" s="31" t="s">
        <v>166</v>
      </c>
      <c r="C53" s="40" t="n">
        <v>0.0096212962962963</v>
      </c>
      <c r="D53" s="31" t="s">
        <v>167</v>
      </c>
      <c r="E53" s="34" t="n">
        <v>1</v>
      </c>
      <c r="F53" s="45" t="str">
        <f aca="false">IF(COUNTIFS(5000m比較!$A$5:$A$34,A53,5000m比較!$C$5:$C$34,B53)&gt;0,"○","")</f>
        <v>○</v>
      </c>
    </row>
    <row r="54" customFormat="false" ht="15" hidden="false" customHeight="false" outlineLevel="0" collapsed="false">
      <c r="A54" s="28" t="s">
        <v>63</v>
      </c>
      <c r="B54" s="31" t="s">
        <v>176</v>
      </c>
      <c r="C54" s="40" t="n">
        <v>0.00962337962962963</v>
      </c>
      <c r="D54" s="31" t="s">
        <v>168</v>
      </c>
      <c r="E54" s="34" t="n">
        <v>16</v>
      </c>
      <c r="F54" s="45" t="str">
        <f aca="false">IF(COUNTIFS(5000m比較!$A$5:$A$34,A54,5000m比較!$C$5:$C$34,B54)&gt;0,"○","")</f>
        <v/>
      </c>
    </row>
    <row r="55" customFormat="false" ht="15" hidden="false" customHeight="false" outlineLevel="0" collapsed="false">
      <c r="A55" s="28" t="s">
        <v>63</v>
      </c>
      <c r="B55" s="31" t="s">
        <v>170</v>
      </c>
      <c r="C55" s="40" t="n">
        <v>0.0096494212962963</v>
      </c>
      <c r="D55" s="31" t="s">
        <v>168</v>
      </c>
      <c r="E55" s="34" t="n">
        <v>17</v>
      </c>
      <c r="F55" s="45" t="str">
        <f aca="false">IF(COUNTIFS(5000m比較!$A$5:$A$34,A55,5000m比較!$C$5:$C$34,B55)&gt;0,"○","")</f>
        <v>○</v>
      </c>
    </row>
    <row r="56" customFormat="false" ht="15" hidden="false" customHeight="false" outlineLevel="0" collapsed="false">
      <c r="A56" s="28" t="s">
        <v>63</v>
      </c>
      <c r="B56" s="31" t="s">
        <v>179</v>
      </c>
      <c r="C56" s="40" t="n">
        <v>0.00968888888888889</v>
      </c>
      <c r="D56" s="31" t="s">
        <v>167</v>
      </c>
      <c r="E56" s="34" t="n">
        <v>6</v>
      </c>
      <c r="F56" s="45" t="str">
        <f aca="false">IF(COUNTIFS(5000m比較!$A$5:$A$34,A56,5000m比較!$C$5:$C$34,B56)&gt;0,"○","")</f>
        <v/>
      </c>
    </row>
    <row r="57" customFormat="false" ht="15" hidden="false" customHeight="false" outlineLevel="0" collapsed="false">
      <c r="A57" s="28" t="s">
        <v>63</v>
      </c>
      <c r="B57" s="31" t="s">
        <v>171</v>
      </c>
      <c r="C57" s="40" t="n">
        <v>0.00973819444444445</v>
      </c>
      <c r="D57" s="31" t="s">
        <v>168</v>
      </c>
      <c r="E57" s="34" t="n">
        <v>19</v>
      </c>
      <c r="F57" s="45" t="str">
        <f aca="false">IF(COUNTIFS(5000m比較!$A$5:$A$34,A57,5000m比較!$C$5:$C$34,B57)&gt;0,"○","")</f>
        <v>○</v>
      </c>
    </row>
    <row r="58" customFormat="false" ht="15" hidden="false" customHeight="false" outlineLevel="0" collapsed="false">
      <c r="A58" s="28" t="s">
        <v>63</v>
      </c>
      <c r="B58" s="31" t="s">
        <v>158</v>
      </c>
      <c r="C58" s="40" t="n">
        <v>0.00975729166666667</v>
      </c>
      <c r="D58" s="31" t="s">
        <v>167</v>
      </c>
      <c r="E58" s="34" t="n">
        <v>11</v>
      </c>
      <c r="F58" s="45" t="str">
        <f aca="false">IF(COUNTIFS(5000m比較!$A$5:$A$34,A58,5000m比較!$C$5:$C$34,B58)&gt;0,"○","")</f>
        <v/>
      </c>
    </row>
    <row r="59" customFormat="false" ht="15" hidden="false" customHeight="false" outlineLevel="0" collapsed="false">
      <c r="A59" s="28" t="s">
        <v>63</v>
      </c>
      <c r="B59" s="31" t="s">
        <v>188</v>
      </c>
      <c r="C59" s="40" t="n">
        <v>0.00976064814814815</v>
      </c>
      <c r="D59" s="31" t="s">
        <v>168</v>
      </c>
      <c r="E59" s="34" t="n">
        <v>21</v>
      </c>
      <c r="F59" s="45" t="str">
        <f aca="false">IF(COUNTIFS(5000m比較!$A$5:$A$34,A59,5000m比較!$C$5:$C$34,B59)&gt;0,"○","")</f>
        <v/>
      </c>
    </row>
    <row r="60" customFormat="false" ht="15" hidden="false" customHeight="false" outlineLevel="0" collapsed="false">
      <c r="A60" s="28" t="s">
        <v>63</v>
      </c>
      <c r="B60" s="31" t="s">
        <v>202</v>
      </c>
      <c r="C60" s="40" t="n">
        <v>0.00977766203703704</v>
      </c>
      <c r="D60" s="31" t="s">
        <v>167</v>
      </c>
      <c r="E60" s="34" t="n">
        <v>14</v>
      </c>
      <c r="F60" s="45" t="str">
        <f aca="false">IF(COUNTIFS(5000m比較!$A$5:$A$34,A60,5000m比較!$C$5:$C$34,B60)&gt;0,"○","")</f>
        <v/>
      </c>
    </row>
    <row r="61" customFormat="false" ht="15" hidden="false" customHeight="false" outlineLevel="0" collapsed="false">
      <c r="A61" s="28" t="s">
        <v>63</v>
      </c>
      <c r="B61" s="31" t="s">
        <v>194</v>
      </c>
      <c r="C61" s="40" t="n">
        <v>0.00980821759259259</v>
      </c>
      <c r="D61" s="31" t="s">
        <v>167</v>
      </c>
      <c r="E61" s="34" t="n">
        <v>16</v>
      </c>
      <c r="F61" s="45" t="str">
        <f aca="false">IF(COUNTIFS(5000m比較!$A$5:$A$34,A61,5000m比較!$C$5:$C$34,B61)&gt;0,"○","")</f>
        <v/>
      </c>
    </row>
    <row r="62" customFormat="false" ht="15" hidden="false" customHeight="false" outlineLevel="0" collapsed="false">
      <c r="A62" s="28" t="s">
        <v>63</v>
      </c>
      <c r="B62" s="31" t="s">
        <v>203</v>
      </c>
      <c r="C62" s="40" t="n">
        <v>0.00982766203703704</v>
      </c>
      <c r="D62" s="31" t="s">
        <v>168</v>
      </c>
      <c r="E62" s="34" t="n">
        <v>22</v>
      </c>
      <c r="F62" s="45" t="str">
        <f aca="false">IF(COUNTIFS(5000m比較!$A$5:$A$34,A62,5000m比較!$C$5:$C$34,B62)&gt;0,"○","")</f>
        <v/>
      </c>
    </row>
    <row r="63" customFormat="false" ht="15" hidden="false" customHeight="false" outlineLevel="0" collapsed="false">
      <c r="A63" s="28" t="s">
        <v>63</v>
      </c>
      <c r="B63" s="31" t="s">
        <v>204</v>
      </c>
      <c r="C63" s="40" t="n">
        <v>0.00990833333333333</v>
      </c>
      <c r="D63" s="31" t="s">
        <v>167</v>
      </c>
      <c r="E63" s="34" t="n">
        <v>19</v>
      </c>
      <c r="F63" s="45" t="str">
        <f aca="false">IF(COUNTIFS(5000m比較!$A$5:$A$34,A63,5000m比較!$C$5:$C$34,B63)&gt;0,"○","")</f>
        <v/>
      </c>
    </row>
    <row r="64" customFormat="false" ht="15" hidden="false" customHeight="false" outlineLevel="0" collapsed="false">
      <c r="A64" s="28" t="s">
        <v>63</v>
      </c>
      <c r="B64" s="31" t="s">
        <v>174</v>
      </c>
      <c r="C64" s="40" t="n">
        <v>0.00991469907407407</v>
      </c>
      <c r="D64" s="31" t="s">
        <v>168</v>
      </c>
      <c r="E64" s="34" t="n">
        <v>23</v>
      </c>
      <c r="F64" s="45" t="str">
        <f aca="false">IF(COUNTIFS(5000m比較!$A$5:$A$34,A64,5000m比較!$C$5:$C$34,B64)&gt;0,"○","")</f>
        <v/>
      </c>
    </row>
    <row r="65" customFormat="false" ht="15" hidden="false" customHeight="false" outlineLevel="0" collapsed="false">
      <c r="A65" s="28" t="s">
        <v>63</v>
      </c>
      <c r="B65" s="31" t="s">
        <v>205</v>
      </c>
      <c r="C65" s="40" t="n">
        <v>0.00992303240740741</v>
      </c>
      <c r="D65" s="31" t="s">
        <v>168</v>
      </c>
      <c r="E65" s="34" t="n">
        <v>24</v>
      </c>
      <c r="F65" s="45" t="str">
        <f aca="false">IF(COUNTIFS(5000m比較!$A$5:$A$34,A65,5000m比較!$C$5:$C$34,B65)&gt;0,"○","")</f>
        <v/>
      </c>
    </row>
    <row r="66" customFormat="false" ht="15" hidden="false" customHeight="false" outlineLevel="0" collapsed="false">
      <c r="A66" s="28" t="s">
        <v>63</v>
      </c>
      <c r="B66" s="31" t="s">
        <v>206</v>
      </c>
      <c r="C66" s="40" t="n">
        <v>0.00994398148148148</v>
      </c>
      <c r="D66" s="31" t="s">
        <v>167</v>
      </c>
      <c r="E66" s="34" t="n">
        <v>20</v>
      </c>
      <c r="F66" s="45" t="str">
        <f aca="false">IF(COUNTIFS(5000m比較!$A$5:$A$34,A66,5000m比較!$C$5:$C$34,B66)&gt;0,"○","")</f>
        <v/>
      </c>
    </row>
    <row r="67" customFormat="false" ht="15" hidden="false" customHeight="false" outlineLevel="0" collapsed="false">
      <c r="A67" s="28" t="s">
        <v>63</v>
      </c>
      <c r="B67" s="31" t="s">
        <v>207</v>
      </c>
      <c r="C67" s="40" t="n">
        <v>0.00995324074074074</v>
      </c>
      <c r="D67" s="31" t="s">
        <v>167</v>
      </c>
      <c r="E67" s="34" t="n">
        <v>21</v>
      </c>
      <c r="F67" s="45" t="str">
        <f aca="false">IF(COUNTIFS(5000m比較!$A$5:$A$34,A67,5000m比較!$C$5:$C$34,B67)&gt;0,"○","")</f>
        <v/>
      </c>
    </row>
    <row r="68" customFormat="false" ht="15" hidden="false" customHeight="false" outlineLevel="0" collapsed="false">
      <c r="A68" s="28" t="s">
        <v>63</v>
      </c>
      <c r="B68" s="31" t="s">
        <v>208</v>
      </c>
      <c r="C68" s="40" t="n">
        <v>0.0100228009259259</v>
      </c>
      <c r="D68" s="31" t="s">
        <v>167</v>
      </c>
      <c r="E68" s="34" t="n">
        <v>23</v>
      </c>
      <c r="F68" s="45" t="str">
        <f aca="false">IF(COUNTIFS(5000m比較!$A$5:$A$34,A68,5000m比較!$C$5:$C$34,B68)&gt;0,"○","")</f>
        <v/>
      </c>
    </row>
    <row r="69" customFormat="false" ht="15" hidden="false" customHeight="false" outlineLevel="0" collapsed="false">
      <c r="A69" s="28" t="s">
        <v>63</v>
      </c>
      <c r="B69" s="31" t="s">
        <v>209</v>
      </c>
      <c r="C69" s="40" t="n">
        <v>0.010027662037037</v>
      </c>
      <c r="D69" s="31" t="s">
        <v>167</v>
      </c>
      <c r="E69" s="34" t="n">
        <v>24</v>
      </c>
      <c r="F69" s="45" t="str">
        <f aca="false">IF(COUNTIFS(5000m比較!$A$5:$A$34,A69,5000m比較!$C$5:$C$34,B69)&gt;0,"○","")</f>
        <v/>
      </c>
    </row>
    <row r="70" customFormat="false" ht="15" hidden="false" customHeight="false" outlineLevel="0" collapsed="false">
      <c r="A70" s="28" t="s">
        <v>63</v>
      </c>
      <c r="B70" s="31" t="s">
        <v>210</v>
      </c>
      <c r="C70" s="40" t="n">
        <v>0.010075</v>
      </c>
      <c r="D70" s="31" t="s">
        <v>167</v>
      </c>
      <c r="E70" s="34" t="n">
        <v>27</v>
      </c>
      <c r="F70" s="45" t="str">
        <f aca="false">IF(COUNTIFS(5000m比較!$A$5:$A$34,A70,5000m比較!$C$5:$C$34,B70)&gt;0,"○","")</f>
        <v/>
      </c>
    </row>
    <row r="71" customFormat="false" ht="15" hidden="false" customHeight="false" outlineLevel="0" collapsed="false">
      <c r="A71" s="28" t="s">
        <v>63</v>
      </c>
      <c r="B71" s="31" t="s">
        <v>193</v>
      </c>
      <c r="C71" s="40" t="n">
        <v>0.0101318287037037</v>
      </c>
      <c r="D71" s="31" t="s">
        <v>168</v>
      </c>
      <c r="E71" s="34" t="n">
        <v>25</v>
      </c>
      <c r="F71" s="45" t="str">
        <f aca="false">IF(COUNTIFS(5000m比較!$A$5:$A$34,A71,5000m比較!$C$5:$C$34,B71)&gt;0,"○","")</f>
        <v/>
      </c>
    </row>
    <row r="72" customFormat="false" ht="15" hidden="false" customHeight="false" outlineLevel="0" collapsed="false">
      <c r="A72" s="28" t="s">
        <v>63</v>
      </c>
      <c r="B72" s="31" t="s">
        <v>211</v>
      </c>
      <c r="C72" s="40" t="n">
        <v>0.0101373842592593</v>
      </c>
      <c r="D72" s="31" t="s">
        <v>167</v>
      </c>
      <c r="E72" s="34" t="n">
        <v>28</v>
      </c>
      <c r="F72" s="45" t="str">
        <f aca="false">IF(COUNTIFS(5000m比較!$A$5:$A$34,A72,5000m比較!$C$5:$C$34,B72)&gt;0,"○","")</f>
        <v/>
      </c>
    </row>
    <row r="73" customFormat="false" ht="15" hidden="false" customHeight="false" outlineLevel="0" collapsed="false">
      <c r="A73" s="28" t="s">
        <v>63</v>
      </c>
      <c r="B73" s="31" t="s">
        <v>212</v>
      </c>
      <c r="C73" s="40" t="n">
        <v>0.0101454861111111</v>
      </c>
      <c r="D73" s="31" t="s">
        <v>167</v>
      </c>
      <c r="E73" s="34" t="n">
        <v>29</v>
      </c>
      <c r="F73" s="45" t="str">
        <f aca="false">IF(COUNTIFS(5000m比較!$A$5:$A$34,A73,5000m比較!$C$5:$C$34,B73)&gt;0,"○","")</f>
        <v/>
      </c>
    </row>
    <row r="74" customFormat="false" ht="15" hidden="false" customHeight="false" outlineLevel="0" collapsed="false">
      <c r="A74" s="28" t="s">
        <v>63</v>
      </c>
      <c r="B74" s="31" t="s">
        <v>213</v>
      </c>
      <c r="C74" s="40" t="n">
        <v>0.0102134259259259</v>
      </c>
      <c r="D74" s="31" t="s">
        <v>167</v>
      </c>
      <c r="E74" s="34" t="n">
        <v>31</v>
      </c>
      <c r="F74" s="45" t="str">
        <f aca="false">IF(COUNTIFS(5000m比較!$A$5:$A$34,A74,5000m比較!$C$5:$C$34,B74)&gt;0,"○","")</f>
        <v/>
      </c>
    </row>
    <row r="75" customFormat="false" ht="15" hidden="false" customHeight="false" outlineLevel="0" collapsed="false">
      <c r="A75" s="28" t="s">
        <v>63</v>
      </c>
      <c r="B75" s="31" t="s">
        <v>214</v>
      </c>
      <c r="C75" s="40" t="n">
        <v>0.0102469907407407</v>
      </c>
      <c r="D75" s="31" t="s">
        <v>167</v>
      </c>
      <c r="E75" s="34" t="n">
        <v>32</v>
      </c>
      <c r="F75" s="45" t="str">
        <f aca="false">IF(COUNTIFS(5000m比較!$A$5:$A$34,A75,5000m比較!$C$5:$C$34,B75)&gt;0,"○","")</f>
        <v/>
      </c>
    </row>
    <row r="76" customFormat="false" ht="15" hidden="false" customHeight="false" outlineLevel="0" collapsed="false">
      <c r="A76" s="28" t="s">
        <v>63</v>
      </c>
      <c r="B76" s="31" t="s">
        <v>215</v>
      </c>
      <c r="C76" s="40" t="n">
        <v>0.0103292824074074</v>
      </c>
      <c r="D76" s="31" t="s">
        <v>167</v>
      </c>
      <c r="E76" s="34" t="n">
        <v>33</v>
      </c>
      <c r="F76" s="45" t="str">
        <f aca="false">IF(COUNTIFS(5000m比較!$A$5:$A$34,A76,5000m比較!$C$5:$C$34,B76)&gt;0,"○","")</f>
        <v/>
      </c>
    </row>
    <row r="77" customFormat="false" ht="15" hidden="false" customHeight="false" outlineLevel="0" collapsed="false">
      <c r="A77" s="13" t="s">
        <v>64</v>
      </c>
      <c r="B77" s="36" t="s">
        <v>162</v>
      </c>
      <c r="C77" s="43" t="n">
        <v>0.00942141203703704</v>
      </c>
      <c r="D77" s="36" t="s">
        <v>167</v>
      </c>
      <c r="E77" s="14" t="n">
        <v>1</v>
      </c>
      <c r="F77" s="8" t="str">
        <f aca="false">IF(COUNTIFS(5000m比較!$A$5:$A$34,A77,5000m比較!$C$5:$C$34,B77)&gt;0,"○","")</f>
        <v>○</v>
      </c>
    </row>
    <row r="78" customFormat="false" ht="15" hidden="false" customHeight="false" outlineLevel="0" collapsed="false">
      <c r="A78" s="13" t="s">
        <v>64</v>
      </c>
      <c r="B78" s="36" t="s">
        <v>172</v>
      </c>
      <c r="C78" s="43" t="n">
        <v>0.00951111111111111</v>
      </c>
      <c r="D78" s="36" t="s">
        <v>167</v>
      </c>
      <c r="E78" s="14" t="n">
        <v>3</v>
      </c>
      <c r="F78" s="8" t="str">
        <f aca="false">IF(COUNTIFS(5000m比較!$A$5:$A$34,A78,5000m比較!$C$5:$C$34,B78)&gt;0,"○","")</f>
        <v>○</v>
      </c>
    </row>
    <row r="79" customFormat="false" ht="15" hidden="false" customHeight="false" outlineLevel="0" collapsed="false">
      <c r="A79" s="13" t="s">
        <v>64</v>
      </c>
      <c r="B79" s="36" t="s">
        <v>175</v>
      </c>
      <c r="C79" s="43" t="n">
        <v>0.0095369212962963</v>
      </c>
      <c r="D79" s="36" t="s">
        <v>167</v>
      </c>
      <c r="E79" s="14" t="n">
        <v>5</v>
      </c>
      <c r="F79" s="8" t="str">
        <f aca="false">IF(COUNTIFS(5000m比較!$A$5:$A$34,A79,5000m比較!$C$5:$C$34,B79)&gt;0,"○","")</f>
        <v>○</v>
      </c>
    </row>
    <row r="80" customFormat="false" ht="15" hidden="false" customHeight="false" outlineLevel="0" collapsed="false">
      <c r="A80" s="13" t="s">
        <v>64</v>
      </c>
      <c r="B80" s="36" t="s">
        <v>211</v>
      </c>
      <c r="C80" s="43" t="n">
        <v>0.00958657407407407</v>
      </c>
      <c r="D80" s="36" t="s">
        <v>167</v>
      </c>
      <c r="E80" s="14" t="n">
        <v>11</v>
      </c>
      <c r="F80" s="8" t="str">
        <f aca="false">IF(COUNTIFS(5000m比較!$A$5:$A$34,A80,5000m比較!$C$5:$C$34,B80)&gt;0,"○","")</f>
        <v/>
      </c>
    </row>
    <row r="81" customFormat="false" ht="15" hidden="false" customHeight="false" outlineLevel="0" collapsed="false">
      <c r="A81" s="13" t="s">
        <v>64</v>
      </c>
      <c r="B81" s="36" t="s">
        <v>174</v>
      </c>
      <c r="C81" s="43" t="n">
        <v>0.00958854166666667</v>
      </c>
      <c r="D81" s="36" t="s">
        <v>167</v>
      </c>
      <c r="E81" s="14" t="n">
        <v>12</v>
      </c>
      <c r="F81" s="8" t="str">
        <f aca="false">IF(COUNTIFS(5000m比較!$A$5:$A$34,A81,5000m比較!$C$5:$C$34,B81)&gt;0,"○","")</f>
        <v>○</v>
      </c>
    </row>
    <row r="82" customFormat="false" ht="15" hidden="false" customHeight="false" outlineLevel="0" collapsed="false">
      <c r="A82" s="13" t="s">
        <v>64</v>
      </c>
      <c r="B82" s="36" t="s">
        <v>176</v>
      </c>
      <c r="C82" s="43" t="n">
        <v>0.00960138888888889</v>
      </c>
      <c r="D82" s="36" t="s">
        <v>167</v>
      </c>
      <c r="E82" s="14" t="n">
        <v>14</v>
      </c>
      <c r="F82" s="8" t="str">
        <f aca="false">IF(COUNTIFS(5000m比較!$A$5:$A$34,A82,5000m比較!$C$5:$C$34,B82)&gt;0,"○","")</f>
        <v>○</v>
      </c>
    </row>
    <row r="83" customFormat="false" ht="15" hidden="false" customHeight="false" outlineLevel="0" collapsed="false">
      <c r="A83" s="13" t="s">
        <v>64</v>
      </c>
      <c r="B83" s="36" t="s">
        <v>216</v>
      </c>
      <c r="C83" s="43" t="n">
        <v>0.00960520833333333</v>
      </c>
      <c r="D83" s="36" t="s">
        <v>167</v>
      </c>
      <c r="E83" s="14" t="n">
        <v>15</v>
      </c>
      <c r="F83" s="8" t="str">
        <f aca="false">IF(COUNTIFS(5000m比較!$A$5:$A$34,A83,5000m比較!$C$5:$C$34,B83)&gt;0,"○","")</f>
        <v/>
      </c>
    </row>
    <row r="84" customFormat="false" ht="15" hidden="false" customHeight="false" outlineLevel="0" collapsed="false">
      <c r="A84" s="13" t="s">
        <v>64</v>
      </c>
      <c r="B84" s="36" t="s">
        <v>199</v>
      </c>
      <c r="C84" s="43" t="n">
        <v>0.00960694444444444</v>
      </c>
      <c r="D84" s="36" t="s">
        <v>167</v>
      </c>
      <c r="E84" s="14" t="n">
        <v>16</v>
      </c>
      <c r="F84" s="8" t="str">
        <f aca="false">IF(COUNTIFS(5000m比較!$A$5:$A$34,A84,5000m比較!$C$5:$C$34,B84)&gt;0,"○","")</f>
        <v/>
      </c>
    </row>
    <row r="85" customFormat="false" ht="15" hidden="false" customHeight="false" outlineLevel="0" collapsed="false">
      <c r="A85" s="13" t="s">
        <v>64</v>
      </c>
      <c r="B85" s="36" t="s">
        <v>194</v>
      </c>
      <c r="C85" s="43" t="n">
        <v>0.00964826388888889</v>
      </c>
      <c r="D85" s="36" t="s">
        <v>167</v>
      </c>
      <c r="E85" s="14" t="n">
        <v>18</v>
      </c>
      <c r="F85" s="8" t="str">
        <f aca="false">IF(COUNTIFS(5000m比較!$A$5:$A$34,A85,5000m比較!$C$5:$C$34,B85)&gt;0,"○","")</f>
        <v/>
      </c>
    </row>
    <row r="86" customFormat="false" ht="15" hidden="false" customHeight="false" outlineLevel="0" collapsed="false">
      <c r="A86" s="13" t="s">
        <v>64</v>
      </c>
      <c r="B86" s="36" t="s">
        <v>205</v>
      </c>
      <c r="C86" s="43" t="n">
        <v>0.00965381944444444</v>
      </c>
      <c r="D86" s="36" t="s">
        <v>167</v>
      </c>
      <c r="E86" s="14" t="n">
        <v>19</v>
      </c>
      <c r="F86" s="8" t="str">
        <f aca="false">IF(COUNTIFS(5000m比較!$A$5:$A$34,A86,5000m比較!$C$5:$C$34,B86)&gt;0,"○","")</f>
        <v/>
      </c>
    </row>
    <row r="87" customFormat="false" ht="15" hidden="false" customHeight="false" outlineLevel="0" collapsed="false">
      <c r="A87" s="13" t="s">
        <v>64</v>
      </c>
      <c r="B87" s="36" t="s">
        <v>173</v>
      </c>
      <c r="C87" s="43" t="n">
        <v>0.00970798611111111</v>
      </c>
      <c r="D87" s="36" t="s">
        <v>167</v>
      </c>
      <c r="E87" s="14" t="n">
        <v>21</v>
      </c>
      <c r="F87" s="8" t="str">
        <f aca="false">IF(COUNTIFS(5000m比較!$A$5:$A$34,A87,5000m比較!$C$5:$C$34,B87)&gt;0,"○","")</f>
        <v>○</v>
      </c>
    </row>
    <row r="88" customFormat="false" ht="15" hidden="false" customHeight="false" outlineLevel="0" collapsed="false">
      <c r="A88" s="13" t="s">
        <v>64</v>
      </c>
      <c r="B88" s="36" t="s">
        <v>200</v>
      </c>
      <c r="C88" s="43" t="n">
        <v>0.00977210648148148</v>
      </c>
      <c r="D88" s="36" t="s">
        <v>167</v>
      </c>
      <c r="E88" s="14" t="n">
        <v>22</v>
      </c>
      <c r="F88" s="8" t="str">
        <f aca="false">IF(COUNTIFS(5000m比較!$A$5:$A$34,A88,5000m比較!$C$5:$C$34,B88)&gt;0,"○","")</f>
        <v/>
      </c>
    </row>
    <row r="89" customFormat="false" ht="15" hidden="false" customHeight="false" outlineLevel="0" collapsed="false">
      <c r="A89" s="13" t="s">
        <v>64</v>
      </c>
      <c r="B89" s="36" t="s">
        <v>165</v>
      </c>
      <c r="C89" s="43" t="n">
        <v>0.00977777777777778</v>
      </c>
      <c r="D89" s="36" t="s">
        <v>167</v>
      </c>
      <c r="E89" s="14" t="n">
        <v>23</v>
      </c>
      <c r="F89" s="8" t="str">
        <f aca="false">IF(COUNTIFS(5000m比較!$A$5:$A$34,A89,5000m比較!$C$5:$C$34,B89)&gt;0,"○","")</f>
        <v/>
      </c>
    </row>
    <row r="90" customFormat="false" ht="15" hidden="false" customHeight="false" outlineLevel="0" collapsed="false">
      <c r="A90" s="13" t="s">
        <v>64</v>
      </c>
      <c r="B90" s="36" t="s">
        <v>169</v>
      </c>
      <c r="C90" s="43" t="n">
        <v>0.0099150462962963</v>
      </c>
      <c r="D90" s="36" t="s">
        <v>167</v>
      </c>
      <c r="E90" s="14" t="n">
        <v>26</v>
      </c>
      <c r="F90" s="8" t="str">
        <f aca="false">IF(COUNTIFS(5000m比較!$A$5:$A$34,A90,5000m比較!$C$5:$C$34,B90)&gt;0,"○","")</f>
        <v/>
      </c>
    </row>
    <row r="91" customFormat="false" ht="26.85" hidden="false" customHeight="false" outlineLevel="0" collapsed="false">
      <c r="A91" s="28" t="s">
        <v>65</v>
      </c>
      <c r="B91" s="31" t="s">
        <v>174</v>
      </c>
      <c r="C91" s="32" t="n">
        <v>0.00943287037037037</v>
      </c>
      <c r="D91" s="31" t="s">
        <v>178</v>
      </c>
      <c r="E91" s="34" t="n">
        <v>8</v>
      </c>
      <c r="F91" s="45" t="str">
        <f aca="false">IF(COUNTIFS(5000m比較!$A$5:$A$34,A91,5000m比較!$C$5:$C$34,B91)&gt;0,"○","")</f>
        <v>○</v>
      </c>
    </row>
    <row r="92" customFormat="false" ht="26.85" hidden="false" customHeight="false" outlineLevel="0" collapsed="false">
      <c r="A92" s="28" t="s">
        <v>65</v>
      </c>
      <c r="B92" s="31" t="s">
        <v>165</v>
      </c>
      <c r="C92" s="32" t="n">
        <v>0.00944444444444445</v>
      </c>
      <c r="D92" s="31" t="s">
        <v>178</v>
      </c>
      <c r="E92" s="34" t="n">
        <v>11</v>
      </c>
      <c r="F92" s="45" t="str">
        <f aca="false">IF(COUNTIFS(5000m比較!$A$5:$A$34,A92,5000m比較!$C$5:$C$34,B92)&gt;0,"○","")</f>
        <v>○</v>
      </c>
    </row>
    <row r="93" customFormat="false" ht="26.85" hidden="false" customHeight="false" outlineLevel="0" collapsed="false">
      <c r="A93" s="28" t="s">
        <v>65</v>
      </c>
      <c r="B93" s="31" t="s">
        <v>177</v>
      </c>
      <c r="C93" s="32" t="n">
        <v>0.00945601851851852</v>
      </c>
      <c r="D93" s="31" t="s">
        <v>178</v>
      </c>
      <c r="E93" s="34" t="n">
        <v>12</v>
      </c>
      <c r="F93" s="45" t="str">
        <f aca="false">IF(COUNTIFS(5000m比較!$A$5:$A$34,A93,5000m比較!$C$5:$C$34,B93)&gt;0,"○","")</f>
        <v>○</v>
      </c>
    </row>
    <row r="94" customFormat="false" ht="26.85" hidden="false" customHeight="false" outlineLevel="0" collapsed="false">
      <c r="A94" s="28" t="s">
        <v>65</v>
      </c>
      <c r="B94" s="31" t="s">
        <v>180</v>
      </c>
      <c r="C94" s="32" t="n">
        <v>0.00947916666666667</v>
      </c>
      <c r="D94" s="31" t="s">
        <v>178</v>
      </c>
      <c r="E94" s="34" t="n">
        <v>14</v>
      </c>
      <c r="F94" s="45" t="str">
        <f aca="false">IF(COUNTIFS(5000m比較!$A$5:$A$34,A94,5000m比較!$C$5:$C$34,B94)&gt;0,"○","")</f>
        <v>○</v>
      </c>
    </row>
    <row r="95" customFormat="false" ht="26.85" hidden="false" customHeight="false" outlineLevel="0" collapsed="false">
      <c r="A95" s="28" t="s">
        <v>65</v>
      </c>
      <c r="B95" s="31" t="s">
        <v>179</v>
      </c>
      <c r="C95" s="32" t="n">
        <v>0.00949074074074074</v>
      </c>
      <c r="D95" s="31" t="s">
        <v>178</v>
      </c>
      <c r="E95" s="34" t="n">
        <v>15</v>
      </c>
      <c r="F95" s="45" t="str">
        <f aca="false">IF(COUNTIFS(5000m比較!$A$5:$A$34,A95,5000m比較!$C$5:$C$34,B95)&gt;0,"○","")</f>
        <v>○</v>
      </c>
    </row>
    <row r="96" customFormat="false" ht="26.85" hidden="false" customHeight="false" outlineLevel="0" collapsed="false">
      <c r="A96" s="28" t="s">
        <v>65</v>
      </c>
      <c r="B96" s="31" t="s">
        <v>172</v>
      </c>
      <c r="C96" s="32" t="n">
        <v>0.00951388888888889</v>
      </c>
      <c r="D96" s="31" t="s">
        <v>178</v>
      </c>
      <c r="E96" s="34" t="n">
        <v>16</v>
      </c>
      <c r="F96" s="45" t="str">
        <f aca="false">IF(COUNTIFS(5000m比較!$A$5:$A$34,A96,5000m比較!$C$5:$C$34,B96)&gt;0,"○","")</f>
        <v>○</v>
      </c>
    </row>
    <row r="97" customFormat="false" ht="26.85" hidden="false" customHeight="false" outlineLevel="0" collapsed="false">
      <c r="A97" s="28" t="s">
        <v>65</v>
      </c>
      <c r="B97" s="31" t="s">
        <v>199</v>
      </c>
      <c r="C97" s="32" t="n">
        <v>0.00952546296296296</v>
      </c>
      <c r="D97" s="31" t="s">
        <v>178</v>
      </c>
      <c r="E97" s="34" t="n">
        <v>17</v>
      </c>
      <c r="F97" s="45" t="str">
        <f aca="false">IF(COUNTIFS(5000m比較!$A$5:$A$34,A97,5000m比較!$C$5:$C$34,B97)&gt;0,"○","")</f>
        <v/>
      </c>
    </row>
    <row r="98" customFormat="false" ht="26.85" hidden="false" customHeight="false" outlineLevel="0" collapsed="false">
      <c r="A98" s="28" t="s">
        <v>65</v>
      </c>
      <c r="B98" s="31" t="s">
        <v>217</v>
      </c>
      <c r="C98" s="32" t="n">
        <v>0.00952546296296296</v>
      </c>
      <c r="D98" s="31" t="s">
        <v>178</v>
      </c>
      <c r="E98" s="34" t="n">
        <v>18</v>
      </c>
      <c r="F98" s="45" t="str">
        <f aca="false">IF(COUNTIFS(5000m比較!$A$5:$A$34,A98,5000m比較!$C$5:$C$34,B98)&gt;0,"○","")</f>
        <v/>
      </c>
    </row>
    <row r="99" customFormat="false" ht="26.85" hidden="false" customHeight="false" outlineLevel="0" collapsed="false">
      <c r="A99" s="28" t="s">
        <v>65</v>
      </c>
      <c r="B99" s="31" t="s">
        <v>218</v>
      </c>
      <c r="C99" s="32" t="n">
        <v>0.00965277777777778</v>
      </c>
      <c r="D99" s="31" t="s">
        <v>178</v>
      </c>
      <c r="E99" s="34" t="n">
        <v>26</v>
      </c>
      <c r="F99" s="45" t="str">
        <f aca="false">IF(COUNTIFS(5000m比較!$A$5:$A$34,A99,5000m比較!$C$5:$C$34,B99)&gt;0,"○","")</f>
        <v/>
      </c>
    </row>
    <row r="100" customFormat="false" ht="26.85" hidden="false" customHeight="false" outlineLevel="0" collapsed="false">
      <c r="A100" s="28" t="s">
        <v>65</v>
      </c>
      <c r="B100" s="31" t="s">
        <v>173</v>
      </c>
      <c r="C100" s="32" t="n">
        <v>0.0101388888888889</v>
      </c>
      <c r="D100" s="31" t="s">
        <v>178</v>
      </c>
      <c r="E100" s="34" t="n">
        <v>75</v>
      </c>
      <c r="F100" s="45" t="str">
        <f aca="false">IF(COUNTIFS(5000m比較!$A$5:$A$34,A100,5000m比較!$C$5:$C$34,B100)&gt;0,"○","")</f>
        <v/>
      </c>
    </row>
  </sheetData>
  <autoFilter ref="A4:F100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G19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9" t="s">
        <v>219</v>
      </c>
    </row>
    <row r="2" customFormat="false" ht="30" hidden="false" customHeight="true" outlineLevel="0" collapsed="false">
      <c r="A2" s="46" t="s">
        <v>220</v>
      </c>
      <c r="B2" s="46"/>
      <c r="C2" s="46"/>
      <c r="D2" s="46"/>
      <c r="E2" s="46"/>
      <c r="F2" s="46"/>
      <c r="G2" s="46"/>
    </row>
    <row r="4" customFormat="false" ht="33.75" hidden="false" customHeight="true" outlineLevel="0" collapsed="false">
      <c r="A4" s="11" t="s">
        <v>44</v>
      </c>
      <c r="B4" s="11" t="s">
        <v>147</v>
      </c>
      <c r="C4" s="12" t="s">
        <v>221</v>
      </c>
      <c r="D4" s="12" t="s">
        <v>222</v>
      </c>
      <c r="E4" s="12" t="s">
        <v>223</v>
      </c>
      <c r="F4" s="12" t="s">
        <v>224</v>
      </c>
      <c r="G4" s="11" t="s">
        <v>185</v>
      </c>
    </row>
    <row r="5" customFormat="false" ht="15" hidden="false" customHeight="false" outlineLevel="0" collapsed="false">
      <c r="A5" s="28" t="s">
        <v>62</v>
      </c>
      <c r="B5" s="31" t="s">
        <v>187</v>
      </c>
      <c r="C5" s="29" t="n">
        <v>751</v>
      </c>
      <c r="D5" s="29"/>
      <c r="E5" s="34" t="n">
        <v>22</v>
      </c>
      <c r="F5" s="47" t="n">
        <f aca="false">IF(C5="","",C5/E5)</f>
        <v>34.1363636363636</v>
      </c>
      <c r="G5" s="45" t="str">
        <f aca="false">IF(COUNTIFS(5000m比較!$A$5:$A$34,A5,5000m比較!$C$5:$C$34,B5)&gt;0,"○","")</f>
        <v/>
      </c>
    </row>
    <row r="6" customFormat="false" ht="15" hidden="false" customHeight="false" outlineLevel="0" collapsed="false">
      <c r="A6" s="28" t="s">
        <v>62</v>
      </c>
      <c r="B6" s="31" t="s">
        <v>157</v>
      </c>
      <c r="C6" s="29" t="n">
        <v>718</v>
      </c>
      <c r="D6" s="29" t="n">
        <v>200</v>
      </c>
      <c r="E6" s="34" t="n">
        <v>22</v>
      </c>
      <c r="F6" s="47" t="n">
        <f aca="false">IF(C6="","",C6/E6)</f>
        <v>32.6363636363636</v>
      </c>
      <c r="G6" s="45" t="str">
        <f aca="false">IF(COUNTIFS(5000m比較!$A$5:$A$34,A6,5000m比較!$C$5:$C$34,B6)&gt;0,"○","")</f>
        <v/>
      </c>
    </row>
    <row r="7" customFormat="false" ht="15" hidden="false" customHeight="false" outlineLevel="0" collapsed="false">
      <c r="A7" s="28" t="s">
        <v>62</v>
      </c>
      <c r="B7" s="31" t="s">
        <v>165</v>
      </c>
      <c r="C7" s="29" t="n">
        <v>708</v>
      </c>
      <c r="D7" s="29" t="n">
        <v>271</v>
      </c>
      <c r="E7" s="34" t="n">
        <v>22</v>
      </c>
      <c r="F7" s="47" t="n">
        <f aca="false">IF(C7="","",C7/E7)</f>
        <v>32.1818181818182</v>
      </c>
      <c r="G7" s="45" t="str">
        <f aca="false">IF(COUNTIFS(5000m比較!$A$5:$A$34,A7,5000m比較!$C$5:$C$34,B7)&gt;0,"○","")</f>
        <v>○</v>
      </c>
    </row>
    <row r="8" customFormat="false" ht="15" hidden="false" customHeight="false" outlineLevel="0" collapsed="false">
      <c r="A8" s="28" t="s">
        <v>62</v>
      </c>
      <c r="B8" s="31" t="s">
        <v>194</v>
      </c>
      <c r="C8" s="29" t="n">
        <v>687</v>
      </c>
      <c r="D8" s="29" t="n">
        <v>265</v>
      </c>
      <c r="E8" s="34" t="n">
        <v>22</v>
      </c>
      <c r="F8" s="47" t="n">
        <f aca="false">IF(C8="","",C8/E8)</f>
        <v>31.2272727272727</v>
      </c>
      <c r="G8" s="45" t="str">
        <f aca="false">IF(COUNTIFS(5000m比較!$A$5:$A$34,A8,5000m比較!$C$5:$C$34,B8)&gt;0,"○","")</f>
        <v/>
      </c>
    </row>
    <row r="9" customFormat="false" ht="15" hidden="false" customHeight="false" outlineLevel="0" collapsed="false">
      <c r="A9" s="28" t="s">
        <v>62</v>
      </c>
      <c r="B9" s="31" t="s">
        <v>225</v>
      </c>
      <c r="C9" s="29" t="n">
        <v>687</v>
      </c>
      <c r="D9" s="29" t="n">
        <v>323</v>
      </c>
      <c r="E9" s="34" t="n">
        <v>22</v>
      </c>
      <c r="F9" s="47" t="n">
        <f aca="false">IF(C9="","",C9/E9)</f>
        <v>31.2272727272727</v>
      </c>
      <c r="G9" s="45" t="str">
        <f aca="false">IF(COUNTIFS(5000m比較!$A$5:$A$34,A9,5000m比較!$C$5:$C$34,B9)&gt;0,"○","")</f>
        <v/>
      </c>
    </row>
    <row r="10" customFormat="false" ht="15" hidden="false" customHeight="false" outlineLevel="0" collapsed="false">
      <c r="A10" s="28" t="s">
        <v>62</v>
      </c>
      <c r="B10" s="31" t="s">
        <v>226</v>
      </c>
      <c r="C10" s="29" t="n">
        <v>684</v>
      </c>
      <c r="D10" s="29"/>
      <c r="E10" s="34" t="n">
        <v>22</v>
      </c>
      <c r="F10" s="47" t="n">
        <f aca="false">IF(C10="","",C10/E10)</f>
        <v>31.0909090909091</v>
      </c>
      <c r="G10" s="45" t="str">
        <f aca="false">IF(COUNTIFS(5000m比較!$A$5:$A$34,A10,5000m比較!$C$5:$C$34,B10)&gt;0,"○","")</f>
        <v/>
      </c>
    </row>
    <row r="11" customFormat="false" ht="15" hidden="false" customHeight="false" outlineLevel="0" collapsed="false">
      <c r="A11" s="28" t="s">
        <v>62</v>
      </c>
      <c r="B11" s="31" t="s">
        <v>196</v>
      </c>
      <c r="C11" s="29" t="n">
        <v>663</v>
      </c>
      <c r="D11" s="29" t="n">
        <v>247</v>
      </c>
      <c r="E11" s="34" t="n">
        <v>22</v>
      </c>
      <c r="F11" s="47" t="n">
        <f aca="false">IF(C11="","",C11/E11)</f>
        <v>30.1363636363636</v>
      </c>
      <c r="G11" s="45" t="str">
        <f aca="false">IF(COUNTIFS(5000m比較!$A$5:$A$34,A11,5000m比較!$C$5:$C$34,B11)&gt;0,"○","")</f>
        <v/>
      </c>
    </row>
    <row r="12" customFormat="false" ht="15" hidden="false" customHeight="false" outlineLevel="0" collapsed="false">
      <c r="A12" s="28" t="s">
        <v>62</v>
      </c>
      <c r="B12" s="31" t="s">
        <v>158</v>
      </c>
      <c r="C12" s="29" t="n">
        <v>660</v>
      </c>
      <c r="D12" s="29" t="n">
        <v>252</v>
      </c>
      <c r="E12" s="34" t="n">
        <v>22</v>
      </c>
      <c r="F12" s="47" t="n">
        <f aca="false">IF(C12="","",C12/E12)</f>
        <v>30</v>
      </c>
      <c r="G12" s="45" t="str">
        <f aca="false">IF(COUNTIFS(5000m比較!$A$5:$A$34,A12,5000m比較!$C$5:$C$34,B12)&gt;0,"○","")</f>
        <v/>
      </c>
    </row>
    <row r="13" customFormat="false" ht="15" hidden="false" customHeight="false" outlineLevel="0" collapsed="false">
      <c r="A13" s="28" t="s">
        <v>62</v>
      </c>
      <c r="B13" s="31" t="s">
        <v>209</v>
      </c>
      <c r="C13" s="29" t="n">
        <v>652</v>
      </c>
      <c r="D13" s="29" t="n">
        <v>320</v>
      </c>
      <c r="E13" s="34" t="n">
        <v>22</v>
      </c>
      <c r="F13" s="47" t="n">
        <f aca="false">IF(C13="","",C13/E13)</f>
        <v>29.6363636363636</v>
      </c>
      <c r="G13" s="45" t="str">
        <f aca="false">IF(COUNTIFS(5000m比較!$A$5:$A$34,A13,5000m比較!$C$5:$C$34,B13)&gt;0,"○","")</f>
        <v/>
      </c>
    </row>
    <row r="14" customFormat="false" ht="15" hidden="false" customHeight="false" outlineLevel="0" collapsed="false">
      <c r="A14" s="28" t="s">
        <v>62</v>
      </c>
      <c r="B14" s="31" t="s">
        <v>227</v>
      </c>
      <c r="C14" s="29" t="n">
        <v>650</v>
      </c>
      <c r="D14" s="29" t="n">
        <v>270</v>
      </c>
      <c r="E14" s="34" t="n">
        <v>22</v>
      </c>
      <c r="F14" s="47" t="n">
        <f aca="false">IF(C14="","",C14/E14)</f>
        <v>29.5454545454545</v>
      </c>
      <c r="G14" s="45" t="str">
        <f aca="false">IF(COUNTIFS(5000m比較!$A$5:$A$34,A14,5000m比較!$C$5:$C$34,B14)&gt;0,"○","")</f>
        <v/>
      </c>
    </row>
    <row r="15" customFormat="false" ht="15" hidden="false" customHeight="false" outlineLevel="0" collapsed="false">
      <c r="A15" s="28" t="s">
        <v>62</v>
      </c>
      <c r="B15" s="31" t="s">
        <v>163</v>
      </c>
      <c r="C15" s="29" t="n">
        <v>647</v>
      </c>
      <c r="D15" s="29" t="n">
        <v>160</v>
      </c>
      <c r="E15" s="34" t="n">
        <v>22</v>
      </c>
      <c r="F15" s="47" t="n">
        <f aca="false">IF(C15="","",C15/E15)</f>
        <v>29.4090909090909</v>
      </c>
      <c r="G15" s="45" t="str">
        <f aca="false">IF(COUNTIFS(5000m比較!$A$5:$A$34,A15,5000m比較!$C$5:$C$34,B15)&gt;0,"○","")</f>
        <v>○</v>
      </c>
    </row>
    <row r="16" customFormat="false" ht="15" hidden="false" customHeight="false" outlineLevel="0" collapsed="false">
      <c r="A16" s="28" t="s">
        <v>62</v>
      </c>
      <c r="B16" s="31" t="s">
        <v>228</v>
      </c>
      <c r="C16" s="29" t="n">
        <v>641</v>
      </c>
      <c r="D16" s="29" t="n">
        <v>296</v>
      </c>
      <c r="E16" s="34" t="n">
        <v>22</v>
      </c>
      <c r="F16" s="47" t="n">
        <f aca="false">IF(C16="","",C16/E16)</f>
        <v>29.1363636363636</v>
      </c>
      <c r="G16" s="45" t="str">
        <f aca="false">IF(COUNTIFS(5000m比較!$A$5:$A$34,A16,5000m比較!$C$5:$C$34,B16)&gt;0,"○","")</f>
        <v/>
      </c>
    </row>
    <row r="17" customFormat="false" ht="15" hidden="false" customHeight="false" outlineLevel="0" collapsed="false">
      <c r="A17" s="28" t="s">
        <v>62</v>
      </c>
      <c r="B17" s="31" t="s">
        <v>199</v>
      </c>
      <c r="C17" s="29" t="n">
        <v>638</v>
      </c>
      <c r="D17" s="29" t="n">
        <v>261</v>
      </c>
      <c r="E17" s="34" t="n">
        <v>22</v>
      </c>
      <c r="F17" s="47" t="n">
        <f aca="false">IF(C17="","",C17/E17)</f>
        <v>29</v>
      </c>
      <c r="G17" s="45" t="str">
        <f aca="false">IF(COUNTIFS(5000m比較!$A$5:$A$34,A17,5000m比較!$C$5:$C$34,B17)&gt;0,"○","")</f>
        <v/>
      </c>
    </row>
    <row r="18" customFormat="false" ht="15" hidden="false" customHeight="false" outlineLevel="0" collapsed="false">
      <c r="A18" s="28" t="s">
        <v>62</v>
      </c>
      <c r="B18" s="31" t="s">
        <v>229</v>
      </c>
      <c r="C18" s="29" t="n">
        <v>636</v>
      </c>
      <c r="D18" s="29" t="n">
        <v>276</v>
      </c>
      <c r="E18" s="34" t="n">
        <v>22</v>
      </c>
      <c r="F18" s="47" t="n">
        <f aca="false">IF(C18="","",C18/E18)</f>
        <v>28.9090909090909</v>
      </c>
      <c r="G18" s="45" t="str">
        <f aca="false">IF(COUNTIFS(5000m比較!$A$5:$A$34,A18,5000m比較!$C$5:$C$34,B18)&gt;0,"○","")</f>
        <v/>
      </c>
    </row>
    <row r="19" customFormat="false" ht="15" hidden="false" customHeight="false" outlineLevel="0" collapsed="false">
      <c r="A19" s="28" t="s">
        <v>62</v>
      </c>
      <c r="B19" s="31" t="s">
        <v>210</v>
      </c>
      <c r="C19" s="29" t="n">
        <v>629</v>
      </c>
      <c r="D19" s="29" t="n">
        <v>260</v>
      </c>
      <c r="E19" s="34" t="n">
        <v>22</v>
      </c>
      <c r="F19" s="47" t="n">
        <f aca="false">IF(C19="","",C19/E19)</f>
        <v>28.5909090909091</v>
      </c>
      <c r="G19" s="45" t="str">
        <f aca="false">IF(COUNTIFS(5000m比較!$A$5:$A$34,A19,5000m比較!$C$5:$C$34,B19)&gt;0,"○","")</f>
        <v/>
      </c>
    </row>
    <row r="20" customFormat="false" ht="15" hidden="false" customHeight="false" outlineLevel="0" collapsed="false">
      <c r="A20" s="28" t="s">
        <v>62</v>
      </c>
      <c r="B20" s="31" t="s">
        <v>195</v>
      </c>
      <c r="C20" s="29" t="n">
        <v>618</v>
      </c>
      <c r="D20" s="29" t="n">
        <v>285</v>
      </c>
      <c r="E20" s="34" t="n">
        <v>22</v>
      </c>
      <c r="F20" s="47" t="n">
        <f aca="false">IF(C20="","",C20/E20)</f>
        <v>28.0909090909091</v>
      </c>
      <c r="G20" s="45" t="str">
        <f aca="false">IF(COUNTIFS(5000m比較!$A$5:$A$34,A20,5000m比較!$C$5:$C$34,B20)&gt;0,"○","")</f>
        <v/>
      </c>
    </row>
    <row r="21" customFormat="false" ht="15" hidden="false" customHeight="false" outlineLevel="0" collapsed="false">
      <c r="A21" s="28" t="s">
        <v>62</v>
      </c>
      <c r="B21" s="31" t="s">
        <v>212</v>
      </c>
      <c r="C21" s="29" t="n">
        <v>610</v>
      </c>
      <c r="D21" s="29" t="n">
        <v>350</v>
      </c>
      <c r="E21" s="34" t="n">
        <v>22</v>
      </c>
      <c r="F21" s="47" t="n">
        <f aca="false">IF(C21="","",C21/E21)</f>
        <v>27.7272727272727</v>
      </c>
      <c r="G21" s="45" t="str">
        <f aca="false">IF(COUNTIFS(5000m比較!$A$5:$A$34,A21,5000m比較!$C$5:$C$34,B21)&gt;0,"○","")</f>
        <v/>
      </c>
    </row>
    <row r="22" customFormat="false" ht="15" hidden="false" customHeight="false" outlineLevel="0" collapsed="false">
      <c r="A22" s="28" t="s">
        <v>62</v>
      </c>
      <c r="B22" s="31" t="s">
        <v>197</v>
      </c>
      <c r="C22" s="29" t="n">
        <v>604</v>
      </c>
      <c r="D22" s="29" t="n">
        <v>242</v>
      </c>
      <c r="E22" s="34" t="n">
        <v>22</v>
      </c>
      <c r="F22" s="47" t="n">
        <f aca="false">IF(C22="","",C22/E22)</f>
        <v>27.4545454545455</v>
      </c>
      <c r="G22" s="45" t="str">
        <f aca="false">IF(COUNTIFS(5000m比較!$A$5:$A$34,A22,5000m比較!$C$5:$C$34,B22)&gt;0,"○","")</f>
        <v/>
      </c>
    </row>
    <row r="23" customFormat="false" ht="15" hidden="false" customHeight="false" outlineLevel="0" collapsed="false">
      <c r="A23" s="28" t="s">
        <v>62</v>
      </c>
      <c r="B23" s="31" t="s">
        <v>230</v>
      </c>
      <c r="C23" s="29" t="n">
        <v>604</v>
      </c>
      <c r="D23" s="29" t="n">
        <v>267</v>
      </c>
      <c r="E23" s="34" t="n">
        <v>22</v>
      </c>
      <c r="F23" s="47" t="n">
        <f aca="false">IF(C23="","",C23/E23)</f>
        <v>27.4545454545455</v>
      </c>
      <c r="G23" s="45" t="str">
        <f aca="false">IF(COUNTIFS(5000m比較!$A$5:$A$34,A23,5000m比較!$C$5:$C$34,B23)&gt;0,"○","")</f>
        <v/>
      </c>
    </row>
    <row r="24" customFormat="false" ht="15" hidden="false" customHeight="false" outlineLevel="0" collapsed="false">
      <c r="A24" s="28" t="s">
        <v>62</v>
      </c>
      <c r="B24" s="31" t="s">
        <v>211</v>
      </c>
      <c r="C24" s="29" t="n">
        <v>593</v>
      </c>
      <c r="D24" s="29" t="n">
        <v>255</v>
      </c>
      <c r="E24" s="34" t="n">
        <v>22</v>
      </c>
      <c r="F24" s="47" t="n">
        <f aca="false">IF(C24="","",C24/E24)</f>
        <v>26.9545454545455</v>
      </c>
      <c r="G24" s="45" t="str">
        <f aca="false">IF(COUNTIFS(5000m比較!$A$5:$A$34,A24,5000m比較!$C$5:$C$34,B24)&gt;0,"○","")</f>
        <v/>
      </c>
    </row>
    <row r="25" customFormat="false" ht="15" hidden="false" customHeight="false" outlineLevel="0" collapsed="false">
      <c r="A25" s="28" t="s">
        <v>62</v>
      </c>
      <c r="B25" s="31" t="s">
        <v>201</v>
      </c>
      <c r="C25" s="29" t="n">
        <v>592</v>
      </c>
      <c r="D25" s="29" t="n">
        <v>228</v>
      </c>
      <c r="E25" s="34" t="n">
        <v>22</v>
      </c>
      <c r="F25" s="47" t="n">
        <f aca="false">IF(C25="","",C25/E25)</f>
        <v>26.9090909090909</v>
      </c>
      <c r="G25" s="45" t="str">
        <f aca="false">IF(COUNTIFS(5000m比較!$A$5:$A$34,A25,5000m比較!$C$5:$C$34,B25)&gt;0,"○","")</f>
        <v/>
      </c>
    </row>
    <row r="26" customFormat="false" ht="15" hidden="false" customHeight="false" outlineLevel="0" collapsed="false">
      <c r="A26" s="28" t="s">
        <v>62</v>
      </c>
      <c r="B26" s="31" t="s">
        <v>193</v>
      </c>
      <c r="C26" s="29" t="n">
        <v>580</v>
      </c>
      <c r="D26" s="29" t="n">
        <v>249</v>
      </c>
      <c r="E26" s="34" t="n">
        <v>22</v>
      </c>
      <c r="F26" s="47" t="n">
        <f aca="false">IF(C26="","",C26/E26)</f>
        <v>26.3636363636364</v>
      </c>
      <c r="G26" s="45" t="str">
        <f aca="false">IF(COUNTIFS(5000m比較!$A$5:$A$34,A26,5000m比較!$C$5:$C$34,B26)&gt;0,"○","")</f>
        <v/>
      </c>
    </row>
    <row r="27" customFormat="false" ht="15" hidden="false" customHeight="false" outlineLevel="0" collapsed="false">
      <c r="A27" s="28" t="s">
        <v>62</v>
      </c>
      <c r="B27" s="31" t="s">
        <v>169</v>
      </c>
      <c r="C27" s="29" t="n">
        <v>576</v>
      </c>
      <c r="D27" s="29" t="n">
        <v>151</v>
      </c>
      <c r="E27" s="34" t="n">
        <v>22</v>
      </c>
      <c r="F27" s="47" t="n">
        <f aca="false">IF(C27="","",C27/E27)</f>
        <v>26.1818181818182</v>
      </c>
      <c r="G27" s="45" t="str">
        <f aca="false">IF(COUNTIFS(5000m比較!$A$5:$A$34,A27,5000m比較!$C$5:$C$34,B27)&gt;0,"○","")</f>
        <v/>
      </c>
    </row>
    <row r="28" customFormat="false" ht="15" hidden="false" customHeight="false" outlineLevel="0" collapsed="false">
      <c r="A28" s="28" t="s">
        <v>62</v>
      </c>
      <c r="B28" s="31" t="s">
        <v>164</v>
      </c>
      <c r="C28" s="29" t="n">
        <v>569</v>
      </c>
      <c r="D28" s="29" t="n">
        <v>237</v>
      </c>
      <c r="E28" s="34" t="n">
        <v>22</v>
      </c>
      <c r="F28" s="47" t="n">
        <f aca="false">IF(C28="","",C28/E28)</f>
        <v>25.8636363636364</v>
      </c>
      <c r="G28" s="45" t="str">
        <f aca="false">IF(COUNTIFS(5000m比較!$A$5:$A$34,A28,5000m比較!$C$5:$C$34,B28)&gt;0,"○","")</f>
        <v>○</v>
      </c>
    </row>
    <row r="29" customFormat="false" ht="15" hidden="false" customHeight="false" outlineLevel="0" collapsed="false">
      <c r="A29" s="28" t="s">
        <v>62</v>
      </c>
      <c r="B29" s="31" t="s">
        <v>231</v>
      </c>
      <c r="C29" s="29" t="n">
        <v>569</v>
      </c>
      <c r="D29" s="29" t="n">
        <v>266</v>
      </c>
      <c r="E29" s="34" t="n">
        <v>22</v>
      </c>
      <c r="F29" s="47" t="n">
        <f aca="false">IF(C29="","",C29/E29)</f>
        <v>25.8636363636364</v>
      </c>
      <c r="G29" s="45" t="str">
        <f aca="false">IF(COUNTIFS(5000m比較!$A$5:$A$34,A29,5000m比較!$C$5:$C$34,B29)&gt;0,"○","")</f>
        <v/>
      </c>
    </row>
    <row r="30" customFormat="false" ht="15" hidden="false" customHeight="false" outlineLevel="0" collapsed="false">
      <c r="A30" s="28" t="s">
        <v>62</v>
      </c>
      <c r="B30" s="31" t="s">
        <v>232</v>
      </c>
      <c r="C30" s="29" t="n">
        <v>568.6</v>
      </c>
      <c r="D30" s="29" t="n">
        <v>305</v>
      </c>
      <c r="E30" s="34" t="n">
        <v>22</v>
      </c>
      <c r="F30" s="47" t="n">
        <f aca="false">IF(C30="","",C30/E30)</f>
        <v>25.8454545454545</v>
      </c>
      <c r="G30" s="45" t="str">
        <f aca="false">IF(COUNTIFS(5000m比較!$A$5:$A$34,A30,5000m比較!$C$5:$C$34,B30)&gt;0,"○","")</f>
        <v/>
      </c>
    </row>
    <row r="31" customFormat="false" ht="15" hidden="false" customHeight="false" outlineLevel="0" collapsed="false">
      <c r="A31" s="28" t="s">
        <v>62</v>
      </c>
      <c r="B31" s="31" t="s">
        <v>233</v>
      </c>
      <c r="C31" s="29" t="n">
        <v>561</v>
      </c>
      <c r="D31" s="29" t="n">
        <v>231</v>
      </c>
      <c r="E31" s="34" t="n">
        <v>22</v>
      </c>
      <c r="F31" s="47" t="n">
        <f aca="false">IF(C31="","",C31/E31)</f>
        <v>25.5</v>
      </c>
      <c r="G31" s="45" t="str">
        <f aca="false">IF(COUNTIFS(5000m比較!$A$5:$A$34,A31,5000m比較!$C$5:$C$34,B31)&gt;0,"○","")</f>
        <v/>
      </c>
    </row>
    <row r="32" customFormat="false" ht="15" hidden="false" customHeight="false" outlineLevel="0" collapsed="false">
      <c r="A32" s="28" t="s">
        <v>62</v>
      </c>
      <c r="B32" s="31" t="s">
        <v>160</v>
      </c>
      <c r="C32" s="29" t="n">
        <v>559</v>
      </c>
      <c r="D32" s="29" t="n">
        <v>272</v>
      </c>
      <c r="E32" s="34" t="n">
        <v>22</v>
      </c>
      <c r="F32" s="47" t="n">
        <f aca="false">IF(C32="","",C32/E32)</f>
        <v>25.4090909090909</v>
      </c>
      <c r="G32" s="45" t="str">
        <f aca="false">IF(COUNTIFS(5000m比較!$A$5:$A$34,A32,5000m比較!$C$5:$C$34,B32)&gt;0,"○","")</f>
        <v>○</v>
      </c>
    </row>
    <row r="33" customFormat="false" ht="15" hidden="false" customHeight="false" outlineLevel="0" collapsed="false">
      <c r="A33" s="28" t="s">
        <v>62</v>
      </c>
      <c r="B33" s="31" t="s">
        <v>234</v>
      </c>
      <c r="C33" s="29" t="n">
        <v>551</v>
      </c>
      <c r="D33" s="29" t="n">
        <v>80</v>
      </c>
      <c r="E33" s="34" t="n">
        <v>22</v>
      </c>
      <c r="F33" s="47" t="n">
        <f aca="false">IF(C33="","",C33/E33)</f>
        <v>25.0454545454545</v>
      </c>
      <c r="G33" s="45" t="str">
        <f aca="false">IF(COUNTIFS(5000m比較!$A$5:$A$34,A33,5000m比較!$C$5:$C$34,B33)&gt;0,"○","")</f>
        <v/>
      </c>
    </row>
    <row r="34" customFormat="false" ht="15" hidden="false" customHeight="false" outlineLevel="0" collapsed="false">
      <c r="A34" s="28" t="s">
        <v>62</v>
      </c>
      <c r="B34" s="31" t="s">
        <v>198</v>
      </c>
      <c r="C34" s="29" t="n">
        <v>539</v>
      </c>
      <c r="D34" s="29" t="n">
        <v>246</v>
      </c>
      <c r="E34" s="34" t="n">
        <v>22</v>
      </c>
      <c r="F34" s="47" t="n">
        <f aca="false">IF(C34="","",C34/E34)</f>
        <v>24.5</v>
      </c>
      <c r="G34" s="45" t="str">
        <f aca="false">IF(COUNTIFS(5000m比較!$A$5:$A$34,A34,5000m比較!$C$5:$C$34,B34)&gt;0,"○","")</f>
        <v/>
      </c>
    </row>
    <row r="35" customFormat="false" ht="15" hidden="false" customHeight="false" outlineLevel="0" collapsed="false">
      <c r="A35" s="28" t="s">
        <v>62</v>
      </c>
      <c r="B35" s="31" t="s">
        <v>162</v>
      </c>
      <c r="C35" s="29" t="n">
        <v>509.5</v>
      </c>
      <c r="D35" s="29" t="n">
        <v>234</v>
      </c>
      <c r="E35" s="34" t="n">
        <v>22</v>
      </c>
      <c r="F35" s="47" t="n">
        <f aca="false">IF(C35="","",C35/E35)</f>
        <v>23.1590909090909</v>
      </c>
      <c r="G35" s="45" t="str">
        <f aca="false">IF(COUNTIFS(5000m比較!$A$5:$A$34,A35,5000m比較!$C$5:$C$34,B35)&gt;0,"○","")</f>
        <v>○</v>
      </c>
    </row>
    <row r="36" customFormat="false" ht="15" hidden="false" customHeight="false" outlineLevel="0" collapsed="false">
      <c r="A36" s="28" t="s">
        <v>62</v>
      </c>
      <c r="B36" s="31" t="s">
        <v>203</v>
      </c>
      <c r="C36" s="29" t="n">
        <v>490</v>
      </c>
      <c r="D36" s="29" t="n">
        <v>344</v>
      </c>
      <c r="E36" s="34" t="n">
        <v>22</v>
      </c>
      <c r="F36" s="47" t="n">
        <f aca="false">IF(C36="","",C36/E36)</f>
        <v>22.2727272727273</v>
      </c>
      <c r="G36" s="45" t="str">
        <f aca="false">IF(COUNTIFS(5000m比較!$A$5:$A$34,A36,5000m比較!$C$5:$C$34,B36)&gt;0,"○","")</f>
        <v/>
      </c>
    </row>
    <row r="37" customFormat="false" ht="15" hidden="false" customHeight="false" outlineLevel="0" collapsed="false">
      <c r="A37" s="28" t="s">
        <v>62</v>
      </c>
      <c r="B37" s="31" t="s">
        <v>166</v>
      </c>
      <c r="C37" s="29" t="n">
        <v>459</v>
      </c>
      <c r="D37" s="29" t="n">
        <v>220</v>
      </c>
      <c r="E37" s="34" t="n">
        <v>22</v>
      </c>
      <c r="F37" s="47" t="n">
        <f aca="false">IF(C37="","",C37/E37)</f>
        <v>20.8636363636364</v>
      </c>
      <c r="G37" s="45" t="str">
        <f aca="false">IF(COUNTIFS(5000m比較!$A$5:$A$34,A37,5000m比較!$C$5:$C$34,B37)&gt;0,"○","")</f>
        <v>○</v>
      </c>
    </row>
    <row r="38" customFormat="false" ht="15" hidden="false" customHeight="false" outlineLevel="0" collapsed="false">
      <c r="A38" s="28" t="s">
        <v>62</v>
      </c>
      <c r="B38" s="31" t="s">
        <v>176</v>
      </c>
      <c r="C38" s="29" t="n">
        <v>454</v>
      </c>
      <c r="D38" s="29" t="n">
        <v>248</v>
      </c>
      <c r="E38" s="34" t="n">
        <v>22</v>
      </c>
      <c r="F38" s="47" t="n">
        <f aca="false">IF(C38="","",C38/E38)</f>
        <v>20.6363636363636</v>
      </c>
      <c r="G38" s="45" t="str">
        <f aca="false">IF(COUNTIFS(5000m比較!$A$5:$A$34,A38,5000m比較!$C$5:$C$34,B38)&gt;0,"○","")</f>
        <v/>
      </c>
    </row>
    <row r="39" customFormat="false" ht="15" hidden="false" customHeight="false" outlineLevel="0" collapsed="false">
      <c r="A39" s="28" t="s">
        <v>62</v>
      </c>
      <c r="B39" s="31" t="s">
        <v>235</v>
      </c>
      <c r="C39" s="29" t="n">
        <v>450</v>
      </c>
      <c r="D39" s="29" t="n">
        <v>175</v>
      </c>
      <c r="E39" s="34" t="n">
        <v>22</v>
      </c>
      <c r="F39" s="47" t="n">
        <f aca="false">IF(C39="","",C39/E39)</f>
        <v>20.4545454545455</v>
      </c>
      <c r="G39" s="45" t="str">
        <f aca="false">IF(COUNTIFS(5000m比較!$A$5:$A$34,A39,5000m比較!$C$5:$C$34,B39)&gt;0,"○","")</f>
        <v/>
      </c>
    </row>
    <row r="40" customFormat="false" ht="15" hidden="false" customHeight="false" outlineLevel="0" collapsed="false">
      <c r="A40" s="28" t="s">
        <v>62</v>
      </c>
      <c r="B40" s="31" t="s">
        <v>213</v>
      </c>
      <c r="C40" s="29" t="n">
        <v>436</v>
      </c>
      <c r="D40" s="29" t="n">
        <v>149</v>
      </c>
      <c r="E40" s="34" t="n">
        <v>22</v>
      </c>
      <c r="F40" s="47" t="n">
        <f aca="false">IF(C40="","",C40/E40)</f>
        <v>19.8181818181818</v>
      </c>
      <c r="G40" s="45" t="str">
        <f aca="false">IF(COUNTIFS(5000m比較!$A$5:$A$34,A40,5000m比較!$C$5:$C$34,B40)&gt;0,"○","")</f>
        <v/>
      </c>
    </row>
    <row r="41" customFormat="false" ht="15" hidden="false" customHeight="false" outlineLevel="0" collapsed="false">
      <c r="A41" s="28" t="s">
        <v>62</v>
      </c>
      <c r="B41" s="31" t="s">
        <v>171</v>
      </c>
      <c r="C41" s="29" t="n">
        <v>350</v>
      </c>
      <c r="D41" s="29" t="n">
        <v>199</v>
      </c>
      <c r="E41" s="34" t="n">
        <v>22</v>
      </c>
      <c r="F41" s="47" t="n">
        <f aca="false">IF(C41="","",C41/E41)</f>
        <v>15.9090909090909</v>
      </c>
      <c r="G41" s="45" t="str">
        <f aca="false">IF(COUNTIFS(5000m比較!$A$5:$A$34,A41,5000m比較!$C$5:$C$34,B41)&gt;0,"○","")</f>
        <v/>
      </c>
    </row>
    <row r="42" customFormat="false" ht="15" hidden="false" customHeight="false" outlineLevel="0" collapsed="false">
      <c r="A42" s="28" t="s">
        <v>62</v>
      </c>
      <c r="B42" s="31" t="s">
        <v>236</v>
      </c>
      <c r="C42" s="29" t="n">
        <v>348</v>
      </c>
      <c r="D42" s="29"/>
      <c r="E42" s="34" t="n">
        <v>22</v>
      </c>
      <c r="F42" s="47" t="n">
        <f aca="false">IF(C42="","",C42/E42)</f>
        <v>15.8181818181818</v>
      </c>
      <c r="G42" s="45" t="str">
        <f aca="false">IF(COUNTIFS(5000m比較!$A$5:$A$34,A42,5000m比較!$C$5:$C$34,B42)&gt;0,"○","")</f>
        <v/>
      </c>
    </row>
    <row r="43" customFormat="false" ht="15" hidden="false" customHeight="false" outlineLevel="0" collapsed="false">
      <c r="A43" s="28" t="s">
        <v>62</v>
      </c>
      <c r="B43" s="31" t="s">
        <v>237</v>
      </c>
      <c r="C43" s="29" t="n">
        <v>346</v>
      </c>
      <c r="D43" s="29"/>
      <c r="E43" s="34" t="n">
        <v>22</v>
      </c>
      <c r="F43" s="47" t="n">
        <f aca="false">IF(C43="","",C43/E43)</f>
        <v>15.7272727272727</v>
      </c>
      <c r="G43" s="45" t="str">
        <f aca="false">IF(COUNTIFS(5000m比較!$A$5:$A$34,A43,5000m比較!$C$5:$C$34,B43)&gt;0,"○","")</f>
        <v/>
      </c>
    </row>
    <row r="44" customFormat="false" ht="15" hidden="false" customHeight="false" outlineLevel="0" collapsed="false">
      <c r="A44" s="28" t="s">
        <v>62</v>
      </c>
      <c r="B44" s="31" t="s">
        <v>238</v>
      </c>
      <c r="C44" s="29" t="n">
        <v>342</v>
      </c>
      <c r="D44" s="29" t="n">
        <v>266</v>
      </c>
      <c r="E44" s="34" t="n">
        <v>22</v>
      </c>
      <c r="F44" s="47" t="n">
        <f aca="false">IF(C44="","",C44/E44)</f>
        <v>15.5454545454545</v>
      </c>
      <c r="G44" s="45" t="str">
        <f aca="false">IF(COUNTIFS(5000m比較!$A$5:$A$34,A44,5000m比較!$C$5:$C$34,B44)&gt;0,"○","")</f>
        <v/>
      </c>
    </row>
    <row r="45" customFormat="false" ht="15" hidden="false" customHeight="false" outlineLevel="0" collapsed="false">
      <c r="A45" s="28" t="s">
        <v>62</v>
      </c>
      <c r="B45" s="31" t="s">
        <v>206</v>
      </c>
      <c r="C45" s="29" t="n">
        <v>233</v>
      </c>
      <c r="D45" s="29" t="n">
        <v>201</v>
      </c>
      <c r="E45" s="34" t="n">
        <v>22</v>
      </c>
      <c r="F45" s="47" t="n">
        <f aca="false">IF(C45="","",C45/E45)</f>
        <v>10.5909090909091</v>
      </c>
      <c r="G45" s="45" t="str">
        <f aca="false">IF(COUNTIFS(5000m比較!$A$5:$A$34,A45,5000m比較!$C$5:$C$34,B45)&gt;0,"○","")</f>
        <v/>
      </c>
    </row>
    <row r="46" customFormat="false" ht="15" hidden="false" customHeight="false" outlineLevel="0" collapsed="false">
      <c r="A46" s="28" t="s">
        <v>62</v>
      </c>
      <c r="B46" s="31" t="s">
        <v>239</v>
      </c>
      <c r="C46" s="29" t="n">
        <v>99</v>
      </c>
      <c r="D46" s="29" t="n">
        <v>8</v>
      </c>
      <c r="E46" s="34" t="n">
        <v>22</v>
      </c>
      <c r="F46" s="47" t="n">
        <f aca="false">IF(C46="","",C46/E46)</f>
        <v>4.5</v>
      </c>
      <c r="G46" s="45" t="str">
        <f aca="false">IF(COUNTIFS(5000m比較!$A$5:$A$34,A46,5000m比較!$C$5:$C$34,B46)&gt;0,"○","")</f>
        <v/>
      </c>
    </row>
    <row r="47" customFormat="false" ht="15" hidden="false" customHeight="false" outlineLevel="0" collapsed="false">
      <c r="A47" s="28" t="s">
        <v>62</v>
      </c>
      <c r="B47" s="31" t="s">
        <v>170</v>
      </c>
      <c r="C47" s="29" t="n">
        <v>52</v>
      </c>
      <c r="D47" s="29" t="n">
        <v>217.8</v>
      </c>
      <c r="E47" s="34" t="n">
        <v>22</v>
      </c>
      <c r="F47" s="47" t="n">
        <f aca="false">IF(C47="","",C47/E47)</f>
        <v>2.36363636363636</v>
      </c>
      <c r="G47" s="45" t="str">
        <f aca="false">IF(COUNTIFS(5000m比較!$A$5:$A$34,A47,5000m比較!$C$5:$C$34,B47)&gt;0,"○","")</f>
        <v/>
      </c>
    </row>
    <row r="48" customFormat="false" ht="15" hidden="false" customHeight="false" outlineLevel="0" collapsed="false">
      <c r="A48" s="28" t="s">
        <v>62</v>
      </c>
      <c r="B48" s="31" t="s">
        <v>188</v>
      </c>
      <c r="C48" s="29" t="n">
        <v>52</v>
      </c>
      <c r="D48" s="29" t="n">
        <v>96</v>
      </c>
      <c r="E48" s="34" t="n">
        <v>22</v>
      </c>
      <c r="F48" s="47" t="n">
        <f aca="false">IF(C48="","",C48/E48)</f>
        <v>2.36363636363636</v>
      </c>
      <c r="G48" s="45" t="str">
        <f aca="false">IF(COUNTIFS(5000m比較!$A$5:$A$34,A48,5000m比較!$C$5:$C$34,B48)&gt;0,"○","")</f>
        <v/>
      </c>
    </row>
    <row r="49" customFormat="false" ht="15" hidden="false" customHeight="false" outlineLevel="0" collapsed="false">
      <c r="A49" s="28" t="s">
        <v>62</v>
      </c>
      <c r="B49" s="31" t="s">
        <v>189</v>
      </c>
      <c r="C49" s="29" t="n">
        <v>0</v>
      </c>
      <c r="D49" s="29" t="n">
        <v>20</v>
      </c>
      <c r="E49" s="34" t="n">
        <v>22</v>
      </c>
      <c r="F49" s="47" t="n">
        <f aca="false">IF(C49="","",C49/E49)</f>
        <v>0</v>
      </c>
      <c r="G49" s="45" t="str">
        <f aca="false">IF(COUNTIFS(5000m比較!$A$5:$A$34,A49,5000m比較!$C$5:$C$34,B49)&gt;0,"○","")</f>
        <v/>
      </c>
    </row>
    <row r="50" customFormat="false" ht="15" hidden="false" customHeight="false" outlineLevel="0" collapsed="false">
      <c r="A50" s="28" t="s">
        <v>62</v>
      </c>
      <c r="B50" s="31" t="s">
        <v>240</v>
      </c>
      <c r="C50" s="29" t="n">
        <v>0</v>
      </c>
      <c r="D50" s="29" t="n">
        <v>3</v>
      </c>
      <c r="E50" s="34" t="n">
        <v>22</v>
      </c>
      <c r="F50" s="47" t="n">
        <f aca="false">IF(C50="","",C50/E50)</f>
        <v>0</v>
      </c>
      <c r="G50" s="45" t="str">
        <f aca="false">IF(COUNTIFS(5000m比較!$A$5:$A$34,A50,5000m比較!$C$5:$C$34,B50)&gt;0,"○","")</f>
        <v/>
      </c>
    </row>
    <row r="51" customFormat="false" ht="15" hidden="false" customHeight="false" outlineLevel="0" collapsed="false">
      <c r="A51" s="13" t="s">
        <v>63</v>
      </c>
      <c r="B51" s="36" t="s">
        <v>176</v>
      </c>
      <c r="C51" s="24" t="n">
        <v>658</v>
      </c>
      <c r="D51" s="24" t="n">
        <v>220</v>
      </c>
      <c r="E51" s="14" t="n">
        <v>19</v>
      </c>
      <c r="F51" s="18" t="n">
        <f aca="false">IF(C51="","",C51/E51)</f>
        <v>34.6315789473684</v>
      </c>
      <c r="G51" s="26" t="str">
        <f aca="false">IF(COUNTIFS(5000m比較!$A$5:$A$34,A51,5000m比較!$C$5:$C$34,B51)&gt;0,"○","")</f>
        <v/>
      </c>
    </row>
    <row r="52" customFormat="false" ht="15" hidden="false" customHeight="false" outlineLevel="0" collapsed="false">
      <c r="A52" s="13" t="s">
        <v>63</v>
      </c>
      <c r="B52" s="36" t="s">
        <v>203</v>
      </c>
      <c r="C52" s="24" t="n">
        <v>652</v>
      </c>
      <c r="D52" s="24" t="n">
        <v>252</v>
      </c>
      <c r="E52" s="14" t="n">
        <v>19</v>
      </c>
      <c r="F52" s="18" t="n">
        <f aca="false">IF(C52="","",C52/E52)</f>
        <v>34.3157894736842</v>
      </c>
      <c r="G52" s="26" t="str">
        <f aca="false">IF(COUNTIFS(5000m比較!$A$5:$A$34,A52,5000m比較!$C$5:$C$34,B52)&gt;0,"○","")</f>
        <v/>
      </c>
    </row>
    <row r="53" customFormat="false" ht="15" hidden="false" customHeight="false" outlineLevel="0" collapsed="false">
      <c r="A53" s="13" t="s">
        <v>63</v>
      </c>
      <c r="B53" s="36" t="s">
        <v>209</v>
      </c>
      <c r="C53" s="24" t="n">
        <v>651</v>
      </c>
      <c r="D53" s="24" t="n">
        <v>295</v>
      </c>
      <c r="E53" s="14" t="n">
        <v>19</v>
      </c>
      <c r="F53" s="18" t="n">
        <f aca="false">IF(C53="","",C53/E53)</f>
        <v>34.2631578947368</v>
      </c>
      <c r="G53" s="26" t="str">
        <f aca="false">IF(COUNTIFS(5000m比較!$A$5:$A$34,A53,5000m比較!$C$5:$C$34,B53)&gt;0,"○","")</f>
        <v/>
      </c>
    </row>
    <row r="54" customFormat="false" ht="15" hidden="false" customHeight="false" outlineLevel="0" collapsed="false">
      <c r="A54" s="13" t="s">
        <v>63</v>
      </c>
      <c r="B54" s="36" t="s">
        <v>187</v>
      </c>
      <c r="C54" s="24" t="n">
        <v>635</v>
      </c>
      <c r="D54" s="24" t="n">
        <v>277</v>
      </c>
      <c r="E54" s="14" t="n">
        <v>19</v>
      </c>
      <c r="F54" s="18" t="n">
        <f aca="false">IF(C54="","",C54/E54)</f>
        <v>33.4210526315789</v>
      </c>
      <c r="G54" s="26" t="str">
        <f aca="false">IF(COUNTIFS(5000m比較!$A$5:$A$34,A54,5000m比較!$C$5:$C$34,B54)&gt;0,"○","")</f>
        <v/>
      </c>
    </row>
    <row r="55" customFormat="false" ht="15" hidden="false" customHeight="false" outlineLevel="0" collapsed="false">
      <c r="A55" s="13" t="s">
        <v>63</v>
      </c>
      <c r="B55" s="36" t="s">
        <v>212</v>
      </c>
      <c r="C55" s="24" t="n">
        <v>615</v>
      </c>
      <c r="D55" s="24" t="n">
        <v>266</v>
      </c>
      <c r="E55" s="14" t="n">
        <v>19</v>
      </c>
      <c r="F55" s="18" t="n">
        <f aca="false">IF(C55="","",C55/E55)</f>
        <v>32.3684210526316</v>
      </c>
      <c r="G55" s="26" t="str">
        <f aca="false">IF(COUNTIFS(5000m比較!$A$5:$A$34,A55,5000m比較!$C$5:$C$34,B55)&gt;0,"○","")</f>
        <v/>
      </c>
    </row>
    <row r="56" customFormat="false" ht="15" hidden="false" customHeight="false" outlineLevel="0" collapsed="false">
      <c r="A56" s="13" t="s">
        <v>63</v>
      </c>
      <c r="B56" s="36" t="s">
        <v>215</v>
      </c>
      <c r="C56" s="24" t="n">
        <v>615</v>
      </c>
      <c r="D56" s="24" t="n">
        <v>255</v>
      </c>
      <c r="E56" s="14" t="n">
        <v>19</v>
      </c>
      <c r="F56" s="18" t="n">
        <f aca="false">IF(C56="","",C56/E56)</f>
        <v>32.3684210526316</v>
      </c>
      <c r="G56" s="26" t="str">
        <f aca="false">IF(COUNTIFS(5000m比較!$A$5:$A$34,A56,5000m比較!$C$5:$C$34,B56)&gt;0,"○","")</f>
        <v/>
      </c>
    </row>
    <row r="57" customFormat="false" ht="15" hidden="false" customHeight="false" outlineLevel="0" collapsed="false">
      <c r="A57" s="13" t="s">
        <v>63</v>
      </c>
      <c r="B57" s="36" t="s">
        <v>232</v>
      </c>
      <c r="C57" s="24" t="n">
        <v>608</v>
      </c>
      <c r="D57" s="24" t="n">
        <v>236</v>
      </c>
      <c r="E57" s="14" t="n">
        <v>19</v>
      </c>
      <c r="F57" s="18" t="n">
        <f aca="false">IF(C57="","",C57/E57)</f>
        <v>32</v>
      </c>
      <c r="G57" s="26" t="str">
        <f aca="false">IF(COUNTIFS(5000m比較!$A$5:$A$34,A57,5000m比較!$C$5:$C$34,B57)&gt;0,"○","")</f>
        <v/>
      </c>
    </row>
    <row r="58" customFormat="false" ht="15" hidden="false" customHeight="false" outlineLevel="0" collapsed="false">
      <c r="A58" s="13" t="s">
        <v>63</v>
      </c>
      <c r="B58" s="36" t="s">
        <v>225</v>
      </c>
      <c r="C58" s="24" t="n">
        <v>607</v>
      </c>
      <c r="D58" s="24" t="n">
        <v>160</v>
      </c>
      <c r="E58" s="14" t="n">
        <v>19</v>
      </c>
      <c r="F58" s="18" t="n">
        <f aca="false">IF(C58="","",C58/E58)</f>
        <v>31.9473684210526</v>
      </c>
      <c r="G58" s="26" t="str">
        <f aca="false">IF(COUNTIFS(5000m比較!$A$5:$A$34,A58,5000m比較!$C$5:$C$34,B58)&gt;0,"○","")</f>
        <v/>
      </c>
    </row>
    <row r="59" customFormat="false" ht="15" hidden="false" customHeight="false" outlineLevel="0" collapsed="false">
      <c r="A59" s="13" t="s">
        <v>63</v>
      </c>
      <c r="B59" s="36" t="s">
        <v>214</v>
      </c>
      <c r="C59" s="24" t="n">
        <v>599</v>
      </c>
      <c r="D59" s="24" t="n">
        <v>250</v>
      </c>
      <c r="E59" s="14" t="n">
        <v>19</v>
      </c>
      <c r="F59" s="18" t="n">
        <f aca="false">IF(C59="","",C59/E59)</f>
        <v>31.5263157894737</v>
      </c>
      <c r="G59" s="26" t="str">
        <f aca="false">IF(COUNTIFS(5000m比較!$A$5:$A$34,A59,5000m比較!$C$5:$C$34,B59)&gt;0,"○","")</f>
        <v/>
      </c>
    </row>
    <row r="60" customFormat="false" ht="15" hidden="false" customHeight="false" outlineLevel="0" collapsed="false">
      <c r="A60" s="13" t="s">
        <v>63</v>
      </c>
      <c r="B60" s="36" t="s">
        <v>172</v>
      </c>
      <c r="C60" s="24" t="n">
        <v>596</v>
      </c>
      <c r="D60" s="24" t="n">
        <v>233</v>
      </c>
      <c r="E60" s="14" t="n">
        <v>19</v>
      </c>
      <c r="F60" s="18" t="n">
        <f aca="false">IF(C60="","",C60/E60)</f>
        <v>31.3684210526316</v>
      </c>
      <c r="G60" s="26" t="str">
        <f aca="false">IF(COUNTIFS(5000m比較!$A$5:$A$34,A60,5000m比較!$C$5:$C$34,B60)&gt;0,"○","")</f>
        <v/>
      </c>
    </row>
    <row r="61" customFormat="false" ht="15" hidden="false" customHeight="false" outlineLevel="0" collapsed="false">
      <c r="A61" s="13" t="s">
        <v>63</v>
      </c>
      <c r="B61" s="36" t="s">
        <v>165</v>
      </c>
      <c r="C61" s="24" t="n">
        <v>590</v>
      </c>
      <c r="D61" s="24" t="n">
        <v>210</v>
      </c>
      <c r="E61" s="14" t="n">
        <v>19</v>
      </c>
      <c r="F61" s="18" t="n">
        <f aca="false">IF(C61="","",C61/E61)</f>
        <v>31.0526315789474</v>
      </c>
      <c r="G61" s="26" t="str">
        <f aca="false">IF(COUNTIFS(5000m比較!$A$5:$A$34,A61,5000m比較!$C$5:$C$34,B61)&gt;0,"○","")</f>
        <v/>
      </c>
    </row>
    <row r="62" customFormat="false" ht="15" hidden="false" customHeight="false" outlineLevel="0" collapsed="false">
      <c r="A62" s="13" t="s">
        <v>63</v>
      </c>
      <c r="B62" s="36" t="s">
        <v>210</v>
      </c>
      <c r="C62" s="24" t="n">
        <v>583</v>
      </c>
      <c r="D62" s="24" t="n">
        <v>238</v>
      </c>
      <c r="E62" s="14" t="n">
        <v>19</v>
      </c>
      <c r="F62" s="18" t="n">
        <f aca="false">IF(C62="","",C62/E62)</f>
        <v>30.6842105263158</v>
      </c>
      <c r="G62" s="26" t="str">
        <f aca="false">IF(COUNTIFS(5000m比較!$A$5:$A$34,A62,5000m比較!$C$5:$C$34,B62)&gt;0,"○","")</f>
        <v/>
      </c>
    </row>
    <row r="63" customFormat="false" ht="15" hidden="false" customHeight="false" outlineLevel="0" collapsed="false">
      <c r="A63" s="13" t="s">
        <v>63</v>
      </c>
      <c r="B63" s="36" t="s">
        <v>199</v>
      </c>
      <c r="C63" s="24" t="n">
        <v>580</v>
      </c>
      <c r="D63" s="24" t="n">
        <v>244</v>
      </c>
      <c r="E63" s="14" t="n">
        <v>19</v>
      </c>
      <c r="F63" s="18" t="n">
        <f aca="false">IF(C63="","",C63/E63)</f>
        <v>30.5263157894737</v>
      </c>
      <c r="G63" s="26" t="str">
        <f aca="false">IF(COUNTIFS(5000m比較!$A$5:$A$34,A63,5000m比較!$C$5:$C$34,B63)&gt;0,"○","")</f>
        <v/>
      </c>
    </row>
    <row r="64" customFormat="false" ht="15" hidden="false" customHeight="false" outlineLevel="0" collapsed="false">
      <c r="A64" s="13" t="s">
        <v>63</v>
      </c>
      <c r="B64" s="36" t="s">
        <v>228</v>
      </c>
      <c r="C64" s="24" t="n">
        <v>575</v>
      </c>
      <c r="D64" s="24" t="n">
        <v>234</v>
      </c>
      <c r="E64" s="14" t="n">
        <v>19</v>
      </c>
      <c r="F64" s="18" t="n">
        <f aca="false">IF(C64="","",C64/E64)</f>
        <v>30.2631578947368</v>
      </c>
      <c r="G64" s="26" t="str">
        <f aca="false">IF(COUNTIFS(5000m比較!$A$5:$A$34,A64,5000m比較!$C$5:$C$34,B64)&gt;0,"○","")</f>
        <v/>
      </c>
    </row>
    <row r="65" customFormat="false" ht="15" hidden="false" customHeight="false" outlineLevel="0" collapsed="false">
      <c r="A65" s="13" t="s">
        <v>63</v>
      </c>
      <c r="B65" s="36" t="s">
        <v>229</v>
      </c>
      <c r="C65" s="24" t="n">
        <v>565</v>
      </c>
      <c r="D65" s="24" t="n">
        <v>242</v>
      </c>
      <c r="E65" s="14" t="n">
        <v>19</v>
      </c>
      <c r="F65" s="18" t="n">
        <f aca="false">IF(C65="","",C65/E65)</f>
        <v>29.7368421052632</v>
      </c>
      <c r="G65" s="26" t="str">
        <f aca="false">IF(COUNTIFS(5000m比較!$A$5:$A$34,A65,5000m比較!$C$5:$C$34,B65)&gt;0,"○","")</f>
        <v/>
      </c>
    </row>
    <row r="66" customFormat="false" ht="15" hidden="false" customHeight="false" outlineLevel="0" collapsed="false">
      <c r="A66" s="13" t="s">
        <v>63</v>
      </c>
      <c r="B66" s="36" t="s">
        <v>194</v>
      </c>
      <c r="C66" s="24" t="n">
        <v>560</v>
      </c>
      <c r="D66" s="24" t="n">
        <v>230</v>
      </c>
      <c r="E66" s="14" t="n">
        <v>19</v>
      </c>
      <c r="F66" s="18" t="n">
        <f aca="false">IF(C66="","",C66/E66)</f>
        <v>29.4736842105263</v>
      </c>
      <c r="G66" s="26" t="str">
        <f aca="false">IF(COUNTIFS(5000m比較!$A$5:$A$34,A66,5000m比較!$C$5:$C$34,B66)&gt;0,"○","")</f>
        <v/>
      </c>
    </row>
    <row r="67" customFormat="false" ht="15" hidden="false" customHeight="false" outlineLevel="0" collapsed="false">
      <c r="A67" s="13" t="s">
        <v>63</v>
      </c>
      <c r="B67" s="36" t="s">
        <v>211</v>
      </c>
      <c r="C67" s="24" t="n">
        <v>560</v>
      </c>
      <c r="D67" s="24" t="n">
        <v>244</v>
      </c>
      <c r="E67" s="14" t="n">
        <v>19</v>
      </c>
      <c r="F67" s="18" t="n">
        <f aca="false">IF(C67="","",C67/E67)</f>
        <v>29.4736842105263</v>
      </c>
      <c r="G67" s="26" t="str">
        <f aca="false">IF(COUNTIFS(5000m比較!$A$5:$A$34,A67,5000m比較!$C$5:$C$34,B67)&gt;0,"○","")</f>
        <v/>
      </c>
    </row>
    <row r="68" customFormat="false" ht="15" hidden="false" customHeight="false" outlineLevel="0" collapsed="false">
      <c r="A68" s="13" t="s">
        <v>63</v>
      </c>
      <c r="B68" s="36" t="s">
        <v>202</v>
      </c>
      <c r="C68" s="24" t="n">
        <v>558</v>
      </c>
      <c r="D68" s="24" t="n">
        <v>222</v>
      </c>
      <c r="E68" s="14" t="n">
        <v>19</v>
      </c>
      <c r="F68" s="18" t="n">
        <f aca="false">IF(C68="","",C68/E68)</f>
        <v>29.3684210526316</v>
      </c>
      <c r="G68" s="26" t="str">
        <f aca="false">IF(COUNTIFS(5000m比較!$A$5:$A$34,A68,5000m比較!$C$5:$C$34,B68)&gt;0,"○","")</f>
        <v/>
      </c>
    </row>
    <row r="69" customFormat="false" ht="15" hidden="false" customHeight="false" outlineLevel="0" collapsed="false">
      <c r="A69" s="13" t="s">
        <v>63</v>
      </c>
      <c r="B69" s="36" t="s">
        <v>188</v>
      </c>
      <c r="C69" s="24" t="n">
        <v>552</v>
      </c>
      <c r="D69" s="24" t="n">
        <v>231</v>
      </c>
      <c r="E69" s="14" t="n">
        <v>19</v>
      </c>
      <c r="F69" s="18" t="n">
        <f aca="false">IF(C69="","",C69/E69)</f>
        <v>29.0526315789474</v>
      </c>
      <c r="G69" s="26" t="str">
        <f aca="false">IF(COUNTIFS(5000m比較!$A$5:$A$34,A69,5000m比較!$C$5:$C$34,B69)&gt;0,"○","")</f>
        <v/>
      </c>
    </row>
    <row r="70" customFormat="false" ht="15" hidden="false" customHeight="false" outlineLevel="0" collapsed="false">
      <c r="A70" s="13" t="s">
        <v>63</v>
      </c>
      <c r="B70" s="36" t="s">
        <v>174</v>
      </c>
      <c r="C70" s="24" t="n">
        <v>552</v>
      </c>
      <c r="D70" s="24" t="n">
        <v>193</v>
      </c>
      <c r="E70" s="14" t="n">
        <v>19</v>
      </c>
      <c r="F70" s="18" t="n">
        <f aca="false">IF(C70="","",C70/E70)</f>
        <v>29.0526315789474</v>
      </c>
      <c r="G70" s="26" t="str">
        <f aca="false">IF(COUNTIFS(5000m比較!$A$5:$A$34,A70,5000m比較!$C$5:$C$34,B70)&gt;0,"○","")</f>
        <v/>
      </c>
    </row>
    <row r="71" customFormat="false" ht="15" hidden="false" customHeight="false" outlineLevel="0" collapsed="false">
      <c r="A71" s="13" t="s">
        <v>63</v>
      </c>
      <c r="B71" s="36" t="s">
        <v>230</v>
      </c>
      <c r="C71" s="24" t="n">
        <v>544</v>
      </c>
      <c r="D71" s="24" t="n">
        <v>234</v>
      </c>
      <c r="E71" s="14" t="n">
        <v>19</v>
      </c>
      <c r="F71" s="18" t="n">
        <f aca="false">IF(C71="","",C71/E71)</f>
        <v>28.6315789473684</v>
      </c>
      <c r="G71" s="26" t="str">
        <f aca="false">IF(COUNTIFS(5000m比較!$A$5:$A$34,A71,5000m比較!$C$5:$C$34,B71)&gt;0,"○","")</f>
        <v/>
      </c>
    </row>
    <row r="72" customFormat="false" ht="15" hidden="false" customHeight="false" outlineLevel="0" collapsed="false">
      <c r="A72" s="13" t="s">
        <v>63</v>
      </c>
      <c r="B72" s="36" t="s">
        <v>235</v>
      </c>
      <c r="C72" s="24" t="n">
        <v>543</v>
      </c>
      <c r="D72" s="24" t="n">
        <v>232</v>
      </c>
      <c r="E72" s="14" t="n">
        <v>19</v>
      </c>
      <c r="F72" s="18" t="n">
        <f aca="false">IF(C72="","",C72/E72)</f>
        <v>28.5789473684211</v>
      </c>
      <c r="G72" s="26" t="str">
        <f aca="false">IF(COUNTIFS(5000m比較!$A$5:$A$34,A72,5000m比較!$C$5:$C$34,B72)&gt;0,"○","")</f>
        <v/>
      </c>
    </row>
    <row r="73" customFormat="false" ht="15" hidden="false" customHeight="false" outlineLevel="0" collapsed="false">
      <c r="A73" s="13" t="s">
        <v>63</v>
      </c>
      <c r="B73" s="36" t="s">
        <v>241</v>
      </c>
      <c r="C73" s="24" t="n">
        <v>541</v>
      </c>
      <c r="D73" s="24" t="n">
        <v>216</v>
      </c>
      <c r="E73" s="14" t="n">
        <v>19</v>
      </c>
      <c r="F73" s="18" t="n">
        <f aca="false">IF(C73="","",C73/E73)</f>
        <v>28.4736842105263</v>
      </c>
      <c r="G73" s="26" t="str">
        <f aca="false">IF(COUNTIFS(5000m比較!$A$5:$A$34,A73,5000m比較!$C$5:$C$34,B73)&gt;0,"○","")</f>
        <v/>
      </c>
    </row>
    <row r="74" customFormat="false" ht="15" hidden="false" customHeight="false" outlineLevel="0" collapsed="false">
      <c r="A74" s="13" t="s">
        <v>63</v>
      </c>
      <c r="B74" s="36" t="s">
        <v>170</v>
      </c>
      <c r="C74" s="24" t="n">
        <v>536</v>
      </c>
      <c r="D74" s="24" t="n">
        <v>252</v>
      </c>
      <c r="E74" s="14" t="n">
        <v>19</v>
      </c>
      <c r="F74" s="18" t="n">
        <f aca="false">IF(C74="","",C74/E74)</f>
        <v>28.2105263157895</v>
      </c>
      <c r="G74" s="26" t="str">
        <f aca="false">IF(COUNTIFS(5000m比較!$A$5:$A$34,A74,5000m比較!$C$5:$C$34,B74)&gt;0,"○","")</f>
        <v>○</v>
      </c>
    </row>
    <row r="75" customFormat="false" ht="15" hidden="false" customHeight="false" outlineLevel="0" collapsed="false">
      <c r="A75" s="13" t="s">
        <v>63</v>
      </c>
      <c r="B75" s="36" t="s">
        <v>213</v>
      </c>
      <c r="C75" s="24" t="n">
        <v>535</v>
      </c>
      <c r="D75" s="24" t="n">
        <v>214</v>
      </c>
      <c r="E75" s="14" t="n">
        <v>19</v>
      </c>
      <c r="F75" s="18" t="n">
        <f aca="false">IF(C75="","",C75/E75)</f>
        <v>28.1578947368421</v>
      </c>
      <c r="G75" s="26" t="str">
        <f aca="false">IF(COUNTIFS(5000m比較!$A$5:$A$34,A75,5000m比較!$C$5:$C$34,B75)&gt;0,"○","")</f>
        <v/>
      </c>
    </row>
    <row r="76" customFormat="false" ht="15" hidden="false" customHeight="false" outlineLevel="0" collapsed="false">
      <c r="A76" s="13" t="s">
        <v>63</v>
      </c>
      <c r="B76" s="36" t="s">
        <v>242</v>
      </c>
      <c r="C76" s="24" t="n">
        <v>534</v>
      </c>
      <c r="D76" s="24" t="n">
        <v>205</v>
      </c>
      <c r="E76" s="14" t="n">
        <v>19</v>
      </c>
      <c r="F76" s="18" t="n">
        <f aca="false">IF(C76="","",C76/E76)</f>
        <v>28.1052631578947</v>
      </c>
      <c r="G76" s="26" t="str">
        <f aca="false">IF(COUNTIFS(5000m比較!$A$5:$A$34,A76,5000m比較!$C$5:$C$34,B76)&gt;0,"○","")</f>
        <v/>
      </c>
    </row>
    <row r="77" customFormat="false" ht="15" hidden="false" customHeight="false" outlineLevel="0" collapsed="false">
      <c r="A77" s="13" t="s">
        <v>63</v>
      </c>
      <c r="B77" s="36" t="s">
        <v>207</v>
      </c>
      <c r="C77" s="24" t="n">
        <v>528</v>
      </c>
      <c r="D77" s="24" t="n">
        <v>220</v>
      </c>
      <c r="E77" s="14" t="n">
        <v>19</v>
      </c>
      <c r="F77" s="18" t="n">
        <f aca="false">IF(C77="","",C77/E77)</f>
        <v>27.7894736842105</v>
      </c>
      <c r="G77" s="26" t="str">
        <f aca="false">IF(COUNTIFS(5000m比較!$A$5:$A$34,A77,5000m比較!$C$5:$C$34,B77)&gt;0,"○","")</f>
        <v/>
      </c>
    </row>
    <row r="78" customFormat="false" ht="15" hidden="false" customHeight="false" outlineLevel="0" collapsed="false">
      <c r="A78" s="13" t="s">
        <v>63</v>
      </c>
      <c r="B78" s="36" t="s">
        <v>193</v>
      </c>
      <c r="C78" s="24" t="n">
        <v>516</v>
      </c>
      <c r="D78" s="24" t="n">
        <v>185</v>
      </c>
      <c r="E78" s="14" t="n">
        <v>19</v>
      </c>
      <c r="F78" s="18" t="n">
        <f aca="false">IF(C78="","",C78/E78)</f>
        <v>27.1578947368421</v>
      </c>
      <c r="G78" s="26" t="str">
        <f aca="false">IF(COUNTIFS(5000m比較!$A$5:$A$34,A78,5000m比較!$C$5:$C$34,B78)&gt;0,"○","")</f>
        <v/>
      </c>
    </row>
    <row r="79" customFormat="false" ht="15" hidden="false" customHeight="false" outlineLevel="0" collapsed="false">
      <c r="A79" s="13" t="s">
        <v>63</v>
      </c>
      <c r="B79" s="36" t="s">
        <v>240</v>
      </c>
      <c r="C79" s="24" t="n">
        <v>515</v>
      </c>
      <c r="D79" s="24" t="n">
        <v>106.5</v>
      </c>
      <c r="E79" s="14" t="n">
        <v>19</v>
      </c>
      <c r="F79" s="18" t="n">
        <f aca="false">IF(C79="","",C79/E79)</f>
        <v>27.1052631578947</v>
      </c>
      <c r="G79" s="26" t="str">
        <f aca="false">IF(COUNTIFS(5000m比較!$A$5:$A$34,A79,5000m比較!$C$5:$C$34,B79)&gt;0,"○","")</f>
        <v/>
      </c>
    </row>
    <row r="80" customFormat="false" ht="15" hidden="false" customHeight="false" outlineLevel="0" collapsed="false">
      <c r="A80" s="13" t="s">
        <v>63</v>
      </c>
      <c r="B80" s="36" t="s">
        <v>243</v>
      </c>
      <c r="C80" s="24" t="n">
        <v>511</v>
      </c>
      <c r="D80" s="24" t="n">
        <v>177</v>
      </c>
      <c r="E80" s="14" t="n">
        <v>19</v>
      </c>
      <c r="F80" s="18" t="n">
        <f aca="false">IF(C80="","",C80/E80)</f>
        <v>26.8947368421053</v>
      </c>
      <c r="G80" s="26" t="str">
        <f aca="false">IF(COUNTIFS(5000m比較!$A$5:$A$34,A80,5000m比較!$C$5:$C$34,B80)&gt;0,"○","")</f>
        <v/>
      </c>
    </row>
    <row r="81" customFormat="false" ht="15" hidden="false" customHeight="false" outlineLevel="0" collapsed="false">
      <c r="A81" s="13" t="s">
        <v>63</v>
      </c>
      <c r="B81" s="36" t="s">
        <v>169</v>
      </c>
      <c r="C81" s="24" t="n">
        <v>500</v>
      </c>
      <c r="D81" s="24" t="n">
        <v>199</v>
      </c>
      <c r="E81" s="14" t="n">
        <v>19</v>
      </c>
      <c r="F81" s="18" t="n">
        <f aca="false">IF(C81="","",C81/E81)</f>
        <v>26.3157894736842</v>
      </c>
      <c r="G81" s="26" t="str">
        <f aca="false">IF(COUNTIFS(5000m比較!$A$5:$A$34,A81,5000m比較!$C$5:$C$34,B81)&gt;0,"○","")</f>
        <v>○</v>
      </c>
    </row>
    <row r="82" customFormat="false" ht="15" hidden="false" customHeight="false" outlineLevel="0" collapsed="false">
      <c r="A82" s="13" t="s">
        <v>63</v>
      </c>
      <c r="B82" s="36" t="s">
        <v>179</v>
      </c>
      <c r="C82" s="24" t="n">
        <v>492</v>
      </c>
      <c r="D82" s="24" t="n">
        <v>215</v>
      </c>
      <c r="E82" s="14" t="n">
        <v>19</v>
      </c>
      <c r="F82" s="18" t="n">
        <f aca="false">IF(C82="","",C82/E82)</f>
        <v>25.8947368421053</v>
      </c>
      <c r="G82" s="26" t="str">
        <f aca="false">IF(COUNTIFS(5000m比較!$A$5:$A$34,A82,5000m比較!$C$5:$C$34,B82)&gt;0,"○","")</f>
        <v/>
      </c>
    </row>
    <row r="83" customFormat="false" ht="15" hidden="false" customHeight="false" outlineLevel="0" collapsed="false">
      <c r="A83" s="13" t="s">
        <v>63</v>
      </c>
      <c r="B83" s="36" t="s">
        <v>160</v>
      </c>
      <c r="C83" s="24" t="n">
        <v>485</v>
      </c>
      <c r="D83" s="24" t="n">
        <v>202</v>
      </c>
      <c r="E83" s="14" t="n">
        <v>19</v>
      </c>
      <c r="F83" s="18" t="n">
        <f aca="false">IF(C83="","",C83/E83)</f>
        <v>25.5263157894737</v>
      </c>
      <c r="G83" s="26" t="str">
        <f aca="false">IF(COUNTIFS(5000m比較!$A$5:$A$34,A83,5000m比較!$C$5:$C$34,B83)&gt;0,"○","")</f>
        <v>○</v>
      </c>
    </row>
    <row r="84" customFormat="false" ht="15" hidden="false" customHeight="false" outlineLevel="0" collapsed="false">
      <c r="A84" s="13" t="s">
        <v>63</v>
      </c>
      <c r="B84" s="36" t="s">
        <v>234</v>
      </c>
      <c r="C84" s="24" t="n">
        <v>469</v>
      </c>
      <c r="D84" s="24" t="n">
        <v>201</v>
      </c>
      <c r="E84" s="14" t="n">
        <v>19</v>
      </c>
      <c r="F84" s="18" t="n">
        <f aca="false">IF(C84="","",C84/E84)</f>
        <v>24.6842105263158</v>
      </c>
      <c r="G84" s="26" t="str">
        <f aca="false">IF(COUNTIFS(5000m比較!$A$5:$A$34,A84,5000m比較!$C$5:$C$34,B84)&gt;0,"○","")</f>
        <v/>
      </c>
    </row>
    <row r="85" customFormat="false" ht="15" hidden="false" customHeight="false" outlineLevel="0" collapsed="false">
      <c r="A85" s="13" t="s">
        <v>63</v>
      </c>
      <c r="B85" s="36" t="s">
        <v>171</v>
      </c>
      <c r="C85" s="24" t="n">
        <v>463</v>
      </c>
      <c r="D85" s="24" t="n">
        <v>201</v>
      </c>
      <c r="E85" s="14" t="n">
        <v>19</v>
      </c>
      <c r="F85" s="18" t="n">
        <f aca="false">IF(C85="","",C85/E85)</f>
        <v>24.3684210526316</v>
      </c>
      <c r="G85" s="26" t="str">
        <f aca="false">IF(COUNTIFS(5000m比較!$A$5:$A$34,A85,5000m比較!$C$5:$C$34,B85)&gt;0,"○","")</f>
        <v>○</v>
      </c>
    </row>
    <row r="86" customFormat="false" ht="15" hidden="false" customHeight="false" outlineLevel="0" collapsed="false">
      <c r="A86" s="13" t="s">
        <v>63</v>
      </c>
      <c r="B86" s="36" t="s">
        <v>162</v>
      </c>
      <c r="C86" s="24" t="n">
        <v>453</v>
      </c>
      <c r="D86" s="24" t="n">
        <v>206</v>
      </c>
      <c r="E86" s="14" t="n">
        <v>19</v>
      </c>
      <c r="F86" s="18" t="n">
        <f aca="false">IF(C86="","",C86/E86)</f>
        <v>23.8421052631579</v>
      </c>
      <c r="G86" s="26" t="str">
        <f aca="false">IF(COUNTIFS(5000m比較!$A$5:$A$34,A86,5000m比較!$C$5:$C$34,B86)&gt;0,"○","")</f>
        <v>○</v>
      </c>
    </row>
    <row r="87" customFormat="false" ht="15" hidden="false" customHeight="false" outlineLevel="0" collapsed="false">
      <c r="A87" s="13" t="s">
        <v>63</v>
      </c>
      <c r="B87" s="36" t="s">
        <v>227</v>
      </c>
      <c r="C87" s="24" t="n">
        <v>450</v>
      </c>
      <c r="D87" s="24" t="n">
        <v>222</v>
      </c>
      <c r="E87" s="14" t="n">
        <v>19</v>
      </c>
      <c r="F87" s="18" t="n">
        <f aca="false">IF(C87="","",C87/E87)</f>
        <v>23.6842105263158</v>
      </c>
      <c r="G87" s="26" t="str">
        <f aca="false">IF(COUNTIFS(5000m比較!$A$5:$A$34,A87,5000m比較!$C$5:$C$34,B87)&gt;0,"○","")</f>
        <v/>
      </c>
    </row>
    <row r="88" customFormat="false" ht="15" hidden="false" customHeight="false" outlineLevel="0" collapsed="false">
      <c r="A88" s="13" t="s">
        <v>63</v>
      </c>
      <c r="B88" s="36" t="s">
        <v>158</v>
      </c>
      <c r="C88" s="24" t="n">
        <v>442</v>
      </c>
      <c r="D88" s="24" t="n">
        <v>109</v>
      </c>
      <c r="E88" s="14" t="n">
        <v>19</v>
      </c>
      <c r="F88" s="18" t="n">
        <f aca="false">IF(C88="","",C88/E88)</f>
        <v>23.2631578947368</v>
      </c>
      <c r="G88" s="26" t="str">
        <f aca="false">IF(COUNTIFS(5000m比較!$A$5:$A$34,A88,5000m比較!$C$5:$C$34,B88)&gt;0,"○","")</f>
        <v/>
      </c>
    </row>
    <row r="89" customFormat="false" ht="15" hidden="false" customHeight="false" outlineLevel="0" collapsed="false">
      <c r="A89" s="13" t="s">
        <v>63</v>
      </c>
      <c r="B89" s="36" t="s">
        <v>205</v>
      </c>
      <c r="C89" s="24" t="n">
        <v>421</v>
      </c>
      <c r="D89" s="24" t="n">
        <v>147</v>
      </c>
      <c r="E89" s="14" t="n">
        <v>19</v>
      </c>
      <c r="F89" s="18" t="n">
        <f aca="false">IF(C89="","",C89/E89)</f>
        <v>22.1578947368421</v>
      </c>
      <c r="G89" s="26" t="str">
        <f aca="false">IF(COUNTIFS(5000m比較!$A$5:$A$34,A89,5000m比較!$C$5:$C$34,B89)&gt;0,"○","")</f>
        <v/>
      </c>
    </row>
    <row r="90" customFormat="false" ht="15" hidden="false" customHeight="false" outlineLevel="0" collapsed="false">
      <c r="A90" s="13" t="s">
        <v>63</v>
      </c>
      <c r="B90" s="36" t="s">
        <v>231</v>
      </c>
      <c r="C90" s="24" t="n">
        <v>419</v>
      </c>
      <c r="D90" s="24" t="n">
        <v>225</v>
      </c>
      <c r="E90" s="14" t="n">
        <v>19</v>
      </c>
      <c r="F90" s="18" t="n">
        <f aca="false">IF(C90="","",C90/E90)</f>
        <v>22.0526315789474</v>
      </c>
      <c r="G90" s="26" t="str">
        <f aca="false">IF(COUNTIFS(5000m比較!$A$5:$A$34,A90,5000m比較!$C$5:$C$34,B90)&gt;0,"○","")</f>
        <v/>
      </c>
    </row>
    <row r="91" customFormat="false" ht="15" hidden="false" customHeight="false" outlineLevel="0" collapsed="false">
      <c r="A91" s="13" t="s">
        <v>63</v>
      </c>
      <c r="B91" s="36" t="s">
        <v>166</v>
      </c>
      <c r="C91" s="24" t="n">
        <v>409</v>
      </c>
      <c r="D91" s="24" t="n">
        <v>202</v>
      </c>
      <c r="E91" s="14" t="n">
        <v>19</v>
      </c>
      <c r="F91" s="18" t="n">
        <f aca="false">IF(C91="","",C91/E91)</f>
        <v>21.5263157894737</v>
      </c>
      <c r="G91" s="26" t="str">
        <f aca="false">IF(COUNTIFS(5000m比較!$A$5:$A$34,A91,5000m比較!$C$5:$C$34,B91)&gt;0,"○","")</f>
        <v>○</v>
      </c>
    </row>
    <row r="92" customFormat="false" ht="15" hidden="false" customHeight="false" outlineLevel="0" collapsed="false">
      <c r="A92" s="13" t="s">
        <v>63</v>
      </c>
      <c r="B92" s="36" t="s">
        <v>173</v>
      </c>
      <c r="C92" s="24" t="n">
        <v>391</v>
      </c>
      <c r="D92" s="24" t="n">
        <v>204</v>
      </c>
      <c r="E92" s="14" t="n">
        <v>19</v>
      </c>
      <c r="F92" s="18" t="n">
        <f aca="false">IF(C92="","",C92/E92)</f>
        <v>20.5789473684211</v>
      </c>
      <c r="G92" s="26" t="str">
        <f aca="false">IF(COUNTIFS(5000m比較!$A$5:$A$34,A92,5000m比較!$C$5:$C$34,B92)&gt;0,"○","")</f>
        <v/>
      </c>
    </row>
    <row r="93" customFormat="false" ht="15" hidden="false" customHeight="false" outlineLevel="0" collapsed="false">
      <c r="A93" s="13" t="s">
        <v>63</v>
      </c>
      <c r="B93" s="36" t="s">
        <v>206</v>
      </c>
      <c r="C93" s="24" t="n">
        <v>382</v>
      </c>
      <c r="D93" s="24" t="n">
        <v>219</v>
      </c>
      <c r="E93" s="14" t="n">
        <v>19</v>
      </c>
      <c r="F93" s="18" t="n">
        <f aca="false">IF(C93="","",C93/E93)</f>
        <v>20.1052631578947</v>
      </c>
      <c r="G93" s="26" t="str">
        <f aca="false">IF(COUNTIFS(5000m比較!$A$5:$A$34,A93,5000m比較!$C$5:$C$34,B93)&gt;0,"○","")</f>
        <v/>
      </c>
    </row>
    <row r="94" customFormat="false" ht="15" hidden="false" customHeight="false" outlineLevel="0" collapsed="false">
      <c r="A94" s="13" t="s">
        <v>63</v>
      </c>
      <c r="B94" s="36" t="s">
        <v>233</v>
      </c>
      <c r="C94" s="24" t="n">
        <v>347</v>
      </c>
      <c r="D94" s="24" t="n">
        <v>251</v>
      </c>
      <c r="E94" s="14" t="n">
        <v>19</v>
      </c>
      <c r="F94" s="18" t="n">
        <f aca="false">IF(C94="","",C94/E94)</f>
        <v>18.2631578947368</v>
      </c>
      <c r="G94" s="26" t="str">
        <f aca="false">IF(COUNTIFS(5000m比較!$A$5:$A$34,A94,5000m比較!$C$5:$C$34,B94)&gt;0,"○","")</f>
        <v/>
      </c>
    </row>
    <row r="95" customFormat="false" ht="15" hidden="false" customHeight="false" outlineLevel="0" collapsed="false">
      <c r="A95" s="13" t="s">
        <v>63</v>
      </c>
      <c r="B95" s="36" t="s">
        <v>244</v>
      </c>
      <c r="C95" s="24" t="n">
        <v>320</v>
      </c>
      <c r="D95" s="24" t="n">
        <v>244</v>
      </c>
      <c r="E95" s="14" t="n">
        <v>19</v>
      </c>
      <c r="F95" s="18" t="n">
        <f aca="false">IF(C95="","",C95/E95)</f>
        <v>16.8421052631579</v>
      </c>
      <c r="G95" s="26" t="str">
        <f aca="false">IF(COUNTIFS(5000m比較!$A$5:$A$34,A95,5000m比較!$C$5:$C$34,B95)&gt;0,"○","")</f>
        <v/>
      </c>
    </row>
    <row r="96" customFormat="false" ht="15" hidden="false" customHeight="false" outlineLevel="0" collapsed="false">
      <c r="A96" s="13" t="s">
        <v>63</v>
      </c>
      <c r="B96" s="36" t="s">
        <v>208</v>
      </c>
      <c r="C96" s="24" t="n">
        <v>242</v>
      </c>
      <c r="D96" s="24" t="n">
        <v>184</v>
      </c>
      <c r="E96" s="14" t="n">
        <v>19</v>
      </c>
      <c r="F96" s="18" t="n">
        <f aca="false">IF(C96="","",C96/E96)</f>
        <v>12.7368421052632</v>
      </c>
      <c r="G96" s="26" t="str">
        <f aca="false">IF(COUNTIFS(5000m比較!$A$5:$A$34,A96,5000m比較!$C$5:$C$34,B96)&gt;0,"○","")</f>
        <v/>
      </c>
    </row>
    <row r="97" customFormat="false" ht="15" hidden="false" customHeight="false" outlineLevel="0" collapsed="false">
      <c r="A97" s="13" t="s">
        <v>63</v>
      </c>
      <c r="B97" s="36" t="s">
        <v>204</v>
      </c>
      <c r="C97" s="24" t="n">
        <v>98.5</v>
      </c>
      <c r="D97" s="24" t="n">
        <v>228</v>
      </c>
      <c r="E97" s="14" t="n">
        <v>19</v>
      </c>
      <c r="F97" s="18" t="n">
        <f aca="false">IF(C97="","",C97/E97)</f>
        <v>5.18421052631579</v>
      </c>
      <c r="G97" s="26" t="str">
        <f aca="false">IF(COUNTIFS(5000m比較!$A$5:$A$34,A97,5000m比較!$C$5:$C$34,B97)&gt;0,"○","")</f>
        <v/>
      </c>
    </row>
    <row r="98" customFormat="false" ht="15" hidden="false" customHeight="false" outlineLevel="0" collapsed="false">
      <c r="A98" s="28" t="s">
        <v>64</v>
      </c>
      <c r="B98" s="31" t="s">
        <v>176</v>
      </c>
      <c r="C98" s="29" t="n">
        <v>721</v>
      </c>
      <c r="D98" s="29" t="n">
        <v>266</v>
      </c>
      <c r="E98" s="34" t="n">
        <v>19</v>
      </c>
      <c r="F98" s="47" t="n">
        <f aca="false">IF(C98="","",C98/E98)</f>
        <v>37.9473684210526</v>
      </c>
      <c r="G98" s="45" t="str">
        <f aca="false">IF(COUNTIFS(5000m比較!$A$5:$A$34,A98,5000m比較!$C$5:$C$34,B98)&gt;0,"○","")</f>
        <v>○</v>
      </c>
    </row>
    <row r="99" customFormat="false" ht="15" hidden="false" customHeight="false" outlineLevel="0" collapsed="false">
      <c r="A99" s="28" t="s">
        <v>64</v>
      </c>
      <c r="B99" s="31" t="s">
        <v>214</v>
      </c>
      <c r="C99" s="29" t="n">
        <v>701</v>
      </c>
      <c r="D99" s="29" t="n">
        <v>263</v>
      </c>
      <c r="E99" s="34" t="n">
        <v>19</v>
      </c>
      <c r="F99" s="47" t="n">
        <f aca="false">IF(C99="","",C99/E99)</f>
        <v>36.8947368421053</v>
      </c>
      <c r="G99" s="45" t="str">
        <f aca="false">IF(COUNTIFS(5000m比較!$A$5:$A$34,A99,5000m比較!$C$5:$C$34,B99)&gt;0,"○","")</f>
        <v/>
      </c>
    </row>
    <row r="100" customFormat="false" ht="15" hidden="false" customHeight="false" outlineLevel="0" collapsed="false">
      <c r="A100" s="28" t="s">
        <v>64</v>
      </c>
      <c r="B100" s="31" t="s">
        <v>227</v>
      </c>
      <c r="C100" s="29" t="n">
        <v>630</v>
      </c>
      <c r="D100" s="29" t="n">
        <v>230</v>
      </c>
      <c r="E100" s="34" t="n">
        <v>19</v>
      </c>
      <c r="F100" s="47" t="n">
        <f aca="false">IF(C100="","",C100/E100)</f>
        <v>33.1578947368421</v>
      </c>
      <c r="G100" s="45" t="str">
        <f aca="false">IF(COUNTIFS(5000m比較!$A$5:$A$34,A100,5000m比較!$C$5:$C$34,B100)&gt;0,"○","")</f>
        <v/>
      </c>
    </row>
    <row r="101" customFormat="false" ht="15" hidden="false" customHeight="false" outlineLevel="0" collapsed="false">
      <c r="A101" s="28" t="s">
        <v>64</v>
      </c>
      <c r="B101" s="31" t="s">
        <v>211</v>
      </c>
      <c r="C101" s="29" t="n">
        <v>625</v>
      </c>
      <c r="D101" s="29" t="n">
        <v>212</v>
      </c>
      <c r="E101" s="34" t="n">
        <v>19</v>
      </c>
      <c r="F101" s="47" t="n">
        <f aca="false">IF(C101="","",C101/E101)</f>
        <v>32.8947368421053</v>
      </c>
      <c r="G101" s="45" t="str">
        <f aca="false">IF(COUNTIFS(5000m比較!$A$5:$A$34,A101,5000m比較!$C$5:$C$34,B101)&gt;0,"○","")</f>
        <v/>
      </c>
    </row>
    <row r="102" customFormat="false" ht="15" hidden="false" customHeight="false" outlineLevel="0" collapsed="false">
      <c r="A102" s="28" t="s">
        <v>64</v>
      </c>
      <c r="B102" s="31" t="s">
        <v>212</v>
      </c>
      <c r="C102" s="29" t="n">
        <v>623</v>
      </c>
      <c r="D102" s="29" t="n">
        <v>240</v>
      </c>
      <c r="E102" s="34" t="n">
        <v>19</v>
      </c>
      <c r="F102" s="47" t="n">
        <f aca="false">IF(C102="","",C102/E102)</f>
        <v>32.7894736842105</v>
      </c>
      <c r="G102" s="45" t="str">
        <f aca="false">IF(COUNTIFS(5000m比較!$A$5:$A$34,A102,5000m比較!$C$5:$C$34,B102)&gt;0,"○","")</f>
        <v/>
      </c>
    </row>
    <row r="103" customFormat="false" ht="15" hidden="false" customHeight="false" outlineLevel="0" collapsed="false">
      <c r="A103" s="28" t="s">
        <v>64</v>
      </c>
      <c r="B103" s="31" t="s">
        <v>204</v>
      </c>
      <c r="C103" s="29" t="n">
        <v>622</v>
      </c>
      <c r="D103" s="29" t="n">
        <v>259</v>
      </c>
      <c r="E103" s="34" t="n">
        <v>19</v>
      </c>
      <c r="F103" s="47" t="n">
        <f aca="false">IF(C103="","",C103/E103)</f>
        <v>32.7368421052632</v>
      </c>
      <c r="G103" s="45" t="str">
        <f aca="false">IF(COUNTIFS(5000m比較!$A$5:$A$34,A103,5000m比較!$C$5:$C$34,B103)&gt;0,"○","")</f>
        <v/>
      </c>
    </row>
    <row r="104" customFormat="false" ht="15" hidden="false" customHeight="false" outlineLevel="0" collapsed="false">
      <c r="A104" s="28" t="s">
        <v>64</v>
      </c>
      <c r="B104" s="31" t="s">
        <v>180</v>
      </c>
      <c r="C104" s="29" t="n">
        <v>622</v>
      </c>
      <c r="D104" s="29" t="n">
        <v>220</v>
      </c>
      <c r="E104" s="34" t="n">
        <v>19</v>
      </c>
      <c r="F104" s="47" t="n">
        <f aca="false">IF(C104="","",C104/E104)</f>
        <v>32.7368421052632</v>
      </c>
      <c r="G104" s="45" t="str">
        <f aca="false">IF(COUNTIFS(5000m比較!$A$5:$A$34,A104,5000m比較!$C$5:$C$34,B104)&gt;0,"○","")</f>
        <v/>
      </c>
    </row>
    <row r="105" customFormat="false" ht="15" hidden="false" customHeight="false" outlineLevel="0" collapsed="false">
      <c r="A105" s="28" t="s">
        <v>64</v>
      </c>
      <c r="B105" s="31" t="s">
        <v>172</v>
      </c>
      <c r="C105" s="29" t="n">
        <v>612</v>
      </c>
      <c r="D105" s="29" t="n">
        <v>212</v>
      </c>
      <c r="E105" s="34" t="n">
        <v>19</v>
      </c>
      <c r="F105" s="47" t="n">
        <f aca="false">IF(C105="","",C105/E105)</f>
        <v>32.2105263157895</v>
      </c>
      <c r="G105" s="45" t="str">
        <f aca="false">IF(COUNTIFS(5000m比較!$A$5:$A$34,A105,5000m比較!$C$5:$C$34,B105)&gt;0,"○","")</f>
        <v>○</v>
      </c>
    </row>
    <row r="106" customFormat="false" ht="15" hidden="false" customHeight="false" outlineLevel="0" collapsed="false">
      <c r="A106" s="28" t="s">
        <v>64</v>
      </c>
      <c r="B106" s="31" t="s">
        <v>199</v>
      </c>
      <c r="C106" s="29" t="n">
        <v>600</v>
      </c>
      <c r="D106" s="29" t="n">
        <v>233</v>
      </c>
      <c r="E106" s="34" t="n">
        <v>19</v>
      </c>
      <c r="F106" s="47" t="n">
        <f aca="false">IF(C106="","",C106/E106)</f>
        <v>31.5789473684211</v>
      </c>
      <c r="G106" s="45" t="str">
        <f aca="false">IF(COUNTIFS(5000m比較!$A$5:$A$34,A106,5000m比較!$C$5:$C$34,B106)&gt;0,"○","")</f>
        <v/>
      </c>
    </row>
    <row r="107" customFormat="false" ht="15" hidden="false" customHeight="false" outlineLevel="0" collapsed="false">
      <c r="A107" s="28" t="s">
        <v>64</v>
      </c>
      <c r="B107" s="31" t="s">
        <v>244</v>
      </c>
      <c r="C107" s="29" t="n">
        <v>600</v>
      </c>
      <c r="D107" s="29" t="n">
        <v>207</v>
      </c>
      <c r="E107" s="34" t="n">
        <v>19</v>
      </c>
      <c r="F107" s="47" t="n">
        <f aca="false">IF(C107="","",C107/E107)</f>
        <v>31.5789473684211</v>
      </c>
      <c r="G107" s="45" t="str">
        <f aca="false">IF(COUNTIFS(5000m比較!$A$5:$A$34,A107,5000m比較!$C$5:$C$34,B107)&gt;0,"○","")</f>
        <v/>
      </c>
    </row>
    <row r="108" customFormat="false" ht="15" hidden="false" customHeight="false" outlineLevel="0" collapsed="false">
      <c r="A108" s="28" t="s">
        <v>64</v>
      </c>
      <c r="B108" s="31" t="s">
        <v>175</v>
      </c>
      <c r="C108" s="29" t="n">
        <v>591</v>
      </c>
      <c r="D108" s="29" t="n">
        <v>240</v>
      </c>
      <c r="E108" s="34" t="n">
        <v>19</v>
      </c>
      <c r="F108" s="47" t="n">
        <f aca="false">IF(C108="","",C108/E108)</f>
        <v>31.1052631578947</v>
      </c>
      <c r="G108" s="45" t="str">
        <f aca="false">IF(COUNTIFS(5000m比較!$A$5:$A$34,A108,5000m比較!$C$5:$C$34,B108)&gt;0,"○","")</f>
        <v>○</v>
      </c>
    </row>
    <row r="109" customFormat="false" ht="15" hidden="false" customHeight="false" outlineLevel="0" collapsed="false">
      <c r="A109" s="28" t="s">
        <v>64</v>
      </c>
      <c r="B109" s="31" t="s">
        <v>215</v>
      </c>
      <c r="C109" s="29" t="n">
        <v>590</v>
      </c>
      <c r="D109" s="29" t="n">
        <v>237</v>
      </c>
      <c r="E109" s="34" t="n">
        <v>19</v>
      </c>
      <c r="F109" s="47" t="n">
        <f aca="false">IF(C109="","",C109/E109)</f>
        <v>31.0526315789474</v>
      </c>
      <c r="G109" s="45" t="str">
        <f aca="false">IF(COUNTIFS(5000m比較!$A$5:$A$34,A109,5000m比較!$C$5:$C$34,B109)&gt;0,"○","")</f>
        <v/>
      </c>
    </row>
    <row r="110" customFormat="false" ht="15" hidden="false" customHeight="false" outlineLevel="0" collapsed="false">
      <c r="A110" s="28" t="s">
        <v>64</v>
      </c>
      <c r="B110" s="31" t="s">
        <v>202</v>
      </c>
      <c r="C110" s="29" t="n">
        <v>583</v>
      </c>
      <c r="D110" s="29" t="n">
        <v>165</v>
      </c>
      <c r="E110" s="34" t="n">
        <v>19</v>
      </c>
      <c r="F110" s="47" t="n">
        <f aca="false">IF(C110="","",C110/E110)</f>
        <v>30.6842105263158</v>
      </c>
      <c r="G110" s="45" t="str">
        <f aca="false">IF(COUNTIFS(5000m比較!$A$5:$A$34,A110,5000m比較!$C$5:$C$34,B110)&gt;0,"○","")</f>
        <v/>
      </c>
    </row>
    <row r="111" customFormat="false" ht="15" hidden="false" customHeight="false" outlineLevel="0" collapsed="false">
      <c r="A111" s="28" t="s">
        <v>64</v>
      </c>
      <c r="B111" s="31" t="s">
        <v>206</v>
      </c>
      <c r="C111" s="29" t="n">
        <v>581</v>
      </c>
      <c r="D111" s="29" t="n">
        <v>240</v>
      </c>
      <c r="E111" s="34" t="n">
        <v>19</v>
      </c>
      <c r="F111" s="47" t="n">
        <f aca="false">IF(C111="","",C111/E111)</f>
        <v>30.5789473684211</v>
      </c>
      <c r="G111" s="45" t="str">
        <f aca="false">IF(COUNTIFS(5000m比較!$A$5:$A$34,A111,5000m比較!$C$5:$C$34,B111)&gt;0,"○","")</f>
        <v/>
      </c>
    </row>
    <row r="112" customFormat="false" ht="15" hidden="false" customHeight="false" outlineLevel="0" collapsed="false">
      <c r="A112" s="28" t="s">
        <v>64</v>
      </c>
      <c r="B112" s="31" t="s">
        <v>245</v>
      </c>
      <c r="C112" s="29" t="n">
        <v>574</v>
      </c>
      <c r="D112" s="29" t="n">
        <v>223</v>
      </c>
      <c r="E112" s="34" t="n">
        <v>19</v>
      </c>
      <c r="F112" s="47" t="n">
        <f aca="false">IF(C112="","",C112/E112)</f>
        <v>30.2105263157895</v>
      </c>
      <c r="G112" s="45" t="str">
        <f aca="false">IF(COUNTIFS(5000m比較!$A$5:$A$34,A112,5000m比較!$C$5:$C$34,B112)&gt;0,"○","")</f>
        <v/>
      </c>
    </row>
    <row r="113" customFormat="false" ht="15" hidden="false" customHeight="false" outlineLevel="0" collapsed="false">
      <c r="A113" s="28" t="s">
        <v>64</v>
      </c>
      <c r="B113" s="31" t="s">
        <v>246</v>
      </c>
      <c r="C113" s="29" t="n">
        <v>571</v>
      </c>
      <c r="D113" s="29" t="n">
        <v>218</v>
      </c>
      <c r="E113" s="34" t="n">
        <v>19</v>
      </c>
      <c r="F113" s="47" t="n">
        <f aca="false">IF(C113="","",C113/E113)</f>
        <v>30.0526315789474</v>
      </c>
      <c r="G113" s="45" t="str">
        <f aca="false">IF(COUNTIFS(5000m比較!$A$5:$A$34,A113,5000m比較!$C$5:$C$34,B113)&gt;0,"○","")</f>
        <v/>
      </c>
    </row>
    <row r="114" customFormat="false" ht="15" hidden="false" customHeight="false" outlineLevel="0" collapsed="false">
      <c r="A114" s="28" t="s">
        <v>64</v>
      </c>
      <c r="B114" s="31" t="s">
        <v>210</v>
      </c>
      <c r="C114" s="29" t="n">
        <v>557</v>
      </c>
      <c r="D114" s="29" t="n">
        <v>232</v>
      </c>
      <c r="E114" s="34" t="n">
        <v>19</v>
      </c>
      <c r="F114" s="47" t="n">
        <f aca="false">IF(C114="","",C114/E114)</f>
        <v>29.3157894736842</v>
      </c>
      <c r="G114" s="45" t="str">
        <f aca="false">IF(COUNTIFS(5000m比較!$A$5:$A$34,A114,5000m比較!$C$5:$C$34,B114)&gt;0,"○","")</f>
        <v/>
      </c>
    </row>
    <row r="115" customFormat="false" ht="15" hidden="false" customHeight="false" outlineLevel="0" collapsed="false">
      <c r="A115" s="28" t="s">
        <v>64</v>
      </c>
      <c r="B115" s="31" t="s">
        <v>173</v>
      </c>
      <c r="C115" s="29" t="n">
        <v>556</v>
      </c>
      <c r="D115" s="29" t="n">
        <v>219</v>
      </c>
      <c r="E115" s="34" t="n">
        <v>19</v>
      </c>
      <c r="F115" s="47" t="n">
        <f aca="false">IF(C115="","",C115/E115)</f>
        <v>29.2631578947368</v>
      </c>
      <c r="G115" s="45" t="str">
        <f aca="false">IF(COUNTIFS(5000m比較!$A$5:$A$34,A115,5000m比較!$C$5:$C$34,B115)&gt;0,"○","")</f>
        <v>○</v>
      </c>
    </row>
    <row r="116" customFormat="false" ht="15" hidden="false" customHeight="false" outlineLevel="0" collapsed="false">
      <c r="A116" s="28" t="s">
        <v>64</v>
      </c>
      <c r="B116" s="31" t="s">
        <v>247</v>
      </c>
      <c r="C116" s="29" t="n">
        <v>552</v>
      </c>
      <c r="D116" s="29" t="n">
        <v>218</v>
      </c>
      <c r="E116" s="34" t="n">
        <v>19</v>
      </c>
      <c r="F116" s="47" t="n">
        <f aca="false">IF(C116="","",C116/E116)</f>
        <v>29.0526315789474</v>
      </c>
      <c r="G116" s="45" t="str">
        <f aca="false">IF(COUNTIFS(5000m比較!$A$5:$A$34,A116,5000m比較!$C$5:$C$34,B116)&gt;0,"○","")</f>
        <v/>
      </c>
    </row>
    <row r="117" customFormat="false" ht="15" hidden="false" customHeight="false" outlineLevel="0" collapsed="false">
      <c r="A117" s="28" t="s">
        <v>64</v>
      </c>
      <c r="B117" s="31" t="s">
        <v>229</v>
      </c>
      <c r="C117" s="29" t="n">
        <v>519</v>
      </c>
      <c r="D117" s="29" t="n">
        <v>234</v>
      </c>
      <c r="E117" s="34" t="n">
        <v>19</v>
      </c>
      <c r="F117" s="47" t="n">
        <f aca="false">IF(C117="","",C117/E117)</f>
        <v>27.3157894736842</v>
      </c>
      <c r="G117" s="45" t="str">
        <f aca="false">IF(COUNTIFS(5000m比較!$A$5:$A$34,A117,5000m比較!$C$5:$C$34,B117)&gt;0,"○","")</f>
        <v/>
      </c>
    </row>
    <row r="118" customFormat="false" ht="15" hidden="false" customHeight="false" outlineLevel="0" collapsed="false">
      <c r="A118" s="28" t="s">
        <v>64</v>
      </c>
      <c r="B118" s="31" t="s">
        <v>179</v>
      </c>
      <c r="C118" s="29" t="n">
        <v>518</v>
      </c>
      <c r="D118" s="29" t="n">
        <v>225</v>
      </c>
      <c r="E118" s="34" t="n">
        <v>19</v>
      </c>
      <c r="F118" s="47" t="n">
        <f aca="false">IF(C118="","",C118/E118)</f>
        <v>27.2631578947368</v>
      </c>
      <c r="G118" s="45" t="str">
        <f aca="false">IF(COUNTIFS(5000m比較!$A$5:$A$34,A118,5000m比較!$C$5:$C$34,B118)&gt;0,"○","")</f>
        <v/>
      </c>
    </row>
    <row r="119" customFormat="false" ht="15" hidden="false" customHeight="false" outlineLevel="0" collapsed="false">
      <c r="A119" s="28" t="s">
        <v>64</v>
      </c>
      <c r="B119" s="31" t="s">
        <v>169</v>
      </c>
      <c r="C119" s="29" t="n">
        <v>513</v>
      </c>
      <c r="D119" s="29" t="n">
        <v>246</v>
      </c>
      <c r="E119" s="34" t="n">
        <v>19</v>
      </c>
      <c r="F119" s="47" t="n">
        <f aca="false">IF(C119="","",C119/E119)</f>
        <v>27</v>
      </c>
      <c r="G119" s="45" t="str">
        <f aca="false">IF(COUNTIFS(5000m比較!$A$5:$A$34,A119,5000m比較!$C$5:$C$34,B119)&gt;0,"○","")</f>
        <v/>
      </c>
    </row>
    <row r="120" customFormat="false" ht="15" hidden="false" customHeight="false" outlineLevel="0" collapsed="false">
      <c r="A120" s="28" t="s">
        <v>64</v>
      </c>
      <c r="B120" s="31" t="s">
        <v>193</v>
      </c>
      <c r="C120" s="29" t="n">
        <v>509</v>
      </c>
      <c r="D120" s="29" t="n">
        <v>230</v>
      </c>
      <c r="E120" s="34" t="n">
        <v>19</v>
      </c>
      <c r="F120" s="47" t="n">
        <f aca="false">IF(C120="","",C120/E120)</f>
        <v>26.7894736842105</v>
      </c>
      <c r="G120" s="45" t="str">
        <f aca="false">IF(COUNTIFS(5000m比較!$A$5:$A$34,A120,5000m比較!$C$5:$C$34,B120)&gt;0,"○","")</f>
        <v/>
      </c>
    </row>
    <row r="121" customFormat="false" ht="15" hidden="false" customHeight="false" outlineLevel="0" collapsed="false">
      <c r="A121" s="28" t="s">
        <v>64</v>
      </c>
      <c r="B121" s="31" t="s">
        <v>248</v>
      </c>
      <c r="C121" s="29" t="n">
        <v>509</v>
      </c>
      <c r="D121" s="29" t="n">
        <v>187</v>
      </c>
      <c r="E121" s="34" t="n">
        <v>19</v>
      </c>
      <c r="F121" s="47" t="n">
        <f aca="false">IF(C121="","",C121/E121)</f>
        <v>26.7894736842105</v>
      </c>
      <c r="G121" s="45" t="str">
        <f aca="false">IF(COUNTIFS(5000m比較!$A$5:$A$34,A121,5000m比較!$C$5:$C$34,B121)&gt;0,"○","")</f>
        <v/>
      </c>
    </row>
    <row r="122" customFormat="false" ht="15" hidden="false" customHeight="false" outlineLevel="0" collapsed="false">
      <c r="A122" s="28" t="s">
        <v>64</v>
      </c>
      <c r="B122" s="31" t="s">
        <v>233</v>
      </c>
      <c r="C122" s="29" t="n">
        <v>507</v>
      </c>
      <c r="D122" s="29" t="n">
        <v>252</v>
      </c>
      <c r="E122" s="34" t="n">
        <v>19</v>
      </c>
      <c r="F122" s="47" t="n">
        <f aca="false">IF(C122="","",C122/E122)</f>
        <v>26.6842105263158</v>
      </c>
      <c r="G122" s="45" t="str">
        <f aca="false">IF(COUNTIFS(5000m比較!$A$5:$A$34,A122,5000m比較!$C$5:$C$34,B122)&gt;0,"○","")</f>
        <v/>
      </c>
    </row>
    <row r="123" customFormat="false" ht="15" hidden="false" customHeight="false" outlineLevel="0" collapsed="false">
      <c r="A123" s="28" t="s">
        <v>64</v>
      </c>
      <c r="B123" s="31" t="s">
        <v>165</v>
      </c>
      <c r="C123" s="29" t="n">
        <v>507</v>
      </c>
      <c r="D123" s="29" t="n">
        <v>189</v>
      </c>
      <c r="E123" s="34" t="n">
        <v>19</v>
      </c>
      <c r="F123" s="47" t="n">
        <f aca="false">IF(C123="","",C123/E123)</f>
        <v>26.6842105263158</v>
      </c>
      <c r="G123" s="45" t="str">
        <f aca="false">IF(COUNTIFS(5000m比較!$A$5:$A$34,A123,5000m比較!$C$5:$C$34,B123)&gt;0,"○","")</f>
        <v/>
      </c>
    </row>
    <row r="124" customFormat="false" ht="15" hidden="false" customHeight="false" outlineLevel="0" collapsed="false">
      <c r="A124" s="28" t="s">
        <v>64</v>
      </c>
      <c r="B124" s="31" t="s">
        <v>242</v>
      </c>
      <c r="C124" s="29" t="n">
        <v>507</v>
      </c>
      <c r="D124" s="29" t="n">
        <v>123</v>
      </c>
      <c r="E124" s="34" t="n">
        <v>19</v>
      </c>
      <c r="F124" s="47" t="n">
        <f aca="false">IF(C124="","",C124/E124)</f>
        <v>26.6842105263158</v>
      </c>
      <c r="G124" s="45" t="str">
        <f aca="false">IF(COUNTIFS(5000m比較!$A$5:$A$34,A124,5000m比較!$C$5:$C$34,B124)&gt;0,"○","")</f>
        <v/>
      </c>
    </row>
    <row r="125" customFormat="false" ht="15" hidden="false" customHeight="false" outlineLevel="0" collapsed="false">
      <c r="A125" s="28" t="s">
        <v>64</v>
      </c>
      <c r="B125" s="31" t="s">
        <v>235</v>
      </c>
      <c r="C125" s="29" t="n">
        <v>500</v>
      </c>
      <c r="D125" s="29" t="n">
        <v>226</v>
      </c>
      <c r="E125" s="34" t="n">
        <v>19</v>
      </c>
      <c r="F125" s="47" t="n">
        <f aca="false">IF(C125="","",C125/E125)</f>
        <v>26.3157894736842</v>
      </c>
      <c r="G125" s="45" t="str">
        <f aca="false">IF(COUNTIFS(5000m比較!$A$5:$A$34,A125,5000m比較!$C$5:$C$34,B125)&gt;0,"○","")</f>
        <v/>
      </c>
    </row>
    <row r="126" customFormat="false" ht="15" hidden="false" customHeight="false" outlineLevel="0" collapsed="false">
      <c r="A126" s="28" t="s">
        <v>64</v>
      </c>
      <c r="B126" s="31" t="s">
        <v>162</v>
      </c>
      <c r="C126" s="29" t="n">
        <v>496</v>
      </c>
      <c r="D126" s="29" t="n">
        <v>224</v>
      </c>
      <c r="E126" s="34" t="n">
        <v>19</v>
      </c>
      <c r="F126" s="47" t="n">
        <f aca="false">IF(C126="","",C126/E126)</f>
        <v>26.1052631578947</v>
      </c>
      <c r="G126" s="45" t="str">
        <f aca="false">IF(COUNTIFS(5000m比較!$A$5:$A$34,A126,5000m比較!$C$5:$C$34,B126)&gt;0,"○","")</f>
        <v>○</v>
      </c>
    </row>
    <row r="127" customFormat="false" ht="15" hidden="false" customHeight="false" outlineLevel="0" collapsed="false">
      <c r="A127" s="28" t="s">
        <v>64</v>
      </c>
      <c r="B127" s="31" t="s">
        <v>174</v>
      </c>
      <c r="C127" s="29" t="n">
        <v>496</v>
      </c>
      <c r="D127" s="29" t="n">
        <v>222</v>
      </c>
      <c r="E127" s="34" t="n">
        <v>19</v>
      </c>
      <c r="F127" s="47" t="n">
        <f aca="false">IF(C127="","",C127/E127)</f>
        <v>26.1052631578947</v>
      </c>
      <c r="G127" s="45" t="str">
        <f aca="false">IF(COUNTIFS(5000m比較!$A$5:$A$34,A127,5000m比較!$C$5:$C$34,B127)&gt;0,"○","")</f>
        <v>○</v>
      </c>
    </row>
    <row r="128" customFormat="false" ht="15" hidden="false" customHeight="false" outlineLevel="0" collapsed="false">
      <c r="A128" s="28" t="s">
        <v>64</v>
      </c>
      <c r="B128" s="31" t="s">
        <v>207</v>
      </c>
      <c r="C128" s="29" t="n">
        <v>489</v>
      </c>
      <c r="D128" s="29" t="n">
        <v>242</v>
      </c>
      <c r="E128" s="34" t="n">
        <v>19</v>
      </c>
      <c r="F128" s="47" t="n">
        <f aca="false">IF(C128="","",C128/E128)</f>
        <v>25.7368421052632</v>
      </c>
      <c r="G128" s="45" t="str">
        <f aca="false">IF(COUNTIFS(5000m比較!$A$5:$A$34,A128,5000m比較!$C$5:$C$34,B128)&gt;0,"○","")</f>
        <v/>
      </c>
    </row>
    <row r="129" customFormat="false" ht="15" hidden="false" customHeight="false" outlineLevel="0" collapsed="false">
      <c r="A129" s="28" t="s">
        <v>64</v>
      </c>
      <c r="B129" s="31" t="s">
        <v>230</v>
      </c>
      <c r="C129" s="29" t="n">
        <v>477</v>
      </c>
      <c r="D129" s="29" t="n">
        <v>282</v>
      </c>
      <c r="E129" s="34" t="n">
        <v>19</v>
      </c>
      <c r="F129" s="47" t="n">
        <f aca="false">IF(C129="","",C129/E129)</f>
        <v>25.1052631578947</v>
      </c>
      <c r="G129" s="45" t="str">
        <f aca="false">IF(COUNTIFS(5000m比較!$A$5:$A$34,A129,5000m比較!$C$5:$C$34,B129)&gt;0,"○","")</f>
        <v/>
      </c>
    </row>
    <row r="130" customFormat="false" ht="15" hidden="false" customHeight="false" outlineLevel="0" collapsed="false">
      <c r="A130" s="28" t="s">
        <v>64</v>
      </c>
      <c r="B130" s="31" t="s">
        <v>249</v>
      </c>
      <c r="C130" s="29" t="n">
        <v>477</v>
      </c>
      <c r="D130" s="29" t="n">
        <v>225</v>
      </c>
      <c r="E130" s="34" t="n">
        <v>19</v>
      </c>
      <c r="F130" s="47" t="n">
        <f aca="false">IF(C130="","",C130/E130)</f>
        <v>25.1052631578947</v>
      </c>
      <c r="G130" s="45" t="str">
        <f aca="false">IF(COUNTIFS(5000m比較!$A$5:$A$34,A130,5000m比較!$C$5:$C$34,B130)&gt;0,"○","")</f>
        <v/>
      </c>
    </row>
    <row r="131" customFormat="false" ht="15" hidden="false" customHeight="false" outlineLevel="0" collapsed="false">
      <c r="A131" s="28" t="s">
        <v>64</v>
      </c>
      <c r="B131" s="31" t="s">
        <v>234</v>
      </c>
      <c r="C131" s="29" t="n">
        <v>466</v>
      </c>
      <c r="D131" s="29" t="n">
        <v>194</v>
      </c>
      <c r="E131" s="34" t="n">
        <v>19</v>
      </c>
      <c r="F131" s="47" t="n">
        <f aca="false">IF(C131="","",C131/E131)</f>
        <v>24.5263157894737</v>
      </c>
      <c r="G131" s="45" t="str">
        <f aca="false">IF(COUNTIFS(5000m比較!$A$5:$A$34,A131,5000m比較!$C$5:$C$34,B131)&gt;0,"○","")</f>
        <v/>
      </c>
    </row>
    <row r="132" customFormat="false" ht="15" hidden="false" customHeight="false" outlineLevel="0" collapsed="false">
      <c r="A132" s="28" t="s">
        <v>64</v>
      </c>
      <c r="B132" s="31" t="s">
        <v>217</v>
      </c>
      <c r="C132" s="29" t="n">
        <v>438</v>
      </c>
      <c r="D132" s="29" t="n">
        <v>195</v>
      </c>
      <c r="E132" s="34" t="n">
        <v>19</v>
      </c>
      <c r="F132" s="47" t="n">
        <f aca="false">IF(C132="","",C132/E132)</f>
        <v>23.0526315789474</v>
      </c>
      <c r="G132" s="45" t="str">
        <f aca="false">IF(COUNTIFS(5000m比較!$A$5:$A$34,A132,5000m比較!$C$5:$C$34,B132)&gt;0,"○","")</f>
        <v/>
      </c>
    </row>
    <row r="133" customFormat="false" ht="15" hidden="false" customHeight="false" outlineLevel="0" collapsed="false">
      <c r="A133" s="28" t="s">
        <v>64</v>
      </c>
      <c r="B133" s="31" t="s">
        <v>250</v>
      </c>
      <c r="C133" s="29" t="n">
        <v>437</v>
      </c>
      <c r="D133" s="29" t="n">
        <v>227</v>
      </c>
      <c r="E133" s="34" t="n">
        <v>19</v>
      </c>
      <c r="F133" s="47" t="n">
        <f aca="false">IF(C133="","",C133/E133)</f>
        <v>23</v>
      </c>
      <c r="G133" s="45" t="str">
        <f aca="false">IF(COUNTIFS(5000m比較!$A$5:$A$34,A133,5000m比較!$C$5:$C$34,B133)&gt;0,"○","")</f>
        <v/>
      </c>
    </row>
    <row r="134" customFormat="false" ht="15" hidden="false" customHeight="false" outlineLevel="0" collapsed="false">
      <c r="A134" s="28" t="s">
        <v>64</v>
      </c>
      <c r="B134" s="31" t="s">
        <v>243</v>
      </c>
      <c r="C134" s="29" t="n">
        <v>413</v>
      </c>
      <c r="D134" s="29" t="n">
        <v>204</v>
      </c>
      <c r="E134" s="34" t="n">
        <v>19</v>
      </c>
      <c r="F134" s="47" t="n">
        <f aca="false">IF(C134="","",C134/E134)</f>
        <v>21.7368421052632</v>
      </c>
      <c r="G134" s="45" t="str">
        <f aca="false">IF(COUNTIFS(5000m比較!$A$5:$A$34,A134,5000m比較!$C$5:$C$34,B134)&gt;0,"○","")</f>
        <v/>
      </c>
    </row>
    <row r="135" customFormat="false" ht="15" hidden="false" customHeight="false" outlineLevel="0" collapsed="false">
      <c r="A135" s="28" t="s">
        <v>64</v>
      </c>
      <c r="B135" s="31" t="s">
        <v>177</v>
      </c>
      <c r="C135" s="29" t="n">
        <v>371</v>
      </c>
      <c r="D135" s="29" t="n">
        <v>242</v>
      </c>
      <c r="E135" s="34" t="n">
        <v>19</v>
      </c>
      <c r="F135" s="47" t="n">
        <f aca="false">IF(C135="","",C135/E135)</f>
        <v>19.5263157894737</v>
      </c>
      <c r="G135" s="45" t="str">
        <f aca="false">IF(COUNTIFS(5000m比較!$A$5:$A$34,A135,5000m比較!$C$5:$C$34,B135)&gt;0,"○","")</f>
        <v/>
      </c>
    </row>
    <row r="136" customFormat="false" ht="15" hidden="false" customHeight="false" outlineLevel="0" collapsed="false">
      <c r="A136" s="28" t="s">
        <v>64</v>
      </c>
      <c r="B136" s="31" t="s">
        <v>208</v>
      </c>
      <c r="C136" s="29" t="n">
        <v>347</v>
      </c>
      <c r="D136" s="29" t="n">
        <v>207</v>
      </c>
      <c r="E136" s="34" t="n">
        <v>19</v>
      </c>
      <c r="F136" s="47" t="n">
        <f aca="false">IF(C136="","",C136/E136)</f>
        <v>18.2631578947368</v>
      </c>
      <c r="G136" s="45" t="str">
        <f aca="false">IF(COUNTIFS(5000m比較!$A$5:$A$34,A136,5000m比較!$C$5:$C$34,B136)&gt;0,"○","")</f>
        <v/>
      </c>
    </row>
    <row r="137" customFormat="false" ht="15" hidden="false" customHeight="false" outlineLevel="0" collapsed="false">
      <c r="A137" s="28" t="s">
        <v>64</v>
      </c>
      <c r="B137" s="31" t="s">
        <v>251</v>
      </c>
      <c r="C137" s="29" t="n">
        <v>306</v>
      </c>
      <c r="D137" s="29" t="n">
        <v>212</v>
      </c>
      <c r="E137" s="34" t="n">
        <v>19</v>
      </c>
      <c r="F137" s="47" t="n">
        <f aca="false">IF(C137="","",C137/E137)</f>
        <v>16.1052631578947</v>
      </c>
      <c r="G137" s="45" t="str">
        <f aca="false">IF(COUNTIFS(5000m比較!$A$5:$A$34,A137,5000m比較!$C$5:$C$34,B137)&gt;0,"○","")</f>
        <v/>
      </c>
    </row>
    <row r="138" customFormat="false" ht="15" hidden="false" customHeight="false" outlineLevel="0" collapsed="false">
      <c r="A138" s="28" t="s">
        <v>64</v>
      </c>
      <c r="B138" s="31" t="s">
        <v>252</v>
      </c>
      <c r="C138" s="29" t="n">
        <v>268</v>
      </c>
      <c r="D138" s="29" t="n">
        <v>250</v>
      </c>
      <c r="E138" s="34" t="n">
        <v>19</v>
      </c>
      <c r="F138" s="47" t="n">
        <f aca="false">IF(C138="","",C138/E138)</f>
        <v>14.1052631578947</v>
      </c>
      <c r="G138" s="45" t="str">
        <f aca="false">IF(COUNTIFS(5000m比較!$A$5:$A$34,A138,5000m比較!$C$5:$C$34,B138)&gt;0,"○","")</f>
        <v/>
      </c>
    </row>
    <row r="139" customFormat="false" ht="15" hidden="false" customHeight="false" outlineLevel="0" collapsed="false">
      <c r="A139" s="28" t="s">
        <v>64</v>
      </c>
      <c r="B139" s="31" t="s">
        <v>231</v>
      </c>
      <c r="C139" s="29" t="n">
        <v>263</v>
      </c>
      <c r="D139" s="29" t="n">
        <v>169</v>
      </c>
      <c r="E139" s="34" t="n">
        <v>19</v>
      </c>
      <c r="F139" s="47" t="n">
        <f aca="false">IF(C139="","",C139/E139)</f>
        <v>13.8421052631579</v>
      </c>
      <c r="G139" s="45" t="str">
        <f aca="false">IF(COUNTIFS(5000m比較!$A$5:$A$34,A139,5000m比較!$C$5:$C$34,B139)&gt;0,"○","")</f>
        <v/>
      </c>
    </row>
    <row r="140" customFormat="false" ht="15" hidden="false" customHeight="false" outlineLevel="0" collapsed="false">
      <c r="A140" s="28" t="s">
        <v>64</v>
      </c>
      <c r="B140" s="31" t="s">
        <v>194</v>
      </c>
      <c r="C140" s="29" t="n">
        <v>245</v>
      </c>
      <c r="D140" s="29" t="n">
        <v>251</v>
      </c>
      <c r="E140" s="34" t="n">
        <v>19</v>
      </c>
      <c r="F140" s="47" t="n">
        <f aca="false">IF(C140="","",C140/E140)</f>
        <v>12.8947368421053</v>
      </c>
      <c r="G140" s="45" t="str">
        <f aca="false">IF(COUNTIFS(5000m比較!$A$5:$A$34,A140,5000m比較!$C$5:$C$34,B140)&gt;0,"○","")</f>
        <v/>
      </c>
    </row>
    <row r="141" customFormat="false" ht="15" hidden="false" customHeight="false" outlineLevel="0" collapsed="false">
      <c r="A141" s="28" t="s">
        <v>64</v>
      </c>
      <c r="B141" s="31" t="s">
        <v>205</v>
      </c>
      <c r="C141" s="29" t="n">
        <v>218</v>
      </c>
      <c r="D141" s="29" t="n">
        <v>175</v>
      </c>
      <c r="E141" s="34" t="n">
        <v>19</v>
      </c>
      <c r="F141" s="47" t="n">
        <f aca="false">IF(C141="","",C141/E141)</f>
        <v>11.4736842105263</v>
      </c>
      <c r="G141" s="45" t="str">
        <f aca="false">IF(COUNTIFS(5000m比較!$A$5:$A$34,A141,5000m比較!$C$5:$C$34,B141)&gt;0,"○","")</f>
        <v/>
      </c>
    </row>
    <row r="142" customFormat="false" ht="15" hidden="false" customHeight="false" outlineLevel="0" collapsed="false">
      <c r="A142" s="28" t="s">
        <v>64</v>
      </c>
      <c r="B142" s="31" t="s">
        <v>203</v>
      </c>
      <c r="C142" s="29" t="n">
        <v>212</v>
      </c>
      <c r="D142" s="29" t="n">
        <v>255</v>
      </c>
      <c r="E142" s="34" t="n">
        <v>19</v>
      </c>
      <c r="F142" s="47" t="n">
        <f aca="false">IF(C142="","",C142/E142)</f>
        <v>11.1578947368421</v>
      </c>
      <c r="G142" s="45" t="str">
        <f aca="false">IF(COUNTIFS(5000m比較!$A$5:$A$34,A142,5000m比較!$C$5:$C$34,B142)&gt;0,"○","")</f>
        <v/>
      </c>
    </row>
    <row r="143" customFormat="false" ht="15" hidden="false" customHeight="false" outlineLevel="0" collapsed="false">
      <c r="A143" s="28" t="s">
        <v>64</v>
      </c>
      <c r="B143" s="31" t="s">
        <v>253</v>
      </c>
      <c r="C143" s="29" t="n">
        <v>71</v>
      </c>
      <c r="D143" s="29" t="n">
        <v>90</v>
      </c>
      <c r="E143" s="34" t="n">
        <v>19</v>
      </c>
      <c r="F143" s="47" t="n">
        <f aca="false">IF(C143="","",C143/E143)</f>
        <v>3.73684210526316</v>
      </c>
      <c r="G143" s="45" t="str">
        <f aca="false">IF(COUNTIFS(5000m比較!$A$5:$A$34,A143,5000m比較!$C$5:$C$34,B143)&gt;0,"○","")</f>
        <v/>
      </c>
    </row>
    <row r="144" customFormat="false" ht="15" hidden="false" customHeight="false" outlineLevel="0" collapsed="false">
      <c r="A144" s="28" t="s">
        <v>64</v>
      </c>
      <c r="B144" s="31" t="s">
        <v>241</v>
      </c>
      <c r="C144" s="29" t="n">
        <v>0</v>
      </c>
      <c r="D144" s="29" t="n">
        <v>58</v>
      </c>
      <c r="E144" s="34" t="n">
        <v>19</v>
      </c>
      <c r="F144" s="47" t="n">
        <f aca="false">IF(C144="","",C144/E144)</f>
        <v>0</v>
      </c>
      <c r="G144" s="45" t="str">
        <f aca="false">IF(COUNTIFS(5000m比較!$A$5:$A$34,A144,5000m比較!$C$5:$C$34,B144)&gt;0,"○","")</f>
        <v/>
      </c>
    </row>
    <row r="145" customFormat="false" ht="15" hidden="false" customHeight="false" outlineLevel="0" collapsed="false">
      <c r="A145" s="13" t="s">
        <v>65</v>
      </c>
      <c r="B145" s="36" t="s">
        <v>173</v>
      </c>
      <c r="C145" s="24" t="n">
        <v>645</v>
      </c>
      <c r="D145" s="24" t="n">
        <v>221</v>
      </c>
      <c r="E145" s="14" t="n">
        <v>18</v>
      </c>
      <c r="F145" s="18" t="n">
        <f aca="false">IF(C145="","",C145/E145)</f>
        <v>35.8333333333333</v>
      </c>
      <c r="G145" s="26" t="str">
        <f aca="false">IF(COUNTIFS(5000m比較!$A$5:$A$34,A145,5000m比較!$C$5:$C$34,B145)&gt;0,"○","")</f>
        <v/>
      </c>
    </row>
    <row r="146" customFormat="false" ht="15" hidden="false" customHeight="false" outlineLevel="0" collapsed="false">
      <c r="A146" s="13" t="s">
        <v>65</v>
      </c>
      <c r="B146" s="36" t="s">
        <v>241</v>
      </c>
      <c r="C146" s="24" t="n">
        <v>633</v>
      </c>
      <c r="D146" s="24" t="n">
        <v>278</v>
      </c>
      <c r="E146" s="14" t="n">
        <v>18</v>
      </c>
      <c r="F146" s="18" t="n">
        <f aca="false">IF(C146="","",C146/E146)</f>
        <v>35.1666666666667</v>
      </c>
      <c r="G146" s="26" t="str">
        <f aca="false">IF(COUNTIFS(5000m比較!$A$5:$A$34,A146,5000m比較!$C$5:$C$34,B146)&gt;0,"○","")</f>
        <v/>
      </c>
    </row>
    <row r="147" customFormat="false" ht="15" hidden="false" customHeight="false" outlineLevel="0" collapsed="false">
      <c r="A147" s="13" t="s">
        <v>65</v>
      </c>
      <c r="B147" s="36" t="s">
        <v>180</v>
      </c>
      <c r="C147" s="24" t="n">
        <v>619</v>
      </c>
      <c r="D147" s="24" t="n">
        <v>248</v>
      </c>
      <c r="E147" s="14" t="n">
        <v>18</v>
      </c>
      <c r="F147" s="18" t="n">
        <f aca="false">IF(C147="","",C147/E147)</f>
        <v>34.3888888888889</v>
      </c>
      <c r="G147" s="26" t="str">
        <f aca="false">IF(COUNTIFS(5000m比較!$A$5:$A$34,A147,5000m比較!$C$5:$C$34,B147)&gt;0,"○","")</f>
        <v>○</v>
      </c>
    </row>
    <row r="148" customFormat="false" ht="15" hidden="false" customHeight="false" outlineLevel="0" collapsed="false">
      <c r="A148" s="13" t="s">
        <v>65</v>
      </c>
      <c r="B148" s="36" t="s">
        <v>172</v>
      </c>
      <c r="C148" s="24" t="n">
        <v>616</v>
      </c>
      <c r="D148" s="24" t="n">
        <v>230</v>
      </c>
      <c r="E148" s="14" t="n">
        <v>18</v>
      </c>
      <c r="F148" s="18" t="n">
        <f aca="false">IF(C148="","",C148/E148)</f>
        <v>34.2222222222222</v>
      </c>
      <c r="G148" s="26" t="str">
        <f aca="false">IF(COUNTIFS(5000m比較!$A$5:$A$34,A148,5000m比較!$C$5:$C$34,B148)&gt;0,"○","")</f>
        <v>○</v>
      </c>
    </row>
    <row r="149" customFormat="false" ht="15" hidden="false" customHeight="false" outlineLevel="0" collapsed="false">
      <c r="A149" s="13" t="s">
        <v>65</v>
      </c>
      <c r="B149" s="36" t="s">
        <v>252</v>
      </c>
      <c r="C149" s="24" t="n">
        <v>602</v>
      </c>
      <c r="D149" s="24" t="n">
        <v>188</v>
      </c>
      <c r="E149" s="14" t="n">
        <v>18</v>
      </c>
      <c r="F149" s="18" t="n">
        <f aca="false">IF(C149="","",C149/E149)</f>
        <v>33.4444444444444</v>
      </c>
      <c r="G149" s="26" t="str">
        <f aca="false">IF(COUNTIFS(5000m比較!$A$5:$A$34,A149,5000m比較!$C$5:$C$34,B149)&gt;0,"○","")</f>
        <v/>
      </c>
    </row>
    <row r="150" customFormat="false" ht="15" hidden="false" customHeight="false" outlineLevel="0" collapsed="false">
      <c r="A150" s="13" t="s">
        <v>65</v>
      </c>
      <c r="B150" s="36" t="s">
        <v>214</v>
      </c>
      <c r="C150" s="24" t="n">
        <v>598</v>
      </c>
      <c r="D150" s="24" t="n">
        <v>284</v>
      </c>
      <c r="E150" s="14" t="n">
        <v>18</v>
      </c>
      <c r="F150" s="18" t="n">
        <f aca="false">IF(C150="","",C150/E150)</f>
        <v>33.2222222222222</v>
      </c>
      <c r="G150" s="26" t="str">
        <f aca="false">IF(COUNTIFS(5000m比較!$A$5:$A$34,A150,5000m比較!$C$5:$C$34,B150)&gt;0,"○","")</f>
        <v/>
      </c>
    </row>
    <row r="151" customFormat="false" ht="15" hidden="false" customHeight="false" outlineLevel="0" collapsed="false">
      <c r="A151" s="13" t="s">
        <v>65</v>
      </c>
      <c r="B151" s="36" t="s">
        <v>165</v>
      </c>
      <c r="C151" s="24" t="n">
        <v>595</v>
      </c>
      <c r="D151" s="24" t="n">
        <v>233</v>
      </c>
      <c r="E151" s="14" t="n">
        <v>18</v>
      </c>
      <c r="F151" s="18" t="n">
        <f aca="false">IF(C151="","",C151/E151)</f>
        <v>33.0555555555556</v>
      </c>
      <c r="G151" s="26" t="str">
        <f aca="false">IF(COUNTIFS(5000m比較!$A$5:$A$34,A151,5000m比較!$C$5:$C$34,B151)&gt;0,"○","")</f>
        <v>○</v>
      </c>
    </row>
    <row r="152" customFormat="false" ht="15" hidden="false" customHeight="false" outlineLevel="0" collapsed="false">
      <c r="A152" s="13" t="s">
        <v>65</v>
      </c>
      <c r="B152" s="36" t="s">
        <v>206</v>
      </c>
      <c r="C152" s="24" t="n">
        <v>593</v>
      </c>
      <c r="D152" s="24" t="n">
        <v>228</v>
      </c>
      <c r="E152" s="14" t="n">
        <v>18</v>
      </c>
      <c r="F152" s="18" t="n">
        <f aca="false">IF(C152="","",C152/E152)</f>
        <v>32.9444444444444</v>
      </c>
      <c r="G152" s="26" t="str">
        <f aca="false">IF(COUNTIFS(5000m比較!$A$5:$A$34,A152,5000m比較!$C$5:$C$34,B152)&gt;0,"○","")</f>
        <v/>
      </c>
    </row>
    <row r="153" customFormat="false" ht="15" hidden="false" customHeight="false" outlineLevel="0" collapsed="false">
      <c r="A153" s="13" t="s">
        <v>65</v>
      </c>
      <c r="B153" s="36" t="s">
        <v>254</v>
      </c>
      <c r="C153" s="24" t="n">
        <v>580</v>
      </c>
      <c r="D153" s="24" t="n">
        <v>153</v>
      </c>
      <c r="E153" s="14" t="n">
        <v>18</v>
      </c>
      <c r="F153" s="18" t="n">
        <f aca="false">IF(C153="","",C153/E153)</f>
        <v>32.2222222222222</v>
      </c>
      <c r="G153" s="26" t="str">
        <f aca="false">IF(COUNTIFS(5000m比較!$A$5:$A$34,A153,5000m比較!$C$5:$C$34,B153)&gt;0,"○","")</f>
        <v/>
      </c>
    </row>
    <row r="154" customFormat="false" ht="15" hidden="false" customHeight="false" outlineLevel="0" collapsed="false">
      <c r="A154" s="13" t="s">
        <v>65</v>
      </c>
      <c r="B154" s="36" t="s">
        <v>203</v>
      </c>
      <c r="C154" s="24" t="n">
        <v>570</v>
      </c>
      <c r="D154" s="24" t="n">
        <v>288</v>
      </c>
      <c r="E154" s="14" t="n">
        <v>18</v>
      </c>
      <c r="F154" s="18" t="n">
        <f aca="false">IF(C154="","",C154/E154)</f>
        <v>31.6666666666667</v>
      </c>
      <c r="G154" s="26" t="str">
        <f aca="false">IF(COUNTIFS(5000m比較!$A$5:$A$34,A154,5000m比較!$C$5:$C$34,B154)&gt;0,"○","")</f>
        <v/>
      </c>
    </row>
    <row r="155" customFormat="false" ht="15" hidden="false" customHeight="false" outlineLevel="0" collapsed="false">
      <c r="A155" s="13" t="s">
        <v>65</v>
      </c>
      <c r="B155" s="36" t="s">
        <v>230</v>
      </c>
      <c r="C155" s="24" t="n">
        <v>559</v>
      </c>
      <c r="D155" s="24" t="n">
        <v>210</v>
      </c>
      <c r="E155" s="14" t="n">
        <v>18</v>
      </c>
      <c r="F155" s="18" t="n">
        <f aca="false">IF(C155="","",C155/E155)</f>
        <v>31.0555555555556</v>
      </c>
      <c r="G155" s="26" t="str">
        <f aca="false">IF(COUNTIFS(5000m比較!$A$5:$A$34,A155,5000m比較!$C$5:$C$34,B155)&gt;0,"○","")</f>
        <v/>
      </c>
    </row>
    <row r="156" customFormat="false" ht="15" hidden="false" customHeight="false" outlineLevel="0" collapsed="false">
      <c r="A156" s="13" t="s">
        <v>65</v>
      </c>
      <c r="B156" s="36" t="s">
        <v>255</v>
      </c>
      <c r="C156" s="24" t="n">
        <v>556</v>
      </c>
      <c r="D156" s="24" t="n">
        <v>257</v>
      </c>
      <c r="E156" s="14" t="n">
        <v>18</v>
      </c>
      <c r="F156" s="18" t="n">
        <f aca="false">IF(C156="","",C156/E156)</f>
        <v>30.8888888888889</v>
      </c>
      <c r="G156" s="26" t="str">
        <f aca="false">IF(COUNTIFS(5000m比較!$A$5:$A$34,A156,5000m比較!$C$5:$C$34,B156)&gt;0,"○","")</f>
        <v/>
      </c>
    </row>
    <row r="157" customFormat="false" ht="15" hidden="false" customHeight="false" outlineLevel="0" collapsed="false">
      <c r="A157" s="13" t="s">
        <v>65</v>
      </c>
      <c r="B157" s="36" t="s">
        <v>243</v>
      </c>
      <c r="C157" s="24" t="n">
        <v>551</v>
      </c>
      <c r="D157" s="24" t="n">
        <v>189</v>
      </c>
      <c r="E157" s="14" t="n">
        <v>18</v>
      </c>
      <c r="F157" s="18" t="n">
        <f aca="false">IF(C157="","",C157/E157)</f>
        <v>30.6111111111111</v>
      </c>
      <c r="G157" s="26" t="str">
        <f aca="false">IF(COUNTIFS(5000m比較!$A$5:$A$34,A157,5000m比較!$C$5:$C$34,B157)&gt;0,"○","")</f>
        <v/>
      </c>
    </row>
    <row r="158" customFormat="false" ht="15" hidden="false" customHeight="false" outlineLevel="0" collapsed="false">
      <c r="A158" s="13" t="s">
        <v>65</v>
      </c>
      <c r="B158" s="36" t="s">
        <v>202</v>
      </c>
      <c r="C158" s="24" t="n">
        <v>550</v>
      </c>
      <c r="D158" s="24" t="n">
        <v>212</v>
      </c>
      <c r="E158" s="14" t="n">
        <v>18</v>
      </c>
      <c r="F158" s="18" t="n">
        <f aca="false">IF(C158="","",C158/E158)</f>
        <v>30.5555555555556</v>
      </c>
      <c r="G158" s="26" t="str">
        <f aca="false">IF(COUNTIFS(5000m比較!$A$5:$A$34,A158,5000m比較!$C$5:$C$34,B158)&gt;0,"○","")</f>
        <v/>
      </c>
    </row>
    <row r="159" customFormat="false" ht="15" hidden="false" customHeight="false" outlineLevel="0" collapsed="false">
      <c r="A159" s="13" t="s">
        <v>65</v>
      </c>
      <c r="B159" s="36" t="s">
        <v>210</v>
      </c>
      <c r="C159" s="24" t="n">
        <v>532</v>
      </c>
      <c r="D159" s="24" t="n">
        <v>271</v>
      </c>
      <c r="E159" s="14" t="n">
        <v>18</v>
      </c>
      <c r="F159" s="18" t="n">
        <f aca="false">IF(C159="","",C159/E159)</f>
        <v>29.5555555555556</v>
      </c>
      <c r="G159" s="26" t="str">
        <f aca="false">IF(COUNTIFS(5000m比較!$A$5:$A$34,A159,5000m比較!$C$5:$C$34,B159)&gt;0,"○","")</f>
        <v/>
      </c>
    </row>
    <row r="160" customFormat="false" ht="15" hidden="false" customHeight="false" outlineLevel="0" collapsed="false">
      <c r="A160" s="13" t="s">
        <v>65</v>
      </c>
      <c r="B160" s="36" t="s">
        <v>242</v>
      </c>
      <c r="C160" s="24" t="n">
        <v>514</v>
      </c>
      <c r="D160" s="24" t="n">
        <v>223</v>
      </c>
      <c r="E160" s="14" t="n">
        <v>18</v>
      </c>
      <c r="F160" s="18" t="n">
        <f aca="false">IF(C160="","",C160/E160)</f>
        <v>28.5555555555556</v>
      </c>
      <c r="G160" s="26" t="str">
        <f aca="false">IF(COUNTIFS(5000m比較!$A$5:$A$34,A160,5000m比較!$C$5:$C$34,B160)&gt;0,"○","")</f>
        <v/>
      </c>
    </row>
    <row r="161" customFormat="false" ht="15" hidden="false" customHeight="false" outlineLevel="0" collapsed="false">
      <c r="A161" s="13" t="s">
        <v>65</v>
      </c>
      <c r="B161" s="36" t="s">
        <v>256</v>
      </c>
      <c r="C161" s="24" t="n">
        <v>514</v>
      </c>
      <c r="D161" s="24" t="n">
        <v>271</v>
      </c>
      <c r="E161" s="14" t="n">
        <v>18</v>
      </c>
      <c r="F161" s="18" t="n">
        <f aca="false">IF(C161="","",C161/E161)</f>
        <v>28.5555555555556</v>
      </c>
      <c r="G161" s="26" t="str">
        <f aca="false">IF(COUNTIFS(5000m比較!$A$5:$A$34,A161,5000m比較!$C$5:$C$34,B161)&gt;0,"○","")</f>
        <v/>
      </c>
    </row>
    <row r="162" customFormat="false" ht="15" hidden="false" customHeight="false" outlineLevel="0" collapsed="false">
      <c r="A162" s="13" t="s">
        <v>65</v>
      </c>
      <c r="B162" s="36" t="s">
        <v>246</v>
      </c>
      <c r="C162" s="24" t="n">
        <v>507</v>
      </c>
      <c r="D162" s="24" t="n">
        <v>311</v>
      </c>
      <c r="E162" s="14" t="n">
        <v>18</v>
      </c>
      <c r="F162" s="18" t="n">
        <f aca="false">IF(C162="","",C162/E162)</f>
        <v>28.1666666666667</v>
      </c>
      <c r="G162" s="26" t="str">
        <f aca="false">IF(COUNTIFS(5000m比較!$A$5:$A$34,A162,5000m比較!$C$5:$C$34,B162)&gt;0,"○","")</f>
        <v/>
      </c>
    </row>
    <row r="163" customFormat="false" ht="15" hidden="false" customHeight="false" outlineLevel="0" collapsed="false">
      <c r="A163" s="13" t="s">
        <v>65</v>
      </c>
      <c r="B163" s="36" t="s">
        <v>249</v>
      </c>
      <c r="C163" s="24" t="n">
        <v>505</v>
      </c>
      <c r="D163" s="24" t="n">
        <v>203</v>
      </c>
      <c r="E163" s="14" t="n">
        <v>18</v>
      </c>
      <c r="F163" s="18" t="n">
        <f aca="false">IF(C163="","",C163/E163)</f>
        <v>28.0555555555556</v>
      </c>
      <c r="G163" s="26" t="str">
        <f aca="false">IF(COUNTIFS(5000m比較!$A$5:$A$34,A163,5000m比較!$C$5:$C$34,B163)&gt;0,"○","")</f>
        <v/>
      </c>
    </row>
    <row r="164" customFormat="false" ht="15" hidden="false" customHeight="false" outlineLevel="0" collapsed="false">
      <c r="A164" s="13" t="s">
        <v>65</v>
      </c>
      <c r="B164" s="36" t="s">
        <v>212</v>
      </c>
      <c r="C164" s="24" t="n">
        <v>502</v>
      </c>
      <c r="D164" s="24" t="n">
        <v>104</v>
      </c>
      <c r="E164" s="14" t="n">
        <v>18</v>
      </c>
      <c r="F164" s="18" t="n">
        <f aca="false">IF(C164="","",C164/E164)</f>
        <v>27.8888888888889</v>
      </c>
      <c r="G164" s="26" t="str">
        <f aca="false">IF(COUNTIFS(5000m比較!$A$5:$A$34,A164,5000m比較!$C$5:$C$34,B164)&gt;0,"○","")</f>
        <v/>
      </c>
    </row>
    <row r="165" customFormat="false" ht="15" hidden="false" customHeight="false" outlineLevel="0" collapsed="false">
      <c r="A165" s="13" t="s">
        <v>65</v>
      </c>
      <c r="B165" s="36" t="s">
        <v>177</v>
      </c>
      <c r="C165" s="24" t="n">
        <v>502</v>
      </c>
      <c r="D165" s="24" t="n">
        <v>221</v>
      </c>
      <c r="E165" s="14" t="n">
        <v>18</v>
      </c>
      <c r="F165" s="18" t="n">
        <f aca="false">IF(C165="","",C165/E165)</f>
        <v>27.8888888888889</v>
      </c>
      <c r="G165" s="26" t="str">
        <f aca="false">IF(COUNTIFS(5000m比較!$A$5:$A$34,A165,5000m比較!$C$5:$C$34,B165)&gt;0,"○","")</f>
        <v>○</v>
      </c>
    </row>
    <row r="166" customFormat="false" ht="15" hidden="false" customHeight="false" outlineLevel="0" collapsed="false">
      <c r="A166" s="13" t="s">
        <v>65</v>
      </c>
      <c r="B166" s="36" t="s">
        <v>250</v>
      </c>
      <c r="C166" s="24" t="n">
        <v>502</v>
      </c>
      <c r="D166" s="24" t="n">
        <v>253</v>
      </c>
      <c r="E166" s="14" t="n">
        <v>18</v>
      </c>
      <c r="F166" s="18" t="n">
        <f aca="false">IF(C166="","",C166/E166)</f>
        <v>27.8888888888889</v>
      </c>
      <c r="G166" s="26" t="str">
        <f aca="false">IF(COUNTIFS(5000m比較!$A$5:$A$34,A166,5000m比較!$C$5:$C$34,B166)&gt;0,"○","")</f>
        <v/>
      </c>
    </row>
    <row r="167" customFormat="false" ht="15" hidden="false" customHeight="false" outlineLevel="0" collapsed="false">
      <c r="A167" s="13" t="s">
        <v>65</v>
      </c>
      <c r="B167" s="36" t="s">
        <v>179</v>
      </c>
      <c r="C167" s="24" t="n">
        <v>501</v>
      </c>
      <c r="D167" s="24" t="n">
        <v>222</v>
      </c>
      <c r="E167" s="14" t="n">
        <v>18</v>
      </c>
      <c r="F167" s="18" t="n">
        <f aca="false">IF(C167="","",C167/E167)</f>
        <v>27.8333333333333</v>
      </c>
      <c r="G167" s="26" t="str">
        <f aca="false">IF(COUNTIFS(5000m比較!$A$5:$A$34,A167,5000m比較!$C$5:$C$34,B167)&gt;0,"○","")</f>
        <v>○</v>
      </c>
    </row>
    <row r="168" customFormat="false" ht="15" hidden="false" customHeight="false" outlineLevel="0" collapsed="false">
      <c r="A168" s="13" t="s">
        <v>65</v>
      </c>
      <c r="B168" s="36" t="s">
        <v>174</v>
      </c>
      <c r="C168" s="24" t="n">
        <v>500</v>
      </c>
      <c r="D168" s="24" t="n">
        <v>212</v>
      </c>
      <c r="E168" s="14" t="n">
        <v>18</v>
      </c>
      <c r="F168" s="18" t="n">
        <f aca="false">IF(C168="","",C168/E168)</f>
        <v>27.7777777777778</v>
      </c>
      <c r="G168" s="26" t="str">
        <f aca="false">IF(COUNTIFS(5000m比較!$A$5:$A$34,A168,5000m比較!$C$5:$C$34,B168)&gt;0,"○","")</f>
        <v>○</v>
      </c>
    </row>
    <row r="169" customFormat="false" ht="15" hidden="false" customHeight="false" outlineLevel="0" collapsed="false">
      <c r="A169" s="13" t="s">
        <v>65</v>
      </c>
      <c r="B169" s="36" t="s">
        <v>257</v>
      </c>
      <c r="C169" s="24" t="n">
        <v>496</v>
      </c>
      <c r="D169" s="24" t="n">
        <v>219</v>
      </c>
      <c r="E169" s="14" t="n">
        <v>18</v>
      </c>
      <c r="F169" s="18" t="n">
        <f aca="false">IF(C169="","",C169/E169)</f>
        <v>27.5555555555556</v>
      </c>
      <c r="G169" s="26" t="str">
        <f aca="false">IF(COUNTIFS(5000m比較!$A$5:$A$34,A169,5000m比較!$C$5:$C$34,B169)&gt;0,"○","")</f>
        <v/>
      </c>
    </row>
    <row r="170" customFormat="false" ht="15" hidden="false" customHeight="false" outlineLevel="0" collapsed="false">
      <c r="A170" s="13" t="s">
        <v>65</v>
      </c>
      <c r="B170" s="36" t="s">
        <v>218</v>
      </c>
      <c r="C170" s="24" t="n">
        <v>496</v>
      </c>
      <c r="D170" s="24" t="n">
        <v>236</v>
      </c>
      <c r="E170" s="14" t="n">
        <v>18</v>
      </c>
      <c r="F170" s="18" t="n">
        <f aca="false">IF(C170="","",C170/E170)</f>
        <v>27.5555555555556</v>
      </c>
      <c r="G170" s="26" t="str">
        <f aca="false">IF(COUNTIFS(5000m比較!$A$5:$A$34,A170,5000m比較!$C$5:$C$34,B170)&gt;0,"○","")</f>
        <v/>
      </c>
    </row>
    <row r="171" customFormat="false" ht="15" hidden="false" customHeight="false" outlineLevel="0" collapsed="false">
      <c r="A171" s="13" t="s">
        <v>65</v>
      </c>
      <c r="B171" s="36" t="s">
        <v>204</v>
      </c>
      <c r="C171" s="24" t="n">
        <v>486</v>
      </c>
      <c r="D171" s="24" t="n">
        <v>277</v>
      </c>
      <c r="E171" s="14" t="n">
        <v>18</v>
      </c>
      <c r="F171" s="18" t="n">
        <f aca="false">IF(C171="","",C171/E171)</f>
        <v>27</v>
      </c>
      <c r="G171" s="26" t="str">
        <f aca="false">IF(COUNTIFS(5000m比較!$A$5:$A$34,A171,5000m比較!$C$5:$C$34,B171)&gt;0,"○","")</f>
        <v/>
      </c>
    </row>
    <row r="172" customFormat="false" ht="15" hidden="false" customHeight="false" outlineLevel="0" collapsed="false">
      <c r="A172" s="13" t="s">
        <v>65</v>
      </c>
      <c r="B172" s="36" t="s">
        <v>211</v>
      </c>
      <c r="C172" s="24" t="n">
        <v>478</v>
      </c>
      <c r="D172" s="24" t="n">
        <v>218</v>
      </c>
      <c r="E172" s="14" t="n">
        <v>18</v>
      </c>
      <c r="F172" s="18" t="n">
        <f aca="false">IF(C172="","",C172/E172)</f>
        <v>26.5555555555556</v>
      </c>
      <c r="G172" s="26" t="str">
        <f aca="false">IF(COUNTIFS(5000m比較!$A$5:$A$34,A172,5000m比較!$C$5:$C$34,B172)&gt;0,"○","")</f>
        <v/>
      </c>
    </row>
    <row r="173" customFormat="false" ht="15" hidden="false" customHeight="false" outlineLevel="0" collapsed="false">
      <c r="A173" s="13" t="s">
        <v>65</v>
      </c>
      <c r="B173" s="36" t="s">
        <v>258</v>
      </c>
      <c r="C173" s="24" t="n">
        <v>478</v>
      </c>
      <c r="D173" s="24" t="n">
        <v>271</v>
      </c>
      <c r="E173" s="14" t="n">
        <v>18</v>
      </c>
      <c r="F173" s="18" t="n">
        <f aca="false">IF(C173="","",C173/E173)</f>
        <v>26.5555555555556</v>
      </c>
      <c r="G173" s="26" t="str">
        <f aca="false">IF(COUNTIFS(5000m比較!$A$5:$A$34,A173,5000m比較!$C$5:$C$34,B173)&gt;0,"○","")</f>
        <v/>
      </c>
    </row>
    <row r="174" customFormat="false" ht="15" hidden="false" customHeight="false" outlineLevel="0" collapsed="false">
      <c r="A174" s="13" t="s">
        <v>65</v>
      </c>
      <c r="B174" s="36" t="s">
        <v>259</v>
      </c>
      <c r="C174" s="24" t="n">
        <v>475</v>
      </c>
      <c r="D174" s="24" t="n">
        <v>258</v>
      </c>
      <c r="E174" s="14" t="n">
        <v>18</v>
      </c>
      <c r="F174" s="18" t="n">
        <f aca="false">IF(C174="","",C174/E174)</f>
        <v>26.3888888888889</v>
      </c>
      <c r="G174" s="26" t="str">
        <f aca="false">IF(COUNTIFS(5000m比較!$A$5:$A$34,A174,5000m比較!$C$5:$C$34,B174)&gt;0,"○","")</f>
        <v/>
      </c>
    </row>
    <row r="175" customFormat="false" ht="15" hidden="false" customHeight="false" outlineLevel="0" collapsed="false">
      <c r="A175" s="13" t="s">
        <v>65</v>
      </c>
      <c r="B175" s="36" t="s">
        <v>244</v>
      </c>
      <c r="C175" s="24" t="n">
        <v>468</v>
      </c>
      <c r="D175" s="24" t="n">
        <v>204</v>
      </c>
      <c r="E175" s="14" t="n">
        <v>18</v>
      </c>
      <c r="F175" s="18" t="n">
        <f aca="false">IF(C175="","",C175/E175)</f>
        <v>26</v>
      </c>
      <c r="G175" s="26" t="str">
        <f aca="false">IF(COUNTIFS(5000m比較!$A$5:$A$34,A175,5000m比較!$C$5:$C$34,B175)&gt;0,"○","")</f>
        <v/>
      </c>
    </row>
    <row r="176" customFormat="false" ht="15" hidden="false" customHeight="false" outlineLevel="0" collapsed="false">
      <c r="A176" s="13" t="s">
        <v>65</v>
      </c>
      <c r="B176" s="36" t="s">
        <v>247</v>
      </c>
      <c r="C176" s="24" t="n">
        <v>467</v>
      </c>
      <c r="D176" s="24" t="n">
        <v>230</v>
      </c>
      <c r="E176" s="14" t="n">
        <v>18</v>
      </c>
      <c r="F176" s="18" t="n">
        <f aca="false">IF(C176="","",C176/E176)</f>
        <v>25.9444444444444</v>
      </c>
      <c r="G176" s="26" t="str">
        <f aca="false">IF(COUNTIFS(5000m比較!$A$5:$A$34,A176,5000m比較!$C$5:$C$34,B176)&gt;0,"○","")</f>
        <v/>
      </c>
    </row>
    <row r="177" customFormat="false" ht="15" hidden="false" customHeight="false" outlineLevel="0" collapsed="false">
      <c r="A177" s="13" t="s">
        <v>65</v>
      </c>
      <c r="B177" s="36" t="s">
        <v>248</v>
      </c>
      <c r="C177" s="24" t="n">
        <v>465</v>
      </c>
      <c r="D177" s="24" t="n">
        <v>213</v>
      </c>
      <c r="E177" s="14" t="n">
        <v>18</v>
      </c>
      <c r="F177" s="18" t="n">
        <f aca="false">IF(C177="","",C177/E177)</f>
        <v>25.8333333333333</v>
      </c>
      <c r="G177" s="26" t="str">
        <f aca="false">IF(COUNTIFS(5000m比較!$A$5:$A$34,A177,5000m比較!$C$5:$C$34,B177)&gt;0,"○","")</f>
        <v/>
      </c>
    </row>
    <row r="178" customFormat="false" ht="15" hidden="false" customHeight="false" outlineLevel="0" collapsed="false">
      <c r="A178" s="13" t="s">
        <v>65</v>
      </c>
      <c r="B178" s="36" t="s">
        <v>175</v>
      </c>
      <c r="C178" s="24" t="n">
        <v>464</v>
      </c>
      <c r="D178" s="24" t="n">
        <v>238</v>
      </c>
      <c r="E178" s="14" t="n">
        <v>18</v>
      </c>
      <c r="F178" s="18" t="n">
        <f aca="false">IF(C178="","",C178/E178)</f>
        <v>25.7777777777778</v>
      </c>
      <c r="G178" s="26" t="str">
        <f aca="false">IF(COUNTIFS(5000m比較!$A$5:$A$34,A178,5000m比較!$C$5:$C$34,B178)&gt;0,"○","")</f>
        <v/>
      </c>
    </row>
    <row r="179" customFormat="false" ht="15" hidden="false" customHeight="false" outlineLevel="0" collapsed="false">
      <c r="A179" s="13" t="s">
        <v>65</v>
      </c>
      <c r="B179" s="36" t="s">
        <v>245</v>
      </c>
      <c r="C179" s="24" t="n">
        <v>438</v>
      </c>
      <c r="D179" s="24" t="n">
        <v>274</v>
      </c>
      <c r="E179" s="14" t="n">
        <v>18</v>
      </c>
      <c r="F179" s="18" t="n">
        <f aca="false">IF(C179="","",C179/E179)</f>
        <v>24.3333333333333</v>
      </c>
      <c r="G179" s="26" t="str">
        <f aca="false">IF(COUNTIFS(5000m比較!$A$5:$A$34,A179,5000m比較!$C$5:$C$34,B179)&gt;0,"○","")</f>
        <v/>
      </c>
    </row>
    <row r="180" customFormat="false" ht="15" hidden="false" customHeight="false" outlineLevel="0" collapsed="false">
      <c r="A180" s="13" t="s">
        <v>65</v>
      </c>
      <c r="B180" s="36" t="s">
        <v>217</v>
      </c>
      <c r="C180" s="24" t="n">
        <v>435</v>
      </c>
      <c r="D180" s="24" t="n">
        <v>222</v>
      </c>
      <c r="E180" s="14" t="n">
        <v>18</v>
      </c>
      <c r="F180" s="18" t="n">
        <f aca="false">IF(C180="","",C180/E180)</f>
        <v>24.1666666666667</v>
      </c>
      <c r="G180" s="26" t="str">
        <f aca="false">IF(COUNTIFS(5000m比較!$A$5:$A$34,A180,5000m比較!$C$5:$C$34,B180)&gt;0,"○","")</f>
        <v/>
      </c>
    </row>
    <row r="181" customFormat="false" ht="15" hidden="false" customHeight="false" outlineLevel="0" collapsed="false">
      <c r="A181" s="13" t="s">
        <v>65</v>
      </c>
      <c r="B181" s="36" t="s">
        <v>205</v>
      </c>
      <c r="C181" s="24" t="n">
        <v>398</v>
      </c>
      <c r="D181" s="24" t="n">
        <v>199</v>
      </c>
      <c r="E181" s="14" t="n">
        <v>18</v>
      </c>
      <c r="F181" s="18" t="n">
        <f aca="false">IF(C181="","",C181/E181)</f>
        <v>22.1111111111111</v>
      </c>
      <c r="G181" s="26" t="str">
        <f aca="false">IF(COUNTIFS(5000m比較!$A$5:$A$34,A181,5000m比較!$C$5:$C$34,B181)&gt;0,"○","")</f>
        <v/>
      </c>
    </row>
    <row r="182" customFormat="false" ht="15" hidden="false" customHeight="false" outlineLevel="0" collapsed="false">
      <c r="A182" s="13" t="s">
        <v>65</v>
      </c>
      <c r="B182" s="36" t="s">
        <v>199</v>
      </c>
      <c r="C182" s="24" t="n">
        <v>394</v>
      </c>
      <c r="D182" s="24" t="n">
        <v>213</v>
      </c>
      <c r="E182" s="14" t="n">
        <v>18</v>
      </c>
      <c r="F182" s="18" t="n">
        <f aca="false">IF(C182="","",C182/E182)</f>
        <v>21.8888888888889</v>
      </c>
      <c r="G182" s="26" t="str">
        <f aca="false">IF(COUNTIFS(5000m比較!$A$5:$A$34,A182,5000m比較!$C$5:$C$34,B182)&gt;0,"○","")</f>
        <v/>
      </c>
    </row>
    <row r="183" customFormat="false" ht="15" hidden="false" customHeight="false" outlineLevel="0" collapsed="false">
      <c r="A183" s="13" t="s">
        <v>65</v>
      </c>
      <c r="B183" s="36" t="s">
        <v>260</v>
      </c>
      <c r="C183" s="24" t="n">
        <v>388</v>
      </c>
      <c r="D183" s="24" t="n">
        <v>215</v>
      </c>
      <c r="E183" s="14" t="n">
        <v>18</v>
      </c>
      <c r="F183" s="18" t="n">
        <f aca="false">IF(C183="","",C183/E183)</f>
        <v>21.5555555555556</v>
      </c>
      <c r="G183" s="26" t="str">
        <f aca="false">IF(COUNTIFS(5000m比較!$A$5:$A$34,A183,5000m比較!$C$5:$C$34,B183)&gt;0,"○","")</f>
        <v/>
      </c>
    </row>
    <row r="184" customFormat="false" ht="15" hidden="false" customHeight="false" outlineLevel="0" collapsed="false">
      <c r="A184" s="13" t="s">
        <v>65</v>
      </c>
      <c r="B184" s="36" t="s">
        <v>261</v>
      </c>
      <c r="C184" s="24" t="n">
        <v>274</v>
      </c>
      <c r="D184" s="24" t="n">
        <v>119</v>
      </c>
      <c r="E184" s="14" t="n">
        <v>18</v>
      </c>
      <c r="F184" s="18" t="n">
        <f aca="false">IF(C184="","",C184/E184)</f>
        <v>15.2222222222222</v>
      </c>
      <c r="G184" s="26" t="str">
        <f aca="false">IF(COUNTIFS(5000m比較!$A$5:$A$34,A184,5000m比較!$C$5:$C$34,B184)&gt;0,"○","")</f>
        <v/>
      </c>
    </row>
    <row r="185" customFormat="false" ht="15" hidden="false" customHeight="false" outlineLevel="0" collapsed="false">
      <c r="A185" s="13" t="s">
        <v>65</v>
      </c>
      <c r="B185" s="36" t="s">
        <v>262</v>
      </c>
      <c r="C185" s="24" t="n">
        <v>267</v>
      </c>
      <c r="D185" s="24" t="n">
        <v>60</v>
      </c>
      <c r="E185" s="14" t="n">
        <v>18</v>
      </c>
      <c r="F185" s="18" t="n">
        <f aca="false">IF(C185="","",C185/E185)</f>
        <v>14.8333333333333</v>
      </c>
      <c r="G185" s="26" t="str">
        <f aca="false">IF(COUNTIFS(5000m比較!$A$5:$A$34,A185,5000m比較!$C$5:$C$34,B185)&gt;0,"○","")</f>
        <v/>
      </c>
    </row>
    <row r="186" customFormat="false" ht="15" hidden="false" customHeight="false" outlineLevel="0" collapsed="false">
      <c r="A186" s="13" t="s">
        <v>65</v>
      </c>
      <c r="B186" s="36" t="s">
        <v>263</v>
      </c>
      <c r="C186" s="24" t="n">
        <v>236</v>
      </c>
      <c r="D186" s="24" t="n">
        <v>205</v>
      </c>
      <c r="E186" s="14" t="n">
        <v>18</v>
      </c>
      <c r="F186" s="18" t="n">
        <f aca="false">IF(C186="","",C186/E186)</f>
        <v>13.1111111111111</v>
      </c>
      <c r="G186" s="26" t="str">
        <f aca="false">IF(COUNTIFS(5000m比較!$A$5:$A$34,A186,5000m比較!$C$5:$C$34,B186)&gt;0,"○","")</f>
        <v/>
      </c>
    </row>
    <row r="187" customFormat="false" ht="15" hidden="false" customHeight="false" outlineLevel="0" collapsed="false">
      <c r="A187" s="13" t="s">
        <v>65</v>
      </c>
      <c r="B187" s="36" t="s">
        <v>208</v>
      </c>
      <c r="C187" s="24" t="n">
        <v>226</v>
      </c>
      <c r="D187" s="24" t="n">
        <v>269</v>
      </c>
      <c r="E187" s="14" t="n">
        <v>18</v>
      </c>
      <c r="F187" s="18" t="n">
        <f aca="false">IF(C187="","",C187/E187)</f>
        <v>12.5555555555556</v>
      </c>
      <c r="G187" s="26" t="str">
        <f aca="false">IF(COUNTIFS(5000m比較!$A$5:$A$34,A187,5000m比較!$C$5:$C$34,B187)&gt;0,"○","")</f>
        <v/>
      </c>
    </row>
    <row r="188" customFormat="false" ht="15" hidden="false" customHeight="false" outlineLevel="0" collapsed="false">
      <c r="A188" s="13" t="s">
        <v>65</v>
      </c>
      <c r="B188" s="36" t="s">
        <v>253</v>
      </c>
      <c r="C188" s="24" t="n">
        <v>218</v>
      </c>
      <c r="D188" s="24" t="n">
        <v>205</v>
      </c>
      <c r="E188" s="14" t="n">
        <v>18</v>
      </c>
      <c r="F188" s="18" t="n">
        <f aca="false">IF(C188="","",C188/E188)</f>
        <v>12.1111111111111</v>
      </c>
      <c r="G188" s="26" t="str">
        <f aca="false">IF(COUNTIFS(5000m比較!$A$5:$A$34,A188,5000m比較!$C$5:$C$34,B188)&gt;0,"○","")</f>
        <v/>
      </c>
    </row>
    <row r="189" customFormat="false" ht="15" hidden="false" customHeight="false" outlineLevel="0" collapsed="false">
      <c r="A189" s="13" t="s">
        <v>65</v>
      </c>
      <c r="B189" s="36" t="s">
        <v>264</v>
      </c>
      <c r="C189" s="24" t="n">
        <v>118</v>
      </c>
      <c r="D189" s="24" t="n">
        <v>124</v>
      </c>
      <c r="E189" s="14" t="n">
        <v>18</v>
      </c>
      <c r="F189" s="18" t="n">
        <f aca="false">IF(C189="","",C189/E189)</f>
        <v>6.55555555555556</v>
      </c>
      <c r="G189" s="26" t="str">
        <f aca="false">IF(COUNTIFS(5000m比較!$A$5:$A$34,A189,5000m比較!$C$5:$C$34,B189)&gt;0,"○","")</f>
        <v/>
      </c>
    </row>
    <row r="190" customFormat="false" ht="15" hidden="false" customHeight="false" outlineLevel="0" collapsed="false">
      <c r="A190" s="13" t="s">
        <v>65</v>
      </c>
      <c r="B190" s="36" t="s">
        <v>265</v>
      </c>
      <c r="C190" s="24" t="n">
        <v>51</v>
      </c>
      <c r="D190" s="24" t="n">
        <v>240</v>
      </c>
      <c r="E190" s="14" t="n">
        <v>18</v>
      </c>
      <c r="F190" s="18" t="n">
        <f aca="false">IF(C190="","",C190/E190)</f>
        <v>2.83333333333333</v>
      </c>
      <c r="G190" s="26" t="str">
        <f aca="false">IF(COUNTIFS(5000m比較!$A$5:$A$34,A190,5000m比較!$C$5:$C$34,B190)&gt;0,"○","")</f>
        <v/>
      </c>
    </row>
    <row r="191" customFormat="false" ht="15" hidden="false" customHeight="false" outlineLevel="0" collapsed="false">
      <c r="A191" s="13" t="s">
        <v>65</v>
      </c>
      <c r="B191" s="36" t="s">
        <v>251</v>
      </c>
      <c r="C191" s="24" t="n">
        <v>49</v>
      </c>
      <c r="D191" s="24" t="n">
        <v>146</v>
      </c>
      <c r="E191" s="14" t="n">
        <v>18</v>
      </c>
      <c r="F191" s="18" t="n">
        <f aca="false">IF(C191="","",C191/E191)</f>
        <v>2.72222222222222</v>
      </c>
      <c r="G191" s="26" t="str">
        <f aca="false">IF(COUNTIFS(5000m比較!$A$5:$A$34,A191,5000m比較!$C$5:$C$34,B191)&gt;0,"○","")</f>
        <v/>
      </c>
    </row>
  </sheetData>
  <autoFilter ref="A4:G191"/>
  <mergeCells count="1">
    <mergeCell ref="A2:G2"/>
  </mergeCells>
  <conditionalFormatting sqref="A5:G191">
    <cfRule type="expression" priority="2" aboveAverage="0" equalAverage="0" bottom="0" percent="0" rank="0" text="" dxfId="57">
      <formula>$G5="○"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G1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6" min="3" style="0" width="9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9" t="s">
        <v>266</v>
      </c>
    </row>
    <row r="2" customFormat="false" ht="30" hidden="false" customHeight="true" outlineLevel="0" collapsed="false">
      <c r="A2" s="10" t="s">
        <v>267</v>
      </c>
      <c r="B2" s="10"/>
      <c r="C2" s="10"/>
      <c r="D2" s="10"/>
      <c r="E2" s="10"/>
      <c r="F2" s="10"/>
      <c r="G2" s="10"/>
    </row>
    <row r="4" customFormat="false" ht="33.75" hidden="false" customHeight="true" outlineLevel="0" collapsed="false">
      <c r="A4" s="11" t="s">
        <v>44</v>
      </c>
      <c r="B4" s="11" t="s">
        <v>147</v>
      </c>
      <c r="C4" s="12" t="s">
        <v>268</v>
      </c>
      <c r="D4" s="12" t="s">
        <v>269</v>
      </c>
      <c r="E4" s="12" t="s">
        <v>270</v>
      </c>
      <c r="F4" s="11" t="s">
        <v>271</v>
      </c>
      <c r="G4" s="11" t="s">
        <v>185</v>
      </c>
    </row>
    <row r="5" customFormat="false" ht="15" hidden="false" customHeight="false" outlineLevel="0" collapsed="false">
      <c r="A5" s="28" t="s">
        <v>62</v>
      </c>
      <c r="B5" s="31" t="s">
        <v>201</v>
      </c>
      <c r="C5" s="48" t="n">
        <v>1</v>
      </c>
      <c r="D5" s="48" t="n">
        <v>1</v>
      </c>
      <c r="E5" s="48" t="n">
        <v>1</v>
      </c>
      <c r="F5" s="49" t="n">
        <f aca="false">IFERROR(AVERAGE(C5:E5),"")</f>
        <v>1</v>
      </c>
      <c r="G5" s="45" t="str">
        <f aca="false">IF(COUNTIFS(5000m比較!$A$5:$A$34,A5,5000m比較!$C$5:$C$34,B5)&gt;0,"○","")</f>
        <v/>
      </c>
    </row>
    <row r="6" customFormat="false" ht="15" hidden="false" customHeight="false" outlineLevel="0" collapsed="false">
      <c r="A6" s="28" t="s">
        <v>62</v>
      </c>
      <c r="B6" s="31" t="s">
        <v>164</v>
      </c>
      <c r="C6" s="48" t="n">
        <v>1</v>
      </c>
      <c r="D6" s="48" t="n">
        <v>1</v>
      </c>
      <c r="E6" s="48" t="n">
        <v>1</v>
      </c>
      <c r="F6" s="49" t="n">
        <f aca="false">IFERROR(AVERAGE(C6:E6),"")</f>
        <v>1</v>
      </c>
      <c r="G6" s="45" t="str">
        <f aca="false">IF(COUNTIFS(5000m比較!$A$5:$A$34,A6,5000m比較!$C$5:$C$34,B6)&gt;0,"○","")</f>
        <v>○</v>
      </c>
    </row>
    <row r="7" customFormat="false" ht="15" hidden="false" customHeight="false" outlineLevel="0" collapsed="false">
      <c r="A7" s="28" t="s">
        <v>62</v>
      </c>
      <c r="B7" s="31" t="s">
        <v>165</v>
      </c>
      <c r="C7" s="48" t="n">
        <v>1</v>
      </c>
      <c r="D7" s="48" t="n">
        <v>1</v>
      </c>
      <c r="E7" s="48" t="n">
        <v>1</v>
      </c>
      <c r="F7" s="49" t="n">
        <f aca="false">IFERROR(AVERAGE(C7:E7),"")</f>
        <v>1</v>
      </c>
      <c r="G7" s="45" t="str">
        <f aca="false">IF(COUNTIFS(5000m比較!$A$5:$A$34,A7,5000m比較!$C$5:$C$34,B7)&gt;0,"○","")</f>
        <v>○</v>
      </c>
    </row>
    <row r="8" customFormat="false" ht="15" hidden="false" customHeight="false" outlineLevel="0" collapsed="false">
      <c r="A8" s="28" t="s">
        <v>62</v>
      </c>
      <c r="B8" s="31" t="s">
        <v>194</v>
      </c>
      <c r="C8" s="48" t="n">
        <v>0.986</v>
      </c>
      <c r="D8" s="48" t="n">
        <v>1</v>
      </c>
      <c r="E8" s="48" t="n">
        <v>1</v>
      </c>
      <c r="F8" s="49" t="n">
        <f aca="false">IFERROR(AVERAGE(C8:E8),"")</f>
        <v>0.995333333333333</v>
      </c>
      <c r="G8" s="45" t="str">
        <f aca="false">IF(COUNTIFS(5000m比較!$A$5:$A$34,A8,5000m比較!$C$5:$C$34,B8)&gt;0,"○","")</f>
        <v/>
      </c>
    </row>
    <row r="9" customFormat="false" ht="15" hidden="false" customHeight="false" outlineLevel="0" collapsed="false">
      <c r="A9" s="28" t="s">
        <v>62</v>
      </c>
      <c r="B9" s="31" t="s">
        <v>158</v>
      </c>
      <c r="C9" s="48" t="n">
        <v>1</v>
      </c>
      <c r="D9" s="48" t="n">
        <v>1</v>
      </c>
      <c r="E9" s="48" t="n">
        <v>0.967</v>
      </c>
      <c r="F9" s="49" t="n">
        <f aca="false">IFERROR(AVERAGE(C9:E9),"")</f>
        <v>0.989</v>
      </c>
      <c r="G9" s="45" t="str">
        <f aca="false">IF(COUNTIFS(5000m比較!$A$5:$A$34,A9,5000m比較!$C$5:$C$34,B9)&gt;0,"○","")</f>
        <v/>
      </c>
    </row>
    <row r="10" customFormat="false" ht="15" hidden="false" customHeight="false" outlineLevel="0" collapsed="false">
      <c r="A10" s="28" t="s">
        <v>62</v>
      </c>
      <c r="B10" s="31" t="s">
        <v>196</v>
      </c>
      <c r="C10" s="48" t="n">
        <v>0.943</v>
      </c>
      <c r="D10" s="48" t="n">
        <v>1</v>
      </c>
      <c r="E10" s="48" t="n">
        <v>1</v>
      </c>
      <c r="F10" s="49" t="n">
        <f aca="false">IFERROR(AVERAGE(C10:E10),"")</f>
        <v>0.981</v>
      </c>
      <c r="G10" s="45" t="str">
        <f aca="false">IF(COUNTIFS(5000m比較!$A$5:$A$34,A10,5000m比較!$C$5:$C$34,B10)&gt;0,"○","")</f>
        <v/>
      </c>
    </row>
    <row r="11" customFormat="false" ht="15" hidden="false" customHeight="false" outlineLevel="0" collapsed="false">
      <c r="A11" s="28" t="s">
        <v>62</v>
      </c>
      <c r="B11" s="31" t="s">
        <v>225</v>
      </c>
      <c r="C11" s="48" t="n">
        <v>0.986</v>
      </c>
      <c r="D11" s="48" t="n">
        <v>1</v>
      </c>
      <c r="E11" s="48" t="n">
        <v>0.95</v>
      </c>
      <c r="F11" s="49" t="n">
        <f aca="false">IFERROR(AVERAGE(C11:E11),"")</f>
        <v>0.978666666666667</v>
      </c>
      <c r="G11" s="45" t="str">
        <f aca="false">IF(COUNTIFS(5000m比較!$A$5:$A$34,A11,5000m比較!$C$5:$C$34,B11)&gt;0,"○","")</f>
        <v/>
      </c>
    </row>
    <row r="12" customFormat="false" ht="15" hidden="false" customHeight="false" outlineLevel="0" collapsed="false">
      <c r="A12" s="28" t="s">
        <v>62</v>
      </c>
      <c r="B12" s="31" t="s">
        <v>162</v>
      </c>
      <c r="C12" s="48" t="n">
        <v>0.9</v>
      </c>
      <c r="D12" s="48" t="n">
        <v>1</v>
      </c>
      <c r="E12" s="48" t="n">
        <v>1</v>
      </c>
      <c r="F12" s="49" t="n">
        <f aca="false">IFERROR(AVERAGE(C12:E12),"")</f>
        <v>0.966666666666667</v>
      </c>
      <c r="G12" s="45" t="str">
        <f aca="false">IF(COUNTIFS(5000m比較!$A$5:$A$34,A12,5000m比較!$C$5:$C$34,B12)&gt;0,"○","")</f>
        <v>○</v>
      </c>
    </row>
    <row r="13" customFormat="false" ht="15" hidden="false" customHeight="false" outlineLevel="0" collapsed="false">
      <c r="A13" s="28" t="s">
        <v>62</v>
      </c>
      <c r="B13" s="31" t="s">
        <v>199</v>
      </c>
      <c r="C13" s="48" t="n">
        <v>0.9</v>
      </c>
      <c r="D13" s="48" t="n">
        <v>1</v>
      </c>
      <c r="E13" s="48" t="n">
        <v>1</v>
      </c>
      <c r="F13" s="49" t="n">
        <f aca="false">IFERROR(AVERAGE(C13:E13),"")</f>
        <v>0.966666666666667</v>
      </c>
      <c r="G13" s="45" t="str">
        <f aca="false">IF(COUNTIFS(5000m比較!$A$5:$A$34,A13,5000m比較!$C$5:$C$34,B13)&gt;0,"○","")</f>
        <v/>
      </c>
    </row>
    <row r="14" customFormat="false" ht="15" hidden="false" customHeight="false" outlineLevel="0" collapsed="false">
      <c r="A14" s="28" t="s">
        <v>62</v>
      </c>
      <c r="B14" s="31" t="s">
        <v>197</v>
      </c>
      <c r="C14" s="48" t="n">
        <v>0.886</v>
      </c>
      <c r="D14" s="48" t="n">
        <v>1</v>
      </c>
      <c r="E14" s="48" t="n">
        <v>1</v>
      </c>
      <c r="F14" s="49" t="n">
        <f aca="false">IFERROR(AVERAGE(C14:E14),"")</f>
        <v>0.962</v>
      </c>
      <c r="G14" s="45" t="str">
        <f aca="false">IF(COUNTIFS(5000m比較!$A$5:$A$34,A14,5000m比較!$C$5:$C$34,B14)&gt;0,"○","")</f>
        <v/>
      </c>
    </row>
    <row r="15" customFormat="false" ht="15" hidden="false" customHeight="false" outlineLevel="0" collapsed="false">
      <c r="A15" s="28" t="s">
        <v>62</v>
      </c>
      <c r="B15" s="31" t="s">
        <v>198</v>
      </c>
      <c r="C15" s="48" t="n">
        <v>0.843</v>
      </c>
      <c r="D15" s="48" t="n">
        <v>1</v>
      </c>
      <c r="E15" s="48" t="n">
        <v>1</v>
      </c>
      <c r="F15" s="49" t="n">
        <f aca="false">IFERROR(AVERAGE(C15:E15),"")</f>
        <v>0.947666666666667</v>
      </c>
      <c r="G15" s="45" t="str">
        <f aca="false">IF(COUNTIFS(5000m比較!$A$5:$A$34,A15,5000m比較!$C$5:$C$34,B15)&gt;0,"○","")</f>
        <v/>
      </c>
    </row>
    <row r="16" customFormat="false" ht="15" hidden="false" customHeight="false" outlineLevel="0" collapsed="false">
      <c r="A16" s="28" t="s">
        <v>62</v>
      </c>
      <c r="B16" s="31" t="s">
        <v>229</v>
      </c>
      <c r="C16" s="48" t="n">
        <v>0.986</v>
      </c>
      <c r="D16" s="48" t="n">
        <v>0.88</v>
      </c>
      <c r="E16" s="48" t="n">
        <v>0.975</v>
      </c>
      <c r="F16" s="49" t="n">
        <f aca="false">IFERROR(AVERAGE(C16:E16),"")</f>
        <v>0.947</v>
      </c>
      <c r="G16" s="45" t="str">
        <f aca="false">IF(COUNTIFS(5000m比較!$A$5:$A$34,A16,5000m比較!$C$5:$C$34,B16)&gt;0,"○","")</f>
        <v/>
      </c>
    </row>
    <row r="17" customFormat="false" ht="15" hidden="false" customHeight="false" outlineLevel="0" collapsed="false">
      <c r="A17" s="28" t="s">
        <v>62</v>
      </c>
      <c r="B17" s="31" t="s">
        <v>210</v>
      </c>
      <c r="C17" s="48" t="n">
        <v>0.886</v>
      </c>
      <c r="D17" s="48" t="n">
        <v>0.975</v>
      </c>
      <c r="E17" s="48" t="n">
        <v>0.975</v>
      </c>
      <c r="F17" s="49" t="n">
        <f aca="false">IFERROR(AVERAGE(C17:E17),"")</f>
        <v>0.945333333333333</v>
      </c>
      <c r="G17" s="45" t="str">
        <f aca="false">IF(COUNTIFS(5000m比較!$A$5:$A$34,A17,5000m比較!$C$5:$C$34,B17)&gt;0,"○","")</f>
        <v/>
      </c>
    </row>
    <row r="18" customFormat="false" ht="15" hidden="false" customHeight="false" outlineLevel="0" collapsed="false">
      <c r="A18" s="28" t="s">
        <v>62</v>
      </c>
      <c r="B18" s="31" t="s">
        <v>193</v>
      </c>
      <c r="C18" s="48" t="n">
        <v>0.829</v>
      </c>
      <c r="D18" s="48" t="n">
        <v>0.975</v>
      </c>
      <c r="E18" s="48" t="n">
        <v>1</v>
      </c>
      <c r="F18" s="49" t="n">
        <f aca="false">IFERROR(AVERAGE(C18:E18),"")</f>
        <v>0.934666666666667</v>
      </c>
      <c r="G18" s="45" t="str">
        <f aca="false">IF(COUNTIFS(5000m比較!$A$5:$A$34,A18,5000m比較!$C$5:$C$34,B18)&gt;0,"○","")</f>
        <v/>
      </c>
    </row>
    <row r="19" customFormat="false" ht="15" hidden="false" customHeight="false" outlineLevel="0" collapsed="false">
      <c r="A19" s="28" t="s">
        <v>62</v>
      </c>
      <c r="B19" s="31" t="s">
        <v>163</v>
      </c>
      <c r="C19" s="48" t="n">
        <v>1</v>
      </c>
      <c r="D19" s="48" t="n">
        <v>0.825</v>
      </c>
      <c r="E19" s="48" t="n">
        <v>0.925</v>
      </c>
      <c r="F19" s="49" t="n">
        <f aca="false">IFERROR(AVERAGE(C19:E19),"")</f>
        <v>0.916666666666667</v>
      </c>
      <c r="G19" s="45" t="str">
        <f aca="false">IF(COUNTIFS(5000m比較!$A$5:$A$34,A19,5000m比較!$C$5:$C$34,B19)&gt;0,"○","")</f>
        <v>○</v>
      </c>
    </row>
    <row r="20" customFormat="false" ht="15" hidden="false" customHeight="false" outlineLevel="0" collapsed="false">
      <c r="A20" s="28" t="s">
        <v>62</v>
      </c>
      <c r="B20" s="31" t="s">
        <v>228</v>
      </c>
      <c r="C20" s="48" t="n">
        <v>0.786</v>
      </c>
      <c r="D20" s="48" t="n">
        <v>1</v>
      </c>
      <c r="E20" s="48" t="n">
        <v>0.925</v>
      </c>
      <c r="F20" s="49" t="n">
        <f aca="false">IFERROR(AVERAGE(C20:E20),"")</f>
        <v>0.903666666666667</v>
      </c>
      <c r="G20" s="45" t="str">
        <f aca="false">IF(COUNTIFS(5000m比較!$A$5:$A$34,A20,5000m比較!$C$5:$C$34,B20)&gt;0,"○","")</f>
        <v/>
      </c>
    </row>
    <row r="21" customFormat="false" ht="15" hidden="false" customHeight="false" outlineLevel="0" collapsed="false">
      <c r="A21" s="28" t="s">
        <v>62</v>
      </c>
      <c r="B21" s="31" t="s">
        <v>232</v>
      </c>
      <c r="C21" s="48" t="n">
        <v>0.757</v>
      </c>
      <c r="D21" s="48" t="n">
        <v>1</v>
      </c>
      <c r="E21" s="48" t="n">
        <v>0.95</v>
      </c>
      <c r="F21" s="49" t="n">
        <f aca="false">IFERROR(AVERAGE(C21:E21),"")</f>
        <v>0.902333333333333</v>
      </c>
      <c r="G21" s="45" t="str">
        <f aca="false">IF(COUNTIFS(5000m比較!$A$5:$A$34,A21,5000m比較!$C$5:$C$34,B21)&gt;0,"○","")</f>
        <v/>
      </c>
    </row>
    <row r="22" customFormat="false" ht="15" hidden="false" customHeight="false" outlineLevel="0" collapsed="false">
      <c r="A22" s="28" t="s">
        <v>62</v>
      </c>
      <c r="B22" s="31" t="s">
        <v>213</v>
      </c>
      <c r="C22" s="48" t="n">
        <v>0.643</v>
      </c>
      <c r="D22" s="48" t="n">
        <v>1</v>
      </c>
      <c r="E22" s="48" t="n">
        <v>1</v>
      </c>
      <c r="F22" s="49" t="n">
        <f aca="false">IFERROR(AVERAGE(C22:E22),"")</f>
        <v>0.881</v>
      </c>
      <c r="G22" s="45" t="str">
        <f aca="false">IF(COUNTIFS(5000m比較!$A$5:$A$34,A22,5000m比較!$C$5:$C$34,B22)&gt;0,"○","")</f>
        <v/>
      </c>
    </row>
    <row r="23" customFormat="false" ht="15" hidden="false" customHeight="false" outlineLevel="0" collapsed="false">
      <c r="A23" s="28" t="s">
        <v>62</v>
      </c>
      <c r="B23" s="31" t="s">
        <v>212</v>
      </c>
      <c r="C23" s="48" t="n">
        <v>0.643</v>
      </c>
      <c r="D23" s="48" t="n">
        <v>1</v>
      </c>
      <c r="E23" s="48" t="n">
        <v>1</v>
      </c>
      <c r="F23" s="49" t="n">
        <f aca="false">IFERROR(AVERAGE(C23:E23),"")</f>
        <v>0.881</v>
      </c>
      <c r="G23" s="45" t="str">
        <f aca="false">IF(COUNTIFS(5000m比較!$A$5:$A$34,A23,5000m比較!$C$5:$C$34,B23)&gt;0,"○","")</f>
        <v/>
      </c>
    </row>
    <row r="24" customFormat="false" ht="15" hidden="false" customHeight="false" outlineLevel="0" collapsed="false">
      <c r="A24" s="28" t="s">
        <v>62</v>
      </c>
      <c r="B24" s="31" t="s">
        <v>231</v>
      </c>
      <c r="C24" s="48" t="n">
        <v>0.714</v>
      </c>
      <c r="D24" s="48" t="n">
        <v>0.925</v>
      </c>
      <c r="E24" s="48" t="n">
        <v>1</v>
      </c>
      <c r="F24" s="49" t="n">
        <f aca="false">IFERROR(AVERAGE(C24:E24),"")</f>
        <v>0.879666666666667</v>
      </c>
      <c r="G24" s="45" t="str">
        <f aca="false">IF(COUNTIFS(5000m比較!$A$5:$A$34,A24,5000m比較!$C$5:$C$34,B24)&gt;0,"○","")</f>
        <v/>
      </c>
    </row>
    <row r="25" customFormat="false" ht="15" hidden="false" customHeight="false" outlineLevel="0" collapsed="false">
      <c r="A25" s="28" t="s">
        <v>62</v>
      </c>
      <c r="B25" s="31" t="s">
        <v>169</v>
      </c>
      <c r="C25" s="48" t="n">
        <v>0.886</v>
      </c>
      <c r="D25" s="48" t="n">
        <v>0.75</v>
      </c>
      <c r="E25" s="48" t="n">
        <v>1</v>
      </c>
      <c r="F25" s="49" t="n">
        <f aca="false">IFERROR(AVERAGE(C25:E25),"")</f>
        <v>0.878666666666667</v>
      </c>
      <c r="G25" s="45" t="str">
        <f aca="false">IF(COUNTIFS(5000m比較!$A$5:$A$34,A25,5000m比較!$C$5:$C$34,B25)&gt;0,"○","")</f>
        <v/>
      </c>
    </row>
    <row r="26" customFormat="false" ht="15" hidden="false" customHeight="false" outlineLevel="0" collapsed="false">
      <c r="A26" s="28" t="s">
        <v>62</v>
      </c>
      <c r="B26" s="31" t="s">
        <v>272</v>
      </c>
      <c r="C26" s="48" t="n">
        <v>0.757</v>
      </c>
      <c r="D26" s="48" t="n">
        <v>0.867</v>
      </c>
      <c r="E26" s="48" t="n">
        <v>1</v>
      </c>
      <c r="F26" s="49" t="n">
        <f aca="false">IFERROR(AVERAGE(C26:E26),"")</f>
        <v>0.874666666666667</v>
      </c>
      <c r="G26" s="45" t="str">
        <f aca="false">IF(COUNTIFS(5000m比較!$A$5:$A$34,A26,5000m比較!$C$5:$C$34,B26)&gt;0,"○","")</f>
        <v/>
      </c>
    </row>
    <row r="27" customFormat="false" ht="15" hidden="false" customHeight="false" outlineLevel="0" collapsed="false">
      <c r="A27" s="28" t="s">
        <v>62</v>
      </c>
      <c r="B27" s="31" t="s">
        <v>160</v>
      </c>
      <c r="C27" s="48" t="n">
        <v>0.614</v>
      </c>
      <c r="D27" s="48" t="n">
        <v>1</v>
      </c>
      <c r="E27" s="48" t="n">
        <v>1</v>
      </c>
      <c r="F27" s="49" t="n">
        <f aca="false">IFERROR(AVERAGE(C27:E27),"")</f>
        <v>0.871333333333333</v>
      </c>
      <c r="G27" s="45" t="str">
        <f aca="false">IF(COUNTIFS(5000m比較!$A$5:$A$34,A27,5000m比較!$C$5:$C$34,B27)&gt;0,"○","")</f>
        <v>○</v>
      </c>
    </row>
    <row r="28" customFormat="false" ht="15" hidden="false" customHeight="false" outlineLevel="0" collapsed="false">
      <c r="A28" s="28" t="s">
        <v>62</v>
      </c>
      <c r="B28" s="31" t="s">
        <v>203</v>
      </c>
      <c r="C28" s="48" t="n">
        <v>0.643</v>
      </c>
      <c r="D28" s="48" t="n">
        <v>1</v>
      </c>
      <c r="E28" s="48" t="n">
        <v>0.95</v>
      </c>
      <c r="F28" s="49" t="n">
        <f aca="false">IFERROR(AVERAGE(C28:E28),"")</f>
        <v>0.864333333333333</v>
      </c>
      <c r="G28" s="45" t="str">
        <f aca="false">IF(COUNTIFS(5000m比較!$A$5:$A$34,A28,5000m比較!$C$5:$C$34,B28)&gt;0,"○","")</f>
        <v/>
      </c>
    </row>
    <row r="29" customFormat="false" ht="15" hidden="false" customHeight="false" outlineLevel="0" collapsed="false">
      <c r="A29" s="28" t="s">
        <v>62</v>
      </c>
      <c r="B29" s="31" t="s">
        <v>195</v>
      </c>
      <c r="C29" s="48" t="n">
        <v>0.886</v>
      </c>
      <c r="D29" s="48" t="n">
        <v>1</v>
      </c>
      <c r="E29" s="48" t="n">
        <v>0.7</v>
      </c>
      <c r="F29" s="49" t="n">
        <f aca="false">IFERROR(AVERAGE(C29:E29),"")</f>
        <v>0.862</v>
      </c>
      <c r="G29" s="45" t="str">
        <f aca="false">IF(COUNTIFS(5000m比較!$A$5:$A$34,A29,5000m比較!$C$5:$C$34,B29)&gt;0,"○","")</f>
        <v/>
      </c>
    </row>
    <row r="30" customFormat="false" ht="15" hidden="false" customHeight="false" outlineLevel="0" collapsed="false">
      <c r="A30" s="28" t="s">
        <v>62</v>
      </c>
      <c r="B30" s="31" t="s">
        <v>157</v>
      </c>
      <c r="C30" s="48" t="n">
        <v>1</v>
      </c>
      <c r="D30" s="48" t="n">
        <v>0.575</v>
      </c>
      <c r="E30" s="48" t="n">
        <v>1</v>
      </c>
      <c r="F30" s="49" t="n">
        <f aca="false">IFERROR(AVERAGE(C30:E30),"")</f>
        <v>0.858333333333333</v>
      </c>
      <c r="G30" s="45" t="str">
        <f aca="false">IF(COUNTIFS(5000m比較!$A$5:$A$34,A30,5000m比較!$C$5:$C$34,B30)&gt;0,"○","")</f>
        <v/>
      </c>
    </row>
    <row r="31" customFormat="false" ht="15" hidden="false" customHeight="false" outlineLevel="0" collapsed="false">
      <c r="A31" s="28" t="s">
        <v>62</v>
      </c>
      <c r="B31" s="31" t="s">
        <v>209</v>
      </c>
      <c r="C31" s="48" t="n">
        <v>0.471</v>
      </c>
      <c r="D31" s="48" t="n">
        <v>0.983</v>
      </c>
      <c r="E31" s="48" t="n">
        <v>0.975</v>
      </c>
      <c r="F31" s="49" t="n">
        <f aca="false">IFERROR(AVERAGE(C31:E31),"")</f>
        <v>0.809666666666667</v>
      </c>
      <c r="G31" s="45" t="str">
        <f aca="false">IF(COUNTIFS(5000m比較!$A$5:$A$34,A31,5000m比較!$C$5:$C$34,B31)&gt;0,"○","")</f>
        <v/>
      </c>
    </row>
    <row r="32" customFormat="false" ht="15" hidden="false" customHeight="false" outlineLevel="0" collapsed="false">
      <c r="A32" s="28" t="s">
        <v>62</v>
      </c>
      <c r="B32" s="31" t="s">
        <v>187</v>
      </c>
      <c r="C32" s="48" t="n">
        <v>0.643</v>
      </c>
      <c r="D32" s="48"/>
      <c r="E32" s="48" t="n">
        <v>0.975</v>
      </c>
      <c r="F32" s="49" t="n">
        <f aca="false">IFERROR(AVERAGE(C32:E32),"")</f>
        <v>0.809</v>
      </c>
      <c r="G32" s="45" t="str">
        <f aca="false">IF(COUNTIFS(5000m比較!$A$5:$A$34,A32,5000m比較!$C$5:$C$34,B32)&gt;0,"○","")</f>
        <v/>
      </c>
    </row>
    <row r="33" customFormat="false" ht="15" hidden="false" customHeight="false" outlineLevel="0" collapsed="false">
      <c r="A33" s="28" t="s">
        <v>62</v>
      </c>
      <c r="B33" s="31" t="s">
        <v>230</v>
      </c>
      <c r="C33" s="48" t="n">
        <v>0.986</v>
      </c>
      <c r="D33" s="48" t="n">
        <v>0.75</v>
      </c>
      <c r="E33" s="48" t="n">
        <v>0.675</v>
      </c>
      <c r="F33" s="49" t="n">
        <f aca="false">IFERROR(AVERAGE(C33:E33),"")</f>
        <v>0.803666666666667</v>
      </c>
      <c r="G33" s="45" t="str">
        <f aca="false">IF(COUNTIFS(5000m比較!$A$5:$A$34,A33,5000m比較!$C$5:$C$34,B33)&gt;0,"○","")</f>
        <v/>
      </c>
    </row>
    <row r="34" customFormat="false" ht="15" hidden="false" customHeight="false" outlineLevel="0" collapsed="false">
      <c r="A34" s="28" t="s">
        <v>62</v>
      </c>
      <c r="B34" s="31" t="s">
        <v>233</v>
      </c>
      <c r="C34" s="48" t="n">
        <v>0.829</v>
      </c>
      <c r="D34" s="48" t="n">
        <v>0.6</v>
      </c>
      <c r="E34" s="48" t="n">
        <v>0.9</v>
      </c>
      <c r="F34" s="49" t="n">
        <f aca="false">IFERROR(AVERAGE(C34:E34),"")</f>
        <v>0.776333333333333</v>
      </c>
      <c r="G34" s="45" t="str">
        <f aca="false">IF(COUNTIFS(5000m比較!$A$5:$A$34,A34,5000m比較!$C$5:$C$34,B34)&gt;0,"○","")</f>
        <v/>
      </c>
    </row>
    <row r="35" customFormat="false" ht="15" hidden="false" customHeight="false" outlineLevel="0" collapsed="false">
      <c r="A35" s="28" t="s">
        <v>62</v>
      </c>
      <c r="B35" s="31" t="s">
        <v>227</v>
      </c>
      <c r="C35" s="48" t="n">
        <v>0.986</v>
      </c>
      <c r="D35" s="48" t="n">
        <v>1</v>
      </c>
      <c r="E35" s="48" t="n">
        <v>0.225</v>
      </c>
      <c r="F35" s="49" t="n">
        <f aca="false">IFERROR(AVERAGE(C35:E35),"")</f>
        <v>0.737</v>
      </c>
      <c r="G35" s="45" t="str">
        <f aca="false">IF(COUNTIFS(5000m比較!$A$5:$A$34,A35,5000m比較!$C$5:$C$34,B35)&gt;0,"○","")</f>
        <v/>
      </c>
    </row>
    <row r="36" customFormat="false" ht="15" hidden="false" customHeight="false" outlineLevel="0" collapsed="false">
      <c r="A36" s="28" t="s">
        <v>62</v>
      </c>
      <c r="B36" s="31" t="s">
        <v>166</v>
      </c>
      <c r="C36" s="48" t="n">
        <v>0.414</v>
      </c>
      <c r="D36" s="48" t="n">
        <v>0.925</v>
      </c>
      <c r="E36" s="48" t="n">
        <v>0.75</v>
      </c>
      <c r="F36" s="49" t="n">
        <f aca="false">IFERROR(AVERAGE(C36:E36),"")</f>
        <v>0.696333333333333</v>
      </c>
      <c r="G36" s="45" t="str">
        <f aca="false">IF(COUNTIFS(5000m比較!$A$5:$A$34,A36,5000m比較!$C$5:$C$34,B36)&gt;0,"○","")</f>
        <v>○</v>
      </c>
    </row>
    <row r="37" customFormat="false" ht="15" hidden="false" customHeight="false" outlineLevel="0" collapsed="false">
      <c r="A37" s="28" t="s">
        <v>62</v>
      </c>
      <c r="B37" s="31" t="s">
        <v>176</v>
      </c>
      <c r="C37" s="48" t="n">
        <v>0.329</v>
      </c>
      <c r="D37" s="48" t="n">
        <v>0.75</v>
      </c>
      <c r="E37" s="48" t="n">
        <v>1</v>
      </c>
      <c r="F37" s="49" t="n">
        <f aca="false">IFERROR(AVERAGE(C37:E37),"")</f>
        <v>0.693</v>
      </c>
      <c r="G37" s="45" t="str">
        <f aca="false">IF(COUNTIFS(5000m比較!$A$5:$A$34,A37,5000m比較!$C$5:$C$34,B37)&gt;0,"○","")</f>
        <v/>
      </c>
    </row>
    <row r="38" customFormat="false" ht="15" hidden="false" customHeight="false" outlineLevel="0" collapsed="false">
      <c r="A38" s="28" t="s">
        <v>62</v>
      </c>
      <c r="B38" s="31" t="s">
        <v>238</v>
      </c>
      <c r="C38" s="48" t="n">
        <v>0.271</v>
      </c>
      <c r="D38" s="48" t="n">
        <v>0.667</v>
      </c>
      <c r="E38" s="48" t="n">
        <v>0.9</v>
      </c>
      <c r="F38" s="49" t="n">
        <f aca="false">IFERROR(AVERAGE(C38:E38),"")</f>
        <v>0.612666666666667</v>
      </c>
      <c r="G38" s="45" t="str">
        <f aca="false">IF(COUNTIFS(5000m比較!$A$5:$A$34,A38,5000m比較!$C$5:$C$34,B38)&gt;0,"○","")</f>
        <v/>
      </c>
    </row>
    <row r="39" customFormat="false" ht="15" hidden="false" customHeight="false" outlineLevel="0" collapsed="false">
      <c r="A39" s="28" t="s">
        <v>62</v>
      </c>
      <c r="B39" s="31" t="s">
        <v>171</v>
      </c>
      <c r="C39" s="48" t="n">
        <v>0.457</v>
      </c>
      <c r="D39" s="48" t="n">
        <v>0.4</v>
      </c>
      <c r="E39" s="48" t="n">
        <v>0.925</v>
      </c>
      <c r="F39" s="49" t="n">
        <f aca="false">IFERROR(AVERAGE(C39:E39),"")</f>
        <v>0.594</v>
      </c>
      <c r="G39" s="45" t="str">
        <f aca="false">IF(COUNTIFS(5000m比較!$A$5:$A$34,A39,5000m比較!$C$5:$C$34,B39)&gt;0,"○","")</f>
        <v/>
      </c>
    </row>
    <row r="40" customFormat="false" ht="15" hidden="false" customHeight="false" outlineLevel="0" collapsed="false">
      <c r="A40" s="28" t="s">
        <v>62</v>
      </c>
      <c r="B40" s="31" t="s">
        <v>211</v>
      </c>
      <c r="C40" s="48" t="n">
        <v>0.986</v>
      </c>
      <c r="D40" s="48" t="n">
        <v>0.3</v>
      </c>
      <c r="E40" s="48" t="n">
        <v>0.375</v>
      </c>
      <c r="F40" s="49" t="n">
        <f aca="false">IFERROR(AVERAGE(C40:E40),"")</f>
        <v>0.553666666666667</v>
      </c>
      <c r="G40" s="45" t="str">
        <f aca="false">IF(COUNTIFS(5000m比較!$A$5:$A$34,A40,5000m比較!$C$5:$C$34,B40)&gt;0,"○","")</f>
        <v/>
      </c>
    </row>
    <row r="41" customFormat="false" ht="15" hidden="false" customHeight="false" outlineLevel="0" collapsed="false">
      <c r="A41" s="28" t="s">
        <v>62</v>
      </c>
      <c r="B41" s="31" t="s">
        <v>206</v>
      </c>
      <c r="C41" s="48" t="n">
        <v>0.314</v>
      </c>
      <c r="D41" s="48" t="n">
        <v>0.3</v>
      </c>
      <c r="E41" s="48" t="n">
        <v>1</v>
      </c>
      <c r="F41" s="49" t="n">
        <f aca="false">IFERROR(AVERAGE(C41:E41),"")</f>
        <v>0.538</v>
      </c>
      <c r="G41" s="45" t="str">
        <f aca="false">IF(COUNTIFS(5000m比較!$A$5:$A$34,A41,5000m比較!$C$5:$C$34,B41)&gt;0,"○","")</f>
        <v/>
      </c>
    </row>
    <row r="42" customFormat="false" ht="15" hidden="false" customHeight="false" outlineLevel="0" collapsed="false">
      <c r="A42" s="28" t="s">
        <v>62</v>
      </c>
      <c r="B42" s="31" t="s">
        <v>190</v>
      </c>
      <c r="C42" s="48" t="n">
        <v>0.229</v>
      </c>
      <c r="D42" s="48" t="n">
        <v>0.3</v>
      </c>
      <c r="E42" s="48" t="n">
        <v>1</v>
      </c>
      <c r="F42" s="49" t="n">
        <f aca="false">IFERROR(AVERAGE(C42:E42),"")</f>
        <v>0.509666666666667</v>
      </c>
      <c r="G42" s="45" t="str">
        <f aca="false">IF(COUNTIFS(5000m比較!$A$5:$A$34,A42,5000m比較!$C$5:$C$34,B42)&gt;0,"○","")</f>
        <v/>
      </c>
    </row>
    <row r="43" customFormat="false" ht="15" hidden="false" customHeight="false" outlineLevel="0" collapsed="false">
      <c r="A43" s="28" t="s">
        <v>62</v>
      </c>
      <c r="B43" s="31" t="s">
        <v>234</v>
      </c>
      <c r="C43" s="48" t="n">
        <v>0.8</v>
      </c>
      <c r="D43" s="48" t="n">
        <v>0.3</v>
      </c>
      <c r="E43" s="48" t="n">
        <v>0.4</v>
      </c>
      <c r="F43" s="49" t="n">
        <f aca="false">IFERROR(AVERAGE(C43:E43),"")</f>
        <v>0.5</v>
      </c>
      <c r="G43" s="45" t="str">
        <f aca="false">IF(COUNTIFS(5000m比較!$A$5:$A$34,A43,5000m比較!$C$5:$C$34,B43)&gt;0,"○","")</f>
        <v/>
      </c>
    </row>
    <row r="44" customFormat="false" ht="15" hidden="false" customHeight="false" outlineLevel="0" collapsed="false">
      <c r="A44" s="28" t="s">
        <v>62</v>
      </c>
      <c r="B44" s="31" t="s">
        <v>235</v>
      </c>
      <c r="C44" s="48" t="n">
        <v>0.414</v>
      </c>
      <c r="D44" s="48" t="n">
        <v>0.433</v>
      </c>
      <c r="E44" s="48" t="n">
        <v>0.65</v>
      </c>
      <c r="F44" s="49" t="n">
        <f aca="false">IFERROR(AVERAGE(C44:E44),"")</f>
        <v>0.499</v>
      </c>
      <c r="G44" s="45" t="str">
        <f aca="false">IF(COUNTIFS(5000m比較!$A$5:$A$34,A44,5000m比較!$C$5:$C$34,B44)&gt;0,"○","")</f>
        <v/>
      </c>
    </row>
    <row r="45" customFormat="false" ht="15" hidden="false" customHeight="false" outlineLevel="0" collapsed="false">
      <c r="A45" s="28" t="s">
        <v>62</v>
      </c>
      <c r="B45" s="31" t="s">
        <v>170</v>
      </c>
      <c r="C45" s="48" t="n">
        <v>0.086</v>
      </c>
      <c r="D45" s="48" t="n">
        <v>0.4</v>
      </c>
      <c r="E45" s="48" t="n">
        <v>1</v>
      </c>
      <c r="F45" s="49" t="n">
        <f aca="false">IFERROR(AVERAGE(C45:E45),"")</f>
        <v>0.495333333333333</v>
      </c>
      <c r="G45" s="45" t="str">
        <f aca="false">IF(COUNTIFS(5000m比較!$A$5:$A$34,A45,5000m比較!$C$5:$C$34,B45)&gt;0,"○","")</f>
        <v/>
      </c>
    </row>
    <row r="46" customFormat="false" ht="15" hidden="false" customHeight="false" outlineLevel="0" collapsed="false">
      <c r="A46" s="28" t="s">
        <v>62</v>
      </c>
      <c r="B46" s="31" t="s">
        <v>188</v>
      </c>
      <c r="C46" s="48" t="n">
        <v>0.171</v>
      </c>
      <c r="D46" s="48" t="n">
        <v>0.15</v>
      </c>
      <c r="E46" s="48" t="n">
        <v>0.925</v>
      </c>
      <c r="F46" s="49" t="n">
        <f aca="false">IFERROR(AVERAGE(C46:E46),"")</f>
        <v>0.415333333333333</v>
      </c>
      <c r="G46" s="45" t="str">
        <f aca="false">IF(COUNTIFS(5000m比較!$A$5:$A$34,A46,5000m比較!$C$5:$C$34,B46)&gt;0,"○","")</f>
        <v/>
      </c>
    </row>
    <row r="47" customFormat="false" ht="15" hidden="false" customHeight="false" outlineLevel="0" collapsed="false">
      <c r="A47" s="28" t="s">
        <v>62</v>
      </c>
      <c r="B47" s="31" t="s">
        <v>189</v>
      </c>
      <c r="C47" s="48" t="n">
        <v>0</v>
      </c>
      <c r="D47" s="48" t="n">
        <v>0.2</v>
      </c>
      <c r="E47" s="48" t="n">
        <v>0.225</v>
      </c>
      <c r="F47" s="49" t="n">
        <f aca="false">IFERROR(AVERAGE(C47:E47),"")</f>
        <v>0.141666666666667</v>
      </c>
      <c r="G47" s="45" t="str">
        <f aca="false">IF(COUNTIFS(5000m比較!$A$5:$A$34,A47,5000m比較!$C$5:$C$34,B47)&gt;0,"○","")</f>
        <v/>
      </c>
    </row>
    <row r="48" customFormat="false" ht="15" hidden="false" customHeight="false" outlineLevel="0" collapsed="false">
      <c r="A48" s="28" t="s">
        <v>62</v>
      </c>
      <c r="B48" s="31" t="s">
        <v>239</v>
      </c>
      <c r="C48" s="48" t="n">
        <v>0.043</v>
      </c>
      <c r="D48" s="48" t="n">
        <v>0</v>
      </c>
      <c r="E48" s="48" t="n">
        <v>0.3</v>
      </c>
      <c r="F48" s="49" t="n">
        <f aca="false">IFERROR(AVERAGE(C48:E48),"")</f>
        <v>0.114333333333333</v>
      </c>
      <c r="G48" s="45" t="str">
        <f aca="false">IF(COUNTIFS(5000m比較!$A$5:$A$34,A48,5000m比較!$C$5:$C$34,B48)&gt;0,"○","")</f>
        <v/>
      </c>
    </row>
    <row r="49" customFormat="false" ht="15" hidden="false" customHeight="false" outlineLevel="0" collapsed="false">
      <c r="A49" s="28" t="s">
        <v>62</v>
      </c>
      <c r="B49" s="31" t="s">
        <v>240</v>
      </c>
      <c r="C49" s="48" t="n">
        <v>0</v>
      </c>
      <c r="D49" s="48" t="n">
        <v>0</v>
      </c>
      <c r="E49" s="48" t="n">
        <v>0.15</v>
      </c>
      <c r="F49" s="49" t="n">
        <f aca="false">IFERROR(AVERAGE(C49:E49),"")</f>
        <v>0.05</v>
      </c>
      <c r="G49" s="45" t="str">
        <f aca="false">IF(COUNTIFS(5000m比較!$A$5:$A$34,A49,5000m比較!$C$5:$C$34,B49)&gt;0,"○","")</f>
        <v/>
      </c>
    </row>
    <row r="50" customFormat="false" ht="15" hidden="false" customHeight="false" outlineLevel="0" collapsed="false">
      <c r="A50" s="13" t="s">
        <v>63</v>
      </c>
      <c r="B50" s="36" t="s">
        <v>213</v>
      </c>
      <c r="C50" s="50" t="n">
        <v>1</v>
      </c>
      <c r="D50" s="50" t="n">
        <v>1</v>
      </c>
      <c r="E50" s="50" t="n">
        <v>1</v>
      </c>
      <c r="F50" s="20" t="n">
        <f aca="false">IFERROR(AVERAGE(C50:E50),"")</f>
        <v>1</v>
      </c>
      <c r="G50" s="8" t="str">
        <f aca="false">IF(COUNTIFS(5000m比較!$A$5:$A$34,A50,5000m比較!$C$5:$C$34,B50)&gt;0,"○","")</f>
        <v/>
      </c>
    </row>
    <row r="51" customFormat="false" ht="15" hidden="false" customHeight="false" outlineLevel="0" collapsed="false">
      <c r="A51" s="13" t="s">
        <v>63</v>
      </c>
      <c r="B51" s="36" t="s">
        <v>209</v>
      </c>
      <c r="C51" s="50" t="n">
        <v>1</v>
      </c>
      <c r="D51" s="50" t="n">
        <v>1</v>
      </c>
      <c r="E51" s="50" t="n">
        <v>1</v>
      </c>
      <c r="F51" s="20" t="n">
        <f aca="false">IFERROR(AVERAGE(C51:E51),"")</f>
        <v>1</v>
      </c>
      <c r="G51" s="8" t="str">
        <f aca="false">IF(COUNTIFS(5000m比較!$A$5:$A$34,A51,5000m比較!$C$5:$C$34,B51)&gt;0,"○","")</f>
        <v/>
      </c>
    </row>
    <row r="52" customFormat="false" ht="15" hidden="false" customHeight="false" outlineLevel="0" collapsed="false">
      <c r="A52" s="13" t="s">
        <v>63</v>
      </c>
      <c r="B52" s="36" t="s">
        <v>160</v>
      </c>
      <c r="C52" s="50" t="n">
        <v>1</v>
      </c>
      <c r="D52" s="50" t="n">
        <v>1</v>
      </c>
      <c r="E52" s="50" t="n">
        <v>1</v>
      </c>
      <c r="F52" s="20" t="n">
        <f aca="false">IFERROR(AVERAGE(C52:E52),"")</f>
        <v>1</v>
      </c>
      <c r="G52" s="8" t="str">
        <f aca="false">IF(COUNTIFS(5000m比較!$A$5:$A$34,A52,5000m比較!$C$5:$C$34,B52)&gt;0,"○","")</f>
        <v>○</v>
      </c>
    </row>
    <row r="53" customFormat="false" ht="15" hidden="false" customHeight="false" outlineLevel="0" collapsed="false">
      <c r="A53" s="13" t="s">
        <v>63</v>
      </c>
      <c r="B53" s="36" t="s">
        <v>162</v>
      </c>
      <c r="C53" s="50" t="n">
        <v>1</v>
      </c>
      <c r="D53" s="50" t="n">
        <v>1</v>
      </c>
      <c r="E53" s="50" t="n">
        <v>1</v>
      </c>
      <c r="F53" s="20" t="n">
        <f aca="false">IFERROR(AVERAGE(C53:E53),"")</f>
        <v>1</v>
      </c>
      <c r="G53" s="8" t="str">
        <f aca="false">IF(COUNTIFS(5000m比較!$A$5:$A$34,A53,5000m比較!$C$5:$C$34,B53)&gt;0,"○","")</f>
        <v>○</v>
      </c>
    </row>
    <row r="54" customFormat="false" ht="15" hidden="false" customHeight="false" outlineLevel="0" collapsed="false">
      <c r="A54" s="13" t="s">
        <v>63</v>
      </c>
      <c r="B54" s="36" t="s">
        <v>188</v>
      </c>
      <c r="C54" s="50" t="n">
        <v>1</v>
      </c>
      <c r="D54" s="50" t="n">
        <v>1</v>
      </c>
      <c r="E54" s="50" t="n">
        <v>1</v>
      </c>
      <c r="F54" s="20" t="n">
        <f aca="false">IFERROR(AVERAGE(C54:E54),"")</f>
        <v>1</v>
      </c>
      <c r="G54" s="8" t="str">
        <f aca="false">IF(COUNTIFS(5000m比較!$A$5:$A$34,A54,5000m比較!$C$5:$C$34,B54)&gt;0,"○","")</f>
        <v/>
      </c>
    </row>
    <row r="55" customFormat="false" ht="15" hidden="false" customHeight="false" outlineLevel="0" collapsed="false">
      <c r="A55" s="13" t="s">
        <v>63</v>
      </c>
      <c r="B55" s="36" t="s">
        <v>210</v>
      </c>
      <c r="C55" s="50" t="n">
        <v>1</v>
      </c>
      <c r="D55" s="50" t="n">
        <v>1</v>
      </c>
      <c r="E55" s="50" t="n">
        <v>1</v>
      </c>
      <c r="F55" s="20" t="n">
        <f aca="false">IFERROR(AVERAGE(C55:E55),"")</f>
        <v>1</v>
      </c>
      <c r="G55" s="8" t="str">
        <f aca="false">IF(COUNTIFS(5000m比較!$A$5:$A$34,A55,5000m比較!$C$5:$C$34,B55)&gt;0,"○","")</f>
        <v/>
      </c>
    </row>
    <row r="56" customFormat="false" ht="15" hidden="false" customHeight="false" outlineLevel="0" collapsed="false">
      <c r="A56" s="13" t="s">
        <v>63</v>
      </c>
      <c r="B56" s="36" t="s">
        <v>199</v>
      </c>
      <c r="C56" s="50" t="n">
        <v>1</v>
      </c>
      <c r="D56" s="50" t="n">
        <v>1</v>
      </c>
      <c r="E56" s="50" t="n">
        <v>1</v>
      </c>
      <c r="F56" s="20" t="n">
        <f aca="false">IFERROR(AVERAGE(C56:E56),"")</f>
        <v>1</v>
      </c>
      <c r="G56" s="8" t="str">
        <f aca="false">IF(COUNTIFS(5000m比較!$A$5:$A$34,A56,5000m比較!$C$5:$C$34,B56)&gt;0,"○","")</f>
        <v/>
      </c>
    </row>
    <row r="57" customFormat="false" ht="15" hidden="false" customHeight="false" outlineLevel="0" collapsed="false">
      <c r="A57" s="13" t="s">
        <v>63</v>
      </c>
      <c r="B57" s="36" t="s">
        <v>203</v>
      </c>
      <c r="C57" s="50" t="n">
        <v>1</v>
      </c>
      <c r="D57" s="50" t="n">
        <v>1</v>
      </c>
      <c r="E57" s="50" t="n">
        <v>1</v>
      </c>
      <c r="F57" s="20" t="n">
        <f aca="false">IFERROR(AVERAGE(C57:E57),"")</f>
        <v>1</v>
      </c>
      <c r="G57" s="8" t="str">
        <f aca="false">IF(COUNTIFS(5000m比較!$A$5:$A$34,A57,5000m比較!$C$5:$C$34,B57)&gt;0,"○","")</f>
        <v/>
      </c>
    </row>
    <row r="58" customFormat="false" ht="15" hidden="false" customHeight="false" outlineLevel="0" collapsed="false">
      <c r="A58" s="13" t="s">
        <v>63</v>
      </c>
      <c r="B58" s="36" t="s">
        <v>212</v>
      </c>
      <c r="C58" s="50" t="n">
        <v>1</v>
      </c>
      <c r="D58" s="50" t="n">
        <v>1</v>
      </c>
      <c r="E58" s="50" t="n">
        <v>1</v>
      </c>
      <c r="F58" s="20" t="n">
        <f aca="false">IFERROR(AVERAGE(C58:E58),"")</f>
        <v>1</v>
      </c>
      <c r="G58" s="8" t="str">
        <f aca="false">IF(COUNTIFS(5000m比較!$A$5:$A$34,A58,5000m比較!$C$5:$C$34,B58)&gt;0,"○","")</f>
        <v/>
      </c>
    </row>
    <row r="59" customFormat="false" ht="15" hidden="false" customHeight="false" outlineLevel="0" collapsed="false">
      <c r="A59" s="13" t="s">
        <v>63</v>
      </c>
      <c r="B59" s="36" t="s">
        <v>187</v>
      </c>
      <c r="C59" s="50" t="n">
        <v>1</v>
      </c>
      <c r="D59" s="50" t="n">
        <v>0.975</v>
      </c>
      <c r="E59" s="50" t="n">
        <v>1</v>
      </c>
      <c r="F59" s="20" t="n">
        <f aca="false">IFERROR(AVERAGE(C59:E59),"")</f>
        <v>0.991666666666667</v>
      </c>
      <c r="G59" s="8" t="str">
        <f aca="false">IF(COUNTIFS(5000m比較!$A$5:$A$34,A59,5000m比較!$C$5:$C$34,B59)&gt;0,"○","")</f>
        <v/>
      </c>
    </row>
    <row r="60" customFormat="false" ht="15" hidden="false" customHeight="false" outlineLevel="0" collapsed="false">
      <c r="A60" s="13" t="s">
        <v>63</v>
      </c>
      <c r="B60" s="36" t="s">
        <v>169</v>
      </c>
      <c r="C60" s="50" t="n">
        <v>1</v>
      </c>
      <c r="D60" s="50" t="n">
        <v>0.975</v>
      </c>
      <c r="E60" s="50" t="n">
        <v>1</v>
      </c>
      <c r="F60" s="20" t="n">
        <f aca="false">IFERROR(AVERAGE(C60:E60),"")</f>
        <v>0.991666666666667</v>
      </c>
      <c r="G60" s="8" t="str">
        <f aca="false">IF(COUNTIFS(5000m比較!$A$5:$A$34,A60,5000m比較!$C$5:$C$34,B60)&gt;0,"○","")</f>
        <v>○</v>
      </c>
    </row>
    <row r="61" customFormat="false" ht="15" hidden="false" customHeight="false" outlineLevel="0" collapsed="false">
      <c r="A61" s="13" t="s">
        <v>63</v>
      </c>
      <c r="B61" s="36" t="s">
        <v>194</v>
      </c>
      <c r="C61" s="50" t="n">
        <v>1</v>
      </c>
      <c r="D61" s="50" t="n">
        <v>0.975</v>
      </c>
      <c r="E61" s="50" t="n">
        <v>1</v>
      </c>
      <c r="F61" s="20" t="n">
        <f aca="false">IFERROR(AVERAGE(C61:E61),"")</f>
        <v>0.991666666666667</v>
      </c>
      <c r="G61" s="8" t="str">
        <f aca="false">IF(COUNTIFS(5000m比較!$A$5:$A$34,A61,5000m比較!$C$5:$C$34,B61)&gt;0,"○","")</f>
        <v/>
      </c>
    </row>
    <row r="62" customFormat="false" ht="15" hidden="false" customHeight="false" outlineLevel="0" collapsed="false">
      <c r="A62" s="13" t="s">
        <v>63</v>
      </c>
      <c r="B62" s="36" t="s">
        <v>211</v>
      </c>
      <c r="C62" s="50" t="n">
        <v>1</v>
      </c>
      <c r="D62" s="50" t="n">
        <v>0.975</v>
      </c>
      <c r="E62" s="50" t="n">
        <v>1</v>
      </c>
      <c r="F62" s="20" t="n">
        <f aca="false">IFERROR(AVERAGE(C62:E62),"")</f>
        <v>0.991666666666667</v>
      </c>
      <c r="G62" s="8" t="str">
        <f aca="false">IF(COUNTIFS(5000m比較!$A$5:$A$34,A62,5000m比較!$C$5:$C$34,B62)&gt;0,"○","")</f>
        <v/>
      </c>
    </row>
    <row r="63" customFormat="false" ht="15" hidden="false" customHeight="false" outlineLevel="0" collapsed="false">
      <c r="A63" s="13" t="s">
        <v>63</v>
      </c>
      <c r="B63" s="36" t="s">
        <v>231</v>
      </c>
      <c r="C63" s="50" t="n">
        <v>1</v>
      </c>
      <c r="D63" s="50" t="n">
        <v>0.975</v>
      </c>
      <c r="E63" s="50" t="n">
        <v>1</v>
      </c>
      <c r="F63" s="20" t="n">
        <f aca="false">IFERROR(AVERAGE(C63:E63),"")</f>
        <v>0.991666666666667</v>
      </c>
      <c r="G63" s="8" t="str">
        <f aca="false">IF(COUNTIFS(5000m比較!$A$5:$A$34,A63,5000m比較!$C$5:$C$34,B63)&gt;0,"○","")</f>
        <v/>
      </c>
    </row>
    <row r="64" customFormat="false" ht="15" hidden="false" customHeight="false" outlineLevel="0" collapsed="false">
      <c r="A64" s="13" t="s">
        <v>63</v>
      </c>
      <c r="B64" s="36" t="s">
        <v>215</v>
      </c>
      <c r="C64" s="50" t="n">
        <v>1</v>
      </c>
      <c r="D64" s="50" t="n">
        <v>0.975</v>
      </c>
      <c r="E64" s="50" t="n">
        <v>1</v>
      </c>
      <c r="F64" s="20" t="n">
        <f aca="false">IFERROR(AVERAGE(C64:E64),"")</f>
        <v>0.991666666666667</v>
      </c>
      <c r="G64" s="8" t="str">
        <f aca="false">IF(COUNTIFS(5000m比較!$A$5:$A$34,A64,5000m比較!$C$5:$C$34,B64)&gt;0,"○","")</f>
        <v/>
      </c>
    </row>
    <row r="65" customFormat="false" ht="15" hidden="false" customHeight="false" outlineLevel="0" collapsed="false">
      <c r="A65" s="13" t="s">
        <v>63</v>
      </c>
      <c r="B65" s="36" t="s">
        <v>179</v>
      </c>
      <c r="C65" s="50" t="n">
        <v>1</v>
      </c>
      <c r="D65" s="50" t="n">
        <v>0.975</v>
      </c>
      <c r="E65" s="50" t="n">
        <v>1</v>
      </c>
      <c r="F65" s="20" t="n">
        <f aca="false">IFERROR(AVERAGE(C65:E65),"")</f>
        <v>0.991666666666667</v>
      </c>
      <c r="G65" s="8" t="str">
        <f aca="false">IF(COUNTIFS(5000m比較!$A$5:$A$34,A65,5000m比較!$C$5:$C$34,B65)&gt;0,"○","")</f>
        <v/>
      </c>
    </row>
    <row r="66" customFormat="false" ht="15" hidden="false" customHeight="false" outlineLevel="0" collapsed="false">
      <c r="A66" s="13" t="s">
        <v>63</v>
      </c>
      <c r="B66" s="36" t="s">
        <v>207</v>
      </c>
      <c r="C66" s="50" t="n">
        <v>1</v>
      </c>
      <c r="D66" s="50" t="n">
        <v>0.975</v>
      </c>
      <c r="E66" s="50" t="n">
        <v>1</v>
      </c>
      <c r="F66" s="20" t="n">
        <f aca="false">IFERROR(AVERAGE(C66:E66),"")</f>
        <v>0.991666666666667</v>
      </c>
      <c r="G66" s="8" t="str">
        <f aca="false">IF(COUNTIFS(5000m比較!$A$5:$A$34,A66,5000m比較!$C$5:$C$34,B66)&gt;0,"○","")</f>
        <v/>
      </c>
    </row>
    <row r="67" customFormat="false" ht="15" hidden="false" customHeight="false" outlineLevel="0" collapsed="false">
      <c r="A67" s="13" t="s">
        <v>63</v>
      </c>
      <c r="B67" s="36" t="s">
        <v>229</v>
      </c>
      <c r="C67" s="50" t="n">
        <v>1</v>
      </c>
      <c r="D67" s="50" t="n">
        <v>0.975</v>
      </c>
      <c r="E67" s="50" t="n">
        <v>0.975</v>
      </c>
      <c r="F67" s="20" t="n">
        <f aca="false">IFERROR(AVERAGE(C67:E67),"")</f>
        <v>0.983333333333333</v>
      </c>
      <c r="G67" s="8" t="str">
        <f aca="false">IF(COUNTIFS(5000m比較!$A$5:$A$34,A67,5000m比較!$C$5:$C$34,B67)&gt;0,"○","")</f>
        <v/>
      </c>
    </row>
    <row r="68" customFormat="false" ht="15" hidden="false" customHeight="false" outlineLevel="0" collapsed="false">
      <c r="A68" s="13" t="s">
        <v>63</v>
      </c>
      <c r="B68" s="36" t="s">
        <v>202</v>
      </c>
      <c r="C68" s="50" t="n">
        <v>1</v>
      </c>
      <c r="D68" s="50" t="n">
        <v>0.925</v>
      </c>
      <c r="E68" s="50" t="n">
        <v>1</v>
      </c>
      <c r="F68" s="20" t="n">
        <f aca="false">IFERROR(AVERAGE(C68:E68),"")</f>
        <v>0.975</v>
      </c>
      <c r="G68" s="8" t="str">
        <f aca="false">IF(COUNTIFS(5000m比較!$A$5:$A$34,A68,5000m比較!$C$5:$C$34,B68)&gt;0,"○","")</f>
        <v/>
      </c>
    </row>
    <row r="69" customFormat="false" ht="15" hidden="false" customHeight="false" outlineLevel="0" collapsed="false">
      <c r="A69" s="13" t="s">
        <v>63</v>
      </c>
      <c r="B69" s="36" t="s">
        <v>171</v>
      </c>
      <c r="C69" s="50" t="n">
        <v>0.925</v>
      </c>
      <c r="D69" s="50" t="n">
        <v>1</v>
      </c>
      <c r="E69" s="50" t="n">
        <v>0.925</v>
      </c>
      <c r="F69" s="20" t="n">
        <f aca="false">IFERROR(AVERAGE(C69:E69),"")</f>
        <v>0.95</v>
      </c>
      <c r="G69" s="8" t="str">
        <f aca="false">IF(COUNTIFS(5000m比較!$A$5:$A$34,A69,5000m比較!$C$5:$C$34,B69)&gt;0,"○","")</f>
        <v>○</v>
      </c>
    </row>
    <row r="70" customFormat="false" ht="15" hidden="false" customHeight="false" outlineLevel="0" collapsed="false">
      <c r="A70" s="13" t="s">
        <v>63</v>
      </c>
      <c r="B70" s="36" t="s">
        <v>230</v>
      </c>
      <c r="C70" s="50" t="n">
        <v>1</v>
      </c>
      <c r="D70" s="50" t="n">
        <v>0.95</v>
      </c>
      <c r="E70" s="50" t="n">
        <v>0.9</v>
      </c>
      <c r="F70" s="20" t="n">
        <f aca="false">IFERROR(AVERAGE(C70:E70),"")</f>
        <v>0.95</v>
      </c>
      <c r="G70" s="8" t="str">
        <f aca="false">IF(COUNTIFS(5000m比較!$A$5:$A$34,A70,5000m比較!$C$5:$C$34,B70)&gt;0,"○","")</f>
        <v/>
      </c>
    </row>
    <row r="71" customFormat="false" ht="15" hidden="false" customHeight="false" outlineLevel="0" collapsed="false">
      <c r="A71" s="13" t="s">
        <v>63</v>
      </c>
      <c r="B71" s="36" t="s">
        <v>166</v>
      </c>
      <c r="C71" s="50" t="n">
        <v>1</v>
      </c>
      <c r="D71" s="50" t="n">
        <v>0.825</v>
      </c>
      <c r="E71" s="50" t="n">
        <v>1</v>
      </c>
      <c r="F71" s="20" t="n">
        <f aca="false">IFERROR(AVERAGE(C71:E71),"")</f>
        <v>0.941666666666667</v>
      </c>
      <c r="G71" s="8" t="str">
        <f aca="false">IF(COUNTIFS(5000m比較!$A$5:$A$34,A71,5000m比較!$C$5:$C$34,B71)&gt;0,"○","")</f>
        <v>○</v>
      </c>
    </row>
    <row r="72" customFormat="false" ht="15" hidden="false" customHeight="false" outlineLevel="0" collapsed="false">
      <c r="A72" s="13" t="s">
        <v>63</v>
      </c>
      <c r="B72" s="36" t="s">
        <v>170</v>
      </c>
      <c r="C72" s="50" t="n">
        <v>0.825</v>
      </c>
      <c r="D72" s="50" t="n">
        <v>1</v>
      </c>
      <c r="E72" s="50" t="n">
        <v>1</v>
      </c>
      <c r="F72" s="20" t="n">
        <f aca="false">IFERROR(AVERAGE(C72:E72),"")</f>
        <v>0.941666666666667</v>
      </c>
      <c r="G72" s="8" t="str">
        <f aca="false">IF(COUNTIFS(5000m比較!$A$5:$A$34,A72,5000m比較!$C$5:$C$34,B72)&gt;0,"○","")</f>
        <v>○</v>
      </c>
    </row>
    <row r="73" customFormat="false" ht="15" hidden="false" customHeight="false" outlineLevel="0" collapsed="false">
      <c r="A73" s="13" t="s">
        <v>63</v>
      </c>
      <c r="B73" s="36" t="s">
        <v>176</v>
      </c>
      <c r="C73" s="50" t="n">
        <v>1</v>
      </c>
      <c r="D73" s="50" t="n">
        <v>0.825</v>
      </c>
      <c r="E73" s="50" t="n">
        <v>1</v>
      </c>
      <c r="F73" s="20" t="n">
        <f aca="false">IFERROR(AVERAGE(C73:E73),"")</f>
        <v>0.941666666666667</v>
      </c>
      <c r="G73" s="8" t="str">
        <f aca="false">IF(COUNTIFS(5000m比較!$A$5:$A$34,A73,5000m比較!$C$5:$C$34,B73)&gt;0,"○","")</f>
        <v/>
      </c>
    </row>
    <row r="74" customFormat="false" ht="15" hidden="false" customHeight="false" outlineLevel="0" collapsed="false">
      <c r="A74" s="13" t="s">
        <v>63</v>
      </c>
      <c r="B74" s="36" t="s">
        <v>165</v>
      </c>
      <c r="C74" s="50" t="n">
        <v>1</v>
      </c>
      <c r="D74" s="50" t="n">
        <v>0.8</v>
      </c>
      <c r="E74" s="50" t="n">
        <v>1</v>
      </c>
      <c r="F74" s="20" t="n">
        <f aca="false">IFERROR(AVERAGE(C74:E74),"")</f>
        <v>0.933333333333333</v>
      </c>
      <c r="G74" s="8" t="str">
        <f aca="false">IF(COUNTIFS(5000m比較!$A$5:$A$34,A74,5000m比較!$C$5:$C$34,B74)&gt;0,"○","")</f>
        <v/>
      </c>
    </row>
    <row r="75" customFormat="false" ht="15" hidden="false" customHeight="false" outlineLevel="0" collapsed="false">
      <c r="A75" s="13" t="s">
        <v>63</v>
      </c>
      <c r="B75" s="36" t="s">
        <v>234</v>
      </c>
      <c r="C75" s="50" t="n">
        <v>1</v>
      </c>
      <c r="D75" s="50" t="n">
        <v>1</v>
      </c>
      <c r="E75" s="50" t="n">
        <v>0.775</v>
      </c>
      <c r="F75" s="20" t="n">
        <f aca="false">IFERROR(AVERAGE(C75:E75),"")</f>
        <v>0.925</v>
      </c>
      <c r="G75" s="8" t="str">
        <f aca="false">IF(COUNTIFS(5000m比較!$A$5:$A$34,A75,5000m比較!$C$5:$C$34,B75)&gt;0,"○","")</f>
        <v/>
      </c>
    </row>
    <row r="76" customFormat="false" ht="15" hidden="false" customHeight="false" outlineLevel="0" collapsed="false">
      <c r="A76" s="13" t="s">
        <v>63</v>
      </c>
      <c r="B76" s="36" t="s">
        <v>172</v>
      </c>
      <c r="C76" s="50" t="n">
        <v>1</v>
      </c>
      <c r="D76" s="50" t="n">
        <v>0.975</v>
      </c>
      <c r="E76" s="50" t="n">
        <v>0.75</v>
      </c>
      <c r="F76" s="20" t="n">
        <f aca="false">IFERROR(AVERAGE(C76:E76),"")</f>
        <v>0.908333333333333</v>
      </c>
      <c r="G76" s="8" t="str">
        <f aca="false">IF(COUNTIFS(5000m比較!$A$5:$A$34,A76,5000m比較!$C$5:$C$34,B76)&gt;0,"○","")</f>
        <v/>
      </c>
    </row>
    <row r="77" customFormat="false" ht="15" hidden="false" customHeight="false" outlineLevel="0" collapsed="false">
      <c r="A77" s="13" t="s">
        <v>63</v>
      </c>
      <c r="B77" s="36" t="s">
        <v>242</v>
      </c>
      <c r="C77" s="50" t="n">
        <v>1</v>
      </c>
      <c r="D77" s="50" t="n">
        <v>0.975</v>
      </c>
      <c r="E77" s="50" t="n">
        <v>0.725</v>
      </c>
      <c r="F77" s="20" t="n">
        <f aca="false">IFERROR(AVERAGE(C77:E77),"")</f>
        <v>0.9</v>
      </c>
      <c r="G77" s="8" t="str">
        <f aca="false">IF(COUNTIFS(5000m比較!$A$5:$A$34,A77,5000m比較!$C$5:$C$34,B77)&gt;0,"○","")</f>
        <v/>
      </c>
    </row>
    <row r="78" customFormat="false" ht="15" hidden="false" customHeight="false" outlineLevel="0" collapsed="false">
      <c r="A78" s="13" t="s">
        <v>63</v>
      </c>
      <c r="B78" s="36" t="s">
        <v>232</v>
      </c>
      <c r="C78" s="50" t="n">
        <v>1</v>
      </c>
      <c r="D78" s="50" t="n">
        <v>1</v>
      </c>
      <c r="E78" s="50" t="n">
        <v>0.675</v>
      </c>
      <c r="F78" s="20" t="n">
        <f aca="false">IFERROR(AVERAGE(C78:E78),"")</f>
        <v>0.891666666666667</v>
      </c>
      <c r="G78" s="8" t="str">
        <f aca="false">IF(COUNTIFS(5000m比較!$A$5:$A$34,A78,5000m比較!$C$5:$C$34,B78)&gt;0,"○","")</f>
        <v/>
      </c>
    </row>
    <row r="79" customFormat="false" ht="15" hidden="false" customHeight="false" outlineLevel="0" collapsed="false">
      <c r="A79" s="13" t="s">
        <v>63</v>
      </c>
      <c r="B79" s="36" t="s">
        <v>193</v>
      </c>
      <c r="C79" s="50" t="n">
        <v>1</v>
      </c>
      <c r="D79" s="50" t="n">
        <v>0.65</v>
      </c>
      <c r="E79" s="50" t="n">
        <v>1</v>
      </c>
      <c r="F79" s="20" t="n">
        <f aca="false">IFERROR(AVERAGE(C79:E79),"")</f>
        <v>0.883333333333333</v>
      </c>
      <c r="G79" s="8" t="str">
        <f aca="false">IF(COUNTIFS(5000m比較!$A$5:$A$34,A79,5000m比較!$C$5:$C$34,B79)&gt;0,"○","")</f>
        <v/>
      </c>
    </row>
    <row r="80" customFormat="false" ht="15" hidden="false" customHeight="false" outlineLevel="0" collapsed="false">
      <c r="A80" s="13" t="s">
        <v>63</v>
      </c>
      <c r="B80" s="36" t="s">
        <v>228</v>
      </c>
      <c r="C80" s="50" t="n">
        <v>1</v>
      </c>
      <c r="D80" s="50" t="n">
        <v>0.925</v>
      </c>
      <c r="E80" s="50" t="n">
        <v>0.675</v>
      </c>
      <c r="F80" s="20" t="n">
        <f aca="false">IFERROR(AVERAGE(C80:E80),"")</f>
        <v>0.866666666666667</v>
      </c>
      <c r="G80" s="8" t="str">
        <f aca="false">IF(COUNTIFS(5000m比較!$A$5:$A$34,A80,5000m比較!$C$5:$C$34,B80)&gt;0,"○","")</f>
        <v/>
      </c>
    </row>
    <row r="81" customFormat="false" ht="15" hidden="false" customHeight="false" outlineLevel="0" collapsed="false">
      <c r="A81" s="13" t="s">
        <v>63</v>
      </c>
      <c r="B81" s="36" t="s">
        <v>235</v>
      </c>
      <c r="C81" s="50" t="n">
        <v>1</v>
      </c>
      <c r="D81" s="50" t="n">
        <v>0.975</v>
      </c>
      <c r="E81" s="50" t="n">
        <v>0.625</v>
      </c>
      <c r="F81" s="20" t="n">
        <f aca="false">IFERROR(AVERAGE(C81:E81),"")</f>
        <v>0.866666666666667</v>
      </c>
      <c r="G81" s="8" t="str">
        <f aca="false">IF(COUNTIFS(5000m比較!$A$5:$A$34,A81,5000m比較!$C$5:$C$34,B81)&gt;0,"○","")</f>
        <v/>
      </c>
    </row>
    <row r="82" customFormat="false" ht="15" hidden="false" customHeight="false" outlineLevel="0" collapsed="false">
      <c r="A82" s="13" t="s">
        <v>63</v>
      </c>
      <c r="B82" s="36" t="s">
        <v>205</v>
      </c>
      <c r="C82" s="50" t="n">
        <v>0.825</v>
      </c>
      <c r="D82" s="50" t="n">
        <v>0.75</v>
      </c>
      <c r="E82" s="50" t="n">
        <v>1</v>
      </c>
      <c r="F82" s="20" t="n">
        <f aca="false">IFERROR(AVERAGE(C82:E82),"")</f>
        <v>0.858333333333333</v>
      </c>
      <c r="G82" s="8" t="str">
        <f aca="false">IF(COUNTIFS(5000m比較!$A$5:$A$34,A82,5000m比較!$C$5:$C$34,B82)&gt;0,"○","")</f>
        <v/>
      </c>
    </row>
    <row r="83" customFormat="false" ht="15" hidden="false" customHeight="false" outlineLevel="0" collapsed="false">
      <c r="A83" s="13" t="s">
        <v>63</v>
      </c>
      <c r="B83" s="36" t="s">
        <v>174</v>
      </c>
      <c r="C83" s="50" t="n">
        <v>0.925</v>
      </c>
      <c r="D83" s="50" t="n">
        <v>0.65</v>
      </c>
      <c r="E83" s="50" t="n">
        <v>1</v>
      </c>
      <c r="F83" s="20" t="n">
        <f aca="false">IFERROR(AVERAGE(C83:E83),"")</f>
        <v>0.858333333333333</v>
      </c>
      <c r="G83" s="8" t="str">
        <f aca="false">IF(COUNTIFS(5000m比較!$A$5:$A$34,A83,5000m比較!$C$5:$C$34,B83)&gt;0,"○","")</f>
        <v/>
      </c>
    </row>
    <row r="84" customFormat="false" ht="15" hidden="false" customHeight="false" outlineLevel="0" collapsed="false">
      <c r="A84" s="13" t="s">
        <v>63</v>
      </c>
      <c r="B84" s="36" t="s">
        <v>243</v>
      </c>
      <c r="C84" s="50" t="n">
        <v>1</v>
      </c>
      <c r="D84" s="50" t="n">
        <v>0.75</v>
      </c>
      <c r="E84" s="50" t="n">
        <v>0.7</v>
      </c>
      <c r="F84" s="20" t="n">
        <f aca="false">IFERROR(AVERAGE(C84:E84),"")</f>
        <v>0.816666666666667</v>
      </c>
      <c r="G84" s="8" t="str">
        <f aca="false">IF(COUNTIFS(5000m比較!$A$5:$A$34,A84,5000m比較!$C$5:$C$34,B84)&gt;0,"○","")</f>
        <v/>
      </c>
    </row>
    <row r="85" customFormat="false" ht="15" hidden="false" customHeight="false" outlineLevel="0" collapsed="false">
      <c r="A85" s="13" t="s">
        <v>63</v>
      </c>
      <c r="B85" s="36" t="s">
        <v>233</v>
      </c>
      <c r="C85" s="50" t="n">
        <v>0.25</v>
      </c>
      <c r="D85" s="50" t="n">
        <v>0.925</v>
      </c>
      <c r="E85" s="50" t="n">
        <v>0.975</v>
      </c>
      <c r="F85" s="20" t="n">
        <f aca="false">IFERROR(AVERAGE(C85:E85),"")</f>
        <v>0.716666666666667</v>
      </c>
      <c r="G85" s="8" t="str">
        <f aca="false">IF(COUNTIFS(5000m比較!$A$5:$A$34,A85,5000m比較!$C$5:$C$34,B85)&gt;0,"○","")</f>
        <v/>
      </c>
    </row>
    <row r="86" customFormat="false" ht="15" hidden="false" customHeight="false" outlineLevel="0" collapsed="false">
      <c r="A86" s="13" t="s">
        <v>63</v>
      </c>
      <c r="B86" s="36" t="s">
        <v>214</v>
      </c>
      <c r="C86" s="50" t="n">
        <v>0.4</v>
      </c>
      <c r="D86" s="50" t="n">
        <v>1</v>
      </c>
      <c r="E86" s="50" t="n">
        <v>0.75</v>
      </c>
      <c r="F86" s="20" t="n">
        <f aca="false">IFERROR(AVERAGE(C86:E86),"")</f>
        <v>0.716666666666667</v>
      </c>
      <c r="G86" s="8" t="str">
        <f aca="false">IF(COUNTIFS(5000m比較!$A$5:$A$34,A86,5000m比較!$C$5:$C$34,B86)&gt;0,"○","")</f>
        <v/>
      </c>
    </row>
    <row r="87" customFormat="false" ht="15" hidden="false" customHeight="false" outlineLevel="0" collapsed="false">
      <c r="A87" s="13" t="s">
        <v>63</v>
      </c>
      <c r="B87" s="36" t="s">
        <v>173</v>
      </c>
      <c r="C87" s="50" t="n">
        <v>0.5</v>
      </c>
      <c r="D87" s="50" t="n">
        <v>0.6</v>
      </c>
      <c r="E87" s="50" t="n">
        <v>1</v>
      </c>
      <c r="F87" s="20" t="n">
        <f aca="false">IFERROR(AVERAGE(C87:E87),"")</f>
        <v>0.7</v>
      </c>
      <c r="G87" s="8" t="str">
        <f aca="false">IF(COUNTIFS(5000m比較!$A$5:$A$34,A87,5000m比較!$C$5:$C$34,B87)&gt;0,"○","")</f>
        <v/>
      </c>
    </row>
    <row r="88" customFormat="false" ht="15" hidden="false" customHeight="false" outlineLevel="0" collapsed="false">
      <c r="A88" s="13" t="s">
        <v>63</v>
      </c>
      <c r="B88" s="36" t="s">
        <v>158</v>
      </c>
      <c r="C88" s="50" t="n">
        <v>0.625</v>
      </c>
      <c r="D88" s="50" t="n">
        <v>0.575</v>
      </c>
      <c r="E88" s="50" t="n">
        <v>0.85</v>
      </c>
      <c r="F88" s="20" t="n">
        <f aca="false">IFERROR(AVERAGE(C88:E88),"")</f>
        <v>0.683333333333333</v>
      </c>
      <c r="G88" s="8" t="str">
        <f aca="false">IF(COUNTIFS(5000m比較!$A$5:$A$34,A88,5000m比較!$C$5:$C$34,B88)&gt;0,"○","")</f>
        <v/>
      </c>
    </row>
    <row r="89" customFormat="false" ht="15" hidden="false" customHeight="false" outlineLevel="0" collapsed="false">
      <c r="A89" s="13" t="s">
        <v>63</v>
      </c>
      <c r="B89" s="36" t="s">
        <v>206</v>
      </c>
      <c r="C89" s="50" t="n">
        <v>0.3</v>
      </c>
      <c r="D89" s="50" t="n">
        <v>0.75</v>
      </c>
      <c r="E89" s="50" t="n">
        <v>1</v>
      </c>
      <c r="F89" s="20" t="n">
        <f aca="false">IFERROR(AVERAGE(C89:E89),"")</f>
        <v>0.683333333333333</v>
      </c>
      <c r="G89" s="8" t="str">
        <f aca="false">IF(COUNTIFS(5000m比較!$A$5:$A$34,A89,5000m比較!$C$5:$C$34,B89)&gt;0,"○","")</f>
        <v/>
      </c>
    </row>
    <row r="90" customFormat="false" ht="15" hidden="false" customHeight="false" outlineLevel="0" collapsed="false">
      <c r="A90" s="13" t="s">
        <v>63</v>
      </c>
      <c r="B90" s="36" t="s">
        <v>241</v>
      </c>
      <c r="C90" s="50" t="n">
        <v>0.825</v>
      </c>
      <c r="D90" s="50" t="n">
        <v>0.3</v>
      </c>
      <c r="E90" s="50" t="n">
        <v>0.9</v>
      </c>
      <c r="F90" s="20" t="n">
        <f aca="false">IFERROR(AVERAGE(C90:E90),"")</f>
        <v>0.675</v>
      </c>
      <c r="G90" s="8" t="str">
        <f aca="false">IF(COUNTIFS(5000m比較!$A$5:$A$34,A90,5000m比較!$C$5:$C$34,B90)&gt;0,"○","")</f>
        <v/>
      </c>
    </row>
    <row r="91" customFormat="false" ht="15" hidden="false" customHeight="false" outlineLevel="0" collapsed="false">
      <c r="A91" s="13" t="s">
        <v>63</v>
      </c>
      <c r="B91" s="36" t="s">
        <v>208</v>
      </c>
      <c r="C91" s="50" t="n">
        <v>0.3</v>
      </c>
      <c r="D91" s="50" t="n">
        <v>0.575</v>
      </c>
      <c r="E91" s="50" t="n">
        <v>1</v>
      </c>
      <c r="F91" s="20" t="n">
        <f aca="false">IFERROR(AVERAGE(C91:E91),"")</f>
        <v>0.625</v>
      </c>
      <c r="G91" s="8" t="str">
        <f aca="false">IF(COUNTIFS(5000m比較!$A$5:$A$34,A91,5000m比較!$C$5:$C$34,B91)&gt;0,"○","")</f>
        <v/>
      </c>
    </row>
    <row r="92" customFormat="false" ht="15" hidden="false" customHeight="false" outlineLevel="0" collapsed="false">
      <c r="A92" s="13" t="s">
        <v>63</v>
      </c>
      <c r="B92" s="36" t="s">
        <v>244</v>
      </c>
      <c r="C92" s="50" t="n">
        <v>0.4</v>
      </c>
      <c r="D92" s="50" t="n">
        <v>0.525</v>
      </c>
      <c r="E92" s="50" t="n">
        <v>0.95</v>
      </c>
      <c r="F92" s="20" t="n">
        <f aca="false">IFERROR(AVERAGE(C92:E92),"")</f>
        <v>0.625</v>
      </c>
      <c r="G92" s="8" t="str">
        <f aca="false">IF(COUNTIFS(5000m比較!$A$5:$A$34,A92,5000m比較!$C$5:$C$34,B92)&gt;0,"○","")</f>
        <v/>
      </c>
    </row>
    <row r="93" customFormat="false" ht="15" hidden="false" customHeight="false" outlineLevel="0" collapsed="false">
      <c r="A93" s="13" t="s">
        <v>63</v>
      </c>
      <c r="B93" s="36" t="s">
        <v>204</v>
      </c>
      <c r="C93" s="50" t="n">
        <v>0.3</v>
      </c>
      <c r="D93" s="50" t="n">
        <v>0.525</v>
      </c>
      <c r="E93" s="50" t="n">
        <v>1</v>
      </c>
      <c r="F93" s="20" t="n">
        <f aca="false">IFERROR(AVERAGE(C93:E93),"")</f>
        <v>0.608333333333333</v>
      </c>
      <c r="G93" s="8" t="str">
        <f aca="false">IF(COUNTIFS(5000m比較!$A$5:$A$34,A93,5000m比較!$C$5:$C$34,B93)&gt;0,"○","")</f>
        <v/>
      </c>
    </row>
    <row r="94" customFormat="false" ht="15" hidden="false" customHeight="false" outlineLevel="0" collapsed="false">
      <c r="A94" s="13" t="s">
        <v>63</v>
      </c>
      <c r="B94" s="36" t="s">
        <v>227</v>
      </c>
      <c r="C94" s="50" t="n">
        <v>0.4</v>
      </c>
      <c r="D94" s="50" t="n">
        <v>0.75</v>
      </c>
      <c r="E94" s="50" t="n">
        <v>0.575</v>
      </c>
      <c r="F94" s="20" t="n">
        <f aca="false">IFERROR(AVERAGE(C94:E94),"")</f>
        <v>0.575</v>
      </c>
      <c r="G94" s="8" t="str">
        <f aca="false">IF(COUNTIFS(5000m比較!$A$5:$A$34,A94,5000m比較!$C$5:$C$34,B94)&gt;0,"○","")</f>
        <v/>
      </c>
    </row>
    <row r="95" customFormat="false" ht="15" hidden="false" customHeight="false" outlineLevel="0" collapsed="false">
      <c r="A95" s="13" t="s">
        <v>63</v>
      </c>
      <c r="B95" s="36" t="s">
        <v>225</v>
      </c>
      <c r="C95" s="50" t="n">
        <v>0.875</v>
      </c>
      <c r="D95" s="50" t="n">
        <v>0.7</v>
      </c>
      <c r="E95" s="50" t="n">
        <v>0</v>
      </c>
      <c r="F95" s="20" t="n">
        <f aca="false">IFERROR(AVERAGE(C95:E95),"")</f>
        <v>0.525</v>
      </c>
      <c r="G95" s="8" t="str">
        <f aca="false">IF(COUNTIFS(5000m比較!$A$5:$A$34,A95,5000m比較!$C$5:$C$34,B95)&gt;0,"○","")</f>
        <v/>
      </c>
    </row>
    <row r="96" customFormat="false" ht="15" hidden="false" customHeight="false" outlineLevel="0" collapsed="false">
      <c r="A96" s="13" t="s">
        <v>63</v>
      </c>
      <c r="B96" s="36" t="s">
        <v>240</v>
      </c>
      <c r="C96" s="50" t="n">
        <v>0.925</v>
      </c>
      <c r="D96" s="50" t="n">
        <v>0.325</v>
      </c>
      <c r="E96" s="50" t="n">
        <v>0</v>
      </c>
      <c r="F96" s="20" t="n">
        <f aca="false">IFERROR(AVERAGE(C96:E96),"")</f>
        <v>0.416666666666667</v>
      </c>
      <c r="G96" s="8" t="str">
        <f aca="false">IF(COUNTIFS(5000m比較!$A$5:$A$34,A96,5000m比較!$C$5:$C$34,B96)&gt;0,"○","")</f>
        <v/>
      </c>
    </row>
    <row r="97" customFormat="false" ht="15" hidden="false" customHeight="false" outlineLevel="0" collapsed="false">
      <c r="A97" s="28" t="s">
        <v>64</v>
      </c>
      <c r="B97" s="31" t="s">
        <v>234</v>
      </c>
      <c r="C97" s="48" t="n">
        <v>1</v>
      </c>
      <c r="D97" s="48" t="n">
        <v>1</v>
      </c>
      <c r="E97" s="48" t="n">
        <v>1</v>
      </c>
      <c r="F97" s="49" t="n">
        <f aca="false">IFERROR(AVERAGE(C97:E97),"")</f>
        <v>1</v>
      </c>
      <c r="G97" s="45" t="str">
        <f aca="false">IF(COUNTIFS(5000m比較!$A$5:$A$34,A97,5000m比較!$C$5:$C$34,B97)&gt;0,"○","")</f>
        <v/>
      </c>
    </row>
    <row r="98" customFormat="false" ht="15" hidden="false" customHeight="false" outlineLevel="0" collapsed="false">
      <c r="A98" s="28" t="s">
        <v>64</v>
      </c>
      <c r="B98" s="31" t="s">
        <v>229</v>
      </c>
      <c r="C98" s="48" t="n">
        <v>1</v>
      </c>
      <c r="D98" s="48" t="n">
        <v>1</v>
      </c>
      <c r="E98" s="48" t="n">
        <v>1</v>
      </c>
      <c r="F98" s="49" t="n">
        <f aca="false">IFERROR(AVERAGE(C98:E98),"")</f>
        <v>1</v>
      </c>
      <c r="G98" s="45" t="str">
        <f aca="false">IF(COUNTIFS(5000m比較!$A$5:$A$34,A98,5000m比較!$C$5:$C$34,B98)&gt;0,"○","")</f>
        <v/>
      </c>
    </row>
    <row r="99" customFormat="false" ht="15" hidden="false" customHeight="false" outlineLevel="0" collapsed="false">
      <c r="A99" s="28" t="s">
        <v>64</v>
      </c>
      <c r="B99" s="31" t="s">
        <v>162</v>
      </c>
      <c r="C99" s="48" t="n">
        <v>1</v>
      </c>
      <c r="D99" s="48" t="n">
        <v>1</v>
      </c>
      <c r="E99" s="48" t="n">
        <v>1</v>
      </c>
      <c r="F99" s="49" t="n">
        <f aca="false">IFERROR(AVERAGE(C99:E99),"")</f>
        <v>1</v>
      </c>
      <c r="G99" s="45" t="str">
        <f aca="false">IF(COUNTIFS(5000m比較!$A$5:$A$34,A99,5000m比較!$C$5:$C$34,B99)&gt;0,"○","")</f>
        <v>○</v>
      </c>
    </row>
    <row r="100" customFormat="false" ht="15" hidden="false" customHeight="false" outlineLevel="0" collapsed="false">
      <c r="A100" s="28" t="s">
        <v>64</v>
      </c>
      <c r="B100" s="31" t="s">
        <v>176</v>
      </c>
      <c r="C100" s="48" t="n">
        <v>1</v>
      </c>
      <c r="D100" s="48" t="n">
        <v>1</v>
      </c>
      <c r="E100" s="48" t="n">
        <v>1</v>
      </c>
      <c r="F100" s="49" t="n">
        <f aca="false">IFERROR(AVERAGE(C100:E100),"")</f>
        <v>1</v>
      </c>
      <c r="G100" s="45" t="str">
        <f aca="false">IF(COUNTIFS(5000m比較!$A$5:$A$34,A100,5000m比較!$C$5:$C$34,B100)&gt;0,"○","")</f>
        <v>○</v>
      </c>
    </row>
    <row r="101" customFormat="false" ht="15" hidden="false" customHeight="false" outlineLevel="0" collapsed="false">
      <c r="A101" s="28" t="s">
        <v>64</v>
      </c>
      <c r="B101" s="31" t="s">
        <v>211</v>
      </c>
      <c r="C101" s="48" t="n">
        <v>1</v>
      </c>
      <c r="D101" s="48" t="n">
        <v>1</v>
      </c>
      <c r="E101" s="48" t="n">
        <v>1</v>
      </c>
      <c r="F101" s="49" t="n">
        <f aca="false">IFERROR(AVERAGE(C101:E101),"")</f>
        <v>1</v>
      </c>
      <c r="G101" s="45" t="str">
        <f aca="false">IF(COUNTIFS(5000m比較!$A$5:$A$34,A101,5000m比較!$C$5:$C$34,B101)&gt;0,"○","")</f>
        <v/>
      </c>
    </row>
    <row r="102" customFormat="false" ht="15" hidden="false" customHeight="false" outlineLevel="0" collapsed="false">
      <c r="A102" s="28" t="s">
        <v>64</v>
      </c>
      <c r="B102" s="31" t="s">
        <v>227</v>
      </c>
      <c r="C102" s="48" t="n">
        <v>1</v>
      </c>
      <c r="D102" s="48" t="n">
        <v>1</v>
      </c>
      <c r="E102" s="48" t="n">
        <v>1</v>
      </c>
      <c r="F102" s="49" t="n">
        <f aca="false">IFERROR(AVERAGE(C102:E102),"")</f>
        <v>1</v>
      </c>
      <c r="G102" s="45" t="str">
        <f aca="false">IF(COUNTIFS(5000m比較!$A$5:$A$34,A102,5000m比較!$C$5:$C$34,B102)&gt;0,"○","")</f>
        <v/>
      </c>
    </row>
    <row r="103" customFormat="false" ht="15" hidden="false" customHeight="false" outlineLevel="0" collapsed="false">
      <c r="A103" s="28" t="s">
        <v>64</v>
      </c>
      <c r="B103" s="31" t="s">
        <v>199</v>
      </c>
      <c r="C103" s="48" t="n">
        <v>1</v>
      </c>
      <c r="D103" s="48" t="n">
        <v>1</v>
      </c>
      <c r="E103" s="48" t="n">
        <v>1</v>
      </c>
      <c r="F103" s="49" t="n">
        <f aca="false">IFERROR(AVERAGE(C103:E103),"")</f>
        <v>1</v>
      </c>
      <c r="G103" s="45" t="str">
        <f aca="false">IF(COUNTIFS(5000m比較!$A$5:$A$34,A103,5000m比較!$C$5:$C$34,B103)&gt;0,"○","")</f>
        <v/>
      </c>
    </row>
    <row r="104" customFormat="false" ht="15" hidden="false" customHeight="false" outlineLevel="0" collapsed="false">
      <c r="A104" s="28" t="s">
        <v>64</v>
      </c>
      <c r="B104" s="31" t="s">
        <v>212</v>
      </c>
      <c r="C104" s="48" t="n">
        <v>1</v>
      </c>
      <c r="D104" s="48" t="n">
        <v>1</v>
      </c>
      <c r="E104" s="48" t="n">
        <v>1</v>
      </c>
      <c r="F104" s="49" t="n">
        <f aca="false">IFERROR(AVERAGE(C104:E104),"")</f>
        <v>1</v>
      </c>
      <c r="G104" s="45" t="str">
        <f aca="false">IF(COUNTIFS(5000m比較!$A$5:$A$34,A104,5000m比較!$C$5:$C$34,B104)&gt;0,"○","")</f>
        <v/>
      </c>
    </row>
    <row r="105" customFormat="false" ht="15" hidden="false" customHeight="false" outlineLevel="0" collapsed="false">
      <c r="A105" s="28" t="s">
        <v>64</v>
      </c>
      <c r="B105" s="31" t="s">
        <v>172</v>
      </c>
      <c r="C105" s="48" t="n">
        <v>1</v>
      </c>
      <c r="D105" s="48" t="n">
        <v>1</v>
      </c>
      <c r="E105" s="48" t="n">
        <v>1</v>
      </c>
      <c r="F105" s="49" t="n">
        <f aca="false">IFERROR(AVERAGE(C105:E105),"")</f>
        <v>1</v>
      </c>
      <c r="G105" s="45" t="str">
        <f aca="false">IF(COUNTIFS(5000m比較!$A$5:$A$34,A105,5000m比較!$C$5:$C$34,B105)&gt;0,"○","")</f>
        <v>○</v>
      </c>
    </row>
    <row r="106" customFormat="false" ht="15" hidden="false" customHeight="false" outlineLevel="0" collapsed="false">
      <c r="A106" s="28" t="s">
        <v>64</v>
      </c>
      <c r="B106" s="31" t="s">
        <v>173</v>
      </c>
      <c r="C106" s="48" t="n">
        <v>1</v>
      </c>
      <c r="D106" s="48" t="n">
        <v>1</v>
      </c>
      <c r="E106" s="48" t="n">
        <v>1</v>
      </c>
      <c r="F106" s="49" t="n">
        <f aca="false">IFERROR(AVERAGE(C106:E106),"")</f>
        <v>1</v>
      </c>
      <c r="G106" s="45" t="str">
        <f aca="false">IF(COUNTIFS(5000m比較!$A$5:$A$34,A106,5000m比較!$C$5:$C$34,B106)&gt;0,"○","")</f>
        <v>○</v>
      </c>
    </row>
    <row r="107" customFormat="false" ht="15" hidden="false" customHeight="false" outlineLevel="0" collapsed="false">
      <c r="A107" s="28" t="s">
        <v>64</v>
      </c>
      <c r="B107" s="31" t="s">
        <v>214</v>
      </c>
      <c r="C107" s="48" t="n">
        <v>1</v>
      </c>
      <c r="D107" s="48" t="n">
        <v>1</v>
      </c>
      <c r="E107" s="48" t="n">
        <v>1</v>
      </c>
      <c r="F107" s="49" t="n">
        <f aca="false">IFERROR(AVERAGE(C107:E107),"")</f>
        <v>1</v>
      </c>
      <c r="G107" s="45" t="str">
        <f aca="false">IF(COUNTIFS(5000m比較!$A$5:$A$34,A107,5000m比較!$C$5:$C$34,B107)&gt;0,"○","")</f>
        <v/>
      </c>
    </row>
    <row r="108" customFormat="false" ht="15" hidden="false" customHeight="false" outlineLevel="0" collapsed="false">
      <c r="A108" s="28" t="s">
        <v>64</v>
      </c>
      <c r="B108" s="31" t="s">
        <v>247</v>
      </c>
      <c r="C108" s="48" t="n">
        <v>1</v>
      </c>
      <c r="D108" s="48" t="n">
        <v>1</v>
      </c>
      <c r="E108" s="48" t="n">
        <v>1</v>
      </c>
      <c r="F108" s="49" t="n">
        <f aca="false">IFERROR(AVERAGE(C108:E108),"")</f>
        <v>1</v>
      </c>
      <c r="G108" s="45" t="str">
        <f aca="false">IF(COUNTIFS(5000m比較!$A$5:$A$34,A108,5000m比較!$C$5:$C$34,B108)&gt;0,"○","")</f>
        <v/>
      </c>
    </row>
    <row r="109" customFormat="false" ht="15" hidden="false" customHeight="false" outlineLevel="0" collapsed="false">
      <c r="A109" s="28" t="s">
        <v>64</v>
      </c>
      <c r="B109" s="31" t="s">
        <v>246</v>
      </c>
      <c r="C109" s="48" t="n">
        <v>1</v>
      </c>
      <c r="D109" s="48" t="n">
        <v>1</v>
      </c>
      <c r="E109" s="48" t="n">
        <v>1</v>
      </c>
      <c r="F109" s="49" t="n">
        <f aca="false">IFERROR(AVERAGE(C109:E109),"")</f>
        <v>1</v>
      </c>
      <c r="G109" s="45" t="str">
        <f aca="false">IF(COUNTIFS(5000m比較!$A$5:$A$34,A109,5000m比較!$C$5:$C$34,B109)&gt;0,"○","")</f>
        <v/>
      </c>
    </row>
    <row r="110" customFormat="false" ht="15" hidden="false" customHeight="false" outlineLevel="0" collapsed="false">
      <c r="A110" s="28" t="s">
        <v>64</v>
      </c>
      <c r="B110" s="31" t="s">
        <v>175</v>
      </c>
      <c r="C110" s="48" t="n">
        <v>1</v>
      </c>
      <c r="D110" s="48" t="n">
        <v>1</v>
      </c>
      <c r="E110" s="48" t="n">
        <v>1</v>
      </c>
      <c r="F110" s="49" t="n">
        <f aca="false">IFERROR(AVERAGE(C110:E110),"")</f>
        <v>1</v>
      </c>
      <c r="G110" s="45" t="str">
        <f aca="false">IF(COUNTIFS(5000m比較!$A$5:$A$34,A110,5000m比較!$C$5:$C$34,B110)&gt;0,"○","")</f>
        <v>○</v>
      </c>
    </row>
    <row r="111" customFormat="false" ht="15" hidden="false" customHeight="false" outlineLevel="0" collapsed="false">
      <c r="A111" s="28" t="s">
        <v>64</v>
      </c>
      <c r="B111" s="31" t="s">
        <v>180</v>
      </c>
      <c r="C111" s="48" t="n">
        <v>1</v>
      </c>
      <c r="D111" s="48" t="n">
        <v>1</v>
      </c>
      <c r="E111" s="48" t="n">
        <v>1</v>
      </c>
      <c r="F111" s="49" t="n">
        <f aca="false">IFERROR(AVERAGE(C111:E111),"")</f>
        <v>1</v>
      </c>
      <c r="G111" s="45" t="str">
        <f aca="false">IF(COUNTIFS(5000m比較!$A$5:$A$34,A111,5000m比較!$C$5:$C$34,B111)&gt;0,"○","")</f>
        <v/>
      </c>
    </row>
    <row r="112" customFormat="false" ht="15" hidden="false" customHeight="false" outlineLevel="0" collapsed="false">
      <c r="A112" s="28" t="s">
        <v>64</v>
      </c>
      <c r="B112" s="31" t="s">
        <v>210</v>
      </c>
      <c r="C112" s="48" t="n">
        <v>1</v>
      </c>
      <c r="D112" s="48" t="n">
        <v>0.98</v>
      </c>
      <c r="E112" s="48" t="n">
        <v>1</v>
      </c>
      <c r="F112" s="49" t="n">
        <f aca="false">IFERROR(AVERAGE(C112:E112),"")</f>
        <v>0.993333333333333</v>
      </c>
      <c r="G112" s="45" t="str">
        <f aca="false">IF(COUNTIFS(5000m比較!$A$5:$A$34,A112,5000m比較!$C$5:$C$34,B112)&gt;0,"○","")</f>
        <v/>
      </c>
    </row>
    <row r="113" customFormat="false" ht="15" hidden="false" customHeight="false" outlineLevel="0" collapsed="false">
      <c r="A113" s="28" t="s">
        <v>64</v>
      </c>
      <c r="B113" s="31" t="s">
        <v>206</v>
      </c>
      <c r="C113" s="48" t="n">
        <v>1</v>
      </c>
      <c r="D113" s="48" t="n">
        <v>1</v>
      </c>
      <c r="E113" s="48" t="n">
        <v>0.975</v>
      </c>
      <c r="F113" s="49" t="n">
        <f aca="false">IFERROR(AVERAGE(C113:E113),"")</f>
        <v>0.991666666666667</v>
      </c>
      <c r="G113" s="45" t="str">
        <f aca="false">IF(COUNTIFS(5000m比較!$A$5:$A$34,A113,5000m比較!$C$5:$C$34,B113)&gt;0,"○","")</f>
        <v/>
      </c>
    </row>
    <row r="114" customFormat="false" ht="15" hidden="false" customHeight="false" outlineLevel="0" collapsed="false">
      <c r="A114" s="28" t="s">
        <v>64</v>
      </c>
      <c r="B114" s="31" t="s">
        <v>215</v>
      </c>
      <c r="C114" s="48" t="n">
        <v>1</v>
      </c>
      <c r="D114" s="48" t="n">
        <v>1</v>
      </c>
      <c r="E114" s="48" t="n">
        <v>0.975</v>
      </c>
      <c r="F114" s="49" t="n">
        <f aca="false">IFERROR(AVERAGE(C114:E114),"")</f>
        <v>0.991666666666667</v>
      </c>
      <c r="G114" s="45" t="str">
        <f aca="false">IF(COUNTIFS(5000m比較!$A$5:$A$34,A114,5000m比較!$C$5:$C$34,B114)&gt;0,"○","")</f>
        <v/>
      </c>
    </row>
    <row r="115" customFormat="false" ht="15" hidden="false" customHeight="false" outlineLevel="0" collapsed="false">
      <c r="A115" s="28" t="s">
        <v>64</v>
      </c>
      <c r="B115" s="31" t="s">
        <v>245</v>
      </c>
      <c r="C115" s="48" t="n">
        <v>1</v>
      </c>
      <c r="D115" s="48" t="n">
        <v>0.975</v>
      </c>
      <c r="E115" s="48" t="n">
        <v>1</v>
      </c>
      <c r="F115" s="49" t="n">
        <f aca="false">IFERROR(AVERAGE(C115:E115),"")</f>
        <v>0.991666666666667</v>
      </c>
      <c r="G115" s="45" t="str">
        <f aca="false">IF(COUNTIFS(5000m比較!$A$5:$A$34,A115,5000m比較!$C$5:$C$34,B115)&gt;0,"○","")</f>
        <v/>
      </c>
    </row>
    <row r="116" customFormat="false" ht="15" hidden="false" customHeight="false" outlineLevel="0" collapsed="false">
      <c r="A116" s="28" t="s">
        <v>64</v>
      </c>
      <c r="B116" s="31" t="s">
        <v>204</v>
      </c>
      <c r="C116" s="48" t="n">
        <v>0.94</v>
      </c>
      <c r="D116" s="48" t="n">
        <v>1</v>
      </c>
      <c r="E116" s="48" t="n">
        <v>1</v>
      </c>
      <c r="F116" s="49" t="n">
        <f aca="false">IFERROR(AVERAGE(C116:E116),"")</f>
        <v>0.98</v>
      </c>
      <c r="G116" s="45" t="str">
        <f aca="false">IF(COUNTIFS(5000m比較!$A$5:$A$34,A116,5000m比較!$C$5:$C$34,B116)&gt;0,"○","")</f>
        <v/>
      </c>
    </row>
    <row r="117" customFormat="false" ht="15" hidden="false" customHeight="false" outlineLevel="0" collapsed="false">
      <c r="A117" s="28" t="s">
        <v>64</v>
      </c>
      <c r="B117" s="31" t="s">
        <v>243</v>
      </c>
      <c r="C117" s="48" t="n">
        <v>0.94</v>
      </c>
      <c r="D117" s="48" t="n">
        <v>1</v>
      </c>
      <c r="E117" s="48" t="n">
        <v>1</v>
      </c>
      <c r="F117" s="49" t="n">
        <f aca="false">IFERROR(AVERAGE(C117:E117),"")</f>
        <v>0.98</v>
      </c>
      <c r="G117" s="45" t="str">
        <f aca="false">IF(COUNTIFS(5000m比較!$A$5:$A$34,A117,5000m比較!$C$5:$C$34,B117)&gt;0,"○","")</f>
        <v/>
      </c>
    </row>
    <row r="118" customFormat="false" ht="15" hidden="false" customHeight="false" outlineLevel="0" collapsed="false">
      <c r="A118" s="28" t="s">
        <v>64</v>
      </c>
      <c r="B118" s="31" t="s">
        <v>249</v>
      </c>
      <c r="C118" s="48" t="n">
        <v>1</v>
      </c>
      <c r="D118" s="48" t="n">
        <v>1</v>
      </c>
      <c r="E118" s="48" t="n">
        <v>0.925</v>
      </c>
      <c r="F118" s="49" t="n">
        <f aca="false">IFERROR(AVERAGE(C118:E118),"")</f>
        <v>0.975</v>
      </c>
      <c r="G118" s="45" t="str">
        <f aca="false">IF(COUNTIFS(5000m比較!$A$5:$A$34,A118,5000m比較!$C$5:$C$34,B118)&gt;0,"○","")</f>
        <v/>
      </c>
    </row>
    <row r="119" customFormat="false" ht="15" hidden="false" customHeight="false" outlineLevel="0" collapsed="false">
      <c r="A119" s="28" t="s">
        <v>64</v>
      </c>
      <c r="B119" s="31" t="s">
        <v>235</v>
      </c>
      <c r="C119" s="48" t="n">
        <v>0.88</v>
      </c>
      <c r="D119" s="48" t="n">
        <v>1</v>
      </c>
      <c r="E119" s="48" t="n">
        <v>0.95</v>
      </c>
      <c r="F119" s="49" t="n">
        <f aca="false">IFERROR(AVERAGE(C119:E119),"")</f>
        <v>0.943333333333333</v>
      </c>
      <c r="G119" s="45" t="str">
        <f aca="false">IF(COUNTIFS(5000m比較!$A$5:$A$34,A119,5000m比較!$C$5:$C$34,B119)&gt;0,"○","")</f>
        <v/>
      </c>
    </row>
    <row r="120" customFormat="false" ht="15" hidden="false" customHeight="false" outlineLevel="0" collapsed="false">
      <c r="A120" s="28" t="s">
        <v>64</v>
      </c>
      <c r="B120" s="31" t="s">
        <v>169</v>
      </c>
      <c r="C120" s="48" t="n">
        <v>0.8</v>
      </c>
      <c r="D120" s="48" t="n">
        <v>1</v>
      </c>
      <c r="E120" s="48" t="n">
        <v>1</v>
      </c>
      <c r="F120" s="49" t="n">
        <f aca="false">IFERROR(AVERAGE(C120:E120),"")</f>
        <v>0.933333333333333</v>
      </c>
      <c r="G120" s="45" t="str">
        <f aca="false">IF(COUNTIFS(5000m比較!$A$5:$A$34,A120,5000m比較!$C$5:$C$34,B120)&gt;0,"○","")</f>
        <v/>
      </c>
    </row>
    <row r="121" customFormat="false" ht="15" hidden="false" customHeight="false" outlineLevel="0" collapsed="false">
      <c r="A121" s="28" t="s">
        <v>64</v>
      </c>
      <c r="B121" s="31" t="s">
        <v>207</v>
      </c>
      <c r="C121" s="48" t="n">
        <v>0.8</v>
      </c>
      <c r="D121" s="48" t="n">
        <v>1</v>
      </c>
      <c r="E121" s="48" t="n">
        <v>0.975</v>
      </c>
      <c r="F121" s="49" t="n">
        <f aca="false">IFERROR(AVERAGE(C121:E121),"")</f>
        <v>0.925</v>
      </c>
      <c r="G121" s="45" t="str">
        <f aca="false">IF(COUNTIFS(5000m比較!$A$5:$A$34,A121,5000m比較!$C$5:$C$34,B121)&gt;0,"○","")</f>
        <v/>
      </c>
    </row>
    <row r="122" customFormat="false" ht="15" hidden="false" customHeight="false" outlineLevel="0" collapsed="false">
      <c r="A122" s="28" t="s">
        <v>64</v>
      </c>
      <c r="B122" s="31" t="s">
        <v>208</v>
      </c>
      <c r="C122" s="48" t="n">
        <v>0.86</v>
      </c>
      <c r="D122" s="48" t="n">
        <v>0.98</v>
      </c>
      <c r="E122" s="48" t="n">
        <v>0.86</v>
      </c>
      <c r="F122" s="49" t="n">
        <f aca="false">IFERROR(AVERAGE(C122:E122),"")</f>
        <v>0.9</v>
      </c>
      <c r="G122" s="45" t="str">
        <f aca="false">IF(COUNTIFS(5000m比較!$A$5:$A$34,A122,5000m比較!$C$5:$C$34,B122)&gt;0,"○","")</f>
        <v/>
      </c>
    </row>
    <row r="123" customFormat="false" ht="15" hidden="false" customHeight="false" outlineLevel="0" collapsed="false">
      <c r="A123" s="28" t="s">
        <v>64</v>
      </c>
      <c r="B123" s="31" t="s">
        <v>244</v>
      </c>
      <c r="C123" s="48" t="n">
        <v>1</v>
      </c>
      <c r="D123" s="48" t="n">
        <v>0.7</v>
      </c>
      <c r="E123" s="48" t="n">
        <v>1</v>
      </c>
      <c r="F123" s="49" t="n">
        <f aca="false">IFERROR(AVERAGE(C123:E123),"")</f>
        <v>0.9</v>
      </c>
      <c r="G123" s="45" t="str">
        <f aca="false">IF(COUNTIFS(5000m比較!$A$5:$A$34,A123,5000m比較!$C$5:$C$34,B123)&gt;0,"○","")</f>
        <v/>
      </c>
    </row>
    <row r="124" customFormat="false" ht="15" hidden="false" customHeight="false" outlineLevel="0" collapsed="false">
      <c r="A124" s="28" t="s">
        <v>64</v>
      </c>
      <c r="B124" s="31" t="s">
        <v>230</v>
      </c>
      <c r="C124" s="48" t="n">
        <v>0.88</v>
      </c>
      <c r="D124" s="48" t="n">
        <v>1</v>
      </c>
      <c r="E124" s="48" t="n">
        <v>0.8</v>
      </c>
      <c r="F124" s="49" t="n">
        <f aca="false">IFERROR(AVERAGE(C124:E124),"")</f>
        <v>0.893333333333333</v>
      </c>
      <c r="G124" s="45" t="str">
        <f aca="false">IF(COUNTIFS(5000m比較!$A$5:$A$34,A124,5000m比較!$C$5:$C$34,B124)&gt;0,"○","")</f>
        <v/>
      </c>
    </row>
    <row r="125" customFormat="false" ht="15" hidden="false" customHeight="false" outlineLevel="0" collapsed="false">
      <c r="A125" s="28" t="s">
        <v>64</v>
      </c>
      <c r="B125" s="31" t="s">
        <v>174</v>
      </c>
      <c r="C125" s="48" t="n">
        <v>0.66</v>
      </c>
      <c r="D125" s="48" t="n">
        <v>1</v>
      </c>
      <c r="E125" s="48" t="n">
        <v>1</v>
      </c>
      <c r="F125" s="49" t="n">
        <f aca="false">IFERROR(AVERAGE(C125:E125),"")</f>
        <v>0.886666666666667</v>
      </c>
      <c r="G125" s="45" t="str">
        <f aca="false">IF(COUNTIFS(5000m比較!$A$5:$A$34,A125,5000m比較!$C$5:$C$34,B125)&gt;0,"○","")</f>
        <v>○</v>
      </c>
    </row>
    <row r="126" customFormat="false" ht="15" hidden="false" customHeight="false" outlineLevel="0" collapsed="false">
      <c r="A126" s="28" t="s">
        <v>64</v>
      </c>
      <c r="B126" s="31" t="s">
        <v>193</v>
      </c>
      <c r="C126" s="48" t="n">
        <v>1</v>
      </c>
      <c r="D126" s="48" t="n">
        <v>0.65</v>
      </c>
      <c r="E126" s="48" t="n">
        <v>1</v>
      </c>
      <c r="F126" s="49" t="n">
        <f aca="false">IFERROR(AVERAGE(C126:E126),"")</f>
        <v>0.883333333333333</v>
      </c>
      <c r="G126" s="45" t="str">
        <f aca="false">IF(COUNTIFS(5000m比較!$A$5:$A$34,A126,5000m比較!$C$5:$C$34,B126)&gt;0,"○","")</f>
        <v/>
      </c>
    </row>
    <row r="127" customFormat="false" ht="15" hidden="false" customHeight="false" outlineLevel="0" collapsed="false">
      <c r="A127" s="28" t="s">
        <v>64</v>
      </c>
      <c r="B127" s="31" t="s">
        <v>165</v>
      </c>
      <c r="C127" s="48" t="n">
        <v>0.94</v>
      </c>
      <c r="D127" s="48" t="n">
        <v>0.66</v>
      </c>
      <c r="E127" s="48" t="n">
        <v>1</v>
      </c>
      <c r="F127" s="49" t="n">
        <f aca="false">IFERROR(AVERAGE(C127:E127),"")</f>
        <v>0.866666666666667</v>
      </c>
      <c r="G127" s="45" t="str">
        <f aca="false">IF(COUNTIFS(5000m比較!$A$5:$A$34,A127,5000m比較!$C$5:$C$34,B127)&gt;0,"○","")</f>
        <v/>
      </c>
    </row>
    <row r="128" customFormat="false" ht="15" hidden="false" customHeight="false" outlineLevel="0" collapsed="false">
      <c r="A128" s="28" t="s">
        <v>64</v>
      </c>
      <c r="B128" s="31" t="s">
        <v>248</v>
      </c>
      <c r="C128" s="48" t="n">
        <v>0.9</v>
      </c>
      <c r="D128" s="48" t="n">
        <v>0.7</v>
      </c>
      <c r="E128" s="48" t="n">
        <v>1</v>
      </c>
      <c r="F128" s="49" t="n">
        <f aca="false">IFERROR(AVERAGE(C128:E128),"")</f>
        <v>0.866666666666667</v>
      </c>
      <c r="G128" s="45" t="str">
        <f aca="false">IF(COUNTIFS(5000m比較!$A$5:$A$34,A128,5000m比較!$C$5:$C$34,B128)&gt;0,"○","")</f>
        <v/>
      </c>
    </row>
    <row r="129" customFormat="false" ht="15" hidden="false" customHeight="false" outlineLevel="0" collapsed="false">
      <c r="A129" s="28" t="s">
        <v>64</v>
      </c>
      <c r="B129" s="31" t="s">
        <v>205</v>
      </c>
      <c r="C129" s="48" t="n">
        <v>0.483</v>
      </c>
      <c r="D129" s="48" t="n">
        <v>1</v>
      </c>
      <c r="E129" s="48" t="n">
        <v>1</v>
      </c>
      <c r="F129" s="49" t="n">
        <f aca="false">IFERROR(AVERAGE(C129:E129),"")</f>
        <v>0.827666666666667</v>
      </c>
      <c r="G129" s="45" t="str">
        <f aca="false">IF(COUNTIFS(5000m比較!$A$5:$A$34,A129,5000m比較!$C$5:$C$34,B129)&gt;0,"○","")</f>
        <v/>
      </c>
    </row>
    <row r="130" customFormat="false" ht="15" hidden="false" customHeight="false" outlineLevel="0" collapsed="false">
      <c r="A130" s="28" t="s">
        <v>64</v>
      </c>
      <c r="B130" s="31" t="s">
        <v>233</v>
      </c>
      <c r="C130" s="48" t="n">
        <v>1</v>
      </c>
      <c r="D130" s="48" t="n">
        <v>1</v>
      </c>
      <c r="E130" s="48" t="n">
        <v>0.44</v>
      </c>
      <c r="F130" s="49" t="n">
        <f aca="false">IFERROR(AVERAGE(C130:E130),"")</f>
        <v>0.813333333333333</v>
      </c>
      <c r="G130" s="45" t="str">
        <f aca="false">IF(COUNTIFS(5000m比較!$A$5:$A$34,A130,5000m比較!$C$5:$C$34,B130)&gt;0,"○","")</f>
        <v/>
      </c>
    </row>
    <row r="131" customFormat="false" ht="15" hidden="false" customHeight="false" outlineLevel="0" collapsed="false">
      <c r="A131" s="28" t="s">
        <v>64</v>
      </c>
      <c r="B131" s="31" t="s">
        <v>217</v>
      </c>
      <c r="C131" s="48" t="n">
        <v>0.467</v>
      </c>
      <c r="D131" s="48" t="n">
        <v>0.94</v>
      </c>
      <c r="E131" s="48" t="n">
        <v>1</v>
      </c>
      <c r="F131" s="49" t="n">
        <f aca="false">IFERROR(AVERAGE(C131:E131),"")</f>
        <v>0.802333333333333</v>
      </c>
      <c r="G131" s="45" t="str">
        <f aca="false">IF(COUNTIFS(5000m比較!$A$5:$A$34,A131,5000m比較!$C$5:$C$34,B131)&gt;0,"○","")</f>
        <v/>
      </c>
    </row>
    <row r="132" customFormat="false" ht="15" hidden="false" customHeight="false" outlineLevel="0" collapsed="false">
      <c r="A132" s="28" t="s">
        <v>64</v>
      </c>
      <c r="B132" s="31" t="s">
        <v>250</v>
      </c>
      <c r="C132" s="48" t="n">
        <v>0.42</v>
      </c>
      <c r="D132" s="48" t="n">
        <v>1</v>
      </c>
      <c r="E132" s="48" t="n">
        <v>0.975</v>
      </c>
      <c r="F132" s="49" t="n">
        <f aca="false">IFERROR(AVERAGE(C132:E132),"")</f>
        <v>0.798333333333333</v>
      </c>
      <c r="G132" s="45" t="str">
        <f aca="false">IF(COUNTIFS(5000m比較!$A$5:$A$34,A132,5000m比較!$C$5:$C$34,B132)&gt;0,"○","")</f>
        <v/>
      </c>
    </row>
    <row r="133" customFormat="false" ht="15" hidden="false" customHeight="false" outlineLevel="0" collapsed="false">
      <c r="A133" s="28" t="s">
        <v>64</v>
      </c>
      <c r="B133" s="31" t="s">
        <v>194</v>
      </c>
      <c r="C133" s="48" t="n">
        <v>0.433</v>
      </c>
      <c r="D133" s="48" t="n">
        <v>0.94</v>
      </c>
      <c r="E133" s="48" t="n">
        <v>0.975</v>
      </c>
      <c r="F133" s="49" t="n">
        <f aca="false">IFERROR(AVERAGE(C133:E133),"")</f>
        <v>0.782666666666667</v>
      </c>
      <c r="G133" s="45" t="str">
        <f aca="false">IF(COUNTIFS(5000m比較!$A$5:$A$34,A133,5000m比較!$C$5:$C$34,B133)&gt;0,"○","")</f>
        <v/>
      </c>
    </row>
    <row r="134" customFormat="false" ht="15" hidden="false" customHeight="false" outlineLevel="0" collapsed="false">
      <c r="A134" s="28" t="s">
        <v>64</v>
      </c>
      <c r="B134" s="31" t="s">
        <v>251</v>
      </c>
      <c r="C134" s="48" t="n">
        <v>0.66</v>
      </c>
      <c r="D134" s="48" t="n">
        <v>0.725</v>
      </c>
      <c r="E134" s="48" t="n">
        <v>0.95</v>
      </c>
      <c r="F134" s="49" t="n">
        <f aca="false">IFERROR(AVERAGE(C134:E134),"")</f>
        <v>0.778333333333333</v>
      </c>
      <c r="G134" s="45" t="str">
        <f aca="false">IF(COUNTIFS(5000m比較!$A$5:$A$34,A134,5000m比較!$C$5:$C$34,B134)&gt;0,"○","")</f>
        <v/>
      </c>
    </row>
    <row r="135" customFormat="false" ht="15" hidden="false" customHeight="false" outlineLevel="0" collapsed="false">
      <c r="A135" s="28" t="s">
        <v>64</v>
      </c>
      <c r="B135" s="31" t="s">
        <v>252</v>
      </c>
      <c r="C135" s="48" t="n">
        <v>0.367</v>
      </c>
      <c r="D135" s="48" t="n">
        <v>1</v>
      </c>
      <c r="E135" s="48" t="n">
        <v>0.925</v>
      </c>
      <c r="F135" s="49" t="n">
        <f aca="false">IFERROR(AVERAGE(C135:E135),"")</f>
        <v>0.764</v>
      </c>
      <c r="G135" s="45" t="str">
        <f aca="false">IF(COUNTIFS(5000m比較!$A$5:$A$34,A135,5000m比較!$C$5:$C$34,B135)&gt;0,"○","")</f>
        <v/>
      </c>
    </row>
    <row r="136" customFormat="false" ht="15" hidden="false" customHeight="false" outlineLevel="0" collapsed="false">
      <c r="A136" s="28" t="s">
        <v>64</v>
      </c>
      <c r="B136" s="31" t="s">
        <v>202</v>
      </c>
      <c r="C136" s="48" t="n">
        <v>1</v>
      </c>
      <c r="D136" s="48" t="n">
        <v>0.58</v>
      </c>
      <c r="E136" s="48" t="n">
        <v>0.7</v>
      </c>
      <c r="F136" s="49" t="n">
        <f aca="false">IFERROR(AVERAGE(C136:E136),"")</f>
        <v>0.76</v>
      </c>
      <c r="G136" s="45" t="str">
        <f aca="false">IF(COUNTIFS(5000m比較!$A$5:$A$34,A136,5000m比較!$C$5:$C$34,B136)&gt;0,"○","")</f>
        <v/>
      </c>
    </row>
    <row r="137" customFormat="false" ht="15" hidden="false" customHeight="false" outlineLevel="0" collapsed="false">
      <c r="A137" s="28" t="s">
        <v>64</v>
      </c>
      <c r="B137" s="31" t="s">
        <v>177</v>
      </c>
      <c r="C137" s="48" t="n">
        <v>0.26</v>
      </c>
      <c r="D137" s="48" t="n">
        <v>0.94</v>
      </c>
      <c r="E137" s="48" t="n">
        <v>1</v>
      </c>
      <c r="F137" s="49" t="n">
        <f aca="false">IFERROR(AVERAGE(C137:E137),"")</f>
        <v>0.733333333333333</v>
      </c>
      <c r="G137" s="45" t="str">
        <f aca="false">IF(COUNTIFS(5000m比較!$A$5:$A$34,A137,5000m比較!$C$5:$C$34,B137)&gt;0,"○","")</f>
        <v/>
      </c>
    </row>
    <row r="138" customFormat="false" ht="15" hidden="false" customHeight="false" outlineLevel="0" collapsed="false">
      <c r="A138" s="28" t="s">
        <v>64</v>
      </c>
      <c r="B138" s="31" t="s">
        <v>231</v>
      </c>
      <c r="C138" s="48" t="n">
        <v>0.517</v>
      </c>
      <c r="D138" s="48" t="n">
        <v>0.625</v>
      </c>
      <c r="E138" s="48" t="n">
        <v>1</v>
      </c>
      <c r="F138" s="49" t="n">
        <f aca="false">IFERROR(AVERAGE(C138:E138),"")</f>
        <v>0.714</v>
      </c>
      <c r="G138" s="45" t="str">
        <f aca="false">IF(COUNTIFS(5000m比較!$A$5:$A$34,A138,5000m比較!$C$5:$C$34,B138)&gt;0,"○","")</f>
        <v/>
      </c>
    </row>
    <row r="139" customFormat="false" ht="15" hidden="false" customHeight="false" outlineLevel="0" collapsed="false">
      <c r="A139" s="28" t="s">
        <v>64</v>
      </c>
      <c r="B139" s="31" t="s">
        <v>179</v>
      </c>
      <c r="C139" s="48" t="n">
        <v>1</v>
      </c>
      <c r="D139" s="48" t="n">
        <v>1</v>
      </c>
      <c r="E139" s="48" t="n">
        <v>0</v>
      </c>
      <c r="F139" s="49" t="n">
        <f aca="false">IFERROR(AVERAGE(C139:E139),"")</f>
        <v>0.666666666666667</v>
      </c>
      <c r="G139" s="45" t="str">
        <f aca="false">IF(COUNTIFS(5000m比較!$A$5:$A$34,A139,5000m比較!$C$5:$C$34,B139)&gt;0,"○","")</f>
        <v/>
      </c>
    </row>
    <row r="140" customFormat="false" ht="15" hidden="false" customHeight="false" outlineLevel="0" collapsed="false">
      <c r="A140" s="28" t="s">
        <v>64</v>
      </c>
      <c r="B140" s="31" t="s">
        <v>242</v>
      </c>
      <c r="C140" s="48" t="n">
        <v>0.45</v>
      </c>
      <c r="D140" s="48" t="n">
        <v>0.375</v>
      </c>
      <c r="E140" s="48" t="n">
        <v>0.975</v>
      </c>
      <c r="F140" s="49" t="n">
        <f aca="false">IFERROR(AVERAGE(C140:E140),"")</f>
        <v>0.6</v>
      </c>
      <c r="G140" s="45" t="str">
        <f aca="false">IF(COUNTIFS(5000m比較!$A$5:$A$34,A140,5000m比較!$C$5:$C$34,B140)&gt;0,"○","")</f>
        <v/>
      </c>
    </row>
    <row r="141" customFormat="false" ht="15" hidden="false" customHeight="false" outlineLevel="0" collapsed="false">
      <c r="A141" s="28" t="s">
        <v>64</v>
      </c>
      <c r="B141" s="31" t="s">
        <v>203</v>
      </c>
      <c r="C141" s="48" t="n">
        <v>0.34</v>
      </c>
      <c r="D141" s="48" t="n">
        <v>0.925</v>
      </c>
      <c r="E141" s="48" t="n">
        <v>0.225</v>
      </c>
      <c r="F141" s="49" t="n">
        <f aca="false">IFERROR(AVERAGE(C141:E141),"")</f>
        <v>0.496666666666667</v>
      </c>
      <c r="G141" s="45" t="str">
        <f aca="false">IF(COUNTIFS(5000m比較!$A$5:$A$34,A141,5000m比較!$C$5:$C$34,B141)&gt;0,"○","")</f>
        <v/>
      </c>
    </row>
    <row r="142" customFormat="false" ht="15" hidden="false" customHeight="false" outlineLevel="0" collapsed="false">
      <c r="A142" s="28" t="s">
        <v>64</v>
      </c>
      <c r="B142" s="31" t="s">
        <v>253</v>
      </c>
      <c r="C142" s="48" t="n">
        <v>0</v>
      </c>
      <c r="D142" s="48" t="n">
        <v>0.3</v>
      </c>
      <c r="E142" s="48" t="n">
        <v>0.58</v>
      </c>
      <c r="F142" s="49" t="n">
        <f aca="false">IFERROR(AVERAGE(C142:E142),"")</f>
        <v>0.293333333333333</v>
      </c>
      <c r="G142" s="45" t="str">
        <f aca="false">IF(COUNTIFS(5000m比較!$A$5:$A$34,A142,5000m比較!$C$5:$C$34,B142)&gt;0,"○","")</f>
        <v/>
      </c>
    </row>
    <row r="143" customFormat="false" ht="15" hidden="false" customHeight="false" outlineLevel="0" collapsed="false">
      <c r="A143" s="28" t="s">
        <v>64</v>
      </c>
      <c r="B143" s="31" t="s">
        <v>241</v>
      </c>
      <c r="C143" s="48" t="n">
        <v>0</v>
      </c>
      <c r="D143" s="48" t="n">
        <v>0.225</v>
      </c>
      <c r="E143" s="48" t="n">
        <v>0</v>
      </c>
      <c r="F143" s="49" t="n">
        <f aca="false">IFERROR(AVERAGE(C143:E143),"")</f>
        <v>0.075</v>
      </c>
      <c r="G143" s="45" t="str">
        <f aca="false">IF(COUNTIFS(5000m比較!$A$5:$A$34,A143,5000m比較!$C$5:$C$34,B143)&gt;0,"○","")</f>
        <v/>
      </c>
    </row>
    <row r="144" customFormat="false" ht="15" hidden="false" customHeight="false" outlineLevel="0" collapsed="false">
      <c r="A144" s="13" t="s">
        <v>65</v>
      </c>
      <c r="B144" s="36" t="s">
        <v>165</v>
      </c>
      <c r="C144" s="50" t="n">
        <v>1</v>
      </c>
      <c r="D144" s="50" t="n">
        <v>1</v>
      </c>
      <c r="E144" s="50" t="n">
        <v>1</v>
      </c>
      <c r="F144" s="20" t="n">
        <f aca="false">IFERROR(AVERAGE(C144:E144),"")</f>
        <v>1</v>
      </c>
      <c r="G144" s="8" t="str">
        <f aca="false">IF(COUNTIFS(5000m比較!$A$5:$A$34,A144,5000m比較!$C$5:$C$34,B144)&gt;0,"○","")</f>
        <v>○</v>
      </c>
    </row>
    <row r="145" customFormat="false" ht="15" hidden="false" customHeight="false" outlineLevel="0" collapsed="false">
      <c r="A145" s="13" t="s">
        <v>65</v>
      </c>
      <c r="B145" s="36" t="s">
        <v>210</v>
      </c>
      <c r="C145" s="50" t="n">
        <v>1</v>
      </c>
      <c r="D145" s="50" t="n">
        <v>1</v>
      </c>
      <c r="E145" s="50" t="n">
        <v>1</v>
      </c>
      <c r="F145" s="20" t="n">
        <f aca="false">IFERROR(AVERAGE(C145:E145),"")</f>
        <v>1</v>
      </c>
      <c r="G145" s="8" t="str">
        <f aca="false">IF(COUNTIFS(5000m比較!$A$5:$A$34,A145,5000m比較!$C$5:$C$34,B145)&gt;0,"○","")</f>
        <v/>
      </c>
    </row>
    <row r="146" customFormat="false" ht="15" hidden="false" customHeight="false" outlineLevel="0" collapsed="false">
      <c r="A146" s="13" t="s">
        <v>65</v>
      </c>
      <c r="B146" s="36" t="s">
        <v>212</v>
      </c>
      <c r="C146" s="50" t="n">
        <v>1</v>
      </c>
      <c r="D146" s="50" t="n">
        <v>1</v>
      </c>
      <c r="E146" s="50" t="n">
        <v>1</v>
      </c>
      <c r="F146" s="20" t="n">
        <f aca="false">IFERROR(AVERAGE(C146:E146),"")</f>
        <v>1</v>
      </c>
      <c r="G146" s="8" t="str">
        <f aca="false">IF(COUNTIFS(5000m比較!$A$5:$A$34,A146,5000m比較!$C$5:$C$34,B146)&gt;0,"○","")</f>
        <v/>
      </c>
    </row>
    <row r="147" customFormat="false" ht="15" hidden="false" customHeight="false" outlineLevel="0" collapsed="false">
      <c r="A147" s="13" t="s">
        <v>65</v>
      </c>
      <c r="B147" s="36" t="s">
        <v>172</v>
      </c>
      <c r="C147" s="50" t="n">
        <v>1</v>
      </c>
      <c r="D147" s="50" t="n">
        <v>1</v>
      </c>
      <c r="E147" s="50" t="n">
        <v>1</v>
      </c>
      <c r="F147" s="20" t="n">
        <f aca="false">IFERROR(AVERAGE(C147:E147),"")</f>
        <v>1</v>
      </c>
      <c r="G147" s="8" t="str">
        <f aca="false">IF(COUNTIFS(5000m比較!$A$5:$A$34,A147,5000m比較!$C$5:$C$34,B147)&gt;0,"○","")</f>
        <v>○</v>
      </c>
    </row>
    <row r="148" customFormat="false" ht="15" hidden="false" customHeight="false" outlineLevel="0" collapsed="false">
      <c r="A148" s="13" t="s">
        <v>65</v>
      </c>
      <c r="B148" s="36" t="s">
        <v>179</v>
      </c>
      <c r="C148" s="50" t="n">
        <v>1</v>
      </c>
      <c r="D148" s="50" t="n">
        <v>1</v>
      </c>
      <c r="E148" s="50" t="n">
        <v>1</v>
      </c>
      <c r="F148" s="20" t="n">
        <f aca="false">IFERROR(AVERAGE(C148:E148),"")</f>
        <v>1</v>
      </c>
      <c r="G148" s="8" t="str">
        <f aca="false">IF(COUNTIFS(5000m比較!$A$5:$A$34,A148,5000m比較!$C$5:$C$34,B148)&gt;0,"○","")</f>
        <v>○</v>
      </c>
    </row>
    <row r="149" customFormat="false" ht="15" hidden="false" customHeight="false" outlineLevel="0" collapsed="false">
      <c r="A149" s="13" t="s">
        <v>65</v>
      </c>
      <c r="B149" s="36" t="s">
        <v>241</v>
      </c>
      <c r="C149" s="50" t="n">
        <v>1</v>
      </c>
      <c r="D149" s="50" t="n">
        <v>1</v>
      </c>
      <c r="E149" s="50" t="n">
        <v>1</v>
      </c>
      <c r="F149" s="20" t="n">
        <f aca="false">IFERROR(AVERAGE(C149:E149),"")</f>
        <v>1</v>
      </c>
      <c r="G149" s="8" t="str">
        <f aca="false">IF(COUNTIFS(5000m比較!$A$5:$A$34,A149,5000m比較!$C$5:$C$34,B149)&gt;0,"○","")</f>
        <v/>
      </c>
    </row>
    <row r="150" customFormat="false" ht="15" hidden="false" customHeight="false" outlineLevel="0" collapsed="false">
      <c r="A150" s="13" t="s">
        <v>65</v>
      </c>
      <c r="B150" s="36" t="s">
        <v>256</v>
      </c>
      <c r="C150" s="50" t="n">
        <v>1</v>
      </c>
      <c r="D150" s="50" t="n">
        <v>1</v>
      </c>
      <c r="E150" s="50" t="n">
        <v>1</v>
      </c>
      <c r="F150" s="20" t="n">
        <f aca="false">IFERROR(AVERAGE(C150:E150),"")</f>
        <v>1</v>
      </c>
      <c r="G150" s="8" t="str">
        <f aca="false">IF(COUNTIFS(5000m比較!$A$5:$A$34,A150,5000m比較!$C$5:$C$34,B150)&gt;0,"○","")</f>
        <v/>
      </c>
    </row>
    <row r="151" customFormat="false" ht="15" hidden="false" customHeight="false" outlineLevel="0" collapsed="false">
      <c r="A151" s="13" t="s">
        <v>65</v>
      </c>
      <c r="B151" s="36" t="s">
        <v>261</v>
      </c>
      <c r="C151" s="50" t="n">
        <v>1</v>
      </c>
      <c r="D151" s="50" t="n">
        <v>1</v>
      </c>
      <c r="E151" s="50" t="n">
        <v>1</v>
      </c>
      <c r="F151" s="20" t="n">
        <f aca="false">IFERROR(AVERAGE(C151:E151),"")</f>
        <v>1</v>
      </c>
      <c r="G151" s="8" t="str">
        <f aca="false">IF(COUNTIFS(5000m比較!$A$5:$A$34,A151,5000m比較!$C$5:$C$34,B151)&gt;0,"○","")</f>
        <v/>
      </c>
    </row>
    <row r="152" customFormat="false" ht="15" hidden="false" customHeight="false" outlineLevel="0" collapsed="false">
      <c r="A152" s="13" t="s">
        <v>65</v>
      </c>
      <c r="B152" s="36" t="s">
        <v>249</v>
      </c>
      <c r="C152" s="50" t="n">
        <v>1</v>
      </c>
      <c r="D152" s="50" t="n">
        <v>0.98</v>
      </c>
      <c r="E152" s="50" t="n">
        <v>1</v>
      </c>
      <c r="F152" s="20" t="n">
        <f aca="false">IFERROR(AVERAGE(C152:E152),"")</f>
        <v>0.993333333333333</v>
      </c>
      <c r="G152" s="8" t="str">
        <f aca="false">IF(COUNTIFS(5000m比較!$A$5:$A$34,A152,5000m比較!$C$5:$C$34,B152)&gt;0,"○","")</f>
        <v/>
      </c>
    </row>
    <row r="153" customFormat="false" ht="15" hidden="false" customHeight="false" outlineLevel="0" collapsed="false">
      <c r="A153" s="13" t="s">
        <v>65</v>
      </c>
      <c r="B153" s="36" t="s">
        <v>180</v>
      </c>
      <c r="C153" s="50" t="n">
        <v>1</v>
      </c>
      <c r="D153" s="50" t="n">
        <v>1</v>
      </c>
      <c r="E153" s="50" t="n">
        <v>0.98</v>
      </c>
      <c r="F153" s="20" t="n">
        <f aca="false">IFERROR(AVERAGE(C153:E153),"")</f>
        <v>0.993333333333333</v>
      </c>
      <c r="G153" s="8" t="str">
        <f aca="false">IF(COUNTIFS(5000m比較!$A$5:$A$34,A153,5000m比較!$C$5:$C$34,B153)&gt;0,"○","")</f>
        <v>○</v>
      </c>
    </row>
    <row r="154" customFormat="false" ht="15" hidden="false" customHeight="false" outlineLevel="0" collapsed="false">
      <c r="A154" s="13" t="s">
        <v>65</v>
      </c>
      <c r="B154" s="36" t="s">
        <v>257</v>
      </c>
      <c r="C154" s="50" t="n">
        <v>1</v>
      </c>
      <c r="D154" s="50" t="n">
        <v>1</v>
      </c>
      <c r="E154" s="50" t="n">
        <v>0.98</v>
      </c>
      <c r="F154" s="20" t="n">
        <f aca="false">IFERROR(AVERAGE(C154:E154),"")</f>
        <v>0.993333333333333</v>
      </c>
      <c r="G154" s="8" t="str">
        <f aca="false">IF(COUNTIFS(5000m比較!$A$5:$A$34,A154,5000m比較!$C$5:$C$34,B154)&gt;0,"○","")</f>
        <v/>
      </c>
    </row>
    <row r="155" customFormat="false" ht="15" hidden="false" customHeight="false" outlineLevel="0" collapsed="false">
      <c r="A155" s="13" t="s">
        <v>65</v>
      </c>
      <c r="B155" s="36" t="s">
        <v>206</v>
      </c>
      <c r="C155" s="50" t="n">
        <v>1</v>
      </c>
      <c r="D155" s="50" t="n">
        <v>1</v>
      </c>
      <c r="E155" s="50" t="n">
        <v>0.98</v>
      </c>
      <c r="F155" s="20" t="n">
        <f aca="false">IFERROR(AVERAGE(C155:E155),"")</f>
        <v>0.993333333333333</v>
      </c>
      <c r="G155" s="8" t="str">
        <f aca="false">IF(COUNTIFS(5000m比較!$A$5:$A$34,A155,5000m比較!$C$5:$C$34,B155)&gt;0,"○","")</f>
        <v/>
      </c>
    </row>
    <row r="156" customFormat="false" ht="15" hidden="false" customHeight="false" outlineLevel="0" collapsed="false">
      <c r="A156" s="13" t="s">
        <v>65</v>
      </c>
      <c r="B156" s="36" t="s">
        <v>202</v>
      </c>
      <c r="C156" s="50" t="n">
        <v>1</v>
      </c>
      <c r="D156" s="50" t="n">
        <v>1</v>
      </c>
      <c r="E156" s="50" t="n">
        <v>0.98</v>
      </c>
      <c r="F156" s="20" t="n">
        <f aca="false">IFERROR(AVERAGE(C156:E156),"")</f>
        <v>0.993333333333333</v>
      </c>
      <c r="G156" s="8" t="str">
        <f aca="false">IF(COUNTIFS(5000m比較!$A$5:$A$34,A156,5000m比較!$C$5:$C$34,B156)&gt;0,"○","")</f>
        <v/>
      </c>
    </row>
    <row r="157" customFormat="false" ht="15" hidden="false" customHeight="false" outlineLevel="0" collapsed="false">
      <c r="A157" s="13" t="s">
        <v>65</v>
      </c>
      <c r="B157" s="36" t="s">
        <v>173</v>
      </c>
      <c r="C157" s="50" t="n">
        <v>1</v>
      </c>
      <c r="D157" s="50" t="n">
        <v>1</v>
      </c>
      <c r="E157" s="50" t="n">
        <v>0.98</v>
      </c>
      <c r="F157" s="20" t="n">
        <f aca="false">IFERROR(AVERAGE(C157:E157),"")</f>
        <v>0.993333333333333</v>
      </c>
      <c r="G157" s="8" t="str">
        <f aca="false">IF(COUNTIFS(5000m比較!$A$5:$A$34,A157,5000m比較!$C$5:$C$34,B157)&gt;0,"○","")</f>
        <v/>
      </c>
    </row>
    <row r="158" customFormat="false" ht="15" hidden="false" customHeight="false" outlineLevel="0" collapsed="false">
      <c r="A158" s="13" t="s">
        <v>65</v>
      </c>
      <c r="B158" s="36" t="s">
        <v>242</v>
      </c>
      <c r="C158" s="50" t="n">
        <v>1</v>
      </c>
      <c r="D158" s="50" t="n">
        <v>0.95</v>
      </c>
      <c r="E158" s="50" t="n">
        <v>0.95</v>
      </c>
      <c r="F158" s="20" t="n">
        <f aca="false">IFERROR(AVERAGE(C158:E158),"")</f>
        <v>0.966666666666667</v>
      </c>
      <c r="G158" s="8" t="str">
        <f aca="false">IF(COUNTIFS(5000m比較!$A$5:$A$34,A158,5000m比較!$C$5:$C$34,B158)&gt;0,"○","")</f>
        <v/>
      </c>
    </row>
    <row r="159" customFormat="false" ht="15" hidden="false" customHeight="false" outlineLevel="0" collapsed="false">
      <c r="A159" s="13" t="s">
        <v>65</v>
      </c>
      <c r="B159" s="36" t="s">
        <v>255</v>
      </c>
      <c r="C159" s="50" t="n">
        <v>1</v>
      </c>
      <c r="D159" s="50" t="n">
        <v>0.9</v>
      </c>
      <c r="E159" s="50" t="n">
        <v>0.98</v>
      </c>
      <c r="F159" s="20" t="n">
        <f aca="false">IFERROR(AVERAGE(C159:E159),"")</f>
        <v>0.96</v>
      </c>
      <c r="G159" s="8" t="str">
        <f aca="false">IF(COUNTIFS(5000m比較!$A$5:$A$34,A159,5000m比較!$C$5:$C$34,B159)&gt;0,"○","")</f>
        <v/>
      </c>
    </row>
    <row r="160" customFormat="false" ht="15" hidden="false" customHeight="false" outlineLevel="0" collapsed="false">
      <c r="A160" s="13" t="s">
        <v>65</v>
      </c>
      <c r="B160" s="36" t="s">
        <v>259</v>
      </c>
      <c r="C160" s="50" t="n">
        <v>0.9</v>
      </c>
      <c r="D160" s="50" t="n">
        <v>0.96</v>
      </c>
      <c r="E160" s="50" t="n">
        <v>0.98</v>
      </c>
      <c r="F160" s="20" t="n">
        <f aca="false">IFERROR(AVERAGE(C160:E160),"")</f>
        <v>0.946666666666667</v>
      </c>
      <c r="G160" s="8" t="str">
        <f aca="false">IF(COUNTIFS(5000m比較!$A$5:$A$34,A160,5000m比較!$C$5:$C$34,B160)&gt;0,"○","")</f>
        <v/>
      </c>
    </row>
    <row r="161" customFormat="false" ht="15" hidden="false" customHeight="false" outlineLevel="0" collapsed="false">
      <c r="A161" s="13" t="s">
        <v>65</v>
      </c>
      <c r="B161" s="36" t="s">
        <v>174</v>
      </c>
      <c r="C161" s="50" t="n">
        <v>0.83</v>
      </c>
      <c r="D161" s="50" t="n">
        <v>1</v>
      </c>
      <c r="E161" s="50" t="n">
        <v>1</v>
      </c>
      <c r="F161" s="20" t="n">
        <f aca="false">IFERROR(AVERAGE(C161:E161),"")</f>
        <v>0.943333333333333</v>
      </c>
      <c r="G161" s="8" t="str">
        <f aca="false">IF(COUNTIFS(5000m比較!$A$5:$A$34,A161,5000m比較!$C$5:$C$34,B161)&gt;0,"○","")</f>
        <v>○</v>
      </c>
    </row>
    <row r="162" customFormat="false" ht="15" hidden="false" customHeight="false" outlineLevel="0" collapsed="false">
      <c r="A162" s="13" t="s">
        <v>65</v>
      </c>
      <c r="B162" s="36" t="s">
        <v>177</v>
      </c>
      <c r="C162" s="50" t="n">
        <v>0.83</v>
      </c>
      <c r="D162" s="50" t="n">
        <v>1</v>
      </c>
      <c r="E162" s="50" t="n">
        <v>1</v>
      </c>
      <c r="F162" s="20" t="n">
        <f aca="false">IFERROR(AVERAGE(C162:E162),"")</f>
        <v>0.943333333333333</v>
      </c>
      <c r="G162" s="8" t="str">
        <f aca="false">IF(COUNTIFS(5000m比較!$A$5:$A$34,A162,5000m比較!$C$5:$C$34,B162)&gt;0,"○","")</f>
        <v>○</v>
      </c>
    </row>
    <row r="163" customFormat="false" ht="15" hidden="false" customHeight="false" outlineLevel="0" collapsed="false">
      <c r="A163" s="13" t="s">
        <v>65</v>
      </c>
      <c r="B163" s="36" t="s">
        <v>246</v>
      </c>
      <c r="C163" s="50" t="n">
        <v>0.83</v>
      </c>
      <c r="D163" s="50" t="n">
        <v>1</v>
      </c>
      <c r="E163" s="50" t="n">
        <v>0.98</v>
      </c>
      <c r="F163" s="20" t="n">
        <f aca="false">IFERROR(AVERAGE(C163:E163),"")</f>
        <v>0.936666666666667</v>
      </c>
      <c r="G163" s="8" t="str">
        <f aca="false">IF(COUNTIFS(5000m比較!$A$5:$A$34,A163,5000m比較!$C$5:$C$34,B163)&gt;0,"○","")</f>
        <v/>
      </c>
    </row>
    <row r="164" customFormat="false" ht="15" hidden="false" customHeight="false" outlineLevel="0" collapsed="false">
      <c r="A164" s="13" t="s">
        <v>65</v>
      </c>
      <c r="B164" s="36" t="s">
        <v>218</v>
      </c>
      <c r="C164" s="50" t="n">
        <v>0.83</v>
      </c>
      <c r="D164" s="50" t="n">
        <v>0.98</v>
      </c>
      <c r="E164" s="50" t="n">
        <v>0.98</v>
      </c>
      <c r="F164" s="20" t="n">
        <f aca="false">IFERROR(AVERAGE(C164:E164),"")</f>
        <v>0.93</v>
      </c>
      <c r="G164" s="8" t="str">
        <f aca="false">IF(COUNTIFS(5000m比較!$A$5:$A$34,A164,5000m比較!$C$5:$C$34,B164)&gt;0,"○","")</f>
        <v/>
      </c>
    </row>
    <row r="165" customFormat="false" ht="15" hidden="false" customHeight="false" outlineLevel="0" collapsed="false">
      <c r="A165" s="13" t="s">
        <v>65</v>
      </c>
      <c r="B165" s="36" t="s">
        <v>214</v>
      </c>
      <c r="C165" s="50" t="n">
        <v>0.8</v>
      </c>
      <c r="D165" s="50" t="n">
        <v>1</v>
      </c>
      <c r="E165" s="50" t="n">
        <v>0.98</v>
      </c>
      <c r="F165" s="20" t="n">
        <f aca="false">IFERROR(AVERAGE(C165:E165),"")</f>
        <v>0.926666666666667</v>
      </c>
      <c r="G165" s="8" t="str">
        <f aca="false">IF(COUNTIFS(5000m比較!$A$5:$A$34,A165,5000m比較!$C$5:$C$34,B165)&gt;0,"○","")</f>
        <v/>
      </c>
    </row>
    <row r="166" customFormat="false" ht="15" hidden="false" customHeight="false" outlineLevel="0" collapsed="false">
      <c r="A166" s="13" t="s">
        <v>65</v>
      </c>
      <c r="B166" s="36" t="s">
        <v>258</v>
      </c>
      <c r="C166" s="50" t="n">
        <v>0.8</v>
      </c>
      <c r="D166" s="50" t="n">
        <v>1</v>
      </c>
      <c r="E166" s="50" t="n">
        <v>0.98</v>
      </c>
      <c r="F166" s="20" t="n">
        <f aca="false">IFERROR(AVERAGE(C166:E166),"")</f>
        <v>0.926666666666667</v>
      </c>
      <c r="G166" s="8" t="str">
        <f aca="false">IF(COUNTIFS(5000m比較!$A$5:$A$34,A166,5000m比較!$C$5:$C$34,B166)&gt;0,"○","")</f>
        <v/>
      </c>
    </row>
    <row r="167" customFormat="false" ht="15" hidden="false" customHeight="false" outlineLevel="0" collapsed="false">
      <c r="A167" s="13" t="s">
        <v>65</v>
      </c>
      <c r="B167" s="36" t="s">
        <v>250</v>
      </c>
      <c r="C167" s="50" t="n">
        <v>0.83</v>
      </c>
      <c r="D167" s="50" t="n">
        <v>0.94</v>
      </c>
      <c r="E167" s="50" t="n">
        <v>1</v>
      </c>
      <c r="F167" s="20" t="n">
        <f aca="false">IFERROR(AVERAGE(C167:E167),"")</f>
        <v>0.923333333333333</v>
      </c>
      <c r="G167" s="8" t="str">
        <f aca="false">IF(COUNTIFS(5000m比較!$A$5:$A$34,A167,5000m比較!$C$5:$C$34,B167)&gt;0,"○","")</f>
        <v/>
      </c>
    </row>
    <row r="168" customFormat="false" ht="15" hidden="false" customHeight="false" outlineLevel="0" collapsed="false">
      <c r="A168" s="13" t="s">
        <v>65</v>
      </c>
      <c r="B168" s="36" t="s">
        <v>248</v>
      </c>
      <c r="C168" s="50" t="n">
        <v>0.77</v>
      </c>
      <c r="D168" s="50" t="n">
        <v>1</v>
      </c>
      <c r="E168" s="50" t="n">
        <v>0.98</v>
      </c>
      <c r="F168" s="20" t="n">
        <f aca="false">IFERROR(AVERAGE(C168:E168),"")</f>
        <v>0.916666666666667</v>
      </c>
      <c r="G168" s="8" t="str">
        <f aca="false">IF(COUNTIFS(5000m比較!$A$5:$A$34,A168,5000m比較!$C$5:$C$34,B168)&gt;0,"○","")</f>
        <v/>
      </c>
    </row>
    <row r="169" customFormat="false" ht="15" hidden="false" customHeight="false" outlineLevel="0" collapsed="false">
      <c r="A169" s="13" t="s">
        <v>65</v>
      </c>
      <c r="B169" s="36" t="s">
        <v>205</v>
      </c>
      <c r="C169" s="50" t="n">
        <v>0.77</v>
      </c>
      <c r="D169" s="50" t="n">
        <v>0.98</v>
      </c>
      <c r="E169" s="50" t="n">
        <v>0.98</v>
      </c>
      <c r="F169" s="20" t="n">
        <f aca="false">IFERROR(AVERAGE(C169:E169),"")</f>
        <v>0.91</v>
      </c>
      <c r="G169" s="8" t="str">
        <f aca="false">IF(COUNTIFS(5000m比較!$A$5:$A$34,A169,5000m比較!$C$5:$C$34,B169)&gt;0,"○","")</f>
        <v/>
      </c>
    </row>
    <row r="170" customFormat="false" ht="15" hidden="false" customHeight="false" outlineLevel="0" collapsed="false">
      <c r="A170" s="13" t="s">
        <v>65</v>
      </c>
      <c r="B170" s="36" t="s">
        <v>247</v>
      </c>
      <c r="C170" s="50" t="n">
        <v>0.72</v>
      </c>
      <c r="D170" s="50" t="n">
        <v>1</v>
      </c>
      <c r="E170" s="50" t="n">
        <v>0.98</v>
      </c>
      <c r="F170" s="20" t="n">
        <f aca="false">IFERROR(AVERAGE(C170:E170),"")</f>
        <v>0.9</v>
      </c>
      <c r="G170" s="8" t="str">
        <f aca="false">IF(COUNTIFS(5000m比較!$A$5:$A$34,A170,5000m比較!$C$5:$C$34,B170)&gt;0,"○","")</f>
        <v/>
      </c>
    </row>
    <row r="171" customFormat="false" ht="15" hidden="false" customHeight="false" outlineLevel="0" collapsed="false">
      <c r="A171" s="13" t="s">
        <v>65</v>
      </c>
      <c r="B171" s="36" t="s">
        <v>175</v>
      </c>
      <c r="C171" s="50" t="n">
        <v>0.67</v>
      </c>
      <c r="D171" s="50" t="n">
        <v>1</v>
      </c>
      <c r="E171" s="50" t="n">
        <v>1</v>
      </c>
      <c r="F171" s="20" t="n">
        <f aca="false">IFERROR(AVERAGE(C171:E171),"")</f>
        <v>0.89</v>
      </c>
      <c r="G171" s="8" t="str">
        <f aca="false">IF(COUNTIFS(5000m比較!$A$5:$A$34,A171,5000m比較!$C$5:$C$34,B171)&gt;0,"○","")</f>
        <v/>
      </c>
    </row>
    <row r="172" customFormat="false" ht="15" hidden="false" customHeight="false" outlineLevel="0" collapsed="false">
      <c r="A172" s="13" t="s">
        <v>65</v>
      </c>
      <c r="B172" s="36" t="s">
        <v>244</v>
      </c>
      <c r="C172" s="50" t="n">
        <v>0.72</v>
      </c>
      <c r="D172" s="50" t="n">
        <v>0.9</v>
      </c>
      <c r="E172" s="50" t="n">
        <v>1</v>
      </c>
      <c r="F172" s="20" t="n">
        <f aca="false">IFERROR(AVERAGE(C172:E172),"")</f>
        <v>0.873333333333333</v>
      </c>
      <c r="G172" s="8" t="str">
        <f aca="false">IF(COUNTIFS(5000m比較!$A$5:$A$34,A172,5000m比較!$C$5:$C$34,B172)&gt;0,"○","")</f>
        <v/>
      </c>
    </row>
    <row r="173" customFormat="false" ht="15" hidden="false" customHeight="false" outlineLevel="0" collapsed="false">
      <c r="A173" s="13" t="s">
        <v>65</v>
      </c>
      <c r="B173" s="36" t="s">
        <v>252</v>
      </c>
      <c r="C173" s="50" t="n">
        <v>1</v>
      </c>
      <c r="D173" s="50" t="n">
        <v>0.63</v>
      </c>
      <c r="E173" s="50" t="n">
        <v>0.98</v>
      </c>
      <c r="F173" s="20" t="n">
        <f aca="false">IFERROR(AVERAGE(C173:E173),"")</f>
        <v>0.87</v>
      </c>
      <c r="G173" s="8" t="str">
        <f aca="false">IF(COUNTIFS(5000m比較!$A$5:$A$34,A173,5000m比較!$C$5:$C$34,B173)&gt;0,"○","")</f>
        <v/>
      </c>
    </row>
    <row r="174" customFormat="false" ht="15" hidden="false" customHeight="false" outlineLevel="0" collapsed="false">
      <c r="A174" s="13" t="s">
        <v>65</v>
      </c>
      <c r="B174" s="36" t="s">
        <v>204</v>
      </c>
      <c r="C174" s="50" t="n">
        <v>0.63</v>
      </c>
      <c r="D174" s="50" t="n">
        <v>0.98</v>
      </c>
      <c r="E174" s="50" t="n">
        <v>1</v>
      </c>
      <c r="F174" s="20" t="n">
        <f aca="false">IFERROR(AVERAGE(C174:E174),"")</f>
        <v>0.87</v>
      </c>
      <c r="G174" s="8" t="str">
        <f aca="false">IF(COUNTIFS(5000m比較!$A$5:$A$34,A174,5000m比較!$C$5:$C$34,B174)&gt;0,"○","")</f>
        <v/>
      </c>
    </row>
    <row r="175" customFormat="false" ht="15" hidden="false" customHeight="false" outlineLevel="0" collapsed="false">
      <c r="A175" s="13" t="s">
        <v>65</v>
      </c>
      <c r="B175" s="36" t="s">
        <v>199</v>
      </c>
      <c r="C175" s="50" t="n">
        <v>0.6</v>
      </c>
      <c r="D175" s="50" t="n">
        <v>1</v>
      </c>
      <c r="E175" s="50" t="n">
        <v>0.98</v>
      </c>
      <c r="F175" s="20" t="n">
        <f aca="false">IFERROR(AVERAGE(C175:E175),"")</f>
        <v>0.86</v>
      </c>
      <c r="G175" s="8" t="str">
        <f aca="false">IF(COUNTIFS(5000m比較!$A$5:$A$34,A175,5000m比較!$C$5:$C$34,B175)&gt;0,"○","")</f>
        <v/>
      </c>
    </row>
    <row r="176" customFormat="false" ht="15" hidden="false" customHeight="false" outlineLevel="0" collapsed="false">
      <c r="A176" s="13" t="s">
        <v>65</v>
      </c>
      <c r="B176" s="36" t="s">
        <v>245</v>
      </c>
      <c r="C176" s="50" t="n">
        <v>0.67</v>
      </c>
      <c r="D176" s="50" t="n">
        <v>0.92</v>
      </c>
      <c r="E176" s="50" t="n">
        <v>0.98</v>
      </c>
      <c r="F176" s="20" t="n">
        <f aca="false">IFERROR(AVERAGE(C176:E176),"")</f>
        <v>0.856666666666667</v>
      </c>
      <c r="G176" s="8" t="str">
        <f aca="false">IF(COUNTIFS(5000m比較!$A$5:$A$34,A176,5000m比較!$C$5:$C$34,B176)&gt;0,"○","")</f>
        <v/>
      </c>
    </row>
    <row r="177" customFormat="false" ht="15" hidden="false" customHeight="false" outlineLevel="0" collapsed="false">
      <c r="A177" s="13" t="s">
        <v>65</v>
      </c>
      <c r="B177" s="36" t="s">
        <v>260</v>
      </c>
      <c r="C177" s="50" t="n">
        <v>0.6</v>
      </c>
      <c r="D177" s="50" t="n">
        <v>0.95</v>
      </c>
      <c r="E177" s="50" t="n">
        <v>1</v>
      </c>
      <c r="F177" s="20" t="n">
        <f aca="false">IFERROR(AVERAGE(C177:E177),"")</f>
        <v>0.85</v>
      </c>
      <c r="G177" s="8" t="str">
        <f aca="false">IF(COUNTIFS(5000m比較!$A$5:$A$34,A177,5000m比較!$C$5:$C$34,B177)&gt;0,"○","")</f>
        <v/>
      </c>
    </row>
    <row r="178" customFormat="false" ht="15" hidden="false" customHeight="false" outlineLevel="0" collapsed="false">
      <c r="A178" s="13" t="s">
        <v>65</v>
      </c>
      <c r="B178" s="36" t="s">
        <v>243</v>
      </c>
      <c r="C178" s="50" t="n">
        <v>0.88</v>
      </c>
      <c r="D178" s="50" t="n">
        <v>0.66</v>
      </c>
      <c r="E178" s="50" t="n">
        <v>0.95</v>
      </c>
      <c r="F178" s="20" t="n">
        <f aca="false">IFERROR(AVERAGE(C178:E178),"")</f>
        <v>0.83</v>
      </c>
      <c r="G178" s="8" t="str">
        <f aca="false">IF(COUNTIFS(5000m比較!$A$5:$A$34,A178,5000m比較!$C$5:$C$34,B178)&gt;0,"○","")</f>
        <v/>
      </c>
    </row>
    <row r="179" customFormat="false" ht="15" hidden="false" customHeight="false" outlineLevel="0" collapsed="false">
      <c r="A179" s="13" t="s">
        <v>65</v>
      </c>
      <c r="B179" s="36" t="s">
        <v>217</v>
      </c>
      <c r="C179" s="50" t="n">
        <v>0.72</v>
      </c>
      <c r="D179" s="50" t="n">
        <v>1</v>
      </c>
      <c r="E179" s="50" t="n">
        <v>0.73</v>
      </c>
      <c r="F179" s="20" t="n">
        <f aca="false">IFERROR(AVERAGE(C179:E179),"")</f>
        <v>0.816666666666667</v>
      </c>
      <c r="G179" s="8" t="str">
        <f aca="false">IF(COUNTIFS(5000m比較!$A$5:$A$34,A179,5000m比較!$C$5:$C$34,B179)&gt;0,"○","")</f>
        <v/>
      </c>
    </row>
    <row r="180" customFormat="false" ht="15" hidden="false" customHeight="false" outlineLevel="0" collapsed="false">
      <c r="A180" s="13" t="s">
        <v>65</v>
      </c>
      <c r="B180" s="36" t="s">
        <v>254</v>
      </c>
      <c r="C180" s="50" t="n">
        <v>1</v>
      </c>
      <c r="D180" s="50" t="n">
        <v>0.44</v>
      </c>
      <c r="E180" s="50" t="n">
        <v>0.98</v>
      </c>
      <c r="F180" s="20" t="n">
        <f aca="false">IFERROR(AVERAGE(C180:E180),"")</f>
        <v>0.806666666666667</v>
      </c>
      <c r="G180" s="8" t="str">
        <f aca="false">IF(COUNTIFS(5000m比較!$A$5:$A$34,A180,5000m比較!$C$5:$C$34,B180)&gt;0,"○","")</f>
        <v/>
      </c>
    </row>
    <row r="181" customFormat="false" ht="15" hidden="false" customHeight="false" outlineLevel="0" collapsed="false">
      <c r="A181" s="13" t="s">
        <v>65</v>
      </c>
      <c r="B181" s="36" t="s">
        <v>211</v>
      </c>
      <c r="C181" s="50" t="n">
        <v>0.83</v>
      </c>
      <c r="D181" s="50" t="n">
        <v>1</v>
      </c>
      <c r="E181" s="50" t="n">
        <v>0.58</v>
      </c>
      <c r="F181" s="20" t="n">
        <f aca="false">IFERROR(AVERAGE(C181:E181),"")</f>
        <v>0.803333333333333</v>
      </c>
      <c r="G181" s="8" t="str">
        <f aca="false">IF(COUNTIFS(5000m比較!$A$5:$A$34,A181,5000m比較!$C$5:$C$34,B181)&gt;0,"○","")</f>
        <v/>
      </c>
    </row>
    <row r="182" customFormat="false" ht="15" hidden="false" customHeight="false" outlineLevel="0" collapsed="false">
      <c r="A182" s="13" t="s">
        <v>65</v>
      </c>
      <c r="B182" s="36" t="s">
        <v>208</v>
      </c>
      <c r="C182" s="50" t="n">
        <v>0.28</v>
      </c>
      <c r="D182" s="50" t="n">
        <v>0.9</v>
      </c>
      <c r="E182" s="50" t="n">
        <v>0.98</v>
      </c>
      <c r="F182" s="20" t="n">
        <f aca="false">IFERROR(AVERAGE(C182:E182),"")</f>
        <v>0.72</v>
      </c>
      <c r="G182" s="8" t="str">
        <f aca="false">IF(COUNTIFS(5000m比較!$A$5:$A$34,A182,5000m比較!$C$5:$C$34,B182)&gt;0,"○","")</f>
        <v/>
      </c>
    </row>
    <row r="183" customFormat="false" ht="15" hidden="false" customHeight="false" outlineLevel="0" collapsed="false">
      <c r="A183" s="13" t="s">
        <v>65</v>
      </c>
      <c r="B183" s="36" t="s">
        <v>230</v>
      </c>
      <c r="C183" s="50" t="n">
        <v>1</v>
      </c>
      <c r="D183" s="50" t="n">
        <v>0.76</v>
      </c>
      <c r="E183" s="50" t="n">
        <v>0.23</v>
      </c>
      <c r="F183" s="20" t="n">
        <f aca="false">IFERROR(AVERAGE(C183:E183),"")</f>
        <v>0.663333333333333</v>
      </c>
      <c r="G183" s="8" t="str">
        <f aca="false">IF(COUNTIFS(5000m比較!$A$5:$A$34,A183,5000m比較!$C$5:$C$34,B183)&gt;0,"○","")</f>
        <v/>
      </c>
    </row>
    <row r="184" customFormat="false" ht="15" hidden="false" customHeight="false" outlineLevel="0" collapsed="false">
      <c r="A184" s="13" t="s">
        <v>65</v>
      </c>
      <c r="B184" s="36" t="s">
        <v>203</v>
      </c>
      <c r="C184" s="50" t="n">
        <v>0.88</v>
      </c>
      <c r="D184" s="50" t="n">
        <v>0.86</v>
      </c>
      <c r="E184" s="50" t="n">
        <v>0.23</v>
      </c>
      <c r="F184" s="20" t="n">
        <f aca="false">IFERROR(AVERAGE(C184:E184),"")</f>
        <v>0.656666666666667</v>
      </c>
      <c r="G184" s="8" t="str">
        <f aca="false">IF(COUNTIFS(5000m比較!$A$5:$A$34,A184,5000m比較!$C$5:$C$34,B184)&gt;0,"○","")</f>
        <v/>
      </c>
    </row>
    <row r="185" customFormat="false" ht="15" hidden="false" customHeight="false" outlineLevel="0" collapsed="false">
      <c r="A185" s="13" t="s">
        <v>65</v>
      </c>
      <c r="B185" s="36" t="s">
        <v>264</v>
      </c>
      <c r="C185" s="50" t="n">
        <v>1</v>
      </c>
      <c r="D185" s="50" t="n">
        <v>0.93</v>
      </c>
      <c r="E185" s="50" t="n">
        <v>0</v>
      </c>
      <c r="F185" s="20" t="n">
        <f aca="false">IFERROR(AVERAGE(C185:E185),"")</f>
        <v>0.643333333333333</v>
      </c>
      <c r="G185" s="8" t="str">
        <f aca="false">IF(COUNTIFS(5000m比較!$A$5:$A$34,A185,5000m比較!$C$5:$C$34,B185)&gt;0,"○","")</f>
        <v/>
      </c>
    </row>
    <row r="186" customFormat="false" ht="15" hidden="false" customHeight="false" outlineLevel="0" collapsed="false">
      <c r="A186" s="13" t="s">
        <v>65</v>
      </c>
      <c r="B186" s="36" t="s">
        <v>263</v>
      </c>
      <c r="C186" s="50" t="n">
        <v>0.3</v>
      </c>
      <c r="D186" s="50" t="n">
        <v>0.4</v>
      </c>
      <c r="E186" s="50" t="n">
        <v>0.83</v>
      </c>
      <c r="F186" s="20" t="n">
        <f aca="false">IFERROR(AVERAGE(C186:E186),"")</f>
        <v>0.51</v>
      </c>
      <c r="G186" s="8" t="str">
        <f aca="false">IF(COUNTIFS(5000m比較!$A$5:$A$34,A186,5000m比較!$C$5:$C$34,B186)&gt;0,"○","")</f>
        <v/>
      </c>
    </row>
    <row r="187" customFormat="false" ht="15" hidden="false" customHeight="false" outlineLevel="0" collapsed="false">
      <c r="A187" s="13" t="s">
        <v>65</v>
      </c>
      <c r="B187" s="36" t="s">
        <v>265</v>
      </c>
      <c r="C187" s="50" t="n">
        <v>0.1</v>
      </c>
      <c r="D187" s="50" t="n">
        <v>0.4</v>
      </c>
      <c r="E187" s="50" t="n">
        <v>0.75</v>
      </c>
      <c r="F187" s="20" t="n">
        <f aca="false">IFERROR(AVERAGE(C187:E187),"")</f>
        <v>0.416666666666667</v>
      </c>
      <c r="G187" s="8" t="str">
        <f aca="false">IF(COUNTIFS(5000m比較!$A$5:$A$34,A187,5000m比較!$C$5:$C$34,B187)&gt;0,"○","")</f>
        <v/>
      </c>
    </row>
    <row r="188" customFormat="false" ht="15" hidden="false" customHeight="false" outlineLevel="0" collapsed="false">
      <c r="A188" s="13" t="s">
        <v>65</v>
      </c>
      <c r="B188" s="36" t="s">
        <v>253</v>
      </c>
      <c r="C188" s="50" t="n">
        <v>0.15</v>
      </c>
      <c r="D188" s="50" t="n">
        <v>0.3</v>
      </c>
      <c r="E188" s="50" t="n">
        <v>0.7</v>
      </c>
      <c r="F188" s="20" t="n">
        <f aca="false">IFERROR(AVERAGE(C188:E188),"")</f>
        <v>0.383333333333333</v>
      </c>
      <c r="G188" s="8" t="str">
        <f aca="false">IF(COUNTIFS(5000m比較!$A$5:$A$34,A188,5000m比較!$C$5:$C$34,B188)&gt;0,"○","")</f>
        <v/>
      </c>
    </row>
    <row r="189" customFormat="false" ht="15" hidden="false" customHeight="false" outlineLevel="0" collapsed="false">
      <c r="A189" s="13" t="s">
        <v>65</v>
      </c>
      <c r="B189" s="36" t="s">
        <v>251</v>
      </c>
      <c r="C189" s="50" t="n">
        <v>0</v>
      </c>
      <c r="D189" s="50" t="n">
        <v>0.3</v>
      </c>
      <c r="E189" s="50" t="n">
        <v>0.78</v>
      </c>
      <c r="F189" s="20" t="n">
        <f aca="false">IFERROR(AVERAGE(C189:E189),"")</f>
        <v>0.36</v>
      </c>
      <c r="G189" s="8" t="str">
        <f aca="false">IF(COUNTIFS(5000m比較!$A$5:$A$34,A189,5000m比較!$C$5:$C$34,B189)&gt;0,"○","")</f>
        <v/>
      </c>
    </row>
    <row r="190" customFormat="false" ht="15" hidden="false" customHeight="false" outlineLevel="0" collapsed="false">
      <c r="A190" s="13" t="s">
        <v>65</v>
      </c>
      <c r="B190" s="36" t="s">
        <v>262</v>
      </c>
      <c r="C190" s="50" t="n">
        <v>0.38</v>
      </c>
      <c r="D190" s="50" t="n">
        <v>0.18</v>
      </c>
      <c r="E190" s="50" t="n">
        <v>0.3</v>
      </c>
      <c r="F190" s="20" t="n">
        <f aca="false">IFERROR(AVERAGE(C190:E190),"")</f>
        <v>0.286666666666667</v>
      </c>
      <c r="G190" s="8" t="str">
        <f aca="false">IF(COUNTIFS(5000m比較!$A$5:$A$34,A190,5000m比較!$C$5:$C$34,B190)&gt;0,"○","")</f>
        <v/>
      </c>
    </row>
  </sheetData>
  <autoFilter ref="A4:G190"/>
  <mergeCells count="1">
    <mergeCell ref="A2:G2"/>
  </mergeCells>
  <conditionalFormatting sqref="C5:F190">
    <cfRule type="colorScale" priority="2">
      <colorScale>
        <cfvo type="num" val="0"/>
        <cfvo type="num" val="0.7"/>
        <cfvo type="num" val="1"/>
        <color rgb="FFF8696B"/>
        <color rgb="FFFFEB84"/>
        <color rgb="FF63BE7B"/>
      </colorScale>
    </cfRule>
  </conditionalFormatting>
  <conditionalFormatting sqref="A5:B190">
    <cfRule type="expression" priority="3" aboveAverage="0" equalAverage="0" bottom="0" percent="0" rank="0" text="" dxfId="57">
      <formula>$G5="○"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P1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14" min="3" style="0" width="7"/>
    <col collapsed="false" customWidth="true" hidden="false" outlineLevel="0" max="15" min="15" style="0" width="9"/>
    <col collapsed="false" customWidth="true" hidden="false" outlineLevel="0" max="16" min="16" style="0" width="8"/>
  </cols>
  <sheetData>
    <row r="1" customFormat="false" ht="19.4" hidden="false" customHeight="false" outlineLevel="0" collapsed="false">
      <c r="A1" s="9" t="s">
        <v>273</v>
      </c>
    </row>
    <row r="2" customFormat="false" ht="30" hidden="false" customHeight="true" outlineLevel="0" collapsed="false">
      <c r="A2" s="10" t="s">
        <v>274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4" customFormat="false" ht="33.75" hidden="false" customHeight="true" outlineLevel="0" collapsed="false">
      <c r="A4" s="11" t="s">
        <v>44</v>
      </c>
      <c r="B4" s="11" t="s">
        <v>147</v>
      </c>
      <c r="C4" s="12" t="s">
        <v>275</v>
      </c>
      <c r="D4" s="12" t="s">
        <v>276</v>
      </c>
      <c r="E4" s="12" t="s">
        <v>277</v>
      </c>
      <c r="F4" s="12" t="s">
        <v>278</v>
      </c>
      <c r="G4" s="12" t="s">
        <v>279</v>
      </c>
      <c r="H4" s="12" t="s">
        <v>280</v>
      </c>
      <c r="I4" s="12" t="s">
        <v>281</v>
      </c>
      <c r="J4" s="12" t="s">
        <v>282</v>
      </c>
      <c r="K4" s="12" t="s">
        <v>283</v>
      </c>
      <c r="L4" s="12" t="s">
        <v>284</v>
      </c>
      <c r="M4" s="12" t="s">
        <v>285</v>
      </c>
      <c r="N4" s="12" t="s">
        <v>286</v>
      </c>
      <c r="O4" s="12" t="s">
        <v>57</v>
      </c>
      <c r="P4" s="11" t="s">
        <v>185</v>
      </c>
    </row>
    <row r="5" customFormat="false" ht="15" hidden="false" customHeight="false" outlineLevel="0" collapsed="false">
      <c r="A5" s="28" t="s">
        <v>61</v>
      </c>
      <c r="B5" s="31" t="s">
        <v>287</v>
      </c>
      <c r="C5" s="34" t="n">
        <v>331</v>
      </c>
      <c r="D5" s="34" t="n">
        <v>208</v>
      </c>
      <c r="E5" s="34" t="n">
        <v>476</v>
      </c>
      <c r="F5" s="34"/>
      <c r="G5" s="34"/>
      <c r="H5" s="34"/>
      <c r="I5" s="34"/>
      <c r="J5" s="34"/>
      <c r="K5" s="34" t="n">
        <v>278</v>
      </c>
      <c r="L5" s="34" t="n">
        <v>511</v>
      </c>
      <c r="M5" s="34" t="n">
        <v>345</v>
      </c>
      <c r="N5" s="34" t="n">
        <v>445</v>
      </c>
      <c r="O5" s="51" t="str">
        <f aca="false">IF(OR(J5="",K5="",J5=0),"",K5/J5)</f>
        <v/>
      </c>
      <c r="P5" s="45" t="str">
        <f aca="false">IF(COUNTIFS(5000m比較!$A$5:$A$34,A5,5000m比較!$C$5:$C$34,B5)&gt;0,"○","")</f>
        <v/>
      </c>
    </row>
    <row r="6" customFormat="false" ht="15" hidden="false" customHeight="false" outlineLevel="0" collapsed="false">
      <c r="A6" s="28" t="s">
        <v>61</v>
      </c>
      <c r="B6" s="31" t="s">
        <v>159</v>
      </c>
      <c r="C6" s="34" t="n">
        <v>138</v>
      </c>
      <c r="D6" s="34" t="n">
        <v>345</v>
      </c>
      <c r="E6" s="34" t="n">
        <v>439</v>
      </c>
      <c r="F6" s="34" t="n">
        <v>344</v>
      </c>
      <c r="G6" s="34" t="n">
        <v>63</v>
      </c>
      <c r="H6" s="34" t="n">
        <v>437</v>
      </c>
      <c r="I6" s="34" t="n">
        <v>405</v>
      </c>
      <c r="J6" s="34" t="n">
        <v>701</v>
      </c>
      <c r="K6" s="34" t="n">
        <v>420</v>
      </c>
      <c r="L6" s="34" t="n">
        <v>390</v>
      </c>
      <c r="M6" s="34" t="n">
        <v>415</v>
      </c>
      <c r="N6" s="34" t="n">
        <v>345</v>
      </c>
      <c r="O6" s="51" t="n">
        <f aca="false">IF(OR(J6="",K6="",J6=0),"",K6/J6)</f>
        <v>0.599144079885877</v>
      </c>
      <c r="P6" s="45" t="str">
        <f aca="false">IF(COUNTIFS(5000m比較!$A$5:$A$34,A6,5000m比較!$C$5:$C$34,B6)&gt;0,"○","")</f>
        <v>○</v>
      </c>
    </row>
    <row r="7" customFormat="false" ht="15" hidden="false" customHeight="false" outlineLevel="0" collapsed="false">
      <c r="A7" s="28" t="s">
        <v>61</v>
      </c>
      <c r="B7" s="31" t="s">
        <v>198</v>
      </c>
      <c r="C7" s="34" t="n">
        <v>235</v>
      </c>
      <c r="D7" s="34" t="n">
        <v>387</v>
      </c>
      <c r="E7" s="34" t="n">
        <v>435</v>
      </c>
      <c r="F7" s="34" t="n">
        <v>345</v>
      </c>
      <c r="G7" s="34" t="n">
        <v>337</v>
      </c>
      <c r="H7" s="34" t="n">
        <v>409</v>
      </c>
      <c r="I7" s="34" t="n">
        <v>344</v>
      </c>
      <c r="J7" s="34" t="n">
        <v>670</v>
      </c>
      <c r="K7" s="34" t="n">
        <v>196</v>
      </c>
      <c r="L7" s="34" t="n">
        <v>378</v>
      </c>
      <c r="M7" s="34" t="n">
        <v>296</v>
      </c>
      <c r="N7" s="34" t="n">
        <v>366</v>
      </c>
      <c r="O7" s="51" t="n">
        <f aca="false">IF(OR(J7="",K7="",J7=0),"",K7/J7)</f>
        <v>0.292537313432836</v>
      </c>
      <c r="P7" s="45" t="str">
        <f aca="false">IF(COUNTIFS(5000m比較!$A$5:$A$34,A7,5000m比較!$C$5:$C$34,B7)&gt;0,"○","")</f>
        <v/>
      </c>
    </row>
    <row r="8" customFormat="false" ht="15" hidden="false" customHeight="false" outlineLevel="0" collapsed="false">
      <c r="A8" s="28" t="s">
        <v>61</v>
      </c>
      <c r="B8" s="31" t="s">
        <v>163</v>
      </c>
      <c r="C8" s="34" t="n">
        <v>96</v>
      </c>
      <c r="D8" s="34" t="n">
        <v>145</v>
      </c>
      <c r="E8" s="34" t="n">
        <v>353</v>
      </c>
      <c r="F8" s="34" t="n">
        <v>331</v>
      </c>
      <c r="G8" s="34" t="n">
        <v>235</v>
      </c>
      <c r="H8" s="34" t="n">
        <v>237</v>
      </c>
      <c r="I8" s="34" t="n">
        <v>254</v>
      </c>
      <c r="J8" s="34" t="n">
        <v>412</v>
      </c>
      <c r="K8" s="34" t="n">
        <v>394</v>
      </c>
      <c r="L8" s="34" t="n">
        <v>421</v>
      </c>
      <c r="M8" s="34" t="n">
        <v>278</v>
      </c>
      <c r="N8" s="34" t="n">
        <v>434</v>
      </c>
      <c r="O8" s="51" t="n">
        <f aca="false">IF(OR(J8="",K8="",J8=0),"",K8/J8)</f>
        <v>0.956310679611651</v>
      </c>
      <c r="P8" s="45" t="str">
        <f aca="false">IF(COUNTIFS(5000m比較!$A$5:$A$34,A8,5000m比較!$C$5:$C$34,B8)&gt;0,"○","")</f>
        <v/>
      </c>
    </row>
    <row r="9" customFormat="false" ht="15" hidden="false" customHeight="false" outlineLevel="0" collapsed="false">
      <c r="A9" s="28" t="s">
        <v>61</v>
      </c>
      <c r="B9" s="31" t="s">
        <v>194</v>
      </c>
      <c r="C9" s="34"/>
      <c r="D9" s="34"/>
      <c r="E9" s="34"/>
      <c r="F9" s="34" t="n">
        <v>402</v>
      </c>
      <c r="G9" s="34" t="n">
        <v>404</v>
      </c>
      <c r="H9" s="34" t="n">
        <v>338</v>
      </c>
      <c r="I9" s="34" t="n">
        <v>301</v>
      </c>
      <c r="J9" s="34" t="n">
        <v>655</v>
      </c>
      <c r="K9" s="34" t="n">
        <v>401</v>
      </c>
      <c r="L9" s="34" t="n">
        <v>465</v>
      </c>
      <c r="M9" s="34" t="n">
        <v>345</v>
      </c>
      <c r="N9" s="34" t="n">
        <v>427</v>
      </c>
      <c r="O9" s="51" t="n">
        <f aca="false">IF(OR(J9="",K9="",J9=0),"",K9/J9)</f>
        <v>0.612213740458015</v>
      </c>
      <c r="P9" s="45" t="str">
        <f aca="false">IF(COUNTIFS(5000m比較!$A$5:$A$34,A9,5000m比較!$C$5:$C$34,B9)&gt;0,"○","")</f>
        <v/>
      </c>
    </row>
    <row r="10" customFormat="false" ht="15" hidden="false" customHeight="false" outlineLevel="0" collapsed="false">
      <c r="A10" s="28" t="s">
        <v>61</v>
      </c>
      <c r="B10" s="31" t="s">
        <v>201</v>
      </c>
      <c r="C10" s="34" t="n">
        <v>320</v>
      </c>
      <c r="D10" s="34" t="n">
        <v>246</v>
      </c>
      <c r="E10" s="34" t="n">
        <v>84</v>
      </c>
      <c r="F10" s="34" t="n">
        <v>318</v>
      </c>
      <c r="G10" s="34" t="n">
        <v>443</v>
      </c>
      <c r="H10" s="34" t="n">
        <v>398</v>
      </c>
      <c r="I10" s="34" t="n">
        <v>311</v>
      </c>
      <c r="J10" s="34" t="n">
        <v>661</v>
      </c>
      <c r="K10" s="34" t="n">
        <v>339</v>
      </c>
      <c r="L10" s="34" t="n">
        <v>478</v>
      </c>
      <c r="M10" s="34" t="n">
        <v>412</v>
      </c>
      <c r="N10" s="34" t="n">
        <v>467</v>
      </c>
      <c r="O10" s="51" t="n">
        <f aca="false">IF(OR(J10="",K10="",J10=0),"",K10/J10)</f>
        <v>0.51285930408472</v>
      </c>
      <c r="P10" s="45" t="str">
        <f aca="false">IF(COUNTIFS(5000m比較!$A$5:$A$34,A10,5000m比較!$C$5:$C$34,B10)&gt;0,"○","")</f>
        <v/>
      </c>
    </row>
    <row r="11" customFormat="false" ht="15" hidden="false" customHeight="false" outlineLevel="0" collapsed="false">
      <c r="A11" s="28" t="s">
        <v>61</v>
      </c>
      <c r="B11" s="31" t="s">
        <v>209</v>
      </c>
      <c r="C11" s="34" t="n">
        <v>569</v>
      </c>
      <c r="D11" s="34" t="n">
        <v>623</v>
      </c>
      <c r="E11" s="34" t="n">
        <v>559</v>
      </c>
      <c r="F11" s="34" t="n">
        <v>461</v>
      </c>
      <c r="G11" s="34" t="n">
        <v>640</v>
      </c>
      <c r="H11" s="34" t="n">
        <v>371</v>
      </c>
      <c r="I11" s="34" t="n">
        <v>557</v>
      </c>
      <c r="J11" s="34" t="n">
        <v>980</v>
      </c>
      <c r="K11" s="34" t="n">
        <v>554</v>
      </c>
      <c r="L11" s="34" t="n">
        <v>460</v>
      </c>
      <c r="M11" s="34" t="n">
        <v>401</v>
      </c>
      <c r="N11" s="34" t="n">
        <v>390</v>
      </c>
      <c r="O11" s="51" t="n">
        <f aca="false">IF(OR(J11="",K11="",J11=0),"",K11/J11)</f>
        <v>0.56530612244898</v>
      </c>
      <c r="P11" s="45" t="str">
        <f aca="false">IF(COUNTIFS(5000m比較!$A$5:$A$34,A11,5000m比較!$C$5:$C$34,B11)&gt;0,"○","")</f>
        <v/>
      </c>
    </row>
    <row r="12" customFormat="false" ht="15" hidden="false" customHeight="false" outlineLevel="0" collapsed="false">
      <c r="A12" s="28" t="s">
        <v>61</v>
      </c>
      <c r="B12" s="31" t="s">
        <v>176</v>
      </c>
      <c r="C12" s="34"/>
      <c r="D12" s="34"/>
      <c r="E12" s="34"/>
      <c r="F12" s="34" t="n">
        <v>397</v>
      </c>
      <c r="G12" s="34" t="n">
        <v>454</v>
      </c>
      <c r="H12" s="34" t="n">
        <v>457</v>
      </c>
      <c r="I12" s="34" t="n">
        <v>458</v>
      </c>
      <c r="J12" s="34" t="n">
        <v>694</v>
      </c>
      <c r="K12" s="34" t="n">
        <v>500</v>
      </c>
      <c r="L12" s="34" t="n">
        <v>610</v>
      </c>
      <c r="M12" s="34" t="n">
        <v>420</v>
      </c>
      <c r="N12" s="34" t="n">
        <v>543</v>
      </c>
      <c r="O12" s="51" t="n">
        <f aca="false">IF(OR(J12="",K12="",J12=0),"",K12/J12)</f>
        <v>0.720461095100865</v>
      </c>
      <c r="P12" s="45" t="str">
        <f aca="false">IF(COUNTIFS(5000m比較!$A$5:$A$34,A12,5000m比較!$C$5:$C$34,B12)&gt;0,"○","")</f>
        <v/>
      </c>
    </row>
    <row r="13" customFormat="false" ht="15" hidden="false" customHeight="false" outlineLevel="0" collapsed="false">
      <c r="A13" s="28" t="s">
        <v>61</v>
      </c>
      <c r="B13" s="31" t="s">
        <v>195</v>
      </c>
      <c r="C13" s="34" t="n">
        <v>285</v>
      </c>
      <c r="D13" s="34" t="n">
        <v>402</v>
      </c>
      <c r="E13" s="34" t="n">
        <v>384</v>
      </c>
      <c r="F13" s="34" t="n">
        <v>340</v>
      </c>
      <c r="G13" s="34" t="n">
        <v>325</v>
      </c>
      <c r="H13" s="34" t="n">
        <v>240</v>
      </c>
      <c r="I13" s="34" t="n">
        <v>334</v>
      </c>
      <c r="J13" s="34" t="n">
        <v>688</v>
      </c>
      <c r="K13" s="34" t="n">
        <v>420</v>
      </c>
      <c r="L13" s="34" t="n">
        <v>433</v>
      </c>
      <c r="M13" s="34" t="n">
        <v>408</v>
      </c>
      <c r="N13" s="34" t="n">
        <v>395</v>
      </c>
      <c r="O13" s="51" t="n">
        <f aca="false">IF(OR(J13="",K13="",J13=0),"",K13/J13)</f>
        <v>0.61046511627907</v>
      </c>
      <c r="P13" s="45" t="str">
        <f aca="false">IF(COUNTIFS(5000m比較!$A$5:$A$34,A13,5000m比較!$C$5:$C$34,B13)&gt;0,"○","")</f>
        <v/>
      </c>
    </row>
    <row r="14" customFormat="false" ht="15" hidden="false" customHeight="false" outlineLevel="0" collapsed="false">
      <c r="A14" s="28" t="s">
        <v>61</v>
      </c>
      <c r="B14" s="31" t="s">
        <v>288</v>
      </c>
      <c r="C14" s="34" t="n">
        <v>281</v>
      </c>
      <c r="D14" s="34" t="n">
        <v>251</v>
      </c>
      <c r="E14" s="34" t="n">
        <v>376</v>
      </c>
      <c r="F14" s="34" t="n">
        <v>352</v>
      </c>
      <c r="G14" s="34" t="n">
        <v>365</v>
      </c>
      <c r="H14" s="34" t="n">
        <v>170</v>
      </c>
      <c r="I14" s="34" t="n">
        <v>310</v>
      </c>
      <c r="J14" s="34" t="n">
        <v>640</v>
      </c>
      <c r="K14" s="34" t="n">
        <v>404</v>
      </c>
      <c r="L14" s="34" t="n">
        <v>418</v>
      </c>
      <c r="M14" s="34" t="n">
        <v>306</v>
      </c>
      <c r="N14" s="34" t="n">
        <v>400</v>
      </c>
      <c r="O14" s="51" t="n">
        <f aca="false">IF(OR(J14="",K14="",J14=0),"",K14/J14)</f>
        <v>0.63125</v>
      </c>
      <c r="P14" s="45" t="str">
        <f aca="false">IF(COUNTIFS(5000m比較!$A$5:$A$34,A14,5000m比較!$C$5:$C$34,B14)&gt;0,"○","")</f>
        <v/>
      </c>
    </row>
    <row r="15" customFormat="false" ht="15" hidden="false" customHeight="false" outlineLevel="0" collapsed="false">
      <c r="A15" s="28" t="s">
        <v>61</v>
      </c>
      <c r="B15" s="31" t="s">
        <v>233</v>
      </c>
      <c r="C15" s="34"/>
      <c r="D15" s="34"/>
      <c r="E15" s="34"/>
      <c r="F15" s="34" t="n">
        <v>286</v>
      </c>
      <c r="G15" s="34" t="n">
        <v>378</v>
      </c>
      <c r="H15" s="34" t="n">
        <v>321</v>
      </c>
      <c r="I15" s="34" t="n">
        <v>357</v>
      </c>
      <c r="J15" s="34" t="n">
        <v>601</v>
      </c>
      <c r="K15" s="34" t="n">
        <v>427</v>
      </c>
      <c r="L15" s="34" t="n">
        <v>437</v>
      </c>
      <c r="M15" s="34" t="n">
        <v>323</v>
      </c>
      <c r="N15" s="34" t="n">
        <v>413</v>
      </c>
      <c r="O15" s="51" t="n">
        <f aca="false">IF(OR(J15="",K15="",J15=0),"",K15/J15)</f>
        <v>0.710482529118137</v>
      </c>
      <c r="P15" s="45" t="str">
        <f aca="false">IF(COUNTIFS(5000m比較!$A$5:$A$34,A15,5000m比較!$C$5:$C$34,B15)&gt;0,"○","")</f>
        <v/>
      </c>
    </row>
    <row r="16" customFormat="false" ht="15" hidden="false" customHeight="false" outlineLevel="0" collapsed="false">
      <c r="A16" s="28" t="s">
        <v>61</v>
      </c>
      <c r="B16" s="31" t="s">
        <v>171</v>
      </c>
      <c r="C16" s="34" t="n">
        <v>487</v>
      </c>
      <c r="D16" s="34"/>
      <c r="E16" s="34" t="n">
        <v>90</v>
      </c>
      <c r="F16" s="34" t="n">
        <v>167</v>
      </c>
      <c r="G16" s="34" t="n">
        <v>458</v>
      </c>
      <c r="H16" s="34" t="n">
        <v>593</v>
      </c>
      <c r="I16" s="34" t="n">
        <v>380</v>
      </c>
      <c r="J16" s="34" t="n">
        <v>251</v>
      </c>
      <c r="K16" s="34" t="n">
        <v>121</v>
      </c>
      <c r="L16" s="34" t="n">
        <v>567</v>
      </c>
      <c r="M16" s="34" t="n">
        <v>459</v>
      </c>
      <c r="N16" s="34" t="n">
        <v>667</v>
      </c>
      <c r="O16" s="51" t="n">
        <f aca="false">IF(OR(J16="",K16="",J16=0),"",K16/J16)</f>
        <v>0.48207171314741</v>
      </c>
      <c r="P16" s="45" t="str">
        <f aca="false">IF(COUNTIFS(5000m比較!$A$5:$A$34,A16,5000m比較!$C$5:$C$34,B16)&gt;0,"○","")</f>
        <v/>
      </c>
    </row>
    <row r="17" customFormat="false" ht="15" hidden="false" customHeight="false" outlineLevel="0" collapsed="false">
      <c r="A17" s="28" t="s">
        <v>61</v>
      </c>
      <c r="B17" s="31" t="s">
        <v>169</v>
      </c>
      <c r="C17" s="34"/>
      <c r="D17" s="34"/>
      <c r="E17" s="34"/>
      <c r="F17" s="34" t="n">
        <v>338</v>
      </c>
      <c r="G17" s="34" t="n">
        <v>410</v>
      </c>
      <c r="H17" s="34" t="n">
        <v>56</v>
      </c>
      <c r="I17" s="34" t="n">
        <v>195</v>
      </c>
      <c r="J17" s="34" t="n">
        <v>467</v>
      </c>
      <c r="K17" s="34" t="n">
        <v>446</v>
      </c>
      <c r="L17" s="34" t="n">
        <v>483</v>
      </c>
      <c r="M17" s="34" t="n">
        <v>360</v>
      </c>
      <c r="N17" s="34" t="n">
        <v>484</v>
      </c>
      <c r="O17" s="51" t="n">
        <f aca="false">IF(OR(J17="",K17="",J17=0),"",K17/J17)</f>
        <v>0.955032119914347</v>
      </c>
      <c r="P17" s="45" t="str">
        <f aca="false">IF(COUNTIFS(5000m比較!$A$5:$A$34,A17,5000m比較!$C$5:$C$34,B17)&gt;0,"○","")</f>
        <v/>
      </c>
    </row>
    <row r="18" customFormat="false" ht="15" hidden="false" customHeight="false" outlineLevel="0" collapsed="false">
      <c r="A18" s="28" t="s">
        <v>61</v>
      </c>
      <c r="B18" s="31" t="s">
        <v>289</v>
      </c>
      <c r="C18" s="34" t="n">
        <v>414</v>
      </c>
      <c r="D18" s="34" t="n">
        <v>116</v>
      </c>
      <c r="E18" s="34" t="n">
        <v>190</v>
      </c>
      <c r="F18" s="34" t="n">
        <v>215</v>
      </c>
      <c r="G18" s="34" t="n">
        <v>190</v>
      </c>
      <c r="H18" s="34" t="n">
        <v>390</v>
      </c>
      <c r="I18" s="34" t="n">
        <v>384</v>
      </c>
      <c r="J18" s="34" t="n">
        <v>763</v>
      </c>
      <c r="K18" s="34" t="n">
        <v>401</v>
      </c>
      <c r="L18" s="34" t="n">
        <v>412</v>
      </c>
      <c r="M18" s="34" t="n">
        <v>400</v>
      </c>
      <c r="N18" s="34" t="n">
        <v>375</v>
      </c>
      <c r="O18" s="51" t="n">
        <f aca="false">IF(OR(J18="",K18="",J18=0),"",K18/J18)</f>
        <v>0.525557011795544</v>
      </c>
      <c r="P18" s="45" t="str">
        <f aca="false">IF(COUNTIFS(5000m比較!$A$5:$A$34,A18,5000m比較!$C$5:$C$34,B18)&gt;0,"○","")</f>
        <v/>
      </c>
    </row>
    <row r="19" customFormat="false" ht="15" hidden="false" customHeight="false" outlineLevel="0" collapsed="false">
      <c r="A19" s="28" t="s">
        <v>61</v>
      </c>
      <c r="B19" s="31" t="s">
        <v>197</v>
      </c>
      <c r="C19" s="34" t="n">
        <v>298</v>
      </c>
      <c r="D19" s="34" t="n">
        <v>358</v>
      </c>
      <c r="E19" s="34" t="n">
        <v>193</v>
      </c>
      <c r="F19" s="34" t="n">
        <v>129</v>
      </c>
      <c r="G19" s="34" t="n">
        <v>256</v>
      </c>
      <c r="H19" s="34" t="n">
        <v>449</v>
      </c>
      <c r="I19" s="34" t="n">
        <v>160</v>
      </c>
      <c r="J19" s="34" t="n">
        <v>167</v>
      </c>
      <c r="K19" s="34" t="n">
        <v>357</v>
      </c>
      <c r="L19" s="34" t="n">
        <v>491</v>
      </c>
      <c r="M19" s="34" t="n">
        <v>357</v>
      </c>
      <c r="N19" s="34" t="n">
        <v>471</v>
      </c>
      <c r="O19" s="51" t="n">
        <f aca="false">IF(OR(J19="",K19="",J19=0),"",K19/J19)</f>
        <v>2.1377245508982</v>
      </c>
      <c r="P19" s="45" t="str">
        <f aca="false">IF(COUNTIFS(5000m比較!$A$5:$A$34,A19,5000m比較!$C$5:$C$34,B19)&gt;0,"○","")</f>
        <v/>
      </c>
    </row>
    <row r="20" customFormat="false" ht="15" hidden="false" customHeight="false" outlineLevel="0" collapsed="false">
      <c r="A20" s="28" t="s">
        <v>61</v>
      </c>
      <c r="B20" s="31" t="s">
        <v>238</v>
      </c>
      <c r="C20" s="34" t="n">
        <v>378</v>
      </c>
      <c r="D20" s="34" t="n">
        <v>441</v>
      </c>
      <c r="E20" s="34" t="n">
        <v>443</v>
      </c>
      <c r="F20" s="34" t="n">
        <v>305</v>
      </c>
      <c r="G20" s="34" t="n">
        <v>342</v>
      </c>
      <c r="H20" s="34" t="n">
        <v>381</v>
      </c>
      <c r="I20" s="34" t="n">
        <v>303</v>
      </c>
      <c r="J20" s="34" t="n">
        <v>735</v>
      </c>
      <c r="K20" s="34"/>
      <c r="L20" s="34"/>
      <c r="M20" s="34"/>
      <c r="N20" s="34"/>
      <c r="O20" s="51" t="str">
        <f aca="false">IF(OR(J20="",K20="",J20=0),"",K20/J20)</f>
        <v/>
      </c>
      <c r="P20" s="45" t="str">
        <f aca="false">IF(COUNTIFS(5000m比較!$A$5:$A$34,A20,5000m比較!$C$5:$C$34,B20)&gt;0,"○","")</f>
        <v/>
      </c>
    </row>
    <row r="21" customFormat="false" ht="15" hidden="false" customHeight="false" outlineLevel="0" collapsed="false">
      <c r="A21" s="28" t="s">
        <v>61</v>
      </c>
      <c r="B21" s="31" t="s">
        <v>164</v>
      </c>
      <c r="C21" s="34" t="n">
        <v>261</v>
      </c>
      <c r="D21" s="34" t="n">
        <v>201</v>
      </c>
      <c r="E21" s="34" t="n">
        <v>423</v>
      </c>
      <c r="F21" s="34" t="n">
        <v>357</v>
      </c>
      <c r="G21" s="34" t="n">
        <v>275</v>
      </c>
      <c r="H21" s="34" t="n">
        <v>382</v>
      </c>
      <c r="I21" s="34" t="n">
        <v>296</v>
      </c>
      <c r="J21" s="34" t="n">
        <v>667</v>
      </c>
      <c r="K21" s="34" t="n">
        <v>409</v>
      </c>
      <c r="L21" s="34" t="n">
        <v>467</v>
      </c>
      <c r="M21" s="34" t="n">
        <v>287</v>
      </c>
      <c r="N21" s="34" t="n">
        <v>403</v>
      </c>
      <c r="O21" s="51" t="n">
        <f aca="false">IF(OR(J21="",K21="",J21=0),"",K21/J21)</f>
        <v>0.613193403298351</v>
      </c>
      <c r="P21" s="45" t="str">
        <f aca="false">IF(COUNTIFS(5000m比較!$A$5:$A$34,A21,5000m比較!$C$5:$C$34,B21)&gt;0,"○","")</f>
        <v/>
      </c>
    </row>
    <row r="22" customFormat="false" ht="15" hidden="false" customHeight="false" outlineLevel="0" collapsed="false">
      <c r="A22" s="28" t="s">
        <v>61</v>
      </c>
      <c r="B22" s="31" t="s">
        <v>192</v>
      </c>
      <c r="C22" s="34" t="n">
        <v>164</v>
      </c>
      <c r="D22" s="34" t="n">
        <v>322</v>
      </c>
      <c r="E22" s="34" t="n">
        <v>326</v>
      </c>
      <c r="F22" s="34" t="n">
        <v>354</v>
      </c>
      <c r="G22" s="34" t="n">
        <v>286</v>
      </c>
      <c r="H22" s="34" t="n">
        <v>310</v>
      </c>
      <c r="I22" s="34" t="n">
        <v>319</v>
      </c>
      <c r="J22" s="34" t="n">
        <v>563</v>
      </c>
      <c r="K22" s="34" t="n">
        <v>240</v>
      </c>
      <c r="L22" s="34" t="n">
        <v>320</v>
      </c>
      <c r="M22" s="34" t="n">
        <v>368</v>
      </c>
      <c r="N22" s="34" t="n">
        <v>332</v>
      </c>
      <c r="O22" s="51" t="n">
        <f aca="false">IF(OR(J22="",K22="",J22=0),"",K22/J22)</f>
        <v>0.426287744227353</v>
      </c>
      <c r="P22" s="45" t="str">
        <f aca="false">IF(COUNTIFS(5000m比較!$A$5:$A$34,A22,5000m比較!$C$5:$C$34,B22)&gt;0,"○","")</f>
        <v/>
      </c>
    </row>
    <row r="23" customFormat="false" ht="15" hidden="false" customHeight="false" outlineLevel="0" collapsed="false">
      <c r="A23" s="28" t="s">
        <v>61</v>
      </c>
      <c r="B23" s="31" t="s">
        <v>239</v>
      </c>
      <c r="C23" s="34" t="n">
        <v>298</v>
      </c>
      <c r="D23" s="34" t="n">
        <v>377</v>
      </c>
      <c r="E23" s="34" t="n">
        <v>460</v>
      </c>
      <c r="F23" s="34" t="n">
        <v>257</v>
      </c>
      <c r="G23" s="34" t="n">
        <v>58</v>
      </c>
      <c r="H23" s="34" t="n">
        <v>204</v>
      </c>
      <c r="I23" s="34" t="n">
        <v>375</v>
      </c>
      <c r="J23" s="34" t="n">
        <v>285</v>
      </c>
      <c r="K23" s="34" t="n">
        <v>108</v>
      </c>
      <c r="L23" s="34" t="n">
        <v>440</v>
      </c>
      <c r="M23" s="34" t="n">
        <v>331</v>
      </c>
      <c r="N23" s="34" t="n">
        <v>385</v>
      </c>
      <c r="O23" s="51" t="n">
        <f aca="false">IF(OR(J23="",K23="",J23=0),"",K23/J23)</f>
        <v>0.378947368421053</v>
      </c>
      <c r="P23" s="45" t="str">
        <f aca="false">IF(COUNTIFS(5000m比較!$A$5:$A$34,A23,5000m比較!$C$5:$C$34,B23)&gt;0,"○","")</f>
        <v/>
      </c>
    </row>
    <row r="24" customFormat="false" ht="15" hidden="false" customHeight="false" outlineLevel="0" collapsed="false">
      <c r="A24" s="28" t="s">
        <v>61</v>
      </c>
      <c r="B24" s="31" t="s">
        <v>157</v>
      </c>
      <c r="C24" s="34" t="n">
        <v>126</v>
      </c>
      <c r="D24" s="34" t="n">
        <v>411</v>
      </c>
      <c r="E24" s="34" t="n">
        <v>446</v>
      </c>
      <c r="F24" s="34" t="n">
        <v>274</v>
      </c>
      <c r="G24" s="34" t="n">
        <v>305</v>
      </c>
      <c r="H24" s="34" t="n">
        <v>384</v>
      </c>
      <c r="I24" s="34" t="n">
        <v>336</v>
      </c>
      <c r="J24" s="34" t="n">
        <v>698</v>
      </c>
      <c r="K24" s="34" t="n">
        <v>384</v>
      </c>
      <c r="L24" s="34" t="n">
        <v>350</v>
      </c>
      <c r="M24" s="34" t="n">
        <v>415</v>
      </c>
      <c r="N24" s="34" t="n">
        <v>448</v>
      </c>
      <c r="O24" s="51" t="n">
        <f aca="false">IF(OR(J24="",K24="",J24=0),"",K24/J24)</f>
        <v>0.550143266475645</v>
      </c>
      <c r="P24" s="45" t="str">
        <f aca="false">IF(COUNTIFS(5000m比較!$A$5:$A$34,A24,5000m比較!$C$5:$C$34,B24)&gt;0,"○","")</f>
        <v>○</v>
      </c>
    </row>
    <row r="25" customFormat="false" ht="15" hidden="false" customHeight="false" outlineLevel="0" collapsed="false">
      <c r="A25" s="28" t="s">
        <v>61</v>
      </c>
      <c r="B25" s="31" t="s">
        <v>225</v>
      </c>
      <c r="C25" s="34"/>
      <c r="D25" s="34"/>
      <c r="E25" s="34"/>
      <c r="F25" s="34" t="n">
        <v>283</v>
      </c>
      <c r="G25" s="34" t="n">
        <v>34</v>
      </c>
      <c r="H25" s="34" t="n">
        <v>280</v>
      </c>
      <c r="I25" s="34" t="n">
        <v>283</v>
      </c>
      <c r="J25" s="34" t="n">
        <v>0</v>
      </c>
      <c r="K25" s="34" t="n">
        <v>20</v>
      </c>
      <c r="L25" s="34" t="n">
        <v>313</v>
      </c>
      <c r="M25" s="34" t="n">
        <v>413</v>
      </c>
      <c r="N25" s="34" t="n">
        <v>323</v>
      </c>
      <c r="O25" s="51" t="str">
        <f aca="false">IF(OR(J25="",K25="",J25=0),"",K25/J25)</f>
        <v/>
      </c>
      <c r="P25" s="45" t="str">
        <f aca="false">IF(COUNTIFS(5000m比較!$A$5:$A$34,A25,5000m比較!$C$5:$C$34,B25)&gt;0,"○","")</f>
        <v/>
      </c>
    </row>
    <row r="26" customFormat="false" ht="15" hidden="false" customHeight="false" outlineLevel="0" collapsed="false">
      <c r="A26" s="28" t="s">
        <v>61</v>
      </c>
      <c r="B26" s="31" t="s">
        <v>196</v>
      </c>
      <c r="C26" s="34" t="n">
        <v>322</v>
      </c>
      <c r="D26" s="34" t="n">
        <v>310</v>
      </c>
      <c r="E26" s="34" t="n">
        <v>180</v>
      </c>
      <c r="F26" s="34" t="n">
        <v>408</v>
      </c>
      <c r="G26" s="34" t="n">
        <v>370</v>
      </c>
      <c r="H26" s="34" t="n">
        <v>409</v>
      </c>
      <c r="I26" s="34" t="n">
        <v>351</v>
      </c>
      <c r="J26" s="34" t="n">
        <v>439</v>
      </c>
      <c r="K26" s="34" t="n">
        <v>486</v>
      </c>
      <c r="L26" s="34" t="n">
        <v>496</v>
      </c>
      <c r="M26" s="34" t="n">
        <v>292</v>
      </c>
      <c r="N26" s="34" t="n">
        <v>194</v>
      </c>
      <c r="O26" s="51" t="n">
        <f aca="false">IF(OR(J26="",K26="",J26=0),"",K26/J26)</f>
        <v>1.10706150341686</v>
      </c>
      <c r="P26" s="45" t="str">
        <f aca="false">IF(COUNTIFS(5000m比較!$A$5:$A$34,A26,5000m比較!$C$5:$C$34,B26)&gt;0,"○","")</f>
        <v/>
      </c>
    </row>
    <row r="27" customFormat="false" ht="15" hidden="false" customHeight="false" outlineLevel="0" collapsed="false">
      <c r="A27" s="28" t="s">
        <v>61</v>
      </c>
      <c r="B27" s="31" t="s">
        <v>155</v>
      </c>
      <c r="C27" s="34" t="n">
        <v>370</v>
      </c>
      <c r="D27" s="34" t="n">
        <v>303</v>
      </c>
      <c r="E27" s="34" t="n">
        <v>237</v>
      </c>
      <c r="F27" s="34" t="n">
        <v>363</v>
      </c>
      <c r="G27" s="34" t="n">
        <v>421</v>
      </c>
      <c r="H27" s="34" t="n">
        <v>396</v>
      </c>
      <c r="I27" s="34" t="n">
        <v>394</v>
      </c>
      <c r="J27" s="34" t="n">
        <v>710</v>
      </c>
      <c r="K27" s="34" t="n">
        <v>384</v>
      </c>
      <c r="L27" s="34" t="n">
        <v>415</v>
      </c>
      <c r="M27" s="34" t="n">
        <v>432</v>
      </c>
      <c r="N27" s="34" t="n">
        <v>430</v>
      </c>
      <c r="O27" s="51" t="n">
        <f aca="false">IF(OR(J27="",K27="",J27=0),"",K27/J27)</f>
        <v>0.540845070422535</v>
      </c>
      <c r="P27" s="45" t="str">
        <f aca="false">IF(COUNTIFS(5000m比較!$A$5:$A$34,A27,5000m比較!$C$5:$C$34,B27)&gt;0,"○","")</f>
        <v>○</v>
      </c>
    </row>
    <row r="28" customFormat="false" ht="15" hidden="false" customHeight="false" outlineLevel="0" collapsed="false">
      <c r="A28" s="28" t="s">
        <v>61</v>
      </c>
      <c r="B28" s="31" t="s">
        <v>189</v>
      </c>
      <c r="C28" s="34" t="n">
        <v>311</v>
      </c>
      <c r="D28" s="34" t="n">
        <v>133</v>
      </c>
      <c r="E28" s="34" t="n">
        <v>380</v>
      </c>
      <c r="F28" s="34" t="n">
        <v>284</v>
      </c>
      <c r="G28" s="34" t="n">
        <v>378</v>
      </c>
      <c r="H28" s="34" t="n">
        <v>410</v>
      </c>
      <c r="I28" s="34" t="n">
        <v>360</v>
      </c>
      <c r="J28" s="34" t="n">
        <v>520</v>
      </c>
      <c r="K28" s="34" t="n">
        <v>382</v>
      </c>
      <c r="L28" s="34" t="n">
        <v>462</v>
      </c>
      <c r="M28" s="34" t="n">
        <v>346</v>
      </c>
      <c r="N28" s="34" t="n">
        <v>452</v>
      </c>
      <c r="O28" s="51" t="n">
        <f aca="false">IF(OR(J28="",K28="",J28=0),"",K28/J28)</f>
        <v>0.734615384615385</v>
      </c>
      <c r="P28" s="45" t="str">
        <f aca="false">IF(COUNTIFS(5000m比較!$A$5:$A$34,A28,5000m比較!$C$5:$C$34,B28)&gt;0,"○","")</f>
        <v/>
      </c>
    </row>
    <row r="29" customFormat="false" ht="15" hidden="false" customHeight="false" outlineLevel="0" collapsed="false">
      <c r="A29" s="28" t="s">
        <v>61</v>
      </c>
      <c r="B29" s="31" t="s">
        <v>213</v>
      </c>
      <c r="C29" s="34" t="n">
        <v>207</v>
      </c>
      <c r="D29" s="34" t="n">
        <v>360</v>
      </c>
      <c r="E29" s="34" t="n">
        <v>207</v>
      </c>
      <c r="F29" s="34" t="n">
        <v>360</v>
      </c>
      <c r="G29" s="34" t="n">
        <v>407</v>
      </c>
      <c r="H29" s="34" t="n">
        <v>133</v>
      </c>
      <c r="I29" s="34" t="n">
        <v>276</v>
      </c>
      <c r="J29" s="34" t="n">
        <v>596</v>
      </c>
      <c r="K29" s="34" t="n">
        <v>302</v>
      </c>
      <c r="L29" s="34" t="n">
        <v>254</v>
      </c>
      <c r="M29" s="34" t="n">
        <v>246</v>
      </c>
      <c r="N29" s="34" t="n">
        <v>341</v>
      </c>
      <c r="O29" s="51" t="n">
        <f aca="false">IF(OR(J29="",K29="",J29=0),"",K29/J29)</f>
        <v>0.506711409395973</v>
      </c>
      <c r="P29" s="45" t="str">
        <f aca="false">IF(COUNTIFS(5000m比較!$A$5:$A$34,A29,5000m比較!$C$5:$C$34,B29)&gt;0,"○","")</f>
        <v/>
      </c>
    </row>
    <row r="30" customFormat="false" ht="15" hidden="false" customHeight="false" outlineLevel="0" collapsed="false">
      <c r="A30" s="28" t="s">
        <v>61</v>
      </c>
      <c r="B30" s="31" t="s">
        <v>158</v>
      </c>
      <c r="C30" s="34" t="n">
        <v>348</v>
      </c>
      <c r="D30" s="34" t="n">
        <v>411</v>
      </c>
      <c r="E30" s="34" t="n">
        <v>503</v>
      </c>
      <c r="F30" s="34" t="n">
        <v>345</v>
      </c>
      <c r="G30" s="34" t="n">
        <v>274</v>
      </c>
      <c r="H30" s="34" t="n">
        <v>359</v>
      </c>
      <c r="I30" s="34" t="n">
        <v>337</v>
      </c>
      <c r="J30" s="34" t="n">
        <v>630</v>
      </c>
      <c r="K30" s="34" t="n">
        <v>310</v>
      </c>
      <c r="L30" s="34" t="n">
        <v>494</v>
      </c>
      <c r="M30" s="34" t="n">
        <v>341</v>
      </c>
      <c r="N30" s="34" t="n">
        <v>491</v>
      </c>
      <c r="O30" s="51" t="n">
        <f aca="false">IF(OR(J30="",K30="",J30=0),"",K30/J30)</f>
        <v>0.492063492063492</v>
      </c>
      <c r="P30" s="45" t="str">
        <f aca="false">IF(COUNTIFS(5000m比較!$A$5:$A$34,A30,5000m比較!$C$5:$C$34,B30)&gt;0,"○","")</f>
        <v>○</v>
      </c>
    </row>
    <row r="31" customFormat="false" ht="15" hidden="false" customHeight="false" outlineLevel="0" collapsed="false">
      <c r="A31" s="28" t="s">
        <v>61</v>
      </c>
      <c r="B31" s="31" t="s">
        <v>290</v>
      </c>
      <c r="C31" s="34" t="n">
        <v>328</v>
      </c>
      <c r="D31" s="34" t="n">
        <v>439</v>
      </c>
      <c r="E31" s="34" t="n">
        <v>340</v>
      </c>
      <c r="F31" s="34" t="n">
        <v>330</v>
      </c>
      <c r="G31" s="34" t="n">
        <v>320</v>
      </c>
      <c r="H31" s="34" t="n">
        <v>360</v>
      </c>
      <c r="I31" s="34" t="n">
        <v>40</v>
      </c>
      <c r="J31" s="34" t="n">
        <v>580</v>
      </c>
      <c r="K31" s="34" t="n">
        <v>480</v>
      </c>
      <c r="L31" s="34" t="n">
        <v>400</v>
      </c>
      <c r="M31" s="34" t="n">
        <v>350</v>
      </c>
      <c r="N31" s="34" t="n">
        <v>410</v>
      </c>
      <c r="O31" s="51" t="n">
        <f aca="false">IF(OR(J31="",K31="",J31=0),"",K31/J31)</f>
        <v>0.827586206896552</v>
      </c>
      <c r="P31" s="45" t="str">
        <f aca="false">IF(COUNTIFS(5000m比較!$A$5:$A$34,A31,5000m比較!$C$5:$C$34,B31)&gt;0,"○","")</f>
        <v/>
      </c>
    </row>
    <row r="32" customFormat="false" ht="15" hidden="false" customHeight="false" outlineLevel="0" collapsed="false">
      <c r="A32" s="28" t="s">
        <v>61</v>
      </c>
      <c r="B32" s="31" t="s">
        <v>236</v>
      </c>
      <c r="C32" s="34"/>
      <c r="D32" s="34"/>
      <c r="E32" s="34"/>
      <c r="F32" s="34" t="n">
        <v>220.5</v>
      </c>
      <c r="G32" s="34" t="n">
        <v>404</v>
      </c>
      <c r="H32" s="34" t="n">
        <v>367</v>
      </c>
      <c r="I32" s="34" t="n">
        <v>397</v>
      </c>
      <c r="J32" s="34" t="n">
        <v>687</v>
      </c>
      <c r="K32" s="34" t="n">
        <v>262.5</v>
      </c>
      <c r="L32" s="34" t="n">
        <v>390.5</v>
      </c>
      <c r="M32" s="34" t="n">
        <v>336</v>
      </c>
      <c r="N32" s="34" t="n">
        <v>432.5</v>
      </c>
      <c r="O32" s="51" t="n">
        <f aca="false">IF(OR(J32="",K32="",J32=0),"",K32/J32)</f>
        <v>0.382096069868996</v>
      </c>
      <c r="P32" s="45" t="str">
        <f aca="false">IF(COUNTIFS(5000m比較!$A$5:$A$34,A32,5000m比較!$C$5:$C$34,B32)&gt;0,"○","")</f>
        <v/>
      </c>
    </row>
    <row r="33" customFormat="false" ht="15" hidden="false" customHeight="false" outlineLevel="0" collapsed="false">
      <c r="A33" s="28" t="s">
        <v>61</v>
      </c>
      <c r="B33" s="31" t="s">
        <v>187</v>
      </c>
      <c r="C33" s="34" t="n">
        <v>360</v>
      </c>
      <c r="D33" s="34" t="n">
        <v>112</v>
      </c>
      <c r="E33" s="34" t="n">
        <v>453</v>
      </c>
      <c r="F33" s="34" t="n">
        <v>203</v>
      </c>
      <c r="G33" s="34" t="n">
        <v>477</v>
      </c>
      <c r="H33" s="34" t="n">
        <v>423</v>
      </c>
      <c r="I33" s="34" t="n">
        <v>362</v>
      </c>
      <c r="J33" s="34" t="n">
        <v>732</v>
      </c>
      <c r="K33" s="34" t="n">
        <v>434</v>
      </c>
      <c r="L33" s="34" t="n">
        <v>396</v>
      </c>
      <c r="M33" s="34" t="n">
        <v>265</v>
      </c>
      <c r="N33" s="34" t="n">
        <v>459</v>
      </c>
      <c r="O33" s="51" t="n">
        <f aca="false">IF(OR(J33="",K33="",J33=0),"",K33/J33)</f>
        <v>0.592896174863388</v>
      </c>
      <c r="P33" s="45" t="str">
        <f aca="false">IF(COUNTIFS(5000m比較!$A$5:$A$34,A33,5000m比較!$C$5:$C$34,B33)&gt;0,"○","")</f>
        <v/>
      </c>
    </row>
    <row r="34" customFormat="false" ht="15" hidden="false" customHeight="false" outlineLevel="0" collapsed="false">
      <c r="A34" s="28" t="s">
        <v>61</v>
      </c>
      <c r="B34" s="31" t="s">
        <v>232</v>
      </c>
      <c r="C34" s="34"/>
      <c r="D34" s="34"/>
      <c r="E34" s="34"/>
      <c r="F34" s="34" t="n">
        <v>266</v>
      </c>
      <c r="G34" s="34" t="n">
        <v>415</v>
      </c>
      <c r="H34" s="34" t="n">
        <v>386</v>
      </c>
      <c r="I34" s="34" t="n">
        <v>343</v>
      </c>
      <c r="J34" s="34" t="n">
        <v>754</v>
      </c>
      <c r="K34" s="34" t="n">
        <v>367.5</v>
      </c>
      <c r="L34" s="34" t="n">
        <v>332.1</v>
      </c>
      <c r="M34" s="34" t="n">
        <v>310.9</v>
      </c>
      <c r="N34" s="34" t="n">
        <v>424</v>
      </c>
      <c r="O34" s="51" t="n">
        <f aca="false">IF(OR(J34="",K34="",J34=0),"",K34/J34)</f>
        <v>0.487400530503979</v>
      </c>
      <c r="P34" s="45" t="str">
        <f aca="false">IF(COUNTIFS(5000m比較!$A$5:$A$34,A34,5000m比較!$C$5:$C$34,B34)&gt;0,"○","")</f>
        <v/>
      </c>
    </row>
    <row r="35" customFormat="false" ht="15" hidden="false" customHeight="false" outlineLevel="0" collapsed="false">
      <c r="A35" s="28" t="s">
        <v>61</v>
      </c>
      <c r="B35" s="31" t="s">
        <v>188</v>
      </c>
      <c r="C35" s="34"/>
      <c r="D35" s="34"/>
      <c r="E35" s="34"/>
      <c r="F35" s="34" t="n">
        <v>342</v>
      </c>
      <c r="G35" s="34" t="n">
        <v>409</v>
      </c>
      <c r="H35" s="34" t="n">
        <v>307</v>
      </c>
      <c r="I35" s="34" t="n">
        <v>211</v>
      </c>
      <c r="J35" s="34" t="n">
        <v>624</v>
      </c>
      <c r="K35" s="34" t="n">
        <v>304</v>
      </c>
      <c r="L35" s="34" t="n">
        <v>412</v>
      </c>
      <c r="M35" s="34" t="n">
        <v>324</v>
      </c>
      <c r="N35" s="34" t="n">
        <v>430</v>
      </c>
      <c r="O35" s="51" t="n">
        <f aca="false">IF(OR(J35="",K35="",J35=0),"",K35/J35)</f>
        <v>0.487179487179487</v>
      </c>
      <c r="P35" s="45" t="str">
        <f aca="false">IF(COUNTIFS(5000m比較!$A$5:$A$34,A35,5000m比較!$C$5:$C$34,B35)&gt;0,"○","")</f>
        <v/>
      </c>
    </row>
    <row r="36" customFormat="false" ht="15" hidden="false" customHeight="false" outlineLevel="0" collapsed="false">
      <c r="A36" s="28" t="s">
        <v>61</v>
      </c>
      <c r="B36" s="31" t="s">
        <v>153</v>
      </c>
      <c r="C36" s="34" t="n">
        <v>286</v>
      </c>
      <c r="D36" s="34" t="n">
        <v>405</v>
      </c>
      <c r="E36" s="34" t="n">
        <v>489</v>
      </c>
      <c r="F36" s="34"/>
      <c r="G36" s="34" t="n">
        <v>369</v>
      </c>
      <c r="H36" s="34" t="n">
        <v>404</v>
      </c>
      <c r="I36" s="34" t="n">
        <v>344</v>
      </c>
      <c r="J36" s="34" t="n">
        <v>674</v>
      </c>
      <c r="K36" s="34" t="n">
        <v>373</v>
      </c>
      <c r="L36" s="34" t="n">
        <v>443</v>
      </c>
      <c r="M36" s="34" t="n">
        <v>384</v>
      </c>
      <c r="N36" s="34" t="n">
        <v>478</v>
      </c>
      <c r="O36" s="51" t="n">
        <f aca="false">IF(OR(J36="",K36="",J36=0),"",K36/J36)</f>
        <v>0.553412462908012</v>
      </c>
      <c r="P36" s="45" t="str">
        <f aca="false">IF(COUNTIFS(5000m比較!$A$5:$A$34,A36,5000m比較!$C$5:$C$34,B36)&gt;0,"○","")</f>
        <v>○</v>
      </c>
    </row>
    <row r="37" customFormat="false" ht="15" hidden="false" customHeight="false" outlineLevel="0" collapsed="false">
      <c r="A37" s="28" t="s">
        <v>61</v>
      </c>
      <c r="B37" s="31" t="s">
        <v>229</v>
      </c>
      <c r="C37" s="34"/>
      <c r="D37" s="34"/>
      <c r="E37" s="34"/>
      <c r="F37" s="34" t="n">
        <v>212</v>
      </c>
      <c r="G37" s="34" t="n">
        <v>193</v>
      </c>
      <c r="H37" s="34" t="n">
        <v>253</v>
      </c>
      <c r="I37" s="34" t="n">
        <v>213</v>
      </c>
      <c r="J37" s="34" t="n">
        <v>667</v>
      </c>
      <c r="K37" s="34" t="n">
        <v>368</v>
      </c>
      <c r="L37" s="34" t="n">
        <v>413</v>
      </c>
      <c r="M37" s="34" t="n">
        <v>356</v>
      </c>
      <c r="N37" s="34" t="n">
        <v>324</v>
      </c>
      <c r="O37" s="51" t="n">
        <f aca="false">IF(OR(J37="",K37="",J37=0),"",K37/J37)</f>
        <v>0.551724137931035</v>
      </c>
      <c r="P37" s="45" t="str">
        <f aca="false">IF(COUNTIFS(5000m比較!$A$5:$A$34,A37,5000m比較!$C$5:$C$34,B37)&gt;0,"○","")</f>
        <v/>
      </c>
    </row>
    <row r="38" customFormat="false" ht="15" hidden="false" customHeight="false" outlineLevel="0" collapsed="false">
      <c r="A38" s="28" t="s">
        <v>61</v>
      </c>
      <c r="B38" s="31" t="s">
        <v>193</v>
      </c>
      <c r="C38" s="34"/>
      <c r="D38" s="34"/>
      <c r="E38" s="34"/>
      <c r="F38" s="34" t="n">
        <v>362</v>
      </c>
      <c r="G38" s="34" t="n">
        <v>392</v>
      </c>
      <c r="H38" s="34" t="n">
        <v>412</v>
      </c>
      <c r="I38" s="34" t="n">
        <v>318</v>
      </c>
      <c r="J38" s="34" t="n">
        <v>670</v>
      </c>
      <c r="K38" s="34" t="n">
        <v>382</v>
      </c>
      <c r="L38" s="34" t="n">
        <v>478</v>
      </c>
      <c r="M38" s="34" t="n">
        <v>343</v>
      </c>
      <c r="N38" s="34" t="n">
        <v>395</v>
      </c>
      <c r="O38" s="51" t="n">
        <f aca="false">IF(OR(J38="",K38="",J38=0),"",K38/J38)</f>
        <v>0.570149253731343</v>
      </c>
      <c r="P38" s="45" t="str">
        <f aca="false">IF(COUNTIFS(5000m比較!$A$5:$A$34,A38,5000m比較!$C$5:$C$34,B38)&gt;0,"○","")</f>
        <v/>
      </c>
    </row>
    <row r="39" customFormat="false" ht="15" hidden="false" customHeight="false" outlineLevel="0" collapsed="false">
      <c r="A39" s="28" t="s">
        <v>61</v>
      </c>
      <c r="B39" s="31" t="s">
        <v>291</v>
      </c>
      <c r="C39" s="34" t="n">
        <v>120</v>
      </c>
      <c r="D39" s="34" t="n">
        <v>220</v>
      </c>
      <c r="E39" s="34" t="n">
        <v>390</v>
      </c>
      <c r="F39" s="34" t="n">
        <v>321</v>
      </c>
      <c r="G39" s="34" t="n">
        <v>280</v>
      </c>
      <c r="H39" s="34" t="n">
        <v>156</v>
      </c>
      <c r="I39" s="34" t="n">
        <v>295</v>
      </c>
      <c r="J39" s="34" t="n">
        <v>684</v>
      </c>
      <c r="K39" s="34" t="n">
        <v>372</v>
      </c>
      <c r="L39" s="34" t="n">
        <v>422</v>
      </c>
      <c r="M39" s="34" t="n">
        <v>359</v>
      </c>
      <c r="N39" s="34" t="n">
        <v>464</v>
      </c>
      <c r="O39" s="51" t="n">
        <f aca="false">IF(OR(J39="",K39="",J39=0),"",K39/J39)</f>
        <v>0.543859649122807</v>
      </c>
      <c r="P39" s="45" t="str">
        <f aca="false">IF(COUNTIFS(5000m比較!$A$5:$A$34,A39,5000m比較!$C$5:$C$34,B39)&gt;0,"○","")</f>
        <v/>
      </c>
    </row>
    <row r="40" customFormat="false" ht="15" hidden="false" customHeight="false" outlineLevel="0" collapsed="false">
      <c r="A40" s="28" t="s">
        <v>61</v>
      </c>
      <c r="B40" s="31" t="s">
        <v>170</v>
      </c>
      <c r="C40" s="34" t="n">
        <v>369</v>
      </c>
      <c r="D40" s="34" t="n">
        <v>476</v>
      </c>
      <c r="E40" s="34" t="n">
        <v>456</v>
      </c>
      <c r="F40" s="34" t="n">
        <v>298</v>
      </c>
      <c r="G40" s="34" t="n">
        <v>217</v>
      </c>
      <c r="H40" s="34" t="n">
        <v>349</v>
      </c>
      <c r="I40" s="34" t="n">
        <v>289</v>
      </c>
      <c r="J40" s="34" t="n">
        <v>476</v>
      </c>
      <c r="K40" s="34" t="n">
        <v>49.1</v>
      </c>
      <c r="L40" s="34" t="n">
        <v>291.6</v>
      </c>
      <c r="M40" s="34" t="n">
        <v>395</v>
      </c>
      <c r="N40" s="34" t="n">
        <v>454.2</v>
      </c>
      <c r="O40" s="51" t="n">
        <f aca="false">IF(OR(J40="",K40="",J40=0),"",K40/J40)</f>
        <v>0.103151260504202</v>
      </c>
      <c r="P40" s="45" t="str">
        <f aca="false">IF(COUNTIFS(5000m比較!$A$5:$A$34,A40,5000m比較!$C$5:$C$34,B40)&gt;0,"○","")</f>
        <v/>
      </c>
    </row>
    <row r="41" customFormat="false" ht="15" hidden="false" customHeight="false" outlineLevel="0" collapsed="false">
      <c r="A41" s="28" t="s">
        <v>61</v>
      </c>
      <c r="B41" s="31" t="s">
        <v>234</v>
      </c>
      <c r="C41" s="34"/>
      <c r="D41" s="34"/>
      <c r="E41" s="34"/>
      <c r="F41" s="34" t="n">
        <v>342</v>
      </c>
      <c r="G41" s="34" t="n">
        <v>373</v>
      </c>
      <c r="H41" s="34" t="n">
        <v>341</v>
      </c>
      <c r="I41" s="34" t="n">
        <v>221</v>
      </c>
      <c r="J41" s="34" t="n">
        <v>622</v>
      </c>
      <c r="K41" s="34" t="n">
        <v>106</v>
      </c>
      <c r="L41" s="34" t="n">
        <v>260</v>
      </c>
      <c r="M41" s="34" t="n">
        <v>309</v>
      </c>
      <c r="N41" s="34" t="n">
        <v>420</v>
      </c>
      <c r="O41" s="51" t="n">
        <f aca="false">IF(OR(J41="",K41="",J41=0),"",K41/J41)</f>
        <v>0.170418006430868</v>
      </c>
      <c r="P41" s="45" t="str">
        <f aca="false">IF(COUNTIFS(5000m比較!$A$5:$A$34,A41,5000m比較!$C$5:$C$34,B41)&gt;0,"○","")</f>
        <v/>
      </c>
    </row>
    <row r="42" customFormat="false" ht="15" hidden="false" customHeight="false" outlineLevel="0" collapsed="false">
      <c r="A42" s="28" t="s">
        <v>61</v>
      </c>
      <c r="B42" s="31" t="s">
        <v>191</v>
      </c>
      <c r="C42" s="34" t="n">
        <v>375</v>
      </c>
      <c r="D42" s="34" t="n">
        <v>344</v>
      </c>
      <c r="E42" s="34" t="n">
        <v>507</v>
      </c>
      <c r="F42" s="34"/>
      <c r="G42" s="34" t="n">
        <v>353</v>
      </c>
      <c r="H42" s="34" t="n">
        <v>70</v>
      </c>
      <c r="I42" s="34" t="n">
        <v>415</v>
      </c>
      <c r="J42" s="34" t="n">
        <v>715</v>
      </c>
      <c r="K42" s="34" t="n">
        <v>244</v>
      </c>
      <c r="L42" s="34" t="n">
        <v>478</v>
      </c>
      <c r="M42" s="34" t="n">
        <v>331</v>
      </c>
      <c r="N42" s="34" t="n">
        <v>462</v>
      </c>
      <c r="O42" s="51" t="n">
        <f aca="false">IF(OR(J42="",K42="",J42=0),"",K42/J42)</f>
        <v>0.341258741258741</v>
      </c>
      <c r="P42" s="45" t="str">
        <f aca="false">IF(COUNTIFS(5000m比較!$A$5:$A$34,A42,5000m比較!$C$5:$C$34,B42)&gt;0,"○","")</f>
        <v/>
      </c>
    </row>
    <row r="43" customFormat="false" ht="15" hidden="false" customHeight="false" outlineLevel="0" collapsed="false">
      <c r="A43" s="28" t="s">
        <v>61</v>
      </c>
      <c r="B43" s="31" t="s">
        <v>186</v>
      </c>
      <c r="C43" s="34" t="n">
        <v>94</v>
      </c>
      <c r="D43" s="34" t="n">
        <v>384</v>
      </c>
      <c r="E43" s="34" t="n">
        <v>484</v>
      </c>
      <c r="F43" s="34" t="n">
        <v>320</v>
      </c>
      <c r="G43" s="34" t="n">
        <v>262</v>
      </c>
      <c r="H43" s="34" t="n">
        <v>338</v>
      </c>
      <c r="I43" s="34" t="n">
        <v>352</v>
      </c>
      <c r="J43" s="34" t="n">
        <v>699</v>
      </c>
      <c r="K43" s="34" t="n">
        <v>341</v>
      </c>
      <c r="L43" s="34" t="n">
        <v>402</v>
      </c>
      <c r="M43" s="34" t="n">
        <v>285</v>
      </c>
      <c r="N43" s="34" t="n">
        <v>437</v>
      </c>
      <c r="O43" s="51" t="n">
        <f aca="false">IF(OR(J43="",K43="",J43=0),"",K43/J43)</f>
        <v>0.487839771101574</v>
      </c>
      <c r="P43" s="45" t="str">
        <f aca="false">IF(COUNTIFS(5000m比較!$A$5:$A$34,A43,5000m比較!$C$5:$C$34,B43)&gt;0,"○","")</f>
        <v/>
      </c>
    </row>
    <row r="44" customFormat="false" ht="15" hidden="false" customHeight="false" outlineLevel="0" collapsed="false">
      <c r="A44" s="28" t="s">
        <v>61</v>
      </c>
      <c r="B44" s="31" t="s">
        <v>156</v>
      </c>
      <c r="C44" s="34" t="n">
        <v>321</v>
      </c>
      <c r="D44" s="34" t="n">
        <v>23</v>
      </c>
      <c r="E44" s="34" t="n">
        <v>314</v>
      </c>
      <c r="F44" s="34" t="n">
        <v>373</v>
      </c>
      <c r="G44" s="34" t="n">
        <v>191</v>
      </c>
      <c r="H44" s="34" t="n">
        <v>169</v>
      </c>
      <c r="I44" s="34" t="n">
        <v>408</v>
      </c>
      <c r="J44" s="34" t="n">
        <v>638</v>
      </c>
      <c r="K44" s="34" t="n">
        <v>510</v>
      </c>
      <c r="L44" s="34" t="n">
        <v>430</v>
      </c>
      <c r="M44" s="34" t="n">
        <v>479</v>
      </c>
      <c r="N44" s="34" t="n">
        <v>450</v>
      </c>
      <c r="O44" s="51" t="n">
        <f aca="false">IF(OR(J44="",K44="",J44=0),"",K44/J44)</f>
        <v>0.799373040752351</v>
      </c>
      <c r="P44" s="45" t="str">
        <f aca="false">IF(COUNTIFS(5000m比較!$A$5:$A$34,A44,5000m比較!$C$5:$C$34,B44)&gt;0,"○","")</f>
        <v>○</v>
      </c>
    </row>
    <row r="45" customFormat="false" ht="15" hidden="false" customHeight="false" outlineLevel="0" collapsed="false">
      <c r="A45" s="28" t="s">
        <v>61</v>
      </c>
      <c r="B45" s="31" t="s">
        <v>160</v>
      </c>
      <c r="C45" s="34" t="n">
        <v>58</v>
      </c>
      <c r="D45" s="34" t="n">
        <v>100</v>
      </c>
      <c r="E45" s="34" t="n">
        <v>385</v>
      </c>
      <c r="F45" s="34" t="n">
        <v>117</v>
      </c>
      <c r="G45" s="34" t="n">
        <v>219</v>
      </c>
      <c r="H45" s="34" t="n">
        <v>329</v>
      </c>
      <c r="I45" s="34" t="n">
        <v>340</v>
      </c>
      <c r="J45" s="34" t="n">
        <v>580</v>
      </c>
      <c r="K45" s="34" t="n">
        <v>331</v>
      </c>
      <c r="L45" s="34" t="n">
        <v>448</v>
      </c>
      <c r="M45" s="34" t="n">
        <v>142</v>
      </c>
      <c r="N45" s="34" t="n">
        <v>96</v>
      </c>
      <c r="O45" s="51" t="n">
        <f aca="false">IF(OR(J45="",K45="",J45=0),"",K45/J45)</f>
        <v>0.570689655172414</v>
      </c>
      <c r="P45" s="45" t="str">
        <f aca="false">IF(COUNTIFS(5000m比較!$A$5:$A$34,A45,5000m比較!$C$5:$C$34,B45)&gt;0,"○","")</f>
        <v/>
      </c>
    </row>
    <row r="46" customFormat="false" ht="15" hidden="false" customHeight="false" outlineLevel="0" collapsed="false">
      <c r="A46" s="28" t="s">
        <v>61</v>
      </c>
      <c r="B46" s="31" t="s">
        <v>190</v>
      </c>
      <c r="C46" s="34" t="n">
        <v>124</v>
      </c>
      <c r="D46" s="34" t="n">
        <v>353</v>
      </c>
      <c r="E46" s="34" t="n">
        <v>185</v>
      </c>
      <c r="F46" s="34" t="n">
        <v>74</v>
      </c>
      <c r="G46" s="34" t="n">
        <v>390</v>
      </c>
      <c r="H46" s="34" t="n">
        <v>384</v>
      </c>
      <c r="I46" s="34" t="n">
        <v>327</v>
      </c>
      <c r="J46" s="34" t="n">
        <v>675</v>
      </c>
      <c r="K46" s="34" t="n">
        <v>417</v>
      </c>
      <c r="L46" s="34" t="n">
        <v>396</v>
      </c>
      <c r="M46" s="34" t="n">
        <v>312</v>
      </c>
      <c r="N46" s="34" t="n">
        <v>295</v>
      </c>
      <c r="O46" s="51" t="n">
        <f aca="false">IF(OR(J46="",K46="",J46=0),"",K46/J46)</f>
        <v>0.617777777777778</v>
      </c>
      <c r="P46" s="45" t="str">
        <f aca="false">IF(COUNTIFS(5000m比較!$A$5:$A$34,A46,5000m比較!$C$5:$C$34,B46)&gt;0,"○","")</f>
        <v/>
      </c>
    </row>
    <row r="47" customFormat="false" ht="15" hidden="false" customHeight="false" outlineLevel="0" collapsed="false">
      <c r="A47" s="28" t="s">
        <v>61</v>
      </c>
      <c r="B47" s="31" t="s">
        <v>292</v>
      </c>
      <c r="C47" s="34" t="n">
        <v>298</v>
      </c>
      <c r="D47" s="34" t="n">
        <v>213</v>
      </c>
      <c r="E47" s="34" t="n">
        <v>17</v>
      </c>
      <c r="F47" s="34" t="n">
        <v>188</v>
      </c>
      <c r="G47" s="34" t="n">
        <v>105</v>
      </c>
      <c r="H47" s="34" t="n">
        <v>312</v>
      </c>
      <c r="I47" s="34" t="n">
        <v>391</v>
      </c>
      <c r="J47" s="34" t="n">
        <v>646</v>
      </c>
      <c r="K47" s="34" t="n">
        <v>380</v>
      </c>
      <c r="L47" s="34" t="n">
        <v>450</v>
      </c>
      <c r="M47" s="34" t="n">
        <v>231</v>
      </c>
      <c r="N47" s="34" t="n">
        <v>264</v>
      </c>
      <c r="O47" s="51" t="n">
        <f aca="false">IF(OR(J47="",K47="",J47=0),"",K47/J47)</f>
        <v>0.588235294117647</v>
      </c>
      <c r="P47" s="45" t="str">
        <f aca="false">IF(COUNTIFS(5000m比較!$A$5:$A$34,A47,5000m比較!$C$5:$C$34,B47)&gt;0,"○","")</f>
        <v/>
      </c>
    </row>
    <row r="48" customFormat="false" ht="15" hidden="false" customHeight="false" outlineLevel="0" collapsed="false">
      <c r="A48" s="28" t="s">
        <v>61</v>
      </c>
      <c r="B48" s="31" t="s">
        <v>293</v>
      </c>
      <c r="C48" s="34"/>
      <c r="D48" s="34"/>
      <c r="E48" s="34"/>
      <c r="F48" s="34" t="n">
        <v>347</v>
      </c>
      <c r="G48" s="34" t="n">
        <v>432</v>
      </c>
      <c r="H48" s="34" t="n">
        <v>442</v>
      </c>
      <c r="I48" s="34" t="n">
        <v>447</v>
      </c>
      <c r="J48" s="34" t="n">
        <v>712</v>
      </c>
      <c r="K48" s="34" t="n">
        <v>464</v>
      </c>
      <c r="L48" s="34" t="n">
        <v>498</v>
      </c>
      <c r="M48" s="34" t="n">
        <v>323</v>
      </c>
      <c r="N48" s="34" t="n">
        <v>450</v>
      </c>
      <c r="O48" s="51" t="n">
        <f aca="false">IF(OR(J48="",K48="",J48=0),"",K48/J48)</f>
        <v>0.651685393258427</v>
      </c>
      <c r="P48" s="45" t="str">
        <f aca="false">IF(COUNTIFS(5000m比較!$A$5:$A$34,A48,5000m比較!$C$5:$C$34,B48)&gt;0,"○","")</f>
        <v/>
      </c>
    </row>
    <row r="49" customFormat="false" ht="15" hidden="false" customHeight="false" outlineLevel="0" collapsed="false">
      <c r="A49" s="28" t="s">
        <v>61</v>
      </c>
      <c r="B49" s="31" t="s">
        <v>166</v>
      </c>
      <c r="C49" s="34" t="n">
        <v>348</v>
      </c>
      <c r="D49" s="34" t="n">
        <v>405</v>
      </c>
      <c r="E49" s="34" t="n">
        <v>452</v>
      </c>
      <c r="F49" s="34" t="n">
        <v>485</v>
      </c>
      <c r="G49" s="34"/>
      <c r="H49" s="34"/>
      <c r="I49" s="34"/>
      <c r="J49" s="34"/>
      <c r="K49" s="34"/>
      <c r="L49" s="34"/>
      <c r="M49" s="34" t="n">
        <v>382</v>
      </c>
      <c r="N49" s="34" t="n">
        <v>397</v>
      </c>
      <c r="O49" s="51" t="str">
        <f aca="false">IF(OR(J49="",K49="",J49=0),"",K49/J49)</f>
        <v/>
      </c>
      <c r="P49" s="45" t="str">
        <f aca="false">IF(COUNTIFS(5000m比較!$A$5:$A$34,A49,5000m比較!$C$5:$C$34,B49)&gt;0,"○","")</f>
        <v/>
      </c>
    </row>
    <row r="50" customFormat="false" ht="15" hidden="false" customHeight="false" outlineLevel="0" collapsed="false">
      <c r="A50" s="28" t="s">
        <v>61</v>
      </c>
      <c r="B50" s="31" t="s">
        <v>162</v>
      </c>
      <c r="C50" s="34"/>
      <c r="D50" s="34"/>
      <c r="E50" s="34"/>
      <c r="F50" s="34" t="n">
        <v>229</v>
      </c>
      <c r="G50" s="34" t="n">
        <v>307</v>
      </c>
      <c r="H50" s="34" t="n">
        <v>314</v>
      </c>
      <c r="I50" s="34" t="n">
        <v>247</v>
      </c>
      <c r="J50" s="34" t="n">
        <v>343</v>
      </c>
      <c r="K50" s="34" t="n">
        <v>360</v>
      </c>
      <c r="L50" s="34" t="n">
        <v>415</v>
      </c>
      <c r="M50" s="34" t="n">
        <v>318</v>
      </c>
      <c r="N50" s="34" t="n">
        <v>408</v>
      </c>
      <c r="O50" s="51" t="n">
        <f aca="false">IF(OR(J50="",K50="",J50=0),"",K50/J50)</f>
        <v>1.04956268221574</v>
      </c>
      <c r="P50" s="45" t="str">
        <f aca="false">IF(COUNTIFS(5000m比較!$A$5:$A$34,A50,5000m比較!$C$5:$C$34,B50)&gt;0,"○","")</f>
        <v/>
      </c>
    </row>
    <row r="51" customFormat="false" ht="15" hidden="false" customHeight="false" outlineLevel="0" collapsed="false">
      <c r="A51" s="13" t="s">
        <v>62</v>
      </c>
      <c r="B51" s="36" t="s">
        <v>206</v>
      </c>
      <c r="C51" s="14"/>
      <c r="D51" s="14"/>
      <c r="E51" s="14" t="n">
        <v>156</v>
      </c>
      <c r="F51" s="14" t="n">
        <v>235</v>
      </c>
      <c r="G51" s="14" t="n">
        <v>398</v>
      </c>
      <c r="H51" s="14" t="n">
        <v>350</v>
      </c>
      <c r="I51" s="14" t="n">
        <v>340</v>
      </c>
      <c r="J51" s="14" t="n">
        <v>401</v>
      </c>
      <c r="K51" s="14" t="n">
        <v>443</v>
      </c>
      <c r="L51" s="14" t="n">
        <v>297</v>
      </c>
      <c r="M51" s="14" t="n">
        <v>410</v>
      </c>
      <c r="N51" s="14"/>
      <c r="O51" s="22" t="n">
        <f aca="false">IF(OR(J51="",K51="",J51=0),"",K51/J51)</f>
        <v>1.10473815461347</v>
      </c>
      <c r="P51" s="8" t="str">
        <f aca="false">IF(COUNTIFS(5000m比較!$A$5:$A$34,A51,5000m比較!$C$5:$C$34,B51)&gt;0,"○","")</f>
        <v/>
      </c>
    </row>
    <row r="52" customFormat="false" ht="15" hidden="false" customHeight="false" outlineLevel="0" collapsed="false">
      <c r="A52" s="13" t="s">
        <v>62</v>
      </c>
      <c r="B52" s="36" t="s">
        <v>198</v>
      </c>
      <c r="C52" s="14" t="n">
        <v>222</v>
      </c>
      <c r="D52" s="14" t="n">
        <v>242</v>
      </c>
      <c r="E52" s="14" t="n">
        <v>462</v>
      </c>
      <c r="F52" s="14" t="n">
        <v>357</v>
      </c>
      <c r="G52" s="14" t="n">
        <v>348</v>
      </c>
      <c r="H52" s="14" t="n">
        <v>346</v>
      </c>
      <c r="I52" s="14" t="n">
        <v>402</v>
      </c>
      <c r="J52" s="14" t="n">
        <v>689</v>
      </c>
      <c r="K52" s="14" t="n">
        <v>462</v>
      </c>
      <c r="L52" s="14" t="n">
        <v>440</v>
      </c>
      <c r="M52" s="14" t="n">
        <v>306</v>
      </c>
      <c r="N52" s="14"/>
      <c r="O52" s="22" t="n">
        <f aca="false">IF(OR(J52="",K52="",J52=0),"",K52/J52)</f>
        <v>0.670537010159652</v>
      </c>
      <c r="P52" s="8" t="str">
        <f aca="false">IF(COUNTIFS(5000m比較!$A$5:$A$34,A52,5000m比較!$C$5:$C$34,B52)&gt;0,"○","")</f>
        <v/>
      </c>
    </row>
    <row r="53" customFormat="false" ht="15" hidden="false" customHeight="false" outlineLevel="0" collapsed="false">
      <c r="A53" s="13" t="s">
        <v>62</v>
      </c>
      <c r="B53" s="36" t="s">
        <v>163</v>
      </c>
      <c r="C53" s="14" t="n">
        <v>207</v>
      </c>
      <c r="D53" s="14" t="n">
        <v>397</v>
      </c>
      <c r="E53" s="14"/>
      <c r="F53" s="14" t="n">
        <v>305</v>
      </c>
      <c r="G53" s="14" t="n">
        <v>363</v>
      </c>
      <c r="H53" s="14" t="n">
        <v>389</v>
      </c>
      <c r="I53" s="14" t="n">
        <v>478</v>
      </c>
      <c r="J53" s="14" t="n">
        <v>639</v>
      </c>
      <c r="K53" s="14" t="n">
        <v>412</v>
      </c>
      <c r="L53" s="14" t="n">
        <v>398</v>
      </c>
      <c r="M53" s="14" t="n">
        <v>338</v>
      </c>
      <c r="N53" s="14"/>
      <c r="O53" s="22" t="n">
        <f aca="false">IF(OR(J53="",K53="",J53=0),"",K53/J53)</f>
        <v>0.644757433489828</v>
      </c>
      <c r="P53" s="8" t="str">
        <f aca="false">IF(COUNTIFS(5000m比較!$A$5:$A$34,A53,5000m比較!$C$5:$C$34,B53)&gt;0,"○","")</f>
        <v>○</v>
      </c>
    </row>
    <row r="54" customFormat="false" ht="15" hidden="false" customHeight="false" outlineLevel="0" collapsed="false">
      <c r="A54" s="13" t="s">
        <v>62</v>
      </c>
      <c r="B54" s="36" t="s">
        <v>194</v>
      </c>
      <c r="C54" s="14" t="n">
        <v>429</v>
      </c>
      <c r="D54" s="14" t="n">
        <v>431</v>
      </c>
      <c r="E54" s="14" t="n">
        <v>296</v>
      </c>
      <c r="F54" s="14" t="n">
        <v>208</v>
      </c>
      <c r="G54" s="14" t="n">
        <v>514</v>
      </c>
      <c r="H54" s="14" t="n">
        <v>399</v>
      </c>
      <c r="I54" s="14" t="n">
        <v>493</v>
      </c>
      <c r="J54" s="14" t="n">
        <v>727</v>
      </c>
      <c r="K54" s="14" t="n">
        <v>478</v>
      </c>
      <c r="L54" s="14" t="n">
        <v>480</v>
      </c>
      <c r="M54" s="14"/>
      <c r="N54" s="14"/>
      <c r="O54" s="22" t="n">
        <f aca="false">IF(OR(J54="",K54="",J54=0),"",K54/J54)</f>
        <v>0.657496561210454</v>
      </c>
      <c r="P54" s="8" t="str">
        <f aca="false">IF(COUNTIFS(5000m比較!$A$5:$A$34,A54,5000m比較!$C$5:$C$34,B54)&gt;0,"○","")</f>
        <v/>
      </c>
    </row>
    <row r="55" customFormat="false" ht="15" hidden="false" customHeight="false" outlineLevel="0" collapsed="false">
      <c r="A55" s="13" t="s">
        <v>62</v>
      </c>
      <c r="B55" s="36" t="s">
        <v>201</v>
      </c>
      <c r="C55" s="14" t="n">
        <v>394</v>
      </c>
      <c r="D55" s="14" t="n">
        <v>340</v>
      </c>
      <c r="E55" s="14" t="n">
        <v>425</v>
      </c>
      <c r="F55" s="14" t="n">
        <v>122</v>
      </c>
      <c r="G55" s="14" t="n">
        <v>223</v>
      </c>
      <c r="H55" s="14" t="n">
        <v>417</v>
      </c>
      <c r="I55" s="14" t="n">
        <v>430</v>
      </c>
      <c r="J55" s="14" t="n">
        <v>628</v>
      </c>
      <c r="K55" s="14" t="n">
        <v>450</v>
      </c>
      <c r="L55" s="14" t="n">
        <v>430</v>
      </c>
      <c r="M55" s="14" t="n">
        <v>360</v>
      </c>
      <c r="N55" s="14"/>
      <c r="O55" s="22" t="n">
        <f aca="false">IF(OR(J55="",K55="",J55=0),"",K55/J55)</f>
        <v>0.71656050955414</v>
      </c>
      <c r="P55" s="8" t="str">
        <f aca="false">IF(COUNTIFS(5000m比較!$A$5:$A$34,A55,5000m比較!$C$5:$C$34,B55)&gt;0,"○","")</f>
        <v/>
      </c>
    </row>
    <row r="56" customFormat="false" ht="15" hidden="false" customHeight="false" outlineLevel="0" collapsed="false">
      <c r="A56" s="13" t="s">
        <v>62</v>
      </c>
      <c r="B56" s="36" t="s">
        <v>209</v>
      </c>
      <c r="C56" s="14" t="n">
        <v>407</v>
      </c>
      <c r="D56" s="14" t="n">
        <v>401</v>
      </c>
      <c r="E56" s="14" t="n">
        <v>380</v>
      </c>
      <c r="F56" s="14" t="n">
        <v>394</v>
      </c>
      <c r="G56" s="14" t="n">
        <v>195</v>
      </c>
      <c r="H56" s="14" t="n">
        <v>351</v>
      </c>
      <c r="I56" s="14" t="n">
        <v>354</v>
      </c>
      <c r="J56" s="14" t="n">
        <v>891</v>
      </c>
      <c r="K56" s="14" t="n">
        <v>566</v>
      </c>
      <c r="L56" s="14"/>
      <c r="M56" s="14"/>
      <c r="N56" s="14"/>
      <c r="O56" s="22" t="n">
        <f aca="false">IF(OR(J56="",K56="",J56=0),"",K56/J56)</f>
        <v>0.635241301907969</v>
      </c>
      <c r="P56" s="8" t="str">
        <f aca="false">IF(COUNTIFS(5000m比較!$A$5:$A$34,A56,5000m比較!$C$5:$C$34,B56)&gt;0,"○","")</f>
        <v/>
      </c>
    </row>
    <row r="57" customFormat="false" ht="15" hidden="false" customHeight="false" outlineLevel="0" collapsed="false">
      <c r="A57" s="13" t="s">
        <v>62</v>
      </c>
      <c r="B57" s="36" t="s">
        <v>176</v>
      </c>
      <c r="C57" s="14" t="n">
        <v>440</v>
      </c>
      <c r="D57" s="14" t="n">
        <v>428</v>
      </c>
      <c r="E57" s="14" t="n">
        <v>254</v>
      </c>
      <c r="F57" s="14" t="n">
        <v>390</v>
      </c>
      <c r="G57" s="14" t="n">
        <v>619</v>
      </c>
      <c r="H57" s="14" t="n">
        <v>367</v>
      </c>
      <c r="I57" s="14" t="n">
        <v>125</v>
      </c>
      <c r="J57" s="14" t="n">
        <v>633</v>
      </c>
      <c r="K57" s="14" t="n">
        <v>476</v>
      </c>
      <c r="L57" s="14"/>
      <c r="M57" s="14"/>
      <c r="N57" s="14"/>
      <c r="O57" s="22" t="n">
        <f aca="false">IF(OR(J57="",K57="",J57=0),"",K57/J57)</f>
        <v>0.751974723538705</v>
      </c>
      <c r="P57" s="8" t="str">
        <f aca="false">IF(COUNTIFS(5000m比較!$A$5:$A$34,A57,5000m比較!$C$5:$C$34,B57)&gt;0,"○","")</f>
        <v/>
      </c>
    </row>
    <row r="58" customFormat="false" ht="15" hidden="false" customHeight="false" outlineLevel="0" collapsed="false">
      <c r="A58" s="13" t="s">
        <v>62</v>
      </c>
      <c r="B58" s="36" t="s">
        <v>195</v>
      </c>
      <c r="C58" s="14" t="n">
        <v>338</v>
      </c>
      <c r="D58" s="14" t="n">
        <v>451</v>
      </c>
      <c r="E58" s="14" t="n">
        <v>428</v>
      </c>
      <c r="F58" s="14" t="n">
        <v>427</v>
      </c>
      <c r="G58" s="14" t="n">
        <v>427</v>
      </c>
      <c r="H58" s="14"/>
      <c r="I58" s="14" t="n">
        <v>419</v>
      </c>
      <c r="J58" s="14" t="n">
        <v>752</v>
      </c>
      <c r="K58" s="14" t="n">
        <v>421</v>
      </c>
      <c r="L58" s="14"/>
      <c r="M58" s="14"/>
      <c r="N58" s="14"/>
      <c r="O58" s="22" t="n">
        <f aca="false">IF(OR(J58="",K58="",J58=0),"",K58/J58)</f>
        <v>0.559840425531915</v>
      </c>
      <c r="P58" s="8" t="str">
        <f aca="false">IF(COUNTIFS(5000m比較!$A$5:$A$34,A58,5000m比較!$C$5:$C$34,B58)&gt;0,"○","")</f>
        <v/>
      </c>
    </row>
    <row r="59" customFormat="false" ht="15" hidden="false" customHeight="false" outlineLevel="0" collapsed="false">
      <c r="A59" s="13" t="s">
        <v>62</v>
      </c>
      <c r="B59" s="36" t="s">
        <v>233</v>
      </c>
      <c r="C59" s="14" t="n">
        <v>324</v>
      </c>
      <c r="D59" s="14" t="n">
        <v>348</v>
      </c>
      <c r="E59" s="14" t="n">
        <v>385</v>
      </c>
      <c r="F59" s="14" t="n">
        <v>346</v>
      </c>
      <c r="G59" s="14" t="n">
        <v>476</v>
      </c>
      <c r="H59" s="14" t="n">
        <v>399</v>
      </c>
      <c r="I59" s="14"/>
      <c r="J59" s="14" t="n">
        <v>635</v>
      </c>
      <c r="K59" s="14" t="n">
        <v>466</v>
      </c>
      <c r="L59" s="14"/>
      <c r="M59" s="14" t="n">
        <v>350</v>
      </c>
      <c r="N59" s="14"/>
      <c r="O59" s="22" t="n">
        <f aca="false">IF(OR(J59="",K59="",J59=0),"",K59/J59)</f>
        <v>0.733858267716535</v>
      </c>
      <c r="P59" s="8" t="str">
        <f aca="false">IF(COUNTIFS(5000m比較!$A$5:$A$34,A59,5000m比較!$C$5:$C$34,B59)&gt;0,"○","")</f>
        <v/>
      </c>
    </row>
    <row r="60" customFormat="false" ht="15" hidden="false" customHeight="false" outlineLevel="0" collapsed="false">
      <c r="A60" s="13" t="s">
        <v>62</v>
      </c>
      <c r="B60" s="36" t="s">
        <v>171</v>
      </c>
      <c r="C60" s="14" t="n">
        <v>235</v>
      </c>
      <c r="D60" s="14" t="n">
        <v>348</v>
      </c>
      <c r="E60" s="14" t="n">
        <v>318</v>
      </c>
      <c r="F60" s="14" t="n">
        <v>499</v>
      </c>
      <c r="G60" s="14" t="n">
        <v>577</v>
      </c>
      <c r="H60" s="14" t="n">
        <v>544</v>
      </c>
      <c r="I60" s="14" t="n">
        <v>485</v>
      </c>
      <c r="J60" s="14" t="n">
        <v>343</v>
      </c>
      <c r="K60" s="14" t="n">
        <v>490</v>
      </c>
      <c r="L60" s="14" t="n">
        <v>644</v>
      </c>
      <c r="M60" s="14"/>
      <c r="N60" s="14"/>
      <c r="O60" s="22" t="n">
        <f aca="false">IF(OR(J60="",K60="",J60=0),"",K60/J60)</f>
        <v>1.42857142857143</v>
      </c>
      <c r="P60" s="8" t="str">
        <f aca="false">IF(COUNTIFS(5000m比較!$A$5:$A$34,A60,5000m比較!$C$5:$C$34,B60)&gt;0,"○","")</f>
        <v/>
      </c>
    </row>
    <row r="61" customFormat="false" ht="15" hidden="false" customHeight="false" outlineLevel="0" collapsed="false">
      <c r="A61" s="13" t="s">
        <v>62</v>
      </c>
      <c r="B61" s="36" t="s">
        <v>169</v>
      </c>
      <c r="C61" s="14" t="n">
        <v>311</v>
      </c>
      <c r="D61" s="14" t="n">
        <v>374</v>
      </c>
      <c r="E61" s="14" t="n">
        <v>500</v>
      </c>
      <c r="F61" s="14" t="n">
        <v>275</v>
      </c>
      <c r="G61" s="14" t="n">
        <v>305</v>
      </c>
      <c r="H61" s="14" t="n">
        <v>405</v>
      </c>
      <c r="I61" s="14" t="n">
        <v>374</v>
      </c>
      <c r="J61" s="14" t="n">
        <v>630</v>
      </c>
      <c r="K61" s="14" t="n">
        <v>469</v>
      </c>
      <c r="L61" s="14" t="n">
        <v>440</v>
      </c>
      <c r="M61" s="14" t="n">
        <v>396</v>
      </c>
      <c r="N61" s="14"/>
      <c r="O61" s="22" t="n">
        <f aca="false">IF(OR(J61="",K61="",J61=0),"",K61/J61)</f>
        <v>0.744444444444445</v>
      </c>
      <c r="P61" s="8" t="str">
        <f aca="false">IF(COUNTIFS(5000m比較!$A$5:$A$34,A61,5000m比較!$C$5:$C$34,B61)&gt;0,"○","")</f>
        <v/>
      </c>
    </row>
    <row r="62" customFormat="false" ht="15" hidden="false" customHeight="false" outlineLevel="0" collapsed="false">
      <c r="A62" s="13" t="s">
        <v>62</v>
      </c>
      <c r="B62" s="36" t="s">
        <v>197</v>
      </c>
      <c r="C62" s="14" t="n">
        <v>317</v>
      </c>
      <c r="D62" s="14" t="n">
        <v>356</v>
      </c>
      <c r="E62" s="14" t="n">
        <v>432</v>
      </c>
      <c r="F62" s="14" t="n">
        <v>291</v>
      </c>
      <c r="G62" s="14" t="n">
        <v>306</v>
      </c>
      <c r="H62" s="14" t="n">
        <v>386</v>
      </c>
      <c r="I62" s="14" t="n">
        <v>541</v>
      </c>
      <c r="J62" s="14" t="n">
        <v>633</v>
      </c>
      <c r="K62" s="14" t="n">
        <v>459</v>
      </c>
      <c r="L62" s="14" t="n">
        <v>408</v>
      </c>
      <c r="M62" s="14" t="n">
        <v>421</v>
      </c>
      <c r="N62" s="14"/>
      <c r="O62" s="22" t="n">
        <f aca="false">IF(OR(J62="",K62="",J62=0),"",K62/J62)</f>
        <v>0.725118483412322</v>
      </c>
      <c r="P62" s="8" t="str">
        <f aca="false">IF(COUNTIFS(5000m比較!$A$5:$A$34,A62,5000m比較!$C$5:$C$34,B62)&gt;0,"○","")</f>
        <v/>
      </c>
    </row>
    <row r="63" customFormat="false" ht="15" hidden="false" customHeight="false" outlineLevel="0" collapsed="false">
      <c r="A63" s="13" t="s">
        <v>62</v>
      </c>
      <c r="B63" s="36" t="s">
        <v>238</v>
      </c>
      <c r="C63" s="14" t="n">
        <v>416</v>
      </c>
      <c r="D63" s="14" t="n">
        <v>358</v>
      </c>
      <c r="E63" s="14" t="n">
        <v>471</v>
      </c>
      <c r="F63" s="14" t="n">
        <v>276</v>
      </c>
      <c r="G63" s="14" t="n">
        <v>333</v>
      </c>
      <c r="H63" s="14" t="n">
        <v>446</v>
      </c>
      <c r="I63" s="14" t="n">
        <v>530</v>
      </c>
      <c r="J63" s="14" t="n">
        <v>374</v>
      </c>
      <c r="K63" s="14" t="n">
        <v>488</v>
      </c>
      <c r="L63" s="14"/>
      <c r="M63" s="14" t="n">
        <v>355</v>
      </c>
      <c r="N63" s="14"/>
      <c r="O63" s="22" t="n">
        <f aca="false">IF(OR(J63="",K63="",J63=0),"",K63/J63)</f>
        <v>1.3048128342246</v>
      </c>
      <c r="P63" s="8" t="str">
        <f aca="false">IF(COUNTIFS(5000m比較!$A$5:$A$34,A63,5000m比較!$C$5:$C$34,B63)&gt;0,"○","")</f>
        <v/>
      </c>
    </row>
    <row r="64" customFormat="false" ht="15" hidden="false" customHeight="false" outlineLevel="0" collapsed="false">
      <c r="A64" s="13" t="s">
        <v>62</v>
      </c>
      <c r="B64" s="36" t="s">
        <v>164</v>
      </c>
      <c r="C64" s="14" t="n">
        <v>353</v>
      </c>
      <c r="D64" s="14" t="n">
        <v>320</v>
      </c>
      <c r="E64" s="14" t="n">
        <v>390</v>
      </c>
      <c r="F64" s="14" t="n">
        <v>319</v>
      </c>
      <c r="G64" s="14" t="n">
        <v>290</v>
      </c>
      <c r="H64" s="14"/>
      <c r="I64" s="14" t="n">
        <v>474</v>
      </c>
      <c r="J64" s="14" t="n">
        <v>611</v>
      </c>
      <c r="K64" s="14" t="n">
        <v>467</v>
      </c>
      <c r="L64" s="14" t="n">
        <v>440</v>
      </c>
      <c r="M64" s="14"/>
      <c r="N64" s="14"/>
      <c r="O64" s="22" t="n">
        <f aca="false">IF(OR(J64="",K64="",J64=0),"",K64/J64)</f>
        <v>0.764320785597381</v>
      </c>
      <c r="P64" s="8" t="str">
        <f aca="false">IF(COUNTIFS(5000m比較!$A$5:$A$34,A64,5000m比較!$C$5:$C$34,B64)&gt;0,"○","")</f>
        <v>○</v>
      </c>
    </row>
    <row r="65" customFormat="false" ht="15" hidden="false" customHeight="false" outlineLevel="0" collapsed="false">
      <c r="A65" s="13" t="s">
        <v>62</v>
      </c>
      <c r="B65" s="36" t="s">
        <v>235</v>
      </c>
      <c r="C65" s="14"/>
      <c r="D65" s="14"/>
      <c r="E65" s="14" t="n">
        <v>262</v>
      </c>
      <c r="F65" s="14" t="n">
        <v>296</v>
      </c>
      <c r="G65" s="14" t="n">
        <v>344</v>
      </c>
      <c r="H65" s="14" t="n">
        <v>390</v>
      </c>
      <c r="I65" s="14" t="n">
        <v>373</v>
      </c>
      <c r="J65" s="14" t="n">
        <v>513</v>
      </c>
      <c r="K65" s="14" t="n">
        <v>413</v>
      </c>
      <c r="L65" s="14" t="n">
        <v>405</v>
      </c>
      <c r="M65" s="14" t="n">
        <v>430</v>
      </c>
      <c r="N65" s="14"/>
      <c r="O65" s="22" t="n">
        <f aca="false">IF(OR(J65="",K65="",J65=0),"",K65/J65)</f>
        <v>0.805068226120858</v>
      </c>
      <c r="P65" s="8" t="str">
        <f aca="false">IF(COUNTIFS(5000m比較!$A$5:$A$34,A65,5000m比較!$C$5:$C$34,B65)&gt;0,"○","")</f>
        <v/>
      </c>
    </row>
    <row r="66" customFormat="false" ht="15" hidden="false" customHeight="false" outlineLevel="0" collapsed="false">
      <c r="A66" s="13" t="s">
        <v>62</v>
      </c>
      <c r="B66" s="36" t="s">
        <v>199</v>
      </c>
      <c r="C66" s="14"/>
      <c r="D66" s="14"/>
      <c r="E66" s="14" t="n">
        <v>459</v>
      </c>
      <c r="F66" s="14" t="n">
        <v>376</v>
      </c>
      <c r="G66" s="14" t="n">
        <v>412</v>
      </c>
      <c r="H66" s="14" t="n">
        <v>423</v>
      </c>
      <c r="I66" s="14" t="n">
        <v>402</v>
      </c>
      <c r="J66" s="14" t="n">
        <v>681</v>
      </c>
      <c r="K66" s="14" t="n">
        <v>521</v>
      </c>
      <c r="L66" s="14" t="n">
        <v>412</v>
      </c>
      <c r="M66" s="14" t="n">
        <v>385</v>
      </c>
      <c r="N66" s="14"/>
      <c r="O66" s="22" t="n">
        <f aca="false">IF(OR(J66="",K66="",J66=0),"",K66/J66)</f>
        <v>0.765051395007342</v>
      </c>
      <c r="P66" s="8" t="str">
        <f aca="false">IF(COUNTIFS(5000m比較!$A$5:$A$34,A66,5000m比較!$C$5:$C$34,B66)&gt;0,"○","")</f>
        <v/>
      </c>
    </row>
    <row r="67" customFormat="false" ht="15" hidden="false" customHeight="false" outlineLevel="0" collapsed="false">
      <c r="A67" s="13" t="s">
        <v>62</v>
      </c>
      <c r="B67" s="36" t="s">
        <v>239</v>
      </c>
      <c r="C67" s="14" t="n">
        <v>356</v>
      </c>
      <c r="D67" s="14" t="n">
        <v>400</v>
      </c>
      <c r="E67" s="14" t="n">
        <v>240</v>
      </c>
      <c r="F67" s="14" t="n">
        <v>231</v>
      </c>
      <c r="G67" s="14" t="n">
        <v>471</v>
      </c>
      <c r="H67" s="14" t="n">
        <v>420</v>
      </c>
      <c r="I67" s="14" t="n">
        <v>202</v>
      </c>
      <c r="J67" s="14" t="n">
        <v>33</v>
      </c>
      <c r="K67" s="14" t="n">
        <v>53</v>
      </c>
      <c r="L67" s="14"/>
      <c r="M67" s="14"/>
      <c r="N67" s="14"/>
      <c r="O67" s="22" t="n">
        <f aca="false">IF(OR(J67="",K67="",J67=0),"",K67/J67)</f>
        <v>1.60606060606061</v>
      </c>
      <c r="P67" s="8" t="str">
        <f aca="false">IF(COUNTIFS(5000m比較!$A$5:$A$34,A67,5000m比較!$C$5:$C$34,B67)&gt;0,"○","")</f>
        <v/>
      </c>
    </row>
    <row r="68" customFormat="false" ht="15" hidden="false" customHeight="false" outlineLevel="0" collapsed="false">
      <c r="A68" s="13" t="s">
        <v>62</v>
      </c>
      <c r="B68" s="36" t="s">
        <v>157</v>
      </c>
      <c r="C68" s="14" t="n">
        <v>259</v>
      </c>
      <c r="D68" s="14" t="n">
        <v>512</v>
      </c>
      <c r="E68" s="14" t="n">
        <v>497</v>
      </c>
      <c r="F68" s="14" t="n">
        <v>384</v>
      </c>
      <c r="G68" s="14" t="n">
        <v>429</v>
      </c>
      <c r="H68" s="14" t="n">
        <v>364</v>
      </c>
      <c r="I68" s="14" t="n">
        <v>429</v>
      </c>
      <c r="J68" s="14" t="n">
        <v>684</v>
      </c>
      <c r="K68" s="14" t="n">
        <v>452</v>
      </c>
      <c r="L68" s="14" t="n">
        <v>401</v>
      </c>
      <c r="M68" s="14" t="n">
        <v>351</v>
      </c>
      <c r="N68" s="14"/>
      <c r="O68" s="22" t="n">
        <f aca="false">IF(OR(J68="",K68="",J68=0),"",K68/J68)</f>
        <v>0.660818713450292</v>
      </c>
      <c r="P68" s="8" t="str">
        <f aca="false">IF(COUNTIFS(5000m比較!$A$5:$A$34,A68,5000m比較!$C$5:$C$34,B68)&gt;0,"○","")</f>
        <v/>
      </c>
    </row>
    <row r="69" customFormat="false" ht="15" hidden="false" customHeight="false" outlineLevel="0" collapsed="false">
      <c r="A69" s="13" t="s">
        <v>62</v>
      </c>
      <c r="B69" s="36" t="s">
        <v>203</v>
      </c>
      <c r="C69" s="14" t="n">
        <v>247.7</v>
      </c>
      <c r="D69" s="14" t="n">
        <v>378.3</v>
      </c>
      <c r="E69" s="14" t="n">
        <v>421</v>
      </c>
      <c r="F69" s="14" t="n">
        <v>438</v>
      </c>
      <c r="G69" s="14" t="n">
        <v>345</v>
      </c>
      <c r="H69" s="14" t="n">
        <v>32</v>
      </c>
      <c r="I69" s="14" t="n">
        <v>386</v>
      </c>
      <c r="J69" s="14" t="n">
        <v>720</v>
      </c>
      <c r="K69" s="14" t="n">
        <v>525</v>
      </c>
      <c r="L69" s="14" t="n">
        <v>414</v>
      </c>
      <c r="M69" s="14" t="n">
        <v>385</v>
      </c>
      <c r="N69" s="14"/>
      <c r="O69" s="22" t="n">
        <f aca="false">IF(OR(J69="",K69="",J69=0),"",K69/J69)</f>
        <v>0.729166666666667</v>
      </c>
      <c r="P69" s="8" t="str">
        <f aca="false">IF(COUNTIFS(5000m比較!$A$5:$A$34,A69,5000m比較!$C$5:$C$34,B69)&gt;0,"○","")</f>
        <v/>
      </c>
    </row>
    <row r="70" customFormat="false" ht="15" hidden="false" customHeight="false" outlineLevel="0" collapsed="false">
      <c r="A70" s="13" t="s">
        <v>62</v>
      </c>
      <c r="B70" s="36" t="s">
        <v>212</v>
      </c>
      <c r="C70" s="14"/>
      <c r="D70" s="14"/>
      <c r="E70" s="14" t="n">
        <v>506</v>
      </c>
      <c r="F70" s="14" t="n">
        <v>396</v>
      </c>
      <c r="G70" s="14" t="n">
        <v>500</v>
      </c>
      <c r="H70" s="14" t="n">
        <v>485</v>
      </c>
      <c r="I70" s="14" t="n">
        <v>460</v>
      </c>
      <c r="J70" s="14" t="n">
        <v>733</v>
      </c>
      <c r="K70" s="14" t="n">
        <v>513</v>
      </c>
      <c r="L70" s="14" t="n">
        <v>469</v>
      </c>
      <c r="M70" s="14" t="n">
        <v>375</v>
      </c>
      <c r="N70" s="14"/>
      <c r="O70" s="22" t="n">
        <f aca="false">IF(OR(J70="",K70="",J70=0),"",K70/J70)</f>
        <v>0.699863574351978</v>
      </c>
      <c r="P70" s="8" t="str">
        <f aca="false">IF(COUNTIFS(5000m比較!$A$5:$A$34,A70,5000m比較!$C$5:$C$34,B70)&gt;0,"○","")</f>
        <v/>
      </c>
    </row>
    <row r="71" customFormat="false" ht="15" hidden="false" customHeight="false" outlineLevel="0" collapsed="false">
      <c r="A71" s="13" t="s">
        <v>62</v>
      </c>
      <c r="B71" s="36" t="s">
        <v>225</v>
      </c>
      <c r="C71" s="14" t="n">
        <v>0</v>
      </c>
      <c r="D71" s="14" t="n">
        <v>5</v>
      </c>
      <c r="E71" s="14" t="n">
        <v>286</v>
      </c>
      <c r="F71" s="14" t="n">
        <v>343</v>
      </c>
      <c r="G71" s="14" t="n">
        <v>236</v>
      </c>
      <c r="H71" s="14" t="n">
        <v>384</v>
      </c>
      <c r="I71" s="14"/>
      <c r="J71" s="14" t="n">
        <v>721</v>
      </c>
      <c r="K71" s="14" t="n">
        <v>478</v>
      </c>
      <c r="L71" s="14"/>
      <c r="M71" s="14"/>
      <c r="N71" s="14"/>
      <c r="O71" s="22" t="n">
        <f aca="false">IF(OR(J71="",K71="",J71=0),"",K71/J71)</f>
        <v>0.662968099861304</v>
      </c>
      <c r="P71" s="8" t="str">
        <f aca="false">IF(COUNTIFS(5000m比較!$A$5:$A$34,A71,5000m比較!$C$5:$C$34,B71)&gt;0,"○","")</f>
        <v/>
      </c>
    </row>
    <row r="72" customFormat="false" ht="15" hidden="false" customHeight="false" outlineLevel="0" collapsed="false">
      <c r="A72" s="13" t="s">
        <v>62</v>
      </c>
      <c r="B72" s="36" t="s">
        <v>196</v>
      </c>
      <c r="C72" s="14" t="n">
        <v>497</v>
      </c>
      <c r="D72" s="14" t="n">
        <v>447</v>
      </c>
      <c r="E72" s="14" t="n">
        <v>401</v>
      </c>
      <c r="F72" s="14" t="n">
        <v>354</v>
      </c>
      <c r="G72" s="14" t="n">
        <v>368</v>
      </c>
      <c r="H72" s="14" t="n">
        <v>387</v>
      </c>
      <c r="I72" s="14" t="n">
        <v>469</v>
      </c>
      <c r="J72" s="14" t="n">
        <v>688</v>
      </c>
      <c r="K72" s="14" t="n">
        <v>421</v>
      </c>
      <c r="L72" s="14" t="n">
        <v>361</v>
      </c>
      <c r="M72" s="14" t="n">
        <v>309</v>
      </c>
      <c r="N72" s="14"/>
      <c r="O72" s="22" t="n">
        <f aca="false">IF(OR(J72="",K72="",J72=0),"",K72/J72)</f>
        <v>0.611918604651163</v>
      </c>
      <c r="P72" s="8" t="str">
        <f aca="false">IF(COUNTIFS(5000m比較!$A$5:$A$34,A72,5000m比較!$C$5:$C$34,B72)&gt;0,"○","")</f>
        <v/>
      </c>
    </row>
    <row r="73" customFormat="false" ht="15" hidden="false" customHeight="false" outlineLevel="0" collapsed="false">
      <c r="A73" s="13" t="s">
        <v>62</v>
      </c>
      <c r="B73" s="36" t="s">
        <v>228</v>
      </c>
      <c r="C73" s="14"/>
      <c r="D73" s="14"/>
      <c r="E73" s="14" t="n">
        <v>500</v>
      </c>
      <c r="F73" s="14" t="n">
        <v>153</v>
      </c>
      <c r="G73" s="14" t="n">
        <v>512</v>
      </c>
      <c r="H73" s="14" t="n">
        <v>439</v>
      </c>
      <c r="I73" s="14" t="n">
        <v>513</v>
      </c>
      <c r="J73" s="14" t="n">
        <v>704</v>
      </c>
      <c r="K73" s="14" t="n">
        <v>482</v>
      </c>
      <c r="L73" s="14" t="n">
        <v>466</v>
      </c>
      <c r="M73" s="14" t="n">
        <v>320</v>
      </c>
      <c r="N73" s="14" t="n">
        <v>370</v>
      </c>
      <c r="O73" s="22" t="n">
        <f aca="false">IF(OR(J73="",K73="",J73=0),"",K73/J73)</f>
        <v>0.684659090909091</v>
      </c>
      <c r="P73" s="8" t="str">
        <f aca="false">IF(COUNTIFS(5000m比較!$A$5:$A$34,A73,5000m比較!$C$5:$C$34,B73)&gt;0,"○","")</f>
        <v/>
      </c>
    </row>
    <row r="74" customFormat="false" ht="15" hidden="false" customHeight="false" outlineLevel="0" collapsed="false">
      <c r="A74" s="13" t="s">
        <v>62</v>
      </c>
      <c r="B74" s="36" t="s">
        <v>189</v>
      </c>
      <c r="C74" s="14" t="n">
        <v>221</v>
      </c>
      <c r="D74" s="14" t="n">
        <v>217</v>
      </c>
      <c r="E74" s="14" t="n">
        <v>106</v>
      </c>
      <c r="F74" s="14" t="n">
        <v>140</v>
      </c>
      <c r="G74" s="14"/>
      <c r="H74" s="14"/>
      <c r="I74" s="14"/>
      <c r="J74" s="14"/>
      <c r="K74" s="14"/>
      <c r="L74" s="14"/>
      <c r="M74" s="14"/>
      <c r="N74" s="14"/>
      <c r="O74" s="22" t="str">
        <f aca="false">IF(OR(J74="",K74="",J74=0),"",K74/J74)</f>
        <v/>
      </c>
      <c r="P74" s="8" t="str">
        <f aca="false">IF(COUNTIFS(5000m比較!$A$5:$A$34,A74,5000m比較!$C$5:$C$34,B74)&gt;0,"○","")</f>
        <v/>
      </c>
    </row>
    <row r="75" customFormat="false" ht="15" hidden="false" customHeight="false" outlineLevel="0" collapsed="false">
      <c r="A75" s="13" t="s">
        <v>62</v>
      </c>
      <c r="B75" s="36" t="s">
        <v>210</v>
      </c>
      <c r="C75" s="14"/>
      <c r="D75" s="14"/>
      <c r="E75" s="14" t="n">
        <v>230</v>
      </c>
      <c r="F75" s="14" t="n">
        <v>270</v>
      </c>
      <c r="G75" s="14" t="n">
        <v>470</v>
      </c>
      <c r="H75" s="14" t="n">
        <v>375</v>
      </c>
      <c r="I75" s="14" t="n">
        <v>470</v>
      </c>
      <c r="J75" s="14" t="n">
        <v>685</v>
      </c>
      <c r="K75" s="14" t="n">
        <v>450</v>
      </c>
      <c r="L75" s="14" t="n">
        <v>410</v>
      </c>
      <c r="M75" s="14" t="n">
        <v>380</v>
      </c>
      <c r="N75" s="14"/>
      <c r="O75" s="22" t="n">
        <f aca="false">IF(OR(J75="",K75="",J75=0),"",K75/J75)</f>
        <v>0.656934306569343</v>
      </c>
      <c r="P75" s="8" t="str">
        <f aca="false">IF(COUNTIFS(5000m比較!$A$5:$A$34,A75,5000m比較!$C$5:$C$34,B75)&gt;0,"○","")</f>
        <v/>
      </c>
    </row>
    <row r="76" customFormat="false" ht="15" hidden="false" customHeight="false" outlineLevel="0" collapsed="false">
      <c r="A76" s="13" t="s">
        <v>62</v>
      </c>
      <c r="B76" s="36" t="s">
        <v>211</v>
      </c>
      <c r="C76" s="14"/>
      <c r="D76" s="14"/>
      <c r="E76" s="14" t="n">
        <v>327</v>
      </c>
      <c r="F76" s="14" t="n">
        <v>348</v>
      </c>
      <c r="G76" s="14" t="n">
        <v>413</v>
      </c>
      <c r="H76" s="14" t="n">
        <v>387</v>
      </c>
      <c r="I76" s="14" t="n">
        <v>439</v>
      </c>
      <c r="J76" s="14" t="n">
        <v>660</v>
      </c>
      <c r="K76" s="14" t="n">
        <v>535</v>
      </c>
      <c r="L76" s="14" t="n">
        <v>412</v>
      </c>
      <c r="M76" s="14" t="n">
        <v>413</v>
      </c>
      <c r="N76" s="14"/>
      <c r="O76" s="22" t="n">
        <f aca="false">IF(OR(J76="",K76="",J76=0),"",K76/J76)</f>
        <v>0.810606060606061</v>
      </c>
      <c r="P76" s="8" t="str">
        <f aca="false">IF(COUNTIFS(5000m比較!$A$5:$A$34,A76,5000m比較!$C$5:$C$34,B76)&gt;0,"○","")</f>
        <v/>
      </c>
    </row>
    <row r="77" customFormat="false" ht="15" hidden="false" customHeight="false" outlineLevel="0" collapsed="false">
      <c r="A77" s="13" t="s">
        <v>62</v>
      </c>
      <c r="B77" s="36" t="s">
        <v>213</v>
      </c>
      <c r="C77" s="14" t="n">
        <v>312</v>
      </c>
      <c r="D77" s="14" t="n">
        <v>211</v>
      </c>
      <c r="E77" s="14" t="n">
        <v>280</v>
      </c>
      <c r="F77" s="14" t="n">
        <v>364</v>
      </c>
      <c r="G77" s="14" t="n">
        <v>402</v>
      </c>
      <c r="H77" s="14" t="n">
        <v>403</v>
      </c>
      <c r="I77" s="14" t="n">
        <v>330</v>
      </c>
      <c r="J77" s="14" t="n">
        <v>425</v>
      </c>
      <c r="K77" s="14" t="n">
        <v>306</v>
      </c>
      <c r="L77" s="14"/>
      <c r="M77" s="14"/>
      <c r="N77" s="14"/>
      <c r="O77" s="22" t="n">
        <f aca="false">IF(OR(J77="",K77="",J77=0),"",K77/J77)</f>
        <v>0.72</v>
      </c>
      <c r="P77" s="8" t="str">
        <f aca="false">IF(COUNTIFS(5000m比較!$A$5:$A$34,A77,5000m比較!$C$5:$C$34,B77)&gt;0,"○","")</f>
        <v/>
      </c>
    </row>
    <row r="78" customFormat="false" ht="15" hidden="false" customHeight="false" outlineLevel="0" collapsed="false">
      <c r="A78" s="13" t="s">
        <v>62</v>
      </c>
      <c r="B78" s="36" t="s">
        <v>158</v>
      </c>
      <c r="C78" s="14" t="n">
        <v>256</v>
      </c>
      <c r="D78" s="14" t="n">
        <v>318</v>
      </c>
      <c r="E78" s="14"/>
      <c r="F78" s="14" t="n">
        <v>327</v>
      </c>
      <c r="G78" s="14" t="n">
        <v>384</v>
      </c>
      <c r="H78" s="14" t="n">
        <v>414</v>
      </c>
      <c r="I78" s="14" t="n">
        <v>418</v>
      </c>
      <c r="J78" s="14" t="n">
        <v>648</v>
      </c>
      <c r="K78" s="14" t="n">
        <v>508</v>
      </c>
      <c r="L78" s="14" t="n">
        <v>508</v>
      </c>
      <c r="M78" s="14" t="n">
        <v>398</v>
      </c>
      <c r="N78" s="14"/>
      <c r="O78" s="22" t="n">
        <f aca="false">IF(OR(J78="",K78="",J78=0),"",K78/J78)</f>
        <v>0.783950617283951</v>
      </c>
      <c r="P78" s="8" t="str">
        <f aca="false">IF(COUNTIFS(5000m比較!$A$5:$A$34,A78,5000m比較!$C$5:$C$34,B78)&gt;0,"○","")</f>
        <v/>
      </c>
    </row>
    <row r="79" customFormat="false" ht="15" hidden="false" customHeight="false" outlineLevel="0" collapsed="false">
      <c r="A79" s="13" t="s">
        <v>62</v>
      </c>
      <c r="B79" s="36" t="s">
        <v>236</v>
      </c>
      <c r="C79" s="14" t="n">
        <v>252.5</v>
      </c>
      <c r="D79" s="14" t="n">
        <v>491.5</v>
      </c>
      <c r="E79" s="14" t="n">
        <v>441.5</v>
      </c>
      <c r="F79" s="14" t="n">
        <v>111.5</v>
      </c>
      <c r="G79" s="14" t="n">
        <v>82</v>
      </c>
      <c r="H79" s="14" t="n">
        <v>353</v>
      </c>
      <c r="I79" s="14"/>
      <c r="J79" s="14"/>
      <c r="K79" s="14"/>
      <c r="L79" s="14"/>
      <c r="M79" s="14"/>
      <c r="N79" s="14"/>
      <c r="O79" s="22" t="str">
        <f aca="false">IF(OR(J79="",K79="",J79=0),"",K79/J79)</f>
        <v/>
      </c>
      <c r="P79" s="8" t="str">
        <f aca="false">IF(COUNTIFS(5000m比較!$A$5:$A$34,A79,5000m比較!$C$5:$C$34,B79)&gt;0,"○","")</f>
        <v/>
      </c>
    </row>
    <row r="80" customFormat="false" ht="15" hidden="false" customHeight="false" outlineLevel="0" collapsed="false">
      <c r="A80" s="13" t="s">
        <v>62</v>
      </c>
      <c r="B80" s="36" t="s">
        <v>187</v>
      </c>
      <c r="C80" s="14" t="n">
        <v>321</v>
      </c>
      <c r="D80" s="14" t="n">
        <v>404</v>
      </c>
      <c r="E80" s="14" t="n">
        <v>608</v>
      </c>
      <c r="F80" s="14" t="n">
        <v>375</v>
      </c>
      <c r="G80" s="14" t="n">
        <v>474</v>
      </c>
      <c r="H80" s="14" t="n">
        <v>408</v>
      </c>
      <c r="I80" s="14" t="n">
        <v>580</v>
      </c>
      <c r="J80" s="14" t="n">
        <v>473</v>
      </c>
      <c r="K80" s="14" t="n">
        <v>450</v>
      </c>
      <c r="L80" s="14" t="n">
        <v>555</v>
      </c>
      <c r="M80" s="14"/>
      <c r="N80" s="14"/>
      <c r="O80" s="22" t="n">
        <f aca="false">IF(OR(J80="",K80="",J80=0),"",K80/J80)</f>
        <v>0.951374207188161</v>
      </c>
      <c r="P80" s="8" t="str">
        <f aca="false">IF(COUNTIFS(5000m比較!$A$5:$A$34,A80,5000m比較!$C$5:$C$34,B80)&gt;0,"○","")</f>
        <v/>
      </c>
    </row>
    <row r="81" customFormat="false" ht="15" hidden="false" customHeight="false" outlineLevel="0" collapsed="false">
      <c r="A81" s="13" t="s">
        <v>62</v>
      </c>
      <c r="B81" s="36" t="s">
        <v>232</v>
      </c>
      <c r="C81" s="14" t="n">
        <v>415</v>
      </c>
      <c r="D81" s="14" t="n">
        <v>402</v>
      </c>
      <c r="E81" s="14" t="n">
        <v>58.5</v>
      </c>
      <c r="F81" s="14" t="n">
        <v>374.6</v>
      </c>
      <c r="G81" s="14" t="n">
        <v>578</v>
      </c>
      <c r="H81" s="14" t="n">
        <v>331</v>
      </c>
      <c r="I81" s="14" t="n">
        <v>286</v>
      </c>
      <c r="J81" s="14" t="n">
        <v>734</v>
      </c>
      <c r="K81" s="14" t="n">
        <v>534</v>
      </c>
      <c r="L81" s="14" t="n">
        <v>513</v>
      </c>
      <c r="M81" s="14"/>
      <c r="N81" s="14"/>
      <c r="O81" s="22" t="n">
        <f aca="false">IF(OR(J81="",K81="",J81=0),"",K81/J81)</f>
        <v>0.727520435967302</v>
      </c>
      <c r="P81" s="8" t="str">
        <f aca="false">IF(COUNTIFS(5000m比較!$A$5:$A$34,A81,5000m比較!$C$5:$C$34,B81)&gt;0,"○","")</f>
        <v/>
      </c>
    </row>
    <row r="82" customFormat="false" ht="15" hidden="false" customHeight="false" outlineLevel="0" collapsed="false">
      <c r="A82" s="13" t="s">
        <v>62</v>
      </c>
      <c r="B82" s="36" t="s">
        <v>188</v>
      </c>
      <c r="C82" s="14" t="n">
        <v>356.1</v>
      </c>
      <c r="D82" s="14" t="n">
        <v>421</v>
      </c>
      <c r="E82" s="14" t="n">
        <v>430</v>
      </c>
      <c r="F82" s="14" t="n">
        <v>298</v>
      </c>
      <c r="G82" s="14" t="n">
        <v>256</v>
      </c>
      <c r="H82" s="14" t="n">
        <v>401</v>
      </c>
      <c r="I82" s="14" t="n">
        <v>41</v>
      </c>
      <c r="J82" s="14" t="n">
        <v>234</v>
      </c>
      <c r="K82" s="14" t="n">
        <v>432</v>
      </c>
      <c r="L82" s="14"/>
      <c r="M82" s="14"/>
      <c r="N82" s="14"/>
      <c r="O82" s="22" t="n">
        <f aca="false">IF(OR(J82="",K82="",J82=0),"",K82/J82)</f>
        <v>1.84615384615385</v>
      </c>
      <c r="P82" s="8" t="str">
        <f aca="false">IF(COUNTIFS(5000m比較!$A$5:$A$34,A82,5000m比較!$C$5:$C$34,B82)&gt;0,"○","")</f>
        <v/>
      </c>
    </row>
    <row r="83" customFormat="false" ht="15" hidden="false" customHeight="false" outlineLevel="0" collapsed="false">
      <c r="A83" s="13" t="s">
        <v>62</v>
      </c>
      <c r="B83" s="36" t="s">
        <v>229</v>
      </c>
      <c r="C83" s="14" t="n">
        <v>380</v>
      </c>
      <c r="D83" s="14" t="n">
        <v>278</v>
      </c>
      <c r="E83" s="14" t="n">
        <v>416</v>
      </c>
      <c r="F83" s="14" t="n">
        <v>309</v>
      </c>
      <c r="G83" s="14" t="n">
        <v>469</v>
      </c>
      <c r="H83" s="14" t="n">
        <v>434</v>
      </c>
      <c r="I83" s="14"/>
      <c r="J83" s="14"/>
      <c r="K83" s="14"/>
      <c r="L83" s="14"/>
      <c r="M83" s="14"/>
      <c r="N83" s="14"/>
      <c r="O83" s="22" t="str">
        <f aca="false">IF(OR(J83="",K83="",J83=0),"",K83/J83)</f>
        <v/>
      </c>
      <c r="P83" s="8" t="str">
        <f aca="false">IF(COUNTIFS(5000m比較!$A$5:$A$34,A83,5000m比較!$C$5:$C$34,B83)&gt;0,"○","")</f>
        <v/>
      </c>
    </row>
    <row r="84" customFormat="false" ht="15" hidden="false" customHeight="false" outlineLevel="0" collapsed="false">
      <c r="A84" s="13" t="s">
        <v>62</v>
      </c>
      <c r="B84" s="36" t="s">
        <v>193</v>
      </c>
      <c r="C84" s="14" t="n">
        <v>433</v>
      </c>
      <c r="D84" s="14" t="n">
        <v>428</v>
      </c>
      <c r="E84" s="14" t="n">
        <v>462</v>
      </c>
      <c r="F84" s="14" t="n">
        <v>321</v>
      </c>
      <c r="G84" s="14" t="n">
        <v>473</v>
      </c>
      <c r="H84" s="14" t="n">
        <v>385</v>
      </c>
      <c r="I84" s="14" t="n">
        <v>450</v>
      </c>
      <c r="J84" s="14" t="n">
        <v>668</v>
      </c>
      <c r="K84" s="14" t="n">
        <v>473</v>
      </c>
      <c r="L84" s="14" t="n">
        <v>451</v>
      </c>
      <c r="M84" s="14"/>
      <c r="N84" s="14"/>
      <c r="O84" s="22" t="n">
        <f aca="false">IF(OR(J84="",K84="",J84=0),"",K84/J84)</f>
        <v>0.708083832335329</v>
      </c>
      <c r="P84" s="8" t="str">
        <f aca="false">IF(COUNTIFS(5000m比較!$A$5:$A$34,A84,5000m比較!$C$5:$C$34,B84)&gt;0,"○","")</f>
        <v/>
      </c>
    </row>
    <row r="85" customFormat="false" ht="15" hidden="false" customHeight="false" outlineLevel="0" collapsed="false">
      <c r="A85" s="13" t="s">
        <v>62</v>
      </c>
      <c r="B85" s="36" t="s">
        <v>227</v>
      </c>
      <c r="C85" s="14" t="n">
        <v>450.6</v>
      </c>
      <c r="D85" s="14" t="n">
        <v>475.8</v>
      </c>
      <c r="E85" s="14" t="n">
        <v>430.6</v>
      </c>
      <c r="F85" s="14" t="n">
        <v>350.2</v>
      </c>
      <c r="G85" s="14" t="n">
        <v>486.1</v>
      </c>
      <c r="H85" s="14" t="n">
        <v>387.1</v>
      </c>
      <c r="I85" s="14" t="n">
        <v>479</v>
      </c>
      <c r="J85" s="14" t="n">
        <v>743</v>
      </c>
      <c r="K85" s="14" t="n">
        <v>333</v>
      </c>
      <c r="L85" s="14" t="n">
        <v>451</v>
      </c>
      <c r="M85" s="14" t="n">
        <v>314.9</v>
      </c>
      <c r="N85" s="14"/>
      <c r="O85" s="22" t="n">
        <f aca="false">IF(OR(J85="",K85="",J85=0),"",K85/J85)</f>
        <v>0.448183041722746</v>
      </c>
      <c r="P85" s="8" t="str">
        <f aca="false">IF(COUNTIFS(5000m比較!$A$5:$A$34,A85,5000m比較!$C$5:$C$34,B85)&gt;0,"○","")</f>
        <v/>
      </c>
    </row>
    <row r="86" customFormat="false" ht="15" hidden="false" customHeight="false" outlineLevel="0" collapsed="false">
      <c r="A86" s="13" t="s">
        <v>62</v>
      </c>
      <c r="B86" s="36" t="s">
        <v>230</v>
      </c>
      <c r="C86" s="14"/>
      <c r="D86" s="14"/>
      <c r="E86" s="14" t="n">
        <v>430</v>
      </c>
      <c r="F86" s="14" t="n">
        <v>275</v>
      </c>
      <c r="G86" s="14" t="n">
        <v>155</v>
      </c>
      <c r="H86" s="14" t="n">
        <v>402</v>
      </c>
      <c r="I86" s="14" t="n">
        <v>480</v>
      </c>
      <c r="J86" s="14" t="n">
        <v>661</v>
      </c>
      <c r="K86" s="14" t="n">
        <v>512</v>
      </c>
      <c r="L86" s="14" t="n">
        <v>305</v>
      </c>
      <c r="M86" s="14" t="n">
        <v>394</v>
      </c>
      <c r="N86" s="14"/>
      <c r="O86" s="22" t="n">
        <f aca="false">IF(OR(J86="",K86="",J86=0),"",K86/J86)</f>
        <v>0.774583963691377</v>
      </c>
      <c r="P86" s="8" t="str">
        <f aca="false">IF(COUNTIFS(5000m比較!$A$5:$A$34,A86,5000m比較!$C$5:$C$34,B86)&gt;0,"○","")</f>
        <v/>
      </c>
    </row>
    <row r="87" customFormat="false" ht="15" hidden="false" customHeight="false" outlineLevel="0" collapsed="false">
      <c r="A87" s="13" t="s">
        <v>62</v>
      </c>
      <c r="B87" s="36" t="s">
        <v>170</v>
      </c>
      <c r="C87" s="14" t="n">
        <v>332.7</v>
      </c>
      <c r="D87" s="14" t="n">
        <v>261</v>
      </c>
      <c r="E87" s="14" t="n">
        <v>73.2</v>
      </c>
      <c r="F87" s="14" t="n">
        <v>169.9</v>
      </c>
      <c r="G87" s="14" t="n">
        <v>490.4</v>
      </c>
      <c r="H87" s="14" t="n">
        <v>382.7</v>
      </c>
      <c r="I87" s="14" t="n">
        <v>109.9</v>
      </c>
      <c r="J87" s="14" t="n">
        <v>250.4</v>
      </c>
      <c r="K87" s="14" t="n">
        <v>523.7</v>
      </c>
      <c r="L87" s="14" t="n">
        <v>443.3</v>
      </c>
      <c r="M87" s="14" t="n">
        <v>255.4</v>
      </c>
      <c r="N87" s="14"/>
      <c r="O87" s="22" t="n">
        <f aca="false">IF(OR(J87="",K87="",J87=0),"",K87/J87)</f>
        <v>2.09145367412141</v>
      </c>
      <c r="P87" s="8" t="str">
        <f aca="false">IF(COUNTIFS(5000m比較!$A$5:$A$34,A87,5000m比較!$C$5:$C$34,B87)&gt;0,"○","")</f>
        <v/>
      </c>
    </row>
    <row r="88" customFormat="false" ht="15" hidden="false" customHeight="false" outlineLevel="0" collapsed="false">
      <c r="A88" s="13" t="s">
        <v>62</v>
      </c>
      <c r="B88" s="36" t="s">
        <v>234</v>
      </c>
      <c r="C88" s="14" t="n">
        <v>221</v>
      </c>
      <c r="D88" s="14" t="n">
        <v>300</v>
      </c>
      <c r="E88" s="14" t="n">
        <v>439</v>
      </c>
      <c r="F88" s="14" t="n">
        <v>257</v>
      </c>
      <c r="G88" s="14" t="n">
        <v>319</v>
      </c>
      <c r="H88" s="14" t="n">
        <v>363</v>
      </c>
      <c r="I88" s="14" t="n">
        <v>430</v>
      </c>
      <c r="J88" s="14" t="n">
        <v>467</v>
      </c>
      <c r="K88" s="14" t="n">
        <v>366</v>
      </c>
      <c r="L88" s="14" t="n">
        <v>430</v>
      </c>
      <c r="M88" s="14"/>
      <c r="N88" s="14"/>
      <c r="O88" s="22" t="n">
        <f aca="false">IF(OR(J88="",K88="",J88=0),"",K88/J88)</f>
        <v>0.78372591006424</v>
      </c>
      <c r="P88" s="8" t="str">
        <f aca="false">IF(COUNTIFS(5000m比較!$A$5:$A$34,A88,5000m比較!$C$5:$C$34,B88)&gt;0,"○","")</f>
        <v/>
      </c>
    </row>
    <row r="89" customFormat="false" ht="15" hidden="false" customHeight="false" outlineLevel="0" collapsed="false">
      <c r="A89" s="13" t="s">
        <v>62</v>
      </c>
      <c r="B89" s="36" t="s">
        <v>231</v>
      </c>
      <c r="C89" s="14"/>
      <c r="D89" s="14"/>
      <c r="E89" s="14" t="n">
        <v>310</v>
      </c>
      <c r="F89" s="14" t="n">
        <v>135</v>
      </c>
      <c r="G89" s="14" t="n">
        <v>21</v>
      </c>
      <c r="H89" s="14" t="n">
        <v>62.4</v>
      </c>
      <c r="I89" s="14" t="n">
        <v>460</v>
      </c>
      <c r="J89" s="14" t="n">
        <v>690</v>
      </c>
      <c r="K89" s="14" t="n">
        <v>533</v>
      </c>
      <c r="L89" s="14" t="n">
        <v>485</v>
      </c>
      <c r="M89" s="14" t="n">
        <v>373</v>
      </c>
      <c r="N89" s="14"/>
      <c r="O89" s="22" t="n">
        <f aca="false">IF(OR(J89="",K89="",J89=0),"",K89/J89)</f>
        <v>0.772463768115942</v>
      </c>
      <c r="P89" s="8" t="str">
        <f aca="false">IF(COUNTIFS(5000m比較!$A$5:$A$34,A89,5000m比較!$C$5:$C$34,B89)&gt;0,"○","")</f>
        <v/>
      </c>
    </row>
    <row r="90" customFormat="false" ht="15" hidden="false" customHeight="false" outlineLevel="0" collapsed="false">
      <c r="A90" s="13" t="s">
        <v>62</v>
      </c>
      <c r="B90" s="36" t="s">
        <v>160</v>
      </c>
      <c r="C90" s="14" t="n">
        <v>112</v>
      </c>
      <c r="D90" s="14" t="n">
        <v>177</v>
      </c>
      <c r="E90" s="14" t="n">
        <v>315</v>
      </c>
      <c r="F90" s="14" t="n">
        <v>501</v>
      </c>
      <c r="G90" s="14"/>
      <c r="H90" s="14" t="n">
        <v>85</v>
      </c>
      <c r="I90" s="14" t="n">
        <v>303</v>
      </c>
      <c r="J90" s="14" t="n">
        <v>652</v>
      </c>
      <c r="K90" s="14" t="n">
        <v>477</v>
      </c>
      <c r="L90" s="14" t="n">
        <v>100</v>
      </c>
      <c r="M90" s="14" t="n">
        <v>415</v>
      </c>
      <c r="N90" s="14"/>
      <c r="O90" s="22" t="n">
        <f aca="false">IF(OR(J90="",K90="",J90=0),"",K90/J90)</f>
        <v>0.73159509202454</v>
      </c>
      <c r="P90" s="8" t="str">
        <f aca="false">IF(COUNTIFS(5000m比較!$A$5:$A$34,A90,5000m比較!$C$5:$C$34,B90)&gt;0,"○","")</f>
        <v>○</v>
      </c>
    </row>
    <row r="91" customFormat="false" ht="15" hidden="false" customHeight="false" outlineLevel="0" collapsed="false">
      <c r="A91" s="13" t="s">
        <v>62</v>
      </c>
      <c r="B91" s="36" t="s">
        <v>240</v>
      </c>
      <c r="C91" s="14" t="n">
        <v>309</v>
      </c>
      <c r="D91" s="14" t="n">
        <v>345</v>
      </c>
      <c r="E91" s="14" t="n">
        <v>466</v>
      </c>
      <c r="F91" s="14" t="n">
        <v>352</v>
      </c>
      <c r="G91" s="14" t="n">
        <v>420</v>
      </c>
      <c r="H91" s="14" t="n">
        <v>225</v>
      </c>
      <c r="I91" s="14" t="n">
        <v>106</v>
      </c>
      <c r="J91" s="14" t="n">
        <v>3</v>
      </c>
      <c r="K91" s="14" t="n">
        <v>57.3</v>
      </c>
      <c r="L91" s="14" t="n">
        <v>25</v>
      </c>
      <c r="M91" s="14" t="n">
        <v>0</v>
      </c>
      <c r="N91" s="14"/>
      <c r="O91" s="22" t="n">
        <f aca="false">IF(OR(J91="",K91="",J91=0),"",K91/J91)</f>
        <v>19.1</v>
      </c>
      <c r="P91" s="8" t="str">
        <f aca="false">IF(COUNTIFS(5000m比較!$A$5:$A$34,A91,5000m比較!$C$5:$C$34,B91)&gt;0,"○","")</f>
        <v/>
      </c>
    </row>
    <row r="92" customFormat="false" ht="15" hidden="false" customHeight="false" outlineLevel="0" collapsed="false">
      <c r="A92" s="13" t="s">
        <v>62</v>
      </c>
      <c r="B92" s="36" t="s">
        <v>190</v>
      </c>
      <c r="C92" s="14" t="n">
        <v>91</v>
      </c>
      <c r="D92" s="14" t="n">
        <v>430</v>
      </c>
      <c r="E92" s="14" t="n">
        <v>405</v>
      </c>
      <c r="F92" s="14" t="n">
        <v>123</v>
      </c>
      <c r="G92" s="14" t="n">
        <v>481</v>
      </c>
      <c r="H92" s="14" t="n">
        <v>392</v>
      </c>
      <c r="I92" s="14" t="n">
        <v>547</v>
      </c>
      <c r="J92" s="14" t="n">
        <v>372</v>
      </c>
      <c r="K92" s="14" t="n">
        <v>436</v>
      </c>
      <c r="L92" s="14" t="n">
        <v>447</v>
      </c>
      <c r="M92" s="14" t="n">
        <v>346</v>
      </c>
      <c r="N92" s="14"/>
      <c r="O92" s="22" t="n">
        <f aca="false">IF(OR(J92="",K92="",J92=0),"",K92/J92)</f>
        <v>1.17204301075269</v>
      </c>
      <c r="P92" s="8" t="str">
        <f aca="false">IF(COUNTIFS(5000m比較!$A$5:$A$34,A92,5000m比較!$C$5:$C$34,B92)&gt;0,"○","")</f>
        <v/>
      </c>
    </row>
    <row r="93" customFormat="false" ht="15" hidden="false" customHeight="false" outlineLevel="0" collapsed="false">
      <c r="A93" s="13" t="s">
        <v>62</v>
      </c>
      <c r="B93" s="36" t="s">
        <v>293</v>
      </c>
      <c r="C93" s="14" t="n">
        <v>337</v>
      </c>
      <c r="D93" s="14" t="n">
        <v>144</v>
      </c>
      <c r="E93" s="14" t="n">
        <v>425</v>
      </c>
      <c r="F93" s="14" t="n">
        <v>426</v>
      </c>
      <c r="G93" s="14" t="n">
        <v>560</v>
      </c>
      <c r="H93" s="14" t="n">
        <v>528</v>
      </c>
      <c r="I93" s="14"/>
      <c r="J93" s="14" t="n">
        <v>868</v>
      </c>
      <c r="K93" s="14" t="n">
        <v>516</v>
      </c>
      <c r="L93" s="14"/>
      <c r="M93" s="14"/>
      <c r="N93" s="14"/>
      <c r="O93" s="22" t="n">
        <f aca="false">IF(OR(J93="",K93="",J93=0),"",K93/J93)</f>
        <v>0.594470046082949</v>
      </c>
      <c r="P93" s="8" t="str">
        <f aca="false">IF(COUNTIFS(5000m比較!$A$5:$A$34,A93,5000m比較!$C$5:$C$34,B93)&gt;0,"○","")</f>
        <v/>
      </c>
    </row>
    <row r="94" customFormat="false" ht="15" hidden="false" customHeight="false" outlineLevel="0" collapsed="false">
      <c r="A94" s="13" t="s">
        <v>62</v>
      </c>
      <c r="B94" s="36" t="s">
        <v>165</v>
      </c>
      <c r="C94" s="14"/>
      <c r="D94" s="14"/>
      <c r="E94" s="14" t="n">
        <v>441</v>
      </c>
      <c r="F94" s="14" t="n">
        <v>232</v>
      </c>
      <c r="G94" s="14" t="n">
        <v>346</v>
      </c>
      <c r="H94" s="14" t="n">
        <v>354</v>
      </c>
      <c r="I94" s="14" t="n">
        <v>402</v>
      </c>
      <c r="J94" s="14" t="n">
        <v>672</v>
      </c>
      <c r="K94" s="14" t="n">
        <v>502</v>
      </c>
      <c r="L94" s="14" t="n">
        <v>408</v>
      </c>
      <c r="M94" s="14" t="n">
        <v>352.6</v>
      </c>
      <c r="N94" s="14"/>
      <c r="O94" s="22" t="n">
        <f aca="false">IF(OR(J94="",K94="",J94=0),"",K94/J94)</f>
        <v>0.74702380952381</v>
      </c>
      <c r="P94" s="8" t="str">
        <f aca="false">IF(COUNTIFS(5000m比較!$A$5:$A$34,A94,5000m比較!$C$5:$C$34,B94)&gt;0,"○","")</f>
        <v>○</v>
      </c>
    </row>
    <row r="95" customFormat="false" ht="15" hidden="false" customHeight="false" outlineLevel="0" collapsed="false">
      <c r="A95" s="13" t="s">
        <v>62</v>
      </c>
      <c r="B95" s="36" t="s">
        <v>166</v>
      </c>
      <c r="C95" s="14" t="n">
        <v>400</v>
      </c>
      <c r="D95" s="14" t="n">
        <v>430</v>
      </c>
      <c r="E95" s="14" t="n">
        <v>80</v>
      </c>
      <c r="F95" s="14" t="n">
        <v>440</v>
      </c>
      <c r="G95" s="14" t="n">
        <v>463</v>
      </c>
      <c r="H95" s="14" t="n">
        <v>137</v>
      </c>
      <c r="I95" s="14" t="n">
        <v>168</v>
      </c>
      <c r="J95" s="14" t="n">
        <v>618</v>
      </c>
      <c r="K95" s="14" t="n">
        <v>515</v>
      </c>
      <c r="L95" s="14" t="n">
        <v>402</v>
      </c>
      <c r="M95" s="14" t="n">
        <v>184</v>
      </c>
      <c r="N95" s="14"/>
      <c r="O95" s="22" t="n">
        <f aca="false">IF(OR(J95="",K95="",J95=0),"",K95/J95)</f>
        <v>0.833333333333333</v>
      </c>
      <c r="P95" s="8" t="str">
        <f aca="false">IF(COUNTIFS(5000m比較!$A$5:$A$34,A95,5000m比較!$C$5:$C$34,B95)&gt;0,"○","")</f>
        <v>○</v>
      </c>
    </row>
    <row r="96" customFormat="false" ht="15" hidden="false" customHeight="false" outlineLevel="0" collapsed="false">
      <c r="A96" s="13" t="s">
        <v>62</v>
      </c>
      <c r="B96" s="36" t="s">
        <v>162</v>
      </c>
      <c r="C96" s="14" t="n">
        <v>380</v>
      </c>
      <c r="D96" s="14" t="n">
        <v>132</v>
      </c>
      <c r="E96" s="14" t="n">
        <v>462</v>
      </c>
      <c r="F96" s="14" t="n">
        <v>471</v>
      </c>
      <c r="G96" s="14" t="n">
        <v>293</v>
      </c>
      <c r="H96" s="14" t="n">
        <v>352.5</v>
      </c>
      <c r="I96" s="14" t="n">
        <v>365</v>
      </c>
      <c r="J96" s="14" t="n">
        <v>626</v>
      </c>
      <c r="K96" s="14" t="n">
        <v>435.8</v>
      </c>
      <c r="L96" s="14"/>
      <c r="M96" s="14"/>
      <c r="N96" s="14"/>
      <c r="O96" s="22" t="n">
        <f aca="false">IF(OR(J96="",K96="",J96=0),"",K96/J96)</f>
        <v>0.696166134185304</v>
      </c>
      <c r="P96" s="8" t="str">
        <f aca="false">IF(COUNTIFS(5000m比較!$A$5:$A$34,A96,5000m比較!$C$5:$C$34,B96)&gt;0,"○","")</f>
        <v>○</v>
      </c>
    </row>
    <row r="97" customFormat="false" ht="15" hidden="false" customHeight="false" outlineLevel="0" collapsed="false">
      <c r="A97" s="28" t="s">
        <v>63</v>
      </c>
      <c r="B97" s="31" t="s">
        <v>206</v>
      </c>
      <c r="C97" s="34" t="n">
        <v>300</v>
      </c>
      <c r="D97" s="34" t="n">
        <v>214</v>
      </c>
      <c r="E97" s="34" t="n">
        <v>362</v>
      </c>
      <c r="F97" s="34" t="n">
        <v>413</v>
      </c>
      <c r="G97" s="34" t="n">
        <v>156</v>
      </c>
      <c r="H97" s="34" t="n">
        <v>314</v>
      </c>
      <c r="I97" s="34"/>
      <c r="J97" s="34"/>
      <c r="K97" s="34"/>
      <c r="L97" s="34"/>
      <c r="M97" s="34"/>
      <c r="N97" s="34"/>
      <c r="O97" s="51" t="str">
        <f aca="false">IF(OR(J97="",K97="",J97=0),"",K97/J97)</f>
        <v/>
      </c>
      <c r="P97" s="45" t="str">
        <f aca="false">IF(COUNTIFS(5000m比較!$A$5:$A$34,A97,5000m比較!$C$5:$C$34,B97)&gt;0,"○","")</f>
        <v/>
      </c>
    </row>
    <row r="98" customFormat="false" ht="15" hidden="false" customHeight="false" outlineLevel="0" collapsed="false">
      <c r="A98" s="28" t="s">
        <v>63</v>
      </c>
      <c r="B98" s="31" t="s">
        <v>204</v>
      </c>
      <c r="C98" s="34"/>
      <c r="D98" s="34"/>
      <c r="E98" s="34" t="n">
        <v>491.2</v>
      </c>
      <c r="F98" s="34" t="n">
        <v>370</v>
      </c>
      <c r="G98" s="34" t="n">
        <v>535.5</v>
      </c>
      <c r="H98" s="34" t="n">
        <v>235</v>
      </c>
      <c r="I98" s="34"/>
      <c r="J98" s="34"/>
      <c r="K98" s="34"/>
      <c r="L98" s="34"/>
      <c r="M98" s="34"/>
      <c r="N98" s="34"/>
      <c r="O98" s="51" t="str">
        <f aca="false">IF(OR(J98="",K98="",J98=0),"",K98/J98)</f>
        <v/>
      </c>
      <c r="P98" s="45" t="str">
        <f aca="false">IF(COUNTIFS(5000m比較!$A$5:$A$34,A98,5000m比較!$C$5:$C$34,B98)&gt;0,"○","")</f>
        <v/>
      </c>
    </row>
    <row r="99" customFormat="false" ht="15" hidden="false" customHeight="false" outlineLevel="0" collapsed="false">
      <c r="A99" s="28" t="s">
        <v>63</v>
      </c>
      <c r="B99" s="31" t="s">
        <v>208</v>
      </c>
      <c r="C99" s="34"/>
      <c r="D99" s="34"/>
      <c r="E99" s="34" t="n">
        <v>365</v>
      </c>
      <c r="F99" s="34" t="n">
        <v>360</v>
      </c>
      <c r="G99" s="34" t="n">
        <v>412</v>
      </c>
      <c r="H99" s="34" t="n">
        <v>0</v>
      </c>
      <c r="I99" s="34"/>
      <c r="J99" s="34"/>
      <c r="K99" s="34"/>
      <c r="L99" s="34"/>
      <c r="M99" s="34"/>
      <c r="N99" s="34"/>
      <c r="O99" s="51" t="str">
        <f aca="false">IF(OR(J99="",K99="",J99=0),"",K99/J99)</f>
        <v/>
      </c>
      <c r="P99" s="45" t="str">
        <f aca="false">IF(COUNTIFS(5000m比較!$A$5:$A$34,A99,5000m比較!$C$5:$C$34,B99)&gt;0,"○","")</f>
        <v/>
      </c>
    </row>
    <row r="100" customFormat="false" ht="15" hidden="false" customHeight="false" outlineLevel="0" collapsed="false">
      <c r="A100" s="28" t="s">
        <v>63</v>
      </c>
      <c r="B100" s="31" t="s">
        <v>194</v>
      </c>
      <c r="C100" s="34" t="n">
        <v>300</v>
      </c>
      <c r="D100" s="34" t="n">
        <v>427</v>
      </c>
      <c r="E100" s="34" t="n">
        <v>513</v>
      </c>
      <c r="F100" s="34" t="n">
        <v>0</v>
      </c>
      <c r="G100" s="34" t="n">
        <v>509</v>
      </c>
      <c r="H100" s="34" t="n">
        <v>328</v>
      </c>
      <c r="I100" s="34"/>
      <c r="J100" s="34"/>
      <c r="K100" s="34"/>
      <c r="L100" s="34"/>
      <c r="M100" s="34"/>
      <c r="N100" s="34"/>
      <c r="O100" s="51" t="str">
        <f aca="false">IF(OR(J100="",K100="",J100=0),"",K100/J100)</f>
        <v/>
      </c>
      <c r="P100" s="45" t="str">
        <f aca="false">IF(COUNTIFS(5000m比較!$A$5:$A$34,A100,5000m比較!$C$5:$C$34,B100)&gt;0,"○","")</f>
        <v/>
      </c>
    </row>
    <row r="101" customFormat="false" ht="15" hidden="false" customHeight="false" outlineLevel="0" collapsed="false">
      <c r="A101" s="28" t="s">
        <v>63</v>
      </c>
      <c r="B101" s="31" t="s">
        <v>209</v>
      </c>
      <c r="C101" s="34" t="n">
        <v>191</v>
      </c>
      <c r="D101" s="34" t="n">
        <v>272</v>
      </c>
      <c r="E101" s="34" t="n">
        <v>599</v>
      </c>
      <c r="F101" s="34" t="n">
        <v>461</v>
      </c>
      <c r="G101" s="34" t="n">
        <v>244</v>
      </c>
      <c r="H101" s="34" t="n">
        <v>497</v>
      </c>
      <c r="I101" s="34"/>
      <c r="J101" s="34"/>
      <c r="K101" s="34"/>
      <c r="L101" s="34"/>
      <c r="M101" s="34"/>
      <c r="N101" s="34"/>
      <c r="O101" s="51" t="str">
        <f aca="false">IF(OR(J101="",K101="",J101=0),"",K101/J101)</f>
        <v/>
      </c>
      <c r="P101" s="45" t="str">
        <f aca="false">IF(COUNTIFS(5000m比較!$A$5:$A$34,A101,5000m比較!$C$5:$C$34,B101)&gt;0,"○","")</f>
        <v/>
      </c>
    </row>
    <row r="102" customFormat="false" ht="15" hidden="false" customHeight="false" outlineLevel="0" collapsed="false">
      <c r="A102" s="28" t="s">
        <v>63</v>
      </c>
      <c r="B102" s="31" t="s">
        <v>176</v>
      </c>
      <c r="C102" s="34" t="n">
        <v>453</v>
      </c>
      <c r="D102" s="34" t="n">
        <v>514</v>
      </c>
      <c r="E102" s="34" t="n">
        <v>588</v>
      </c>
      <c r="F102" s="34" t="n">
        <v>462</v>
      </c>
      <c r="G102" s="34" t="n">
        <v>573</v>
      </c>
      <c r="H102" s="34" t="n">
        <v>588</v>
      </c>
      <c r="I102" s="34"/>
      <c r="J102" s="34"/>
      <c r="K102" s="34"/>
      <c r="L102" s="34"/>
      <c r="M102" s="34"/>
      <c r="N102" s="34"/>
      <c r="O102" s="51" t="str">
        <f aca="false">IF(OR(J102="",K102="",J102=0),"",K102/J102)</f>
        <v/>
      </c>
      <c r="P102" s="45" t="str">
        <f aca="false">IF(COUNTIFS(5000m比較!$A$5:$A$34,A102,5000m比較!$C$5:$C$34,B102)&gt;0,"○","")</f>
        <v/>
      </c>
    </row>
    <row r="103" customFormat="false" ht="15" hidden="false" customHeight="false" outlineLevel="0" collapsed="false">
      <c r="A103" s="28" t="s">
        <v>63</v>
      </c>
      <c r="B103" s="31" t="s">
        <v>233</v>
      </c>
      <c r="C103" s="34" t="n">
        <v>434</v>
      </c>
      <c r="D103" s="34" t="n">
        <v>430</v>
      </c>
      <c r="E103" s="34" t="n">
        <v>500</v>
      </c>
      <c r="F103" s="34" t="n">
        <v>349</v>
      </c>
      <c r="G103" s="34" t="n">
        <v>0</v>
      </c>
      <c r="H103" s="34" t="n">
        <v>482</v>
      </c>
      <c r="I103" s="34"/>
      <c r="J103" s="34"/>
      <c r="K103" s="34"/>
      <c r="L103" s="34"/>
      <c r="M103" s="34"/>
      <c r="N103" s="34"/>
      <c r="O103" s="51" t="str">
        <f aca="false">IF(OR(J103="",K103="",J103=0),"",K103/J103)</f>
        <v/>
      </c>
      <c r="P103" s="45" t="str">
        <f aca="false">IF(COUNTIFS(5000m比較!$A$5:$A$34,A103,5000m比較!$C$5:$C$34,B103)&gt;0,"○","")</f>
        <v/>
      </c>
    </row>
    <row r="104" customFormat="false" ht="15" hidden="false" customHeight="false" outlineLevel="0" collapsed="false">
      <c r="A104" s="28" t="s">
        <v>63</v>
      </c>
      <c r="B104" s="31" t="s">
        <v>171</v>
      </c>
      <c r="C104" s="34" t="n">
        <v>156</v>
      </c>
      <c r="D104" s="34" t="n">
        <v>182</v>
      </c>
      <c r="E104" s="34" t="n">
        <v>384</v>
      </c>
      <c r="F104" s="34" t="n">
        <v>0</v>
      </c>
      <c r="G104" s="34" t="n">
        <v>463</v>
      </c>
      <c r="H104" s="34" t="n">
        <v>570</v>
      </c>
      <c r="I104" s="34"/>
      <c r="J104" s="34"/>
      <c r="K104" s="34"/>
      <c r="L104" s="34"/>
      <c r="M104" s="34"/>
      <c r="N104" s="34"/>
      <c r="O104" s="51" t="str">
        <f aca="false">IF(OR(J104="",K104="",J104=0),"",K104/J104)</f>
        <v/>
      </c>
      <c r="P104" s="45" t="str">
        <f aca="false">IF(COUNTIFS(5000m比較!$A$5:$A$34,A104,5000m比較!$C$5:$C$34,B104)&gt;0,"○","")</f>
        <v>○</v>
      </c>
    </row>
    <row r="105" customFormat="false" ht="15" hidden="false" customHeight="false" outlineLevel="0" collapsed="false">
      <c r="A105" s="28" t="s">
        <v>63</v>
      </c>
      <c r="B105" s="31" t="s">
        <v>169</v>
      </c>
      <c r="C105" s="34" t="n">
        <v>175</v>
      </c>
      <c r="D105" s="34" t="n">
        <v>210</v>
      </c>
      <c r="E105" s="34" t="n">
        <v>452.1</v>
      </c>
      <c r="F105" s="34" t="n">
        <v>416</v>
      </c>
      <c r="G105" s="34" t="n">
        <v>425</v>
      </c>
      <c r="H105" s="34" t="n">
        <v>230</v>
      </c>
      <c r="I105" s="34"/>
      <c r="J105" s="34"/>
      <c r="K105" s="34"/>
      <c r="L105" s="34"/>
      <c r="M105" s="34"/>
      <c r="N105" s="34"/>
      <c r="O105" s="51" t="str">
        <f aca="false">IF(OR(J105="",K105="",J105=0),"",K105/J105)</f>
        <v/>
      </c>
      <c r="P105" s="45" t="str">
        <f aca="false">IF(COUNTIFS(5000m比較!$A$5:$A$34,A105,5000m比較!$C$5:$C$34,B105)&gt;0,"○","")</f>
        <v>○</v>
      </c>
    </row>
    <row r="106" customFormat="false" ht="15" hidden="false" customHeight="false" outlineLevel="0" collapsed="false">
      <c r="A106" s="28" t="s">
        <v>63</v>
      </c>
      <c r="B106" s="31" t="s">
        <v>205</v>
      </c>
      <c r="C106" s="34"/>
      <c r="D106" s="34"/>
      <c r="E106" s="34" t="n">
        <v>328.4</v>
      </c>
      <c r="F106" s="34" t="n">
        <v>314</v>
      </c>
      <c r="G106" s="34" t="n">
        <v>472</v>
      </c>
      <c r="H106" s="34" t="n">
        <v>318</v>
      </c>
      <c r="I106" s="34"/>
      <c r="J106" s="34"/>
      <c r="K106" s="34"/>
      <c r="L106" s="34"/>
      <c r="M106" s="34"/>
      <c r="N106" s="34"/>
      <c r="O106" s="51" t="str">
        <f aca="false">IF(OR(J106="",K106="",J106=0),"",K106/J106)</f>
        <v/>
      </c>
      <c r="P106" s="45" t="str">
        <f aca="false">IF(COUNTIFS(5000m比較!$A$5:$A$34,A106,5000m比較!$C$5:$C$34,B106)&gt;0,"○","")</f>
        <v/>
      </c>
    </row>
    <row r="107" customFormat="false" ht="15" hidden="false" customHeight="false" outlineLevel="0" collapsed="false">
      <c r="A107" s="28" t="s">
        <v>63</v>
      </c>
      <c r="B107" s="31" t="s">
        <v>172</v>
      </c>
      <c r="C107" s="34"/>
      <c r="D107" s="34"/>
      <c r="E107" s="34" t="n">
        <v>501.3</v>
      </c>
      <c r="F107" s="34" t="n">
        <v>285.8</v>
      </c>
      <c r="G107" s="34" t="n">
        <v>416</v>
      </c>
      <c r="H107" s="34" t="n">
        <v>360</v>
      </c>
      <c r="I107" s="34"/>
      <c r="J107" s="34"/>
      <c r="K107" s="34"/>
      <c r="L107" s="34"/>
      <c r="M107" s="34"/>
      <c r="N107" s="34"/>
      <c r="O107" s="51" t="str">
        <f aca="false">IF(OR(J107="",K107="",J107=0),"",K107/J107)</f>
        <v/>
      </c>
      <c r="P107" s="45" t="str">
        <f aca="false">IF(COUNTIFS(5000m比較!$A$5:$A$34,A107,5000m比較!$C$5:$C$34,B107)&gt;0,"○","")</f>
        <v/>
      </c>
    </row>
    <row r="108" customFormat="false" ht="15" hidden="false" customHeight="false" outlineLevel="0" collapsed="false">
      <c r="A108" s="28" t="s">
        <v>63</v>
      </c>
      <c r="B108" s="31" t="s">
        <v>235</v>
      </c>
      <c r="C108" s="34" t="n">
        <v>189</v>
      </c>
      <c r="D108" s="34" t="n">
        <v>313</v>
      </c>
      <c r="E108" s="34" t="n">
        <v>421</v>
      </c>
      <c r="F108" s="34" t="n">
        <v>352</v>
      </c>
      <c r="G108" s="34" t="n">
        <v>336</v>
      </c>
      <c r="H108" s="34" t="n">
        <v>469</v>
      </c>
      <c r="I108" s="34"/>
      <c r="J108" s="34"/>
      <c r="K108" s="34"/>
      <c r="L108" s="34"/>
      <c r="M108" s="34"/>
      <c r="N108" s="34"/>
      <c r="O108" s="51" t="str">
        <f aca="false">IF(OR(J108="",K108="",J108=0),"",K108/J108)</f>
        <v/>
      </c>
      <c r="P108" s="45" t="str">
        <f aca="false">IF(COUNTIFS(5000m比較!$A$5:$A$34,A108,5000m比較!$C$5:$C$34,B108)&gt;0,"○","")</f>
        <v/>
      </c>
    </row>
    <row r="109" customFormat="false" ht="15" hidden="false" customHeight="false" outlineLevel="0" collapsed="false">
      <c r="A109" s="28" t="s">
        <v>63</v>
      </c>
      <c r="B109" s="31" t="s">
        <v>199</v>
      </c>
      <c r="C109" s="34" t="n">
        <v>403</v>
      </c>
      <c r="D109" s="34" t="n">
        <v>409</v>
      </c>
      <c r="E109" s="34" t="n">
        <v>523</v>
      </c>
      <c r="F109" s="34" t="n">
        <v>402</v>
      </c>
      <c r="G109" s="34" t="n">
        <v>535</v>
      </c>
      <c r="H109" s="34" t="n">
        <v>432</v>
      </c>
      <c r="I109" s="34"/>
      <c r="J109" s="34"/>
      <c r="K109" s="34"/>
      <c r="L109" s="34"/>
      <c r="M109" s="34"/>
      <c r="N109" s="34"/>
      <c r="O109" s="51" t="str">
        <f aca="false">IF(OR(J109="",K109="",J109=0),"",K109/J109)</f>
        <v/>
      </c>
      <c r="P109" s="45" t="str">
        <f aca="false">IF(COUNTIFS(5000m比較!$A$5:$A$34,A109,5000m比較!$C$5:$C$34,B109)&gt;0,"○","")</f>
        <v/>
      </c>
    </row>
    <row r="110" customFormat="false" ht="15" hidden="false" customHeight="false" outlineLevel="0" collapsed="false">
      <c r="A110" s="28" t="s">
        <v>63</v>
      </c>
      <c r="B110" s="31" t="s">
        <v>207</v>
      </c>
      <c r="C110" s="34"/>
      <c r="D110" s="34"/>
      <c r="E110" s="34" t="n">
        <v>378</v>
      </c>
      <c r="F110" s="34" t="n">
        <v>320</v>
      </c>
      <c r="G110" s="34" t="n">
        <v>452</v>
      </c>
      <c r="H110" s="34" t="n">
        <v>392</v>
      </c>
      <c r="I110" s="34"/>
      <c r="J110" s="34"/>
      <c r="K110" s="34"/>
      <c r="L110" s="34"/>
      <c r="M110" s="34"/>
      <c r="N110" s="34"/>
      <c r="O110" s="51" t="str">
        <f aca="false">IF(OR(J110="",K110="",J110=0),"",K110/J110)</f>
        <v/>
      </c>
      <c r="P110" s="45" t="str">
        <f aca="false">IF(COUNTIFS(5000m比較!$A$5:$A$34,A110,5000m比較!$C$5:$C$34,B110)&gt;0,"○","")</f>
        <v/>
      </c>
    </row>
    <row r="111" customFormat="false" ht="15" hidden="false" customHeight="false" outlineLevel="0" collapsed="false">
      <c r="A111" s="28" t="s">
        <v>63</v>
      </c>
      <c r="B111" s="31" t="s">
        <v>173</v>
      </c>
      <c r="C111" s="34"/>
      <c r="D111" s="34"/>
      <c r="E111" s="34" t="n">
        <v>335</v>
      </c>
      <c r="F111" s="34" t="n">
        <v>275</v>
      </c>
      <c r="G111" s="34" t="n">
        <v>240</v>
      </c>
      <c r="H111" s="34" t="n">
        <v>456.5</v>
      </c>
      <c r="I111" s="34"/>
      <c r="J111" s="34"/>
      <c r="K111" s="34"/>
      <c r="L111" s="34"/>
      <c r="M111" s="34"/>
      <c r="N111" s="34"/>
      <c r="O111" s="51" t="str">
        <f aca="false">IF(OR(J111="",K111="",J111=0),"",K111/J111)</f>
        <v/>
      </c>
      <c r="P111" s="45" t="str">
        <f aca="false">IF(COUNTIFS(5000m比較!$A$5:$A$34,A111,5000m比較!$C$5:$C$34,B111)&gt;0,"○","")</f>
        <v/>
      </c>
    </row>
    <row r="112" customFormat="false" ht="15" hidden="false" customHeight="false" outlineLevel="0" collapsed="false">
      <c r="A112" s="28" t="s">
        <v>63</v>
      </c>
      <c r="B112" s="31" t="s">
        <v>203</v>
      </c>
      <c r="C112" s="34" t="n">
        <v>450.2</v>
      </c>
      <c r="D112" s="34" t="n">
        <v>521</v>
      </c>
      <c r="E112" s="34" t="n">
        <v>512</v>
      </c>
      <c r="F112" s="34" t="n">
        <v>420</v>
      </c>
      <c r="G112" s="34" t="n">
        <v>0</v>
      </c>
      <c r="H112" s="34" t="n">
        <v>560</v>
      </c>
      <c r="I112" s="34"/>
      <c r="J112" s="34"/>
      <c r="K112" s="34"/>
      <c r="L112" s="34"/>
      <c r="M112" s="34"/>
      <c r="N112" s="34"/>
      <c r="O112" s="51" t="str">
        <f aca="false">IF(OR(J112="",K112="",J112=0),"",K112/J112)</f>
        <v/>
      </c>
      <c r="P112" s="45" t="str">
        <f aca="false">IF(COUNTIFS(5000m比較!$A$5:$A$34,A112,5000m比較!$C$5:$C$34,B112)&gt;0,"○","")</f>
        <v/>
      </c>
    </row>
    <row r="113" customFormat="false" ht="15" hidden="false" customHeight="false" outlineLevel="0" collapsed="false">
      <c r="A113" s="28" t="s">
        <v>63</v>
      </c>
      <c r="B113" s="31" t="s">
        <v>212</v>
      </c>
      <c r="C113" s="34" t="n">
        <v>353</v>
      </c>
      <c r="D113" s="34" t="n">
        <v>504</v>
      </c>
      <c r="E113" s="34" t="n">
        <v>446</v>
      </c>
      <c r="F113" s="34" t="n">
        <v>347</v>
      </c>
      <c r="G113" s="34" t="n">
        <v>468</v>
      </c>
      <c r="H113" s="34" t="n">
        <v>437</v>
      </c>
      <c r="I113" s="34"/>
      <c r="J113" s="34"/>
      <c r="K113" s="34"/>
      <c r="L113" s="34"/>
      <c r="M113" s="34"/>
      <c r="N113" s="34"/>
      <c r="O113" s="51" t="str">
        <f aca="false">IF(OR(J113="",K113="",J113=0),"",K113/J113)</f>
        <v/>
      </c>
      <c r="P113" s="45" t="str">
        <f aca="false">IF(COUNTIFS(5000m比較!$A$5:$A$34,A113,5000m比較!$C$5:$C$34,B113)&gt;0,"○","")</f>
        <v/>
      </c>
    </row>
    <row r="114" customFormat="false" ht="15" hidden="false" customHeight="false" outlineLevel="0" collapsed="false">
      <c r="A114" s="28" t="s">
        <v>63</v>
      </c>
      <c r="B114" s="31" t="s">
        <v>225</v>
      </c>
      <c r="C114" s="34" t="n">
        <v>164</v>
      </c>
      <c r="D114" s="34" t="n">
        <v>188</v>
      </c>
      <c r="E114" s="34" t="n">
        <v>512</v>
      </c>
      <c r="F114" s="34" t="n">
        <v>346</v>
      </c>
      <c r="G114" s="34" t="n">
        <v>300</v>
      </c>
      <c r="H114" s="34" t="n">
        <v>301</v>
      </c>
      <c r="I114" s="34"/>
      <c r="J114" s="34"/>
      <c r="K114" s="34"/>
      <c r="L114" s="34"/>
      <c r="M114" s="34"/>
      <c r="N114" s="34"/>
      <c r="O114" s="51" t="str">
        <f aca="false">IF(OR(J114="",K114="",J114=0),"",K114/J114)</f>
        <v/>
      </c>
      <c r="P114" s="45" t="str">
        <f aca="false">IF(COUNTIFS(5000m比較!$A$5:$A$34,A114,5000m比較!$C$5:$C$34,B114)&gt;0,"○","")</f>
        <v/>
      </c>
    </row>
    <row r="115" customFormat="false" ht="15" hidden="false" customHeight="false" outlineLevel="0" collapsed="false">
      <c r="A115" s="28" t="s">
        <v>63</v>
      </c>
      <c r="B115" s="31" t="s">
        <v>241</v>
      </c>
      <c r="C115" s="34"/>
      <c r="D115" s="34"/>
      <c r="E115" s="34" t="n">
        <v>675.8</v>
      </c>
      <c r="F115" s="34" t="n">
        <v>410</v>
      </c>
      <c r="G115" s="34" t="n">
        <v>559</v>
      </c>
      <c r="H115" s="34" t="n">
        <v>502.4</v>
      </c>
      <c r="I115" s="34"/>
      <c r="J115" s="34"/>
      <c r="K115" s="34"/>
      <c r="L115" s="34"/>
      <c r="M115" s="34"/>
      <c r="N115" s="34"/>
      <c r="O115" s="51" t="str">
        <f aca="false">IF(OR(J115="",K115="",J115=0),"",K115/J115)</f>
        <v/>
      </c>
      <c r="P115" s="45" t="str">
        <f aca="false">IF(COUNTIFS(5000m比較!$A$5:$A$34,A115,5000m比較!$C$5:$C$34,B115)&gt;0,"○","")</f>
        <v/>
      </c>
    </row>
    <row r="116" customFormat="false" ht="15" hidden="false" customHeight="false" outlineLevel="0" collapsed="false">
      <c r="A116" s="28" t="s">
        <v>63</v>
      </c>
      <c r="B116" s="31" t="s">
        <v>215</v>
      </c>
      <c r="C116" s="34"/>
      <c r="D116" s="34"/>
      <c r="E116" s="34" t="n">
        <v>281</v>
      </c>
      <c r="F116" s="34" t="n">
        <v>22.5</v>
      </c>
      <c r="G116" s="34" t="n">
        <v>238.7</v>
      </c>
      <c r="H116" s="34" t="n">
        <v>457.1</v>
      </c>
      <c r="I116" s="34"/>
      <c r="J116" s="34"/>
      <c r="K116" s="34"/>
      <c r="L116" s="34"/>
      <c r="M116" s="34"/>
      <c r="N116" s="34"/>
      <c r="O116" s="51" t="str">
        <f aca="false">IF(OR(J116="",K116="",J116=0),"",K116/J116)</f>
        <v/>
      </c>
      <c r="P116" s="45" t="str">
        <f aca="false">IF(COUNTIFS(5000m比較!$A$5:$A$34,A116,5000m比較!$C$5:$C$34,B116)&gt;0,"○","")</f>
        <v/>
      </c>
    </row>
    <row r="117" customFormat="false" ht="15" hidden="false" customHeight="false" outlineLevel="0" collapsed="false">
      <c r="A117" s="28" t="s">
        <v>63</v>
      </c>
      <c r="B117" s="31" t="s">
        <v>242</v>
      </c>
      <c r="C117" s="34"/>
      <c r="D117" s="34"/>
      <c r="E117" s="34" t="n">
        <v>374</v>
      </c>
      <c r="F117" s="34" t="n">
        <v>327</v>
      </c>
      <c r="G117" s="34" t="n">
        <v>586</v>
      </c>
      <c r="H117" s="34" t="n">
        <v>375</v>
      </c>
      <c r="I117" s="34"/>
      <c r="J117" s="34"/>
      <c r="K117" s="34"/>
      <c r="L117" s="34"/>
      <c r="M117" s="34"/>
      <c r="N117" s="34"/>
      <c r="O117" s="51" t="str">
        <f aca="false">IF(OR(J117="",K117="",J117=0),"",K117/J117)</f>
        <v/>
      </c>
      <c r="P117" s="45" t="str">
        <f aca="false">IF(COUNTIFS(5000m比較!$A$5:$A$34,A117,5000m比較!$C$5:$C$34,B117)&gt;0,"○","")</f>
        <v/>
      </c>
    </row>
    <row r="118" customFormat="false" ht="15" hidden="false" customHeight="false" outlineLevel="0" collapsed="false">
      <c r="A118" s="28" t="s">
        <v>63</v>
      </c>
      <c r="B118" s="31" t="s">
        <v>228</v>
      </c>
      <c r="C118" s="34" t="n">
        <v>420</v>
      </c>
      <c r="D118" s="34" t="n">
        <v>494</v>
      </c>
      <c r="E118" s="34" t="n">
        <v>504</v>
      </c>
      <c r="F118" s="34" t="n">
        <v>320</v>
      </c>
      <c r="G118" s="34" t="n">
        <v>0</v>
      </c>
      <c r="H118" s="34" t="n">
        <v>363</v>
      </c>
      <c r="I118" s="34"/>
      <c r="J118" s="34"/>
      <c r="K118" s="34"/>
      <c r="L118" s="34"/>
      <c r="M118" s="34"/>
      <c r="N118" s="34"/>
      <c r="O118" s="51" t="str">
        <f aca="false">IF(OR(J118="",K118="",J118=0),"",K118/J118)</f>
        <v/>
      </c>
      <c r="P118" s="45" t="str">
        <f aca="false">IF(COUNTIFS(5000m比較!$A$5:$A$34,A118,5000m比較!$C$5:$C$34,B118)&gt;0,"○","")</f>
        <v/>
      </c>
    </row>
    <row r="119" customFormat="false" ht="15" hidden="false" customHeight="false" outlineLevel="0" collapsed="false">
      <c r="A119" s="28" t="s">
        <v>63</v>
      </c>
      <c r="B119" s="31" t="s">
        <v>210</v>
      </c>
      <c r="C119" s="34" t="n">
        <v>115</v>
      </c>
      <c r="D119" s="34" t="n">
        <v>330</v>
      </c>
      <c r="E119" s="34" t="n">
        <v>500</v>
      </c>
      <c r="F119" s="34" t="n">
        <v>425</v>
      </c>
      <c r="G119" s="34" t="n">
        <v>507</v>
      </c>
      <c r="H119" s="34" t="n">
        <v>424</v>
      </c>
      <c r="I119" s="34"/>
      <c r="J119" s="34"/>
      <c r="K119" s="34"/>
      <c r="L119" s="34"/>
      <c r="M119" s="34"/>
      <c r="N119" s="34"/>
      <c r="O119" s="51" t="str">
        <f aca="false">IF(OR(J119="",K119="",J119=0),"",K119/J119)</f>
        <v/>
      </c>
      <c r="P119" s="45" t="str">
        <f aca="false">IF(COUNTIFS(5000m比較!$A$5:$A$34,A119,5000m比較!$C$5:$C$34,B119)&gt;0,"○","")</f>
        <v/>
      </c>
    </row>
    <row r="120" customFormat="false" ht="15" hidden="false" customHeight="false" outlineLevel="0" collapsed="false">
      <c r="A120" s="28" t="s">
        <v>63</v>
      </c>
      <c r="B120" s="31" t="s">
        <v>211</v>
      </c>
      <c r="C120" s="34" t="n">
        <v>298</v>
      </c>
      <c r="D120" s="34" t="n">
        <v>418</v>
      </c>
      <c r="E120" s="34" t="n">
        <v>488</v>
      </c>
      <c r="F120" s="34" t="n">
        <v>371</v>
      </c>
      <c r="G120" s="34" t="n">
        <v>438</v>
      </c>
      <c r="H120" s="34" t="n">
        <v>453</v>
      </c>
      <c r="I120" s="34"/>
      <c r="J120" s="34"/>
      <c r="K120" s="34"/>
      <c r="L120" s="34"/>
      <c r="M120" s="34"/>
      <c r="N120" s="34"/>
      <c r="O120" s="51" t="str">
        <f aca="false">IF(OR(J120="",K120="",J120=0),"",K120/J120)</f>
        <v/>
      </c>
      <c r="P120" s="45" t="str">
        <f aca="false">IF(COUNTIFS(5000m比較!$A$5:$A$34,A120,5000m比較!$C$5:$C$34,B120)&gt;0,"○","")</f>
        <v/>
      </c>
    </row>
    <row r="121" customFormat="false" ht="15" hidden="false" customHeight="false" outlineLevel="0" collapsed="false">
      <c r="A121" s="28" t="s">
        <v>63</v>
      </c>
      <c r="B121" s="31" t="s">
        <v>213</v>
      </c>
      <c r="C121" s="34" t="n">
        <v>280</v>
      </c>
      <c r="D121" s="34" t="n">
        <v>341</v>
      </c>
      <c r="E121" s="34" t="n">
        <v>403</v>
      </c>
      <c r="F121" s="34" t="n">
        <v>330</v>
      </c>
      <c r="G121" s="34" t="n">
        <v>316</v>
      </c>
      <c r="H121" s="34" t="n">
        <v>231</v>
      </c>
      <c r="I121" s="34"/>
      <c r="J121" s="34"/>
      <c r="K121" s="34"/>
      <c r="L121" s="34"/>
      <c r="M121" s="34"/>
      <c r="N121" s="34"/>
      <c r="O121" s="51" t="str">
        <f aca="false">IF(OR(J121="",K121="",J121=0),"",K121/J121)</f>
        <v/>
      </c>
      <c r="P121" s="45" t="str">
        <f aca="false">IF(COUNTIFS(5000m比較!$A$5:$A$34,A121,5000m比較!$C$5:$C$34,B121)&gt;0,"○","")</f>
        <v/>
      </c>
    </row>
    <row r="122" customFormat="false" ht="15" hidden="false" customHeight="false" outlineLevel="0" collapsed="false">
      <c r="A122" s="28" t="s">
        <v>63</v>
      </c>
      <c r="B122" s="31" t="s">
        <v>158</v>
      </c>
      <c r="C122" s="34" t="n">
        <v>0</v>
      </c>
      <c r="D122" s="34" t="n">
        <v>113</v>
      </c>
      <c r="E122" s="34" t="n">
        <v>421</v>
      </c>
      <c r="F122" s="34" t="n">
        <v>353</v>
      </c>
      <c r="G122" s="34" t="n">
        <v>473</v>
      </c>
      <c r="H122" s="34" t="n">
        <v>551</v>
      </c>
      <c r="I122" s="34"/>
      <c r="J122" s="34"/>
      <c r="K122" s="34"/>
      <c r="L122" s="34"/>
      <c r="M122" s="34"/>
      <c r="N122" s="34"/>
      <c r="O122" s="51" t="str">
        <f aca="false">IF(OR(J122="",K122="",J122=0),"",K122/J122)</f>
        <v/>
      </c>
      <c r="P122" s="45" t="str">
        <f aca="false">IF(COUNTIFS(5000m比較!$A$5:$A$34,A122,5000m比較!$C$5:$C$34,B122)&gt;0,"○","")</f>
        <v/>
      </c>
    </row>
    <row r="123" customFormat="false" ht="15" hidden="false" customHeight="false" outlineLevel="0" collapsed="false">
      <c r="A123" s="28" t="s">
        <v>63</v>
      </c>
      <c r="B123" s="31" t="s">
        <v>187</v>
      </c>
      <c r="C123" s="34" t="n">
        <v>501</v>
      </c>
      <c r="D123" s="34" t="n">
        <v>465</v>
      </c>
      <c r="E123" s="34" t="n">
        <v>614</v>
      </c>
      <c r="F123" s="34" t="n">
        <v>0</v>
      </c>
      <c r="G123" s="34" t="n">
        <v>299</v>
      </c>
      <c r="H123" s="34" t="n">
        <v>465</v>
      </c>
      <c r="I123" s="34"/>
      <c r="J123" s="34"/>
      <c r="K123" s="34"/>
      <c r="L123" s="34"/>
      <c r="M123" s="34"/>
      <c r="N123" s="34"/>
      <c r="O123" s="51" t="str">
        <f aca="false">IF(OR(J123="",K123="",J123=0),"",K123/J123)</f>
        <v/>
      </c>
      <c r="P123" s="45" t="str">
        <f aca="false">IF(COUNTIFS(5000m比較!$A$5:$A$34,A123,5000m比較!$C$5:$C$34,B123)&gt;0,"○","")</f>
        <v/>
      </c>
    </row>
    <row r="124" customFormat="false" ht="15" hidden="false" customHeight="false" outlineLevel="0" collapsed="false">
      <c r="A124" s="28" t="s">
        <v>63</v>
      </c>
      <c r="B124" s="31" t="s">
        <v>232</v>
      </c>
      <c r="C124" s="34" t="n">
        <v>492</v>
      </c>
      <c r="D124" s="34" t="n">
        <v>58.5</v>
      </c>
      <c r="E124" s="34" t="n">
        <v>420.4</v>
      </c>
      <c r="F124" s="34" t="n">
        <v>500</v>
      </c>
      <c r="G124" s="34" t="n">
        <v>532</v>
      </c>
      <c r="H124" s="34" t="n">
        <v>461.8</v>
      </c>
      <c r="I124" s="34"/>
      <c r="J124" s="34"/>
      <c r="K124" s="34"/>
      <c r="L124" s="34"/>
      <c r="M124" s="34"/>
      <c r="N124" s="34"/>
      <c r="O124" s="51" t="str">
        <f aca="false">IF(OR(J124="",K124="",J124=0),"",K124/J124)</f>
        <v/>
      </c>
      <c r="P124" s="45" t="str">
        <f aca="false">IF(COUNTIFS(5000m比較!$A$5:$A$34,A124,5000m比較!$C$5:$C$34,B124)&gt;0,"○","")</f>
        <v/>
      </c>
    </row>
    <row r="125" customFormat="false" ht="15" hidden="false" customHeight="false" outlineLevel="0" collapsed="false">
      <c r="A125" s="28" t="s">
        <v>63</v>
      </c>
      <c r="B125" s="31" t="s">
        <v>188</v>
      </c>
      <c r="C125" s="34" t="n">
        <v>0</v>
      </c>
      <c r="D125" s="34" t="n">
        <v>0</v>
      </c>
      <c r="E125" s="34" t="n">
        <v>0</v>
      </c>
      <c r="F125" s="34" t="n">
        <v>0</v>
      </c>
      <c r="G125" s="34" t="n">
        <v>0</v>
      </c>
      <c r="H125" s="34" t="n">
        <v>480</v>
      </c>
      <c r="I125" s="34"/>
      <c r="J125" s="34"/>
      <c r="K125" s="34"/>
      <c r="L125" s="34"/>
      <c r="M125" s="34"/>
      <c r="N125" s="34"/>
      <c r="O125" s="51" t="str">
        <f aca="false">IF(OR(J125="",K125="",J125=0),"",K125/J125)</f>
        <v/>
      </c>
      <c r="P125" s="45" t="str">
        <f aca="false">IF(COUNTIFS(5000m比較!$A$5:$A$34,A125,5000m比較!$C$5:$C$34,B125)&gt;0,"○","")</f>
        <v/>
      </c>
    </row>
    <row r="126" customFormat="false" ht="15" hidden="false" customHeight="false" outlineLevel="0" collapsed="false">
      <c r="A126" s="28" t="s">
        <v>63</v>
      </c>
      <c r="B126" s="31" t="s">
        <v>229</v>
      </c>
      <c r="C126" s="34" t="n">
        <v>366</v>
      </c>
      <c r="D126" s="34" t="n">
        <v>436</v>
      </c>
      <c r="E126" s="34" t="n">
        <v>358</v>
      </c>
      <c r="F126" s="34" t="n">
        <v>357</v>
      </c>
      <c r="G126" s="34" t="n">
        <v>417</v>
      </c>
      <c r="H126" s="34" t="n">
        <v>429</v>
      </c>
      <c r="I126" s="34"/>
      <c r="J126" s="34"/>
      <c r="K126" s="34"/>
      <c r="L126" s="34"/>
      <c r="M126" s="34"/>
      <c r="N126" s="34"/>
      <c r="O126" s="51" t="str">
        <f aca="false">IF(OR(J126="",K126="",J126=0),"",K126/J126)</f>
        <v/>
      </c>
      <c r="P126" s="45" t="str">
        <f aca="false">IF(COUNTIFS(5000m比較!$A$5:$A$34,A126,5000m比較!$C$5:$C$34,B126)&gt;0,"○","")</f>
        <v/>
      </c>
    </row>
    <row r="127" customFormat="false" ht="15" hidden="false" customHeight="false" outlineLevel="0" collapsed="false">
      <c r="A127" s="28" t="s">
        <v>63</v>
      </c>
      <c r="B127" s="31" t="s">
        <v>193</v>
      </c>
      <c r="C127" s="34" t="n">
        <v>191</v>
      </c>
      <c r="D127" s="34" t="n">
        <v>206</v>
      </c>
      <c r="E127" s="34" t="n">
        <v>456</v>
      </c>
      <c r="F127" s="34" t="n">
        <v>410</v>
      </c>
      <c r="G127" s="34" t="n">
        <v>432</v>
      </c>
      <c r="H127" s="34" t="n">
        <v>372</v>
      </c>
      <c r="I127" s="34"/>
      <c r="J127" s="34"/>
      <c r="K127" s="34"/>
      <c r="L127" s="34"/>
      <c r="M127" s="34"/>
      <c r="N127" s="34"/>
      <c r="O127" s="51" t="str">
        <f aca="false">IF(OR(J127="",K127="",J127=0),"",K127/J127)</f>
        <v/>
      </c>
      <c r="P127" s="45" t="str">
        <f aca="false">IF(COUNTIFS(5000m比較!$A$5:$A$34,A127,5000m比較!$C$5:$C$34,B127)&gt;0,"○","")</f>
        <v/>
      </c>
    </row>
    <row r="128" customFormat="false" ht="15" hidden="false" customHeight="false" outlineLevel="0" collapsed="false">
      <c r="A128" s="28" t="s">
        <v>63</v>
      </c>
      <c r="B128" s="31" t="s">
        <v>214</v>
      </c>
      <c r="C128" s="34"/>
      <c r="D128" s="34"/>
      <c r="E128" s="34" t="n">
        <v>264.9</v>
      </c>
      <c r="F128" s="34" t="n">
        <v>251</v>
      </c>
      <c r="G128" s="34" t="n">
        <v>611.5</v>
      </c>
      <c r="H128" s="34" t="n">
        <v>501</v>
      </c>
      <c r="I128" s="34"/>
      <c r="J128" s="34"/>
      <c r="K128" s="34"/>
      <c r="L128" s="34"/>
      <c r="M128" s="34"/>
      <c r="N128" s="34"/>
      <c r="O128" s="51" t="str">
        <f aca="false">IF(OR(J128="",K128="",J128=0),"",K128/J128)</f>
        <v/>
      </c>
      <c r="P128" s="45" t="str">
        <f aca="false">IF(COUNTIFS(5000m比較!$A$5:$A$34,A128,5000m比較!$C$5:$C$34,B128)&gt;0,"○","")</f>
        <v/>
      </c>
    </row>
    <row r="129" customFormat="false" ht="15" hidden="false" customHeight="false" outlineLevel="0" collapsed="false">
      <c r="A129" s="28" t="s">
        <v>63</v>
      </c>
      <c r="B129" s="31" t="s">
        <v>227</v>
      </c>
      <c r="C129" s="34" t="n">
        <v>223</v>
      </c>
      <c r="D129" s="34" t="n">
        <v>410</v>
      </c>
      <c r="E129" s="34" t="n">
        <v>529</v>
      </c>
      <c r="F129" s="34" t="n">
        <v>294</v>
      </c>
      <c r="G129" s="34" t="n">
        <v>144</v>
      </c>
      <c r="H129" s="34" t="n">
        <v>350</v>
      </c>
      <c r="I129" s="34"/>
      <c r="J129" s="34"/>
      <c r="K129" s="34"/>
      <c r="L129" s="34"/>
      <c r="M129" s="34"/>
      <c r="N129" s="34"/>
      <c r="O129" s="51" t="str">
        <f aca="false">IF(OR(J129="",K129="",J129=0),"",K129/J129)</f>
        <v/>
      </c>
      <c r="P129" s="45" t="str">
        <f aca="false">IF(COUNTIFS(5000m比較!$A$5:$A$34,A129,5000m比較!$C$5:$C$34,B129)&gt;0,"○","")</f>
        <v/>
      </c>
    </row>
    <row r="130" customFormat="false" ht="15" hidden="false" customHeight="false" outlineLevel="0" collapsed="false">
      <c r="A130" s="28" t="s">
        <v>63</v>
      </c>
      <c r="B130" s="31" t="s">
        <v>244</v>
      </c>
      <c r="C130" s="34"/>
      <c r="D130" s="34"/>
      <c r="E130" s="34" t="n">
        <v>416</v>
      </c>
      <c r="F130" s="34" t="n">
        <v>339</v>
      </c>
      <c r="G130" s="34" t="n">
        <v>503</v>
      </c>
      <c r="H130" s="34" t="n">
        <v>300</v>
      </c>
      <c r="I130" s="34"/>
      <c r="J130" s="34"/>
      <c r="K130" s="34"/>
      <c r="L130" s="34"/>
      <c r="M130" s="34"/>
      <c r="N130" s="34"/>
      <c r="O130" s="51" t="str">
        <f aca="false">IF(OR(J130="",K130="",J130=0),"",K130/J130)</f>
        <v/>
      </c>
      <c r="P130" s="45" t="str">
        <f aca="false">IF(COUNTIFS(5000m比較!$A$5:$A$34,A130,5000m比較!$C$5:$C$34,B130)&gt;0,"○","")</f>
        <v/>
      </c>
    </row>
    <row r="131" customFormat="false" ht="15" hidden="false" customHeight="false" outlineLevel="0" collapsed="false">
      <c r="A131" s="28" t="s">
        <v>63</v>
      </c>
      <c r="B131" s="31" t="s">
        <v>230</v>
      </c>
      <c r="C131" s="34" t="n">
        <v>412.5</v>
      </c>
      <c r="D131" s="34" t="n">
        <v>450</v>
      </c>
      <c r="E131" s="34" t="n">
        <v>480</v>
      </c>
      <c r="F131" s="34" t="n">
        <v>215</v>
      </c>
      <c r="G131" s="34" t="n">
        <v>0</v>
      </c>
      <c r="H131" s="34" t="n">
        <v>385</v>
      </c>
      <c r="I131" s="34"/>
      <c r="J131" s="34"/>
      <c r="K131" s="34"/>
      <c r="L131" s="34"/>
      <c r="M131" s="34"/>
      <c r="N131" s="34"/>
      <c r="O131" s="51" t="str">
        <f aca="false">IF(OR(J131="",K131="",J131=0),"",K131/J131)</f>
        <v/>
      </c>
      <c r="P131" s="45" t="str">
        <f aca="false">IF(COUNTIFS(5000m比較!$A$5:$A$34,A131,5000m比較!$C$5:$C$34,B131)&gt;0,"○","")</f>
        <v/>
      </c>
    </row>
    <row r="132" customFormat="false" ht="15" hidden="false" customHeight="false" outlineLevel="0" collapsed="false">
      <c r="A132" s="28" t="s">
        <v>63</v>
      </c>
      <c r="B132" s="31" t="s">
        <v>170</v>
      </c>
      <c r="C132" s="34" t="n">
        <v>265</v>
      </c>
      <c r="D132" s="34" t="n">
        <v>415.2</v>
      </c>
      <c r="E132" s="34" t="n">
        <v>387.8</v>
      </c>
      <c r="F132" s="34" t="n">
        <v>0</v>
      </c>
      <c r="G132" s="34" t="n">
        <v>275.3</v>
      </c>
      <c r="H132" s="34" t="n">
        <v>400.7</v>
      </c>
      <c r="I132" s="34"/>
      <c r="J132" s="34"/>
      <c r="K132" s="34"/>
      <c r="L132" s="34"/>
      <c r="M132" s="34"/>
      <c r="N132" s="34"/>
      <c r="O132" s="51" t="str">
        <f aca="false">IF(OR(J132="",K132="",J132=0),"",K132/J132)</f>
        <v/>
      </c>
      <c r="P132" s="45" t="str">
        <f aca="false">IF(COUNTIFS(5000m比較!$A$5:$A$34,A132,5000m比較!$C$5:$C$34,B132)&gt;0,"○","")</f>
        <v>○</v>
      </c>
    </row>
    <row r="133" customFormat="false" ht="15" hidden="false" customHeight="false" outlineLevel="0" collapsed="false">
      <c r="A133" s="28" t="s">
        <v>63</v>
      </c>
      <c r="B133" s="31" t="s">
        <v>243</v>
      </c>
      <c r="C133" s="34"/>
      <c r="D133" s="34"/>
      <c r="E133" s="34" t="n">
        <v>412</v>
      </c>
      <c r="F133" s="34" t="n">
        <v>309</v>
      </c>
      <c r="G133" s="34" t="n">
        <v>0</v>
      </c>
      <c r="H133" s="34" t="n">
        <v>564</v>
      </c>
      <c r="I133" s="34"/>
      <c r="J133" s="34"/>
      <c r="K133" s="34"/>
      <c r="L133" s="34"/>
      <c r="M133" s="34"/>
      <c r="N133" s="34"/>
      <c r="O133" s="51" t="str">
        <f aca="false">IF(OR(J133="",K133="",J133=0),"",K133/J133)</f>
        <v/>
      </c>
      <c r="P133" s="45" t="str">
        <f aca="false">IF(COUNTIFS(5000m比較!$A$5:$A$34,A133,5000m比較!$C$5:$C$34,B133)&gt;0,"○","")</f>
        <v/>
      </c>
    </row>
    <row r="134" customFormat="false" ht="15" hidden="false" customHeight="false" outlineLevel="0" collapsed="false">
      <c r="A134" s="28" t="s">
        <v>63</v>
      </c>
      <c r="B134" s="31" t="s">
        <v>234</v>
      </c>
      <c r="C134" s="34" t="n">
        <v>118</v>
      </c>
      <c r="D134" s="34" t="n">
        <v>112</v>
      </c>
      <c r="E134" s="34" t="n">
        <v>280</v>
      </c>
      <c r="F134" s="34" t="n">
        <v>261</v>
      </c>
      <c r="G134" s="34" t="n">
        <v>395</v>
      </c>
      <c r="H134" s="34" t="n">
        <v>282</v>
      </c>
      <c r="I134" s="34"/>
      <c r="J134" s="34"/>
      <c r="K134" s="34"/>
      <c r="L134" s="34"/>
      <c r="M134" s="34"/>
      <c r="N134" s="34"/>
      <c r="O134" s="51" t="str">
        <f aca="false">IF(OR(J134="",K134="",J134=0),"",K134/J134)</f>
        <v/>
      </c>
      <c r="P134" s="45" t="str">
        <f aca="false">IF(COUNTIFS(5000m比較!$A$5:$A$34,A134,5000m比較!$C$5:$C$34,B134)&gt;0,"○","")</f>
        <v/>
      </c>
    </row>
    <row r="135" customFormat="false" ht="15" hidden="false" customHeight="false" outlineLevel="0" collapsed="false">
      <c r="A135" s="28" t="s">
        <v>63</v>
      </c>
      <c r="B135" s="31" t="s">
        <v>231</v>
      </c>
      <c r="C135" s="34" t="n">
        <v>382.3</v>
      </c>
      <c r="D135" s="34" t="n">
        <v>464.1</v>
      </c>
      <c r="E135" s="34" t="n">
        <v>326.5</v>
      </c>
      <c r="F135" s="34" t="n">
        <v>375</v>
      </c>
      <c r="G135" s="34" t="n">
        <v>0</v>
      </c>
      <c r="H135" s="34" t="n">
        <v>438.1</v>
      </c>
      <c r="I135" s="34"/>
      <c r="J135" s="34"/>
      <c r="K135" s="34"/>
      <c r="L135" s="34"/>
      <c r="M135" s="34"/>
      <c r="N135" s="34"/>
      <c r="O135" s="51" t="str">
        <f aca="false">IF(OR(J135="",K135="",J135=0),"",K135/J135)</f>
        <v/>
      </c>
      <c r="P135" s="45" t="str">
        <f aca="false">IF(COUNTIFS(5000m比較!$A$5:$A$34,A135,5000m比較!$C$5:$C$34,B135)&gt;0,"○","")</f>
        <v/>
      </c>
    </row>
    <row r="136" customFormat="false" ht="15" hidden="false" customHeight="false" outlineLevel="0" collapsed="false">
      <c r="A136" s="28" t="s">
        <v>63</v>
      </c>
      <c r="B136" s="31" t="s">
        <v>202</v>
      </c>
      <c r="C136" s="34"/>
      <c r="D136" s="34"/>
      <c r="E136" s="34" t="n">
        <v>93.4</v>
      </c>
      <c r="F136" s="34" t="n">
        <v>232.1</v>
      </c>
      <c r="G136" s="34" t="n">
        <v>390</v>
      </c>
      <c r="H136" s="34" t="n">
        <v>415</v>
      </c>
      <c r="I136" s="34"/>
      <c r="J136" s="34"/>
      <c r="K136" s="34"/>
      <c r="L136" s="34"/>
      <c r="M136" s="34"/>
      <c r="N136" s="34"/>
      <c r="O136" s="51" t="str">
        <f aca="false">IF(OR(J136="",K136="",J136=0),"",K136/J136)</f>
        <v/>
      </c>
      <c r="P136" s="45" t="str">
        <f aca="false">IF(COUNTIFS(5000m比較!$A$5:$A$34,A136,5000m比較!$C$5:$C$34,B136)&gt;0,"○","")</f>
        <v/>
      </c>
    </row>
    <row r="137" customFormat="false" ht="15" hidden="false" customHeight="false" outlineLevel="0" collapsed="false">
      <c r="A137" s="28" t="s">
        <v>63</v>
      </c>
      <c r="B137" s="31" t="s">
        <v>160</v>
      </c>
      <c r="C137" s="34" t="n">
        <v>103</v>
      </c>
      <c r="D137" s="34" t="n">
        <v>134</v>
      </c>
      <c r="E137" s="34" t="n">
        <v>438</v>
      </c>
      <c r="F137" s="34" t="n">
        <v>421</v>
      </c>
      <c r="G137" s="34" t="n">
        <v>403</v>
      </c>
      <c r="H137" s="34" t="n">
        <v>407</v>
      </c>
      <c r="I137" s="34"/>
      <c r="J137" s="34"/>
      <c r="K137" s="34"/>
      <c r="L137" s="34"/>
      <c r="M137" s="34"/>
      <c r="N137" s="34"/>
      <c r="O137" s="51" t="str">
        <f aca="false">IF(OR(J137="",K137="",J137=0),"",K137/J137)</f>
        <v/>
      </c>
      <c r="P137" s="45" t="str">
        <f aca="false">IF(COUNTIFS(5000m比較!$A$5:$A$34,A137,5000m比較!$C$5:$C$34,B137)&gt;0,"○","")</f>
        <v>○</v>
      </c>
    </row>
    <row r="138" customFormat="false" ht="15" hidden="false" customHeight="false" outlineLevel="0" collapsed="false">
      <c r="A138" s="28" t="s">
        <v>63</v>
      </c>
      <c r="B138" s="31" t="s">
        <v>240</v>
      </c>
      <c r="C138" s="34" t="n">
        <v>273.8</v>
      </c>
      <c r="D138" s="34" t="n">
        <v>478</v>
      </c>
      <c r="E138" s="34" t="n">
        <v>0</v>
      </c>
      <c r="F138" s="34" t="n">
        <v>43</v>
      </c>
      <c r="G138" s="34" t="n">
        <v>0</v>
      </c>
      <c r="H138" s="34" t="n">
        <v>310</v>
      </c>
      <c r="I138" s="34"/>
      <c r="J138" s="34"/>
      <c r="K138" s="34"/>
      <c r="L138" s="34"/>
      <c r="M138" s="34"/>
      <c r="N138" s="34"/>
      <c r="O138" s="51" t="str">
        <f aca="false">IF(OR(J138="",K138="",J138=0),"",K138/J138)</f>
        <v/>
      </c>
      <c r="P138" s="45" t="str">
        <f aca="false">IF(COUNTIFS(5000m比較!$A$5:$A$34,A138,5000m比較!$C$5:$C$34,B138)&gt;0,"○","")</f>
        <v/>
      </c>
    </row>
    <row r="139" customFormat="false" ht="15" hidden="false" customHeight="false" outlineLevel="0" collapsed="false">
      <c r="A139" s="28" t="s">
        <v>63</v>
      </c>
      <c r="B139" s="31" t="s">
        <v>174</v>
      </c>
      <c r="C139" s="34"/>
      <c r="D139" s="34"/>
      <c r="E139" s="34" t="n">
        <v>333.8</v>
      </c>
      <c r="F139" s="34" t="n">
        <v>281.8</v>
      </c>
      <c r="G139" s="34" t="n">
        <v>392</v>
      </c>
      <c r="H139" s="34" t="n">
        <v>324.5</v>
      </c>
      <c r="I139" s="34"/>
      <c r="J139" s="34"/>
      <c r="K139" s="34"/>
      <c r="L139" s="34"/>
      <c r="M139" s="34"/>
      <c r="N139" s="34"/>
      <c r="O139" s="51" t="str">
        <f aca="false">IF(OR(J139="",K139="",J139=0),"",K139/J139)</f>
        <v/>
      </c>
      <c r="P139" s="45" t="str">
        <f aca="false">IF(COUNTIFS(5000m比較!$A$5:$A$34,A139,5000m比較!$C$5:$C$34,B139)&gt;0,"○","")</f>
        <v/>
      </c>
    </row>
    <row r="140" customFormat="false" ht="15" hidden="false" customHeight="false" outlineLevel="0" collapsed="false">
      <c r="A140" s="28" t="s">
        <v>63</v>
      </c>
      <c r="B140" s="31" t="s">
        <v>165</v>
      </c>
      <c r="C140" s="34" t="n">
        <v>132</v>
      </c>
      <c r="D140" s="34" t="n">
        <v>230</v>
      </c>
      <c r="E140" s="34" t="n">
        <v>152</v>
      </c>
      <c r="F140" s="34" t="n">
        <v>62</v>
      </c>
      <c r="G140" s="34" t="n">
        <v>356</v>
      </c>
      <c r="H140" s="34" t="n">
        <v>216</v>
      </c>
      <c r="I140" s="34"/>
      <c r="J140" s="34"/>
      <c r="K140" s="34"/>
      <c r="L140" s="34"/>
      <c r="M140" s="34"/>
      <c r="N140" s="34"/>
      <c r="O140" s="51" t="str">
        <f aca="false">IF(OR(J140="",K140="",J140=0),"",K140/J140)</f>
        <v/>
      </c>
      <c r="P140" s="45" t="str">
        <f aca="false">IF(COUNTIFS(5000m比較!$A$5:$A$34,A140,5000m比較!$C$5:$C$34,B140)&gt;0,"○","")</f>
        <v/>
      </c>
    </row>
    <row r="141" customFormat="false" ht="15" hidden="false" customHeight="false" outlineLevel="0" collapsed="false">
      <c r="A141" s="28" t="s">
        <v>63</v>
      </c>
      <c r="B141" s="31" t="s">
        <v>166</v>
      </c>
      <c r="C141" s="34" t="n">
        <v>284</v>
      </c>
      <c r="D141" s="34" t="n">
        <v>423</v>
      </c>
      <c r="E141" s="34" t="n">
        <v>470</v>
      </c>
      <c r="F141" s="34" t="n">
        <v>0</v>
      </c>
      <c r="G141" s="34" t="n">
        <v>358</v>
      </c>
      <c r="H141" s="34" t="n">
        <v>364</v>
      </c>
      <c r="I141" s="34"/>
      <c r="J141" s="34"/>
      <c r="K141" s="34"/>
      <c r="L141" s="34"/>
      <c r="M141" s="34"/>
      <c r="N141" s="34"/>
      <c r="O141" s="51" t="str">
        <f aca="false">IF(OR(J141="",K141="",J141=0),"",K141/J141)</f>
        <v/>
      </c>
      <c r="P141" s="45" t="str">
        <f aca="false">IF(COUNTIFS(5000m比較!$A$5:$A$34,A141,5000m比較!$C$5:$C$34,B141)&gt;0,"○","")</f>
        <v>○</v>
      </c>
    </row>
    <row r="142" customFormat="false" ht="15" hidden="false" customHeight="false" outlineLevel="0" collapsed="false">
      <c r="A142" s="28" t="s">
        <v>63</v>
      </c>
      <c r="B142" s="31" t="s">
        <v>162</v>
      </c>
      <c r="C142" s="34" t="n">
        <v>0</v>
      </c>
      <c r="D142" s="34" t="n">
        <v>0</v>
      </c>
      <c r="E142" s="34" t="n">
        <v>0</v>
      </c>
      <c r="F142" s="34" t="n">
        <v>0</v>
      </c>
      <c r="G142" s="34" t="n">
        <v>326</v>
      </c>
      <c r="H142" s="34" t="n">
        <v>307.5</v>
      </c>
      <c r="I142" s="34"/>
      <c r="J142" s="34"/>
      <c r="K142" s="34"/>
      <c r="L142" s="34"/>
      <c r="M142" s="34"/>
      <c r="N142" s="34"/>
      <c r="O142" s="51" t="str">
        <f aca="false">IF(OR(J142="",K142="",J142=0),"",K142/J142)</f>
        <v/>
      </c>
      <c r="P142" s="45" t="str">
        <f aca="false">IF(COUNTIFS(5000m比較!$A$5:$A$34,A142,5000m比較!$C$5:$C$34,B142)&gt;0,"○","")</f>
        <v>○</v>
      </c>
    </row>
    <row r="143" customFormat="false" ht="15" hidden="false" customHeight="false" outlineLevel="0" collapsed="false">
      <c r="A143" s="28" t="s">
        <v>63</v>
      </c>
      <c r="B143" s="31" t="s">
        <v>179</v>
      </c>
      <c r="C143" s="34"/>
      <c r="D143" s="34"/>
      <c r="E143" s="34" t="n">
        <v>479</v>
      </c>
      <c r="F143" s="34" t="n">
        <v>0</v>
      </c>
      <c r="G143" s="34" t="n">
        <v>509</v>
      </c>
      <c r="H143" s="34" t="n">
        <v>549</v>
      </c>
      <c r="I143" s="34"/>
      <c r="J143" s="34"/>
      <c r="K143" s="34"/>
      <c r="L143" s="34"/>
      <c r="M143" s="34"/>
      <c r="N143" s="34"/>
      <c r="O143" s="51" t="str">
        <f aca="false">IF(OR(J143="",K143="",J143=0),"",K143/J143)</f>
        <v/>
      </c>
      <c r="P143" s="45" t="str">
        <f aca="false">IF(COUNTIFS(5000m比較!$A$5:$A$34,A143,5000m比較!$C$5:$C$34,B143)&gt;0,"○","")</f>
        <v/>
      </c>
    </row>
  </sheetData>
  <autoFilter ref="A4:P143"/>
  <mergeCells count="1">
    <mergeCell ref="A2:P2"/>
  </mergeCells>
  <conditionalFormatting sqref="A5:B143">
    <cfRule type="expression" priority="2" aboveAverage="0" equalAverage="0" bottom="0" percent="0" rank="0" text="" dxfId="57">
      <formula>$P5="○"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9" t="s">
        <v>294</v>
      </c>
    </row>
    <row r="2" customFormat="false" ht="15" hidden="false" customHeight="false" outlineLevel="0" collapsed="false">
      <c r="A2" s="52" t="s">
        <v>295</v>
      </c>
    </row>
    <row r="3" customFormat="false" ht="15" hidden="false" customHeight="false" outlineLevel="0" collapsed="false">
      <c r="A3" s="52" t="s">
        <v>296</v>
      </c>
    </row>
    <row r="4" customFormat="false" ht="15" hidden="false" customHeight="false" outlineLevel="0" collapsed="false">
      <c r="A4" s="52" t="s">
        <v>297</v>
      </c>
    </row>
    <row r="5" customFormat="false" ht="15" hidden="false" customHeight="false" outlineLevel="0" collapsed="false">
      <c r="A5" s="27" t="s">
        <v>298</v>
      </c>
    </row>
    <row r="6" customFormat="false" ht="15" hidden="false" customHeight="false" outlineLevel="0" collapsed="false">
      <c r="A6" s="27" t="s">
        <v>299</v>
      </c>
    </row>
    <row r="8" customFormat="false" ht="15" hidden="false" customHeight="false" outlineLevel="0" collapsed="false">
      <c r="A8" s="53" t="s">
        <v>300</v>
      </c>
    </row>
    <row r="10" customFormat="false" ht="15" hidden="false" customHeight="false" outlineLevel="0" collapsed="false">
      <c r="A10" s="54" t="s">
        <v>301</v>
      </c>
    </row>
    <row r="11" customFormat="false" ht="15" hidden="false" customHeight="false" outlineLevel="0" collapsed="false">
      <c r="A11" s="11" t="s">
        <v>302</v>
      </c>
      <c r="B11" s="11" t="s">
        <v>303</v>
      </c>
      <c r="C11" s="11" t="s">
        <v>304</v>
      </c>
      <c r="D11" s="11" t="s">
        <v>305</v>
      </c>
      <c r="E11" s="11" t="s">
        <v>306</v>
      </c>
      <c r="F11" s="11" t="s">
        <v>307</v>
      </c>
      <c r="G11" s="11" t="s">
        <v>308</v>
      </c>
      <c r="H11" s="11" t="s">
        <v>309</v>
      </c>
    </row>
    <row r="12" customFormat="false" ht="30" hidden="false" customHeight="true" outlineLevel="0" collapsed="false">
      <c r="A12" s="26" t="s">
        <v>310</v>
      </c>
      <c r="B12" s="7" t="s">
        <v>311</v>
      </c>
      <c r="C12" s="55" t="s">
        <v>312</v>
      </c>
      <c r="D12" s="26" t="s">
        <v>313</v>
      </c>
      <c r="E12" s="26" t="s">
        <v>313</v>
      </c>
      <c r="F12" s="26" t="s">
        <v>313</v>
      </c>
      <c r="G12" s="26" t="s">
        <v>313</v>
      </c>
      <c r="H12" s="55" t="s">
        <v>314</v>
      </c>
    </row>
    <row r="13" customFormat="false" ht="30" hidden="false" customHeight="true" outlineLevel="0" collapsed="false">
      <c r="A13" s="26" t="s">
        <v>315</v>
      </c>
      <c r="B13" s="7" t="s">
        <v>316</v>
      </c>
      <c r="C13" s="55" t="s">
        <v>317</v>
      </c>
      <c r="D13" s="55" t="s">
        <v>312</v>
      </c>
      <c r="E13" s="26" t="s">
        <v>318</v>
      </c>
      <c r="F13" s="26" t="s">
        <v>318</v>
      </c>
      <c r="G13" s="26" t="s">
        <v>319</v>
      </c>
      <c r="H13" s="55" t="s">
        <v>312</v>
      </c>
    </row>
    <row r="14" customFormat="false" ht="30" hidden="false" customHeight="true" outlineLevel="0" collapsed="false">
      <c r="A14" s="26" t="s">
        <v>320</v>
      </c>
      <c r="B14" s="7" t="s">
        <v>321</v>
      </c>
      <c r="C14" s="55" t="s">
        <v>322</v>
      </c>
      <c r="D14" s="26" t="s">
        <v>313</v>
      </c>
      <c r="E14" s="26" t="s">
        <v>313</v>
      </c>
      <c r="F14" s="26" t="s">
        <v>313</v>
      </c>
      <c r="G14" s="26" t="s">
        <v>323</v>
      </c>
      <c r="H14" s="55" t="s">
        <v>312</v>
      </c>
    </row>
    <row r="15" customFormat="false" ht="30" hidden="false" customHeight="true" outlineLevel="0" collapsed="false">
      <c r="A15" s="26" t="s">
        <v>324</v>
      </c>
      <c r="B15" s="7" t="s">
        <v>325</v>
      </c>
      <c r="C15" s="26" t="s">
        <v>326</v>
      </c>
      <c r="D15" s="26" t="s">
        <v>327</v>
      </c>
      <c r="E15" s="26" t="s">
        <v>328</v>
      </c>
      <c r="F15" s="26" t="s">
        <v>329</v>
      </c>
      <c r="G15" s="26" t="s">
        <v>330</v>
      </c>
      <c r="H15" s="55" t="s">
        <v>331</v>
      </c>
    </row>
    <row r="16" customFormat="false" ht="30" hidden="false" customHeight="true" outlineLevel="0" collapsed="false">
      <c r="A16" s="26" t="s">
        <v>332</v>
      </c>
      <c r="B16" s="7" t="s">
        <v>333</v>
      </c>
      <c r="C16" s="55" t="s">
        <v>334</v>
      </c>
      <c r="D16" s="26" t="s">
        <v>313</v>
      </c>
      <c r="E16" s="26" t="s">
        <v>313</v>
      </c>
      <c r="F16" s="26" t="s">
        <v>313</v>
      </c>
      <c r="G16" s="26" t="s">
        <v>323</v>
      </c>
      <c r="H16" s="55" t="s">
        <v>334</v>
      </c>
    </row>
    <row r="17" customFormat="false" ht="30" hidden="false" customHeight="true" outlineLevel="0" collapsed="false">
      <c r="A17" s="26" t="s">
        <v>335</v>
      </c>
      <c r="B17" s="7" t="s">
        <v>325</v>
      </c>
      <c r="C17" s="26" t="s">
        <v>336</v>
      </c>
      <c r="D17" s="26" t="s">
        <v>337</v>
      </c>
      <c r="E17" s="26" t="s">
        <v>338</v>
      </c>
      <c r="F17" s="26" t="s">
        <v>339</v>
      </c>
      <c r="G17" s="26" t="s">
        <v>340</v>
      </c>
      <c r="H17" s="26" t="s">
        <v>341</v>
      </c>
    </row>
    <row r="18" customFormat="false" ht="30" hidden="false" customHeight="true" outlineLevel="0" collapsed="false">
      <c r="A18" s="26" t="s">
        <v>342</v>
      </c>
      <c r="B18" s="7" t="s">
        <v>343</v>
      </c>
      <c r="C18" s="55" t="s">
        <v>344</v>
      </c>
      <c r="D18" s="26" t="s">
        <v>345</v>
      </c>
      <c r="E18" s="26" t="s">
        <v>345</v>
      </c>
      <c r="F18" s="26" t="s">
        <v>345</v>
      </c>
      <c r="G18" s="26" t="s">
        <v>345</v>
      </c>
      <c r="H18" s="55" t="s">
        <v>344</v>
      </c>
    </row>
    <row r="20" customFormat="false" ht="15" hidden="false" customHeight="false" outlineLevel="0" collapsed="false">
      <c r="A20" s="54" t="s">
        <v>346</v>
      </c>
    </row>
    <row r="21" customFormat="false" ht="15" hidden="false" customHeight="false" outlineLevel="0" collapsed="false">
      <c r="A21" s="11" t="s">
        <v>302</v>
      </c>
      <c r="B21" s="11" t="s">
        <v>303</v>
      </c>
      <c r="C21" s="11" t="s">
        <v>304</v>
      </c>
      <c r="D21" s="11" t="s">
        <v>305</v>
      </c>
      <c r="E21" s="11" t="s">
        <v>306</v>
      </c>
      <c r="F21" s="11" t="s">
        <v>307</v>
      </c>
      <c r="G21" s="11" t="s">
        <v>308</v>
      </c>
      <c r="H21" s="11" t="s">
        <v>309</v>
      </c>
    </row>
    <row r="22" customFormat="false" ht="30" hidden="false" customHeight="true" outlineLevel="0" collapsed="false">
      <c r="A22" s="26" t="s">
        <v>347</v>
      </c>
      <c r="B22" s="7" t="s">
        <v>348</v>
      </c>
      <c r="C22" s="26" t="s">
        <v>313</v>
      </c>
      <c r="D22" s="26" t="s">
        <v>313</v>
      </c>
      <c r="E22" s="26" t="s">
        <v>313</v>
      </c>
      <c r="F22" s="26" t="s">
        <v>313</v>
      </c>
      <c r="G22" s="26" t="s">
        <v>323</v>
      </c>
      <c r="H22" s="55" t="s">
        <v>349</v>
      </c>
    </row>
    <row r="23" customFormat="false" ht="30" hidden="false" customHeight="true" outlineLevel="0" collapsed="false">
      <c r="A23" s="26" t="s">
        <v>350</v>
      </c>
      <c r="B23" s="7" t="s">
        <v>351</v>
      </c>
      <c r="C23" s="26" t="s">
        <v>313</v>
      </c>
      <c r="D23" s="26" t="s">
        <v>313</v>
      </c>
      <c r="E23" s="26" t="s">
        <v>313</v>
      </c>
      <c r="F23" s="26" t="s">
        <v>313</v>
      </c>
      <c r="G23" s="26" t="s">
        <v>323</v>
      </c>
      <c r="H23" s="26" t="s">
        <v>313</v>
      </c>
    </row>
    <row r="24" customFormat="false" ht="30" hidden="false" customHeight="true" outlineLevel="0" collapsed="false">
      <c r="A24" s="26" t="s">
        <v>352</v>
      </c>
      <c r="B24" s="7" t="s">
        <v>353</v>
      </c>
      <c r="C24" s="26" t="s">
        <v>313</v>
      </c>
      <c r="D24" s="26" t="s">
        <v>313</v>
      </c>
      <c r="E24" s="26" t="s">
        <v>313</v>
      </c>
      <c r="F24" s="26" t="s">
        <v>313</v>
      </c>
      <c r="G24" s="26" t="s">
        <v>323</v>
      </c>
      <c r="H24" s="26" t="s">
        <v>313</v>
      </c>
    </row>
    <row r="25" customFormat="false" ht="30" hidden="false" customHeight="true" outlineLevel="0" collapsed="false">
      <c r="A25" s="26" t="s">
        <v>354</v>
      </c>
      <c r="B25" s="7" t="s">
        <v>351</v>
      </c>
      <c r="C25" s="26" t="s">
        <v>313</v>
      </c>
      <c r="D25" s="26" t="s">
        <v>313</v>
      </c>
      <c r="E25" s="55" t="s">
        <v>312</v>
      </c>
      <c r="F25" s="26" t="s">
        <v>313</v>
      </c>
      <c r="G25" s="26" t="s">
        <v>323</v>
      </c>
      <c r="H25" s="26" t="s">
        <v>313</v>
      </c>
    </row>
    <row r="27" customFormat="false" ht="15" hidden="false" customHeight="false" outlineLevel="0" collapsed="false">
      <c r="A27" s="54" t="s">
        <v>355</v>
      </c>
    </row>
    <row r="28" customFormat="false" ht="15" hidden="false" customHeight="false" outlineLevel="0" collapsed="false">
      <c r="A28" s="11" t="s">
        <v>302</v>
      </c>
      <c r="B28" s="11" t="s">
        <v>303</v>
      </c>
      <c r="C28" s="11" t="s">
        <v>304</v>
      </c>
      <c r="D28" s="11" t="s">
        <v>305</v>
      </c>
      <c r="E28" s="11" t="s">
        <v>306</v>
      </c>
      <c r="F28" s="11" t="s">
        <v>307</v>
      </c>
      <c r="G28" s="11" t="s">
        <v>308</v>
      </c>
      <c r="H28" s="11" t="s">
        <v>309</v>
      </c>
    </row>
    <row r="29" customFormat="false" ht="30" hidden="false" customHeight="true" outlineLevel="0" collapsed="false">
      <c r="A29" s="26" t="s">
        <v>356</v>
      </c>
      <c r="B29" s="7" t="s">
        <v>357</v>
      </c>
      <c r="C29" s="26" t="s">
        <v>313</v>
      </c>
      <c r="D29" s="26" t="s">
        <v>313</v>
      </c>
      <c r="E29" s="26" t="s">
        <v>313</v>
      </c>
      <c r="F29" s="26" t="s">
        <v>313</v>
      </c>
      <c r="G29" s="26" t="s">
        <v>313</v>
      </c>
      <c r="H29" s="55" t="s">
        <v>312</v>
      </c>
    </row>
    <row r="30" customFormat="false" ht="30" hidden="false" customHeight="true" outlineLevel="0" collapsed="false">
      <c r="A30" s="26" t="s">
        <v>358</v>
      </c>
      <c r="B30" s="7" t="s">
        <v>359</v>
      </c>
      <c r="C30" s="26" t="s">
        <v>318</v>
      </c>
      <c r="D30" s="26" t="s">
        <v>318</v>
      </c>
      <c r="E30" s="26" t="s">
        <v>318</v>
      </c>
      <c r="F30" s="26" t="s">
        <v>318</v>
      </c>
      <c r="G30" s="26" t="s">
        <v>318</v>
      </c>
      <c r="H30" s="55" t="s">
        <v>360</v>
      </c>
    </row>
    <row r="31" customFormat="false" ht="30" hidden="false" customHeight="true" outlineLevel="0" collapsed="false">
      <c r="A31" s="26" t="s">
        <v>361</v>
      </c>
      <c r="B31" s="7" t="s">
        <v>362</v>
      </c>
      <c r="C31" s="26" t="s">
        <v>318</v>
      </c>
      <c r="D31" s="26" t="s">
        <v>318</v>
      </c>
      <c r="E31" s="55" t="s">
        <v>363</v>
      </c>
      <c r="F31" s="26" t="s">
        <v>364</v>
      </c>
      <c r="G31" s="26" t="s">
        <v>318</v>
      </c>
      <c r="H31" s="26" t="s">
        <v>318</v>
      </c>
    </row>
    <row r="32" customFormat="false" ht="30" hidden="false" customHeight="true" outlineLevel="0" collapsed="false">
      <c r="A32" s="26" t="s">
        <v>365</v>
      </c>
      <c r="B32" s="7" t="s">
        <v>366</v>
      </c>
      <c r="C32" s="26" t="s">
        <v>318</v>
      </c>
      <c r="D32" s="26" t="s">
        <v>318</v>
      </c>
      <c r="E32" s="26" t="s">
        <v>318</v>
      </c>
      <c r="F32" s="26" t="s">
        <v>318</v>
      </c>
      <c r="G32" s="26" t="s">
        <v>364</v>
      </c>
      <c r="H32" s="26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9" t="s">
        <v>367</v>
      </c>
    </row>
    <row r="2" customFormat="false" ht="15" hidden="false" customHeight="false" outlineLevel="0" collapsed="false">
      <c r="A2" s="52" t="s">
        <v>295</v>
      </c>
    </row>
    <row r="3" customFormat="false" ht="15" hidden="false" customHeight="false" outlineLevel="0" collapsed="false">
      <c r="A3" s="52" t="s">
        <v>296</v>
      </c>
    </row>
    <row r="4" customFormat="false" ht="15" hidden="false" customHeight="false" outlineLevel="0" collapsed="false">
      <c r="A4" s="52" t="s">
        <v>297</v>
      </c>
    </row>
    <row r="5" customFormat="false" ht="15" hidden="false" customHeight="false" outlineLevel="0" collapsed="false">
      <c r="A5" s="27" t="s">
        <v>298</v>
      </c>
    </row>
    <row r="6" customFormat="false" ht="15" hidden="false" customHeight="false" outlineLevel="0" collapsed="false">
      <c r="A6" s="27" t="s">
        <v>299</v>
      </c>
    </row>
    <row r="8" customFormat="false" ht="15" hidden="false" customHeight="false" outlineLevel="0" collapsed="false">
      <c r="A8" s="53" t="s">
        <v>368</v>
      </c>
    </row>
    <row r="10" customFormat="false" ht="15" hidden="false" customHeight="false" outlineLevel="0" collapsed="false">
      <c r="A10" s="54" t="s">
        <v>369</v>
      </c>
    </row>
    <row r="11" customFormat="false" ht="15" hidden="false" customHeight="false" outlineLevel="0" collapsed="false">
      <c r="A11" s="11" t="s">
        <v>302</v>
      </c>
      <c r="B11" s="11" t="s">
        <v>303</v>
      </c>
      <c r="C11" s="11" t="s">
        <v>309</v>
      </c>
      <c r="D11" s="11" t="s">
        <v>304</v>
      </c>
      <c r="E11" s="11" t="s">
        <v>305</v>
      </c>
      <c r="F11" s="11" t="s">
        <v>370</v>
      </c>
      <c r="G11" s="11" t="s">
        <v>371</v>
      </c>
      <c r="H11" s="11" t="s">
        <v>372</v>
      </c>
    </row>
    <row r="12" customFormat="false" ht="30" hidden="false" customHeight="true" outlineLevel="0" collapsed="false">
      <c r="A12" s="26" t="s">
        <v>373</v>
      </c>
      <c r="B12" s="7" t="s">
        <v>374</v>
      </c>
      <c r="C12" s="26" t="s">
        <v>375</v>
      </c>
      <c r="D12" s="26" t="s">
        <v>376</v>
      </c>
      <c r="E12" s="26" t="s">
        <v>377</v>
      </c>
      <c r="F12" s="26" t="s">
        <v>378</v>
      </c>
      <c r="G12" s="26" t="s">
        <v>379</v>
      </c>
      <c r="H12" s="55" t="s">
        <v>380</v>
      </c>
    </row>
    <row r="13" customFormat="false" ht="30" hidden="false" customHeight="true" outlineLevel="0" collapsed="false">
      <c r="A13" s="26" t="s">
        <v>335</v>
      </c>
      <c r="B13" s="7" t="s">
        <v>381</v>
      </c>
      <c r="C13" s="26" t="s">
        <v>313</v>
      </c>
      <c r="D13" s="26" t="s">
        <v>313</v>
      </c>
      <c r="E13" s="26" t="s">
        <v>313</v>
      </c>
      <c r="F13" s="26" t="s">
        <v>313</v>
      </c>
      <c r="G13" s="26" t="s">
        <v>313</v>
      </c>
      <c r="H13" s="26" t="s">
        <v>382</v>
      </c>
    </row>
    <row r="14" customFormat="false" ht="30" hidden="false" customHeight="true" outlineLevel="0" collapsed="false">
      <c r="A14" s="26" t="s">
        <v>342</v>
      </c>
      <c r="B14" s="7" t="s">
        <v>374</v>
      </c>
      <c r="C14" s="26" t="s">
        <v>383</v>
      </c>
      <c r="D14" s="26" t="s">
        <v>384</v>
      </c>
      <c r="E14" s="26" t="s">
        <v>385</v>
      </c>
      <c r="F14" s="26" t="s">
        <v>386</v>
      </c>
      <c r="G14" s="26" t="s">
        <v>387</v>
      </c>
      <c r="H14" s="26" t="s">
        <v>388</v>
      </c>
    </row>
    <row r="15" customFormat="false" ht="30" hidden="false" customHeight="true" outlineLevel="0" collapsed="false">
      <c r="A15" s="26" t="s">
        <v>389</v>
      </c>
      <c r="B15" s="7" t="s">
        <v>390</v>
      </c>
      <c r="C15" s="26" t="s">
        <v>345</v>
      </c>
      <c r="D15" s="26" t="s">
        <v>345</v>
      </c>
      <c r="E15" s="26" t="s">
        <v>345</v>
      </c>
      <c r="F15" s="26" t="s">
        <v>345</v>
      </c>
      <c r="G15" s="55" t="s">
        <v>391</v>
      </c>
      <c r="H15" s="26" t="s">
        <v>345</v>
      </c>
    </row>
    <row r="17" customFormat="false" ht="15" hidden="false" customHeight="false" outlineLevel="0" collapsed="false">
      <c r="A17" s="54" t="s">
        <v>392</v>
      </c>
    </row>
    <row r="18" customFormat="false" ht="15" hidden="false" customHeight="false" outlineLevel="0" collapsed="false">
      <c r="A18" s="11" t="s">
        <v>302</v>
      </c>
      <c r="B18" s="11" t="s">
        <v>303</v>
      </c>
      <c r="C18" s="11" t="s">
        <v>309</v>
      </c>
      <c r="D18" s="11" t="s">
        <v>304</v>
      </c>
      <c r="E18" s="11" t="s">
        <v>305</v>
      </c>
      <c r="F18" s="11" t="s">
        <v>370</v>
      </c>
      <c r="G18" s="11" t="s">
        <v>371</v>
      </c>
      <c r="H18" s="11" t="s">
        <v>372</v>
      </c>
    </row>
    <row r="19" customFormat="false" ht="30" hidden="false" customHeight="true" outlineLevel="0" collapsed="false">
      <c r="A19" s="26" t="s">
        <v>393</v>
      </c>
      <c r="B19" s="7" t="s">
        <v>394</v>
      </c>
      <c r="C19" s="26" t="s">
        <v>318</v>
      </c>
      <c r="D19" s="26" t="s">
        <v>318</v>
      </c>
      <c r="E19" s="26" t="s">
        <v>318</v>
      </c>
      <c r="F19" s="26" t="s">
        <v>364</v>
      </c>
      <c r="G19" s="26" t="s">
        <v>318</v>
      </c>
      <c r="H19" s="26" t="s">
        <v>364</v>
      </c>
    </row>
    <row r="20" customFormat="false" ht="30" hidden="false" customHeight="true" outlineLevel="0" collapsed="false">
      <c r="A20" s="26" t="s">
        <v>352</v>
      </c>
      <c r="B20" s="7" t="s">
        <v>395</v>
      </c>
      <c r="C20" s="26" t="s">
        <v>318</v>
      </c>
      <c r="D20" s="26" t="s">
        <v>318</v>
      </c>
      <c r="E20" s="26" t="s">
        <v>318</v>
      </c>
      <c r="F20" s="26" t="s">
        <v>364</v>
      </c>
      <c r="G20" s="26" t="s">
        <v>318</v>
      </c>
      <c r="H20" s="26" t="s">
        <v>318</v>
      </c>
    </row>
    <row r="21" customFormat="false" ht="30" hidden="false" customHeight="true" outlineLevel="0" collapsed="false">
      <c r="A21" s="26" t="s">
        <v>396</v>
      </c>
      <c r="B21" s="7" t="s">
        <v>397</v>
      </c>
      <c r="C21" s="26" t="s">
        <v>318</v>
      </c>
      <c r="D21" s="26" t="s">
        <v>318</v>
      </c>
      <c r="E21" s="26" t="s">
        <v>318</v>
      </c>
      <c r="F21" s="26" t="s">
        <v>398</v>
      </c>
      <c r="G21" s="26" t="s">
        <v>318</v>
      </c>
      <c r="H21" s="26" t="s">
        <v>318</v>
      </c>
    </row>
    <row r="22" customFormat="false" ht="30" hidden="false" customHeight="true" outlineLevel="0" collapsed="false">
      <c r="A22" s="26" t="s">
        <v>399</v>
      </c>
      <c r="B22" s="7" t="s">
        <v>351</v>
      </c>
      <c r="C22" s="55" t="s">
        <v>400</v>
      </c>
      <c r="D22" s="26" t="s">
        <v>318</v>
      </c>
      <c r="E22" s="26" t="s">
        <v>318</v>
      </c>
      <c r="F22" s="26" t="s">
        <v>364</v>
      </c>
      <c r="G22" s="26" t="s">
        <v>318</v>
      </c>
      <c r="H22" s="26" t="s">
        <v>318</v>
      </c>
    </row>
    <row r="24" customFormat="false" ht="15" hidden="false" customHeight="false" outlineLevel="0" collapsed="false">
      <c r="A24" s="54" t="s">
        <v>401</v>
      </c>
    </row>
    <row r="25" customFormat="false" ht="15" hidden="false" customHeight="false" outlineLevel="0" collapsed="false">
      <c r="A25" s="11" t="s">
        <v>302</v>
      </c>
      <c r="B25" s="11" t="s">
        <v>303</v>
      </c>
      <c r="C25" s="11" t="s">
        <v>309</v>
      </c>
      <c r="D25" s="11" t="s">
        <v>304</v>
      </c>
      <c r="E25" s="11" t="s">
        <v>305</v>
      </c>
      <c r="F25" s="11" t="s">
        <v>370</v>
      </c>
      <c r="G25" s="11" t="s">
        <v>371</v>
      </c>
      <c r="H25" s="11" t="s">
        <v>372</v>
      </c>
    </row>
    <row r="26" customFormat="false" ht="30" hidden="false" customHeight="true" outlineLevel="0" collapsed="false">
      <c r="A26" s="26" t="s">
        <v>402</v>
      </c>
      <c r="B26" s="7" t="s">
        <v>403</v>
      </c>
      <c r="C26" s="26" t="s">
        <v>318</v>
      </c>
      <c r="D26" s="26" t="s">
        <v>318</v>
      </c>
      <c r="E26" s="26" t="s">
        <v>318</v>
      </c>
      <c r="F26" s="26" t="s">
        <v>364</v>
      </c>
      <c r="G26" s="26" t="s">
        <v>318</v>
      </c>
      <c r="H26" s="55" t="s">
        <v>404</v>
      </c>
    </row>
    <row r="27" customFormat="false" ht="30" hidden="false" customHeight="true" outlineLevel="0" collapsed="false">
      <c r="A27" s="26" t="s">
        <v>361</v>
      </c>
      <c r="B27" s="7" t="s">
        <v>405</v>
      </c>
      <c r="C27" s="26" t="s">
        <v>318</v>
      </c>
      <c r="D27" s="26" t="s">
        <v>318</v>
      </c>
      <c r="E27" s="26" t="s">
        <v>318</v>
      </c>
      <c r="F27" s="26" t="s">
        <v>364</v>
      </c>
      <c r="G27" s="26" t="s">
        <v>318</v>
      </c>
      <c r="H27" s="26" t="s">
        <v>318</v>
      </c>
    </row>
    <row r="28" customFormat="false" ht="30" hidden="false" customHeight="true" outlineLevel="0" collapsed="false">
      <c r="A28" s="26" t="s">
        <v>406</v>
      </c>
      <c r="B28" s="7" t="s">
        <v>407</v>
      </c>
      <c r="C28" s="26" t="s">
        <v>318</v>
      </c>
      <c r="D28" s="26" t="s">
        <v>318</v>
      </c>
      <c r="E28" s="26" t="s">
        <v>318</v>
      </c>
      <c r="F28" s="26" t="s">
        <v>364</v>
      </c>
      <c r="G28" s="26" t="s">
        <v>318</v>
      </c>
      <c r="H28" s="26" t="s">
        <v>318</v>
      </c>
    </row>
    <row r="29" customFormat="false" ht="30" hidden="false" customHeight="true" outlineLevel="0" collapsed="false">
      <c r="A29" s="26" t="s">
        <v>408</v>
      </c>
      <c r="B29" s="7" t="s">
        <v>409</v>
      </c>
      <c r="C29" s="26" t="s">
        <v>313</v>
      </c>
      <c r="D29" s="26" t="s">
        <v>313</v>
      </c>
      <c r="E29" s="26" t="s">
        <v>313</v>
      </c>
      <c r="F29" s="26" t="s">
        <v>313</v>
      </c>
      <c r="G29" s="26" t="s">
        <v>313</v>
      </c>
      <c r="H29" s="26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9" t="s">
        <v>410</v>
      </c>
    </row>
    <row r="2" customFormat="false" ht="15" hidden="false" customHeight="false" outlineLevel="0" collapsed="false">
      <c r="A2" s="52" t="s">
        <v>295</v>
      </c>
    </row>
    <row r="3" customFormat="false" ht="15" hidden="false" customHeight="false" outlineLevel="0" collapsed="false">
      <c r="A3" s="52" t="s">
        <v>296</v>
      </c>
    </row>
    <row r="4" customFormat="false" ht="15" hidden="false" customHeight="false" outlineLevel="0" collapsed="false">
      <c r="A4" s="52" t="s">
        <v>297</v>
      </c>
    </row>
    <row r="5" customFormat="false" ht="15" hidden="false" customHeight="false" outlineLevel="0" collapsed="false">
      <c r="A5" s="27" t="s">
        <v>298</v>
      </c>
    </row>
    <row r="6" customFormat="false" ht="15" hidden="false" customHeight="false" outlineLevel="0" collapsed="false">
      <c r="A6" s="27" t="s">
        <v>299</v>
      </c>
    </row>
    <row r="8" customFormat="false" ht="15" hidden="false" customHeight="false" outlineLevel="0" collapsed="false">
      <c r="A8" s="53" t="s">
        <v>411</v>
      </c>
    </row>
    <row r="10" customFormat="false" ht="15" hidden="false" customHeight="false" outlineLevel="0" collapsed="false">
      <c r="A10" s="54" t="s">
        <v>412</v>
      </c>
    </row>
    <row r="11" customFormat="false" ht="15" hidden="false" customHeight="false" outlineLevel="0" collapsed="false">
      <c r="A11" s="11" t="s">
        <v>302</v>
      </c>
      <c r="B11" s="11" t="s">
        <v>303</v>
      </c>
      <c r="C11" s="11" t="s">
        <v>413</v>
      </c>
      <c r="D11" s="11" t="s">
        <v>414</v>
      </c>
      <c r="E11" s="11" t="s">
        <v>415</v>
      </c>
      <c r="F11" s="11" t="s">
        <v>416</v>
      </c>
      <c r="G11" s="11" t="s">
        <v>417</v>
      </c>
      <c r="H11" s="11" t="s">
        <v>305</v>
      </c>
    </row>
    <row r="12" customFormat="false" ht="30" hidden="false" customHeight="true" outlineLevel="0" collapsed="false">
      <c r="A12" s="26" t="s">
        <v>324</v>
      </c>
      <c r="B12" s="7" t="s">
        <v>418</v>
      </c>
      <c r="C12" s="26" t="s">
        <v>313</v>
      </c>
      <c r="D12" s="26" t="s">
        <v>313</v>
      </c>
      <c r="E12" s="26" t="s">
        <v>313</v>
      </c>
      <c r="F12" s="26" t="s">
        <v>323</v>
      </c>
      <c r="G12" s="26" t="s">
        <v>313</v>
      </c>
      <c r="H12" s="26" t="s">
        <v>313</v>
      </c>
    </row>
    <row r="13" customFormat="false" ht="30" hidden="false" customHeight="true" outlineLevel="0" collapsed="false">
      <c r="A13" s="26" t="s">
        <v>373</v>
      </c>
      <c r="B13" s="7" t="s">
        <v>374</v>
      </c>
      <c r="C13" s="26" t="s">
        <v>419</v>
      </c>
      <c r="D13" s="26" t="s">
        <v>420</v>
      </c>
      <c r="E13" s="26" t="s">
        <v>421</v>
      </c>
      <c r="F13" s="26" t="s">
        <v>422</v>
      </c>
      <c r="G13" s="26" t="s">
        <v>423</v>
      </c>
      <c r="H13" s="26" t="s">
        <v>424</v>
      </c>
    </row>
    <row r="14" customFormat="false" ht="30" hidden="false" customHeight="true" outlineLevel="0" collapsed="false">
      <c r="A14" s="26" t="s">
        <v>335</v>
      </c>
      <c r="B14" s="7" t="s">
        <v>418</v>
      </c>
      <c r="C14" s="26" t="s">
        <v>313</v>
      </c>
      <c r="D14" s="26" t="s">
        <v>323</v>
      </c>
      <c r="E14" s="26" t="s">
        <v>313</v>
      </c>
      <c r="F14" s="26" t="s">
        <v>323</v>
      </c>
      <c r="G14" s="26" t="s">
        <v>313</v>
      </c>
      <c r="H14" s="26" t="s">
        <v>313</v>
      </c>
    </row>
    <row r="15" customFormat="false" ht="30" hidden="false" customHeight="true" outlineLevel="0" collapsed="false">
      <c r="A15" s="26" t="s">
        <v>342</v>
      </c>
      <c r="B15" s="7" t="s">
        <v>374</v>
      </c>
      <c r="C15" s="26" t="s">
        <v>425</v>
      </c>
      <c r="D15" s="26" t="s">
        <v>426</v>
      </c>
      <c r="E15" s="55" t="s">
        <v>312</v>
      </c>
      <c r="F15" s="26" t="s">
        <v>427</v>
      </c>
      <c r="G15" s="26" t="s">
        <v>428</v>
      </c>
      <c r="H15" s="26" t="s">
        <v>429</v>
      </c>
    </row>
    <row r="16" customFormat="false" ht="30" hidden="false" customHeight="true" outlineLevel="0" collapsed="false">
      <c r="A16" s="8" t="s">
        <v>430</v>
      </c>
      <c r="B16" s="7" t="s">
        <v>431</v>
      </c>
      <c r="C16" s="26" t="s">
        <v>345</v>
      </c>
      <c r="D16" s="26" t="s">
        <v>345</v>
      </c>
      <c r="E16" s="55" t="s">
        <v>314</v>
      </c>
      <c r="F16" s="26" t="s">
        <v>345</v>
      </c>
      <c r="G16" s="26" t="s">
        <v>345</v>
      </c>
      <c r="H16" s="26" t="s">
        <v>345</v>
      </c>
    </row>
    <row r="18" customFormat="false" ht="15" hidden="false" customHeight="false" outlineLevel="0" collapsed="false">
      <c r="A18" s="54" t="s">
        <v>432</v>
      </c>
    </row>
    <row r="19" customFormat="false" ht="15" hidden="false" customHeight="false" outlineLevel="0" collapsed="false">
      <c r="A19" s="11" t="s">
        <v>302</v>
      </c>
      <c r="B19" s="11" t="s">
        <v>303</v>
      </c>
      <c r="C19" s="11" t="s">
        <v>413</v>
      </c>
      <c r="D19" s="11" t="s">
        <v>414</v>
      </c>
      <c r="E19" s="11" t="s">
        <v>415</v>
      </c>
      <c r="F19" s="11" t="s">
        <v>416</v>
      </c>
      <c r="G19" s="11" t="s">
        <v>417</v>
      </c>
      <c r="H19" s="11" t="s">
        <v>305</v>
      </c>
    </row>
    <row r="20" customFormat="false" ht="30" hidden="false" customHeight="true" outlineLevel="0" collapsed="false">
      <c r="A20" s="26" t="s">
        <v>433</v>
      </c>
      <c r="B20" s="7" t="s">
        <v>434</v>
      </c>
      <c r="C20" s="26" t="s">
        <v>313</v>
      </c>
      <c r="D20" s="26" t="s">
        <v>313</v>
      </c>
      <c r="E20" s="26" t="s">
        <v>435</v>
      </c>
      <c r="F20" s="26" t="s">
        <v>435</v>
      </c>
      <c r="G20" s="26" t="s">
        <v>313</v>
      </c>
      <c r="H20" s="26" t="s">
        <v>313</v>
      </c>
    </row>
    <row r="21" customFormat="false" ht="30" hidden="false" customHeight="true" outlineLevel="0" collapsed="false">
      <c r="A21" s="26" t="s">
        <v>433</v>
      </c>
      <c r="B21" s="7" t="s">
        <v>436</v>
      </c>
      <c r="C21" s="26" t="s">
        <v>313</v>
      </c>
      <c r="D21" s="26" t="s">
        <v>313</v>
      </c>
      <c r="E21" s="26" t="s">
        <v>435</v>
      </c>
      <c r="F21" s="26" t="s">
        <v>435</v>
      </c>
      <c r="G21" s="26" t="s">
        <v>313</v>
      </c>
      <c r="H21" s="26" t="s">
        <v>313</v>
      </c>
    </row>
    <row r="22" customFormat="false" ht="30" hidden="false" customHeight="true" outlineLevel="0" collapsed="false">
      <c r="A22" s="26" t="s">
        <v>433</v>
      </c>
      <c r="B22" s="7" t="s">
        <v>437</v>
      </c>
      <c r="C22" s="26" t="s">
        <v>313</v>
      </c>
      <c r="D22" s="26" t="s">
        <v>313</v>
      </c>
      <c r="E22" s="26" t="s">
        <v>345</v>
      </c>
      <c r="F22" s="26" t="s">
        <v>435</v>
      </c>
      <c r="G22" s="26" t="s">
        <v>313</v>
      </c>
      <c r="H22" s="26" t="s">
        <v>313</v>
      </c>
    </row>
    <row r="23" customFormat="false" ht="30" hidden="false" customHeight="true" outlineLevel="0" collapsed="false">
      <c r="A23" s="26" t="s">
        <v>433</v>
      </c>
      <c r="B23" s="7" t="s">
        <v>394</v>
      </c>
      <c r="C23" s="26" t="s">
        <v>313</v>
      </c>
      <c r="D23" s="26" t="s">
        <v>313</v>
      </c>
      <c r="E23" s="26" t="s">
        <v>323</v>
      </c>
      <c r="F23" s="26" t="s">
        <v>323</v>
      </c>
      <c r="G23" s="26" t="s">
        <v>313</v>
      </c>
      <c r="H23" s="26" t="s">
        <v>313</v>
      </c>
    </row>
    <row r="24" customFormat="false" ht="30" hidden="false" customHeight="true" outlineLevel="0" collapsed="false">
      <c r="A24" s="26" t="s">
        <v>438</v>
      </c>
      <c r="B24" s="7" t="s">
        <v>439</v>
      </c>
      <c r="C24" s="26" t="s">
        <v>313</v>
      </c>
      <c r="D24" s="26" t="s">
        <v>313</v>
      </c>
      <c r="E24" s="26" t="s">
        <v>323</v>
      </c>
      <c r="F24" s="26" t="s">
        <v>435</v>
      </c>
      <c r="G24" s="26" t="s">
        <v>313</v>
      </c>
      <c r="H24" s="26" t="s">
        <v>313</v>
      </c>
    </row>
    <row r="26" customFormat="false" ht="15" hidden="false" customHeight="false" outlineLevel="0" collapsed="false">
      <c r="A26" s="54" t="s">
        <v>440</v>
      </c>
    </row>
    <row r="27" customFormat="false" ht="15" hidden="false" customHeight="false" outlineLevel="0" collapsed="false">
      <c r="A27" s="11" t="s">
        <v>302</v>
      </c>
      <c r="B27" s="11" t="s">
        <v>303</v>
      </c>
      <c r="C27" s="11" t="s">
        <v>413</v>
      </c>
      <c r="D27" s="11" t="s">
        <v>414</v>
      </c>
      <c r="E27" s="11" t="s">
        <v>415</v>
      </c>
      <c r="F27" s="11" t="s">
        <v>416</v>
      </c>
      <c r="G27" s="11" t="s">
        <v>417</v>
      </c>
      <c r="H27" s="11" t="s">
        <v>305</v>
      </c>
    </row>
    <row r="28" customFormat="false" ht="30" hidden="false" customHeight="true" outlineLevel="0" collapsed="false">
      <c r="A28" s="26" t="s">
        <v>356</v>
      </c>
      <c r="B28" s="7" t="s">
        <v>441</v>
      </c>
      <c r="C28" s="26" t="s">
        <v>313</v>
      </c>
      <c r="D28" s="26" t="s">
        <v>313</v>
      </c>
      <c r="E28" s="26" t="s">
        <v>313</v>
      </c>
      <c r="F28" s="26" t="s">
        <v>323</v>
      </c>
      <c r="G28" s="26" t="s">
        <v>313</v>
      </c>
      <c r="H28" s="26" t="s">
        <v>313</v>
      </c>
    </row>
    <row r="29" customFormat="false" ht="30" hidden="false" customHeight="true" outlineLevel="0" collapsed="false">
      <c r="A29" s="26" t="s">
        <v>402</v>
      </c>
      <c r="B29" s="7" t="s">
        <v>407</v>
      </c>
      <c r="C29" s="26" t="s">
        <v>318</v>
      </c>
      <c r="D29" s="26" t="s">
        <v>318</v>
      </c>
      <c r="E29" s="26" t="s">
        <v>318</v>
      </c>
      <c r="F29" s="26" t="s">
        <v>364</v>
      </c>
      <c r="G29" s="26" t="s">
        <v>318</v>
      </c>
      <c r="H29" s="26" t="s">
        <v>318</v>
      </c>
    </row>
    <row r="30" customFormat="false" ht="30" hidden="false" customHeight="true" outlineLevel="0" collapsed="false">
      <c r="A30" s="26" t="s">
        <v>365</v>
      </c>
      <c r="B30" s="7" t="s">
        <v>442</v>
      </c>
      <c r="C30" s="26" t="s">
        <v>313</v>
      </c>
      <c r="D30" s="26" t="s">
        <v>313</v>
      </c>
      <c r="E30" s="26" t="s">
        <v>313</v>
      </c>
      <c r="F30" s="26" t="s">
        <v>323</v>
      </c>
      <c r="G30" s="26" t="s">
        <v>313</v>
      </c>
      <c r="H30" s="26" t="s">
        <v>313</v>
      </c>
    </row>
    <row r="31" customFormat="false" ht="30" hidden="false" customHeight="true" outlineLevel="0" collapsed="false">
      <c r="A31" s="26" t="s">
        <v>443</v>
      </c>
      <c r="B31" s="7" t="s">
        <v>444</v>
      </c>
      <c r="C31" s="26" t="s">
        <v>313</v>
      </c>
      <c r="D31" s="26" t="s">
        <v>313</v>
      </c>
      <c r="E31" s="26" t="s">
        <v>313</v>
      </c>
      <c r="F31" s="26" t="s">
        <v>323</v>
      </c>
      <c r="G31" s="26" t="s">
        <v>313</v>
      </c>
      <c r="H31" s="26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9" t="s">
        <v>445</v>
      </c>
    </row>
    <row r="2" customFormat="false" ht="15" hidden="false" customHeight="false" outlineLevel="0" collapsed="false">
      <c r="A2" s="52" t="s">
        <v>295</v>
      </c>
    </row>
    <row r="3" customFormat="false" ht="15" hidden="false" customHeight="false" outlineLevel="0" collapsed="false">
      <c r="A3" s="52" t="s">
        <v>296</v>
      </c>
    </row>
    <row r="4" customFormat="false" ht="15" hidden="false" customHeight="false" outlineLevel="0" collapsed="false">
      <c r="A4" s="52" t="s">
        <v>297</v>
      </c>
    </row>
    <row r="5" customFormat="false" ht="15" hidden="false" customHeight="false" outlineLevel="0" collapsed="false">
      <c r="A5" s="27" t="s">
        <v>298</v>
      </c>
    </row>
    <row r="6" customFormat="false" ht="15" hidden="false" customHeight="false" outlineLevel="0" collapsed="false">
      <c r="A6" s="27" t="s">
        <v>299</v>
      </c>
    </row>
    <row r="8" customFormat="false" ht="15" hidden="false" customHeight="false" outlineLevel="0" collapsed="false">
      <c r="A8" s="53" t="s">
        <v>446</v>
      </c>
    </row>
    <row r="10" customFormat="false" ht="15" hidden="false" customHeight="false" outlineLevel="0" collapsed="false">
      <c r="A10" s="54" t="s">
        <v>447</v>
      </c>
    </row>
    <row r="11" customFormat="false" ht="15" hidden="false" customHeight="false" outlineLevel="0" collapsed="false">
      <c r="A11" s="11" t="s">
        <v>302</v>
      </c>
      <c r="B11" s="11" t="s">
        <v>303</v>
      </c>
      <c r="C11" s="11" t="s">
        <v>448</v>
      </c>
      <c r="D11" s="11" t="s">
        <v>308</v>
      </c>
      <c r="E11" s="11" t="s">
        <v>415</v>
      </c>
      <c r="F11" s="11" t="s">
        <v>413</v>
      </c>
      <c r="G11" s="11" t="s">
        <v>179</v>
      </c>
      <c r="H11" s="11" t="s">
        <v>449</v>
      </c>
    </row>
    <row r="12" customFormat="false" ht="45" hidden="false" customHeight="true" outlineLevel="0" collapsed="false">
      <c r="A12" s="26" t="s">
        <v>450</v>
      </c>
      <c r="B12" s="7" t="s">
        <v>451</v>
      </c>
      <c r="C12" s="26" t="s">
        <v>313</v>
      </c>
      <c r="D12" s="26" t="s">
        <v>313</v>
      </c>
      <c r="E12" s="55" t="s">
        <v>312</v>
      </c>
      <c r="F12" s="26" t="s">
        <v>313</v>
      </c>
      <c r="G12" s="26" t="s">
        <v>452</v>
      </c>
      <c r="H12" s="26" t="s">
        <v>323</v>
      </c>
    </row>
    <row r="13" customFormat="false" ht="30" hidden="false" customHeight="true" outlineLevel="0" collapsed="false">
      <c r="A13" s="26" t="s">
        <v>324</v>
      </c>
      <c r="B13" s="7" t="s">
        <v>418</v>
      </c>
      <c r="C13" s="26" t="s">
        <v>313</v>
      </c>
      <c r="D13" s="26" t="s">
        <v>313</v>
      </c>
      <c r="E13" s="55" t="s">
        <v>453</v>
      </c>
      <c r="F13" s="26" t="s">
        <v>313</v>
      </c>
      <c r="G13" s="26" t="s">
        <v>313</v>
      </c>
      <c r="H13" s="26" t="s">
        <v>323</v>
      </c>
    </row>
    <row r="14" customFormat="false" ht="30" hidden="false" customHeight="true" outlineLevel="0" collapsed="false">
      <c r="A14" s="26" t="s">
        <v>373</v>
      </c>
      <c r="B14" s="7" t="s">
        <v>454</v>
      </c>
      <c r="C14" s="26" t="s">
        <v>455</v>
      </c>
      <c r="D14" s="26" t="s">
        <v>456</v>
      </c>
      <c r="E14" s="26" t="s">
        <v>457</v>
      </c>
      <c r="F14" s="26" t="s">
        <v>458</v>
      </c>
      <c r="G14" s="26" t="s">
        <v>459</v>
      </c>
      <c r="H14" s="26" t="s">
        <v>460</v>
      </c>
    </row>
    <row r="15" customFormat="false" ht="30" hidden="false" customHeight="true" outlineLevel="0" collapsed="false">
      <c r="A15" s="26" t="s">
        <v>335</v>
      </c>
      <c r="B15" s="7" t="s">
        <v>461</v>
      </c>
      <c r="C15" s="26" t="s">
        <v>313</v>
      </c>
      <c r="D15" s="26" t="s">
        <v>313</v>
      </c>
      <c r="E15" s="26" t="s">
        <v>313</v>
      </c>
      <c r="F15" s="26" t="s">
        <v>313</v>
      </c>
      <c r="G15" s="26" t="s">
        <v>313</v>
      </c>
      <c r="H15" s="26" t="s">
        <v>323</v>
      </c>
    </row>
    <row r="16" customFormat="false" ht="30" hidden="false" customHeight="true" outlineLevel="0" collapsed="false">
      <c r="A16" s="26" t="s">
        <v>462</v>
      </c>
      <c r="B16" s="7" t="s">
        <v>463</v>
      </c>
      <c r="C16" s="55" t="s">
        <v>314</v>
      </c>
      <c r="D16" s="26" t="s">
        <v>464</v>
      </c>
      <c r="E16" s="26" t="s">
        <v>465</v>
      </c>
      <c r="F16" s="26" t="s">
        <v>466</v>
      </c>
      <c r="G16" s="26" t="s">
        <v>467</v>
      </c>
      <c r="H16" s="26" t="s">
        <v>468</v>
      </c>
    </row>
    <row r="17" customFormat="false" ht="30" hidden="false" customHeight="true" outlineLevel="0" collapsed="false">
      <c r="A17" s="26" t="s">
        <v>389</v>
      </c>
      <c r="B17" s="7" t="s">
        <v>431</v>
      </c>
      <c r="C17" s="26" t="s">
        <v>345</v>
      </c>
      <c r="D17" s="26" t="s">
        <v>345</v>
      </c>
      <c r="E17" s="26" t="s">
        <v>345</v>
      </c>
      <c r="F17" s="26" t="s">
        <v>345</v>
      </c>
      <c r="G17" s="26" t="s">
        <v>345</v>
      </c>
      <c r="H17" s="26" t="s">
        <v>345</v>
      </c>
    </row>
    <row r="19" customFormat="false" ht="15" hidden="false" customHeight="false" outlineLevel="0" collapsed="false">
      <c r="A19" s="54" t="s">
        <v>392</v>
      </c>
    </row>
    <row r="20" customFormat="false" ht="15" hidden="false" customHeight="false" outlineLevel="0" collapsed="false">
      <c r="A20" s="11" t="s">
        <v>302</v>
      </c>
      <c r="B20" s="11" t="s">
        <v>303</v>
      </c>
      <c r="C20" s="11" t="s">
        <v>448</v>
      </c>
      <c r="D20" s="11" t="s">
        <v>308</v>
      </c>
      <c r="E20" s="11" t="s">
        <v>415</v>
      </c>
      <c r="F20" s="11" t="s">
        <v>413</v>
      </c>
      <c r="G20" s="11" t="s">
        <v>179</v>
      </c>
      <c r="H20" s="11" t="s">
        <v>449</v>
      </c>
    </row>
    <row r="21" customFormat="false" ht="30" hidden="false" customHeight="true" outlineLevel="0" collapsed="false">
      <c r="A21" s="26" t="s">
        <v>469</v>
      </c>
      <c r="B21" s="7" t="s">
        <v>470</v>
      </c>
      <c r="C21" s="26" t="s">
        <v>313</v>
      </c>
      <c r="D21" s="26" t="s">
        <v>313</v>
      </c>
      <c r="E21" s="26" t="s">
        <v>313</v>
      </c>
      <c r="F21" s="26" t="s">
        <v>313</v>
      </c>
      <c r="G21" s="26" t="s">
        <v>323</v>
      </c>
      <c r="H21" s="26" t="s">
        <v>323</v>
      </c>
    </row>
    <row r="22" customFormat="false" ht="30" hidden="false" customHeight="true" outlineLevel="0" collapsed="false">
      <c r="A22" s="26" t="s">
        <v>471</v>
      </c>
      <c r="B22" s="7" t="s">
        <v>472</v>
      </c>
      <c r="C22" s="26" t="s">
        <v>318</v>
      </c>
      <c r="D22" s="26" t="s">
        <v>364</v>
      </c>
      <c r="E22" s="26" t="s">
        <v>318</v>
      </c>
      <c r="F22" s="26" t="s">
        <v>318</v>
      </c>
      <c r="G22" s="26" t="s">
        <v>364</v>
      </c>
      <c r="H22" s="26" t="s">
        <v>319</v>
      </c>
    </row>
    <row r="23" customFormat="false" ht="30" hidden="false" customHeight="true" outlineLevel="0" collapsed="false">
      <c r="A23" s="26" t="s">
        <v>438</v>
      </c>
      <c r="B23" s="7" t="s">
        <v>473</v>
      </c>
      <c r="C23" s="26" t="s">
        <v>474</v>
      </c>
      <c r="D23" s="26" t="s">
        <v>475</v>
      </c>
      <c r="E23" s="26" t="s">
        <v>476</v>
      </c>
      <c r="F23" s="26" t="s">
        <v>477</v>
      </c>
      <c r="G23" s="26" t="s">
        <v>478</v>
      </c>
      <c r="H23" s="26" t="s">
        <v>479</v>
      </c>
    </row>
    <row r="24" customFormat="false" ht="30" hidden="false" customHeight="true" outlineLevel="0" collapsed="false">
      <c r="A24" s="26" t="s">
        <v>399</v>
      </c>
      <c r="B24" s="7" t="s">
        <v>480</v>
      </c>
      <c r="C24" s="26" t="s">
        <v>313</v>
      </c>
      <c r="D24" s="26" t="s">
        <v>313</v>
      </c>
      <c r="E24" s="26" t="s">
        <v>313</v>
      </c>
      <c r="F24" s="26" t="s">
        <v>313</v>
      </c>
      <c r="G24" s="26" t="s">
        <v>323</v>
      </c>
      <c r="H24" s="26" t="s">
        <v>323</v>
      </c>
    </row>
    <row r="26" customFormat="false" ht="15" hidden="false" customHeight="false" outlineLevel="0" collapsed="false">
      <c r="A26" s="54" t="s">
        <v>481</v>
      </c>
    </row>
    <row r="27" customFormat="false" ht="15" hidden="false" customHeight="false" outlineLevel="0" collapsed="false">
      <c r="A27" s="11" t="s">
        <v>302</v>
      </c>
      <c r="B27" s="11" t="s">
        <v>303</v>
      </c>
      <c r="C27" s="11" t="s">
        <v>448</v>
      </c>
      <c r="D27" s="11" t="s">
        <v>308</v>
      </c>
      <c r="E27" s="11" t="s">
        <v>415</v>
      </c>
      <c r="F27" s="11" t="s">
        <v>413</v>
      </c>
      <c r="G27" s="11" t="s">
        <v>179</v>
      </c>
      <c r="H27" s="11" t="s">
        <v>449</v>
      </c>
    </row>
    <row r="28" customFormat="false" ht="30" hidden="false" customHeight="true" outlineLevel="0" collapsed="false">
      <c r="A28" s="26" t="s">
        <v>482</v>
      </c>
      <c r="B28" s="7" t="s">
        <v>483</v>
      </c>
      <c r="C28" s="26" t="s">
        <v>313</v>
      </c>
      <c r="D28" s="26" t="s">
        <v>313</v>
      </c>
      <c r="E28" s="26" t="s">
        <v>313</v>
      </c>
      <c r="F28" s="26" t="s">
        <v>313</v>
      </c>
      <c r="G28" s="26" t="s">
        <v>313</v>
      </c>
      <c r="H28" s="26" t="s">
        <v>323</v>
      </c>
    </row>
    <row r="29" customFormat="false" ht="30" hidden="false" customHeight="true" outlineLevel="0" collapsed="false">
      <c r="A29" s="26" t="s">
        <v>406</v>
      </c>
      <c r="B29" s="7" t="s">
        <v>484</v>
      </c>
      <c r="C29" s="26" t="s">
        <v>485</v>
      </c>
      <c r="D29" s="26" t="s">
        <v>485</v>
      </c>
      <c r="E29" s="26" t="s">
        <v>485</v>
      </c>
      <c r="F29" s="26" t="s">
        <v>486</v>
      </c>
      <c r="G29" s="26" t="s">
        <v>486</v>
      </c>
      <c r="H29" s="26" t="s">
        <v>486</v>
      </c>
    </row>
    <row r="30" customFormat="false" ht="30" hidden="false" customHeight="true" outlineLevel="0" collapsed="false">
      <c r="A30" s="26" t="s">
        <v>408</v>
      </c>
      <c r="B30" s="7" t="s">
        <v>487</v>
      </c>
      <c r="C30" s="26" t="s">
        <v>313</v>
      </c>
      <c r="D30" s="26" t="s">
        <v>313</v>
      </c>
      <c r="E30" s="26" t="s">
        <v>313</v>
      </c>
      <c r="F30" s="26" t="s">
        <v>313</v>
      </c>
      <c r="G30" s="26" t="s">
        <v>313</v>
      </c>
      <c r="H30" s="26" t="s">
        <v>488</v>
      </c>
    </row>
    <row r="31" customFormat="false" ht="30" hidden="false" customHeight="true" outlineLevel="0" collapsed="false">
      <c r="A31" s="26" t="s">
        <v>489</v>
      </c>
      <c r="B31" s="7" t="s">
        <v>490</v>
      </c>
      <c r="C31" s="26" t="s">
        <v>313</v>
      </c>
      <c r="D31" s="26" t="s">
        <v>313</v>
      </c>
      <c r="E31" s="26" t="s">
        <v>313</v>
      </c>
      <c r="F31" s="26" t="s">
        <v>313</v>
      </c>
      <c r="G31" s="26" t="s">
        <v>313</v>
      </c>
      <c r="H31" s="26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2026-10-12T06:02:17Z</dcterms:created>
  <dc:creator>openpyxl</dc:creator>
  <dc:description/>
  <dc:language>en-US</dc:language>
  <cp:lastModifiedBy/>
  <dcterms:modified xsi:type="dcterms:W3CDTF">2026-10-12T06:02:17Z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