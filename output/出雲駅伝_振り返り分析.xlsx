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概要" sheetId="1" state="visible" r:id="rId3"/>
    <sheet name="年別まとめ" sheetId="2" state="visible" r:id="rId4"/>
    <sheet name="出雲区間記録" sheetId="3" state="visible" r:id="rId5"/>
    <sheet name="5000m比較" sheetId="4" state="visible" r:id="rId6"/>
    <sheet name="合宿走行距離" sheetId="5" state="visible" r:id="rId7"/>
    <sheet name="合宿距離×区間順位" sheetId="6" state="visible" r:id="rId8"/>
    <sheet name="合宿消化率" sheetId="7" state="visible" r:id="rId9"/>
    <sheet name="月間走行距離" sheetId="8" state="visible" r:id="rId10"/>
    <sheet name="合宿メニュー_2023" sheetId="9" state="visible" r:id="rId11"/>
    <sheet name="合宿メニュー_2024" sheetId="10" state="visible" r:id="rId12"/>
    <sheet name="合宿メニュー_2025" sheetId="11" state="visible" r:id="rId13"/>
    <sheet name="合宿メニュー_2026" sheetId="12" state="visible" r:id="rId14"/>
  </sheets>
  <definedNames>
    <definedName function="false" hidden="true" localSheetId="3" name="_xlnm._FilterDatabase" vbProcedure="false">5000m比較!$A$4:$L$34</definedName>
    <definedName function="false" hidden="true" localSheetId="2" name="_xlnm._FilterDatabase" vbProcedure="false">出雲区間記録!$A$4:$M$34</definedName>
    <definedName function="false" hidden="true" localSheetId="6" name="_xlnm._FilterDatabase" vbProcedure="false">合宿消化率!$A$4:$G$28</definedName>
    <definedName function="false" hidden="true" localSheetId="4" name="_xlnm._FilterDatabase" vbProcedure="false">合宿走行距離!$A$4:$G$28</definedName>
    <definedName function="false" hidden="true" localSheetId="5" name="_xlnm._FilterDatabase" vbProcedure="false">'合宿距離×区間順位'!$A$4:$J$28</definedName>
    <definedName function="false" hidden="true" localSheetId="7" name="_xlnm._FilterDatabase" vbProcedure="false">月間走行距離!$A$4:$P$22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WenQuanYi Zen Hei"/>
            <family val="2"/>
          </rPr>
          <t xml:space="preserve">出典：各年の出雲駅伝公式リザルト</t>
        </r>
        <r>
          <rPr>
            <sz val="10"/>
            <rFont val="Arial"/>
            <family val="2"/>
          </rPr>
          <t xml:space="preserve">PDF</t>
        </r>
      </text>
    </comment>
    <comment ref="B6" authorId="0">
      <text>
        <r>
          <rPr>
            <sz val="10"/>
            <rFont val="WenQuanYi Zen Hei"/>
            <family val="2"/>
          </rPr>
          <t xml:space="preserve">出典：各年の出雲駅伝公式リザルト</t>
        </r>
        <r>
          <rPr>
            <sz val="10"/>
            <rFont val="Arial"/>
            <family val="2"/>
          </rPr>
          <t xml:space="preserve">PDF</t>
        </r>
      </text>
    </comment>
    <comment ref="B7" authorId="0">
      <text>
        <r>
          <rPr>
            <sz val="10"/>
            <rFont val="WenQuanYi Zen Hei"/>
            <family val="2"/>
          </rPr>
          <t xml:space="preserve">出典：各年の出雲駅伝公式リザルト</t>
        </r>
        <r>
          <rPr>
            <sz val="10"/>
            <rFont val="Arial"/>
            <family val="2"/>
          </rPr>
          <t xml:space="preserve">PDF</t>
        </r>
      </text>
    </comment>
    <comment ref="B8" authorId="0">
      <text>
        <r>
          <rPr>
            <sz val="10"/>
            <rFont val="WenQuanYi Zen Hei"/>
            <family val="2"/>
          </rPr>
          <t xml:space="preserve">出典：各年の出雲駅伝公式リザルト</t>
        </r>
        <r>
          <rPr>
            <sz val="10"/>
            <rFont val="Arial"/>
            <family val="2"/>
          </rPr>
          <t xml:space="preserve">PDF</t>
        </r>
      </text>
    </comment>
    <comment ref="B9" authorId="0">
      <text>
        <r>
          <rPr>
            <sz val="10"/>
            <rFont val="WenQuanYi Zen Hei"/>
            <family val="2"/>
          </rPr>
          <t xml:space="preserve">出典：各年の出雲駅伝公式リザルト</t>
        </r>
        <r>
          <rPr>
            <sz val="10"/>
            <rFont val="Arial"/>
            <family val="2"/>
          </rPr>
          <t xml:space="preserve">PDF</t>
        </r>
      </text>
    </comment>
    <comment ref="H6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次合宿走行距離ランキングに記載の「チーム平均（全体平均）」</t>
        </r>
      </text>
    </comment>
    <comment ref="H7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次合宿走行距離ランキングに記載の「チーム平均（全体平均）」</t>
        </r>
      </text>
    </comment>
    <comment ref="H8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次合宿走行距離ランキングに記載の「チーム平均（全体平均）」</t>
        </r>
      </text>
    </comment>
    <comment ref="H9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次合宿走行距離ランキングに記載の「チーム平均（全体平均）」</t>
        </r>
      </text>
    </comment>
    <comment ref="O6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次合宿消化率（選抜組の最終ポイント練習日）。</t>
        </r>
        <r>
          <rPr>
            <sz val="10"/>
            <rFont val="Arial"/>
            <family val="2"/>
          </rPr>
          <t xml:space="preserve">2022</t>
        </r>
        <r>
          <rPr>
            <sz val="10"/>
            <rFont val="WenQuanYi Zen Hei"/>
            <family val="2"/>
          </rPr>
          <t xml:space="preserve">年は未提供</t>
        </r>
      </text>
    </comment>
    <comment ref="O7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次合宿消化率（選抜組の最終ポイント練習日）。</t>
        </r>
        <r>
          <rPr>
            <sz val="10"/>
            <rFont val="Arial"/>
            <family val="2"/>
          </rPr>
          <t xml:space="preserve">2022</t>
        </r>
        <r>
          <rPr>
            <sz val="10"/>
            <rFont val="WenQuanYi Zen Hei"/>
            <family val="2"/>
          </rPr>
          <t xml:space="preserve">年は未提供</t>
        </r>
      </text>
    </comment>
    <comment ref="O8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次合宿消化率（選抜組の最終ポイント練習日）。</t>
        </r>
        <r>
          <rPr>
            <sz val="10"/>
            <rFont val="Arial"/>
            <family val="2"/>
          </rPr>
          <t xml:space="preserve">2022</t>
        </r>
        <r>
          <rPr>
            <sz val="10"/>
            <rFont val="WenQuanYi Zen Hei"/>
            <family val="2"/>
          </rPr>
          <t xml:space="preserve">年は未提供</t>
        </r>
      </text>
    </comment>
    <comment ref="O9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次合宿消化率（選抜組の最終ポイント練習日）。</t>
        </r>
        <r>
          <rPr>
            <sz val="10"/>
            <rFont val="Arial"/>
            <family val="2"/>
          </rPr>
          <t xml:space="preserve">2022</t>
        </r>
        <r>
          <rPr>
            <sz val="10"/>
            <rFont val="WenQuanYi Zen Hei"/>
            <family val="2"/>
          </rPr>
          <t xml:space="preserve">年は未提供</t>
        </r>
      </text>
    </comment>
  </commentList>
</comments>
</file>

<file path=xl/sharedStrings.xml><?xml version="1.0" encoding="utf-8"?>
<sst xmlns="http://schemas.openxmlformats.org/spreadsheetml/2006/main" count="1172" uniqueCount="427">
  <si>
    <r>
      <rPr>
        <b val="true"/>
        <sz val="16"/>
        <color rgb="FF000000"/>
        <rFont val="WenQuanYi Zen Hei"/>
        <family val="2"/>
      </rPr>
      <t xml:space="preserve">出雲駅伝 振り返り分析（</t>
    </r>
    <r>
      <rPr>
        <b val="true"/>
        <sz val="16"/>
        <color rgb="FF000000"/>
        <rFont val="HGPｺﾞｼｯｸM"/>
        <family val="0"/>
        <charset val="1"/>
      </rPr>
      <t xml:space="preserve">2022</t>
    </r>
    <r>
      <rPr>
        <b val="true"/>
        <sz val="16"/>
        <color rgb="FF000000"/>
        <rFont val="WenQuanYi Zen Hei"/>
        <family val="2"/>
      </rPr>
      <t xml:space="preserve">〜</t>
    </r>
    <r>
      <rPr>
        <b val="true"/>
        <sz val="16"/>
        <color rgb="FF000000"/>
        <rFont val="HGPｺﾞｼｯｸM"/>
        <family val="0"/>
        <charset val="1"/>
      </rPr>
      <t xml:space="preserve">2026</t>
    </r>
    <r>
      <rPr>
        <b val="true"/>
        <sz val="16"/>
        <color rgb="FF000000"/>
        <rFont val="WenQuanYi Zen Hei"/>
        <family val="2"/>
      </rPr>
      <t xml:space="preserve">年）</t>
    </r>
  </si>
  <si>
    <r>
      <rPr>
        <sz val="10"/>
        <rFont val="WenQuanYi Zen Hei"/>
        <family val="2"/>
      </rPr>
      <t xml:space="preserve">目的：近年ピーキングが合わず順位が伸びない原因を、</t>
    </r>
    <r>
      <rPr>
        <sz val="10"/>
        <rFont val="HGPｺﾞｼｯｸM"/>
        <family val="0"/>
        <charset val="1"/>
      </rPr>
      <t xml:space="preserve">2</t>
    </r>
    <r>
      <rPr>
        <sz val="10"/>
        <rFont val="WenQuanYi Zen Hei"/>
        <family val="2"/>
      </rPr>
      <t xml:space="preserve">週間前の</t>
    </r>
    <r>
      <rPr>
        <sz val="10"/>
        <rFont val="HGPｺﾞｼｯｸM"/>
        <family val="0"/>
        <charset val="1"/>
      </rPr>
      <t xml:space="preserve">5000m</t>
    </r>
    <r>
      <rPr>
        <sz val="10"/>
        <rFont val="WenQuanYi Zen Hei"/>
        <family val="2"/>
      </rPr>
      <t xml:space="preserve">と夏合宿のデータから探る</t>
    </r>
  </si>
  <si>
    <t xml:space="preserve">シート一覧</t>
  </si>
  <si>
    <t xml:space="preserve">年別まとめ</t>
  </si>
  <si>
    <r>
      <rPr>
        <sz val="10"/>
        <color rgb="FF000000"/>
        <rFont val="WenQuanYi Zen Hei"/>
        <family val="2"/>
      </rPr>
      <t xml:space="preserve">年ごとの総合順位・区間差・悪化率・合宿の負荷を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表に集約。相関係数と区間別平均つき</t>
    </r>
  </si>
  <si>
    <t xml:space="preserve">出雲区間記録</t>
  </si>
  <si>
    <r>
      <rPr>
        <sz val="10"/>
        <color rgb="FF000000"/>
        <rFont val="WenQuanYi Zen Hei"/>
        <family val="2"/>
      </rPr>
      <t xml:space="preserve">各区間の日本人トップと青学選手のタイム、</t>
    </r>
    <r>
      <rPr>
        <sz val="10"/>
        <color rgb="FF000000"/>
        <rFont val="HGPｺﾞｼｯｸM"/>
        <family val="0"/>
        <charset val="1"/>
      </rPr>
      <t xml:space="preserve">5km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区は</t>
    </r>
    <r>
      <rPr>
        <sz val="10"/>
        <color rgb="FF000000"/>
        <rFont val="HGPｺﾞｼｯｸM"/>
        <family val="0"/>
        <charset val="1"/>
      </rPr>
      <t xml:space="preserve">10km</t>
    </r>
    <r>
      <rPr>
        <sz val="10"/>
        <color rgb="FF000000"/>
        <rFont val="WenQuanYi Zen Hei"/>
        <family val="2"/>
      </rPr>
      <t xml:space="preserve">）換算と差</t>
    </r>
  </si>
  <si>
    <r>
      <rPr>
        <b val="true"/>
        <sz val="10"/>
        <rFont val="HGPｺﾞｼｯｸM"/>
        <family val="0"/>
        <charset val="1"/>
      </rPr>
      <t xml:space="preserve">5000m</t>
    </r>
    <r>
      <rPr>
        <b val="true"/>
        <sz val="10"/>
        <rFont val="WenQuanYi Zen Hei"/>
        <family val="2"/>
      </rPr>
      <t xml:space="preserve">比較</t>
    </r>
  </si>
  <si>
    <r>
      <rPr>
        <sz val="10"/>
        <color rgb="FF000000"/>
        <rFont val="WenQuanYi Zen Hei"/>
        <family val="2"/>
      </rPr>
      <t xml:space="preserve">出雲メンバーの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週間前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5km</t>
    </r>
    <r>
      <rPr>
        <sz val="10"/>
        <color rgb="FF000000"/>
        <rFont val="WenQuanYi Zen Hei"/>
        <family val="2"/>
      </rPr>
      <t xml:space="preserve">）と組内順位、出雲</t>
    </r>
    <r>
      <rPr>
        <sz val="10"/>
        <color rgb="FF000000"/>
        <rFont val="HGPｺﾞｼｯｸM"/>
        <family val="0"/>
        <charset val="1"/>
      </rPr>
      <t xml:space="preserve">5km</t>
    </r>
    <r>
      <rPr>
        <sz val="10"/>
        <color rgb="FF000000"/>
        <rFont val="WenQuanYi Zen Hei"/>
        <family val="2"/>
      </rPr>
      <t xml:space="preserve">換算ペース、悪化率</t>
    </r>
  </si>
  <si>
    <t xml:space="preserve">合宿走行距離</t>
  </si>
  <si>
    <r>
      <rPr>
        <sz val="10"/>
        <color rgb="FF000000"/>
        <rFont val="WenQuanYi Zen Hei"/>
        <family val="2"/>
      </rPr>
      <t xml:space="preserve">出雲メンバーの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次・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次合宿の距離（</t>
    </r>
    <r>
      <rPr>
        <sz val="10"/>
        <color rgb="FF000000"/>
        <rFont val="HGPｺﾞｼｯｸM"/>
        <family val="0"/>
        <charset val="1"/>
      </rPr>
      <t xml:space="preserve">2023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年）</t>
    </r>
  </si>
  <si>
    <r>
      <rPr>
        <b val="true"/>
        <sz val="10"/>
        <rFont val="WenQuanYi Zen Hei"/>
        <family val="2"/>
      </rPr>
      <t xml:space="preserve">合宿距離</t>
    </r>
    <r>
      <rPr>
        <b val="true"/>
        <sz val="10"/>
        <rFont val="HGPｺﾞｼｯｸM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区間順位</t>
    </r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</si>
  <si>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次・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次合宿の距離と区間順位・日本人トップとの差・悪化率を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表に。年平均、相関係数、区間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位以内との比較つき</t>
    </r>
  </si>
  <si>
    <t xml:space="preserve">合宿消化率</t>
  </si>
  <si>
    <r>
      <rPr>
        <sz val="10"/>
        <color rgb="FF000000"/>
        <rFont val="WenQuanYi Zen Hei"/>
        <family val="2"/>
      </rPr>
      <t xml:space="preserve">出雲メンバーの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次合宿の消化率（</t>
    </r>
    <r>
      <rPr>
        <sz val="10"/>
        <color rgb="FF000000"/>
        <rFont val="HGPｺﾞｼｯｸM"/>
        <family val="0"/>
        <charset val="1"/>
      </rPr>
      <t xml:space="preserve">2023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年）</t>
    </r>
  </si>
  <si>
    <t xml:space="preserve">月間走行距離</t>
  </si>
  <si>
    <r>
      <rPr>
        <sz val="10"/>
        <color rgb="FF000000"/>
        <rFont val="WenQuanYi Zen Hei"/>
        <family val="2"/>
      </rPr>
      <t xml:space="preserve">出雲メンバーの月間走行距離（</t>
    </r>
    <r>
      <rPr>
        <sz val="10"/>
        <color rgb="FF000000"/>
        <rFont val="HGPｺﾞｼｯｸM"/>
        <family val="0"/>
        <charset val="1"/>
      </rPr>
      <t xml:space="preserve">2022</t>
    </r>
    <r>
      <rPr>
        <sz val="10"/>
        <color rgb="FF000000"/>
        <rFont val="WenQuanYi Zen Hei"/>
        <family val="2"/>
      </rPr>
      <t xml:space="preserve">・</t>
    </r>
    <r>
      <rPr>
        <sz val="10"/>
        <color rgb="FF000000"/>
        <rFont val="HGPｺﾞｼｯｸM"/>
        <family val="0"/>
        <charset val="1"/>
      </rPr>
      <t xml:space="preserve">2023</t>
    </r>
    <r>
      <rPr>
        <sz val="10"/>
        <color rgb="FF000000"/>
        <rFont val="WenQuanYi Zen Hei"/>
        <family val="2"/>
      </rPr>
      <t xml:space="preserve">年通年、</t>
    </r>
    <r>
      <rPr>
        <sz val="10"/>
        <color rgb="FF000000"/>
        <rFont val="HGPｺﾞｼｯｸM"/>
        <family val="0"/>
        <charset val="1"/>
      </rPr>
      <t xml:space="preserve">2024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月）</t>
    </r>
  </si>
  <si>
    <r>
      <rPr>
        <b val="true"/>
        <sz val="10"/>
        <rFont val="WenQuanYi Zen Hei"/>
        <family val="2"/>
      </rPr>
      <t xml:space="preserve">合宿メニュー</t>
    </r>
    <r>
      <rPr>
        <b val="true"/>
        <sz val="10"/>
        <rFont val="HGPｺﾞｼｯｸM"/>
        <family val="0"/>
        <charset val="1"/>
      </rPr>
      <t xml:space="preserve">_2023</t>
    </r>
    <r>
      <rPr>
        <b val="true"/>
        <sz val="10"/>
        <rFont val="WenQuanYi Zen Hei"/>
        <family val="2"/>
      </rPr>
      <t xml:space="preserve">〜</t>
    </r>
    <r>
      <rPr>
        <b val="true"/>
        <sz val="10"/>
        <rFont val="HGPｺﾞｼｯｸM"/>
        <family val="0"/>
        <charset val="1"/>
      </rPr>
      <t xml:space="preserve">2026</t>
    </r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</si>
  <si>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次合宿のポイント練習と、出雲メンバー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人の組・消化率</t>
    </r>
  </si>
  <si>
    <t xml:space="preserve">用語と計算方法</t>
  </si>
  <si>
    <t xml:space="preserve">換算タイム</t>
  </si>
  <si>
    <r>
      <rPr>
        <sz val="10"/>
        <color rgb="FF000000"/>
        <rFont val="WenQuanYi Zen Hei"/>
        <family val="2"/>
      </rPr>
      <t xml:space="preserve">実タイム</t>
    </r>
    <r>
      <rPr>
        <sz val="10"/>
        <color rgb="FF000000"/>
        <rFont val="HGPｺﾞｼｯｸM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換算距離</t>
    </r>
    <r>
      <rPr>
        <sz val="10"/>
        <color rgb="FF000000"/>
        <rFont val="HGPｺﾞｼｯｸM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区間距離。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区は</t>
    </r>
    <r>
      <rPr>
        <sz val="10"/>
        <color rgb="FF000000"/>
        <rFont val="HGPｺﾞｼｯｸM"/>
        <family val="0"/>
        <charset val="1"/>
      </rPr>
      <t xml:space="preserve">5km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区は</t>
    </r>
    <r>
      <rPr>
        <sz val="10"/>
        <color rgb="FF000000"/>
        <rFont val="HGPｺﾞｼｯｸM"/>
        <family val="0"/>
        <charset val="1"/>
      </rPr>
      <t xml:space="preserve">10km</t>
    </r>
    <r>
      <rPr>
        <sz val="10"/>
        <color rgb="FF000000"/>
        <rFont val="WenQuanYi Zen Hei"/>
        <family val="2"/>
      </rPr>
      <t xml:space="preserve">あたり</t>
    </r>
  </si>
  <si>
    <t xml:space="preserve">日本人トップ</t>
  </si>
  <si>
    <r>
      <rPr>
        <sz val="10"/>
        <color rgb="FF000000"/>
        <rFont val="WenQuanYi Zen Hei"/>
        <family val="2"/>
      </rPr>
      <t xml:space="preserve">留学生を除いた区間最速の選手（区間賞が留学生だったのは</t>
    </r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年とも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区のみ）</t>
    </r>
  </si>
  <si>
    <t xml:space="preserve">悪化率</t>
  </si>
  <si>
    <r>
      <rPr>
        <sz val="10"/>
        <color rgb="FF000000"/>
        <rFont val="WenQuanYi Zen Hei"/>
        <family val="2"/>
      </rPr>
      <t xml:space="preserve">出雲の</t>
    </r>
    <r>
      <rPr>
        <sz val="10"/>
        <color rgb="FF000000"/>
        <rFont val="HGPｺﾞｼｯｸM"/>
        <family val="0"/>
        <charset val="1"/>
      </rPr>
      <t xml:space="preserve">5km</t>
    </r>
    <r>
      <rPr>
        <sz val="10"/>
        <color rgb="FF000000"/>
        <rFont val="WenQuanYi Zen Hei"/>
        <family val="2"/>
      </rPr>
      <t xml:space="preserve">換算ペース</t>
    </r>
    <r>
      <rPr>
        <sz val="10"/>
        <color rgb="FF000000"/>
        <rFont val="HGPｺﾞｼｯｸM"/>
        <family val="0"/>
        <charset val="1"/>
      </rPr>
      <t xml:space="preserve">÷2</t>
    </r>
    <r>
      <rPr>
        <sz val="10"/>
        <color rgb="FF000000"/>
        <rFont val="WenQuanYi Zen Hei"/>
        <family val="2"/>
      </rPr>
      <t xml:space="preserve">週間前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記録−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。大きいほど本番で落ちている</t>
    </r>
  </si>
  <si>
    <t xml:space="preserve">チーム比</t>
  </si>
  <si>
    <r>
      <rPr>
        <sz val="10"/>
        <color rgb="FF000000"/>
        <rFont val="WenQuanYi Zen Hei"/>
        <family val="2"/>
      </rPr>
      <t xml:space="preserve">出雲メンバー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人の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次合宿距離の平均</t>
    </r>
    <r>
      <rPr>
        <sz val="10"/>
        <color rgb="FF000000"/>
        <rFont val="HGPｺﾞｼｯｸM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チーム全体の平均</t>
    </r>
  </si>
  <si>
    <t xml:space="preserve">対象</t>
  </si>
  <si>
    <r>
      <rPr>
        <sz val="10"/>
        <color rgb="FF000000"/>
        <rFont val="WenQuanYi Zen Hei"/>
        <family val="2"/>
      </rPr>
      <t xml:space="preserve">出雲駅伝に出走した青学の選手（各年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人）のみ。比較用に日本人トップの区間記録と、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次合宿のチーム平均距離（年別まとめ）だけは参考値として掲載</t>
    </r>
  </si>
  <si>
    <t xml:space="preserve">色の意味</t>
  </si>
  <si>
    <t xml:space="preserve">緑〜赤の背景色は良い〜悪い。区間賞は黄色の背景</t>
  </si>
  <si>
    <t xml:space="preserve">これまでの分析で見えたこと（仮説）</t>
  </si>
  <si>
    <t xml:space="preserve">・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</si>
  <si>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週間前の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が速い年ほど出雲での悪化率が大きい（年単位で強い負の相関）。個人単位では関係がほぼない</t>
    </r>
  </si>
  <si>
    <r>
      <rPr>
        <sz val="10"/>
        <color rgb="FF000000"/>
        <rFont val="WenQuanYi Zen Hei"/>
        <family val="2"/>
      </rPr>
      <t xml:space="preserve">総合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位の</t>
    </r>
    <r>
      <rPr>
        <sz val="10"/>
        <color rgb="FF000000"/>
        <rFont val="HGPｺﾞｼｯｸM"/>
        <family val="0"/>
        <charset val="1"/>
      </rPr>
      <t xml:space="preserve">2024</t>
    </r>
    <r>
      <rPr>
        <sz val="10"/>
        <color rgb="FF000000"/>
        <rFont val="WenQuanYi Zen Hei"/>
        <family val="2"/>
      </rPr>
      <t xml:space="preserve">年だけ、出雲メンバーの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次合宿距離がチーム平均を下回った（</t>
    </r>
    <r>
      <rPr>
        <sz val="10"/>
        <color rgb="FF000000"/>
        <rFont val="HGPｺﾞｼｯｸM"/>
        <family val="0"/>
        <charset val="1"/>
      </rPr>
      <t xml:space="preserve">93%</t>
    </r>
    <r>
      <rPr>
        <sz val="10"/>
        <color rgb="FF000000"/>
        <rFont val="WenQuanYi Zen Hei"/>
        <family val="2"/>
      </rPr>
      <t xml:space="preserve">）。他の年は</t>
    </r>
    <r>
      <rPr>
        <sz val="10"/>
        <color rgb="FF000000"/>
        <rFont val="HGPｺﾞｼｯｸM"/>
        <family val="0"/>
        <charset val="1"/>
      </rPr>
      <t xml:space="preserve">113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121%</t>
    </r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</si>
  <si>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次合宿の骨組み（距離走→変化走→スピード）と消化率は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年とも大差なく、</t>
    </r>
    <r>
      <rPr>
        <sz val="10"/>
        <color rgb="FF000000"/>
        <rFont val="HGPｺﾞｼｯｸM"/>
        <family val="0"/>
        <charset val="1"/>
      </rPr>
      <t xml:space="preserve">2024</t>
    </r>
    <r>
      <rPr>
        <sz val="10"/>
        <color rgb="FF000000"/>
        <rFont val="WenQuanYi Zen Hei"/>
        <family val="2"/>
      </rPr>
      <t xml:space="preserve">年も最終日は強い練習だった</t>
    </r>
  </si>
  <si>
    <r>
      <rPr>
        <sz val="10"/>
        <color rgb="FF000000"/>
        <rFont val="HGPｺﾞｼｯｸM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年は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次合宿の最終日が</t>
    </r>
    <r>
      <rPr>
        <sz val="10"/>
        <color rgb="FF000000"/>
        <rFont val="HGPｺﾞｼｯｸM"/>
        <family val="0"/>
        <charset val="1"/>
      </rPr>
      <t xml:space="preserve">9/23</t>
    </r>
    <r>
      <rPr>
        <sz val="10"/>
        <color rgb="FF000000"/>
        <rFont val="WenQuanYi Zen Hei"/>
        <family val="2"/>
      </rPr>
      <t xml:space="preserve">と遅く、出雲まで</t>
    </r>
    <r>
      <rPr>
        <sz val="10"/>
        <color rgb="FF000000"/>
        <rFont val="HGPｺﾞｼｯｸM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日（他の年は</t>
    </r>
    <r>
      <rPr>
        <sz val="10"/>
        <color rgb="FF000000"/>
        <rFont val="HGPｺﾞｼｯｸM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日）。最後の練習の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日後の</t>
    </r>
    <r>
      <rPr>
        <sz val="10"/>
        <color rgb="FF000000"/>
        <rFont val="HGPｺﾞｼｯｸM"/>
        <family val="0"/>
        <charset val="1"/>
      </rPr>
      <t xml:space="preserve">5km</t>
    </r>
    <r>
      <rPr>
        <sz val="10"/>
        <color rgb="FF000000"/>
        <rFont val="WenQuanYi Zen Hei"/>
        <family val="2"/>
      </rPr>
      <t xml:space="preserve">で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人中</t>
    </r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人が自己ベスト</t>
    </r>
  </si>
  <si>
    <r>
      <rPr>
        <sz val="10"/>
        <color rgb="FF000000"/>
        <rFont val="WenQuanYi Zen Hei"/>
        <family val="2"/>
      </rPr>
      <t xml:space="preserve">注意：年単位の比較は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年分しかなく、統計的に確かとは言えない</t>
    </r>
  </si>
  <si>
    <t xml:space="preserve">未提供のデータ</t>
  </si>
  <si>
    <r>
      <rPr>
        <sz val="10"/>
        <color rgb="FF000000"/>
        <rFont val="HGPｺﾞｼｯｸM"/>
        <family val="0"/>
        <charset val="1"/>
      </rPr>
      <t xml:space="preserve">2023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年の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記録会の日付</t>
    </r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</si>
  <si>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次合宿終了から出雲までの練習内容（</t>
    </r>
    <r>
      <rPr>
        <sz val="10"/>
        <color rgb="FF000000"/>
        <rFont val="HGPｺﾞｼｯｸM"/>
        <family val="0"/>
        <charset val="1"/>
      </rPr>
      <t xml:space="preserve">2024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年、</t>
    </r>
    <r>
      <rPr>
        <sz val="10"/>
        <color rgb="FF000000"/>
        <rFont val="HGPｺﾞｼｯｸM"/>
        <family val="0"/>
        <charset val="1"/>
      </rPr>
      <t xml:space="preserve">2023</t>
    </r>
    <r>
      <rPr>
        <sz val="10"/>
        <color rgb="FF000000"/>
        <rFont val="WenQuanYi Zen Hei"/>
        <family val="2"/>
      </rPr>
      <t xml:space="preserve">年の</t>
    </r>
    <r>
      <rPr>
        <sz val="10"/>
        <color rgb="FF000000"/>
        <rFont val="HGPｺﾞｼｯｸM"/>
        <family val="0"/>
        <charset val="1"/>
      </rPr>
      <t xml:space="preserve">9/18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9/29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</si>
  <si>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2024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月、</t>
    </r>
    <r>
      <rPr>
        <sz val="10"/>
        <color rgb="FF000000"/>
        <rFont val="HGPｺﾞｼｯｸM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・</t>
    </r>
    <r>
      <rPr>
        <sz val="10"/>
        <color rgb="FF000000"/>
        <rFont val="HGPｺﾞｼｯｸM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年の月間走行距離</t>
    </r>
  </si>
  <si>
    <r>
      <rPr>
        <sz val="10"/>
        <color rgb="FF000000"/>
        <rFont val="HGPｺﾞｼｯｸM"/>
        <family val="0"/>
        <charset val="1"/>
      </rPr>
      <t xml:space="preserve">2022</t>
    </r>
    <r>
      <rPr>
        <sz val="10"/>
        <color rgb="FF000000"/>
        <rFont val="WenQuanYi Zen Hei"/>
        <family val="2"/>
      </rPr>
      <t xml:space="preserve">年の合宿データ（走行距離・消化率・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次合宿日程）</t>
    </r>
  </si>
  <si>
    <r>
      <rPr>
        <b val="true"/>
        <sz val="14"/>
        <color rgb="FF000000"/>
        <rFont val="WenQuanYi Zen Hei"/>
        <family val="2"/>
      </rPr>
      <t xml:space="preserve">年別まとめ：出雲の成績と、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週間前</t>
    </r>
    <r>
      <rPr>
        <b val="true"/>
        <sz val="14"/>
        <color rgb="FF000000"/>
        <rFont val="HGPｺﾞｼｯｸM"/>
        <family val="0"/>
        <charset val="1"/>
      </rPr>
      <t xml:space="preserve">5000m</t>
    </r>
    <r>
      <rPr>
        <b val="true"/>
        <sz val="14"/>
        <color rgb="FF000000"/>
        <rFont val="WenQuanYi Zen Hei"/>
        <family val="2"/>
      </rPr>
      <t xml:space="preserve">・合宿データの比較</t>
    </r>
  </si>
  <si>
    <r>
      <rPr>
        <sz val="9"/>
        <color rgb="FF000000"/>
        <rFont val="WenQuanYi Zen Hei"/>
        <family val="2"/>
      </rPr>
      <t xml:space="preserve">メンバー＝その年の出雲出走</t>
    </r>
    <r>
      <rPr>
        <sz val="9"/>
        <color rgb="FF000000"/>
        <rFont val="HGPｺﾞｼｯｸM"/>
        <family val="0"/>
        <charset val="1"/>
      </rPr>
      <t xml:space="preserve">6</t>
    </r>
    <r>
      <rPr>
        <sz val="9"/>
        <color rgb="FF000000"/>
        <rFont val="WenQuanYi Zen Hei"/>
        <family val="2"/>
      </rPr>
      <t xml:space="preserve">人。順位・チーム平均・日付は元資料からの入力値（出典は各セルのコメント）、それ以外は他シートからの集計式。空欄はデータ未提供</t>
    </r>
  </si>
  <si>
    <t xml:space="preserve">年</t>
  </si>
  <si>
    <t xml:space="preserve">出雲
総合順位</t>
  </si>
  <si>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〜</t>
    </r>
    <r>
      <rPr>
        <b val="true"/>
        <sz val="10"/>
        <color rgb="FF000000"/>
        <rFont val="HGPｺﾞｼｯｸM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区
平均差
</t>
    </r>
    <r>
      <rPr>
        <b val="true"/>
        <sz val="10"/>
        <color rgb="FF000000"/>
        <rFont val="HGPｺﾞｼｯｸM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秒</t>
    </r>
    <r>
      <rPr>
        <b val="true"/>
        <sz val="10"/>
        <color rgb="FF000000"/>
        <rFont val="HGPｺﾞｼｯｸM"/>
        <family val="0"/>
        <charset val="1"/>
      </rPr>
      <t xml:space="preserve">/5km)</t>
    </r>
  </si>
  <si>
    <r>
      <rPr>
        <b val="true"/>
        <sz val="10"/>
        <color rgb="FF000000"/>
        <rFont val="HGPｺﾞｼｯｸM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区差
</t>
    </r>
    <r>
      <rPr>
        <b val="true"/>
        <sz val="10"/>
        <color rgb="FF000000"/>
        <rFont val="HGPｺﾞｼｯｸM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秒</t>
    </r>
    <r>
      <rPr>
        <b val="true"/>
        <sz val="10"/>
        <color rgb="FF000000"/>
        <rFont val="HGPｺﾞｼｯｸM"/>
        <family val="0"/>
        <charset val="1"/>
      </rPr>
      <t xml:space="preserve">/10km)</t>
    </r>
  </si>
  <si>
    <r>
      <rPr>
        <b val="true"/>
        <sz val="10"/>
        <color rgb="FF000000"/>
        <rFont val="WenQuanYi Zen Hei"/>
        <family val="2"/>
      </rPr>
      <t xml:space="preserve">メンバー
</t>
    </r>
    <r>
      <rPr>
        <b val="true"/>
        <sz val="10"/>
        <color rgb="FF000000"/>
        <rFont val="HGPｺﾞｼｯｸM"/>
        <family val="0"/>
        <charset val="1"/>
      </rPr>
      <t xml:space="preserve">5000m</t>
    </r>
    <r>
      <rPr>
        <b val="true"/>
        <sz val="10"/>
        <color rgb="FF000000"/>
        <rFont val="WenQuanYi Zen Hei"/>
        <family val="2"/>
      </rPr>
      <t xml:space="preserve">平均</t>
    </r>
  </si>
  <si>
    <t xml:space="preserve">悪化率
平均</t>
  </si>
  <si>
    <r>
      <rPr>
        <b val="true"/>
        <sz val="10"/>
        <color rgb="FF000000"/>
        <rFont val="WenQuanYi Zen Hei"/>
        <family val="2"/>
      </rPr>
      <t xml:space="preserve">メンバー
</t>
    </r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次距離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</si>
  <si>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r>
      <rPr>
        <b val="true"/>
        <sz val="10"/>
        <color rgb="FF000000"/>
        <rFont val="WenQuanYi Zen Hei"/>
        <family val="2"/>
      </rPr>
      <t xml:space="preserve">チーム
</t>
    </r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次平均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</si>
  <si>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次距離
チーム比</t>
    </r>
  </si>
  <si>
    <r>
      <rPr>
        <b val="true"/>
        <sz val="10"/>
        <color rgb="FF000000"/>
        <rFont val="WenQuanYi Zen Hei"/>
        <family val="2"/>
      </rPr>
      <t xml:space="preserve">メンバー
</t>
    </r>
    <r>
      <rPr>
        <b val="true"/>
        <sz val="10"/>
        <color rgb="FF000000"/>
        <rFont val="HGPｺﾞｼｯｸM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次距離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</si>
  <si>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t xml:space="preserve">メンバー
夏消化率</t>
  </si>
  <si>
    <r>
      <rPr>
        <b val="true"/>
        <sz val="10"/>
        <color rgb="FF000000"/>
        <rFont val="WenQuanYi Zen Hei"/>
        <family val="2"/>
      </rPr>
      <t xml:space="preserve">メンバー
</t>
    </r>
    <r>
      <rPr>
        <b val="true"/>
        <sz val="10"/>
        <color rgb="FF000000"/>
        <rFont val="HGPｺﾞｼｯｸM"/>
        <family val="0"/>
        <charset val="1"/>
      </rPr>
      <t xml:space="preserve">8</t>
    </r>
    <r>
      <rPr>
        <b val="true"/>
        <sz val="10"/>
        <color rgb="FF000000"/>
        <rFont val="WenQuanYi Zen Hei"/>
        <family val="2"/>
      </rPr>
      <t xml:space="preserve">月月間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</si>
  <si>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r>
      <rPr>
        <b val="true"/>
        <sz val="10"/>
        <color rgb="FF000000"/>
        <rFont val="WenQuanYi Zen Hei"/>
        <family val="2"/>
      </rPr>
      <t xml:space="preserve">メンバー
</t>
    </r>
    <r>
      <rPr>
        <b val="true"/>
        <sz val="10"/>
        <color rgb="FF000000"/>
        <rFont val="HGPｺﾞｼｯｸM"/>
        <family val="0"/>
        <charset val="1"/>
      </rPr>
      <t xml:space="preserve">9</t>
    </r>
    <r>
      <rPr>
        <b val="true"/>
        <sz val="10"/>
        <color rgb="FF000000"/>
        <rFont val="WenQuanYi Zen Hei"/>
        <family val="2"/>
      </rPr>
      <t xml:space="preserve">月月間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</si>
  <si>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r>
      <rPr>
        <b val="true"/>
        <sz val="10"/>
        <color rgb="FF000000"/>
        <rFont val="HGPｺﾞｼｯｸM"/>
        <family val="0"/>
        <charset val="1"/>
      </rPr>
      <t xml:space="preserve">9</t>
    </r>
    <r>
      <rPr>
        <b val="true"/>
        <sz val="10"/>
        <color rgb="FF000000"/>
        <rFont val="WenQuanYi Zen Hei"/>
        <family val="2"/>
      </rPr>
      <t xml:space="preserve">月</t>
    </r>
    <r>
      <rPr>
        <b val="true"/>
        <sz val="10"/>
        <color rgb="FF000000"/>
        <rFont val="HGPｺﾞｼｯｸM"/>
        <family val="0"/>
        <charset val="1"/>
      </rPr>
      <t xml:space="preserve">÷8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</si>
  <si>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次合宿
最終日</t>
    </r>
  </si>
  <si>
    <t xml:space="preserve">出雲
開催日</t>
  </si>
  <si>
    <r>
      <rPr>
        <b val="true"/>
        <sz val="10"/>
        <color rgb="FF000000"/>
        <rFont val="HGPｺﾞｼｯｸM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次終了→
出雲</t>
    </r>
    <r>
      <rPr>
        <b val="true"/>
        <sz val="10"/>
        <color rgb="FF000000"/>
        <rFont val="HGPｺﾞｼｯｸM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日</t>
    </r>
    <r>
      <rPr>
        <b val="true"/>
        <sz val="10"/>
        <color rgb="FF000000"/>
        <rFont val="HGPｺﾞｼｯｸM"/>
        <family val="0"/>
        <charset val="1"/>
      </rPr>
      <t xml:space="preserve">)</t>
    </r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</si>
  <si>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</si>
  <si>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</si>
  <si>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</si>
  <si>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</si>
  <si>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</si>
  <si>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年単位の相関係数（データのある年のみ。年数が少ないため参考値）</t>
  </si>
  <si>
    <t xml:space="preserve">組み合わせ</t>
  </si>
  <si>
    <t xml:space="preserve">対象年</t>
  </si>
  <si>
    <t xml:space="preserve">相関係数</t>
  </si>
  <si>
    <r>
      <rPr>
        <sz val="10"/>
        <color rgb="FF000000"/>
        <rFont val="WenQuanYi Zen Hei"/>
        <family val="2"/>
      </rPr>
      <t xml:space="preserve">メンバー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HGPｺﾞｼｯｸM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悪化率平均</t>
    </r>
  </si>
  <si>
    <r>
      <rPr>
        <sz val="10"/>
        <color rgb="FF000000"/>
        <rFont val="HGPｺﾞｼｯｸM"/>
        <family val="0"/>
        <charset val="1"/>
      </rPr>
      <t xml:space="preserve">2022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</si>
  <si>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メンバー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HGPｺﾞｼｯｸM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総合順位</t>
    </r>
  </si>
  <si>
    <r>
      <rPr>
        <sz val="10"/>
        <color rgb="FF000000"/>
        <rFont val="WenQuanYi Zen Hei"/>
        <family val="2"/>
      </rPr>
      <t xml:space="preserve">悪化率平均 </t>
    </r>
    <r>
      <rPr>
        <sz val="10"/>
        <color rgb="FF000000"/>
        <rFont val="HGPｺﾞｼｯｸM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総合順位</t>
    </r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</si>
  <si>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次距離チーム比 </t>
    </r>
    <r>
      <rPr>
        <sz val="10"/>
        <color rgb="FF000000"/>
        <rFont val="HGPｺﾞｼｯｸM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総合順位</t>
    </r>
  </si>
  <si>
    <r>
      <rPr>
        <sz val="10"/>
        <color rgb="FF000000"/>
        <rFont val="HGPｺﾞｼｯｸM"/>
        <family val="0"/>
        <charset val="1"/>
      </rPr>
      <t xml:space="preserve">2023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</si>
  <si>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次距離チーム比 </t>
    </r>
    <r>
      <rPr>
        <sz val="10"/>
        <color rgb="FF000000"/>
        <rFont val="HGPｺﾞｼｯｸM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悪化率平均</t>
    </r>
  </si>
  <si>
    <r>
      <rPr>
        <b val="true"/>
        <sz val="11"/>
        <color rgb="FF000000"/>
        <rFont val="WenQuanYi Zen Hei"/>
        <family val="2"/>
      </rPr>
      <t xml:space="preserve">区間別の平均（</t>
    </r>
    <r>
      <rPr>
        <b val="true"/>
        <sz val="11"/>
        <color rgb="FF000000"/>
        <rFont val="HGPｺﾞｼｯｸM"/>
        <family val="0"/>
        <charset val="1"/>
      </rPr>
      <t xml:space="preserve">5</t>
    </r>
    <r>
      <rPr>
        <b val="true"/>
        <sz val="11"/>
        <color rgb="FF000000"/>
        <rFont val="WenQuanYi Zen Hei"/>
        <family val="2"/>
      </rPr>
      <t xml:space="preserve">年間）</t>
    </r>
  </si>
  <si>
    <t xml:space="preserve">区間</t>
  </si>
  <si>
    <r>
      <rPr>
        <b val="true"/>
        <sz val="10"/>
        <color rgb="FF000000"/>
        <rFont val="WenQuanYi Zen Hei"/>
        <family val="2"/>
      </rPr>
      <t xml:space="preserve">距離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</si>
  <si>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r>
      <rPr>
        <b val="true"/>
        <sz val="10"/>
        <color rgb="FF000000"/>
        <rFont val="WenQuanYi Zen Hei"/>
        <family val="2"/>
      </rPr>
      <t xml:space="preserve">日本人
トップとの
平均差</t>
    </r>
    <r>
      <rPr>
        <b val="true"/>
        <sz val="10"/>
        <color rgb="FF000000"/>
        <rFont val="HGPｺﾞｼｯｸM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秒</t>
    </r>
    <r>
      <rPr>
        <b val="true"/>
        <sz val="10"/>
        <color rgb="FF000000"/>
        <rFont val="HGPｺﾞｼｯｸM"/>
        <family val="0"/>
        <charset val="1"/>
      </rPr>
      <t xml:space="preserve">)</t>
    </r>
  </si>
  <si>
    <t xml:space="preserve">区間賞
回数</t>
  </si>
  <si>
    <r>
      <rPr>
        <sz val="9"/>
        <color rgb="FF000000"/>
        <rFont val="HGPｺﾞｼｯｸM"/>
        <family val="0"/>
        <charset val="1"/>
      </rPr>
      <t xml:space="preserve">※6</t>
    </r>
    <r>
      <rPr>
        <sz val="9"/>
        <color rgb="FF000000"/>
        <rFont val="WenQuanYi Zen Hei"/>
        <family val="2"/>
      </rPr>
      <t xml:space="preserve">区の平均差は</t>
    </r>
    <r>
      <rPr>
        <sz val="9"/>
        <color rgb="FF000000"/>
        <rFont val="HGPｺﾞｼｯｸM"/>
        <family val="0"/>
        <charset val="1"/>
      </rPr>
      <t xml:space="preserve">10km</t>
    </r>
    <r>
      <rPr>
        <sz val="9"/>
        <color rgb="FF000000"/>
        <rFont val="WenQuanYi Zen Hei"/>
        <family val="2"/>
      </rPr>
      <t xml:space="preserve">あたり。悪化率は全区間とも</t>
    </r>
    <r>
      <rPr>
        <sz val="9"/>
        <color rgb="FF000000"/>
        <rFont val="HGPｺﾞｼｯｸM"/>
        <family val="0"/>
        <charset val="1"/>
      </rPr>
      <t xml:space="preserve">5km</t>
    </r>
    <r>
      <rPr>
        <sz val="9"/>
        <color rgb="FF000000"/>
        <rFont val="WenQuanYi Zen Hei"/>
        <family val="2"/>
      </rPr>
      <t xml:space="preserve">あたりで比較</t>
    </r>
  </si>
  <si>
    <r>
      <rPr>
        <b val="true"/>
        <sz val="14"/>
        <color rgb="FF000000"/>
        <rFont val="WenQuanYi Zen Hei"/>
        <family val="2"/>
      </rPr>
      <t xml:space="preserve">出雲駅伝 区間記録：日本人トップと青学の比較（</t>
    </r>
    <r>
      <rPr>
        <b val="true"/>
        <sz val="14"/>
        <color rgb="FF000000"/>
        <rFont val="HGPｺﾞｼｯｸM"/>
        <family val="0"/>
        <charset val="1"/>
      </rPr>
      <t xml:space="preserve">2022</t>
    </r>
    <r>
      <rPr>
        <b val="true"/>
        <sz val="14"/>
        <color rgb="FF000000"/>
        <rFont val="WenQuanYi Zen Hei"/>
        <family val="2"/>
      </rPr>
      <t xml:space="preserve">〜</t>
    </r>
    <r>
      <rPr>
        <b val="true"/>
        <sz val="14"/>
        <color rgb="FF000000"/>
        <rFont val="HGPｺﾞｼｯｸM"/>
        <family val="0"/>
        <charset val="1"/>
      </rPr>
      <t xml:space="preserve">2026</t>
    </r>
    <r>
      <rPr>
        <b val="true"/>
        <sz val="14"/>
        <color rgb="FF000000"/>
        <rFont val="WenQuanYi Zen Hei"/>
        <family val="2"/>
      </rPr>
      <t xml:space="preserve">）</t>
    </r>
  </si>
  <si>
    <r>
      <rPr>
        <sz val="9"/>
        <color rgb="FF000000"/>
        <rFont val="WenQuanYi Zen Hei"/>
        <family val="2"/>
      </rPr>
      <t xml:space="preserve">換算タイム＝実タイム</t>
    </r>
    <r>
      <rPr>
        <sz val="9"/>
        <color rgb="FF000000"/>
        <rFont val="HGPｺﾞｼｯｸM"/>
        <family val="0"/>
        <charset val="1"/>
      </rPr>
      <t xml:space="preserve">×</t>
    </r>
    <r>
      <rPr>
        <sz val="9"/>
        <color rgb="FF000000"/>
        <rFont val="WenQuanYi Zen Hei"/>
        <family val="2"/>
      </rPr>
      <t xml:space="preserve">換算距離</t>
    </r>
    <r>
      <rPr>
        <sz val="9"/>
        <color rgb="FF000000"/>
        <rFont val="HGPｺﾞｼｯｸM"/>
        <family val="0"/>
        <charset val="1"/>
      </rPr>
      <t xml:space="preserve">÷</t>
    </r>
    <r>
      <rPr>
        <sz val="9"/>
        <color rgb="FF000000"/>
        <rFont val="WenQuanYi Zen Hei"/>
        <family val="2"/>
      </rPr>
      <t xml:space="preserve">区間距離（</t>
    </r>
    <r>
      <rPr>
        <sz val="9"/>
        <color rgb="FF000000"/>
        <rFont val="HGPｺﾞｼｯｸM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〜</t>
    </r>
    <r>
      <rPr>
        <sz val="9"/>
        <color rgb="FF000000"/>
        <rFont val="HGPｺﾞｼｯｸM"/>
        <family val="0"/>
        <charset val="1"/>
      </rPr>
      <t xml:space="preserve">5</t>
    </r>
    <r>
      <rPr>
        <sz val="9"/>
        <color rgb="FF000000"/>
        <rFont val="WenQuanYi Zen Hei"/>
        <family val="2"/>
      </rPr>
      <t xml:space="preserve">区は</t>
    </r>
    <r>
      <rPr>
        <sz val="9"/>
        <color rgb="FF000000"/>
        <rFont val="HGPｺﾞｼｯｸM"/>
        <family val="0"/>
        <charset val="1"/>
      </rPr>
      <t xml:space="preserve">5km</t>
    </r>
    <r>
      <rPr>
        <sz val="9"/>
        <color rgb="FF000000"/>
        <rFont val="WenQuanYi Zen Hei"/>
        <family val="2"/>
      </rPr>
      <t xml:space="preserve">、</t>
    </r>
    <r>
      <rPr>
        <sz val="9"/>
        <color rgb="FF000000"/>
        <rFont val="HGPｺﾞｼｯｸM"/>
        <family val="0"/>
        <charset val="1"/>
      </rPr>
      <t xml:space="preserve">6</t>
    </r>
    <r>
      <rPr>
        <sz val="9"/>
        <color rgb="FF000000"/>
        <rFont val="WenQuanYi Zen Hei"/>
        <family val="2"/>
      </rPr>
      <t xml:space="preserve">区は</t>
    </r>
    <r>
      <rPr>
        <sz val="9"/>
        <color rgb="FF000000"/>
        <rFont val="HGPｺﾞｼｯｸM"/>
        <family val="0"/>
        <charset val="1"/>
      </rPr>
      <t xml:space="preserve">10km</t>
    </r>
    <r>
      <rPr>
        <sz val="9"/>
        <color rgb="FF000000"/>
        <rFont val="WenQuanYi Zen Hei"/>
        <family val="2"/>
      </rPr>
      <t xml:space="preserve">）。差＝換算後の青学−日本人トップ（秒）。日本人トップ＝留学生を除いた区間最速。区間順位は留学生を含む公式記録。出典：各年の公式リザルト</t>
    </r>
    <r>
      <rPr>
        <sz val="9"/>
        <color rgb="FF000000"/>
        <rFont val="HGPｺﾞｼｯｸM"/>
        <family val="0"/>
        <charset val="1"/>
      </rPr>
      <t xml:space="preserve">PDF</t>
    </r>
  </si>
  <si>
    <r>
      <rPr>
        <b val="true"/>
        <sz val="10"/>
        <color rgb="FF000000"/>
        <rFont val="WenQuanYi Zen Hei"/>
        <family val="2"/>
      </rPr>
      <t xml:space="preserve">換算距離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</si>
  <si>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t xml:space="preserve">所属</t>
  </si>
  <si>
    <t xml:space="preserve">実タイム</t>
  </si>
  <si>
    <t xml:space="preserve">換算</t>
  </si>
  <si>
    <t xml:space="preserve">青学選手</t>
  </si>
  <si>
    <t xml:space="preserve">区間順位</t>
  </si>
  <si>
    <t xml:space="preserve">差（秒）</t>
  </si>
  <si>
    <t xml:space="preserve">吉居 大和</t>
  </si>
  <si>
    <t xml:space="preserve">中央大学</t>
  </si>
  <si>
    <t xml:space="preserve">目片 将大</t>
  </si>
  <si>
    <t xml:space="preserve">佐藤 圭汰</t>
  </si>
  <si>
    <t xml:space="preserve">駒澤大学</t>
  </si>
  <si>
    <t xml:space="preserve">横田 俊吾</t>
  </si>
  <si>
    <t xml:space="preserve">田澤 廉</t>
  </si>
  <si>
    <t xml:space="preserve">近藤 幸太郎</t>
  </si>
  <si>
    <t xml:space="preserve">中西 大翔</t>
  </si>
  <si>
    <t xml:space="preserve">國學院大學</t>
  </si>
  <si>
    <t xml:space="preserve">志貴 勇斗</t>
  </si>
  <si>
    <t xml:space="preserve">安原 太陽</t>
  </si>
  <si>
    <t xml:space="preserve">田中 悠登</t>
  </si>
  <si>
    <t xml:space="preserve">鈴木 芽吹</t>
  </si>
  <si>
    <t xml:space="preserve">中村 唯翔</t>
  </si>
  <si>
    <t xml:space="preserve">篠原 倖太朗</t>
  </si>
  <si>
    <t xml:space="preserve">野村 昭夢</t>
  </si>
  <si>
    <t xml:space="preserve">佐藤 圭汰／黒田 朝日</t>
  </si>
  <si>
    <t xml:space="preserve">駒澤大学／青山学院大学</t>
  </si>
  <si>
    <t xml:space="preserve">黒田 朝日</t>
  </si>
  <si>
    <t xml:space="preserve">山川 拓馬</t>
  </si>
  <si>
    <t xml:space="preserve">佐藤 一世</t>
  </si>
  <si>
    <t xml:space="preserve">山内 健登</t>
  </si>
  <si>
    <t xml:space="preserve">青山学院大学</t>
  </si>
  <si>
    <t xml:space="preserve">鳥井 健太</t>
  </si>
  <si>
    <t xml:space="preserve">鶴川 正也</t>
  </si>
  <si>
    <t xml:space="preserve">吉田 響</t>
  </si>
  <si>
    <t xml:space="preserve">創価大学</t>
  </si>
  <si>
    <t xml:space="preserve">野中 恒亨</t>
  </si>
  <si>
    <t xml:space="preserve">宇田川 瞬矢</t>
  </si>
  <si>
    <t xml:space="preserve">上原 琉翔</t>
  </si>
  <si>
    <t xml:space="preserve">若林 宏樹</t>
  </si>
  <si>
    <t xml:space="preserve">平林 清澄</t>
  </si>
  <si>
    <t xml:space="preserve">太田 蒼生</t>
  </si>
  <si>
    <t xml:space="preserve">岡田 開成</t>
  </si>
  <si>
    <t xml:space="preserve">小河原 陽琉</t>
  </si>
  <si>
    <t xml:space="preserve">山口 智規</t>
  </si>
  <si>
    <t xml:space="preserve">早稲田大学</t>
  </si>
  <si>
    <t xml:space="preserve">折田 壮太</t>
  </si>
  <si>
    <t xml:space="preserve">飯田 翔大</t>
  </si>
  <si>
    <t xml:space="preserve">辻原 輝</t>
  </si>
  <si>
    <t xml:space="preserve">神邑 亮佑</t>
  </si>
  <si>
    <t xml:space="preserve">塩出 翔太</t>
  </si>
  <si>
    <t xml:space="preserve">鈴木 大翔</t>
  </si>
  <si>
    <t xml:space="preserve">石川 浩輝</t>
  </si>
  <si>
    <t xml:space="preserve">本田 桜二郎</t>
  </si>
  <si>
    <t xml:space="preserve">楠岡 由浩</t>
  </si>
  <si>
    <t xml:space="preserve">帝京大学</t>
  </si>
  <si>
    <t xml:space="preserve">新妻 遼己</t>
  </si>
  <si>
    <t xml:space="preserve">山口 竣平</t>
  </si>
  <si>
    <t xml:space="preserve">黒田 然</t>
  </si>
  <si>
    <t xml:space="preserve">工藤 慎作</t>
  </si>
  <si>
    <t xml:space="preserve">前川 竜之将</t>
  </si>
  <si>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週間前の</t>
    </r>
    <r>
      <rPr>
        <b val="true"/>
        <sz val="14"/>
        <color rgb="FF000000"/>
        <rFont val="HGPｺﾞｼｯｸM"/>
        <family val="0"/>
        <charset val="1"/>
      </rPr>
      <t xml:space="preserve">5000m</t>
    </r>
    <r>
      <rPr>
        <b val="true"/>
        <sz val="14"/>
        <color rgb="FF000000"/>
        <rFont val="WenQuanYi Zen Hei"/>
        <family val="2"/>
      </rPr>
      <t xml:space="preserve">（</t>
    </r>
    <r>
      <rPr>
        <b val="true"/>
        <sz val="14"/>
        <color rgb="FF000000"/>
        <rFont val="HGPｺﾞｼｯｸM"/>
        <family val="0"/>
        <charset val="1"/>
      </rPr>
      <t xml:space="preserve">5km</t>
    </r>
    <r>
      <rPr>
        <b val="true"/>
        <sz val="14"/>
        <color rgb="FF000000"/>
        <rFont val="WenQuanYi Zen Hei"/>
        <family val="2"/>
      </rPr>
      <t xml:space="preserve">）と出雲の比較：出雲出走メンバー</t>
    </r>
  </si>
  <si>
    <r>
      <rPr>
        <sz val="9"/>
        <color rgb="FF000000"/>
        <rFont val="WenQuanYi Zen Hei"/>
        <family val="2"/>
      </rPr>
      <t xml:space="preserve">出雲</t>
    </r>
    <r>
      <rPr>
        <sz val="9"/>
        <color rgb="FF000000"/>
        <rFont val="HGPｺﾞｼｯｸM"/>
        <family val="0"/>
        <charset val="1"/>
      </rPr>
      <t xml:space="preserve">5km</t>
    </r>
    <r>
      <rPr>
        <sz val="9"/>
        <color rgb="FF000000"/>
        <rFont val="WenQuanYi Zen Hei"/>
        <family val="2"/>
      </rPr>
      <t xml:space="preserve">換算＝出雲の実タイム</t>
    </r>
    <r>
      <rPr>
        <sz val="9"/>
        <color rgb="FF000000"/>
        <rFont val="HGPｺﾞｼｯｸM"/>
        <family val="0"/>
        <charset val="1"/>
      </rPr>
      <t xml:space="preserve">×5÷</t>
    </r>
    <r>
      <rPr>
        <sz val="9"/>
        <color rgb="FF000000"/>
        <rFont val="WenQuanYi Zen Hei"/>
        <family val="2"/>
      </rPr>
      <t xml:space="preserve">区間距離（</t>
    </r>
    <r>
      <rPr>
        <sz val="9"/>
        <color rgb="FF000000"/>
        <rFont val="HGPｺﾞｼｯｸM"/>
        <family val="0"/>
        <charset val="1"/>
      </rPr>
      <t xml:space="preserve">6</t>
    </r>
    <r>
      <rPr>
        <sz val="9"/>
        <color rgb="FF000000"/>
        <rFont val="WenQuanYi Zen Hei"/>
        <family val="2"/>
      </rPr>
      <t xml:space="preserve">区も</t>
    </r>
    <r>
      <rPr>
        <sz val="9"/>
        <color rgb="FF000000"/>
        <rFont val="HGPｺﾞｼｯｸM"/>
        <family val="0"/>
        <charset val="1"/>
      </rPr>
      <t xml:space="preserve">5km</t>
    </r>
    <r>
      <rPr>
        <sz val="9"/>
        <color rgb="FF000000"/>
        <rFont val="WenQuanYi Zen Hei"/>
        <family val="2"/>
      </rPr>
      <t xml:space="preserve">あたりに換算）。悪化率＝出雲</t>
    </r>
    <r>
      <rPr>
        <sz val="9"/>
        <color rgb="FF000000"/>
        <rFont val="HGPｺﾞｼｯｸM"/>
        <family val="0"/>
        <charset val="1"/>
      </rPr>
      <t xml:space="preserve">5km</t>
    </r>
    <r>
      <rPr>
        <sz val="9"/>
        <color rgb="FF000000"/>
        <rFont val="WenQuanYi Zen Hei"/>
        <family val="2"/>
      </rPr>
      <t xml:space="preserve">換算</t>
    </r>
    <r>
      <rPr>
        <sz val="9"/>
        <color rgb="FF000000"/>
        <rFont val="HGPｺﾞｼｯｸM"/>
        <family val="0"/>
        <charset val="1"/>
      </rPr>
      <t xml:space="preserve">÷2</t>
    </r>
    <r>
      <rPr>
        <sz val="9"/>
        <color rgb="FF000000"/>
        <rFont val="WenQuanYi Zen Hei"/>
        <family val="2"/>
      </rPr>
      <t xml:space="preserve">週間前</t>
    </r>
    <r>
      <rPr>
        <sz val="9"/>
        <color rgb="FF000000"/>
        <rFont val="HGPｺﾞｼｯｸM"/>
        <family val="0"/>
        <charset val="1"/>
      </rPr>
      <t xml:space="preserve">5000m−1</t>
    </r>
    <r>
      <rPr>
        <sz val="9"/>
        <color rgb="FF000000"/>
        <rFont val="WenQuanYi Zen Hei"/>
        <family val="2"/>
      </rPr>
      <t xml:space="preserve">。</t>
    </r>
    <r>
      <rPr>
        <sz val="9"/>
        <color rgb="FF000000"/>
        <rFont val="HGPｺﾞｼｯｸM"/>
        <family val="0"/>
        <charset val="1"/>
      </rPr>
      <t xml:space="preserve">2026</t>
    </r>
    <r>
      <rPr>
        <sz val="9"/>
        <color rgb="FF000000"/>
        <rFont val="WenQuanYi Zen Hei"/>
        <family val="2"/>
      </rPr>
      <t xml:space="preserve">年はロード</t>
    </r>
    <r>
      <rPr>
        <sz val="9"/>
        <color rgb="FF000000"/>
        <rFont val="HGPｺﾞｼｯｸM"/>
        <family val="0"/>
        <charset val="1"/>
      </rPr>
      <t xml:space="preserve">5km</t>
    </r>
    <r>
      <rPr>
        <sz val="9"/>
        <color rgb="FF000000"/>
        <rFont val="WenQuanYi Zen Hei"/>
        <family val="2"/>
      </rPr>
      <t xml:space="preserve">、他の年はトラック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。組内順位は留学生・他大学を含むその組の順位。出典：各年の記録会リザルト、出雲公式リザルト</t>
    </r>
  </si>
  <si>
    <t xml:space="preserve">選手</t>
  </si>
  <si>
    <r>
      <rPr>
        <b val="true"/>
        <sz val="10"/>
        <color rgb="FF000000"/>
        <rFont val="HGPｺﾞｼｯｸM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週間前
</t>
    </r>
    <r>
      <rPr>
        <b val="true"/>
        <sz val="10"/>
        <color rgb="FF000000"/>
        <rFont val="HGPｺﾞｼｯｸM"/>
        <family val="0"/>
        <charset val="1"/>
      </rPr>
      <t xml:space="preserve">5000m</t>
    </r>
  </si>
  <si>
    <t xml:space="preserve">レース種別</t>
  </si>
  <si>
    <t xml:space="preserve">出雲
実タイム</t>
  </si>
  <si>
    <r>
      <rPr>
        <b val="true"/>
        <sz val="10"/>
        <color rgb="FF000000"/>
        <rFont val="WenQuanYi Zen Hei"/>
        <family val="2"/>
      </rPr>
      <t xml:space="preserve">区間距離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</si>
  <si>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r>
      <rPr>
        <b val="true"/>
        <sz val="10"/>
        <color rgb="FF000000"/>
        <rFont val="WenQuanYi Zen Hei"/>
        <family val="2"/>
      </rPr>
      <t xml:space="preserve">出雲
</t>
    </r>
    <r>
      <rPr>
        <b val="true"/>
        <sz val="10"/>
        <color rgb="FF000000"/>
        <rFont val="HGPｺﾞｼｯｸM"/>
        <family val="0"/>
        <charset val="1"/>
      </rPr>
      <t xml:space="preserve">5km</t>
    </r>
    <r>
      <rPr>
        <b val="true"/>
        <sz val="10"/>
        <color rgb="FF000000"/>
        <rFont val="WenQuanYi Zen Hei"/>
        <family val="2"/>
      </rPr>
      <t xml:space="preserve">換算</t>
    </r>
  </si>
  <si>
    <r>
      <rPr>
        <b val="true"/>
        <sz val="10"/>
        <color rgb="FF000000"/>
        <rFont val="HGPｺﾞｼｯｸM"/>
        <family val="0"/>
        <charset val="1"/>
      </rPr>
      <t xml:space="preserve">5000m
</t>
    </r>
    <r>
      <rPr>
        <b val="true"/>
        <sz val="10"/>
        <color rgb="FF000000"/>
        <rFont val="WenQuanYi Zen Hei"/>
        <family val="2"/>
      </rPr>
      <t xml:space="preserve">組内順位</t>
    </r>
  </si>
  <si>
    <t xml:space="preserve">目片将大</t>
  </si>
  <si>
    <r>
      <rPr>
        <sz val="10"/>
        <color rgb="FF000000"/>
        <rFont val="WenQuanYi Zen Hei"/>
        <family val="2"/>
      </rPr>
      <t xml:space="preserve">トラック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組）</t>
    </r>
  </si>
  <si>
    <t xml:space="preserve">横田俊吾</t>
  </si>
  <si>
    <t xml:space="preserve">近藤幸太郎</t>
  </si>
  <si>
    <t xml:space="preserve">志貴勇斗</t>
  </si>
  <si>
    <t xml:space="preserve">田中悠登</t>
  </si>
  <si>
    <t xml:space="preserve">中村唯翔</t>
  </si>
  <si>
    <t xml:space="preserve">野村昭夢</t>
  </si>
  <si>
    <r>
      <rPr>
        <sz val="10"/>
        <color rgb="FF000000"/>
        <rFont val="WenQuanYi Zen Hei"/>
        <family val="2"/>
      </rPr>
      <t xml:space="preserve">トラック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組）</t>
    </r>
  </si>
  <si>
    <t xml:space="preserve">黒田朝日</t>
  </si>
  <si>
    <t xml:space="preserve">佐藤一世</t>
  </si>
  <si>
    <t xml:space="preserve">山内健登</t>
  </si>
  <si>
    <t xml:space="preserve">鳥井健太</t>
  </si>
  <si>
    <t xml:space="preserve">鶴川正也</t>
  </si>
  <si>
    <r>
      <rPr>
        <sz val="10"/>
        <color rgb="FF000000"/>
        <rFont val="WenQuanYi Zen Hei"/>
        <family val="2"/>
      </rPr>
      <t xml:space="preserve">トラック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組）</t>
    </r>
  </si>
  <si>
    <r>
      <rPr>
        <sz val="10"/>
        <color rgb="FF000000"/>
        <rFont val="WenQuanYi Zen Hei"/>
        <family val="2"/>
      </rPr>
      <t xml:space="preserve">トラック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組）</t>
    </r>
  </si>
  <si>
    <t xml:space="preserve">宇田川瞬矢</t>
  </si>
  <si>
    <t xml:space="preserve">若林宏樹</t>
  </si>
  <si>
    <t xml:space="preserve">太田蒼生</t>
  </si>
  <si>
    <t xml:space="preserve">小河原陽琉</t>
  </si>
  <si>
    <t xml:space="preserve">折田壮太</t>
  </si>
  <si>
    <t xml:space="preserve">飯田翔大</t>
  </si>
  <si>
    <t xml:space="preserve">神邑亮佑</t>
  </si>
  <si>
    <t xml:space="preserve">塩出翔太</t>
  </si>
  <si>
    <t xml:space="preserve">石川浩輝</t>
  </si>
  <si>
    <r>
      <rPr>
        <sz val="10"/>
        <color rgb="FF000000"/>
        <rFont val="WenQuanYi Zen Hei"/>
        <family val="2"/>
      </rPr>
      <t xml:space="preserve">ロード</t>
    </r>
    <r>
      <rPr>
        <sz val="10"/>
        <color rgb="FF000000"/>
        <rFont val="HGPｺﾞｼｯｸM"/>
        <family val="0"/>
        <charset val="1"/>
      </rPr>
      <t xml:space="preserve">5km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adizero 5K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HGPｺﾞｼｯｸM"/>
        <family val="0"/>
        <charset val="1"/>
      </rPr>
      <t xml:space="preserve">9/27</t>
    </r>
    <r>
      <rPr>
        <sz val="10"/>
        <color rgb="FF000000"/>
        <rFont val="WenQuanYi Zen Hei"/>
        <family val="2"/>
      </rPr>
      <t xml:space="preserve">）</t>
    </r>
  </si>
  <si>
    <t xml:space="preserve">黒田然</t>
  </si>
  <si>
    <t xml:space="preserve">前川竜之将</t>
  </si>
  <si>
    <r>
      <rPr>
        <b val="true"/>
        <sz val="14"/>
        <color rgb="FF000000"/>
        <rFont val="WenQuanYi Zen Hei"/>
        <family val="2"/>
      </rPr>
      <t xml:space="preserve">夏合宿 走行距離（</t>
    </r>
    <r>
      <rPr>
        <b val="true"/>
        <sz val="14"/>
        <color rgb="FF000000"/>
        <rFont val="HGPｺﾞｼｯｸM"/>
        <family val="0"/>
        <charset val="1"/>
      </rPr>
      <t xml:space="preserve">1</t>
    </r>
    <r>
      <rPr>
        <b val="true"/>
        <sz val="14"/>
        <color rgb="FF000000"/>
        <rFont val="WenQuanYi Zen Hei"/>
        <family val="2"/>
      </rPr>
      <t xml:space="preserve">次・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次）：出雲メンバー</t>
    </r>
  </si>
  <si>
    <r>
      <rPr>
        <sz val="9"/>
        <color rgb="FF000000"/>
        <rFont val="WenQuanYi Zen Hei"/>
        <family val="2"/>
      </rPr>
      <t xml:space="preserve">出雲出走メンバーのみ。出雲区間＝その年に走った区間。</t>
    </r>
    <r>
      <rPr>
        <sz val="9"/>
        <color rgb="FF000000"/>
        <rFont val="HGPｺﾞｼｯｸM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次合宿の期間：</t>
    </r>
    <r>
      <rPr>
        <sz val="9"/>
        <color rgb="FF000000"/>
        <rFont val="HGPｺﾞｼｯｸM"/>
        <family val="0"/>
        <charset val="1"/>
      </rPr>
      <t xml:space="preserve">2023</t>
    </r>
    <r>
      <rPr>
        <sz val="9"/>
        <color rgb="FF000000"/>
        <rFont val="WenQuanYi Zen Hei"/>
        <family val="2"/>
      </rPr>
      <t xml:space="preserve">年 </t>
    </r>
    <r>
      <rPr>
        <sz val="9"/>
        <color rgb="FF000000"/>
        <rFont val="HGPｺﾞｼｯｸM"/>
        <family val="0"/>
        <charset val="1"/>
      </rPr>
      <t xml:space="preserve">7/26</t>
    </r>
    <r>
      <rPr>
        <sz val="9"/>
        <color rgb="FF000000"/>
        <rFont val="WenQuanYi Zen Hei"/>
        <family val="2"/>
      </rPr>
      <t xml:space="preserve">〜</t>
    </r>
    <r>
      <rPr>
        <sz val="9"/>
        <color rgb="FF000000"/>
        <rFont val="HGPｺﾞｼｯｸM"/>
        <family val="0"/>
        <charset val="1"/>
      </rPr>
      <t xml:space="preserve">8/16</t>
    </r>
    <r>
      <rPr>
        <sz val="9"/>
        <color rgb="FF000000"/>
        <rFont val="WenQuanYi Zen Hei"/>
        <family val="2"/>
      </rPr>
      <t xml:space="preserve">（</t>
    </r>
    <r>
      <rPr>
        <sz val="9"/>
        <color rgb="FF000000"/>
        <rFont val="HGPｺﾞｼｯｸM"/>
        <family val="0"/>
        <charset val="1"/>
      </rPr>
      <t xml:space="preserve">22</t>
    </r>
    <r>
      <rPr>
        <sz val="9"/>
        <color rgb="FF000000"/>
        <rFont val="WenQuanYi Zen Hei"/>
        <family val="2"/>
      </rPr>
      <t xml:space="preserve">日）、</t>
    </r>
    <r>
      <rPr>
        <sz val="9"/>
        <color rgb="FF000000"/>
        <rFont val="HGPｺﾞｼｯｸM"/>
        <family val="0"/>
        <charset val="1"/>
      </rPr>
      <t xml:space="preserve">2024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2025</t>
    </r>
    <r>
      <rPr>
        <sz val="9"/>
        <color rgb="FF000000"/>
        <rFont val="WenQuanYi Zen Hei"/>
        <family val="2"/>
      </rPr>
      <t xml:space="preserve">年 </t>
    </r>
    <r>
      <rPr>
        <sz val="9"/>
        <color rgb="FF000000"/>
        <rFont val="HGPｺﾞｼｯｸM"/>
        <family val="0"/>
        <charset val="1"/>
      </rPr>
      <t xml:space="preserve">8/1</t>
    </r>
    <r>
      <rPr>
        <sz val="9"/>
        <color rgb="FF000000"/>
        <rFont val="WenQuanYi Zen Hei"/>
        <family val="2"/>
      </rPr>
      <t xml:space="preserve">〜</t>
    </r>
    <r>
      <rPr>
        <sz val="9"/>
        <color rgb="FF000000"/>
        <rFont val="HGPｺﾞｼｯｸM"/>
        <family val="0"/>
        <charset val="1"/>
      </rPr>
      <t xml:space="preserve">8/19</t>
    </r>
    <r>
      <rPr>
        <sz val="9"/>
        <color rgb="FF000000"/>
        <rFont val="WenQuanYi Zen Hei"/>
        <family val="2"/>
      </rPr>
      <t xml:space="preserve">（</t>
    </r>
    <r>
      <rPr>
        <sz val="9"/>
        <color rgb="FF000000"/>
        <rFont val="HGPｺﾞｼｯｸM"/>
        <family val="0"/>
        <charset val="1"/>
      </rPr>
      <t xml:space="preserve">19</t>
    </r>
    <r>
      <rPr>
        <sz val="9"/>
        <color rgb="FF000000"/>
        <rFont val="WenQuanYi Zen Hei"/>
        <family val="2"/>
      </rPr>
      <t xml:space="preserve">日）、</t>
    </r>
    <r>
      <rPr>
        <sz val="9"/>
        <color rgb="FF000000"/>
        <rFont val="HGPｺﾞｼｯｸM"/>
        <family val="0"/>
        <charset val="1"/>
      </rPr>
      <t xml:space="preserve">2026</t>
    </r>
    <r>
      <rPr>
        <sz val="9"/>
        <color rgb="FF000000"/>
        <rFont val="WenQuanYi Zen Hei"/>
        <family val="2"/>
      </rPr>
      <t xml:space="preserve">年 </t>
    </r>
    <r>
      <rPr>
        <sz val="9"/>
        <color rgb="FF000000"/>
        <rFont val="HGPｺﾞｼｯｸM"/>
        <family val="0"/>
        <charset val="1"/>
      </rPr>
      <t xml:space="preserve">8/2</t>
    </r>
    <r>
      <rPr>
        <sz val="9"/>
        <color rgb="FF000000"/>
        <rFont val="WenQuanYi Zen Hei"/>
        <family val="2"/>
      </rPr>
      <t xml:space="preserve">〜</t>
    </r>
    <r>
      <rPr>
        <sz val="9"/>
        <color rgb="FF000000"/>
        <rFont val="HGPｺﾞｼｯｸM"/>
        <family val="0"/>
        <charset val="1"/>
      </rPr>
      <t xml:space="preserve">8/19</t>
    </r>
    <r>
      <rPr>
        <sz val="9"/>
        <color rgb="FF000000"/>
        <rFont val="WenQuanYi Zen Hei"/>
        <family val="2"/>
      </rPr>
      <t xml:space="preserve">（</t>
    </r>
    <r>
      <rPr>
        <sz val="9"/>
        <color rgb="FF000000"/>
        <rFont val="HGPｺﾞｼｯｸM"/>
        <family val="0"/>
        <charset val="1"/>
      </rPr>
      <t xml:space="preserve">18</t>
    </r>
    <r>
      <rPr>
        <sz val="9"/>
        <color rgb="FF000000"/>
        <rFont val="WenQuanYi Zen Hei"/>
        <family val="2"/>
      </rPr>
      <t xml:space="preserve">日）。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次合宿は各年</t>
    </r>
    <r>
      <rPr>
        <sz val="9"/>
        <color rgb="FF000000"/>
        <rFont val="HGPｺﾞｼｯｸM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〜</t>
    </r>
    <r>
      <rPr>
        <sz val="9"/>
        <color rgb="FF000000"/>
        <rFont val="HGPｺﾞｼｯｸM"/>
        <family val="0"/>
        <charset val="1"/>
      </rPr>
      <t xml:space="preserve">12</t>
    </r>
    <r>
      <rPr>
        <sz val="9"/>
        <color rgb="FF000000"/>
        <rFont val="WenQuanYi Zen Hei"/>
        <family val="2"/>
      </rPr>
      <t xml:space="preserve">日。出典：各年の走行距離ランキング（</t>
    </r>
    <r>
      <rPr>
        <sz val="9"/>
        <color rgb="FF000000"/>
        <rFont val="HGPｺﾞｼｯｸM"/>
        <family val="0"/>
        <charset val="1"/>
      </rPr>
      <t xml:space="preserve">Excel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PDF</t>
    </r>
    <r>
      <rPr>
        <sz val="9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</si>
  <si>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次合宿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</si>
  <si>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r>
      <rPr>
        <b val="true"/>
        <sz val="10"/>
        <color rgb="FF000000"/>
        <rFont val="HGPｺﾞｼｯｸM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次合宿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</si>
  <si>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次
日数</t>
    </r>
  </si>
  <si>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次
</t>
    </r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日あたり</t>
    </r>
  </si>
  <si>
    <t xml:space="preserve">出雲
区間</t>
  </si>
  <si>
    <r>
      <rPr>
        <b val="true"/>
        <sz val="14"/>
        <color rgb="FF000000"/>
        <rFont val="WenQuanYi Zen Hei"/>
        <family val="2"/>
      </rPr>
      <t xml:space="preserve">夏合宿の走行距離と出雲の区間順位：出雲メンバー（</t>
    </r>
    <r>
      <rPr>
        <b val="true"/>
        <sz val="14"/>
        <color rgb="FF000000"/>
        <rFont val="HGPｺﾞｼｯｸM"/>
        <family val="0"/>
        <charset val="1"/>
      </rPr>
      <t xml:space="preserve">2023</t>
    </r>
    <r>
      <rPr>
        <b val="true"/>
        <sz val="14"/>
        <color rgb="FF000000"/>
        <rFont val="WenQuanYi Zen Hei"/>
        <family val="2"/>
      </rPr>
      <t xml:space="preserve">〜</t>
    </r>
    <r>
      <rPr>
        <b val="true"/>
        <sz val="14"/>
        <color rgb="FF000000"/>
        <rFont val="HGPｺﾞｼｯｸM"/>
        <family val="0"/>
        <charset val="1"/>
      </rPr>
      <t xml:space="preserve">2026</t>
    </r>
    <r>
      <rPr>
        <b val="true"/>
        <sz val="14"/>
        <color rgb="FF000000"/>
        <rFont val="WenQuanYi Zen Hei"/>
        <family val="2"/>
      </rPr>
      <t xml:space="preserve">）</t>
    </r>
  </si>
  <si>
    <r>
      <rPr>
        <sz val="9"/>
        <color rgb="FF000000"/>
        <rFont val="WenQuanYi Zen Hei"/>
        <family val="2"/>
      </rPr>
      <t xml:space="preserve">値はすべて「合宿走行距離」「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比較」「出雲区間記録」シートからの参照式。区間順位は留学生を含む公式記録。日本人トップとの差は</t>
    </r>
    <r>
      <rPr>
        <sz val="9"/>
        <color rgb="FF000000"/>
        <rFont val="HGPｺﾞｼｯｸM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〜</t>
    </r>
    <r>
      <rPr>
        <sz val="9"/>
        <color rgb="FF000000"/>
        <rFont val="HGPｺﾞｼｯｸM"/>
        <family val="0"/>
        <charset val="1"/>
      </rPr>
      <t xml:space="preserve">5</t>
    </r>
    <r>
      <rPr>
        <sz val="9"/>
        <color rgb="FF000000"/>
        <rFont val="WenQuanYi Zen Hei"/>
        <family val="2"/>
      </rPr>
      <t xml:space="preserve">区が</t>
    </r>
    <r>
      <rPr>
        <sz val="9"/>
        <color rgb="FF000000"/>
        <rFont val="HGPｺﾞｼｯｸM"/>
        <family val="0"/>
        <charset val="1"/>
      </rPr>
      <t xml:space="preserve">5km</t>
    </r>
    <r>
      <rPr>
        <sz val="9"/>
        <color rgb="FF000000"/>
        <rFont val="WenQuanYi Zen Hei"/>
        <family val="2"/>
      </rPr>
      <t xml:space="preserve">あたり、</t>
    </r>
    <r>
      <rPr>
        <sz val="9"/>
        <color rgb="FF000000"/>
        <rFont val="HGPｺﾞｼｯｸM"/>
        <family val="0"/>
        <charset val="1"/>
      </rPr>
      <t xml:space="preserve">6</t>
    </r>
    <r>
      <rPr>
        <sz val="9"/>
        <color rgb="FF000000"/>
        <rFont val="WenQuanYi Zen Hei"/>
        <family val="2"/>
      </rPr>
      <t xml:space="preserve">区が</t>
    </r>
    <r>
      <rPr>
        <sz val="9"/>
        <color rgb="FF000000"/>
        <rFont val="HGPｺﾞｼｯｸM"/>
        <family val="0"/>
        <charset val="1"/>
      </rPr>
      <t xml:space="preserve">10km</t>
    </r>
    <r>
      <rPr>
        <sz val="9"/>
        <color rgb="FF000000"/>
        <rFont val="WenQuanYi Zen Hei"/>
        <family val="2"/>
      </rPr>
      <t xml:space="preserve">あたりの秒差。悪化率＝出雲</t>
    </r>
    <r>
      <rPr>
        <sz val="9"/>
        <color rgb="FF000000"/>
        <rFont val="HGPｺﾞｼｯｸM"/>
        <family val="0"/>
        <charset val="1"/>
      </rPr>
      <t xml:space="preserve">5km</t>
    </r>
    <r>
      <rPr>
        <sz val="9"/>
        <color rgb="FF000000"/>
        <rFont val="WenQuanYi Zen Hei"/>
        <family val="2"/>
      </rPr>
      <t xml:space="preserve">換算</t>
    </r>
    <r>
      <rPr>
        <sz val="9"/>
        <color rgb="FF000000"/>
        <rFont val="HGPｺﾞｼｯｸM"/>
        <family val="0"/>
        <charset val="1"/>
      </rPr>
      <t xml:space="preserve">÷2</t>
    </r>
    <r>
      <rPr>
        <sz val="9"/>
        <color rgb="FF000000"/>
        <rFont val="WenQuanYi Zen Hei"/>
        <family val="2"/>
      </rPr>
      <t xml:space="preserve">週間前</t>
    </r>
    <r>
      <rPr>
        <sz val="9"/>
        <color rgb="FF000000"/>
        <rFont val="HGPｺﾞｼｯｸM"/>
        <family val="0"/>
        <charset val="1"/>
      </rPr>
      <t xml:space="preserve">5000m−1</t>
    </r>
  </si>
  <si>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次
</t>
    </r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日あたり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</si>
  <si>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次</t>
    </r>
    <r>
      <rPr>
        <b val="true"/>
        <sz val="10"/>
        <color rgb="FF000000"/>
        <rFont val="HGPｺﾞｼｯｸM"/>
        <family val="0"/>
        <charset val="1"/>
      </rPr>
      <t xml:space="preserve">+2</t>
    </r>
    <r>
      <rPr>
        <b val="true"/>
        <sz val="10"/>
        <color rgb="FF000000"/>
        <rFont val="WenQuanYi Zen Hei"/>
        <family val="2"/>
      </rPr>
      <t xml:space="preserve">次
合計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</si>
  <si>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r>
      <rPr>
        <b val="true"/>
        <sz val="10"/>
        <color rgb="FF000000"/>
        <rFont val="WenQuanYi Zen Hei"/>
        <family val="2"/>
      </rPr>
      <t xml:space="preserve">日本人トップ
との差</t>
    </r>
    <r>
      <rPr>
        <b val="true"/>
        <sz val="10"/>
        <color rgb="FF000000"/>
        <rFont val="HGPｺﾞｼｯｸM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秒</t>
    </r>
    <r>
      <rPr>
        <b val="true"/>
        <sz val="10"/>
        <color rgb="FF000000"/>
        <rFont val="HGPｺﾞｼｯｸM"/>
        <family val="0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</si>
  <si>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年ごとの</t>
    </r>
    <r>
      <rPr>
        <b val="true"/>
        <sz val="11"/>
        <color rgb="FF000000"/>
        <rFont val="HGPｺﾞｼｯｸM"/>
        <family val="0"/>
        <charset val="1"/>
      </rPr>
      <t xml:space="preserve">6</t>
    </r>
    <r>
      <rPr>
        <b val="true"/>
        <sz val="11"/>
        <color rgb="FF000000"/>
        <rFont val="WenQuanYi Zen Hei"/>
        <family val="2"/>
      </rPr>
      <t xml:space="preserve">人平均</t>
    </r>
  </si>
  <si>
    <t xml:space="preserve">区間順位
平均</t>
  </si>
  <si>
    <r>
      <rPr>
        <b val="true"/>
        <sz val="11"/>
        <color rgb="FF000000"/>
        <rFont val="WenQuanYi Zen Hei"/>
        <family val="2"/>
      </rPr>
      <t xml:space="preserve">区間順位との相関係数（延べ</t>
    </r>
    <r>
      <rPr>
        <b val="true"/>
        <sz val="11"/>
        <color rgb="FF000000"/>
        <rFont val="HGPｺﾞｼｯｸM"/>
        <family val="0"/>
        <charset val="1"/>
      </rPr>
      <t xml:space="preserve">24</t>
    </r>
    <r>
      <rPr>
        <b val="true"/>
        <sz val="11"/>
        <color rgb="FF000000"/>
        <rFont val="WenQuanYi Zen Hei"/>
        <family val="2"/>
      </rPr>
      <t xml:space="preserve">人）</t>
    </r>
  </si>
  <si>
    <t xml:space="preserve">指標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</si>
  <si>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次合宿の距離</t>
    </r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</si>
  <si>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次合宿の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日あたり距離</t>
    </r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</si>
  <si>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次合宿の距離</t>
    </r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</si>
  <si>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次</t>
    </r>
    <r>
      <rPr>
        <sz val="10"/>
        <color rgb="FF000000"/>
        <rFont val="HGPｺﾞｼｯｸM"/>
        <family val="0"/>
        <charset val="1"/>
      </rPr>
      <t xml:space="preserve">+2</t>
    </r>
    <r>
      <rPr>
        <sz val="10"/>
        <color rgb="FF000000"/>
        <rFont val="WenQuanYi Zen Hei"/>
        <family val="2"/>
      </rPr>
      <t xml:space="preserve">次の合計</t>
    </r>
  </si>
  <si>
    <r>
      <rPr>
        <sz val="9"/>
        <color rgb="FF000000"/>
        <rFont val="WenQuanYi Zen Hei"/>
        <family val="2"/>
      </rPr>
      <t xml:space="preserve">※正の値＝その指標が大きい選手ほど区間順位が悪い。</t>
    </r>
    <r>
      <rPr>
        <sz val="9"/>
        <color rgb="FF000000"/>
        <rFont val="HGPｺﾞｼｯｸM"/>
        <family val="0"/>
        <charset val="1"/>
      </rPr>
      <t xml:space="preserve">2026</t>
    </r>
    <r>
      <rPr>
        <sz val="9"/>
        <color rgb="FF000000"/>
        <rFont val="WenQuanYi Zen Hei"/>
        <family val="2"/>
      </rPr>
      <t xml:space="preserve">年は順位・距離ともに全体が高く、年の影響が混ざっている点に注意</t>
    </r>
  </si>
  <si>
    <r>
      <rPr>
        <b val="true"/>
        <sz val="11"/>
        <color rgb="FF000000"/>
        <rFont val="WenQuanYi Zen Hei"/>
        <family val="2"/>
      </rPr>
      <t xml:space="preserve">区間</t>
    </r>
    <r>
      <rPr>
        <b val="true"/>
        <sz val="11"/>
        <color rgb="FF000000"/>
        <rFont val="HGPｺﾞｼｯｸM"/>
        <family val="0"/>
        <charset val="1"/>
      </rPr>
      <t xml:space="preserve">3</t>
    </r>
    <r>
      <rPr>
        <b val="true"/>
        <sz val="11"/>
        <color rgb="FF000000"/>
        <rFont val="WenQuanYi Zen Hei"/>
        <family val="2"/>
      </rPr>
      <t xml:space="preserve">位以内とそれ以外の比較</t>
    </r>
  </si>
  <si>
    <t xml:space="preserve">区分</t>
  </si>
  <si>
    <t xml:space="preserve">人数</t>
  </si>
  <si>
    <r>
      <rPr>
        <sz val="10"/>
        <color rgb="FF000000"/>
        <rFont val="WenQuanYi Zen Hei"/>
        <family val="2"/>
      </rPr>
      <t xml:space="preserve">区間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</t>
    </r>
  </si>
  <si>
    <r>
      <rPr>
        <sz val="10"/>
        <color rgb="FF000000"/>
        <rFont val="WenQuanYi Zen Hei"/>
        <family val="2"/>
      </rPr>
      <t xml:space="preserve">区間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位以下</t>
    </r>
  </si>
  <si>
    <r>
      <rPr>
        <b val="true"/>
        <sz val="14"/>
        <color rgb="FF000000"/>
        <rFont val="WenQuanYi Zen Hei"/>
        <family val="2"/>
      </rPr>
      <t xml:space="preserve">夏合宿 消化率（</t>
    </r>
    <r>
      <rPr>
        <b val="true"/>
        <sz val="14"/>
        <color rgb="FF000000"/>
        <rFont val="HGPｺﾞｼｯｸM"/>
        <family val="0"/>
        <charset val="1"/>
      </rPr>
      <t xml:space="preserve">1</t>
    </r>
    <r>
      <rPr>
        <b val="true"/>
        <sz val="14"/>
        <color rgb="FF000000"/>
        <rFont val="WenQuanYi Zen Hei"/>
        <family val="2"/>
      </rPr>
      <t xml:space="preserve">〜</t>
    </r>
    <r>
      <rPr>
        <b val="true"/>
        <sz val="14"/>
        <color rgb="FF000000"/>
        <rFont val="HGPｺﾞｼｯｸM"/>
        <family val="0"/>
        <charset val="1"/>
      </rPr>
      <t xml:space="preserve">3</t>
    </r>
    <r>
      <rPr>
        <b val="true"/>
        <sz val="14"/>
        <color rgb="FF000000"/>
        <rFont val="WenQuanYi Zen Hei"/>
        <family val="2"/>
      </rPr>
      <t xml:space="preserve">次）：出雲メンバー</t>
    </r>
  </si>
  <si>
    <r>
      <rPr>
        <sz val="9"/>
        <color rgb="FF000000"/>
        <rFont val="WenQuanYi Zen Hei"/>
        <family val="2"/>
      </rPr>
      <t xml:space="preserve">出雲出走メンバーのみ。消化率はポイント練習の実施度（</t>
    </r>
    <r>
      <rPr>
        <sz val="9"/>
        <color rgb="FF000000"/>
        <rFont val="HGPｺﾞｼｯｸM"/>
        <family val="0"/>
        <charset val="1"/>
      </rPr>
      <t xml:space="preserve">100%</t>
    </r>
    <r>
      <rPr>
        <sz val="9"/>
        <color rgb="FF000000"/>
        <rFont val="WenQuanYi Zen Hei"/>
        <family val="2"/>
      </rPr>
      <t xml:space="preserve">＝全メニュー完遂）。出典：各年の合宿消化率（</t>
    </r>
    <r>
      <rPr>
        <sz val="9"/>
        <color rgb="FF000000"/>
        <rFont val="HGPｺﾞｼｯｸM"/>
        <family val="0"/>
        <charset val="1"/>
      </rPr>
      <t xml:space="preserve">2023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2025</t>
    </r>
    <r>
      <rPr>
        <sz val="9"/>
        <color rgb="FF000000"/>
        <rFont val="WenQuanYi Zen Hei"/>
        <family val="2"/>
      </rPr>
      <t xml:space="preserve">年は</t>
    </r>
    <r>
      <rPr>
        <sz val="9"/>
        <color rgb="FF000000"/>
        <rFont val="HGPｺﾞｼｯｸM"/>
        <family val="0"/>
        <charset val="1"/>
      </rPr>
      <t xml:space="preserve">Excel</t>
    </r>
    <r>
      <rPr>
        <sz val="9"/>
        <color rgb="FF000000"/>
        <rFont val="WenQuanYi Zen Hei"/>
        <family val="2"/>
      </rPr>
      <t xml:space="preserve">、</t>
    </r>
    <r>
      <rPr>
        <sz val="9"/>
        <color rgb="FF000000"/>
        <rFont val="HGPｺﾞｼｯｸM"/>
        <family val="0"/>
        <charset val="1"/>
      </rPr>
      <t xml:space="preserve">2024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2026</t>
    </r>
    <r>
      <rPr>
        <sz val="9"/>
        <color rgb="FF000000"/>
        <rFont val="WenQuanYi Zen Hei"/>
        <family val="2"/>
      </rPr>
      <t xml:space="preserve">年は</t>
    </r>
    <r>
      <rPr>
        <sz val="9"/>
        <color rgb="FF000000"/>
        <rFont val="HGPｺﾞｼｯｸM"/>
        <family val="0"/>
        <charset val="1"/>
      </rPr>
      <t xml:space="preserve">PDF</t>
    </r>
    <r>
      <rPr>
        <sz val="9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</si>
  <si>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次合宿</t>
    </r>
  </si>
  <si>
    <r>
      <rPr>
        <b val="true"/>
        <sz val="10"/>
        <color rgb="FF000000"/>
        <rFont val="HGPｺﾞｼｯｸM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次合宿</t>
    </r>
  </si>
  <si>
    <r>
      <rPr>
        <b val="true"/>
        <sz val="10"/>
        <color rgb="FF000000"/>
        <rFont val="HGPｺﾞｼｯｸM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次合宿</t>
    </r>
  </si>
  <si>
    <t xml:space="preserve">夏合宿
平均</t>
  </si>
  <si>
    <r>
      <rPr>
        <b val="true"/>
        <sz val="14"/>
        <color rgb="FF000000"/>
        <rFont val="WenQuanYi Zen Hei"/>
        <family val="2"/>
      </rPr>
      <t xml:space="preserve">月間走行距離：出雲メンバー（</t>
    </r>
    <r>
      <rPr>
        <b val="true"/>
        <sz val="14"/>
        <color rgb="FF000000"/>
        <rFont val="HGPｺﾞｼｯｸM"/>
        <family val="0"/>
        <charset val="1"/>
      </rPr>
      <t xml:space="preserve">2022</t>
    </r>
    <r>
      <rPr>
        <b val="true"/>
        <sz val="14"/>
        <color rgb="FF000000"/>
        <rFont val="WenQuanYi Zen Hei"/>
        <family val="2"/>
      </rPr>
      <t xml:space="preserve">・</t>
    </r>
    <r>
      <rPr>
        <b val="true"/>
        <sz val="14"/>
        <color rgb="FF000000"/>
        <rFont val="HGPｺﾞｼｯｸM"/>
        <family val="0"/>
        <charset val="1"/>
      </rPr>
      <t xml:space="preserve">2023</t>
    </r>
    <r>
      <rPr>
        <b val="true"/>
        <sz val="14"/>
        <color rgb="FF000000"/>
        <rFont val="WenQuanYi Zen Hei"/>
        <family val="2"/>
      </rPr>
      <t xml:space="preserve">年は通年、</t>
    </r>
    <r>
      <rPr>
        <b val="true"/>
        <sz val="14"/>
        <color rgb="FF000000"/>
        <rFont val="HGPｺﾞｼｯｸM"/>
        <family val="0"/>
        <charset val="1"/>
      </rPr>
      <t xml:space="preserve">2024</t>
    </r>
    <r>
      <rPr>
        <b val="true"/>
        <sz val="14"/>
        <color rgb="FF000000"/>
        <rFont val="WenQuanYi Zen Hei"/>
        <family val="2"/>
      </rPr>
      <t xml:space="preserve">年は</t>
    </r>
    <r>
      <rPr>
        <b val="true"/>
        <sz val="14"/>
        <color rgb="FF000000"/>
        <rFont val="HGPｺﾞｼｯｸM"/>
        <family val="0"/>
        <charset val="1"/>
      </rPr>
      <t xml:space="preserve">1</t>
    </r>
    <r>
      <rPr>
        <b val="true"/>
        <sz val="14"/>
        <color rgb="FF000000"/>
        <rFont val="WenQuanYi Zen Hei"/>
        <family val="2"/>
      </rPr>
      <t xml:space="preserve">〜</t>
    </r>
    <r>
      <rPr>
        <b val="true"/>
        <sz val="14"/>
        <color rgb="FF000000"/>
        <rFont val="HGPｺﾞｼｯｸM"/>
        <family val="0"/>
        <charset val="1"/>
      </rPr>
      <t xml:space="preserve">6</t>
    </r>
    <r>
      <rPr>
        <b val="true"/>
        <sz val="14"/>
        <color rgb="FF000000"/>
        <rFont val="WenQuanYi Zen Hei"/>
        <family val="2"/>
      </rPr>
      <t xml:space="preserve">月のみ）</t>
    </r>
  </si>
  <si>
    <r>
      <rPr>
        <sz val="9"/>
        <color rgb="FF000000"/>
        <rFont val="WenQuanYi Zen Hei"/>
        <family val="2"/>
      </rPr>
      <t xml:space="preserve">出雲出走メンバーのみ。出典：月間走行距離</t>
    </r>
    <r>
      <rPr>
        <sz val="9"/>
        <color rgb="FF000000"/>
        <rFont val="HGPｺﾞｼｯｸM"/>
        <family val="0"/>
        <charset val="1"/>
      </rPr>
      <t xml:space="preserve">Excel</t>
    </r>
    <r>
      <rPr>
        <sz val="9"/>
        <color rgb="FF000000"/>
        <rFont val="WenQuanYi Zen Hei"/>
        <family val="2"/>
      </rPr>
      <t xml:space="preserve">。</t>
    </r>
    <r>
      <rPr>
        <sz val="9"/>
        <color rgb="FF000000"/>
        <rFont val="HGPｺﾞｼｯｸM"/>
        <family val="0"/>
        <charset val="1"/>
      </rPr>
      <t xml:space="preserve">2024</t>
    </r>
    <r>
      <rPr>
        <sz val="9"/>
        <color rgb="FF000000"/>
        <rFont val="WenQuanYi Zen Hei"/>
        <family val="2"/>
      </rPr>
      <t xml:space="preserve">年</t>
    </r>
    <r>
      <rPr>
        <sz val="9"/>
        <color rgb="FF000000"/>
        <rFont val="HGPｺﾞｼｯｸM"/>
        <family val="0"/>
        <charset val="1"/>
      </rPr>
      <t xml:space="preserve">7</t>
    </r>
    <r>
      <rPr>
        <sz val="9"/>
        <color rgb="FF000000"/>
        <rFont val="WenQuanYi Zen Hei"/>
        <family val="2"/>
      </rPr>
      <t xml:space="preserve">月以降と</t>
    </r>
    <r>
      <rPr>
        <sz val="9"/>
        <color rgb="FF000000"/>
        <rFont val="HGPｺﾞｼｯｸM"/>
        <family val="0"/>
        <charset val="1"/>
      </rPr>
      <t xml:space="preserve">2025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2026</t>
    </r>
    <r>
      <rPr>
        <sz val="9"/>
        <color rgb="FF000000"/>
        <rFont val="WenQuanYi Zen Hei"/>
        <family val="2"/>
      </rPr>
      <t xml:space="preserve">年はデータ未提供</t>
    </r>
  </si>
  <si>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</si>
  <si>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</si>
  <si>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</si>
  <si>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4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</si>
  <si>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</si>
  <si>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</si>
  <si>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7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</si>
  <si>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8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</si>
  <si>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9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</si>
  <si>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10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</si>
  <si>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11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</si>
  <si>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12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</si>
  <si>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4"/>
        <color rgb="FF000000"/>
        <rFont val="HGPｺﾞｼｯｸM"/>
        <family val="0"/>
        <charset val="1"/>
      </rPr>
      <t xml:space="preserve">2023</t>
    </r>
    <r>
      <rPr>
        <b val="true"/>
        <sz val="14"/>
        <color rgb="FF000000"/>
        <rFont val="WenQuanYi Zen Hei"/>
        <family val="2"/>
      </rPr>
      <t xml:space="preserve">年 夏合宿ポイント練習：出雲メンバー</t>
    </r>
    <r>
      <rPr>
        <b val="true"/>
        <sz val="14"/>
        <color rgb="FF000000"/>
        <rFont val="HGPｺﾞｼｯｸM"/>
        <family val="0"/>
        <charset val="1"/>
      </rPr>
      <t xml:space="preserve">6</t>
    </r>
    <r>
      <rPr>
        <b val="true"/>
        <sz val="14"/>
        <color rgb="FF000000"/>
        <rFont val="WenQuanYi Zen Hei"/>
        <family val="2"/>
      </rPr>
      <t xml:space="preserve">人の組・消化率</t>
    </r>
  </si>
  <si>
    <r>
      <rPr>
        <sz val="9"/>
        <color rgb="FF000000"/>
        <rFont val="WenQuanYi Zen Hei"/>
        <family val="2"/>
      </rPr>
      <t xml:space="preserve">※ 各セルは「組 消化率」。坂</t>
    </r>
    <r>
      <rPr>
        <sz val="9"/>
        <color rgb="FF000000"/>
        <rFont val="HGPｺﾞｼｯｸM"/>
        <family val="0"/>
        <charset val="1"/>
      </rPr>
      <t xml:space="preserve">PTT</t>
    </r>
    <r>
      <rPr>
        <sz val="9"/>
        <color rgb="FF000000"/>
        <rFont val="WenQuanYi Zen Hei"/>
        <family val="2"/>
      </rPr>
      <t xml:space="preserve">は「坂</t>
    </r>
    <r>
      <rPr>
        <sz val="9"/>
        <color rgb="FF000000"/>
        <rFont val="HGPｺﾞｼｯｸM"/>
        <family val="0"/>
        <charset val="1"/>
      </rPr>
      <t xml:space="preserve">TT/</t>
    </r>
    <r>
      <rPr>
        <sz val="9"/>
        <color rgb="FF000000"/>
        <rFont val="WenQuanYi Zen Hei"/>
        <family val="2"/>
      </rPr>
      <t xml:space="preserve">トータル」タイム、</t>
    </r>
    <r>
      <rPr>
        <sz val="9"/>
        <color rgb="FF000000"/>
        <rFont val="HGPｺﾞｼｯｸM"/>
        <family val="0"/>
        <charset val="1"/>
      </rPr>
      <t xml:space="preserve">2026</t>
    </r>
    <r>
      <rPr>
        <sz val="9"/>
        <color rgb="FF000000"/>
        <rFont val="WenQuanYi Zen Hei"/>
        <family val="2"/>
      </rPr>
      <t xml:space="preserve">年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次の</t>
    </r>
    <r>
      <rPr>
        <sz val="9"/>
        <color rgb="FF000000"/>
        <rFont val="HGPｺﾞｼｯｸM"/>
        <family val="0"/>
        <charset val="1"/>
      </rPr>
      <t xml:space="preserve">3000m+12000m</t>
    </r>
    <r>
      <rPr>
        <sz val="9"/>
        <color rgb="FF000000"/>
        <rFont val="WenQuanYi Zen Hei"/>
        <family val="2"/>
      </rPr>
      <t xml:space="preserve">ビルドアップは最後の</t>
    </r>
    <r>
      <rPr>
        <sz val="9"/>
        <color rgb="FF000000"/>
        <rFont val="HGPｺﾞｼｯｸM"/>
        <family val="0"/>
        <charset val="1"/>
      </rPr>
      <t xml:space="preserve">1km</t>
    </r>
    <r>
      <rPr>
        <sz val="9"/>
        <color rgb="FF000000"/>
        <rFont val="WenQuanYi Zen Hei"/>
        <family val="2"/>
      </rPr>
      <t xml:space="preserve">のタイム</t>
    </r>
  </si>
  <si>
    <r>
      <rPr>
        <sz val="9"/>
        <color rgb="FF000000"/>
        <rFont val="WenQuanYi Zen Hei"/>
        <family val="2"/>
      </rPr>
      <t xml:space="preserve">※ 「–」は記録なし（その練習に入っていない）。</t>
    </r>
    <r>
      <rPr>
        <sz val="9"/>
        <color rgb="FF000000"/>
        <rFont val="HGPｺﾞｼｯｸM"/>
        <family val="0"/>
        <charset val="1"/>
      </rPr>
      <t xml:space="preserve">0%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30%</t>
    </r>
    <r>
      <rPr>
        <sz val="9"/>
        <color rgb="FF000000"/>
        <rFont val="WenQuanYi Zen Hei"/>
        <family val="2"/>
      </rPr>
      <t xml:space="preserve">は実施なし・部分実施</t>
    </r>
  </si>
  <si>
    <r>
      <rPr>
        <sz val="9"/>
        <color rgb="FF000000"/>
        <rFont val="WenQuanYi Zen Hei"/>
        <family val="2"/>
      </rPr>
      <t xml:space="preserve">※ 出典：各年の合宿消化率（</t>
    </r>
    <r>
      <rPr>
        <sz val="9"/>
        <color rgb="FF000000"/>
        <rFont val="HGPｺﾞｼｯｸM"/>
        <family val="0"/>
        <charset val="1"/>
      </rPr>
      <t xml:space="preserve">2023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2025</t>
    </r>
    <r>
      <rPr>
        <sz val="9"/>
        <color rgb="FF000000"/>
        <rFont val="WenQuanYi Zen Hei"/>
        <family val="2"/>
      </rPr>
      <t xml:space="preserve">年は</t>
    </r>
    <r>
      <rPr>
        <sz val="9"/>
        <color rgb="FF000000"/>
        <rFont val="HGPｺﾞｼｯｸM"/>
        <family val="0"/>
        <charset val="1"/>
      </rPr>
      <t xml:space="preserve">Excel</t>
    </r>
    <r>
      <rPr>
        <sz val="9"/>
        <color rgb="FF000000"/>
        <rFont val="WenQuanYi Zen Hei"/>
        <family val="2"/>
      </rPr>
      <t xml:space="preserve">、</t>
    </r>
    <r>
      <rPr>
        <sz val="9"/>
        <color rgb="FF000000"/>
        <rFont val="HGPｺﾞｼｯｸM"/>
        <family val="0"/>
        <charset val="1"/>
      </rPr>
      <t xml:space="preserve">2024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2026</t>
    </r>
    <r>
      <rPr>
        <sz val="9"/>
        <color rgb="FF000000"/>
        <rFont val="WenQuanYi Zen Hei"/>
        <family val="2"/>
      </rPr>
      <t xml:space="preserve">年は</t>
    </r>
    <r>
      <rPr>
        <sz val="9"/>
        <color rgb="FF000000"/>
        <rFont val="HGPｺﾞｼｯｸM"/>
        <family val="0"/>
        <charset val="1"/>
      </rPr>
      <t xml:space="preserve">PDF</t>
    </r>
    <r>
      <rPr>
        <sz val="9"/>
        <color rgb="FF000000"/>
        <rFont val="WenQuanYi Zen Hei"/>
        <family val="2"/>
      </rPr>
      <t xml:space="preserve">）</t>
    </r>
  </si>
  <si>
    <r>
      <rPr>
        <sz val="9"/>
        <color rgb="FF000000"/>
        <rFont val="HGPｺﾞｼｯｸM"/>
        <family val="0"/>
        <charset val="1"/>
      </rPr>
      <t xml:space="preserve">※ 2025</t>
    </r>
    <r>
      <rPr>
        <sz val="9"/>
        <color rgb="FF000000"/>
        <rFont val="WenQuanYi Zen Hei"/>
        <family val="2"/>
      </rPr>
      <t xml:space="preserve">年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次合宿は、元データの日付欄が</t>
    </r>
    <r>
      <rPr>
        <sz val="9"/>
        <color rgb="FF000000"/>
        <rFont val="HGPｺﾞｼｯｸM"/>
        <family val="0"/>
        <charset val="1"/>
      </rPr>
      <t xml:space="preserve">2023</t>
    </r>
    <r>
      <rPr>
        <sz val="9"/>
        <color rgb="FF000000"/>
        <rFont val="WenQuanYi Zen Hei"/>
        <family val="2"/>
      </rPr>
      <t xml:space="preserve">年の日付のまま残っていたため、日付を「—」とし実施順に並べた</t>
    </r>
  </si>
  <si>
    <r>
      <rPr>
        <sz val="9"/>
        <color rgb="FF000000"/>
        <rFont val="HGPｺﾞｼｯｸM"/>
        <family val="0"/>
        <charset val="1"/>
      </rPr>
      <t xml:space="preserve">※ 2024</t>
    </r>
    <r>
      <rPr>
        <sz val="9"/>
        <color rgb="FF000000"/>
        <rFont val="WenQuanYi Zen Hei"/>
        <family val="2"/>
      </rPr>
      <t xml:space="preserve">年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次合宿と</t>
    </r>
    <r>
      <rPr>
        <sz val="9"/>
        <color rgb="FF000000"/>
        <rFont val="HGPｺﾞｼｯｸM"/>
        <family val="0"/>
        <charset val="1"/>
      </rPr>
      <t xml:space="preserve">2026</t>
    </r>
    <r>
      <rPr>
        <sz val="9"/>
        <color rgb="FF000000"/>
        <rFont val="WenQuanYi Zen Hei"/>
        <family val="2"/>
      </rPr>
      <t xml:space="preserve">年</t>
    </r>
    <r>
      <rPr>
        <sz val="9"/>
        <color rgb="FF000000"/>
        <rFont val="HGPｺﾞｼｯｸM"/>
        <family val="0"/>
        <charset val="1"/>
      </rPr>
      <t xml:space="preserve">3</t>
    </r>
    <r>
      <rPr>
        <sz val="9"/>
        <color rgb="FF000000"/>
        <rFont val="WenQuanYi Zen Hei"/>
        <family val="2"/>
      </rPr>
      <t xml:space="preserve">次合宿は、</t>
    </r>
    <r>
      <rPr>
        <sz val="9"/>
        <color rgb="FF000000"/>
        <rFont val="HGPｺﾞｼｯｸM"/>
        <family val="0"/>
        <charset val="1"/>
      </rPr>
      <t xml:space="preserve">PDF</t>
    </r>
    <r>
      <rPr>
        <sz val="9"/>
        <color rgb="FF000000"/>
        <rFont val="WenQuanYi Zen Hei"/>
        <family val="2"/>
      </rPr>
      <t xml:space="preserve">で日付欄が複数メニューにまたがっていたため、天候の記録時刻と並び順から日付を判断した</t>
    </r>
  </si>
  <si>
    <r>
      <rPr>
        <b val="true"/>
        <sz val="10"/>
        <rFont val="HGPｺﾞｼｯｸM"/>
        <family val="0"/>
        <charset val="1"/>
      </rPr>
      <t xml:space="preserve">2023</t>
    </r>
    <r>
      <rPr>
        <b val="true"/>
        <sz val="10"/>
        <rFont val="WenQuanYi Zen Hei"/>
        <family val="2"/>
      </rPr>
      <t xml:space="preserve">年（出雲 総合</t>
    </r>
    <r>
      <rPr>
        <b val="true"/>
        <sz val="10"/>
        <rFont val="HGPｺﾞｼｯｸM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位）　メンバー：</t>
    </r>
    <r>
      <rPr>
        <b val="true"/>
        <sz val="10"/>
        <rFont val="HGPｺﾞｼｯｸM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区 野村昭夢／</t>
    </r>
    <r>
      <rPr>
        <b val="true"/>
        <sz val="10"/>
        <rFont val="HGPｺﾞｼｯｸM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区 黒田朝日／</t>
    </r>
    <r>
      <rPr>
        <b val="true"/>
        <sz val="10"/>
        <rFont val="HGPｺﾞｼｯｸM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区 佐藤一世／</t>
    </r>
    <r>
      <rPr>
        <b val="true"/>
        <sz val="10"/>
        <rFont val="HGPｺﾞｼｯｸM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区 山内健登／</t>
    </r>
    <r>
      <rPr>
        <b val="true"/>
        <sz val="10"/>
        <rFont val="HGPｺﾞｼｯｸM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区 鳥井健太／</t>
    </r>
    <r>
      <rPr>
        <b val="true"/>
        <sz val="10"/>
        <rFont val="HGPｺﾞｼｯｸM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区 鶴川正也</t>
    </r>
  </si>
  <si>
    <r>
      <rPr>
        <b val="true"/>
        <sz val="11"/>
        <color rgb="FF000000"/>
        <rFont val="HGPｺﾞｼｯｸM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7/26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8/16</t>
    </r>
    <r>
      <rPr>
        <b val="true"/>
        <sz val="11"/>
        <color rgb="FF000000"/>
        <rFont val="WenQuanYi Zen Hei"/>
        <family val="2"/>
      </rPr>
      <t xml:space="preserve">）</t>
    </r>
  </si>
  <si>
    <t xml:space="preserve">日付</t>
  </si>
  <si>
    <t xml:space="preserve">メニュー（設定）</t>
  </si>
  <si>
    <t xml:space="preserve">野村</t>
  </si>
  <si>
    <t xml:space="preserve">黒田朝</t>
  </si>
  <si>
    <t xml:space="preserve">佐藤一</t>
  </si>
  <si>
    <t xml:space="preserve">山内</t>
  </si>
  <si>
    <t xml:space="preserve">鳥井</t>
  </si>
  <si>
    <t xml:space="preserve">鶴川</t>
  </si>
  <si>
    <t xml:space="preserve">7/26</t>
  </si>
  <si>
    <r>
      <rPr>
        <sz val="10"/>
        <color rgb="FF000000"/>
        <rFont val="HGPｺﾞｼｯｸM"/>
        <family val="0"/>
        <charset val="1"/>
      </rPr>
      <t xml:space="preserve">16km+200m×5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3:36→3:30</t>
    </r>
    <r>
      <rPr>
        <sz val="10"/>
        <color rgb="FF000000"/>
        <rFont val="WenQuanYi Zen Hei"/>
        <family val="2"/>
      </rPr>
      <t xml:space="preserve">）</t>
    </r>
  </si>
  <si>
    <t xml:space="preserve">30%</t>
  </si>
  <si>
    <t xml:space="preserve">A 100%</t>
  </si>
  <si>
    <t xml:space="preserve">0%</t>
  </si>
  <si>
    <t xml:space="preserve">8/3</t>
  </si>
  <si>
    <r>
      <rPr>
        <sz val="10"/>
        <color rgb="FF000000"/>
        <rFont val="HGPｺﾞｼｯｸM"/>
        <family val="0"/>
        <charset val="1"/>
      </rPr>
      <t xml:space="preserve">CC24km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A 3:36→3:30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B 3:48→3:30</t>
    </r>
    <r>
      <rPr>
        <sz val="10"/>
        <color rgb="FF000000"/>
        <rFont val="WenQuanYi Zen Hei"/>
        <family val="2"/>
      </rPr>
      <t xml:space="preserve">）</t>
    </r>
  </si>
  <si>
    <t xml:space="preserve">B1(16km) 30%</t>
  </si>
  <si>
    <t xml:space="preserve">A1 100%</t>
  </si>
  <si>
    <t xml:space="preserve">B1 100%</t>
  </si>
  <si>
    <t xml:space="preserve">8/5</t>
  </si>
  <si>
    <r>
      <rPr>
        <sz val="10"/>
        <color rgb="FF000000"/>
        <rFont val="HGPｺﾞｼｯｸM"/>
        <family val="0"/>
        <charset val="1"/>
      </rPr>
      <t xml:space="preserve">25km </t>
    </r>
    <r>
      <rPr>
        <sz val="10"/>
        <color rgb="FF000000"/>
        <rFont val="WenQuanYi Zen Hei"/>
        <family val="2"/>
      </rPr>
      <t xml:space="preserve">中</t>
    </r>
    <r>
      <rPr>
        <sz val="10"/>
        <color rgb="FF000000"/>
        <rFont val="HGPｺﾞｼｯｸM"/>
        <family val="0"/>
        <charset val="1"/>
      </rPr>
      <t xml:space="preserve">×4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A 3:30</t>
    </r>
    <r>
      <rPr>
        <sz val="10"/>
        <color rgb="FF000000"/>
        <rFont val="WenQuanYi Zen Hei"/>
        <family val="2"/>
      </rPr>
      <t xml:space="preserve">通し／</t>
    </r>
    <r>
      <rPr>
        <sz val="10"/>
        <color rgb="FF000000"/>
        <rFont val="HGPｺﾞｼｯｸM"/>
        <family val="0"/>
        <charset val="1"/>
      </rPr>
      <t xml:space="preserve">B 3:36→3:30</t>
    </r>
    <r>
      <rPr>
        <sz val="10"/>
        <color rgb="FF000000"/>
        <rFont val="WenQuanYi Zen Hei"/>
        <family val="2"/>
      </rPr>
      <t xml:space="preserve">）</t>
    </r>
  </si>
  <si>
    <t xml:space="preserve">B(22.75km) 70%</t>
  </si>
  <si>
    <t xml:space="preserve">B 100%</t>
  </si>
  <si>
    <t xml:space="preserve">8/8</t>
  </si>
  <si>
    <r>
      <rPr>
        <sz val="10"/>
        <color rgb="FF000000"/>
        <rFont val="HGPｺﾞｼｯｸM"/>
        <family val="0"/>
        <charset val="1"/>
      </rPr>
      <t xml:space="preserve">20km</t>
    </r>
    <r>
      <rPr>
        <sz val="10"/>
        <color rgb="FF000000"/>
        <rFont val="WenQuanYi Zen Hei"/>
        <family val="2"/>
      </rPr>
      <t xml:space="preserve">坂</t>
    </r>
    <r>
      <rPr>
        <sz val="10"/>
        <color rgb="FF000000"/>
        <rFont val="HGPｺﾞｼｯｸM"/>
        <family val="0"/>
        <charset val="1"/>
      </rPr>
      <t xml:space="preserve">PTT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3:42→3:36</t>
    </r>
    <r>
      <rPr>
        <sz val="10"/>
        <color rgb="FF000000"/>
        <rFont val="WenQuanYi Zen Hei"/>
        <family val="2"/>
      </rPr>
      <t xml:space="preserve">）</t>
    </r>
  </si>
  <si>
    <t xml:space="preserve">11:03/1:13:42 100%</t>
  </si>
  <si>
    <t xml:space="preserve">10:11/1:12:49 100%</t>
  </si>
  <si>
    <t xml:space="preserve">11:15/1:13:54 100%</t>
  </si>
  <si>
    <t xml:space="preserve">11:42/1:14:20 100%</t>
  </si>
  <si>
    <t xml:space="preserve">10:39/1:13:17 100%</t>
  </si>
  <si>
    <t xml:space="preserve">10:53/1:13:31 30%</t>
  </si>
  <si>
    <t xml:space="preserve">8/10</t>
  </si>
  <si>
    <r>
      <rPr>
        <sz val="10"/>
        <color rgb="FF000000"/>
        <rFont val="HGPｺﾞｼｯｸM"/>
        <family val="0"/>
        <charset val="1"/>
      </rPr>
      <t xml:space="preserve">30km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A 3:42→3:36→3:30</t>
    </r>
    <r>
      <rPr>
        <sz val="10"/>
        <color rgb="FF000000"/>
        <rFont val="WenQuanYi Zen Hei"/>
        <family val="2"/>
      </rPr>
      <t xml:space="preserve">）</t>
    </r>
  </si>
  <si>
    <t xml:space="preserve">A(22km) 70%</t>
  </si>
  <si>
    <t xml:space="preserve">8/13</t>
  </si>
  <si>
    <t xml:space="preserve">11:16/1:14:39 100%</t>
  </si>
  <si>
    <t xml:space="preserve">10:00/1:13:23 100%</t>
  </si>
  <si>
    <t xml:space="preserve">11:05/1:14:28 100%</t>
  </si>
  <si>
    <t xml:space="preserve">11:54/1:15:17 100%</t>
  </si>
  <si>
    <t xml:space="preserve">10:39/1:14:02 100%</t>
  </si>
  <si>
    <t xml:space="preserve">10:41/1:14:04 100%</t>
  </si>
  <si>
    <t xml:space="preserve">8/15</t>
  </si>
  <si>
    <r>
      <rPr>
        <sz val="10"/>
        <color rgb="FF000000"/>
        <rFont val="HGPｺﾞｼｯｸM"/>
        <family val="0"/>
        <charset val="1"/>
      </rPr>
      <t xml:space="preserve">42.195km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4:00</t>
    </r>
    <r>
      <rPr>
        <sz val="10"/>
        <color rgb="FF000000"/>
        <rFont val="WenQuanYi Zen Hei"/>
        <family val="2"/>
      </rPr>
      <t xml:space="preserve">目安）</t>
    </r>
  </si>
  <si>
    <t xml:space="preserve">21km+1km 30%</t>
  </si>
  <si>
    <t xml:space="preserve">100%</t>
  </si>
  <si>
    <r>
      <rPr>
        <b val="true"/>
        <sz val="11"/>
        <color rgb="FF000000"/>
        <rFont val="HGPｺﾞｼｯｸM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8/25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9/3</t>
    </r>
    <r>
      <rPr>
        <b val="true"/>
        <sz val="11"/>
        <color rgb="FF000000"/>
        <rFont val="WenQuanYi Zen Hei"/>
        <family val="2"/>
      </rPr>
      <t xml:space="preserve">）</t>
    </r>
  </si>
  <si>
    <t xml:space="preserve">8/26</t>
  </si>
  <si>
    <r>
      <rPr>
        <sz val="10"/>
        <color rgb="FF000000"/>
        <rFont val="HGPｺﾞｼｯｸM"/>
        <family val="0"/>
        <charset val="1"/>
      </rPr>
      <t xml:space="preserve">16km+200m×5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3:30→3:10</t>
    </r>
    <r>
      <rPr>
        <sz val="10"/>
        <color rgb="FF000000"/>
        <rFont val="WenQuanYi Zen Hei"/>
        <family val="2"/>
      </rPr>
      <t xml:space="preserve">）</t>
    </r>
  </si>
  <si>
    <t xml:space="preserve">A 70%</t>
  </si>
  <si>
    <t xml:space="preserve">8/27</t>
  </si>
  <si>
    <r>
      <rPr>
        <sz val="10"/>
        <color rgb="FF000000"/>
        <rFont val="HGPｺﾞｼｯｸM"/>
        <family val="0"/>
        <charset val="1"/>
      </rPr>
      <t xml:space="preserve">CC30km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3:42→3:36→3:30</t>
    </r>
    <r>
      <rPr>
        <sz val="10"/>
        <color rgb="FF000000"/>
        <rFont val="WenQuanYi Zen Hei"/>
        <family val="2"/>
      </rPr>
      <t xml:space="preserve">）</t>
    </r>
  </si>
  <si>
    <t xml:space="preserve">8/30</t>
  </si>
  <si>
    <r>
      <rPr>
        <sz val="10"/>
        <color rgb="FF000000"/>
        <rFont val="HGPｺﾞｼｯｸM"/>
        <family val="0"/>
        <charset val="1"/>
      </rPr>
      <t xml:space="preserve">24000m</t>
    </r>
    <r>
      <rPr>
        <sz val="10"/>
        <color rgb="FF000000"/>
        <rFont val="WenQuanYi Zen Hei"/>
        <family val="2"/>
      </rPr>
      <t xml:space="preserve">ペース走</t>
    </r>
    <r>
      <rPr>
        <sz val="10"/>
        <color rgb="FF000000"/>
        <rFont val="HGPｺﾞｼｯｸM"/>
        <family val="0"/>
        <charset val="1"/>
      </rPr>
      <t xml:space="preserve">+1000m×2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3:30→3:10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2:50</t>
    </r>
    <r>
      <rPr>
        <sz val="10"/>
        <color rgb="FF000000"/>
        <rFont val="WenQuanYi Zen Hei"/>
        <family val="2"/>
      </rPr>
      <t xml:space="preserve">）</t>
    </r>
  </si>
  <si>
    <t xml:space="preserve">9/2</t>
  </si>
  <si>
    <r>
      <rPr>
        <b val="true"/>
        <sz val="11"/>
        <color rgb="FF000000"/>
        <rFont val="HGPｺﾞｼｯｸM"/>
        <family val="0"/>
        <charset val="1"/>
      </rPr>
      <t xml:space="preserve">3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9/12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9/17</t>
    </r>
    <r>
      <rPr>
        <b val="true"/>
        <sz val="11"/>
        <color rgb="FF000000"/>
        <rFont val="WenQuanYi Zen Hei"/>
        <family val="2"/>
      </rPr>
      <t xml:space="preserve">）</t>
    </r>
  </si>
  <si>
    <t xml:space="preserve">9/12</t>
  </si>
  <si>
    <r>
      <rPr>
        <sz val="10"/>
        <color rgb="FF000000"/>
        <rFont val="HGPｺﾞｼｯｸM"/>
        <family val="0"/>
        <charset val="1"/>
      </rPr>
      <t xml:space="preserve">15km+150m×3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3:30→3:20</t>
    </r>
    <r>
      <rPr>
        <sz val="10"/>
        <color rgb="FF000000"/>
        <rFont val="WenQuanYi Zen Hei"/>
        <family val="2"/>
      </rPr>
      <t xml:space="preserve">）</t>
    </r>
  </si>
  <si>
    <t xml:space="preserve">9/13</t>
  </si>
  <si>
    <r>
      <rPr>
        <sz val="10"/>
        <color rgb="FF000000"/>
        <rFont val="HGPｺﾞｼｯｸM"/>
        <family val="0"/>
        <charset val="1"/>
      </rPr>
      <t xml:space="preserve">1000m+12000m+400m+200m×5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2:40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3:20→3:10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58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</si>
  <si>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12000m</t>
    </r>
    <r>
      <rPr>
        <sz val="10"/>
        <color rgb="FF000000"/>
        <rFont val="WenQuanYi Zen Hei"/>
        <family val="2"/>
      </rPr>
      <t xml:space="preserve">以降のみ </t>
    </r>
    <r>
      <rPr>
        <sz val="10"/>
        <color rgb="FF000000"/>
        <rFont val="HGPｺﾞｼｯｸM"/>
        <family val="0"/>
        <charset val="1"/>
      </rPr>
      <t xml:space="preserve">70%</t>
    </r>
  </si>
  <si>
    <t xml:space="preserve">9/15</t>
  </si>
  <si>
    <r>
      <rPr>
        <sz val="10"/>
        <color rgb="FF000000"/>
        <rFont val="HGPｺﾞｼｯｸM"/>
        <family val="0"/>
        <charset val="1"/>
      </rPr>
      <t xml:space="preserve">20km+1000m+200m×5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2:45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30-28</t>
    </r>
    <r>
      <rPr>
        <sz val="10"/>
        <color rgb="FF000000"/>
        <rFont val="WenQuanYi Zen Hei"/>
        <family val="2"/>
      </rPr>
      <t xml:space="preserve">）</t>
    </r>
  </si>
  <si>
    <t xml:space="preserve">A1 70%</t>
  </si>
  <si>
    <t xml:space="preserve">A2 100%</t>
  </si>
  <si>
    <t xml:space="preserve">9/17</t>
  </si>
  <si>
    <r>
      <rPr>
        <sz val="10"/>
        <color rgb="FF000000"/>
        <rFont val="HGPｺﾞｼｯｸM"/>
        <family val="0"/>
        <charset val="1"/>
      </rPr>
      <t xml:space="preserve">400m×12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HGPｺﾞｼｯｸM"/>
        <family val="0"/>
        <charset val="1"/>
      </rPr>
      <t xml:space="preserve">R100m</t>
    </r>
  </si>
  <si>
    <r>
      <rPr>
        <b val="true"/>
        <sz val="14"/>
        <color rgb="FF000000"/>
        <rFont val="HGPｺﾞｼｯｸM"/>
        <family val="0"/>
        <charset val="1"/>
      </rPr>
      <t xml:space="preserve">2024</t>
    </r>
    <r>
      <rPr>
        <b val="true"/>
        <sz val="14"/>
        <color rgb="FF000000"/>
        <rFont val="WenQuanYi Zen Hei"/>
        <family val="2"/>
      </rPr>
      <t xml:space="preserve">年 夏合宿ポイント練習：出雲メンバー</t>
    </r>
    <r>
      <rPr>
        <b val="true"/>
        <sz val="14"/>
        <color rgb="FF000000"/>
        <rFont val="HGPｺﾞｼｯｸM"/>
        <family val="0"/>
        <charset val="1"/>
      </rPr>
      <t xml:space="preserve">6</t>
    </r>
    <r>
      <rPr>
        <b val="true"/>
        <sz val="14"/>
        <color rgb="FF000000"/>
        <rFont val="WenQuanYi Zen Hei"/>
        <family val="2"/>
      </rPr>
      <t xml:space="preserve">人の組・消化率</t>
    </r>
  </si>
  <si>
    <r>
      <rPr>
        <b val="true"/>
        <sz val="10"/>
        <rFont val="HGPｺﾞｼｯｸM"/>
        <family val="0"/>
        <charset val="1"/>
      </rPr>
      <t xml:space="preserve">2024</t>
    </r>
    <r>
      <rPr>
        <b val="true"/>
        <sz val="10"/>
        <rFont val="WenQuanYi Zen Hei"/>
        <family val="2"/>
      </rPr>
      <t xml:space="preserve">年（出雲 総合</t>
    </r>
    <r>
      <rPr>
        <b val="true"/>
        <sz val="10"/>
        <rFont val="HGPｺﾞｼｯｸM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位）　メンバー：</t>
    </r>
    <r>
      <rPr>
        <b val="true"/>
        <sz val="10"/>
        <rFont val="HGPｺﾞｼｯｸM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区 鶴川正也／</t>
    </r>
    <r>
      <rPr>
        <b val="true"/>
        <sz val="10"/>
        <rFont val="HGPｺﾞｼｯｸM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区 野村昭夢／</t>
    </r>
    <r>
      <rPr>
        <b val="true"/>
        <sz val="10"/>
        <rFont val="HGPｺﾞｼｯｸM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区 黒田朝日／</t>
    </r>
    <r>
      <rPr>
        <b val="true"/>
        <sz val="10"/>
        <rFont val="HGPｺﾞｼｯｸM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区 宇田川瞬矢／</t>
    </r>
    <r>
      <rPr>
        <b val="true"/>
        <sz val="10"/>
        <rFont val="HGPｺﾞｼｯｸM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区 若林宏樹／</t>
    </r>
    <r>
      <rPr>
        <b val="true"/>
        <sz val="10"/>
        <rFont val="HGPｺﾞｼｯｸM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区 太田蒼生</t>
    </r>
  </si>
  <si>
    <r>
      <rPr>
        <b val="true"/>
        <sz val="11"/>
        <color rgb="FF000000"/>
        <rFont val="HGPｺﾞｼｯｸM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8/1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8/19</t>
    </r>
    <r>
      <rPr>
        <b val="true"/>
        <sz val="11"/>
        <color rgb="FF000000"/>
        <rFont val="WenQuanYi Zen Hei"/>
        <family val="2"/>
      </rPr>
      <t xml:space="preserve">、消化率の記録は</t>
    </r>
    <r>
      <rPr>
        <b val="true"/>
        <sz val="11"/>
        <color rgb="FF000000"/>
        <rFont val="HGPｺﾞｼｯｸM"/>
        <family val="0"/>
        <charset val="1"/>
      </rPr>
      <t xml:space="preserve">8/11</t>
    </r>
    <r>
      <rPr>
        <b val="true"/>
        <sz val="11"/>
        <color rgb="FF000000"/>
        <rFont val="WenQuanYi Zen Hei"/>
        <family val="2"/>
      </rPr>
      <t xml:space="preserve">以降）</t>
    </r>
  </si>
  <si>
    <t xml:space="preserve">宇田川</t>
  </si>
  <si>
    <t xml:space="preserve">若林</t>
  </si>
  <si>
    <t xml:space="preserve">太田</t>
  </si>
  <si>
    <t xml:space="preserve">8/11</t>
  </si>
  <si>
    <r>
      <rPr>
        <sz val="10"/>
        <color rgb="FF000000"/>
        <rFont val="HGPｺﾞｼｯｸM"/>
        <family val="0"/>
        <charset val="1"/>
      </rPr>
      <t xml:space="preserve">21km</t>
    </r>
    <r>
      <rPr>
        <sz val="10"/>
        <color rgb="FF000000"/>
        <rFont val="WenQuanYi Zen Hei"/>
        <family val="2"/>
      </rPr>
      <t xml:space="preserve">坂</t>
    </r>
    <r>
      <rPr>
        <sz val="10"/>
        <color rgb="FF000000"/>
        <rFont val="HGPｺﾞｼｯｸM"/>
        <family val="0"/>
        <charset val="1"/>
      </rPr>
      <t xml:space="preserve">PTT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3:42→3:36</t>
    </r>
    <r>
      <rPr>
        <sz val="10"/>
        <color rgb="FF000000"/>
        <rFont val="WenQuanYi Zen Hei"/>
        <family val="2"/>
      </rPr>
      <t xml:space="preserve">）</t>
    </r>
  </si>
  <si>
    <t xml:space="preserve">10:35/1:13:56 100%</t>
  </si>
  <si>
    <t xml:space="preserve">10:40/1:14:01 100%</t>
  </si>
  <si>
    <t xml:space="preserve">9:56/1:13:17 100%</t>
  </si>
  <si>
    <t xml:space="preserve">11:18/1:14:39 100%</t>
  </si>
  <si>
    <t xml:space="preserve">10:29/1:13:50 100%</t>
  </si>
  <si>
    <t xml:space="preserve">70%</t>
  </si>
  <si>
    <r>
      <rPr>
        <sz val="10"/>
        <color rgb="FF000000"/>
        <rFont val="HGPｺﾞｼｯｸM"/>
        <family val="0"/>
        <charset val="1"/>
      </rPr>
      <t xml:space="preserve">25km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3:36→3:30</t>
    </r>
    <r>
      <rPr>
        <sz val="10"/>
        <color rgb="FF000000"/>
        <rFont val="WenQuanYi Zen Hei"/>
        <family val="2"/>
      </rPr>
      <t xml:space="preserve">）／</t>
    </r>
    <r>
      <rPr>
        <sz val="10"/>
        <color rgb="FF000000"/>
        <rFont val="HGPｺﾞｼｯｸM"/>
        <family val="0"/>
        <charset val="1"/>
      </rPr>
      <t xml:space="preserve">30km</t>
    </r>
    <r>
      <rPr>
        <sz val="10"/>
        <color rgb="FF000000"/>
        <rFont val="WenQuanYi Zen Hei"/>
        <family val="2"/>
      </rPr>
      <t xml:space="preserve">組</t>
    </r>
  </si>
  <si>
    <t xml:space="preserve">A(30km) 100%</t>
  </si>
  <si>
    <t xml:space="preserve">10:19/1:13:56 100%</t>
  </si>
  <si>
    <t xml:space="preserve">10:59/1:14:36 100%</t>
  </si>
  <si>
    <t xml:space="preserve">10:06/1:13:43 100%</t>
  </si>
  <si>
    <t xml:space="preserve">11:23/1:15:00 100%</t>
  </si>
  <si>
    <t xml:space="preserve">10:51/1:14:28 100%</t>
  </si>
  <si>
    <t xml:space="preserve">10:57/1:14:34 100%</t>
  </si>
  <si>
    <t xml:space="preserve">8/18</t>
  </si>
  <si>
    <r>
      <rPr>
        <sz val="10"/>
        <color rgb="FF000000"/>
        <rFont val="HGPｺﾞｼｯｸM"/>
        <family val="0"/>
        <charset val="1"/>
      </rPr>
      <t xml:space="preserve">42.195km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2:45:00</t>
    </r>
    <r>
      <rPr>
        <sz val="10"/>
        <color rgb="FF000000"/>
        <rFont val="WenQuanYi Zen Hei"/>
        <family val="2"/>
      </rPr>
      <t xml:space="preserve">目安）</t>
    </r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</si>
  <si>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周目以降山</t>
    </r>
    <r>
      <rPr>
        <sz val="10"/>
        <color rgb="FF000000"/>
        <rFont val="HGPｺﾞｼｯｸM"/>
        <family val="0"/>
        <charset val="1"/>
      </rPr>
      <t xml:space="preserve">jog 30%</t>
    </r>
  </si>
  <si>
    <r>
      <rPr>
        <b val="true"/>
        <sz val="11"/>
        <color rgb="FF000000"/>
        <rFont val="HGPｺﾞｼｯｸM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8/27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9/5</t>
    </r>
    <r>
      <rPr>
        <b val="true"/>
        <sz val="11"/>
        <color rgb="FF000000"/>
        <rFont val="WenQuanYi Zen Hei"/>
        <family val="2"/>
      </rPr>
      <t xml:space="preserve">）</t>
    </r>
  </si>
  <si>
    <t xml:space="preserve">8/28</t>
  </si>
  <si>
    <r>
      <rPr>
        <sz val="10"/>
        <color rgb="FF000000"/>
        <rFont val="HGPｺﾞｼｯｸM"/>
        <family val="0"/>
        <charset val="1"/>
      </rPr>
      <t xml:space="preserve">CC25km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3:36→3:30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</si>
  <si>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400m×12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A 65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HGPｺﾞｼｯｸM"/>
        <family val="0"/>
        <charset val="1"/>
      </rPr>
      <t xml:space="preserve">R200m</t>
    </r>
  </si>
  <si>
    <t xml:space="preserve">9/1</t>
  </si>
  <si>
    <r>
      <rPr>
        <sz val="10"/>
        <color rgb="FF000000"/>
        <rFont val="HGPｺﾞｼｯｸM"/>
        <family val="0"/>
        <charset val="1"/>
      </rPr>
      <t xml:space="preserve">CC21km+3000m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3:36→3:30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A 8:50</t>
    </r>
    <r>
      <rPr>
        <sz val="10"/>
        <color rgb="FF000000"/>
        <rFont val="WenQuanYi Zen Hei"/>
        <family val="2"/>
      </rPr>
      <t xml:space="preserve">）</t>
    </r>
  </si>
  <si>
    <t xml:space="preserve">A2 90%</t>
  </si>
  <si>
    <t xml:space="preserve">9/4</t>
  </si>
  <si>
    <t xml:space="preserve">A1 30%</t>
  </si>
  <si>
    <r>
      <rPr>
        <b val="true"/>
        <sz val="11"/>
        <color rgb="FF000000"/>
        <rFont val="HGPｺﾞｼｯｸM"/>
        <family val="0"/>
        <charset val="1"/>
      </rPr>
      <t xml:space="preserve">3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9/13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9/21</t>
    </r>
    <r>
      <rPr>
        <b val="true"/>
        <sz val="11"/>
        <color rgb="FF000000"/>
        <rFont val="WenQuanYi Zen Hei"/>
        <family val="2"/>
      </rPr>
      <t xml:space="preserve">）</t>
    </r>
  </si>
  <si>
    <t xml:space="preserve">9/14</t>
  </si>
  <si>
    <r>
      <rPr>
        <sz val="10"/>
        <color rgb="FF000000"/>
        <rFont val="HGPｺﾞｼｯｸM"/>
        <family val="0"/>
        <charset val="1"/>
      </rPr>
      <t xml:space="preserve">25km(30km)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3:42→3:30</t>
    </r>
    <r>
      <rPr>
        <sz val="10"/>
        <color rgb="FF000000"/>
        <rFont val="WenQuanYi Zen Hei"/>
        <family val="2"/>
      </rPr>
      <t xml:space="preserve">）</t>
    </r>
  </si>
  <si>
    <t xml:space="preserve">A1(21km) 70%</t>
  </si>
  <si>
    <r>
      <rPr>
        <sz val="10"/>
        <color rgb="FF000000"/>
        <rFont val="HGPｺﾞｼｯｸM"/>
        <family val="0"/>
        <charset val="1"/>
      </rPr>
      <t xml:space="preserve">400m×12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A 64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B2 65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HGPｺﾞｼｯｸM"/>
        <family val="0"/>
        <charset val="1"/>
      </rPr>
      <t xml:space="preserve">R200m</t>
    </r>
  </si>
  <si>
    <t xml:space="preserve">9/18</t>
  </si>
  <si>
    <r>
      <rPr>
        <sz val="10"/>
        <color rgb="FF000000"/>
        <rFont val="HGPｺﾞｼｯｸM"/>
        <family val="0"/>
        <charset val="1"/>
      </rPr>
      <t xml:space="preserve">1000m×2+12000m+200m×5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2:40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3:20→3:10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30-28</t>
    </r>
    <r>
      <rPr>
        <sz val="10"/>
        <color rgb="FF000000"/>
        <rFont val="WenQuanYi Zen Hei"/>
        <family val="2"/>
      </rPr>
      <t xml:space="preserve">）</t>
    </r>
  </si>
  <si>
    <t xml:space="preserve">9/21</t>
  </si>
  <si>
    <r>
      <rPr>
        <sz val="10"/>
        <color rgb="FF000000"/>
        <rFont val="HGPｺﾞｼｯｸM"/>
        <family val="0"/>
        <charset val="1"/>
      </rPr>
      <t xml:space="preserve">3000m+8000m</t>
    </r>
    <r>
      <rPr>
        <sz val="10"/>
        <color rgb="FF000000"/>
        <rFont val="WenQuanYi Zen Hei"/>
        <family val="2"/>
      </rPr>
      <t xml:space="preserve">ビルドアップ</t>
    </r>
    <r>
      <rPr>
        <sz val="10"/>
        <color rgb="FF000000"/>
        <rFont val="HGPｺﾞｼｯｸM"/>
        <family val="0"/>
        <charset val="1"/>
      </rPr>
      <t xml:space="preserve">+1000m+400m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A 8:25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3:30→2:50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2:45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</si>
  <si>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4"/>
        <color rgb="FF000000"/>
        <rFont val="HGPｺﾞｼｯｸM"/>
        <family val="0"/>
        <charset val="1"/>
      </rPr>
      <t xml:space="preserve">2025</t>
    </r>
    <r>
      <rPr>
        <b val="true"/>
        <sz val="14"/>
        <color rgb="FF000000"/>
        <rFont val="WenQuanYi Zen Hei"/>
        <family val="2"/>
      </rPr>
      <t xml:space="preserve">年 夏合宿ポイント練習：出雲メンバー</t>
    </r>
    <r>
      <rPr>
        <b val="true"/>
        <sz val="14"/>
        <color rgb="FF000000"/>
        <rFont val="HGPｺﾞｼｯｸM"/>
        <family val="0"/>
        <charset val="1"/>
      </rPr>
      <t xml:space="preserve">6</t>
    </r>
    <r>
      <rPr>
        <b val="true"/>
        <sz val="14"/>
        <color rgb="FF000000"/>
        <rFont val="WenQuanYi Zen Hei"/>
        <family val="2"/>
      </rPr>
      <t xml:space="preserve">人の組・消化率</t>
    </r>
  </si>
  <si>
    <r>
      <rPr>
        <b val="true"/>
        <sz val="10"/>
        <rFont val="HGPｺﾞｼｯｸM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年（出雲 総合</t>
    </r>
    <r>
      <rPr>
        <b val="true"/>
        <sz val="10"/>
        <rFont val="HGPｺﾞｼｯｸM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位）　メンバー：</t>
    </r>
    <r>
      <rPr>
        <b val="true"/>
        <sz val="10"/>
        <rFont val="HGPｺﾞｼｯｸM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区 小河原陽琉／</t>
    </r>
    <r>
      <rPr>
        <b val="true"/>
        <sz val="10"/>
        <rFont val="HGPｺﾞｼｯｸM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区 折田壮太／</t>
    </r>
    <r>
      <rPr>
        <b val="true"/>
        <sz val="10"/>
        <rFont val="HGPｺﾞｼｯｸM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区 飯田翔大／</t>
    </r>
    <r>
      <rPr>
        <b val="true"/>
        <sz val="10"/>
        <rFont val="HGPｺﾞｼｯｸM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区 神邑亮佑／</t>
    </r>
    <r>
      <rPr>
        <b val="true"/>
        <sz val="10"/>
        <rFont val="HGPｺﾞｼｯｸM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区 塩出翔太／</t>
    </r>
    <r>
      <rPr>
        <b val="true"/>
        <sz val="10"/>
        <rFont val="HGPｺﾞｼｯｸM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区 黒田朝日</t>
    </r>
  </si>
  <si>
    <r>
      <rPr>
        <b val="true"/>
        <sz val="11"/>
        <color rgb="FF000000"/>
        <rFont val="HGPｺﾞｼｯｸM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8/1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8/19</t>
    </r>
    <r>
      <rPr>
        <b val="true"/>
        <sz val="11"/>
        <color rgb="FF000000"/>
        <rFont val="WenQuanYi Zen Hei"/>
        <family val="2"/>
      </rPr>
      <t xml:space="preserve">）</t>
    </r>
  </si>
  <si>
    <t xml:space="preserve">小河原</t>
  </si>
  <si>
    <t xml:space="preserve">折田</t>
  </si>
  <si>
    <t xml:space="preserve">飯田</t>
  </si>
  <si>
    <t xml:space="preserve">神邑</t>
  </si>
  <si>
    <t xml:space="preserve">塩出</t>
  </si>
  <si>
    <r>
      <rPr>
        <sz val="10"/>
        <color rgb="FF000000"/>
        <rFont val="HGPｺﾞｼｯｸM"/>
        <family val="0"/>
        <charset val="1"/>
      </rPr>
      <t xml:space="preserve">25km </t>
    </r>
    <r>
      <rPr>
        <sz val="10"/>
        <color rgb="FF000000"/>
        <rFont val="WenQuanYi Zen Hei"/>
        <family val="2"/>
      </rPr>
      <t xml:space="preserve">中</t>
    </r>
    <r>
      <rPr>
        <sz val="10"/>
        <color rgb="FF000000"/>
        <rFont val="HGPｺﾞｼｯｸM"/>
        <family val="0"/>
        <charset val="1"/>
      </rPr>
      <t xml:space="preserve">×4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3:36→3:30</t>
    </r>
    <r>
      <rPr>
        <sz val="10"/>
        <color rgb="FF000000"/>
        <rFont val="WenQuanYi Zen Hei"/>
        <family val="2"/>
      </rPr>
      <t xml:space="preserve">）</t>
    </r>
  </si>
  <si>
    <t xml:space="preserve">10:44/1:13:50 100%</t>
  </si>
  <si>
    <t xml:space="preserve">11:31/1:14:37 100%</t>
  </si>
  <si>
    <t xml:space="preserve">10:31/1:13:37 100%</t>
  </si>
  <si>
    <t xml:space="preserve">10:54/1:14:00 100%</t>
  </si>
  <si>
    <t xml:space="preserve">10:58/1:14:04 100%</t>
  </si>
  <si>
    <t xml:space="preserve">9:41/1:12:47 100%</t>
  </si>
  <si>
    <t xml:space="preserve">11:36/1:14:48 100%</t>
  </si>
  <si>
    <t xml:space="preserve">11:26/1:14:38 100%</t>
  </si>
  <si>
    <t xml:space="preserve">10:39/1:13:51 100%</t>
  </si>
  <si>
    <t xml:space="preserve">11:04/1:14:16 100%</t>
  </si>
  <si>
    <t xml:space="preserve">9:58/1:13:10 100%</t>
  </si>
  <si>
    <t xml:space="preserve">最終盤</t>
  </si>
  <si>
    <r>
      <rPr>
        <sz val="10"/>
        <color rgb="FF000000"/>
        <rFont val="HGPｺﾞｼｯｸM"/>
        <family val="0"/>
        <charset val="1"/>
      </rPr>
      <t xml:space="preserve">42.195km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時間</t>
    </r>
    <r>
      <rPr>
        <sz val="10"/>
        <color rgb="FF000000"/>
        <rFont val="HGPｺﾞｼｯｸM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分前後）</t>
    </r>
  </si>
  <si>
    <r>
      <rPr>
        <b val="true"/>
        <sz val="11"/>
        <color rgb="FF000000"/>
        <rFont val="HGPｺﾞｼｯｸM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8/26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9/4</t>
    </r>
    <r>
      <rPr>
        <b val="true"/>
        <sz val="11"/>
        <color rgb="FF000000"/>
        <rFont val="WenQuanYi Zen Hei"/>
        <family val="2"/>
      </rPr>
      <t xml:space="preserve">）</t>
    </r>
  </si>
  <si>
    <t xml:space="preserve">—</t>
  </si>
  <si>
    <r>
      <rPr>
        <sz val="10"/>
        <color rgb="FF000000"/>
        <rFont val="HGPｺﾞｼｯｸM"/>
        <family val="0"/>
        <charset val="1"/>
      </rPr>
      <t xml:space="preserve">CC16km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3:30</t>
    </r>
    <r>
      <rPr>
        <sz val="10"/>
        <color rgb="FF000000"/>
        <rFont val="WenQuanYi Zen Hei"/>
        <family val="2"/>
      </rPr>
      <t xml:space="preserve">）</t>
    </r>
  </si>
  <si>
    <t xml:space="preserve">C 100%</t>
  </si>
  <si>
    <r>
      <rPr>
        <sz val="10"/>
        <color rgb="FF000000"/>
        <rFont val="HGPｺﾞｼｯｸM"/>
        <family val="0"/>
        <charset val="1"/>
      </rPr>
      <t xml:space="preserve">1000m×2+8000m+200m×5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2:45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3:20→3:10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</si>
  <si>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CC30km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3:42→3:36→3:30</t>
    </r>
    <r>
      <rPr>
        <sz val="10"/>
        <color rgb="FF000000"/>
        <rFont val="WenQuanYi Zen Hei"/>
        <family val="2"/>
      </rPr>
      <t xml:space="preserve">）※飯田は別メニューの</t>
    </r>
    <r>
      <rPr>
        <sz val="10"/>
        <color rgb="FF000000"/>
        <rFont val="HGPｺﾞｼｯｸM"/>
        <family val="0"/>
        <charset val="1"/>
      </rPr>
      <t xml:space="preserve">CC30km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3:36→3:30</t>
    </r>
    <r>
      <rPr>
        <sz val="10"/>
        <color rgb="FF000000"/>
        <rFont val="WenQuanYi Zen Hei"/>
        <family val="2"/>
      </rPr>
      <t xml:space="preserve">）</t>
    </r>
  </si>
  <si>
    <t xml:space="preserve">9/3</t>
  </si>
  <si>
    <r>
      <rPr>
        <sz val="10"/>
        <color rgb="FF000000"/>
        <rFont val="HGPｺﾞｼｯｸM"/>
        <family val="0"/>
        <charset val="1"/>
      </rPr>
      <t xml:space="preserve">400m×12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HGPｺﾞｼｯｸM"/>
        <family val="0"/>
        <charset val="1"/>
      </rPr>
      <t xml:space="preserve">R200m</t>
    </r>
  </si>
  <si>
    <r>
      <rPr>
        <b val="true"/>
        <sz val="11"/>
        <color rgb="FF000000"/>
        <rFont val="HGPｺﾞｼｯｸM"/>
        <family val="0"/>
        <charset val="1"/>
      </rPr>
      <t xml:space="preserve">3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9/12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9/20</t>
    </r>
    <r>
      <rPr>
        <b val="true"/>
        <sz val="11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</si>
  <si>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30km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1:45</t>
    </r>
    <r>
      <rPr>
        <sz val="10"/>
        <color rgb="FF000000"/>
        <rFont val="WenQuanYi Zen Hei"/>
        <family val="2"/>
      </rPr>
      <t xml:space="preserve">目安）</t>
    </r>
  </si>
  <si>
    <r>
      <rPr>
        <sz val="10"/>
        <color rgb="FF000000"/>
        <rFont val="HGPｺﾞｼｯｸM"/>
        <family val="0"/>
        <charset val="1"/>
      </rPr>
      <t xml:space="preserve">(1200m+800m+400m)×3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A,B 64</t>
    </r>
    <r>
      <rPr>
        <sz val="10"/>
        <color rgb="FF000000"/>
        <rFont val="WenQuanYi Zen Hei"/>
        <family val="2"/>
      </rPr>
      <t xml:space="preserve">）</t>
    </r>
  </si>
  <si>
    <t xml:space="preserve">9/20</t>
  </si>
  <si>
    <r>
      <rPr>
        <sz val="10"/>
        <color rgb="FF000000"/>
        <rFont val="HGPｺﾞｼｯｸM"/>
        <family val="0"/>
        <charset val="1"/>
      </rPr>
      <t xml:space="preserve">400m×12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64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HGPｺﾞｼｯｸM"/>
        <family val="0"/>
        <charset val="1"/>
      </rPr>
      <t xml:space="preserve">R200m</t>
    </r>
  </si>
  <si>
    <r>
      <rPr>
        <b val="true"/>
        <sz val="14"/>
        <color rgb="FF000000"/>
        <rFont val="HGPｺﾞｼｯｸM"/>
        <family val="0"/>
        <charset val="1"/>
      </rPr>
      <t xml:space="preserve">2026</t>
    </r>
    <r>
      <rPr>
        <b val="true"/>
        <sz val="14"/>
        <color rgb="FF000000"/>
        <rFont val="WenQuanYi Zen Hei"/>
        <family val="2"/>
      </rPr>
      <t xml:space="preserve">年 夏合宿ポイント練習：出雲メンバー</t>
    </r>
    <r>
      <rPr>
        <b val="true"/>
        <sz val="14"/>
        <color rgb="FF000000"/>
        <rFont val="HGPｺﾞｼｯｸM"/>
        <family val="0"/>
        <charset val="1"/>
      </rPr>
      <t xml:space="preserve">6</t>
    </r>
    <r>
      <rPr>
        <b val="true"/>
        <sz val="14"/>
        <color rgb="FF000000"/>
        <rFont val="WenQuanYi Zen Hei"/>
        <family val="2"/>
      </rPr>
      <t xml:space="preserve">人の組・消化率</t>
    </r>
  </si>
  <si>
    <r>
      <rPr>
        <b val="true"/>
        <sz val="10"/>
        <rFont val="HGPｺﾞｼｯｸM"/>
        <family val="0"/>
        <charset val="1"/>
      </rPr>
      <t xml:space="preserve">2026</t>
    </r>
    <r>
      <rPr>
        <b val="true"/>
        <sz val="10"/>
        <rFont val="WenQuanYi Zen Hei"/>
        <family val="2"/>
      </rPr>
      <t xml:space="preserve">年（出雲 総合</t>
    </r>
    <r>
      <rPr>
        <b val="true"/>
        <sz val="10"/>
        <rFont val="HGPｺﾞｼｯｸM"/>
        <family val="0"/>
        <charset val="1"/>
      </rPr>
      <t xml:space="preserve">11</t>
    </r>
    <r>
      <rPr>
        <b val="true"/>
        <sz val="10"/>
        <rFont val="WenQuanYi Zen Hei"/>
        <family val="2"/>
      </rPr>
      <t xml:space="preserve">位）　メンバー：</t>
    </r>
    <r>
      <rPr>
        <b val="true"/>
        <sz val="10"/>
        <rFont val="HGPｺﾞｼｯｸM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区 石川浩輝／</t>
    </r>
    <r>
      <rPr>
        <b val="true"/>
        <sz val="10"/>
        <rFont val="HGPｺﾞｼｯｸM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区 鳥井健太／</t>
    </r>
    <r>
      <rPr>
        <b val="true"/>
        <sz val="10"/>
        <rFont val="HGPｺﾞｼｯｸM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区 飯田翔大／</t>
    </r>
    <r>
      <rPr>
        <b val="true"/>
        <sz val="10"/>
        <rFont val="HGPｺﾞｼｯｸM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区 小河原陽琉／</t>
    </r>
    <r>
      <rPr>
        <b val="true"/>
        <sz val="10"/>
        <rFont val="HGPｺﾞｼｯｸM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区 黒田然／</t>
    </r>
    <r>
      <rPr>
        <b val="true"/>
        <sz val="10"/>
        <rFont val="HGPｺﾞｼｯｸM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区 前川竜之将</t>
    </r>
  </si>
  <si>
    <r>
      <rPr>
        <b val="true"/>
        <sz val="11"/>
        <color rgb="FF000000"/>
        <rFont val="HGPｺﾞｼｯｸM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8/2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8/19</t>
    </r>
    <r>
      <rPr>
        <b val="true"/>
        <sz val="11"/>
        <color rgb="FF000000"/>
        <rFont val="WenQuanYi Zen Hei"/>
        <family val="2"/>
      </rPr>
      <t xml:space="preserve">）</t>
    </r>
  </si>
  <si>
    <t xml:space="preserve">石川</t>
  </si>
  <si>
    <t xml:space="preserve">前川</t>
  </si>
  <si>
    <t xml:space="preserve">8/6</t>
  </si>
  <si>
    <r>
      <rPr>
        <sz val="10"/>
        <color rgb="FF000000"/>
        <rFont val="HGPｺﾞｼｯｸM"/>
        <family val="0"/>
        <charset val="1"/>
      </rPr>
      <t xml:space="preserve">CC25km</t>
    </r>
    <r>
      <rPr>
        <sz val="10"/>
        <color rgb="FF000000"/>
        <rFont val="WenQuanYi Zen Hei"/>
        <family val="2"/>
      </rPr>
      <t xml:space="preserve">【</t>
    </r>
    <r>
      <rPr>
        <sz val="10"/>
        <color rgb="FF000000"/>
        <rFont val="HGPｺﾞｼｯｸM"/>
        <family val="0"/>
        <charset val="1"/>
      </rPr>
      <t xml:space="preserve">(485m×6+1003m×2+2000m)×3+485m×6+1003m</t>
    </r>
    <r>
      <rPr>
        <sz val="10"/>
        <color rgb="FF000000"/>
        <rFont val="WenQuanYi Zen Hei"/>
        <family val="2"/>
      </rPr>
      <t xml:space="preserve">】（</t>
    </r>
    <r>
      <rPr>
        <sz val="10"/>
        <color rgb="FF000000"/>
        <rFont val="HGPｺﾞｼｯｸM"/>
        <family val="0"/>
        <charset val="1"/>
      </rPr>
      <t xml:space="preserve">3:42→3:36→3:30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</si>
  <si>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CC21km(</t>
    </r>
    <r>
      <rPr>
        <sz val="10"/>
        <color rgb="FF000000"/>
        <rFont val="WenQuanYi Zen Hei"/>
        <family val="2"/>
      </rPr>
      <t xml:space="preserve">山の家</t>
    </r>
    <r>
      <rPr>
        <sz val="10"/>
        <color rgb="FF000000"/>
        <rFont val="HGPｺﾞｼｯｸM"/>
        <family val="0"/>
        <charset val="1"/>
      </rPr>
      <t xml:space="preserve">) 11:19/1:11:34 100%</t>
    </r>
  </si>
  <si>
    <r>
      <rPr>
        <sz val="10"/>
        <color rgb="FF000000"/>
        <rFont val="HGPｺﾞｼｯｸM"/>
        <family val="0"/>
        <charset val="1"/>
      </rPr>
      <t xml:space="preserve">A(</t>
    </r>
    <r>
      <rPr>
        <sz val="10"/>
        <color rgb="FF000000"/>
        <rFont val="WenQuanYi Zen Hei"/>
        <family val="2"/>
      </rPr>
      <t xml:space="preserve">中</t>
    </r>
    <r>
      <rPr>
        <sz val="10"/>
        <color rgb="FF000000"/>
        <rFont val="HGPｺﾞｼｯｸM"/>
        <family val="0"/>
        <charset val="1"/>
      </rPr>
      <t xml:space="preserve">×3) 70%</t>
    </r>
  </si>
  <si>
    <r>
      <rPr>
        <sz val="10"/>
        <color rgb="FF000000"/>
        <rFont val="HGPｺﾞｼｯｸM"/>
        <family val="0"/>
        <charset val="1"/>
      </rPr>
      <t xml:space="preserve">21km</t>
    </r>
    <r>
      <rPr>
        <sz val="10"/>
        <color rgb="FF000000"/>
        <rFont val="WenQuanYi Zen Hei"/>
        <family val="2"/>
      </rPr>
      <t xml:space="preserve">坂</t>
    </r>
    <r>
      <rPr>
        <sz val="10"/>
        <color rgb="FF000000"/>
        <rFont val="HGPｺﾞｼｯｸM"/>
        <family val="0"/>
        <charset val="1"/>
      </rPr>
      <t xml:space="preserve">PTT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3:36</t>
    </r>
    <r>
      <rPr>
        <sz val="10"/>
        <color rgb="FF000000"/>
        <rFont val="WenQuanYi Zen Hei"/>
        <family val="2"/>
      </rPr>
      <t xml:space="preserve">）</t>
    </r>
  </si>
  <si>
    <t xml:space="preserve">10:37/1:13:09 100%</t>
  </si>
  <si>
    <t xml:space="preserve">10:10/1:12:42 100%</t>
  </si>
  <si>
    <t xml:space="preserve">10:26/1:12:58 100%</t>
  </si>
  <si>
    <t xml:space="preserve">10:50/1:13:22 100%</t>
  </si>
  <si>
    <t xml:space="preserve">10:23/1:12:55 100%</t>
  </si>
  <si>
    <t xml:space="preserve">11:02/1:13:34 100%</t>
  </si>
  <si>
    <r>
      <rPr>
        <sz val="10"/>
        <color rgb="FF000000"/>
        <rFont val="HGPｺﾞｼｯｸM"/>
        <family val="0"/>
        <charset val="1"/>
      </rPr>
      <t xml:space="preserve">30km </t>
    </r>
    <r>
      <rPr>
        <sz val="10"/>
        <color rgb="FF000000"/>
        <rFont val="WenQuanYi Zen Hei"/>
        <family val="2"/>
      </rPr>
      <t xml:space="preserve">中</t>
    </r>
    <r>
      <rPr>
        <sz val="10"/>
        <color rgb="FF000000"/>
        <rFont val="HGPｺﾞｼｯｸM"/>
        <family val="0"/>
        <charset val="1"/>
      </rPr>
      <t xml:space="preserve">×4+5km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3:36→3:30</t>
    </r>
    <r>
      <rPr>
        <sz val="10"/>
        <color rgb="FF000000"/>
        <rFont val="WenQuanYi Zen Hei"/>
        <family val="2"/>
      </rPr>
      <t xml:space="preserve">）</t>
    </r>
  </si>
  <si>
    <t xml:space="preserve">8/16</t>
  </si>
  <si>
    <r>
      <rPr>
        <sz val="10"/>
        <color rgb="FF000000"/>
        <rFont val="HGPｺﾞｼｯｸM"/>
        <family val="0"/>
        <charset val="1"/>
      </rPr>
      <t xml:space="preserve">21km</t>
    </r>
    <r>
      <rPr>
        <sz val="10"/>
        <color rgb="FF000000"/>
        <rFont val="WenQuanYi Zen Hei"/>
        <family val="2"/>
      </rPr>
      <t xml:space="preserve">坂</t>
    </r>
    <r>
      <rPr>
        <sz val="10"/>
        <color rgb="FF000000"/>
        <rFont val="HGPｺﾞｼｯｸM"/>
        <family val="0"/>
        <charset val="1"/>
      </rPr>
      <t xml:space="preserve">PTT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3:36</t>
    </r>
    <r>
      <rPr>
        <sz val="10"/>
        <color rgb="FF000000"/>
        <rFont val="WenQuanYi Zen Hei"/>
        <family val="2"/>
      </rPr>
      <t xml:space="preserve">通し）</t>
    </r>
  </si>
  <si>
    <t xml:space="preserve">10:01/1:12:39 100%</t>
  </si>
  <si>
    <t xml:space="preserve">10:20/1:12:58 100%</t>
  </si>
  <si>
    <t xml:space="preserve">10:55/1:13:33 100%</t>
  </si>
  <si>
    <t xml:space="preserve">10:09/1:12:47 100%</t>
  </si>
  <si>
    <t xml:space="preserve">11:43/1:14:21 100%</t>
  </si>
  <si>
    <t xml:space="preserve">8/29</t>
  </si>
  <si>
    <r>
      <rPr>
        <sz val="10"/>
        <color rgb="FF000000"/>
        <rFont val="HGPｺﾞｼｯｸM"/>
        <family val="0"/>
        <charset val="1"/>
      </rPr>
      <t xml:space="preserve">30km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3:36→3:30</t>
    </r>
    <r>
      <rPr>
        <sz val="10"/>
        <color rgb="FF000000"/>
        <rFont val="WenQuanYi Zen Hei"/>
        <family val="2"/>
      </rPr>
      <t xml:space="preserve">）</t>
    </r>
  </si>
  <si>
    <t xml:space="preserve">8/31</t>
  </si>
  <si>
    <r>
      <rPr>
        <sz val="10"/>
        <color rgb="FF000000"/>
        <rFont val="HGPｺﾞｼｯｸM"/>
        <family val="0"/>
        <charset val="1"/>
      </rPr>
      <t xml:space="preserve">2km×4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5:40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HGPｺﾞｼｯｸM"/>
        <family val="0"/>
        <charset val="1"/>
      </rPr>
      <t xml:space="preserve">R2:00</t>
    </r>
  </si>
  <si>
    <r>
      <rPr>
        <sz val="10"/>
        <color rgb="FF000000"/>
        <rFont val="HGPｺﾞｼｯｸM"/>
        <family val="0"/>
        <charset val="1"/>
      </rPr>
      <t xml:space="preserve">3000m+12000m</t>
    </r>
    <r>
      <rPr>
        <sz val="10"/>
        <color rgb="FF000000"/>
        <rFont val="WenQuanYi Zen Hei"/>
        <family val="2"/>
      </rPr>
      <t xml:space="preserve">ビルドアップ（</t>
    </r>
    <r>
      <rPr>
        <sz val="10"/>
        <color rgb="FF000000"/>
        <rFont val="HGPｺﾞｼｯｸM"/>
        <family val="0"/>
        <charset val="1"/>
      </rPr>
      <t xml:space="preserve">8:20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3:30→2:55→</t>
    </r>
    <r>
      <rPr>
        <sz val="10"/>
        <color rgb="FF000000"/>
        <rFont val="WenQuanYi Zen Hei"/>
        <family val="2"/>
      </rPr>
      <t xml:space="preserve">フリー）</t>
    </r>
  </si>
  <si>
    <t xml:space="preserve">2:49.0 100%</t>
  </si>
  <si>
    <t xml:space="preserve">2:35.3 100%</t>
  </si>
  <si>
    <t xml:space="preserve">2:37.2 100%</t>
  </si>
  <si>
    <t xml:space="preserve">2:33.2 100%</t>
  </si>
  <si>
    <t xml:space="preserve">2:39.1 100%</t>
  </si>
  <si>
    <t xml:space="preserve">2:45.4 100%</t>
  </si>
  <si>
    <r>
      <rPr>
        <sz val="10"/>
        <color rgb="FF000000"/>
        <rFont val="HGPｺﾞｼｯｸM"/>
        <family val="0"/>
        <charset val="1"/>
      </rPr>
      <t xml:space="preserve">21km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3:30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</si>
  <si>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1"/>
        <color rgb="FF000000"/>
        <rFont val="HGPｺﾞｼｯｸM"/>
        <family val="0"/>
        <charset val="1"/>
      </rPr>
      <t xml:space="preserve">3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9/16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9/23</t>
    </r>
    <r>
      <rPr>
        <b val="true"/>
        <sz val="11"/>
        <color rgb="FF000000"/>
        <rFont val="WenQuanYi Zen Hei"/>
        <family val="2"/>
      </rPr>
      <t xml:space="preserve">）</t>
    </r>
  </si>
  <si>
    <t xml:space="preserve">9/16</t>
  </si>
  <si>
    <r>
      <rPr>
        <sz val="10"/>
        <color rgb="FF000000"/>
        <rFont val="HGPｺﾞｼｯｸM"/>
        <family val="0"/>
        <charset val="1"/>
      </rPr>
      <t xml:space="preserve">30km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1:45:00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</si>
  <si>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1000m×2+12000m+200m×5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2:40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3:20→3:10</t>
    </r>
    <r>
      <rPr>
        <sz val="10"/>
        <color rgb="FF000000"/>
        <rFont val="WenQuanYi Zen Hei"/>
        <family val="2"/>
      </rPr>
      <t xml:space="preserve">）</t>
    </r>
  </si>
  <si>
    <t xml:space="preserve">A/A1' 100%</t>
  </si>
  <si>
    <t xml:space="preserve">A/A2' 100%</t>
  </si>
  <si>
    <r>
      <rPr>
        <sz val="10"/>
        <color rgb="FF000000"/>
        <rFont val="HGPｺﾞｼｯｸM"/>
        <family val="0"/>
        <charset val="1"/>
      </rPr>
      <t xml:space="preserve">3000m×4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8:30-8:40-8:40-8:30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HGPｺﾞｼｯｸM"/>
        <family val="0"/>
        <charset val="1"/>
      </rPr>
      <t xml:space="preserve">R600m</t>
    </r>
  </si>
  <si>
    <t xml:space="preserve">A 90%</t>
  </si>
  <si>
    <t xml:space="preserve">9/23</t>
  </si>
  <si>
    <r>
      <rPr>
        <sz val="10"/>
        <color rgb="FF000000"/>
        <rFont val="HGPｺﾞｼｯｸM"/>
        <family val="0"/>
        <charset val="1"/>
      </rPr>
      <t xml:space="preserve">400m×6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64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HGPｺﾞｼｯｸM"/>
        <family val="0"/>
        <charset val="1"/>
      </rPr>
      <t xml:space="preserve">R100m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</si>
</sst>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\+0.0;\-0.0;0"/>
    <numFmt numFmtId="167" formatCode="[m]:ss.0"/>
    <numFmt numFmtId="168" formatCode="\+0.0%;\-0.0%"/>
    <numFmt numFmtId="169" formatCode="0.0"/>
    <numFmt numFmtId="170" formatCode="0%"/>
    <numFmt numFmtId="171" formatCode="0.0%"/>
    <numFmt numFmtId="172" formatCode="0.00"/>
    <numFmt numFmtId="173" formatCode="m/d"/>
    <numFmt numFmtId="174" formatCode="[m]:ss"/>
    <numFmt numFmtId="175" formatCode="[m]:ss.00"/>
    <numFmt numFmtId="176" formatCode="\+0.0%;\-0.0%;0.0%"/>
  </numFmts>
  <fonts count="22">
    <font>
      <sz val="11"/>
      <color theme="1"/>
      <name val="HGPｺﾞｼｯｸM"/>
      <family val="2"/>
      <charset val="1"/>
    </font>
    <font>
      <sz val="10"/>
      <name val="HGPｺﾞｼｯｸM"/>
      <family val="0"/>
    </font>
    <font>
      <sz val="10"/>
      <name val="HGPｺﾞｼｯｸM"/>
      <family val="0"/>
    </font>
    <font>
      <sz val="10"/>
      <name val="HGPｺﾞｼｯｸM"/>
      <family val="0"/>
    </font>
    <font>
      <b val="true"/>
      <sz val="16"/>
      <color rgb="FF000000"/>
      <name val="HGPｺﾞｼｯｸM"/>
      <family val="2"/>
    </font>
    <font>
      <b val="true"/>
      <sz val="16"/>
      <color rgb="FF000000"/>
      <name val="HGPｺﾞｼｯｸM"/>
      <family val="0"/>
      <charset val="1"/>
    </font>
    <font>
      <sz val="10"/>
      <name val="HGPｺﾞｼｯｸM"/>
      <family val="2"/>
    </font>
    <font>
      <sz val="10"/>
      <name val="HGPｺﾞｼｯｸM"/>
      <family val="0"/>
      <charset val="1"/>
    </font>
    <font>
      <b val="true"/>
      <sz val="12"/>
      <color rgb="FF000000"/>
      <name val="HGPｺﾞｼｯｸM"/>
      <family val="2"/>
    </font>
    <font>
      <b val="true"/>
      <sz val="10"/>
      <name val="HGPｺﾞｼｯｸM"/>
      <family val="2"/>
    </font>
    <font>
      <sz val="10"/>
      <color rgb="FF000000"/>
      <name val="HGPｺﾞｼｯｸM"/>
      <family val="2"/>
    </font>
    <font>
      <sz val="10"/>
      <color rgb="FF000000"/>
      <name val="HGPｺﾞｼｯｸM"/>
      <family val="0"/>
      <charset val="1"/>
    </font>
    <font>
      <b val="true"/>
      <sz val="10"/>
      <name val="HGPｺﾞｼｯｸM"/>
      <family val="0"/>
      <charset val="1"/>
    </font>
    <font>
      <b val="true"/>
      <sz val="14"/>
      <color rgb="FF000000"/>
      <name val="HGPｺﾞｼｯｸM"/>
      <family val="2"/>
    </font>
    <font>
      <b val="true"/>
      <sz val="14"/>
      <color rgb="FF000000"/>
      <name val="HGPｺﾞｼｯｸM"/>
      <family val="0"/>
      <charset val="1"/>
    </font>
    <font>
      <sz val="9"/>
      <color rgb="FF000000"/>
      <name val="HGPｺﾞｼｯｸM"/>
      <family val="2"/>
    </font>
    <font>
      <sz val="9"/>
      <color rgb="FF000000"/>
      <name val="HGPｺﾞｼｯｸM"/>
      <family val="0"/>
      <charset val="1"/>
    </font>
    <font>
      <b val="true"/>
      <sz val="10"/>
      <color rgb="FF000000"/>
      <name val="HGPｺﾞｼｯｸM"/>
      <family val="2"/>
    </font>
    <font>
      <b val="true"/>
      <sz val="10"/>
      <color rgb="FF000000"/>
      <name val="HGPｺﾞｼｯｸM"/>
      <family val="0"/>
      <charset val="1"/>
    </font>
    <font>
      <b val="true"/>
      <sz val="11"/>
      <color rgb="FF000000"/>
      <name val="HGPｺﾞｼｯｸM"/>
      <family val="2"/>
    </font>
    <font>
      <b val="true"/>
      <sz val="11"/>
      <color rgb="FF000000"/>
      <name val="HGPｺﾞｼｯｸM"/>
      <family val="0"/>
      <charset val="1"/>
    </font>
    <font>
      <sz val="10"/>
      <name val="HGPｺﾞｼｯｸM"/>
      <family val="2"/>
    </font>
  </fonts>
  <fills count="5">
    <fill>
      <patternFill patternType="none"/>
    </fill>
    <fill>
      <patternFill patternType="gray125"/>
    </fill>
    <fill>
      <patternFill patternType="solid">
        <fgColor rgb="FFA9D08E"/>
        <bgColor rgb="FFBFBFBF"/>
      </patternFill>
    </fill>
    <fill>
      <patternFill patternType="solid">
        <fgColor rgb="FFE8F1EC"/>
        <bgColor rgb="FFFCE4D6"/>
      </patternFill>
    </fill>
    <fill>
      <patternFill patternType="solid">
        <fgColor rgb="FFFCE4D6"/>
        <bgColor rgb="FFE8F1E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4">
    <dxf>
      <fill>
        <patternFill patternType="solid">
          <fgColor rgb="FFA9D08E"/>
          <bgColor rgb="FF000000"/>
        </patternFill>
      </fill>
    </dxf>
    <dxf>
      <fill>
        <patternFill patternType="solid">
          <fgColor rgb="FFE8F1E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A9395"/>
          <bgColor rgb="FF000000"/>
        </patternFill>
      </fill>
    </dxf>
    <dxf>
      <fill>
        <patternFill patternType="solid">
          <fgColor rgb="FFFB9EA0"/>
          <bgColor rgb="FF000000"/>
        </patternFill>
      </fill>
    </dxf>
    <dxf>
      <fill>
        <patternFill patternType="solid">
          <fgColor rgb="FFFBA0A1"/>
          <bgColor rgb="FF000000"/>
        </patternFill>
      </fill>
    </dxf>
    <dxf>
      <fill>
        <patternFill patternType="solid">
          <fgColor rgb="FFFCACAD"/>
          <bgColor rgb="FF000000"/>
        </patternFill>
      </fill>
    </dxf>
    <dxf>
      <fill>
        <patternFill patternType="solid">
          <fgColor rgb="FFFCB2B3"/>
          <bgColor rgb="FF000000"/>
        </patternFill>
      </fill>
    </dxf>
    <dxf>
      <fill>
        <patternFill patternType="solid">
          <fgColor rgb="FFFCB5B6"/>
          <bgColor rgb="FF000000"/>
        </patternFill>
      </fill>
    </dxf>
    <dxf>
      <fill>
        <patternFill patternType="solid">
          <fgColor rgb="FFFCBDBE"/>
          <bgColor rgb="FF000000"/>
        </patternFill>
      </fill>
    </dxf>
    <dxf>
      <fill>
        <patternFill patternType="solid">
          <fgColor rgb="FFFDD2D2"/>
          <bgColor rgb="FF000000"/>
        </patternFill>
      </fill>
    </dxf>
    <dxf>
      <fill>
        <patternFill patternType="solid">
          <fgColor rgb="FFFDD2D3"/>
          <bgColor rgb="FF000000"/>
        </patternFill>
      </fill>
    </dxf>
    <dxf>
      <fill>
        <patternFill patternType="solid">
          <fgColor rgb="FFFDD3D4"/>
          <bgColor rgb="FF000000"/>
        </patternFill>
      </fill>
    </dxf>
    <dxf>
      <fill>
        <patternFill patternType="solid">
          <fgColor rgb="FFFED6D7"/>
          <bgColor rgb="FF000000"/>
        </patternFill>
      </fill>
    </dxf>
    <dxf>
      <fill>
        <patternFill patternType="solid">
          <fgColor rgb="FFFED9DA"/>
          <bgColor rgb="FF000000"/>
        </patternFill>
      </fill>
    </dxf>
    <dxf>
      <fill>
        <patternFill patternType="solid">
          <fgColor rgb="FFFEDBDC"/>
          <bgColor rgb="FF000000"/>
        </patternFill>
      </fill>
    </dxf>
    <dxf>
      <fill>
        <patternFill patternType="solid">
          <fgColor rgb="FFFEDCDD"/>
          <bgColor rgb="FF000000"/>
        </patternFill>
      </fill>
    </dxf>
    <dxf>
      <fill>
        <patternFill patternType="solid">
          <fgColor rgb="FFFEE7E7"/>
          <bgColor rgb="FF000000"/>
        </patternFill>
      </fill>
    </dxf>
    <dxf>
      <fill>
        <patternFill patternType="solid">
          <fgColor rgb="FFFEE7E8"/>
          <bgColor rgb="FF000000"/>
        </patternFill>
      </fill>
    </dxf>
    <dxf>
      <fill>
        <patternFill patternType="solid">
          <fgColor rgb="FFFFEAEB"/>
          <bgColor rgb="FF000000"/>
        </patternFill>
      </fill>
    </dxf>
    <dxf>
      <fill>
        <patternFill patternType="solid">
          <fgColor rgb="FFFFF0F1"/>
          <bgColor rgb="FF000000"/>
        </patternFill>
      </fill>
    </dxf>
    <dxf>
      <fill>
        <patternFill patternType="solid">
          <fgColor rgb="FFFFF9F9"/>
          <bgColor rgb="FF000000"/>
        </patternFill>
      </fill>
    </dxf>
    <dxf>
      <fill>
        <patternFill patternType="solid">
          <fgColor rgb="FFFFFCFC"/>
          <bgColor rgb="FF000000"/>
        </patternFill>
      </fill>
    </dxf>
    <dxf>
      <fill>
        <patternFill patternType="solid">
          <fgColor rgb="FFFFFEFE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HGPｺﾞｼｯｸM"/>
        <charset val="1"/>
        <family val="0"/>
        <b val="1"/>
        <color rgb="FF000000"/>
      </font>
      <fill>
        <patternFill>
          <bgColor rgb="FFFFEB9C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6C87D"/>
          <bgColor rgb="FF000000"/>
        </patternFill>
      </fill>
    </dxf>
    <dxf>
      <fill>
        <patternFill patternType="solid">
          <fgColor rgb="FFA5D17E"/>
          <bgColor rgb="FF000000"/>
        </patternFill>
      </fill>
    </dxf>
    <dxf>
      <fill>
        <patternFill patternType="solid">
          <fgColor rgb="FFA7D17E"/>
          <bgColor rgb="FF000000"/>
        </patternFill>
      </fill>
    </dxf>
    <dxf>
      <fill>
        <patternFill patternType="solid">
          <fgColor rgb="FFA9D27F"/>
          <bgColor rgb="FF000000"/>
        </patternFill>
      </fill>
    </dxf>
    <dxf>
      <fill>
        <patternFill patternType="solid">
          <fgColor rgb="FFB0D47F"/>
          <bgColor rgb="FF000000"/>
        </patternFill>
      </fill>
    </dxf>
    <dxf>
      <fill>
        <patternFill patternType="solid">
          <fgColor rgb="FFBED880"/>
          <bgColor rgb="FF000000"/>
        </patternFill>
      </fill>
    </dxf>
    <dxf>
      <fill>
        <patternFill patternType="solid">
          <fgColor rgb="FFC4DA80"/>
          <bgColor rgb="FF000000"/>
        </patternFill>
      </fill>
    </dxf>
    <dxf>
      <fill>
        <patternFill patternType="solid">
          <fgColor rgb="FFD4DE81"/>
          <bgColor rgb="FF000000"/>
        </patternFill>
      </fill>
    </dxf>
    <dxf>
      <fill>
        <patternFill patternType="solid">
          <fgColor rgb="FFE4E382"/>
          <bgColor rgb="FF000000"/>
        </patternFill>
      </fill>
    </dxf>
    <dxf>
      <fill>
        <patternFill patternType="solid">
          <fgColor rgb="FFEBE582"/>
          <bgColor rgb="FF000000"/>
        </patternFill>
      </fill>
    </dxf>
    <dxf>
      <fill>
        <patternFill patternType="solid">
          <fgColor rgb="FFECE582"/>
          <bgColor rgb="FF000000"/>
        </patternFill>
      </fill>
    </dxf>
    <dxf>
      <fill>
        <patternFill patternType="solid">
          <fgColor rgb="FFF4E783"/>
          <bgColor rgb="FF000000"/>
        </patternFill>
      </fill>
    </dxf>
    <dxf>
      <fill>
        <patternFill patternType="solid">
          <fgColor rgb="FFF9716D"/>
          <bgColor rgb="FF000000"/>
        </patternFill>
      </fill>
    </dxf>
    <dxf>
      <fill>
        <patternFill patternType="solid">
          <fgColor rgb="FFFA8871"/>
          <bgColor rgb="FF000000"/>
        </patternFill>
      </fill>
    </dxf>
    <dxf>
      <fill>
        <patternFill patternType="solid">
          <fgColor rgb="FFFB9D75"/>
          <bgColor rgb="FF000000"/>
        </patternFill>
      </fill>
    </dxf>
    <dxf>
      <fill>
        <patternFill patternType="solid">
          <fgColor rgb="FFFCA176"/>
          <bgColor rgb="FF000000"/>
        </patternFill>
      </fill>
    </dxf>
    <dxf>
      <fill>
        <patternFill patternType="solid">
          <fgColor rgb="FFFCA377"/>
          <bgColor rgb="FF000000"/>
        </patternFill>
      </fill>
    </dxf>
    <dxf>
      <fill>
        <patternFill patternType="solid">
          <fgColor rgb="FFFCA677"/>
          <bgColor rgb="FF000000"/>
        </patternFill>
      </fill>
    </dxf>
    <dxf>
      <fill>
        <patternFill patternType="solid">
          <fgColor rgb="FFFCA978"/>
          <bgColor rgb="FF000000"/>
        </patternFill>
      </fill>
    </dxf>
    <dxf>
      <fill>
        <patternFill patternType="solid">
          <fgColor rgb="FFFDB97B"/>
          <bgColor rgb="FF000000"/>
        </patternFill>
      </fill>
    </dxf>
    <dxf>
      <fill>
        <patternFill patternType="solid">
          <fgColor rgb="FFFDC67D"/>
          <bgColor rgb="FF000000"/>
        </patternFill>
      </fill>
    </dxf>
    <dxf>
      <fill>
        <patternFill patternType="solid">
          <fgColor rgb="FFFDEA83"/>
          <bgColor rgb="FF000000"/>
        </patternFill>
      </fill>
    </dxf>
    <dxf>
      <fill>
        <patternFill patternType="solid">
          <fgColor rgb="FFFED07F"/>
          <bgColor rgb="FF000000"/>
        </patternFill>
      </fill>
    </dxf>
    <dxf>
      <fill>
        <patternFill patternType="solid">
          <fgColor rgb="FFFED17F"/>
          <bgColor rgb="FF000000"/>
        </patternFill>
      </fill>
    </dxf>
    <dxf>
      <fill>
        <patternFill patternType="solid">
          <fgColor rgb="FFFED380"/>
          <bgColor rgb="FF000000"/>
        </patternFill>
      </fill>
    </dxf>
    <dxf>
      <fill>
        <patternFill patternType="solid">
          <fgColor rgb="FFFED881"/>
          <bgColor rgb="FF000000"/>
        </patternFill>
      </fill>
    </dxf>
    <dxf>
      <fill>
        <patternFill patternType="solid">
          <fgColor rgb="FF71C27B"/>
          <bgColor rgb="FF000000"/>
        </patternFill>
      </fill>
    </dxf>
    <dxf>
      <fill>
        <patternFill patternType="solid">
          <fgColor rgb="FF96CC7D"/>
          <bgColor rgb="FF000000"/>
        </patternFill>
      </fill>
    </dxf>
    <dxf>
      <fill>
        <patternFill patternType="solid">
          <fgColor rgb="FFB1D47F"/>
          <bgColor rgb="FF000000"/>
        </patternFill>
      </fill>
    </dxf>
    <dxf>
      <fill>
        <patternFill patternType="solid">
          <fgColor rgb="FFC9DB80"/>
          <bgColor rgb="FF000000"/>
        </patternFill>
      </fill>
    </dxf>
    <dxf>
      <fill>
        <patternFill patternType="solid">
          <fgColor rgb="FFCBDC81"/>
          <bgColor rgb="FF000000"/>
        </patternFill>
      </fill>
    </dxf>
    <dxf>
      <fill>
        <patternFill patternType="solid">
          <fgColor rgb="FFD3DE81"/>
          <bgColor rgb="FF000000"/>
        </patternFill>
      </fill>
    </dxf>
    <dxf>
      <fill>
        <patternFill patternType="solid">
          <fgColor rgb="FFD8DF81"/>
          <bgColor rgb="FF000000"/>
        </patternFill>
      </fill>
    </dxf>
    <dxf>
      <fill>
        <patternFill patternType="solid">
          <fgColor rgb="FFDDE182"/>
          <bgColor rgb="FF000000"/>
        </patternFill>
      </fill>
    </dxf>
    <dxf>
      <fill>
        <patternFill patternType="solid">
          <fgColor rgb="FFFB9774"/>
          <bgColor rgb="FF000000"/>
        </patternFill>
      </fill>
    </dxf>
    <dxf>
      <fill>
        <patternFill patternType="solid">
          <fgColor rgb="FFFB9975"/>
          <bgColor rgb="FF000000"/>
        </patternFill>
      </fill>
    </dxf>
    <dxf>
      <fill>
        <patternFill patternType="solid">
          <fgColor rgb="FFFCA878"/>
          <bgColor rgb="FF000000"/>
        </patternFill>
      </fill>
    </dxf>
    <dxf>
      <fill>
        <patternFill patternType="solid">
          <fgColor rgb="FFFCB37A"/>
          <bgColor rgb="FF000000"/>
        </patternFill>
      </fill>
    </dxf>
    <dxf>
      <fill>
        <patternFill patternType="solid">
          <fgColor rgb="FFFDC17C"/>
          <bgColor rgb="FF000000"/>
        </patternFill>
      </fill>
    </dxf>
    <dxf>
      <fill>
        <patternFill patternType="solid">
          <fgColor rgb="FFFED781"/>
          <bgColor rgb="FF000000"/>
        </patternFill>
      </fill>
    </dxf>
    <dxf>
      <fill>
        <patternFill patternType="solid">
          <fgColor rgb="FFFED981"/>
          <bgColor rgb="FF000000"/>
        </patternFill>
      </fill>
    </dxf>
    <dxf>
      <fill>
        <patternFill patternType="solid">
          <fgColor rgb="FFFEEA83"/>
          <bgColor rgb="FF000000"/>
        </patternFill>
      </fill>
    </dxf>
    <dxf>
      <fill>
        <patternFill patternType="solid">
          <fgColor rgb="FFFFE684"/>
          <bgColor rgb="FF000000"/>
        </patternFill>
      </fill>
    </dxf>
    <dxf>
      <fill>
        <patternFill patternType="solid">
          <fgColor rgb="FFFFEA84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8ACA7E"/>
          <bgColor rgb="FF000000"/>
        </patternFill>
      </fill>
    </dxf>
    <dxf>
      <fill>
        <patternFill patternType="solid">
          <fgColor rgb="FF97CD7E"/>
          <bgColor rgb="FF000000"/>
        </patternFill>
      </fill>
    </dxf>
    <dxf>
      <fill>
        <patternFill patternType="solid">
          <fgColor rgb="FFBCD881"/>
          <bgColor rgb="FF000000"/>
        </patternFill>
      </fill>
    </dxf>
    <dxf>
      <fill>
        <patternFill patternType="solid">
          <fgColor rgb="FFBED981"/>
          <bgColor rgb="FF000000"/>
        </patternFill>
      </fill>
    </dxf>
    <dxf>
      <fill>
        <patternFill patternType="solid">
          <fgColor rgb="FFFCB579"/>
          <bgColor rgb="FF000000"/>
        </patternFill>
      </fill>
    </dxf>
    <dxf>
      <fill>
        <patternFill patternType="solid">
          <fgColor rgb="FFFEDB80"/>
          <bgColor rgb="FF000000"/>
        </patternFill>
      </fill>
    </dxf>
    <dxf>
      <fill>
        <patternFill patternType="solid">
          <fgColor rgb="FFFEE382"/>
          <bgColor rgb="FF000000"/>
        </patternFill>
      </fill>
    </dxf>
    <dxf>
      <fill>
        <patternFill patternType="solid">
          <fgColor rgb="FF70C27C"/>
          <bgColor rgb="FF000000"/>
        </patternFill>
      </fill>
    </dxf>
    <dxf>
      <fill>
        <patternFill patternType="solid">
          <fgColor rgb="FF6EC27C"/>
          <bgColor rgb="FF000000"/>
        </patternFill>
      </fill>
    </dxf>
    <dxf>
      <fill>
        <patternFill patternType="solid">
          <fgColor rgb="FFE5E483"/>
          <bgColor rgb="FF000000"/>
        </patternFill>
      </fill>
    </dxf>
    <dxf>
      <fill>
        <patternFill patternType="solid">
          <fgColor rgb="FF67C07C"/>
          <bgColor rgb="FF000000"/>
        </patternFill>
      </fill>
    </dxf>
    <dxf>
      <fill>
        <patternFill patternType="solid">
          <fgColor rgb="FF68C07C"/>
          <bgColor rgb="FF000000"/>
        </patternFill>
      </fill>
    </dxf>
    <dxf>
      <fill>
        <patternFill patternType="solid">
          <fgColor rgb="FF75C37C"/>
          <bgColor rgb="FF000000"/>
        </patternFill>
      </fill>
    </dxf>
    <dxf>
      <fill>
        <patternFill patternType="solid">
          <fgColor rgb="FF7DC67D"/>
          <bgColor rgb="FF000000"/>
        </patternFill>
      </fill>
    </dxf>
    <dxf>
      <fill>
        <patternFill patternType="solid">
          <fgColor rgb="FF81C77D"/>
          <bgColor rgb="FF000000"/>
        </patternFill>
      </fill>
    </dxf>
    <dxf>
      <fill>
        <patternFill patternType="solid">
          <fgColor rgb="FF82C77D"/>
          <bgColor rgb="FF000000"/>
        </patternFill>
      </fill>
    </dxf>
    <dxf>
      <fill>
        <patternFill patternType="solid">
          <fgColor rgb="FF8FCB7E"/>
          <bgColor rgb="FF000000"/>
        </patternFill>
      </fill>
    </dxf>
    <dxf>
      <fill>
        <patternFill patternType="solid">
          <fgColor rgb="FF9ECF7F"/>
          <bgColor rgb="FF000000"/>
        </patternFill>
      </fill>
    </dxf>
    <dxf>
      <fill>
        <patternFill patternType="solid">
          <fgColor rgb="FFA6D27F"/>
          <bgColor rgb="FF000000"/>
        </patternFill>
      </fill>
    </dxf>
  </dxfs>
  <colors>
    <indexedColors>
      <rgbColor rgb="FF000000"/>
      <rgbColor rgb="FFE8F1E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A9D08E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A99B"/>
      <rgbColor rgb="FF003366"/>
      <rgbColor rgb="FF339966"/>
      <rgbColor rgb="FF003300"/>
      <rgbColor rgb="FF333300"/>
      <rgbColor rgb="FF993300"/>
      <rgbColor rgb="FF993366"/>
      <rgbColor rgb="FF333399"/>
      <rgbColor rgb="FF1E59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5945"/>
    <pageSetUpPr fitToPage="true"/>
  </sheetPr>
  <dimension ref="A1:B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</row>
    <row r="6" customFormat="false" ht="15" hidden="false" customHeight="false" outlineLevel="0" collapsed="false">
      <c r="A6" s="4" t="s">
        <v>5</v>
      </c>
      <c r="B6" s="5" t="s">
        <v>6</v>
      </c>
    </row>
    <row r="7" customFormat="false" ht="15" hidden="false" customHeight="false" outlineLevel="0" collapsed="false">
      <c r="A7" s="6" t="s">
        <v>7</v>
      </c>
      <c r="B7" s="5" t="s">
        <v>8</v>
      </c>
    </row>
    <row r="8" customFormat="false" ht="15" hidden="false" customHeight="false" outlineLevel="0" collapsed="false">
      <c r="A8" s="4" t="s">
        <v>9</v>
      </c>
      <c r="B8" s="5" t="s">
        <v>10</v>
      </c>
    </row>
    <row r="9" customFormat="false" ht="15" hidden="false" customHeight="false" outlineLevel="0" collapsed="false">
      <c r="A9" s="4" t="s">
        <v>11</v>
      </c>
      <c r="B9" s="7" t="s">
        <v>12</v>
      </c>
    </row>
    <row r="10" customFormat="false" ht="15" hidden="false" customHeight="false" outlineLevel="0" collapsed="false">
      <c r="A10" s="4" t="s">
        <v>13</v>
      </c>
      <c r="B10" s="5" t="s">
        <v>14</v>
      </c>
    </row>
    <row r="11" customFormat="false" ht="15" hidden="false" customHeight="false" outlineLevel="0" collapsed="false">
      <c r="A11" s="4" t="s">
        <v>15</v>
      </c>
      <c r="B11" s="5" t="s">
        <v>16</v>
      </c>
    </row>
    <row r="12" customFormat="false" ht="15" hidden="false" customHeight="false" outlineLevel="0" collapsed="false">
      <c r="A12" s="4" t="s">
        <v>17</v>
      </c>
      <c r="B12" s="7" t="s">
        <v>18</v>
      </c>
    </row>
    <row r="14" customFormat="false" ht="15" hidden="false" customHeight="false" outlineLevel="0" collapsed="false">
      <c r="A14" s="3" t="s">
        <v>19</v>
      </c>
    </row>
    <row r="15" customFormat="false" ht="15" hidden="false" customHeight="false" outlineLevel="0" collapsed="false">
      <c r="A15" s="4" t="s">
        <v>20</v>
      </c>
      <c r="B15" s="5" t="s">
        <v>21</v>
      </c>
    </row>
    <row r="16" customFormat="false" ht="15" hidden="false" customHeight="false" outlineLevel="0" collapsed="false">
      <c r="A16" s="4" t="s">
        <v>22</v>
      </c>
      <c r="B16" s="5" t="s">
        <v>23</v>
      </c>
    </row>
    <row r="17" customFormat="false" ht="15" hidden="false" customHeight="false" outlineLevel="0" collapsed="false">
      <c r="A17" s="4" t="s">
        <v>24</v>
      </c>
      <c r="B17" s="5" t="s">
        <v>25</v>
      </c>
    </row>
    <row r="18" customFormat="false" ht="15" hidden="false" customHeight="false" outlineLevel="0" collapsed="false">
      <c r="A18" s="4" t="s">
        <v>26</v>
      </c>
      <c r="B18" s="5" t="s">
        <v>27</v>
      </c>
    </row>
    <row r="19" customFormat="false" ht="26.85" hidden="false" customHeight="false" outlineLevel="0" collapsed="false">
      <c r="A19" s="4" t="s">
        <v>28</v>
      </c>
      <c r="B19" s="5" t="s">
        <v>29</v>
      </c>
    </row>
    <row r="20" customFormat="false" ht="15" hidden="false" customHeight="false" outlineLevel="0" collapsed="false">
      <c r="A20" s="4" t="s">
        <v>30</v>
      </c>
      <c r="B20" s="5" t="s">
        <v>31</v>
      </c>
    </row>
    <row r="22" customFormat="false" ht="15" hidden="false" customHeight="false" outlineLevel="0" collapsed="false">
      <c r="A22" s="3" t="s">
        <v>32</v>
      </c>
    </row>
    <row r="23" customFormat="false" ht="15" hidden="false" customHeight="false" outlineLevel="0" collapsed="false">
      <c r="A23" s="8" t="s">
        <v>33</v>
      </c>
      <c r="B23" s="7" t="s">
        <v>34</v>
      </c>
    </row>
    <row r="24" customFormat="false" ht="15" hidden="false" customHeight="false" outlineLevel="0" collapsed="false">
      <c r="A24" s="8" t="s">
        <v>33</v>
      </c>
      <c r="B24" s="5" t="s">
        <v>35</v>
      </c>
    </row>
    <row r="25" customFormat="false" ht="15" hidden="false" customHeight="false" outlineLevel="0" collapsed="false">
      <c r="A25" s="8" t="s">
        <v>33</v>
      </c>
      <c r="B25" s="7" t="s">
        <v>36</v>
      </c>
    </row>
    <row r="26" customFormat="false" ht="26.85" hidden="false" customHeight="false" outlineLevel="0" collapsed="false">
      <c r="A26" s="8" t="s">
        <v>33</v>
      </c>
      <c r="B26" s="7" t="s">
        <v>37</v>
      </c>
    </row>
    <row r="27" customFormat="false" ht="15" hidden="false" customHeight="false" outlineLevel="0" collapsed="false">
      <c r="A27" s="8" t="s">
        <v>33</v>
      </c>
      <c r="B27" s="5" t="s">
        <v>38</v>
      </c>
    </row>
    <row r="29" customFormat="false" ht="15" hidden="false" customHeight="false" outlineLevel="0" collapsed="false">
      <c r="A29" s="3" t="s">
        <v>39</v>
      </c>
    </row>
    <row r="30" customFormat="false" ht="15" hidden="false" customHeight="false" outlineLevel="0" collapsed="false">
      <c r="A30" s="8" t="s">
        <v>33</v>
      </c>
      <c r="B30" s="7" t="s">
        <v>40</v>
      </c>
    </row>
    <row r="31" customFormat="false" ht="15" hidden="false" customHeight="false" outlineLevel="0" collapsed="false">
      <c r="A31" s="8" t="s">
        <v>33</v>
      </c>
      <c r="B31" s="7" t="s">
        <v>41</v>
      </c>
    </row>
    <row r="32" customFormat="false" ht="15" hidden="false" customHeight="false" outlineLevel="0" collapsed="false">
      <c r="A32" s="8" t="s">
        <v>33</v>
      </c>
      <c r="B32" s="7" t="s">
        <v>42</v>
      </c>
    </row>
    <row r="33" customFormat="false" ht="15" hidden="false" customHeight="false" outlineLevel="0" collapsed="false">
      <c r="A33" s="8" t="s">
        <v>33</v>
      </c>
      <c r="B33" s="7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5945"/>
    <pageSetUpPr fitToPage="true"/>
  </sheetPr>
  <dimension ref="A1:Q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4" min="3" style="0" width="9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13" min="7" style="0" width="9"/>
    <col collapsed="false" customWidth="true" hidden="false" outlineLevel="0" max="14" min="14" style="0" width="8"/>
    <col collapsed="false" customWidth="true" hidden="false" outlineLevel="0" max="16" min="15" style="0" width="10"/>
    <col collapsed="false" customWidth="true" hidden="false" outlineLevel="0" max="17" min="17" style="0" width="9"/>
  </cols>
  <sheetData>
    <row r="1" customFormat="false" ht="19.4" hidden="false" customHeight="false" outlineLevel="0" collapsed="false">
      <c r="A1" s="9" t="s">
        <v>44</v>
      </c>
    </row>
    <row r="2" customFormat="false" ht="30" hidden="false" customHeight="true" outlineLevel="0" collapsed="false">
      <c r="A2" s="10" t="s">
        <v>45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</row>
    <row r="4" customFormat="false" ht="48" hidden="false" customHeight="true" outlineLevel="0" collapsed="false">
      <c r="A4" s="11" t="s">
        <v>46</v>
      </c>
      <c r="B4" s="11" t="s">
        <v>47</v>
      </c>
      <c r="C4" s="12" t="s">
        <v>48</v>
      </c>
      <c r="D4" s="12" t="s">
        <v>49</v>
      </c>
      <c r="E4" s="11" t="s">
        <v>50</v>
      </c>
      <c r="F4" s="11" t="s">
        <v>51</v>
      </c>
      <c r="G4" s="11" t="s">
        <v>52</v>
      </c>
      <c r="H4" s="11" t="s">
        <v>53</v>
      </c>
      <c r="I4" s="12" t="s">
        <v>54</v>
      </c>
      <c r="J4" s="11" t="s">
        <v>55</v>
      </c>
      <c r="K4" s="11" t="s">
        <v>56</v>
      </c>
      <c r="L4" s="11" t="s">
        <v>57</v>
      </c>
      <c r="M4" s="11" t="s">
        <v>58</v>
      </c>
      <c r="N4" s="12" t="s">
        <v>59</v>
      </c>
      <c r="O4" s="12" t="s">
        <v>60</v>
      </c>
      <c r="P4" s="11" t="s">
        <v>61</v>
      </c>
      <c r="Q4" s="12" t="s">
        <v>62</v>
      </c>
    </row>
    <row r="5" customFormat="false" ht="15" hidden="false" customHeight="false" outlineLevel="0" collapsed="false">
      <c r="A5" s="13" t="s">
        <v>63</v>
      </c>
      <c r="B5" s="14" t="n">
        <v>4</v>
      </c>
      <c r="C5" s="15" t="n">
        <f aca="false">IFERROR(AVERAGEIFS(出雲区間記録!$M$5:$M$34,出雲区間記録!$A$5:$A$34,A5,出雲区間記録!$B$5:$B$34,"&lt;6"),"")</f>
        <v>17.26</v>
      </c>
      <c r="D5" s="15" t="n">
        <f aca="false">IFERROR(AVERAGEIFS(出雲区間記録!$M$5:$M$34,出雲区間記録!$A$5:$A$34,A5,出雲区間記録!$B$5:$B$34,6),"")</f>
        <v>23.5</v>
      </c>
      <c r="E5" s="16" t="n">
        <f aca="false">IFERROR(AVERAGEIFS(5000m比較!$D$5:$D$34,5000m比較!$A$5:$A$34,A5),"")</f>
        <v>0.00967008101851852</v>
      </c>
      <c r="F5" s="17" t="n">
        <f aca="false">IFERROR(AVERAGEIFS(5000m比較!$K$5:$K$34,5000m比較!$A$5:$A$34,A5),"")</f>
        <v>0.0376556760014642</v>
      </c>
      <c r="G5" s="18" t="str">
        <f aca="false">IFERROR(AVERAGEIFS(合宿走行距離!$C$5:$C$28,合宿走行距離!$A$5:$A$28,A5,合宿走行距離!$G$5:$G$28,"&gt;0"),"")</f>
        <v/>
      </c>
      <c r="H5" s="8"/>
      <c r="I5" s="19" t="str">
        <f aca="false">IFERROR(G5/H5,"")</f>
        <v/>
      </c>
      <c r="J5" s="18" t="str">
        <f aca="false">IFERROR(AVERAGEIFS(合宿走行距離!$D$5:$D$28,合宿走行距離!$A$5:$A$28,A5,合宿走行距離!$G$5:$G$28,"&gt;0"),"")</f>
        <v/>
      </c>
      <c r="K5" s="20" t="str">
        <f aca="false">IFERROR(AVERAGEIFS(合宿消化率!$F$5:$F$28,合宿消化率!$A$5:$A$28,A5,合宿消化率!$G$5:$G$28,"&gt;0"),"")</f>
        <v/>
      </c>
      <c r="L5" s="14" t="n">
        <f aca="false">IFERROR(AVERAGEIFS(月間走行距離!$J$5:$J$22,月間走行距離!$A$5:$A$22,A5,月間走行距離!$P$5:$P$22,"&gt;0"),"")</f>
        <v>675.166666666667</v>
      </c>
      <c r="M5" s="14" t="n">
        <f aca="false">IFERROR(AVERAGEIFS(月間走行距離!$K$5:$K$22,月間走行距離!$A$5:$A$22,A5,月間走行距離!$P$5:$P$22,"&gt;0"),"")</f>
        <v>396.833333333333</v>
      </c>
      <c r="N5" s="21" t="n">
        <f aca="false">IFERROR(M5/L5,"")</f>
        <v>0.587756109602567</v>
      </c>
      <c r="O5" s="8"/>
      <c r="P5" s="22" t="n">
        <v>44844</v>
      </c>
      <c r="Q5" s="14" t="str">
        <f aca="false">IF(O5="","",P5-O5)</f>
        <v/>
      </c>
    </row>
    <row r="6" customFormat="false" ht="15" hidden="false" customHeight="false" outlineLevel="0" collapsed="false">
      <c r="A6" s="13" t="s">
        <v>64</v>
      </c>
      <c r="B6" s="14" t="n">
        <v>4</v>
      </c>
      <c r="C6" s="15" t="n">
        <f aca="false">IFERROR(AVERAGEIFS(出雲区間記録!$M$5:$M$34,出雲区間記録!$A$5:$A$34,A6,出雲区間記録!$B$5:$B$34,"&lt;6"),"")</f>
        <v>20.2</v>
      </c>
      <c r="D6" s="15" t="n">
        <f aca="false">IFERROR(AVERAGEIFS(出雲区間記録!$M$5:$M$34,出雲区間記録!$A$5:$A$34,A6,出雲区間記録!$B$5:$B$34,6),"")</f>
        <v>82.4</v>
      </c>
      <c r="E6" s="16" t="n">
        <f aca="false">IFERROR(AVERAGEIFS(5000m比較!$D$5:$D$34,5000m比較!$A$5:$A$34,A6),"")</f>
        <v>0.00947712191358025</v>
      </c>
      <c r="F6" s="17" t="n">
        <f aca="false">IFERROR(AVERAGEIFS(5000m比較!$K$5:$K$34,5000m比較!$A$5:$A$34,A6),"")</f>
        <v>0.0643077124151847</v>
      </c>
      <c r="G6" s="18" t="n">
        <f aca="false">IFERROR(AVERAGEIFS(合宿走行距離!$C$5:$C$28,合宿走行距離!$A$5:$A$28,A6,合宿走行距離!$G$5:$G$28,"&gt;0"),"")</f>
        <v>575.25</v>
      </c>
      <c r="H6" s="18" t="n">
        <v>507.9</v>
      </c>
      <c r="I6" s="19" t="n">
        <f aca="false">IFERROR(G6/H6,"")</f>
        <v>1.13260484347312</v>
      </c>
      <c r="J6" s="18" t="n">
        <f aca="false">IFERROR(AVERAGEIFS(合宿走行距離!$D$5:$D$28,合宿走行距離!$A$5:$A$28,A6,合宿走行距離!$G$5:$G$28,"&gt;0"),"")</f>
        <v>232.333333333333</v>
      </c>
      <c r="K6" s="20" t="n">
        <f aca="false">IFERROR(AVERAGEIFS(合宿消化率!$F$5:$F$28,合宿消化率!$A$5:$A$28,A6,合宿消化率!$G$5:$G$28,"&gt;0"),"")</f>
        <v>0.9085</v>
      </c>
      <c r="L6" s="14" t="n">
        <f aca="false">IFERROR(AVERAGEIFS(月間走行距離!$J$5:$J$22,月間走行距離!$A$5:$A$22,A6,月間走行距離!$P$5:$P$22,"&gt;0"),"")</f>
        <v>636.333333333333</v>
      </c>
      <c r="M6" s="14" t="n">
        <f aca="false">IFERROR(AVERAGEIFS(月間走行距離!$K$5:$K$22,月間走行距離!$A$5:$A$22,A6,月間走行距離!$P$5:$P$22,"&gt;0"),"")</f>
        <v>468.133333333333</v>
      </c>
      <c r="N6" s="21" t="n">
        <f aca="false">IFERROR(M6/L6,"")</f>
        <v>0.735673127291776</v>
      </c>
      <c r="O6" s="22" t="n">
        <v>45186</v>
      </c>
      <c r="P6" s="22" t="n">
        <v>45208</v>
      </c>
      <c r="Q6" s="14" t="n">
        <f aca="false">IF(O6="","",P6-O6)</f>
        <v>22</v>
      </c>
    </row>
    <row r="7" customFormat="false" ht="15" hidden="false" customHeight="false" outlineLevel="0" collapsed="false">
      <c r="A7" s="13" t="s">
        <v>65</v>
      </c>
      <c r="B7" s="14" t="n">
        <v>3</v>
      </c>
      <c r="C7" s="15" t="n">
        <f aca="false">IFERROR(AVERAGEIFS(出雲区間記録!$M$5:$M$34,出雲区間記録!$A$5:$A$34,A7,出雲区間記録!$B$5:$B$34,"&lt;6"),"")</f>
        <v>15.26</v>
      </c>
      <c r="D7" s="15" t="n">
        <f aca="false">IFERROR(AVERAGEIFS(出雲区間記録!$M$5:$M$34,出雲区間記録!$A$5:$A$34,A7,出雲区間記録!$B$5:$B$34,6),"")</f>
        <v>35.3</v>
      </c>
      <c r="E7" s="16" t="n">
        <f aca="false">IFERROR(AVERAGEIFS(5000m比較!$D$5:$D$34,5000m比較!$A$5:$A$34,A7),"")</f>
        <v>0.00959357638888889</v>
      </c>
      <c r="F7" s="17" t="n">
        <f aca="false">IFERROR(AVERAGEIFS(5000m比較!$K$5:$K$34,5000m比較!$A$5:$A$34,A7),"")</f>
        <v>0.0462450944956439</v>
      </c>
      <c r="G7" s="18" t="n">
        <f aca="false">IFERROR(AVERAGEIFS(合宿走行距離!$C$5:$C$28,合宿走行距離!$A$5:$A$28,A7,合宿走行距離!$G$5:$G$28,"&gt;0"),"")</f>
        <v>474.333333333333</v>
      </c>
      <c r="H7" s="18" t="n">
        <v>510.6</v>
      </c>
      <c r="I7" s="19" t="n">
        <f aca="false">IFERROR(G7/H7,"")</f>
        <v>0.928972450711581</v>
      </c>
      <c r="J7" s="18" t="n">
        <f aca="false">IFERROR(AVERAGEIFS(合宿走行距離!$D$5:$D$28,合宿走行距離!$A$5:$A$28,A7,合宿走行距離!$G$5:$G$28,"&gt;0"),"")</f>
        <v>210.333333333333</v>
      </c>
      <c r="K7" s="20" t="n">
        <f aca="false">IFERROR(AVERAGEIFS(合宿消化率!$F$5:$F$28,合宿消化率!$A$5:$A$28,A7,合宿消化率!$G$5:$G$28,"&gt;0"),"")</f>
        <v>0.970833333333333</v>
      </c>
      <c r="L7" s="14" t="str">
        <f aca="false">IFERROR(AVERAGEIFS(月間走行距離!$J$5:$J$22,月間走行距離!$A$5:$A$22,A7,月間走行距離!$P$5:$P$22,"&gt;0"),"")</f>
        <v/>
      </c>
      <c r="M7" s="14" t="str">
        <f aca="false">IFERROR(AVERAGEIFS(月間走行距離!$K$5:$K$22,月間走行距離!$A$5:$A$22,A7,月間走行距離!$P$5:$P$22,"&gt;0"),"")</f>
        <v/>
      </c>
      <c r="N7" s="21" t="str">
        <f aca="false">IFERROR(M7/L7,"")</f>
        <v/>
      </c>
      <c r="O7" s="22" t="n">
        <v>45556</v>
      </c>
      <c r="P7" s="22" t="n">
        <v>45579</v>
      </c>
      <c r="Q7" s="14" t="n">
        <f aca="false">IF(O7="","",P7-O7)</f>
        <v>23</v>
      </c>
    </row>
    <row r="8" customFormat="false" ht="15" hidden="false" customHeight="false" outlineLevel="0" collapsed="false">
      <c r="A8" s="13" t="s">
        <v>66</v>
      </c>
      <c r="B8" s="14" t="n">
        <v>7</v>
      </c>
      <c r="C8" s="15" t="n">
        <f aca="false">IFERROR(AVERAGEIFS(出雲区間記録!$M$5:$M$34,出雲区間記録!$A$5:$A$34,A8,出雲区間記録!$B$5:$B$34,"&lt;6"),"")</f>
        <v>26.68</v>
      </c>
      <c r="D8" s="15" t="n">
        <f aca="false">IFERROR(AVERAGEIFS(出雲区間記録!$M$5:$M$34,出雲区間記録!$A$5:$A$34,A8,出雲区間記録!$B$5:$B$34,6),"")</f>
        <v>0</v>
      </c>
      <c r="E8" s="16" t="n">
        <f aca="false">IFERROR(AVERAGEIFS(5000m比較!$D$5:$D$34,5000m比較!$A$5:$A$34,A8),"")</f>
        <v>0.00956122685185185</v>
      </c>
      <c r="F8" s="17" t="n">
        <f aca="false">IFERROR(AVERAGEIFS(5000m比較!$K$5:$K$34,5000m比較!$A$5:$A$34,A8),"")</f>
        <v>0.052597876567239</v>
      </c>
      <c r="G8" s="18" t="n">
        <f aca="false">IFERROR(AVERAGEIFS(合宿走行距離!$C$5:$C$28,合宿走行距離!$A$5:$A$28,A8,合宿走行距離!$G$5:$G$28,"&gt;0"),"")</f>
        <v>578.666666666667</v>
      </c>
      <c r="H8" s="18" t="n">
        <v>481</v>
      </c>
      <c r="I8" s="19" t="n">
        <f aca="false">IFERROR(G8/H8,"")</f>
        <v>1.2030492030492</v>
      </c>
      <c r="J8" s="18" t="n">
        <f aca="false">IFERROR(AVERAGEIFS(合宿走行距離!$D$5:$D$28,合宿走行距離!$A$5:$A$28,A8,合宿走行距離!$G$5:$G$28,"&gt;0"),"")</f>
        <v>230.5</v>
      </c>
      <c r="K8" s="20" t="n">
        <f aca="false">IFERROR(AVERAGEIFS(合宿消化率!$F$5:$F$28,合宿消化率!$A$5:$A$28,A8,合宿消化率!$G$5:$G$28,"&gt;0"),"")</f>
        <v>0.981111111111111</v>
      </c>
      <c r="L8" s="14" t="str">
        <f aca="false">IFERROR(AVERAGEIFS(月間走行距離!$J$5:$J$22,月間走行距離!$A$5:$A$22,A8,月間走行距離!$P$5:$P$22,"&gt;0"),"")</f>
        <v/>
      </c>
      <c r="M8" s="14" t="str">
        <f aca="false">IFERROR(AVERAGEIFS(月間走行距離!$K$5:$K$22,月間走行距離!$A$5:$A$22,A8,月間走行距離!$P$5:$P$22,"&gt;0"),"")</f>
        <v/>
      </c>
      <c r="N8" s="21" t="str">
        <f aca="false">IFERROR(M8/L8,"")</f>
        <v/>
      </c>
      <c r="O8" s="22" t="n">
        <v>45920</v>
      </c>
      <c r="P8" s="22" t="n">
        <v>45943</v>
      </c>
      <c r="Q8" s="14" t="n">
        <f aca="false">IF(O8="","",P8-O8)</f>
        <v>23</v>
      </c>
    </row>
    <row r="9" customFormat="false" ht="15" hidden="false" customHeight="false" outlineLevel="0" collapsed="false">
      <c r="A9" s="13" t="s">
        <v>67</v>
      </c>
      <c r="B9" s="14" t="n">
        <v>11</v>
      </c>
      <c r="C9" s="15" t="n">
        <f aca="false">IFERROR(AVERAGEIFS(出雲区間記録!$M$5:$M$34,出雲区間記録!$A$5:$A$34,A9,出雲区間記録!$B$5:$B$34,"&lt;6"),"")</f>
        <v>24.36</v>
      </c>
      <c r="D9" s="15" t="n">
        <f aca="false">IFERROR(AVERAGEIFS(出雲区間記録!$M$5:$M$34,出雲区間記録!$A$5:$A$34,A9,出雲区間記録!$B$5:$B$34,6),"")</f>
        <v>83.3</v>
      </c>
      <c r="E9" s="16" t="n">
        <f aca="false">IFERROR(AVERAGEIFS(5000m比較!$D$5:$D$34,5000m比較!$A$5:$A$34,A9),"")</f>
        <v>0.00946952160493827</v>
      </c>
      <c r="F9" s="17" t="n">
        <f aca="false">IFERROR(AVERAGEIFS(5000m比較!$K$5:$K$34,5000m比較!$A$5:$A$34,A9),"")</f>
        <v>0.0518347923041421</v>
      </c>
      <c r="G9" s="18" t="n">
        <f aca="false">IFERROR(AVERAGEIFS(合宿走行距離!$C$5:$C$28,合宿走行距離!$A$5:$A$28,A9,合宿走行距離!$G$5:$G$28,"&gt;0"),"")</f>
        <v>555.5</v>
      </c>
      <c r="H9" s="18" t="n">
        <v>460</v>
      </c>
      <c r="I9" s="19" t="n">
        <f aca="false">IFERROR(G9/H9,"")</f>
        <v>1.20760869565217</v>
      </c>
      <c r="J9" s="18" t="n">
        <f aca="false">IFERROR(AVERAGEIFS(合宿走行距離!$D$5:$D$28,合宿走行距離!$A$5:$A$28,A9,合宿走行距離!$G$5:$G$28,"&gt;0"),"")</f>
        <v>227.666666666667</v>
      </c>
      <c r="K9" s="20" t="n">
        <f aca="false">IFERROR(AVERAGEIFS(合宿消化率!$F$5:$F$28,合宿消化率!$A$5:$A$28,A9,合宿消化率!$G$5:$G$28,"&gt;0"),"")</f>
        <v>0.98</v>
      </c>
      <c r="L9" s="14" t="str">
        <f aca="false">IFERROR(AVERAGEIFS(月間走行距離!$J$5:$J$22,月間走行距離!$A$5:$A$22,A9,月間走行距離!$P$5:$P$22,"&gt;0"),"")</f>
        <v/>
      </c>
      <c r="M9" s="14" t="str">
        <f aca="false">IFERROR(AVERAGEIFS(月間走行距離!$K$5:$K$22,月間走行距離!$A$5:$A$22,A9,月間走行距離!$P$5:$P$22,"&gt;0"),"")</f>
        <v/>
      </c>
      <c r="N9" s="21" t="str">
        <f aca="false">IFERROR(M9/L9,"")</f>
        <v/>
      </c>
      <c r="O9" s="22" t="n">
        <v>46288</v>
      </c>
      <c r="P9" s="22" t="n">
        <v>46307</v>
      </c>
      <c r="Q9" s="14" t="n">
        <f aca="false">IF(O9="","",P9-O9)</f>
        <v>19</v>
      </c>
    </row>
    <row r="11" customFormat="false" ht="15" hidden="false" customHeight="false" outlineLevel="0" collapsed="false">
      <c r="A11" s="23" t="s">
        <v>68</v>
      </c>
    </row>
    <row r="12" customFormat="false" ht="19.5" hidden="false" customHeight="true" outlineLevel="0" collapsed="false">
      <c r="A12" s="11" t="s">
        <v>69</v>
      </c>
      <c r="B12" s="11"/>
      <c r="C12" s="11"/>
      <c r="D12" s="11"/>
      <c r="E12" s="11" t="s">
        <v>70</v>
      </c>
      <c r="F12" s="11" t="s">
        <v>71</v>
      </c>
    </row>
    <row r="13" customFormat="false" ht="26.85" hidden="false" customHeight="true" outlineLevel="0" collapsed="false">
      <c r="A13" s="5" t="s">
        <v>72</v>
      </c>
      <c r="B13" s="5"/>
      <c r="C13" s="5"/>
      <c r="D13" s="5"/>
      <c r="E13" s="13" t="s">
        <v>73</v>
      </c>
      <c r="F13" s="21" t="n">
        <f aca="false">CORREL(E5:E9,F5:F9)</f>
        <v>-0.862027465529468</v>
      </c>
    </row>
    <row r="14" customFormat="false" ht="26.85" hidden="false" customHeight="true" outlineLevel="0" collapsed="false">
      <c r="A14" s="5" t="s">
        <v>74</v>
      </c>
      <c r="B14" s="5"/>
      <c r="C14" s="5"/>
      <c r="D14" s="5"/>
      <c r="E14" s="13" t="s">
        <v>73</v>
      </c>
      <c r="F14" s="21" t="n">
        <f aca="false">CORREL(E5:E9,B5:B9)</f>
        <v>-0.557655544094555</v>
      </c>
    </row>
    <row r="15" customFormat="false" ht="26.85" hidden="false" customHeight="true" outlineLevel="0" collapsed="false">
      <c r="A15" s="5" t="s">
        <v>75</v>
      </c>
      <c r="B15" s="5"/>
      <c r="C15" s="5"/>
      <c r="D15" s="5"/>
      <c r="E15" s="13" t="s">
        <v>73</v>
      </c>
      <c r="F15" s="21" t="n">
        <f aca="false">CORREL(F5:F9,B5:B9)</f>
        <v>0.154004608533012</v>
      </c>
    </row>
    <row r="16" customFormat="false" ht="26.85" hidden="false" customHeight="true" outlineLevel="0" collapsed="false">
      <c r="A16" s="7" t="s">
        <v>76</v>
      </c>
      <c r="B16" s="7"/>
      <c r="C16" s="7"/>
      <c r="D16" s="7"/>
      <c r="E16" s="13" t="s">
        <v>77</v>
      </c>
      <c r="F16" s="21" t="n">
        <f aca="false">CORREL(I6:I9,B6:B9)</f>
        <v>0.760234957327082</v>
      </c>
    </row>
    <row r="17" customFormat="false" ht="26.85" hidden="false" customHeight="true" outlineLevel="0" collapsed="false">
      <c r="A17" s="7" t="s">
        <v>78</v>
      </c>
      <c r="B17" s="7"/>
      <c r="C17" s="7"/>
      <c r="D17" s="7"/>
      <c r="E17" s="13" t="s">
        <v>77</v>
      </c>
      <c r="F17" s="21" t="n">
        <f aca="false">CORREL(I6:I9,F6:F9)</f>
        <v>0.438125297896412</v>
      </c>
    </row>
    <row r="19" customFormat="false" ht="15" hidden="false" customHeight="false" outlineLevel="0" collapsed="false">
      <c r="A19" s="23" t="s">
        <v>79</v>
      </c>
    </row>
    <row r="20" customFormat="false" ht="48" hidden="false" customHeight="true" outlineLevel="0" collapsed="false">
      <c r="A20" s="11" t="s">
        <v>80</v>
      </c>
      <c r="B20" s="11" t="s">
        <v>81</v>
      </c>
      <c r="C20" s="11" t="s">
        <v>82</v>
      </c>
      <c r="D20" s="11" t="s">
        <v>51</v>
      </c>
      <c r="E20" s="11" t="s">
        <v>83</v>
      </c>
    </row>
    <row r="21" customFormat="false" ht="15" hidden="false" customHeight="false" outlineLevel="0" collapsed="false">
      <c r="A21" s="14" t="n">
        <v>1</v>
      </c>
      <c r="B21" s="18" t="n">
        <v>8</v>
      </c>
      <c r="C21" s="15" t="n">
        <f aca="false">AVERAGEIFS(出雲区間記録!$M$5:$M$34,出雲区間記録!$B$5:$B$34,A21)</f>
        <v>9.5</v>
      </c>
      <c r="D21" s="17" t="n">
        <f aca="false">AVERAGEIFS(5000m比較!$K$5:$K$34,5000m比較!$B$5:$B$34,A21)</f>
        <v>0.0604147182940374</v>
      </c>
      <c r="E21" s="14" t="n">
        <f aca="false">COUNTIFS(出雲区間記録!$B$5:$B$34,A21,出雲区間記録!$K$5:$K$34,1)</f>
        <v>1</v>
      </c>
    </row>
    <row r="22" customFormat="false" ht="15" hidden="false" customHeight="false" outlineLevel="0" collapsed="false">
      <c r="A22" s="14" t="n">
        <v>2</v>
      </c>
      <c r="B22" s="18" t="n">
        <v>5.8</v>
      </c>
      <c r="C22" s="15" t="n">
        <f aca="false">AVERAGEIFS(出雲区間記録!$M$5:$M$34,出雲区間記録!$B$5:$B$34,A22)</f>
        <v>25.52</v>
      </c>
      <c r="D22" s="17" t="n">
        <f aca="false">AVERAGEIFS(5000m比較!$K$5:$K$34,5000m比較!$B$5:$B$34,A22)</f>
        <v>0.020883104931977</v>
      </c>
      <c r="E22" s="14" t="n">
        <f aca="false">COUNTIFS(出雲区間記録!$B$5:$B$34,A22,出雲区間記録!$K$5:$K$34,1)</f>
        <v>1</v>
      </c>
    </row>
    <row r="23" customFormat="false" ht="15" hidden="false" customHeight="false" outlineLevel="0" collapsed="false">
      <c r="A23" s="14" t="n">
        <v>3</v>
      </c>
      <c r="B23" s="18" t="n">
        <v>8.5</v>
      </c>
      <c r="C23" s="15" t="n">
        <f aca="false">AVERAGEIFS(出雲区間記録!$M$5:$M$34,出雲区間記録!$B$5:$B$34,A23)</f>
        <v>22.84</v>
      </c>
      <c r="D23" s="17" t="n">
        <f aca="false">AVERAGEIFS(5000m比較!$K$5:$K$34,5000m比較!$B$5:$B$34,A23)</f>
        <v>0.054357904419027</v>
      </c>
      <c r="E23" s="14" t="n">
        <f aca="false">COUNTIFS(出雲区間記録!$B$5:$B$34,A23,出雲区間記録!$K$5:$K$34,1)</f>
        <v>0</v>
      </c>
    </row>
    <row r="24" customFormat="false" ht="15" hidden="false" customHeight="false" outlineLevel="0" collapsed="false">
      <c r="A24" s="14" t="n">
        <v>4</v>
      </c>
      <c r="B24" s="18" t="n">
        <v>6.2</v>
      </c>
      <c r="C24" s="15" t="n">
        <f aca="false">AVERAGEIFS(出雲区間記録!$M$5:$M$34,出雲区間記録!$B$5:$B$34,A24)</f>
        <v>23.24</v>
      </c>
      <c r="D24" s="17" t="n">
        <f aca="false">AVERAGEIFS(5000m比較!$K$5:$K$34,5000m比較!$B$5:$B$34,A24)</f>
        <v>0.0532139311964619</v>
      </c>
      <c r="E24" s="14" t="n">
        <f aca="false">COUNTIFS(出雲区間記録!$B$5:$B$34,A24,出雲区間記録!$K$5:$K$34,1)</f>
        <v>1</v>
      </c>
    </row>
    <row r="25" customFormat="false" ht="15" hidden="false" customHeight="false" outlineLevel="0" collapsed="false">
      <c r="A25" s="14" t="n">
        <v>5</v>
      </c>
      <c r="B25" s="18" t="n">
        <v>6.4</v>
      </c>
      <c r="C25" s="15" t="n">
        <f aca="false">AVERAGEIFS(出雲区間記録!$M$5:$M$34,出雲区間記録!$B$5:$B$34,A25)</f>
        <v>22.66</v>
      </c>
      <c r="D25" s="17" t="n">
        <f aca="false">AVERAGEIFS(5000m比較!$K$5:$K$34,5000m比較!$B$5:$B$34,A25)</f>
        <v>0.0501378406014783</v>
      </c>
      <c r="E25" s="14" t="n">
        <f aca="false">COUNTIFS(出雲区間記録!$B$5:$B$34,A25,出雲区間記録!$K$5:$K$34,1)</f>
        <v>1</v>
      </c>
    </row>
    <row r="26" customFormat="false" ht="15" hidden="false" customHeight="false" outlineLevel="0" collapsed="false">
      <c r="A26" s="14" t="n">
        <v>6</v>
      </c>
      <c r="B26" s="18" t="n">
        <v>10.2</v>
      </c>
      <c r="C26" s="15" t="n">
        <f aca="false">AVERAGEIFS(出雲区間記録!$M$5:$M$34,出雲区間記録!$B$5:$B$34,A26)</f>
        <v>44.9</v>
      </c>
      <c r="D26" s="17" t="n">
        <f aca="false">AVERAGEIFS(5000m比較!$K$5:$K$34,5000m比較!$B$5:$B$34,A26)</f>
        <v>0.0641618826974271</v>
      </c>
      <c r="E26" s="14" t="n">
        <f aca="false">COUNTIFS(出雲区間記録!$B$5:$B$34,A26,出雲区間記録!$K$5:$K$34,1)</f>
        <v>1</v>
      </c>
    </row>
    <row r="27" customFormat="false" ht="15" hidden="false" customHeight="false" outlineLevel="0" collapsed="false">
      <c r="A27" s="24" t="s">
        <v>84</v>
      </c>
    </row>
  </sheetData>
  <mergeCells count="7">
    <mergeCell ref="A2:Q2"/>
    <mergeCell ref="A12:D12"/>
    <mergeCell ref="A13:D13"/>
    <mergeCell ref="A14:D14"/>
    <mergeCell ref="A15:D15"/>
    <mergeCell ref="A16:D16"/>
    <mergeCell ref="A17:D17"/>
  </mergeCells>
  <conditionalFormatting sqref="F5:F9">
    <cfRule type="colorScale" priority="2">
      <colorScale>
        <cfvo type="min" val="0"/>
        <cfvo type="max" val="0"/>
        <color rgb="FF63BE7B"/>
        <color rgb="FFF8696B"/>
      </colorScale>
    </cfRule>
  </conditionalFormatting>
  <conditionalFormatting sqref="B5:B9">
    <cfRule type="colorScale" priority="3">
      <colorScale>
        <cfvo type="min" val="0"/>
        <cfvo type="max" val="0"/>
        <color rgb="FF63BE7B"/>
        <color rgb="FFF8696B"/>
      </colorScale>
    </cfRule>
  </conditionalFormatting>
  <conditionalFormatting sqref="I5:I9">
    <cfRule type="colorScale" priority="4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8" min="7" style="0" width="9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3" min="12" style="0" width="9"/>
  </cols>
  <sheetData>
    <row r="1" customFormat="false" ht="19.4" hidden="false" customHeight="false" outlineLevel="0" collapsed="false">
      <c r="A1" s="9" t="s">
        <v>85</v>
      </c>
    </row>
    <row r="2" customFormat="false" ht="30" hidden="false" customHeight="true" outlineLevel="0" collapsed="false">
      <c r="A2" s="10" t="s">
        <v>86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4" customFormat="false" ht="33.75" hidden="false" customHeight="true" outlineLevel="0" collapsed="false">
      <c r="A4" s="11" t="s">
        <v>46</v>
      </c>
      <c r="B4" s="11" t="s">
        <v>80</v>
      </c>
      <c r="C4" s="11" t="s">
        <v>81</v>
      </c>
      <c r="D4" s="11" t="s">
        <v>87</v>
      </c>
      <c r="E4" s="11" t="s">
        <v>22</v>
      </c>
      <c r="F4" s="11" t="s">
        <v>88</v>
      </c>
      <c r="G4" s="11" t="s">
        <v>89</v>
      </c>
      <c r="H4" s="11" t="s">
        <v>90</v>
      </c>
      <c r="I4" s="11" t="s">
        <v>91</v>
      </c>
      <c r="J4" s="11" t="s">
        <v>89</v>
      </c>
      <c r="K4" s="11" t="s">
        <v>92</v>
      </c>
      <c r="L4" s="11" t="s">
        <v>90</v>
      </c>
      <c r="M4" s="11" t="s">
        <v>93</v>
      </c>
    </row>
    <row r="5" customFormat="false" ht="15" hidden="false" customHeight="false" outlineLevel="0" collapsed="false">
      <c r="A5" s="25" t="s">
        <v>63</v>
      </c>
      <c r="B5" s="25" t="n">
        <v>1</v>
      </c>
      <c r="C5" s="26" t="n">
        <v>8</v>
      </c>
      <c r="D5" s="27" t="n">
        <f aca="false">IF(B5=6,10,5)</f>
        <v>5</v>
      </c>
      <c r="E5" s="28" t="s">
        <v>94</v>
      </c>
      <c r="F5" s="28" t="s">
        <v>95</v>
      </c>
      <c r="G5" s="29" t="n">
        <v>0.0156481481481482</v>
      </c>
      <c r="H5" s="29" t="n">
        <f aca="false">G5*D5/C5</f>
        <v>0.00978009259259259</v>
      </c>
      <c r="I5" s="28" t="s">
        <v>96</v>
      </c>
      <c r="J5" s="29" t="n">
        <v>0.0157986111111111</v>
      </c>
      <c r="K5" s="27" t="n">
        <v>3</v>
      </c>
      <c r="L5" s="29" t="n">
        <f aca="false">J5*D5/C5</f>
        <v>0.00987413194444444</v>
      </c>
      <c r="M5" s="30" t="n">
        <f aca="false">ROUND((L5-H5)*86400,1)</f>
        <v>8.1</v>
      </c>
    </row>
    <row r="6" customFormat="false" ht="15" hidden="false" customHeight="false" outlineLevel="0" collapsed="false">
      <c r="A6" s="25" t="s">
        <v>63</v>
      </c>
      <c r="B6" s="28" t="n">
        <v>2</v>
      </c>
      <c r="C6" s="26" t="n">
        <v>5.8</v>
      </c>
      <c r="D6" s="27" t="n">
        <f aca="false">IF(B6=6,10,5)</f>
        <v>5</v>
      </c>
      <c r="E6" s="28" t="s">
        <v>97</v>
      </c>
      <c r="F6" s="28" t="s">
        <v>98</v>
      </c>
      <c r="G6" s="29" t="n">
        <v>0.0107291666666667</v>
      </c>
      <c r="H6" s="29" t="n">
        <f aca="false">G6*D6/C6</f>
        <v>0.00924928160919541</v>
      </c>
      <c r="I6" s="28" t="s">
        <v>99</v>
      </c>
      <c r="J6" s="29" t="n">
        <v>0.0109027777777778</v>
      </c>
      <c r="K6" s="27" t="n">
        <v>4</v>
      </c>
      <c r="L6" s="29" t="n">
        <f aca="false">J6*D6/C6</f>
        <v>0.00939894636015326</v>
      </c>
      <c r="M6" s="30" t="n">
        <f aca="false">ROUND((L6-H6)*86400,1)</f>
        <v>12.9</v>
      </c>
    </row>
    <row r="7" customFormat="false" ht="15" hidden="false" customHeight="false" outlineLevel="0" collapsed="false">
      <c r="A7" s="25" t="s">
        <v>63</v>
      </c>
      <c r="B7" s="28" t="n">
        <v>3</v>
      </c>
      <c r="C7" s="26" t="n">
        <v>8.5</v>
      </c>
      <c r="D7" s="27" t="n">
        <f aca="false">IF(B7=6,10,5)</f>
        <v>5</v>
      </c>
      <c r="E7" s="28" t="s">
        <v>100</v>
      </c>
      <c r="F7" s="28" t="s">
        <v>98</v>
      </c>
      <c r="G7" s="29" t="n">
        <v>0.0165509259259259</v>
      </c>
      <c r="H7" s="29" t="n">
        <f aca="false">G7*D7/C7</f>
        <v>0.00973583877995643</v>
      </c>
      <c r="I7" s="28" t="s">
        <v>101</v>
      </c>
      <c r="J7" s="29" t="n">
        <v>0.0165625</v>
      </c>
      <c r="K7" s="27" t="n">
        <v>3</v>
      </c>
      <c r="L7" s="29" t="n">
        <f aca="false">J7*D7/C7</f>
        <v>0.00974264705882353</v>
      </c>
      <c r="M7" s="30" t="n">
        <f aca="false">ROUND((L7-H7)*86400,1)</f>
        <v>0.6</v>
      </c>
    </row>
    <row r="8" customFormat="false" ht="15" hidden="false" customHeight="false" outlineLevel="0" collapsed="false">
      <c r="A8" s="25" t="s">
        <v>63</v>
      </c>
      <c r="B8" s="28" t="n">
        <v>4</v>
      </c>
      <c r="C8" s="26" t="n">
        <v>6.2</v>
      </c>
      <c r="D8" s="27" t="n">
        <f aca="false">IF(B8=6,10,5)</f>
        <v>5</v>
      </c>
      <c r="E8" s="28" t="s">
        <v>102</v>
      </c>
      <c r="F8" s="28" t="s">
        <v>103</v>
      </c>
      <c r="G8" s="29" t="n">
        <v>0.0123842592592593</v>
      </c>
      <c r="H8" s="29" t="n">
        <f aca="false">G8*D8/C8</f>
        <v>0.00998730585424134</v>
      </c>
      <c r="I8" s="28" t="s">
        <v>104</v>
      </c>
      <c r="J8" s="29" t="n">
        <v>0.0130208333333333</v>
      </c>
      <c r="K8" s="27" t="n">
        <v>6</v>
      </c>
      <c r="L8" s="29" t="n">
        <f aca="false">J8*D8/C8</f>
        <v>0.0105006720430108</v>
      </c>
      <c r="M8" s="30" t="n">
        <f aca="false">ROUND((L8-H8)*86400,1)</f>
        <v>44.4</v>
      </c>
    </row>
    <row r="9" customFormat="false" ht="15" hidden="false" customHeight="false" outlineLevel="0" collapsed="false">
      <c r="A9" s="25" t="s">
        <v>63</v>
      </c>
      <c r="B9" s="28" t="n">
        <v>5</v>
      </c>
      <c r="C9" s="26" t="n">
        <v>6.4</v>
      </c>
      <c r="D9" s="27" t="n">
        <f aca="false">IF(B9=6,10,5)</f>
        <v>5</v>
      </c>
      <c r="E9" s="28" t="s">
        <v>105</v>
      </c>
      <c r="F9" s="28" t="s">
        <v>98</v>
      </c>
      <c r="G9" s="29" t="n">
        <v>0.0132407407407407</v>
      </c>
      <c r="H9" s="29" t="n">
        <f aca="false">G9*D9/C9</f>
        <v>0.0103443287037037</v>
      </c>
      <c r="I9" s="28" t="s">
        <v>106</v>
      </c>
      <c r="J9" s="29" t="n">
        <v>0.0135416666666667</v>
      </c>
      <c r="K9" s="27" t="n">
        <v>6</v>
      </c>
      <c r="L9" s="29" t="n">
        <f aca="false">J9*D9/C9</f>
        <v>0.0105794270833333</v>
      </c>
      <c r="M9" s="30" t="n">
        <f aca="false">ROUND((L9-H9)*86400,1)</f>
        <v>20.3</v>
      </c>
    </row>
    <row r="10" customFormat="false" ht="15" hidden="false" customHeight="false" outlineLevel="0" collapsed="false">
      <c r="A10" s="25" t="s">
        <v>63</v>
      </c>
      <c r="B10" s="28" t="n">
        <v>6</v>
      </c>
      <c r="C10" s="26" t="n">
        <v>10.2</v>
      </c>
      <c r="D10" s="27" t="n">
        <f aca="false">IF(B10=6,10,5)</f>
        <v>10</v>
      </c>
      <c r="E10" s="28" t="s">
        <v>107</v>
      </c>
      <c r="F10" s="28" t="s">
        <v>98</v>
      </c>
      <c r="G10" s="29" t="n">
        <v>0.0203819444444445</v>
      </c>
      <c r="H10" s="29" t="n">
        <f aca="false">G10*D10/C10</f>
        <v>0.0199822984749455</v>
      </c>
      <c r="I10" s="28" t="s">
        <v>108</v>
      </c>
      <c r="J10" s="29" t="n">
        <v>0.0206597222222222</v>
      </c>
      <c r="K10" s="27" t="n">
        <v>3</v>
      </c>
      <c r="L10" s="29" t="n">
        <f aca="false">J10*D10/C10</f>
        <v>0.0202546296296296</v>
      </c>
      <c r="M10" s="30" t="n">
        <f aca="false">ROUND((L10-H10)*86400,1)</f>
        <v>23.5</v>
      </c>
    </row>
    <row r="11" customFormat="false" ht="15" hidden="false" customHeight="false" outlineLevel="0" collapsed="false">
      <c r="A11" s="13" t="s">
        <v>64</v>
      </c>
      <c r="B11" s="8" t="n">
        <v>1</v>
      </c>
      <c r="C11" s="18" t="n">
        <v>8</v>
      </c>
      <c r="D11" s="14" t="n">
        <f aca="false">IF(B11=6,10,5)</f>
        <v>5</v>
      </c>
      <c r="E11" s="8" t="s">
        <v>109</v>
      </c>
      <c r="F11" s="8" t="s">
        <v>98</v>
      </c>
      <c r="G11" s="31" t="n">
        <v>0.0157986111111111</v>
      </c>
      <c r="H11" s="31" t="n">
        <f aca="false">G11*D11/C11</f>
        <v>0.00987413194444444</v>
      </c>
      <c r="I11" s="8" t="s">
        <v>110</v>
      </c>
      <c r="J11" s="31" t="n">
        <v>0.01625</v>
      </c>
      <c r="K11" s="14" t="n">
        <v>6</v>
      </c>
      <c r="L11" s="31" t="n">
        <f aca="false">J11*D11/C11</f>
        <v>0.01015625</v>
      </c>
      <c r="M11" s="15" t="n">
        <f aca="false">ROUND((L11-H11)*86400,1)</f>
        <v>24.4</v>
      </c>
    </row>
    <row r="12" customFormat="false" ht="26.85" hidden="false" customHeight="false" outlineLevel="0" collapsed="false">
      <c r="A12" s="13" t="s">
        <v>64</v>
      </c>
      <c r="B12" s="8" t="n">
        <v>2</v>
      </c>
      <c r="C12" s="18" t="n">
        <v>5.8</v>
      </c>
      <c r="D12" s="14" t="n">
        <f aca="false">IF(B12=6,10,5)</f>
        <v>5</v>
      </c>
      <c r="E12" s="8" t="s">
        <v>111</v>
      </c>
      <c r="F12" s="8" t="s">
        <v>112</v>
      </c>
      <c r="G12" s="31" t="n">
        <v>0.0112037037037037</v>
      </c>
      <c r="H12" s="31" t="n">
        <f aca="false">G12*D12/C12</f>
        <v>0.00965836526181354</v>
      </c>
      <c r="I12" s="8" t="s">
        <v>113</v>
      </c>
      <c r="J12" s="31" t="n">
        <v>0.0112037037037037</v>
      </c>
      <c r="K12" s="14" t="n">
        <v>1</v>
      </c>
      <c r="L12" s="31" t="n">
        <f aca="false">J12*D12/C12</f>
        <v>0.00965836526181354</v>
      </c>
      <c r="M12" s="15" t="n">
        <f aca="false">ROUND((L12-H12)*86400,1)</f>
        <v>0</v>
      </c>
    </row>
    <row r="13" customFormat="false" ht="15" hidden="false" customHeight="false" outlineLevel="0" collapsed="false">
      <c r="A13" s="13" t="s">
        <v>64</v>
      </c>
      <c r="B13" s="8" t="n">
        <v>3</v>
      </c>
      <c r="C13" s="18" t="n">
        <v>8.5</v>
      </c>
      <c r="D13" s="14" t="n">
        <f aca="false">IF(B13=6,10,5)</f>
        <v>5</v>
      </c>
      <c r="E13" s="8" t="s">
        <v>114</v>
      </c>
      <c r="F13" s="8" t="s">
        <v>98</v>
      </c>
      <c r="G13" s="31" t="n">
        <v>0.0168981481481482</v>
      </c>
      <c r="H13" s="31" t="n">
        <f aca="false">G13*D13/C13</f>
        <v>0.0099400871459695</v>
      </c>
      <c r="I13" s="8" t="s">
        <v>115</v>
      </c>
      <c r="J13" s="31" t="n">
        <v>0.0172685185185185</v>
      </c>
      <c r="K13" s="14" t="n">
        <v>3</v>
      </c>
      <c r="L13" s="31" t="n">
        <f aca="false">J13*D13/C13</f>
        <v>0.0101579520697168</v>
      </c>
      <c r="M13" s="15" t="n">
        <f aca="false">ROUND((L13-H13)*86400,1)</f>
        <v>18.8</v>
      </c>
    </row>
    <row r="14" customFormat="false" ht="15" hidden="false" customHeight="false" outlineLevel="0" collapsed="false">
      <c r="A14" s="13" t="s">
        <v>64</v>
      </c>
      <c r="B14" s="8" t="n">
        <v>4</v>
      </c>
      <c r="C14" s="18" t="n">
        <v>6.2</v>
      </c>
      <c r="D14" s="14" t="n">
        <f aca="false">IF(B14=6,10,5)</f>
        <v>5</v>
      </c>
      <c r="E14" s="8" t="s">
        <v>116</v>
      </c>
      <c r="F14" s="8" t="s">
        <v>117</v>
      </c>
      <c r="G14" s="31" t="n">
        <v>0.0122106481481482</v>
      </c>
      <c r="H14" s="31" t="n">
        <f aca="false">G14*D14/C14</f>
        <v>0.00984729689366786</v>
      </c>
      <c r="I14" s="8" t="s">
        <v>116</v>
      </c>
      <c r="J14" s="31" t="n">
        <v>0.0122106481481482</v>
      </c>
      <c r="K14" s="14" t="n">
        <v>1</v>
      </c>
      <c r="L14" s="31" t="n">
        <f aca="false">J14*D14/C14</f>
        <v>0.00984729689366786</v>
      </c>
      <c r="M14" s="15" t="n">
        <f aca="false">ROUND((L14-H14)*86400,1)</f>
        <v>0</v>
      </c>
    </row>
    <row r="15" customFormat="false" ht="15" hidden="false" customHeight="false" outlineLevel="0" collapsed="false">
      <c r="A15" s="13" t="s">
        <v>64</v>
      </c>
      <c r="B15" s="8" t="n">
        <v>5</v>
      </c>
      <c r="C15" s="18" t="n">
        <v>6.4</v>
      </c>
      <c r="D15" s="14" t="n">
        <f aca="false">IF(B15=6,10,5)</f>
        <v>5</v>
      </c>
      <c r="E15" s="8" t="s">
        <v>105</v>
      </c>
      <c r="F15" s="8" t="s">
        <v>98</v>
      </c>
      <c r="G15" s="31" t="n">
        <v>0.0123958333333333</v>
      </c>
      <c r="H15" s="31" t="n">
        <f aca="false">G15*D15/C15</f>
        <v>0.00968424479166666</v>
      </c>
      <c r="I15" s="8" t="s">
        <v>118</v>
      </c>
      <c r="J15" s="31" t="n">
        <v>0.0132523148148148</v>
      </c>
      <c r="K15" s="14" t="n">
        <v>9</v>
      </c>
      <c r="L15" s="31" t="n">
        <f aca="false">J15*D15/C15</f>
        <v>0.0103533709490741</v>
      </c>
      <c r="M15" s="15" t="n">
        <f aca="false">ROUND((L15-H15)*86400,1)</f>
        <v>57.8</v>
      </c>
    </row>
    <row r="16" customFormat="false" ht="15" hidden="false" customHeight="false" outlineLevel="0" collapsed="false">
      <c r="A16" s="13" t="s">
        <v>64</v>
      </c>
      <c r="B16" s="8" t="n">
        <v>6</v>
      </c>
      <c r="C16" s="18" t="n">
        <v>10.2</v>
      </c>
      <c r="D16" s="14" t="n">
        <f aca="false">IF(B16=6,10,5)</f>
        <v>10</v>
      </c>
      <c r="E16" s="8" t="s">
        <v>107</v>
      </c>
      <c r="F16" s="8" t="s">
        <v>98</v>
      </c>
      <c r="G16" s="31" t="n">
        <v>0.0201388888888889</v>
      </c>
      <c r="H16" s="31" t="n">
        <f aca="false">G16*D16/C16</f>
        <v>0.019744008714597</v>
      </c>
      <c r="I16" s="8" t="s">
        <v>119</v>
      </c>
      <c r="J16" s="31" t="n">
        <v>0.0211111111111111</v>
      </c>
      <c r="K16" s="14" t="n">
        <v>7</v>
      </c>
      <c r="L16" s="31" t="n">
        <f aca="false">J16*D16/C16</f>
        <v>0.0206971677559913</v>
      </c>
      <c r="M16" s="15" t="n">
        <f aca="false">ROUND((L16-H16)*86400,1)</f>
        <v>82.4</v>
      </c>
    </row>
    <row r="17" customFormat="false" ht="15" hidden="false" customHeight="false" outlineLevel="0" collapsed="false">
      <c r="A17" s="25" t="s">
        <v>65</v>
      </c>
      <c r="B17" s="28" t="n">
        <v>1</v>
      </c>
      <c r="C17" s="26" t="n">
        <v>8</v>
      </c>
      <c r="D17" s="27" t="n">
        <f aca="false">IF(B17=6,10,5)</f>
        <v>5</v>
      </c>
      <c r="E17" s="28" t="s">
        <v>119</v>
      </c>
      <c r="F17" s="28" t="s">
        <v>117</v>
      </c>
      <c r="G17" s="29" t="n">
        <v>0.0164351851851852</v>
      </c>
      <c r="H17" s="29" t="n">
        <f aca="false">G17*D17/C17</f>
        <v>0.0102719907407407</v>
      </c>
      <c r="I17" s="28" t="s">
        <v>119</v>
      </c>
      <c r="J17" s="29" t="n">
        <v>0.0164351851851852</v>
      </c>
      <c r="K17" s="27" t="n">
        <v>1</v>
      </c>
      <c r="L17" s="29" t="n">
        <f aca="false">J17*D17/C17</f>
        <v>0.0102719907407407</v>
      </c>
      <c r="M17" s="30" t="n">
        <f aca="false">ROUND((L17-H17)*86400,1)</f>
        <v>0</v>
      </c>
    </row>
    <row r="18" customFormat="false" ht="15" hidden="false" customHeight="false" outlineLevel="0" collapsed="false">
      <c r="A18" s="25" t="s">
        <v>65</v>
      </c>
      <c r="B18" s="28" t="n">
        <v>2</v>
      </c>
      <c r="C18" s="26" t="n">
        <v>5.8</v>
      </c>
      <c r="D18" s="27" t="n">
        <f aca="false">IF(B18=6,10,5)</f>
        <v>5</v>
      </c>
      <c r="E18" s="28" t="s">
        <v>120</v>
      </c>
      <c r="F18" s="28" t="s">
        <v>121</v>
      </c>
      <c r="G18" s="29" t="n">
        <v>0.0109490740740741</v>
      </c>
      <c r="H18" s="29" t="n">
        <f aca="false">G18*D18/C18</f>
        <v>0.00943885696040868</v>
      </c>
      <c r="I18" s="28" t="s">
        <v>110</v>
      </c>
      <c r="J18" s="29" t="n">
        <v>0.0114814814814815</v>
      </c>
      <c r="K18" s="27" t="n">
        <v>6</v>
      </c>
      <c r="L18" s="29" t="n">
        <f aca="false">J18*D18/C18</f>
        <v>0.0098978288633461</v>
      </c>
      <c r="M18" s="30" t="n">
        <f aca="false">ROUND((L18-H18)*86400,1)</f>
        <v>39.7</v>
      </c>
    </row>
    <row r="19" customFormat="false" ht="15" hidden="false" customHeight="false" outlineLevel="0" collapsed="false">
      <c r="A19" s="25" t="s">
        <v>65</v>
      </c>
      <c r="B19" s="28" t="n">
        <v>3</v>
      </c>
      <c r="C19" s="26" t="n">
        <v>8.5</v>
      </c>
      <c r="D19" s="27" t="n">
        <f aca="false">IF(B19=6,10,5)</f>
        <v>5</v>
      </c>
      <c r="E19" s="28" t="s">
        <v>114</v>
      </c>
      <c r="F19" s="28" t="s">
        <v>98</v>
      </c>
      <c r="G19" s="29" t="n">
        <v>0.0165740740740741</v>
      </c>
      <c r="H19" s="29" t="n">
        <f aca="false">G19*D19/C19</f>
        <v>0.00974945533769063</v>
      </c>
      <c r="I19" s="28" t="s">
        <v>113</v>
      </c>
      <c r="J19" s="29" t="n">
        <v>0.0166087962962963</v>
      </c>
      <c r="K19" s="27" t="n">
        <v>3</v>
      </c>
      <c r="L19" s="29" t="n">
        <f aca="false">J19*D19/C19</f>
        <v>0.00976988017429194</v>
      </c>
      <c r="M19" s="30" t="n">
        <f aca="false">ROUND((L19-H19)*86400,1)</f>
        <v>1.8</v>
      </c>
    </row>
    <row r="20" customFormat="false" ht="15" hidden="false" customHeight="false" outlineLevel="0" collapsed="false">
      <c r="A20" s="25" t="s">
        <v>65</v>
      </c>
      <c r="B20" s="28" t="n">
        <v>4</v>
      </c>
      <c r="C20" s="26" t="n">
        <v>6.2</v>
      </c>
      <c r="D20" s="27" t="n">
        <f aca="false">IF(B20=6,10,5)</f>
        <v>5</v>
      </c>
      <c r="E20" s="28" t="s">
        <v>122</v>
      </c>
      <c r="F20" s="28" t="s">
        <v>103</v>
      </c>
      <c r="G20" s="29" t="n">
        <v>0.0122916666666667</v>
      </c>
      <c r="H20" s="29" t="n">
        <f aca="false">G20*D20/C20</f>
        <v>0.00991263440860215</v>
      </c>
      <c r="I20" s="28" t="s">
        <v>123</v>
      </c>
      <c r="J20" s="29" t="n">
        <v>0.0124768518518519</v>
      </c>
      <c r="K20" s="27" t="n">
        <v>5</v>
      </c>
      <c r="L20" s="29" t="n">
        <f aca="false">J20*D20/C20</f>
        <v>0.0100619772998805</v>
      </c>
      <c r="M20" s="30" t="n">
        <f aca="false">ROUND((L20-H20)*86400,1)</f>
        <v>12.9</v>
      </c>
    </row>
    <row r="21" customFormat="false" ht="15" hidden="false" customHeight="false" outlineLevel="0" collapsed="false">
      <c r="A21" s="25" t="s">
        <v>65</v>
      </c>
      <c r="B21" s="28" t="n">
        <v>5</v>
      </c>
      <c r="C21" s="26" t="n">
        <v>6.4</v>
      </c>
      <c r="D21" s="27" t="n">
        <f aca="false">IF(B21=6,10,5)</f>
        <v>5</v>
      </c>
      <c r="E21" s="28" t="s">
        <v>124</v>
      </c>
      <c r="F21" s="28" t="s">
        <v>103</v>
      </c>
      <c r="G21" s="29" t="n">
        <v>0.0126388888888889</v>
      </c>
      <c r="H21" s="29" t="n">
        <f aca="false">G21*D21/C21</f>
        <v>0.00987413194444445</v>
      </c>
      <c r="I21" s="28" t="s">
        <v>125</v>
      </c>
      <c r="J21" s="29" t="n">
        <v>0.012962962962963</v>
      </c>
      <c r="K21" s="27" t="n">
        <v>5</v>
      </c>
      <c r="L21" s="29" t="n">
        <f aca="false">J21*D21/C21</f>
        <v>0.0101273148148148</v>
      </c>
      <c r="M21" s="30" t="n">
        <f aca="false">ROUND((L21-H21)*86400,1)</f>
        <v>21.9</v>
      </c>
    </row>
    <row r="22" customFormat="false" ht="15" hidden="false" customHeight="false" outlineLevel="0" collapsed="false">
      <c r="A22" s="25" t="s">
        <v>65</v>
      </c>
      <c r="B22" s="28" t="n">
        <v>6</v>
      </c>
      <c r="C22" s="26" t="n">
        <v>10.2</v>
      </c>
      <c r="D22" s="27" t="n">
        <f aca="false">IF(B22=6,10,5)</f>
        <v>10</v>
      </c>
      <c r="E22" s="28" t="s">
        <v>126</v>
      </c>
      <c r="F22" s="28" t="s">
        <v>103</v>
      </c>
      <c r="G22" s="29" t="n">
        <v>0.0201736111111111</v>
      </c>
      <c r="H22" s="29" t="n">
        <f aca="false">G22*D22/C22</f>
        <v>0.0197780501089325</v>
      </c>
      <c r="I22" s="28" t="s">
        <v>127</v>
      </c>
      <c r="J22" s="29" t="n">
        <v>0.0205902777777778</v>
      </c>
      <c r="K22" s="27" t="n">
        <v>3</v>
      </c>
      <c r="L22" s="29" t="n">
        <f aca="false">J22*D22/C22</f>
        <v>0.0201865468409586</v>
      </c>
      <c r="M22" s="30" t="n">
        <f aca="false">ROUND((L22-H22)*86400,1)</f>
        <v>35.3</v>
      </c>
    </row>
    <row r="23" customFormat="false" ht="15" hidden="false" customHeight="false" outlineLevel="0" collapsed="false">
      <c r="A23" s="13" t="s">
        <v>66</v>
      </c>
      <c r="B23" s="8" t="n">
        <v>1</v>
      </c>
      <c r="C23" s="18" t="n">
        <v>8</v>
      </c>
      <c r="D23" s="14" t="n">
        <f aca="false">IF(B23=6,10,5)</f>
        <v>5</v>
      </c>
      <c r="E23" s="8" t="s">
        <v>128</v>
      </c>
      <c r="F23" s="8" t="s">
        <v>95</v>
      </c>
      <c r="G23" s="31" t="n">
        <v>0.0162962962962963</v>
      </c>
      <c r="H23" s="31" t="n">
        <f aca="false">G23*D23/C23</f>
        <v>0.0101851851851852</v>
      </c>
      <c r="I23" s="8" t="s">
        <v>129</v>
      </c>
      <c r="J23" s="31" t="n">
        <v>0.0165046296296296</v>
      </c>
      <c r="K23" s="14" t="n">
        <v>6</v>
      </c>
      <c r="L23" s="31" t="n">
        <f aca="false">J23*D23/C23</f>
        <v>0.0103153935185185</v>
      </c>
      <c r="M23" s="15" t="n">
        <f aca="false">ROUND((L23-H23)*86400,1)</f>
        <v>11.3</v>
      </c>
    </row>
    <row r="24" customFormat="false" ht="15" hidden="false" customHeight="false" outlineLevel="0" collapsed="false">
      <c r="A24" s="13" t="s">
        <v>66</v>
      </c>
      <c r="B24" s="8" t="n">
        <v>2</v>
      </c>
      <c r="C24" s="18" t="n">
        <v>5.8</v>
      </c>
      <c r="D24" s="14" t="n">
        <f aca="false">IF(B24=6,10,5)</f>
        <v>5</v>
      </c>
      <c r="E24" s="8" t="s">
        <v>130</v>
      </c>
      <c r="F24" s="8" t="s">
        <v>131</v>
      </c>
      <c r="G24" s="31" t="n">
        <v>0.0110763888888889</v>
      </c>
      <c r="H24" s="31" t="n">
        <f aca="false">G24*D24/C24</f>
        <v>0.00954861111111111</v>
      </c>
      <c r="I24" s="8" t="s">
        <v>132</v>
      </c>
      <c r="J24" s="31" t="n">
        <v>0.0117592592592593</v>
      </c>
      <c r="K24" s="14" t="n">
        <v>10</v>
      </c>
      <c r="L24" s="31" t="n">
        <f aca="false">J24*D24/C24</f>
        <v>0.0101372924648787</v>
      </c>
      <c r="M24" s="15" t="n">
        <f aca="false">ROUND((L24-H24)*86400,1)</f>
        <v>50.9</v>
      </c>
    </row>
    <row r="25" customFormat="false" ht="15" hidden="false" customHeight="false" outlineLevel="0" collapsed="false">
      <c r="A25" s="13" t="s">
        <v>66</v>
      </c>
      <c r="B25" s="8" t="n">
        <v>3</v>
      </c>
      <c r="C25" s="18" t="n">
        <v>8.5</v>
      </c>
      <c r="D25" s="14" t="n">
        <f aca="false">IF(B25=6,10,5)</f>
        <v>5</v>
      </c>
      <c r="E25" s="8" t="s">
        <v>122</v>
      </c>
      <c r="F25" s="8" t="s">
        <v>103</v>
      </c>
      <c r="G25" s="31" t="n">
        <v>0.0165393518518519</v>
      </c>
      <c r="H25" s="31" t="n">
        <f aca="false">G25*D25/C25</f>
        <v>0.00972903050108932</v>
      </c>
      <c r="I25" s="8" t="s">
        <v>133</v>
      </c>
      <c r="J25" s="31" t="n">
        <v>0.0175578703703704</v>
      </c>
      <c r="K25" s="14" t="n">
        <v>10</v>
      </c>
      <c r="L25" s="31" t="n">
        <f aca="false">J25*D25/C25</f>
        <v>0.0103281590413943</v>
      </c>
      <c r="M25" s="15" t="n">
        <f aca="false">ROUND((L25-H25)*86400,1)</f>
        <v>51.8</v>
      </c>
    </row>
    <row r="26" customFormat="false" ht="15" hidden="false" customHeight="false" outlineLevel="0" collapsed="false">
      <c r="A26" s="13" t="s">
        <v>66</v>
      </c>
      <c r="B26" s="8" t="n">
        <v>4</v>
      </c>
      <c r="C26" s="18" t="n">
        <v>6.2</v>
      </c>
      <c r="D26" s="14" t="n">
        <f aca="false">IF(B26=6,10,5)</f>
        <v>5</v>
      </c>
      <c r="E26" s="8" t="s">
        <v>134</v>
      </c>
      <c r="F26" s="8" t="s">
        <v>103</v>
      </c>
      <c r="G26" s="31" t="n">
        <v>0.012037037037037</v>
      </c>
      <c r="H26" s="31" t="n">
        <f aca="false">G26*D26/C26</f>
        <v>0.00970728793309439</v>
      </c>
      <c r="I26" s="8" t="s">
        <v>135</v>
      </c>
      <c r="J26" s="31" t="n">
        <v>0.0123148148148148</v>
      </c>
      <c r="K26" s="14" t="n">
        <v>8</v>
      </c>
      <c r="L26" s="31" t="n">
        <f aca="false">J26*D26/C26</f>
        <v>0.00993130227001194</v>
      </c>
      <c r="M26" s="15" t="n">
        <f aca="false">ROUND((L26-H26)*86400,1)</f>
        <v>19.4</v>
      </c>
    </row>
    <row r="27" customFormat="false" ht="15" hidden="false" customHeight="false" outlineLevel="0" collapsed="false">
      <c r="A27" s="13" t="s">
        <v>66</v>
      </c>
      <c r="B27" s="8" t="n">
        <v>5</v>
      </c>
      <c r="C27" s="18" t="n">
        <v>6.4</v>
      </c>
      <c r="D27" s="14" t="n">
        <f aca="false">IF(B27=6,10,5)</f>
        <v>5</v>
      </c>
      <c r="E27" s="8" t="s">
        <v>136</v>
      </c>
      <c r="F27" s="8" t="s">
        <v>117</v>
      </c>
      <c r="G27" s="31" t="n">
        <v>0.0124305555555556</v>
      </c>
      <c r="H27" s="31" t="n">
        <f aca="false">G27*D27/C27</f>
        <v>0.00971137152777778</v>
      </c>
      <c r="I27" s="8" t="s">
        <v>136</v>
      </c>
      <c r="J27" s="31" t="n">
        <v>0.0124305555555556</v>
      </c>
      <c r="K27" s="14" t="n">
        <v>1</v>
      </c>
      <c r="L27" s="31" t="n">
        <f aca="false">J27*D27/C27</f>
        <v>0.00971137152777778</v>
      </c>
      <c r="M27" s="15" t="n">
        <f aca="false">ROUND((L27-H27)*86400,1)</f>
        <v>0</v>
      </c>
    </row>
    <row r="28" customFormat="false" ht="15" hidden="false" customHeight="false" outlineLevel="0" collapsed="false">
      <c r="A28" s="13" t="s">
        <v>66</v>
      </c>
      <c r="B28" s="8" t="n">
        <v>6</v>
      </c>
      <c r="C28" s="18" t="n">
        <v>10.2</v>
      </c>
      <c r="D28" s="14" t="n">
        <f aca="false">IF(B28=6,10,5)</f>
        <v>10</v>
      </c>
      <c r="E28" s="8" t="s">
        <v>113</v>
      </c>
      <c r="F28" s="8" t="s">
        <v>117</v>
      </c>
      <c r="G28" s="31" t="n">
        <v>0.0203125</v>
      </c>
      <c r="H28" s="31" t="n">
        <f aca="false">G28*D28/C28</f>
        <v>0.0199142156862745</v>
      </c>
      <c r="I28" s="8" t="s">
        <v>113</v>
      </c>
      <c r="J28" s="31" t="n">
        <v>0.0203125</v>
      </c>
      <c r="K28" s="14" t="n">
        <v>1</v>
      </c>
      <c r="L28" s="31" t="n">
        <f aca="false">J28*D28/C28</f>
        <v>0.0199142156862745</v>
      </c>
      <c r="M28" s="15" t="n">
        <f aca="false">ROUND((L28-H28)*86400,1)</f>
        <v>0</v>
      </c>
    </row>
    <row r="29" customFormat="false" ht="15" hidden="false" customHeight="false" outlineLevel="0" collapsed="false">
      <c r="A29" s="25" t="s">
        <v>67</v>
      </c>
      <c r="B29" s="28" t="n">
        <v>1</v>
      </c>
      <c r="C29" s="26" t="n">
        <v>8</v>
      </c>
      <c r="D29" s="27" t="n">
        <f aca="false">IF(B29=6,10,5)</f>
        <v>5</v>
      </c>
      <c r="E29" s="28" t="s">
        <v>137</v>
      </c>
      <c r="F29" s="28" t="s">
        <v>98</v>
      </c>
      <c r="G29" s="29" t="n">
        <v>0.0157638888888889</v>
      </c>
      <c r="H29" s="29" t="n">
        <f aca="false">G29*D29/C29</f>
        <v>0.00985243055555556</v>
      </c>
      <c r="I29" s="28" t="s">
        <v>138</v>
      </c>
      <c r="J29" s="29" t="n">
        <v>0.0158333333333333</v>
      </c>
      <c r="K29" s="27" t="n">
        <v>2</v>
      </c>
      <c r="L29" s="29" t="n">
        <f aca="false">J29*D29/C29</f>
        <v>0.00989583333333333</v>
      </c>
      <c r="M29" s="30" t="n">
        <f aca="false">ROUND((L29-H29)*86400,1)</f>
        <v>3.7</v>
      </c>
    </row>
    <row r="30" customFormat="false" ht="15" hidden="false" customHeight="false" outlineLevel="0" collapsed="false">
      <c r="A30" s="25" t="s">
        <v>67</v>
      </c>
      <c r="B30" s="28" t="n">
        <v>2</v>
      </c>
      <c r="C30" s="26" t="n">
        <v>5.8</v>
      </c>
      <c r="D30" s="27" t="n">
        <f aca="false">IF(B30=6,10,5)</f>
        <v>5</v>
      </c>
      <c r="E30" s="28" t="s">
        <v>139</v>
      </c>
      <c r="F30" s="28" t="s">
        <v>131</v>
      </c>
      <c r="G30" s="29" t="n">
        <v>0.0109027777777778</v>
      </c>
      <c r="H30" s="29" t="n">
        <f aca="false">G30*D30/C30</f>
        <v>0.00939894636015326</v>
      </c>
      <c r="I30" s="28" t="s">
        <v>118</v>
      </c>
      <c r="J30" s="29" t="n">
        <v>0.0112268518518519</v>
      </c>
      <c r="K30" s="27" t="n">
        <v>9</v>
      </c>
      <c r="L30" s="29" t="n">
        <f aca="false">J30*D30/C30</f>
        <v>0.00967832056194125</v>
      </c>
      <c r="M30" s="30" t="n">
        <f aca="false">ROUND((L30-H30)*86400,1)</f>
        <v>24.1</v>
      </c>
    </row>
    <row r="31" customFormat="false" ht="15" hidden="false" customHeight="false" outlineLevel="0" collapsed="false">
      <c r="A31" s="25" t="s">
        <v>67</v>
      </c>
      <c r="B31" s="28" t="n">
        <v>3</v>
      </c>
      <c r="C31" s="26" t="n">
        <v>8.5</v>
      </c>
      <c r="D31" s="27" t="n">
        <f aca="false">IF(B31=6,10,5)</f>
        <v>5</v>
      </c>
      <c r="E31" s="28" t="s">
        <v>140</v>
      </c>
      <c r="F31" s="28" t="s">
        <v>141</v>
      </c>
      <c r="G31" s="29" t="n">
        <v>0.0163078703703704</v>
      </c>
      <c r="H31" s="29" t="n">
        <f aca="false">G31*D31/C31</f>
        <v>0.00959286492374728</v>
      </c>
      <c r="I31" s="28" t="s">
        <v>133</v>
      </c>
      <c r="J31" s="29" t="n">
        <v>0.0171180555555556</v>
      </c>
      <c r="K31" s="27" t="n">
        <v>11</v>
      </c>
      <c r="L31" s="29" t="n">
        <f aca="false">J31*D31/C31</f>
        <v>0.0100694444444444</v>
      </c>
      <c r="M31" s="30" t="n">
        <f aca="false">ROUND((L31-H31)*86400,1)</f>
        <v>41.2</v>
      </c>
    </row>
    <row r="32" customFormat="false" ht="15" hidden="false" customHeight="false" outlineLevel="0" collapsed="false">
      <c r="A32" s="25" t="s">
        <v>67</v>
      </c>
      <c r="B32" s="28" t="n">
        <v>4</v>
      </c>
      <c r="C32" s="26" t="n">
        <v>6.2</v>
      </c>
      <c r="D32" s="27" t="n">
        <f aca="false">IF(B32=6,10,5)</f>
        <v>5</v>
      </c>
      <c r="E32" s="28" t="s">
        <v>142</v>
      </c>
      <c r="F32" s="28" t="s">
        <v>131</v>
      </c>
      <c r="G32" s="29" t="n">
        <v>0.0119212962962963</v>
      </c>
      <c r="H32" s="29" t="n">
        <f aca="false">G32*D32/C32</f>
        <v>0.0096139486260454</v>
      </c>
      <c r="I32" s="28" t="s">
        <v>129</v>
      </c>
      <c r="J32" s="29" t="n">
        <v>0.0124884259259259</v>
      </c>
      <c r="K32" s="27" t="n">
        <v>11</v>
      </c>
      <c r="L32" s="29" t="n">
        <f aca="false">J32*D32/C32</f>
        <v>0.0100713112305854</v>
      </c>
      <c r="M32" s="30" t="n">
        <f aca="false">ROUND((L32-H32)*86400,1)</f>
        <v>39.5</v>
      </c>
    </row>
    <row r="33" customFormat="false" ht="15" hidden="false" customHeight="false" outlineLevel="0" collapsed="false">
      <c r="A33" s="25" t="s">
        <v>67</v>
      </c>
      <c r="B33" s="28" t="n">
        <v>5</v>
      </c>
      <c r="C33" s="26" t="n">
        <v>6.4</v>
      </c>
      <c r="D33" s="27" t="n">
        <f aca="false">IF(B33=6,10,5)</f>
        <v>5</v>
      </c>
      <c r="E33" s="28" t="s">
        <v>143</v>
      </c>
      <c r="F33" s="28" t="s">
        <v>131</v>
      </c>
      <c r="G33" s="29" t="n">
        <v>0.0122106481481482</v>
      </c>
      <c r="H33" s="29" t="n">
        <f aca="false">G33*D33/C33</f>
        <v>0.00953956886574074</v>
      </c>
      <c r="I33" s="28" t="s">
        <v>144</v>
      </c>
      <c r="J33" s="29" t="n">
        <v>0.0124074074074074</v>
      </c>
      <c r="K33" s="27" t="n">
        <v>7</v>
      </c>
      <c r="L33" s="29" t="n">
        <f aca="false">J33*D33/C33</f>
        <v>0.00969328703703704</v>
      </c>
      <c r="M33" s="30" t="n">
        <f aca="false">ROUND((L33-H33)*86400,1)</f>
        <v>13.3</v>
      </c>
    </row>
    <row r="34" customFormat="false" ht="15" hidden="false" customHeight="false" outlineLevel="0" collapsed="false">
      <c r="A34" s="25" t="s">
        <v>67</v>
      </c>
      <c r="B34" s="28" t="n">
        <v>6</v>
      </c>
      <c r="C34" s="26" t="n">
        <v>10.2</v>
      </c>
      <c r="D34" s="27" t="n">
        <f aca="false">IF(B34=6,10,5)</f>
        <v>10</v>
      </c>
      <c r="E34" s="28" t="s">
        <v>145</v>
      </c>
      <c r="F34" s="28" t="s">
        <v>131</v>
      </c>
      <c r="G34" s="29" t="n">
        <v>0.0201388888888889</v>
      </c>
      <c r="H34" s="29" t="n">
        <f aca="false">G34*D34/C34</f>
        <v>0.019744008714597</v>
      </c>
      <c r="I34" s="28" t="s">
        <v>146</v>
      </c>
      <c r="J34" s="29" t="n">
        <v>0.0211226851851852</v>
      </c>
      <c r="K34" s="27" t="n">
        <v>9</v>
      </c>
      <c r="L34" s="29" t="n">
        <f aca="false">J34*D34/C34</f>
        <v>0.0207085148874365</v>
      </c>
      <c r="M34" s="30" t="n">
        <f aca="false">ROUND((L34-H34)*86400,1)</f>
        <v>83.3</v>
      </c>
    </row>
  </sheetData>
  <autoFilter ref="A4:M34"/>
  <mergeCells count="1">
    <mergeCell ref="A2:M2"/>
  </mergeCells>
  <conditionalFormatting sqref="M5:M34">
    <cfRule type="colorScale" priority="2">
      <colorScale>
        <cfvo type="num" val="0"/>
        <cfvo type="num" val="80"/>
        <color rgb="FFFFFFFF"/>
        <color rgb="FFF8696B"/>
      </colorScale>
    </cfRule>
  </conditionalFormatting>
  <conditionalFormatting sqref="K5:K34">
    <cfRule type="expression" priority="3" aboveAverage="0" equalAverage="0" bottom="0" percent="0" rank="0" text="" dxfId="28">
      <formula>$K5=1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L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2" min="10" style="0" width="9"/>
  </cols>
  <sheetData>
    <row r="1" customFormat="false" ht="19.4" hidden="false" customHeight="false" outlineLevel="0" collapsed="false">
      <c r="A1" s="32" t="s">
        <v>147</v>
      </c>
    </row>
    <row r="2" customFormat="false" ht="30" hidden="false" customHeight="true" outlineLevel="0" collapsed="false">
      <c r="A2" s="10" t="s">
        <v>148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</row>
    <row r="4" customFormat="false" ht="33.75" hidden="false" customHeight="true" outlineLevel="0" collapsed="false">
      <c r="A4" s="11" t="s">
        <v>46</v>
      </c>
      <c r="B4" s="11" t="s">
        <v>80</v>
      </c>
      <c r="C4" s="11" t="s">
        <v>149</v>
      </c>
      <c r="D4" s="12" t="s">
        <v>150</v>
      </c>
      <c r="E4" s="11" t="s">
        <v>151</v>
      </c>
      <c r="F4" s="11" t="s">
        <v>152</v>
      </c>
      <c r="G4" s="11" t="s">
        <v>92</v>
      </c>
      <c r="H4" s="11" t="s">
        <v>153</v>
      </c>
      <c r="I4" s="11" t="s">
        <v>154</v>
      </c>
      <c r="J4" s="11" t="s">
        <v>93</v>
      </c>
      <c r="K4" s="11" t="s">
        <v>24</v>
      </c>
      <c r="L4" s="12" t="s">
        <v>155</v>
      </c>
    </row>
    <row r="5" customFormat="false" ht="15" hidden="false" customHeight="false" outlineLevel="0" collapsed="false">
      <c r="A5" s="25" t="s">
        <v>63</v>
      </c>
      <c r="B5" s="28" t="n">
        <v>1</v>
      </c>
      <c r="C5" s="28" t="s">
        <v>156</v>
      </c>
      <c r="D5" s="33" t="n">
        <v>0.00959375</v>
      </c>
      <c r="E5" s="28" t="s">
        <v>157</v>
      </c>
      <c r="F5" s="29" t="n">
        <v>0.0157986111111111</v>
      </c>
      <c r="G5" s="27" t="n">
        <v>3</v>
      </c>
      <c r="H5" s="26" t="n">
        <v>8</v>
      </c>
      <c r="I5" s="34" t="n">
        <f aca="false">F5*5/H5</f>
        <v>0.00987413194444444</v>
      </c>
      <c r="J5" s="30" t="n">
        <f aca="false">ROUND((I5-D5)*86400,1)</f>
        <v>24.2</v>
      </c>
      <c r="K5" s="35" t="n">
        <f aca="false">I5/D5-1</f>
        <v>0.0292254795512124</v>
      </c>
      <c r="L5" s="14" t="n">
        <v>8</v>
      </c>
    </row>
    <row r="6" customFormat="false" ht="15" hidden="false" customHeight="false" outlineLevel="0" collapsed="false">
      <c r="A6" s="25" t="s">
        <v>63</v>
      </c>
      <c r="B6" s="28" t="n">
        <v>2</v>
      </c>
      <c r="C6" s="28" t="s">
        <v>158</v>
      </c>
      <c r="D6" s="33" t="n">
        <v>0.00956956018518518</v>
      </c>
      <c r="E6" s="28" t="s">
        <v>157</v>
      </c>
      <c r="F6" s="29" t="n">
        <v>0.0109027777777778</v>
      </c>
      <c r="G6" s="27" t="n">
        <v>4</v>
      </c>
      <c r="H6" s="26" t="n">
        <v>5.8</v>
      </c>
      <c r="I6" s="34" t="n">
        <f aca="false">F6*5/H6</f>
        <v>0.00939894636015326</v>
      </c>
      <c r="J6" s="30" t="n">
        <f aca="false">ROUND((I6-D6)*86400,1)</f>
        <v>-14.7</v>
      </c>
      <c r="K6" s="35" t="n">
        <f aca="false">I6/D6-1</f>
        <v>-0.0178288052669395</v>
      </c>
      <c r="L6" s="14" t="n">
        <v>7</v>
      </c>
    </row>
    <row r="7" customFormat="false" ht="15" hidden="false" customHeight="false" outlineLevel="0" collapsed="false">
      <c r="A7" s="25" t="s">
        <v>63</v>
      </c>
      <c r="B7" s="28" t="n">
        <v>3</v>
      </c>
      <c r="C7" s="28" t="s">
        <v>159</v>
      </c>
      <c r="D7" s="33" t="n">
        <v>0.00952627314814815</v>
      </c>
      <c r="E7" s="28" t="s">
        <v>157</v>
      </c>
      <c r="F7" s="29" t="n">
        <v>0.0165625</v>
      </c>
      <c r="G7" s="27" t="n">
        <v>3</v>
      </c>
      <c r="H7" s="26" t="n">
        <v>8.5</v>
      </c>
      <c r="I7" s="34" t="n">
        <f aca="false">F7*5/H7</f>
        <v>0.00974264705882353</v>
      </c>
      <c r="J7" s="30" t="n">
        <f aca="false">ROUND((I7-D7)*86400,1)</f>
        <v>18.7</v>
      </c>
      <c r="K7" s="35" t="n">
        <f aca="false">I7/D7-1</f>
        <v>0.0227133851098364</v>
      </c>
      <c r="L7" s="14" t="n">
        <v>3</v>
      </c>
    </row>
    <row r="8" customFormat="false" ht="15" hidden="false" customHeight="false" outlineLevel="0" collapsed="false">
      <c r="A8" s="25" t="s">
        <v>63</v>
      </c>
      <c r="B8" s="28" t="n">
        <v>4</v>
      </c>
      <c r="C8" s="28" t="s">
        <v>160</v>
      </c>
      <c r="D8" s="33" t="n">
        <v>0.00991412037037037</v>
      </c>
      <c r="E8" s="28" t="s">
        <v>157</v>
      </c>
      <c r="F8" s="29" t="n">
        <v>0.0130208333333333</v>
      </c>
      <c r="G8" s="27" t="n">
        <v>6</v>
      </c>
      <c r="H8" s="26" t="n">
        <v>6.2</v>
      </c>
      <c r="I8" s="34" t="n">
        <f aca="false">F8*5/H8</f>
        <v>0.0105006720430108</v>
      </c>
      <c r="J8" s="30" t="n">
        <f aca="false">ROUND((I8-D8)*86400,1)</f>
        <v>50.7</v>
      </c>
      <c r="K8" s="35" t="n">
        <f aca="false">I8/D8-1</f>
        <v>0.0591632591423206</v>
      </c>
      <c r="L8" s="14" t="n">
        <v>18</v>
      </c>
    </row>
    <row r="9" customFormat="false" ht="15" hidden="false" customHeight="false" outlineLevel="0" collapsed="false">
      <c r="A9" s="25" t="s">
        <v>63</v>
      </c>
      <c r="B9" s="28" t="n">
        <v>5</v>
      </c>
      <c r="C9" s="28" t="s">
        <v>161</v>
      </c>
      <c r="D9" s="33" t="n">
        <v>0.00985868055555556</v>
      </c>
      <c r="E9" s="28" t="s">
        <v>157</v>
      </c>
      <c r="F9" s="29" t="n">
        <v>0.0135416666666667</v>
      </c>
      <c r="G9" s="27" t="n">
        <v>6</v>
      </c>
      <c r="H9" s="26" t="n">
        <v>6.4</v>
      </c>
      <c r="I9" s="34" t="n">
        <f aca="false">F9*5/H9</f>
        <v>0.0105794270833333</v>
      </c>
      <c r="J9" s="30" t="n">
        <f aca="false">ROUND((I9-D9)*86400,1)</f>
        <v>62.3</v>
      </c>
      <c r="K9" s="35" t="n">
        <f aca="false">I9/D9-1</f>
        <v>0.0731078082626002</v>
      </c>
      <c r="L9" s="14" t="n">
        <v>15</v>
      </c>
    </row>
    <row r="10" customFormat="false" ht="15" hidden="false" customHeight="false" outlineLevel="0" collapsed="false">
      <c r="A10" s="25" t="s">
        <v>63</v>
      </c>
      <c r="B10" s="28" t="n">
        <v>6</v>
      </c>
      <c r="C10" s="28" t="s">
        <v>162</v>
      </c>
      <c r="D10" s="33" t="n">
        <v>0.00955810185185185</v>
      </c>
      <c r="E10" s="28" t="s">
        <v>157</v>
      </c>
      <c r="F10" s="29" t="n">
        <v>0.0206597222222222</v>
      </c>
      <c r="G10" s="27" t="n">
        <v>3</v>
      </c>
      <c r="H10" s="26" t="n">
        <v>10.2</v>
      </c>
      <c r="I10" s="34" t="n">
        <f aca="false">F10*5/H10</f>
        <v>0.0101273148148148</v>
      </c>
      <c r="J10" s="30" t="n">
        <f aca="false">ROUND((I10-D10)*86400,1)</f>
        <v>49.2</v>
      </c>
      <c r="K10" s="35" t="n">
        <f aca="false">I10/D10-1</f>
        <v>0.0595529292097552</v>
      </c>
      <c r="L10" s="14" t="n">
        <v>6</v>
      </c>
    </row>
    <row r="11" customFormat="false" ht="15" hidden="false" customHeight="false" outlineLevel="0" collapsed="false">
      <c r="A11" s="13" t="s">
        <v>64</v>
      </c>
      <c r="B11" s="8" t="n">
        <v>1</v>
      </c>
      <c r="C11" s="8" t="s">
        <v>163</v>
      </c>
      <c r="D11" s="36" t="n">
        <v>0.00945520833333333</v>
      </c>
      <c r="E11" s="8" t="s">
        <v>164</v>
      </c>
      <c r="F11" s="31" t="n">
        <v>0.01625</v>
      </c>
      <c r="G11" s="14" t="n">
        <v>6</v>
      </c>
      <c r="H11" s="18" t="n">
        <v>8</v>
      </c>
      <c r="I11" s="16" t="n">
        <f aca="false">F11*5/H11</f>
        <v>0.01015625</v>
      </c>
      <c r="J11" s="15" t="n">
        <f aca="false">ROUND((I11-D11)*86400,1)</f>
        <v>60.6</v>
      </c>
      <c r="K11" s="37" t="n">
        <f aca="false">I11/D11-1</f>
        <v>0.0741434394623775</v>
      </c>
      <c r="L11" s="14" t="n">
        <v>7</v>
      </c>
    </row>
    <row r="12" customFormat="false" ht="15" hidden="false" customHeight="false" outlineLevel="0" collapsed="false">
      <c r="A12" s="13" t="s">
        <v>64</v>
      </c>
      <c r="B12" s="8" t="n">
        <v>2</v>
      </c>
      <c r="C12" s="8" t="s">
        <v>165</v>
      </c>
      <c r="D12" s="36" t="n">
        <v>0.00945081018518519</v>
      </c>
      <c r="E12" s="8" t="s">
        <v>164</v>
      </c>
      <c r="F12" s="31" t="n">
        <v>0.0112037037037037</v>
      </c>
      <c r="G12" s="14" t="n">
        <v>1</v>
      </c>
      <c r="H12" s="18" t="n">
        <v>5.8</v>
      </c>
      <c r="I12" s="16" t="n">
        <f aca="false">F12*5/H12</f>
        <v>0.00965836526181354</v>
      </c>
      <c r="J12" s="15" t="n">
        <f aca="false">ROUND((I12-D12)*86400,1)</f>
        <v>17.9</v>
      </c>
      <c r="K12" s="37" t="n">
        <f aca="false">I12/D12-1</f>
        <v>0.0219616173176038</v>
      </c>
      <c r="L12" s="14" t="n">
        <v>5</v>
      </c>
    </row>
    <row r="13" customFormat="false" ht="15" hidden="false" customHeight="false" outlineLevel="0" collapsed="false">
      <c r="A13" s="13" t="s">
        <v>64</v>
      </c>
      <c r="B13" s="8" t="n">
        <v>3</v>
      </c>
      <c r="C13" s="8" t="s">
        <v>166</v>
      </c>
      <c r="D13" s="36" t="n">
        <v>0.0094494212962963</v>
      </c>
      <c r="E13" s="8" t="s">
        <v>164</v>
      </c>
      <c r="F13" s="31" t="n">
        <v>0.0172685185185185</v>
      </c>
      <c r="G13" s="14" t="n">
        <v>3</v>
      </c>
      <c r="H13" s="18" t="n">
        <v>8.5</v>
      </c>
      <c r="I13" s="16" t="n">
        <f aca="false">F13*5/H13</f>
        <v>0.0101579520697168</v>
      </c>
      <c r="J13" s="15" t="n">
        <f aca="false">ROUND((I13-D13)*86400,1)</f>
        <v>61.2</v>
      </c>
      <c r="K13" s="37" t="n">
        <f aca="false">I13/D13-1</f>
        <v>0.0749813931672396</v>
      </c>
      <c r="L13" s="14" t="n">
        <v>4</v>
      </c>
    </row>
    <row r="14" customFormat="false" ht="15" hidden="false" customHeight="false" outlineLevel="0" collapsed="false">
      <c r="A14" s="13" t="s">
        <v>64</v>
      </c>
      <c r="B14" s="8" t="n">
        <v>4</v>
      </c>
      <c r="C14" s="8" t="s">
        <v>167</v>
      </c>
      <c r="D14" s="36" t="n">
        <v>0.00943333333333333</v>
      </c>
      <c r="E14" s="8" t="s">
        <v>164</v>
      </c>
      <c r="F14" s="31" t="n">
        <v>0.0122106481481482</v>
      </c>
      <c r="G14" s="14" t="n">
        <v>1</v>
      </c>
      <c r="H14" s="18" t="n">
        <v>6.2</v>
      </c>
      <c r="I14" s="16" t="n">
        <f aca="false">F14*5/H14</f>
        <v>0.00984729689366786</v>
      </c>
      <c r="J14" s="15" t="n">
        <f aca="false">ROUND((I14-D14)*86400,1)</f>
        <v>35.8</v>
      </c>
      <c r="K14" s="37" t="n">
        <f aca="false">I14/D14-1</f>
        <v>0.0438830629329889</v>
      </c>
      <c r="L14" s="14" t="n">
        <v>3</v>
      </c>
    </row>
    <row r="15" customFormat="false" ht="15" hidden="false" customHeight="false" outlineLevel="0" collapsed="false">
      <c r="A15" s="13" t="s">
        <v>64</v>
      </c>
      <c r="B15" s="8" t="n">
        <v>5</v>
      </c>
      <c r="C15" s="8" t="s">
        <v>168</v>
      </c>
      <c r="D15" s="36" t="n">
        <v>0.00945289351851852</v>
      </c>
      <c r="E15" s="8" t="s">
        <v>164</v>
      </c>
      <c r="F15" s="31" t="n">
        <v>0.0132523148148148</v>
      </c>
      <c r="G15" s="14" t="n">
        <v>9</v>
      </c>
      <c r="H15" s="18" t="n">
        <v>6.4</v>
      </c>
      <c r="I15" s="16" t="n">
        <f aca="false">F15*5/H15</f>
        <v>0.0103533709490741</v>
      </c>
      <c r="J15" s="15" t="n">
        <f aca="false">ROUND((I15-D15)*86400,1)</f>
        <v>77.8</v>
      </c>
      <c r="K15" s="37" t="n">
        <f aca="false">I15/D15-1</f>
        <v>0.0952594492671992</v>
      </c>
      <c r="L15" s="14" t="n">
        <v>6</v>
      </c>
    </row>
    <row r="16" customFormat="false" ht="15" hidden="false" customHeight="false" outlineLevel="0" collapsed="false">
      <c r="A16" s="13" t="s">
        <v>64</v>
      </c>
      <c r="B16" s="8" t="n">
        <v>6</v>
      </c>
      <c r="C16" s="8" t="s">
        <v>169</v>
      </c>
      <c r="D16" s="36" t="n">
        <v>0.00962106481481482</v>
      </c>
      <c r="E16" s="8" t="s">
        <v>164</v>
      </c>
      <c r="F16" s="31" t="n">
        <v>0.0211111111111111</v>
      </c>
      <c r="G16" s="14" t="n">
        <v>7</v>
      </c>
      <c r="H16" s="18" t="n">
        <v>10.2</v>
      </c>
      <c r="I16" s="16" t="n">
        <f aca="false">F16*5/H16</f>
        <v>0.0103485838779956</v>
      </c>
      <c r="J16" s="15" t="n">
        <f aca="false">ROUND((I16-D16)*86400,1)</f>
        <v>62.9</v>
      </c>
      <c r="K16" s="37" t="n">
        <f aca="false">I16/D16-1</f>
        <v>0.0756173123436992</v>
      </c>
      <c r="L16" s="14" t="n">
        <v>13</v>
      </c>
    </row>
    <row r="17" customFormat="false" ht="15" hidden="false" customHeight="false" outlineLevel="0" collapsed="false">
      <c r="A17" s="25" t="s">
        <v>65</v>
      </c>
      <c r="B17" s="28" t="n">
        <v>1</v>
      </c>
      <c r="C17" s="28" t="s">
        <v>169</v>
      </c>
      <c r="D17" s="33" t="n">
        <v>0.0096212962962963</v>
      </c>
      <c r="E17" s="28" t="s">
        <v>170</v>
      </c>
      <c r="F17" s="29" t="n">
        <v>0.0164351851851852</v>
      </c>
      <c r="G17" s="27" t="n">
        <v>1</v>
      </c>
      <c r="H17" s="26" t="n">
        <v>8</v>
      </c>
      <c r="I17" s="34" t="n">
        <f aca="false">F17*5/H17</f>
        <v>0.0102719907407407</v>
      </c>
      <c r="J17" s="30" t="n">
        <f aca="false">ROUND((I17-D17)*86400,1)</f>
        <v>56.2</v>
      </c>
      <c r="K17" s="35" t="n">
        <f aca="false">I17/D17-1</f>
        <v>0.0676306419016453</v>
      </c>
      <c r="L17" s="14" t="n">
        <v>1</v>
      </c>
    </row>
    <row r="18" customFormat="false" ht="15" hidden="false" customHeight="false" outlineLevel="0" collapsed="false">
      <c r="A18" s="25" t="s">
        <v>65</v>
      </c>
      <c r="B18" s="28" t="n">
        <v>2</v>
      </c>
      <c r="C18" s="28" t="s">
        <v>163</v>
      </c>
      <c r="D18" s="33" t="n">
        <v>0.0095974537037037</v>
      </c>
      <c r="E18" s="28" t="s">
        <v>171</v>
      </c>
      <c r="F18" s="29" t="n">
        <v>0.0114814814814815</v>
      </c>
      <c r="G18" s="27" t="n">
        <v>6</v>
      </c>
      <c r="H18" s="26" t="n">
        <v>5.8</v>
      </c>
      <c r="I18" s="34" t="n">
        <f aca="false">F18*5/H18</f>
        <v>0.0098978288633461</v>
      </c>
      <c r="J18" s="30" t="n">
        <f aca="false">ROUND((I18-D18)*86400,1)</f>
        <v>26</v>
      </c>
      <c r="K18" s="35" t="n">
        <f aca="false">I18/D18-1</f>
        <v>0.0312973804214844</v>
      </c>
      <c r="L18" s="14" t="n">
        <v>14</v>
      </c>
    </row>
    <row r="19" customFormat="false" ht="15" hidden="false" customHeight="false" outlineLevel="0" collapsed="false">
      <c r="A19" s="25" t="s">
        <v>65</v>
      </c>
      <c r="B19" s="28" t="n">
        <v>3</v>
      </c>
      <c r="C19" s="28" t="s">
        <v>165</v>
      </c>
      <c r="D19" s="33" t="n">
        <v>0.00949016203703704</v>
      </c>
      <c r="E19" s="28" t="s">
        <v>171</v>
      </c>
      <c r="F19" s="29" t="n">
        <v>0.0166087962962963</v>
      </c>
      <c r="G19" s="27" t="n">
        <v>3</v>
      </c>
      <c r="H19" s="26" t="n">
        <v>8.5</v>
      </c>
      <c r="I19" s="34" t="n">
        <f aca="false">F19*5/H19</f>
        <v>0.00976988017429194</v>
      </c>
      <c r="J19" s="30" t="n">
        <f aca="false">ROUND((I19-D19)*86400,1)</f>
        <v>24.2</v>
      </c>
      <c r="K19" s="35" t="n">
        <f aca="false">I19/D19-1</f>
        <v>0.0294745375435375</v>
      </c>
      <c r="L19" s="14" t="n">
        <v>6</v>
      </c>
    </row>
    <row r="20" customFormat="false" ht="15" hidden="false" customHeight="false" outlineLevel="0" collapsed="false">
      <c r="A20" s="25" t="s">
        <v>65</v>
      </c>
      <c r="B20" s="28" t="n">
        <v>4</v>
      </c>
      <c r="C20" s="28" t="s">
        <v>172</v>
      </c>
      <c r="D20" s="33" t="n">
        <v>0.00946493055555556</v>
      </c>
      <c r="E20" s="28" t="s">
        <v>171</v>
      </c>
      <c r="F20" s="29" t="n">
        <v>0.0124768518518519</v>
      </c>
      <c r="G20" s="27" t="n">
        <v>5</v>
      </c>
      <c r="H20" s="26" t="n">
        <v>6.2</v>
      </c>
      <c r="I20" s="34" t="n">
        <f aca="false">F20*5/H20</f>
        <v>0.0100619772998805</v>
      </c>
      <c r="J20" s="30" t="n">
        <f aca="false">ROUND((I20-D20)*86400,1)</f>
        <v>51.6</v>
      </c>
      <c r="K20" s="35" t="n">
        <f aca="false">I20/D20-1</f>
        <v>0.06307988641021</v>
      </c>
      <c r="L20" s="14" t="n">
        <v>3</v>
      </c>
    </row>
    <row r="21" customFormat="false" ht="15" hidden="false" customHeight="false" outlineLevel="0" collapsed="false">
      <c r="A21" s="25" t="s">
        <v>65</v>
      </c>
      <c r="B21" s="28" t="n">
        <v>5</v>
      </c>
      <c r="C21" s="28" t="s">
        <v>173</v>
      </c>
      <c r="D21" s="33" t="n">
        <v>0.0096494212962963</v>
      </c>
      <c r="E21" s="28" t="s">
        <v>171</v>
      </c>
      <c r="F21" s="29" t="n">
        <v>0.012962962962963</v>
      </c>
      <c r="G21" s="27" t="n">
        <v>5</v>
      </c>
      <c r="H21" s="26" t="n">
        <v>6.4</v>
      </c>
      <c r="I21" s="34" t="n">
        <f aca="false">F21*5/H21</f>
        <v>0.0101273148148148</v>
      </c>
      <c r="J21" s="30" t="n">
        <f aca="false">ROUND((I21-D21)*86400,1)</f>
        <v>41.3</v>
      </c>
      <c r="K21" s="35" t="n">
        <f aca="false">I21/D21-1</f>
        <v>0.0495256144222807</v>
      </c>
      <c r="L21" s="14" t="n">
        <v>17</v>
      </c>
    </row>
    <row r="22" customFormat="false" ht="15" hidden="false" customHeight="false" outlineLevel="0" collapsed="false">
      <c r="A22" s="25" t="s">
        <v>65</v>
      </c>
      <c r="B22" s="28" t="n">
        <v>6</v>
      </c>
      <c r="C22" s="28" t="s">
        <v>174</v>
      </c>
      <c r="D22" s="33" t="n">
        <v>0.00973819444444445</v>
      </c>
      <c r="E22" s="28" t="s">
        <v>171</v>
      </c>
      <c r="F22" s="29" t="n">
        <v>0.0205902777777778</v>
      </c>
      <c r="G22" s="27" t="n">
        <v>3</v>
      </c>
      <c r="H22" s="26" t="n">
        <v>10.2</v>
      </c>
      <c r="I22" s="34" t="n">
        <f aca="false">F22*5/H22</f>
        <v>0.0100932734204793</v>
      </c>
      <c r="J22" s="30" t="n">
        <f aca="false">ROUND((I22-D22)*86400,1)</f>
        <v>30.7</v>
      </c>
      <c r="K22" s="35" t="n">
        <f aca="false">I22/D22-1</f>
        <v>0.0364625062747057</v>
      </c>
      <c r="L22" s="14" t="n">
        <v>19</v>
      </c>
    </row>
    <row r="23" customFormat="false" ht="15" hidden="false" customHeight="false" outlineLevel="0" collapsed="false">
      <c r="A23" s="13" t="s">
        <v>66</v>
      </c>
      <c r="B23" s="8" t="n">
        <v>1</v>
      </c>
      <c r="C23" s="8" t="s">
        <v>175</v>
      </c>
      <c r="D23" s="36" t="n">
        <v>0.00951111111111111</v>
      </c>
      <c r="E23" s="8" t="s">
        <v>170</v>
      </c>
      <c r="F23" s="31" t="n">
        <v>0.0165046296296296</v>
      </c>
      <c r="G23" s="14" t="n">
        <v>6</v>
      </c>
      <c r="H23" s="18" t="n">
        <v>8</v>
      </c>
      <c r="I23" s="16" t="n">
        <f aca="false">F23*5/H23</f>
        <v>0.0103153935185185</v>
      </c>
      <c r="J23" s="15" t="n">
        <f aca="false">ROUND((I23-D23)*86400,1)</f>
        <v>69.5</v>
      </c>
      <c r="K23" s="37" t="n">
        <f aca="false">I23/D23-1</f>
        <v>0.0845624026479752</v>
      </c>
      <c r="L23" s="14" t="n">
        <v>3</v>
      </c>
    </row>
    <row r="24" customFormat="false" ht="15" hidden="false" customHeight="false" outlineLevel="0" collapsed="false">
      <c r="A24" s="13" t="s">
        <v>66</v>
      </c>
      <c r="B24" s="8" t="n">
        <v>2</v>
      </c>
      <c r="C24" s="8" t="s">
        <v>176</v>
      </c>
      <c r="D24" s="36" t="n">
        <v>0.00970798611111111</v>
      </c>
      <c r="E24" s="8" t="s">
        <v>170</v>
      </c>
      <c r="F24" s="31" t="n">
        <v>0.0117592592592593</v>
      </c>
      <c r="G24" s="14" t="n">
        <v>10</v>
      </c>
      <c r="H24" s="18" t="n">
        <v>5.8</v>
      </c>
      <c r="I24" s="16" t="n">
        <f aca="false">F24*5/H24</f>
        <v>0.0101372924648787</v>
      </c>
      <c r="J24" s="15" t="n">
        <f aca="false">ROUND((I24-D24)*86400,1)</f>
        <v>37.1</v>
      </c>
      <c r="K24" s="37" t="n">
        <f aca="false">I24/D24-1</f>
        <v>0.0442219785704272</v>
      </c>
      <c r="L24" s="14" t="n">
        <v>21</v>
      </c>
    </row>
    <row r="25" customFormat="false" ht="15" hidden="false" customHeight="false" outlineLevel="0" collapsed="false">
      <c r="A25" s="13" t="s">
        <v>66</v>
      </c>
      <c r="B25" s="8" t="n">
        <v>3</v>
      </c>
      <c r="C25" s="8" t="s">
        <v>177</v>
      </c>
      <c r="D25" s="36" t="n">
        <v>0.00958854166666667</v>
      </c>
      <c r="E25" s="8" t="s">
        <v>170</v>
      </c>
      <c r="F25" s="31" t="n">
        <v>0.0175578703703704</v>
      </c>
      <c r="G25" s="14" t="n">
        <v>10</v>
      </c>
      <c r="H25" s="18" t="n">
        <v>8.5</v>
      </c>
      <c r="I25" s="16" t="n">
        <f aca="false">F25*5/H25</f>
        <v>0.0103281590413943</v>
      </c>
      <c r="J25" s="15" t="n">
        <f aca="false">ROUND((I25-D25)*86400,1)</f>
        <v>63.9</v>
      </c>
      <c r="K25" s="37" t="n">
        <f aca="false">I25/D25-1</f>
        <v>0.077135543697834</v>
      </c>
      <c r="L25" s="14" t="n">
        <v>12</v>
      </c>
    </row>
    <row r="26" customFormat="false" ht="15" hidden="false" customHeight="false" outlineLevel="0" collapsed="false">
      <c r="A26" s="13" t="s">
        <v>66</v>
      </c>
      <c r="B26" s="8" t="n">
        <v>4</v>
      </c>
      <c r="C26" s="8" t="s">
        <v>178</v>
      </c>
      <c r="D26" s="36" t="n">
        <v>0.0095369212962963</v>
      </c>
      <c r="E26" s="8" t="s">
        <v>170</v>
      </c>
      <c r="F26" s="31" t="n">
        <v>0.0123148148148148</v>
      </c>
      <c r="G26" s="14" t="n">
        <v>8</v>
      </c>
      <c r="H26" s="18" t="n">
        <v>6.2</v>
      </c>
      <c r="I26" s="16" t="n">
        <f aca="false">F26*5/H26</f>
        <v>0.00993130227001194</v>
      </c>
      <c r="J26" s="15" t="n">
        <f aca="false">ROUND((I26-D26)*86400,1)</f>
        <v>34.1</v>
      </c>
      <c r="K26" s="37" t="n">
        <f aca="false">I26/D26-1</f>
        <v>0.0413530699754023</v>
      </c>
      <c r="L26" s="14" t="n">
        <v>5</v>
      </c>
    </row>
    <row r="27" customFormat="false" ht="15" hidden="false" customHeight="false" outlineLevel="0" collapsed="false">
      <c r="A27" s="13" t="s">
        <v>66</v>
      </c>
      <c r="B27" s="8" t="n">
        <v>5</v>
      </c>
      <c r="C27" s="8" t="s">
        <v>179</v>
      </c>
      <c r="D27" s="36" t="n">
        <v>0.00960138888888889</v>
      </c>
      <c r="E27" s="8" t="s">
        <v>170</v>
      </c>
      <c r="F27" s="31" t="n">
        <v>0.0124305555555556</v>
      </c>
      <c r="G27" s="14" t="n">
        <v>1</v>
      </c>
      <c r="H27" s="18" t="n">
        <v>6.4</v>
      </c>
      <c r="I27" s="16" t="n">
        <f aca="false">F27*5/H27</f>
        <v>0.00971137152777778</v>
      </c>
      <c r="J27" s="15" t="n">
        <f aca="false">ROUND((I27-D27)*86400,1)</f>
        <v>9.5</v>
      </c>
      <c r="K27" s="37" t="n">
        <f aca="false">I27/D27-1</f>
        <v>0.0114548676406772</v>
      </c>
      <c r="L27" s="14" t="n">
        <v>14</v>
      </c>
    </row>
    <row r="28" customFormat="false" ht="15" hidden="false" customHeight="false" outlineLevel="0" collapsed="false">
      <c r="A28" s="13" t="s">
        <v>66</v>
      </c>
      <c r="B28" s="8" t="n">
        <v>6</v>
      </c>
      <c r="C28" s="8" t="s">
        <v>165</v>
      </c>
      <c r="D28" s="36" t="n">
        <v>0.00942141203703704</v>
      </c>
      <c r="E28" s="8" t="s">
        <v>170</v>
      </c>
      <c r="F28" s="31" t="n">
        <v>0.0203125</v>
      </c>
      <c r="G28" s="14" t="n">
        <v>1</v>
      </c>
      <c r="H28" s="18" t="n">
        <v>10.2</v>
      </c>
      <c r="I28" s="16" t="n">
        <f aca="false">F28*5/H28</f>
        <v>0.00995710784313726</v>
      </c>
      <c r="J28" s="15" t="n">
        <f aca="false">ROUND((I28-D28)*86400,1)</f>
        <v>46.3</v>
      </c>
      <c r="K28" s="37" t="n">
        <f aca="false">I28/D28-1</f>
        <v>0.0568593968711182</v>
      </c>
      <c r="L28" s="14" t="n">
        <v>1</v>
      </c>
    </row>
    <row r="29" customFormat="false" ht="26.85" hidden="false" customHeight="false" outlineLevel="0" collapsed="false">
      <c r="A29" s="25" t="s">
        <v>67</v>
      </c>
      <c r="B29" s="28" t="n">
        <v>1</v>
      </c>
      <c r="C29" s="28" t="s">
        <v>180</v>
      </c>
      <c r="D29" s="29" t="n">
        <v>0.00945601851851852</v>
      </c>
      <c r="E29" s="28" t="s">
        <v>181</v>
      </c>
      <c r="F29" s="29" t="n">
        <v>0.0158333333333333</v>
      </c>
      <c r="G29" s="27" t="n">
        <v>2</v>
      </c>
      <c r="H29" s="26" t="n">
        <v>8</v>
      </c>
      <c r="I29" s="34" t="n">
        <f aca="false">F29*5/H29</f>
        <v>0.00989583333333333</v>
      </c>
      <c r="J29" s="30" t="n">
        <f aca="false">ROUND((I29-D29)*86400,1)</f>
        <v>38</v>
      </c>
      <c r="K29" s="35" t="n">
        <f aca="false">I29/D29-1</f>
        <v>0.0465116279069768</v>
      </c>
      <c r="L29" s="14" t="n">
        <v>12</v>
      </c>
    </row>
    <row r="30" customFormat="false" ht="26.85" hidden="false" customHeight="false" outlineLevel="0" collapsed="false">
      <c r="A30" s="25" t="s">
        <v>67</v>
      </c>
      <c r="B30" s="28" t="n">
        <v>2</v>
      </c>
      <c r="C30" s="28" t="s">
        <v>168</v>
      </c>
      <c r="D30" s="29" t="n">
        <v>0.00944444444444445</v>
      </c>
      <c r="E30" s="28" t="s">
        <v>181</v>
      </c>
      <c r="F30" s="29" t="n">
        <v>0.0112268518518519</v>
      </c>
      <c r="G30" s="27" t="n">
        <v>9</v>
      </c>
      <c r="H30" s="26" t="n">
        <v>5.8</v>
      </c>
      <c r="I30" s="34" t="n">
        <f aca="false">F30*5/H30</f>
        <v>0.00967832056194125</v>
      </c>
      <c r="J30" s="30" t="n">
        <f aca="false">ROUND((I30-D30)*86400,1)</f>
        <v>20.2</v>
      </c>
      <c r="K30" s="35" t="n">
        <f aca="false">I30/D30-1</f>
        <v>0.0247633536173089</v>
      </c>
      <c r="L30" s="14" t="n">
        <v>11</v>
      </c>
    </row>
    <row r="31" customFormat="false" ht="26.85" hidden="false" customHeight="false" outlineLevel="0" collapsed="false">
      <c r="A31" s="25" t="s">
        <v>67</v>
      </c>
      <c r="B31" s="28" t="n">
        <v>3</v>
      </c>
      <c r="C31" s="28" t="s">
        <v>177</v>
      </c>
      <c r="D31" s="29" t="n">
        <v>0.00943287037037037</v>
      </c>
      <c r="E31" s="28" t="s">
        <v>181</v>
      </c>
      <c r="F31" s="29" t="n">
        <v>0.0171180555555556</v>
      </c>
      <c r="G31" s="27" t="n">
        <v>11</v>
      </c>
      <c r="H31" s="26" t="n">
        <v>8.5</v>
      </c>
      <c r="I31" s="34" t="n">
        <f aca="false">F31*5/H31</f>
        <v>0.0100694444444444</v>
      </c>
      <c r="J31" s="30" t="n">
        <f aca="false">ROUND((I31-D31)*86400,1)</f>
        <v>55</v>
      </c>
      <c r="K31" s="35" t="n">
        <f aca="false">I31/D31-1</f>
        <v>0.0674846625766874</v>
      </c>
      <c r="L31" s="14" t="n">
        <v>8</v>
      </c>
    </row>
    <row r="32" customFormat="false" ht="26.85" hidden="false" customHeight="false" outlineLevel="0" collapsed="false">
      <c r="A32" s="25" t="s">
        <v>67</v>
      </c>
      <c r="B32" s="28" t="n">
        <v>4</v>
      </c>
      <c r="C32" s="28" t="s">
        <v>175</v>
      </c>
      <c r="D32" s="29" t="n">
        <v>0.00951388888888889</v>
      </c>
      <c r="E32" s="28" t="s">
        <v>181</v>
      </c>
      <c r="F32" s="29" t="n">
        <v>0.0124884259259259</v>
      </c>
      <c r="G32" s="27" t="n">
        <v>11</v>
      </c>
      <c r="H32" s="26" t="n">
        <v>6.2</v>
      </c>
      <c r="I32" s="34" t="n">
        <f aca="false">F32*5/H32</f>
        <v>0.0100713112305854</v>
      </c>
      <c r="J32" s="30" t="n">
        <f aca="false">ROUND((I32-D32)*86400,1)</f>
        <v>48.2</v>
      </c>
      <c r="K32" s="35" t="n">
        <f aca="false">I32/D32-1</f>
        <v>0.0585903775213879</v>
      </c>
      <c r="L32" s="14" t="n">
        <v>16</v>
      </c>
    </row>
    <row r="33" customFormat="false" ht="26.85" hidden="false" customHeight="false" outlineLevel="0" collapsed="false">
      <c r="A33" s="25" t="s">
        <v>67</v>
      </c>
      <c r="B33" s="28" t="n">
        <v>5</v>
      </c>
      <c r="C33" s="28" t="s">
        <v>182</v>
      </c>
      <c r="D33" s="29" t="n">
        <v>0.00949074074074074</v>
      </c>
      <c r="E33" s="28" t="s">
        <v>181</v>
      </c>
      <c r="F33" s="29" t="n">
        <v>0.0124074074074074</v>
      </c>
      <c r="G33" s="27" t="n">
        <v>7</v>
      </c>
      <c r="H33" s="26" t="n">
        <v>6.4</v>
      </c>
      <c r="I33" s="34" t="n">
        <f aca="false">F33*5/H33</f>
        <v>0.00969328703703704</v>
      </c>
      <c r="J33" s="30" t="n">
        <f aca="false">ROUND((I33-D33)*86400,1)</f>
        <v>17.5</v>
      </c>
      <c r="K33" s="35" t="n">
        <f aca="false">I33/D33-1</f>
        <v>0.0213414634146343</v>
      </c>
      <c r="L33" s="14" t="n">
        <v>15</v>
      </c>
    </row>
    <row r="34" customFormat="false" ht="26.85" hidden="false" customHeight="false" outlineLevel="0" collapsed="false">
      <c r="A34" s="25" t="s">
        <v>67</v>
      </c>
      <c r="B34" s="28" t="n">
        <v>6</v>
      </c>
      <c r="C34" s="28" t="s">
        <v>183</v>
      </c>
      <c r="D34" s="29" t="n">
        <v>0.00947916666666667</v>
      </c>
      <c r="E34" s="28" t="s">
        <v>181</v>
      </c>
      <c r="F34" s="29" t="n">
        <v>0.0211226851851852</v>
      </c>
      <c r="G34" s="27" t="n">
        <v>9</v>
      </c>
      <c r="H34" s="26" t="n">
        <v>10.2</v>
      </c>
      <c r="I34" s="34" t="n">
        <f aca="false">F34*5/H34</f>
        <v>0.0103542574437182</v>
      </c>
      <c r="J34" s="30" t="n">
        <f aca="false">ROUND((I34-D34)*86400,1)</f>
        <v>75.6</v>
      </c>
      <c r="K34" s="35" t="n">
        <f aca="false">I34/D34-1</f>
        <v>0.0923172687878573</v>
      </c>
      <c r="L34" s="14" t="n">
        <v>14</v>
      </c>
    </row>
  </sheetData>
  <autoFilter ref="A4:L34"/>
  <mergeCells count="1">
    <mergeCell ref="A2:L2"/>
  </mergeCells>
  <conditionalFormatting sqref="K5:K34">
    <cfRule type="colorScale" priority="2">
      <colorScale>
        <cfvo type="num" val="0"/>
        <cfvo type="num" val="0.05"/>
        <cfvo type="num" val="0.095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0"/>
    <col collapsed="false" customWidth="true" hidden="false" outlineLevel="0" max="5" min="5" style="0" width="7"/>
    <col collapsed="false" customWidth="true" hidden="false" outlineLevel="0" max="6" min="6" style="0" width="9"/>
    <col collapsed="false" customWidth="true" hidden="false" outlineLevel="0" max="7" min="7" style="0" width="8"/>
  </cols>
  <sheetData>
    <row r="1" customFormat="false" ht="19.4" hidden="false" customHeight="false" outlineLevel="0" collapsed="false">
      <c r="A1" s="9" t="s">
        <v>184</v>
      </c>
    </row>
    <row r="2" customFormat="false" ht="30" hidden="false" customHeight="true" outlineLevel="0" collapsed="false">
      <c r="A2" s="10" t="s">
        <v>185</v>
      </c>
      <c r="B2" s="10"/>
      <c r="C2" s="10"/>
      <c r="D2" s="10"/>
      <c r="E2" s="10"/>
      <c r="F2" s="10"/>
      <c r="G2" s="10"/>
    </row>
    <row r="4" customFormat="false" ht="33.75" hidden="false" customHeight="true" outlineLevel="0" collapsed="false">
      <c r="A4" s="11" t="s">
        <v>46</v>
      </c>
      <c r="B4" s="11" t="s">
        <v>149</v>
      </c>
      <c r="C4" s="12" t="s">
        <v>186</v>
      </c>
      <c r="D4" s="12" t="s">
        <v>187</v>
      </c>
      <c r="E4" s="12" t="s">
        <v>188</v>
      </c>
      <c r="F4" s="12" t="s">
        <v>189</v>
      </c>
      <c r="G4" s="11" t="s">
        <v>190</v>
      </c>
    </row>
    <row r="5" customFormat="false" ht="15" hidden="false" customHeight="false" outlineLevel="0" collapsed="false">
      <c r="A5" s="25" t="s">
        <v>64</v>
      </c>
      <c r="B5" s="28" t="s">
        <v>163</v>
      </c>
      <c r="C5" s="26" t="n">
        <v>559</v>
      </c>
      <c r="D5" s="26" t="n">
        <v>272</v>
      </c>
      <c r="E5" s="27" t="n">
        <v>22</v>
      </c>
      <c r="F5" s="26" t="n">
        <f aca="false">IF(C5="","",C5/E5)</f>
        <v>25.4090909090909</v>
      </c>
      <c r="G5" s="28" t="n">
        <f aca="false">SUMIFS(5000m比較!$B$5:$B$34,5000m比較!$A$5:$A$34,A5,5000m比較!$C$5:$C$34,B5)</f>
        <v>1</v>
      </c>
    </row>
    <row r="6" customFormat="false" ht="15" hidden="false" customHeight="false" outlineLevel="0" collapsed="false">
      <c r="A6" s="25" t="s">
        <v>64</v>
      </c>
      <c r="B6" s="28" t="s">
        <v>165</v>
      </c>
      <c r="C6" s="26" t="n">
        <v>509.5</v>
      </c>
      <c r="D6" s="26" t="n">
        <v>234</v>
      </c>
      <c r="E6" s="27" t="n">
        <v>22</v>
      </c>
      <c r="F6" s="26" t="n">
        <f aca="false">IF(C6="","",C6/E6)</f>
        <v>23.1590909090909</v>
      </c>
      <c r="G6" s="28" t="n">
        <f aca="false">SUMIFS(5000m比較!$B$5:$B$34,5000m比較!$A$5:$A$34,A6,5000m比較!$C$5:$C$34,B6)</f>
        <v>2</v>
      </c>
    </row>
    <row r="7" customFormat="false" ht="15" hidden="false" customHeight="false" outlineLevel="0" collapsed="false">
      <c r="A7" s="25" t="s">
        <v>64</v>
      </c>
      <c r="B7" s="28" t="s">
        <v>166</v>
      </c>
      <c r="C7" s="26" t="n">
        <v>647</v>
      </c>
      <c r="D7" s="26" t="n">
        <v>160</v>
      </c>
      <c r="E7" s="27" t="n">
        <v>22</v>
      </c>
      <c r="F7" s="26" t="n">
        <f aca="false">IF(C7="","",C7/E7)</f>
        <v>29.4090909090909</v>
      </c>
      <c r="G7" s="28" t="n">
        <f aca="false">SUMIFS(5000m比較!$B$5:$B$34,5000m比較!$A$5:$A$34,A7,5000m比較!$C$5:$C$34,B7)</f>
        <v>3</v>
      </c>
    </row>
    <row r="8" customFormat="false" ht="15" hidden="false" customHeight="false" outlineLevel="0" collapsed="false">
      <c r="A8" s="25" t="s">
        <v>64</v>
      </c>
      <c r="B8" s="28" t="s">
        <v>167</v>
      </c>
      <c r="C8" s="26" t="n">
        <v>569</v>
      </c>
      <c r="D8" s="26" t="n">
        <v>237</v>
      </c>
      <c r="E8" s="27" t="n">
        <v>22</v>
      </c>
      <c r="F8" s="26" t="n">
        <f aca="false">IF(C8="","",C8/E8)</f>
        <v>25.8636363636364</v>
      </c>
      <c r="G8" s="28" t="n">
        <f aca="false">SUMIFS(5000m比較!$B$5:$B$34,5000m比較!$A$5:$A$34,A8,5000m比較!$C$5:$C$34,B8)</f>
        <v>4</v>
      </c>
    </row>
    <row r="9" customFormat="false" ht="15" hidden="false" customHeight="false" outlineLevel="0" collapsed="false">
      <c r="A9" s="25" t="s">
        <v>64</v>
      </c>
      <c r="B9" s="28" t="s">
        <v>168</v>
      </c>
      <c r="C9" s="26" t="n">
        <v>708</v>
      </c>
      <c r="D9" s="26" t="n">
        <v>271</v>
      </c>
      <c r="E9" s="27" t="n">
        <v>22</v>
      </c>
      <c r="F9" s="26" t="n">
        <f aca="false">IF(C9="","",C9/E9)</f>
        <v>32.1818181818182</v>
      </c>
      <c r="G9" s="28" t="n">
        <f aca="false">SUMIFS(5000m比較!$B$5:$B$34,5000m比較!$A$5:$A$34,A9,5000m比較!$C$5:$C$34,B9)</f>
        <v>5</v>
      </c>
    </row>
    <row r="10" customFormat="false" ht="15" hidden="false" customHeight="false" outlineLevel="0" collapsed="false">
      <c r="A10" s="25" t="s">
        <v>64</v>
      </c>
      <c r="B10" s="28" t="s">
        <v>169</v>
      </c>
      <c r="C10" s="26" t="n">
        <v>459</v>
      </c>
      <c r="D10" s="26" t="n">
        <v>220</v>
      </c>
      <c r="E10" s="27" t="n">
        <v>22</v>
      </c>
      <c r="F10" s="26" t="n">
        <f aca="false">IF(C10="","",C10/E10)</f>
        <v>20.8636363636364</v>
      </c>
      <c r="G10" s="28" t="n">
        <f aca="false">SUMIFS(5000m比較!$B$5:$B$34,5000m比較!$A$5:$A$34,A10,5000m比較!$C$5:$C$34,B10)</f>
        <v>6</v>
      </c>
    </row>
    <row r="11" customFormat="false" ht="15" hidden="false" customHeight="false" outlineLevel="0" collapsed="false">
      <c r="A11" s="13" t="s">
        <v>65</v>
      </c>
      <c r="B11" s="8" t="s">
        <v>169</v>
      </c>
      <c r="C11" s="18" t="n">
        <v>409</v>
      </c>
      <c r="D11" s="18" t="n">
        <v>202</v>
      </c>
      <c r="E11" s="14" t="n">
        <v>19</v>
      </c>
      <c r="F11" s="18" t="n">
        <f aca="false">IF(C11="","",C11/E11)</f>
        <v>21.5263157894737</v>
      </c>
      <c r="G11" s="8" t="n">
        <f aca="false">SUMIFS(5000m比較!$B$5:$B$34,5000m比較!$A$5:$A$34,A11,5000m比較!$C$5:$C$34,B11)</f>
        <v>1</v>
      </c>
    </row>
    <row r="12" customFormat="false" ht="15" hidden="false" customHeight="false" outlineLevel="0" collapsed="false">
      <c r="A12" s="13" t="s">
        <v>65</v>
      </c>
      <c r="B12" s="8" t="s">
        <v>163</v>
      </c>
      <c r="C12" s="18" t="n">
        <v>485</v>
      </c>
      <c r="D12" s="18" t="n">
        <v>202</v>
      </c>
      <c r="E12" s="14" t="n">
        <v>19</v>
      </c>
      <c r="F12" s="18" t="n">
        <f aca="false">IF(C12="","",C12/E12)</f>
        <v>25.5263157894737</v>
      </c>
      <c r="G12" s="8" t="n">
        <f aca="false">SUMIFS(5000m比較!$B$5:$B$34,5000m比較!$A$5:$A$34,A12,5000m比較!$C$5:$C$34,B12)</f>
        <v>2</v>
      </c>
    </row>
    <row r="13" customFormat="false" ht="15" hidden="false" customHeight="false" outlineLevel="0" collapsed="false">
      <c r="A13" s="13" t="s">
        <v>65</v>
      </c>
      <c r="B13" s="8" t="s">
        <v>165</v>
      </c>
      <c r="C13" s="18" t="n">
        <v>453</v>
      </c>
      <c r="D13" s="18" t="n">
        <v>206</v>
      </c>
      <c r="E13" s="14" t="n">
        <v>19</v>
      </c>
      <c r="F13" s="18" t="n">
        <f aca="false">IF(C13="","",C13/E13)</f>
        <v>23.8421052631579</v>
      </c>
      <c r="G13" s="8" t="n">
        <f aca="false">SUMIFS(5000m比較!$B$5:$B$34,5000m比較!$A$5:$A$34,A13,5000m比較!$C$5:$C$34,B13)</f>
        <v>3</v>
      </c>
    </row>
    <row r="14" customFormat="false" ht="15" hidden="false" customHeight="false" outlineLevel="0" collapsed="false">
      <c r="A14" s="13" t="s">
        <v>65</v>
      </c>
      <c r="B14" s="8" t="s">
        <v>172</v>
      </c>
      <c r="C14" s="18" t="n">
        <v>500</v>
      </c>
      <c r="D14" s="18" t="n">
        <v>199</v>
      </c>
      <c r="E14" s="14" t="n">
        <v>19</v>
      </c>
      <c r="F14" s="18" t="n">
        <f aca="false">IF(C14="","",C14/E14)</f>
        <v>26.3157894736842</v>
      </c>
      <c r="G14" s="8" t="n">
        <f aca="false">SUMIFS(5000m比較!$B$5:$B$34,5000m比較!$A$5:$A$34,A14,5000m比較!$C$5:$C$34,B14)</f>
        <v>4</v>
      </c>
    </row>
    <row r="15" customFormat="false" ht="15" hidden="false" customHeight="false" outlineLevel="0" collapsed="false">
      <c r="A15" s="13" t="s">
        <v>65</v>
      </c>
      <c r="B15" s="8" t="s">
        <v>173</v>
      </c>
      <c r="C15" s="18" t="n">
        <v>536</v>
      </c>
      <c r="D15" s="18" t="n">
        <v>252</v>
      </c>
      <c r="E15" s="14" t="n">
        <v>19</v>
      </c>
      <c r="F15" s="18" t="n">
        <f aca="false">IF(C15="","",C15/E15)</f>
        <v>28.2105263157895</v>
      </c>
      <c r="G15" s="8" t="n">
        <f aca="false">SUMIFS(5000m比較!$B$5:$B$34,5000m比較!$A$5:$A$34,A15,5000m比較!$C$5:$C$34,B15)</f>
        <v>5</v>
      </c>
    </row>
    <row r="16" customFormat="false" ht="15" hidden="false" customHeight="false" outlineLevel="0" collapsed="false">
      <c r="A16" s="13" t="s">
        <v>65</v>
      </c>
      <c r="B16" s="8" t="s">
        <v>174</v>
      </c>
      <c r="C16" s="18" t="n">
        <v>463</v>
      </c>
      <c r="D16" s="18" t="n">
        <v>201</v>
      </c>
      <c r="E16" s="14" t="n">
        <v>19</v>
      </c>
      <c r="F16" s="18" t="n">
        <f aca="false">IF(C16="","",C16/E16)</f>
        <v>24.3684210526316</v>
      </c>
      <c r="G16" s="8" t="n">
        <f aca="false">SUMIFS(5000m比較!$B$5:$B$34,5000m比較!$A$5:$A$34,A16,5000m比較!$C$5:$C$34,B16)</f>
        <v>6</v>
      </c>
    </row>
    <row r="17" customFormat="false" ht="15" hidden="false" customHeight="false" outlineLevel="0" collapsed="false">
      <c r="A17" s="25" t="s">
        <v>66</v>
      </c>
      <c r="B17" s="28" t="s">
        <v>175</v>
      </c>
      <c r="C17" s="26" t="n">
        <v>612</v>
      </c>
      <c r="D17" s="26" t="n">
        <v>212</v>
      </c>
      <c r="E17" s="27" t="n">
        <v>19</v>
      </c>
      <c r="F17" s="26" t="n">
        <f aca="false">IF(C17="","",C17/E17)</f>
        <v>32.2105263157895</v>
      </c>
      <c r="G17" s="28" t="n">
        <f aca="false">SUMIFS(5000m比較!$B$5:$B$34,5000m比較!$A$5:$A$34,A17,5000m比較!$C$5:$C$34,B17)</f>
        <v>1</v>
      </c>
    </row>
    <row r="18" customFormat="false" ht="15" hidden="false" customHeight="false" outlineLevel="0" collapsed="false">
      <c r="A18" s="25" t="s">
        <v>66</v>
      </c>
      <c r="B18" s="28" t="s">
        <v>176</v>
      </c>
      <c r="C18" s="26" t="n">
        <v>556</v>
      </c>
      <c r="D18" s="26" t="n">
        <v>219</v>
      </c>
      <c r="E18" s="27" t="n">
        <v>19</v>
      </c>
      <c r="F18" s="26" t="n">
        <f aca="false">IF(C18="","",C18/E18)</f>
        <v>29.2631578947368</v>
      </c>
      <c r="G18" s="28" t="n">
        <f aca="false">SUMIFS(5000m比較!$B$5:$B$34,5000m比較!$A$5:$A$34,A18,5000m比較!$C$5:$C$34,B18)</f>
        <v>2</v>
      </c>
    </row>
    <row r="19" customFormat="false" ht="15" hidden="false" customHeight="false" outlineLevel="0" collapsed="false">
      <c r="A19" s="25" t="s">
        <v>66</v>
      </c>
      <c r="B19" s="28" t="s">
        <v>177</v>
      </c>
      <c r="C19" s="26" t="n">
        <v>496</v>
      </c>
      <c r="D19" s="26" t="n">
        <v>222</v>
      </c>
      <c r="E19" s="27" t="n">
        <v>19</v>
      </c>
      <c r="F19" s="26" t="n">
        <f aca="false">IF(C19="","",C19/E19)</f>
        <v>26.1052631578947</v>
      </c>
      <c r="G19" s="28" t="n">
        <f aca="false">SUMIFS(5000m比較!$B$5:$B$34,5000m比較!$A$5:$A$34,A19,5000m比較!$C$5:$C$34,B19)</f>
        <v>3</v>
      </c>
    </row>
    <row r="20" customFormat="false" ht="15" hidden="false" customHeight="false" outlineLevel="0" collapsed="false">
      <c r="A20" s="25" t="s">
        <v>66</v>
      </c>
      <c r="B20" s="28" t="s">
        <v>178</v>
      </c>
      <c r="C20" s="26" t="n">
        <v>591</v>
      </c>
      <c r="D20" s="26" t="n">
        <v>240</v>
      </c>
      <c r="E20" s="27" t="n">
        <v>19</v>
      </c>
      <c r="F20" s="26" t="n">
        <f aca="false">IF(C20="","",C20/E20)</f>
        <v>31.1052631578947</v>
      </c>
      <c r="G20" s="28" t="n">
        <f aca="false">SUMIFS(5000m比較!$B$5:$B$34,5000m比較!$A$5:$A$34,A20,5000m比較!$C$5:$C$34,B20)</f>
        <v>4</v>
      </c>
    </row>
    <row r="21" customFormat="false" ht="15" hidden="false" customHeight="false" outlineLevel="0" collapsed="false">
      <c r="A21" s="25" t="s">
        <v>66</v>
      </c>
      <c r="B21" s="28" t="s">
        <v>179</v>
      </c>
      <c r="C21" s="26" t="n">
        <v>721</v>
      </c>
      <c r="D21" s="26" t="n">
        <v>266</v>
      </c>
      <c r="E21" s="27" t="n">
        <v>19</v>
      </c>
      <c r="F21" s="26" t="n">
        <f aca="false">IF(C21="","",C21/E21)</f>
        <v>37.9473684210526</v>
      </c>
      <c r="G21" s="28" t="n">
        <f aca="false">SUMIFS(5000m比較!$B$5:$B$34,5000m比較!$A$5:$A$34,A21,5000m比較!$C$5:$C$34,B21)</f>
        <v>5</v>
      </c>
    </row>
    <row r="22" customFormat="false" ht="15" hidden="false" customHeight="false" outlineLevel="0" collapsed="false">
      <c r="A22" s="25" t="s">
        <v>66</v>
      </c>
      <c r="B22" s="28" t="s">
        <v>165</v>
      </c>
      <c r="C22" s="26" t="n">
        <v>496</v>
      </c>
      <c r="D22" s="26" t="n">
        <v>224</v>
      </c>
      <c r="E22" s="27" t="n">
        <v>19</v>
      </c>
      <c r="F22" s="26" t="n">
        <f aca="false">IF(C22="","",C22/E22)</f>
        <v>26.1052631578947</v>
      </c>
      <c r="G22" s="28" t="n">
        <f aca="false">SUMIFS(5000m比較!$B$5:$B$34,5000m比較!$A$5:$A$34,A22,5000m比較!$C$5:$C$34,B22)</f>
        <v>6</v>
      </c>
    </row>
    <row r="23" customFormat="false" ht="15" hidden="false" customHeight="false" outlineLevel="0" collapsed="false">
      <c r="A23" s="13" t="s">
        <v>67</v>
      </c>
      <c r="B23" s="8" t="s">
        <v>180</v>
      </c>
      <c r="C23" s="18" t="n">
        <v>502</v>
      </c>
      <c r="D23" s="18" t="n">
        <v>221</v>
      </c>
      <c r="E23" s="14" t="n">
        <v>18</v>
      </c>
      <c r="F23" s="18" t="n">
        <f aca="false">IF(C23="","",C23/E23)</f>
        <v>27.8888888888889</v>
      </c>
      <c r="G23" s="8" t="n">
        <f aca="false">SUMIFS(5000m比較!$B$5:$B$34,5000m比較!$A$5:$A$34,A23,5000m比較!$C$5:$C$34,B23)</f>
        <v>1</v>
      </c>
    </row>
    <row r="24" customFormat="false" ht="15" hidden="false" customHeight="false" outlineLevel="0" collapsed="false">
      <c r="A24" s="13" t="s">
        <v>67</v>
      </c>
      <c r="B24" s="8" t="s">
        <v>168</v>
      </c>
      <c r="C24" s="18" t="n">
        <v>595</v>
      </c>
      <c r="D24" s="18" t="n">
        <v>233</v>
      </c>
      <c r="E24" s="14" t="n">
        <v>18</v>
      </c>
      <c r="F24" s="18" t="n">
        <f aca="false">IF(C24="","",C24/E24)</f>
        <v>33.0555555555556</v>
      </c>
      <c r="G24" s="8" t="n">
        <f aca="false">SUMIFS(5000m比較!$B$5:$B$34,5000m比較!$A$5:$A$34,A24,5000m比較!$C$5:$C$34,B24)</f>
        <v>2</v>
      </c>
    </row>
    <row r="25" customFormat="false" ht="15" hidden="false" customHeight="false" outlineLevel="0" collapsed="false">
      <c r="A25" s="13" t="s">
        <v>67</v>
      </c>
      <c r="B25" s="8" t="s">
        <v>177</v>
      </c>
      <c r="C25" s="18" t="n">
        <v>500</v>
      </c>
      <c r="D25" s="18" t="n">
        <v>212</v>
      </c>
      <c r="E25" s="14" t="n">
        <v>18</v>
      </c>
      <c r="F25" s="18" t="n">
        <f aca="false">IF(C25="","",C25/E25)</f>
        <v>27.7777777777778</v>
      </c>
      <c r="G25" s="8" t="n">
        <f aca="false">SUMIFS(5000m比較!$B$5:$B$34,5000m比較!$A$5:$A$34,A25,5000m比較!$C$5:$C$34,B25)</f>
        <v>3</v>
      </c>
    </row>
    <row r="26" customFormat="false" ht="15" hidden="false" customHeight="false" outlineLevel="0" collapsed="false">
      <c r="A26" s="13" t="s">
        <v>67</v>
      </c>
      <c r="B26" s="8" t="s">
        <v>175</v>
      </c>
      <c r="C26" s="18" t="n">
        <v>616</v>
      </c>
      <c r="D26" s="18" t="n">
        <v>230</v>
      </c>
      <c r="E26" s="14" t="n">
        <v>18</v>
      </c>
      <c r="F26" s="18" t="n">
        <f aca="false">IF(C26="","",C26/E26)</f>
        <v>34.2222222222222</v>
      </c>
      <c r="G26" s="8" t="n">
        <f aca="false">SUMIFS(5000m比較!$B$5:$B$34,5000m比較!$A$5:$A$34,A26,5000m比較!$C$5:$C$34,B26)</f>
        <v>4</v>
      </c>
    </row>
    <row r="27" customFormat="false" ht="15" hidden="false" customHeight="false" outlineLevel="0" collapsed="false">
      <c r="A27" s="13" t="s">
        <v>67</v>
      </c>
      <c r="B27" s="8" t="s">
        <v>182</v>
      </c>
      <c r="C27" s="18" t="n">
        <v>501</v>
      </c>
      <c r="D27" s="18" t="n">
        <v>222</v>
      </c>
      <c r="E27" s="14" t="n">
        <v>18</v>
      </c>
      <c r="F27" s="18" t="n">
        <f aca="false">IF(C27="","",C27/E27)</f>
        <v>27.8333333333333</v>
      </c>
      <c r="G27" s="8" t="n">
        <f aca="false">SUMIFS(5000m比較!$B$5:$B$34,5000m比較!$A$5:$A$34,A27,5000m比較!$C$5:$C$34,B27)</f>
        <v>5</v>
      </c>
    </row>
    <row r="28" customFormat="false" ht="15" hidden="false" customHeight="false" outlineLevel="0" collapsed="false">
      <c r="A28" s="13" t="s">
        <v>67</v>
      </c>
      <c r="B28" s="8" t="s">
        <v>183</v>
      </c>
      <c r="C28" s="18" t="n">
        <v>619</v>
      </c>
      <c r="D28" s="18" t="n">
        <v>248</v>
      </c>
      <c r="E28" s="14" t="n">
        <v>18</v>
      </c>
      <c r="F28" s="18" t="n">
        <f aca="false">IF(C28="","",C28/E28)</f>
        <v>34.3888888888889</v>
      </c>
      <c r="G28" s="8" t="n">
        <f aca="false">SUMIFS(5000m比較!$B$5:$B$34,5000m比較!$A$5:$A$34,A28,5000m比較!$C$5:$C$34,B28)</f>
        <v>6</v>
      </c>
    </row>
  </sheetData>
  <autoFilter ref="A4:G28"/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J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8" min="5" style="0" width="9"/>
    <col collapsed="false" customWidth="true" hidden="false" outlineLevel="0" max="9" min="9" style="0" width="11"/>
    <col collapsed="false" customWidth="true" hidden="false" outlineLevel="0" max="10" min="10" style="0" width="9"/>
  </cols>
  <sheetData>
    <row r="1" customFormat="false" ht="19.4" hidden="false" customHeight="false" outlineLevel="0" collapsed="false">
      <c r="A1" s="9" t="s">
        <v>191</v>
      </c>
    </row>
    <row r="2" customFormat="false" ht="30" hidden="false" customHeight="true" outlineLevel="0" collapsed="false">
      <c r="A2" s="10" t="s">
        <v>192</v>
      </c>
      <c r="B2" s="10"/>
      <c r="C2" s="10"/>
      <c r="D2" s="10"/>
      <c r="E2" s="10"/>
      <c r="F2" s="10"/>
      <c r="G2" s="10"/>
      <c r="H2" s="10"/>
      <c r="I2" s="10"/>
      <c r="J2" s="10"/>
    </row>
    <row r="4" customFormat="false" ht="48" hidden="false" customHeight="true" outlineLevel="0" collapsed="false">
      <c r="A4" s="11" t="s">
        <v>46</v>
      </c>
      <c r="B4" s="11" t="s">
        <v>80</v>
      </c>
      <c r="C4" s="11" t="s">
        <v>149</v>
      </c>
      <c r="D4" s="11" t="s">
        <v>92</v>
      </c>
      <c r="E4" s="12" t="s">
        <v>186</v>
      </c>
      <c r="F4" s="12" t="s">
        <v>193</v>
      </c>
      <c r="G4" s="12" t="s">
        <v>187</v>
      </c>
      <c r="H4" s="12" t="s">
        <v>194</v>
      </c>
      <c r="I4" s="11" t="s">
        <v>195</v>
      </c>
      <c r="J4" s="11" t="s">
        <v>24</v>
      </c>
    </row>
    <row r="5" customFormat="false" ht="15" hidden="false" customHeight="false" outlineLevel="0" collapsed="false">
      <c r="A5" s="25" t="s">
        <v>64</v>
      </c>
      <c r="B5" s="27" t="n">
        <v>1</v>
      </c>
      <c r="C5" s="28" t="s">
        <v>163</v>
      </c>
      <c r="D5" s="27" t="n">
        <f aca="false">SUMIFS(5000m比較!$G$5:$G$34,5000m比較!$A$5:$A$34,$A5,5000m比較!$C$5:$C$34,$C5)</f>
        <v>6</v>
      </c>
      <c r="E5" s="26" t="n">
        <f aca="false">SUMIFS(合宿走行距離!$C$5:$C$28,合宿走行距離!$A$5:$A$28,$A5,合宿走行距離!$B$5:$B$28,$C5)</f>
        <v>559</v>
      </c>
      <c r="F5" s="26" t="n">
        <f aca="false">SUMIFS(合宿走行距離!$F$5:$F$28,合宿走行距離!$A$5:$A$28,$A5,合宿走行距離!$B$5:$B$28,$C5)</f>
        <v>25.4090909090909</v>
      </c>
      <c r="G5" s="26" t="n">
        <f aca="false">SUMIFS(合宿走行距離!$D$5:$D$28,合宿走行距離!$A$5:$A$28,$A5,合宿走行距離!$B$5:$B$28,$C5)</f>
        <v>272</v>
      </c>
      <c r="H5" s="26" t="n">
        <f aca="false">E5+G5</f>
        <v>831</v>
      </c>
      <c r="I5" s="30" t="n">
        <f aca="false">SUMIFS(出雲区間記録!$M$5:$M$34,出雲区間記録!$A$5:$A$34,$A5,出雲区間記録!$B$5:$B$34,$B5)</f>
        <v>24.4</v>
      </c>
      <c r="J5" s="35" t="n">
        <f aca="false">SUMIFS(5000m比較!$K$5:$K$34,5000m比較!$A$5:$A$34,$A5,5000m比較!$C$5:$C$34,$C5)</f>
        <v>0.0741434394623775</v>
      </c>
    </row>
    <row r="6" customFormat="false" ht="15" hidden="false" customHeight="false" outlineLevel="0" collapsed="false">
      <c r="A6" s="25" t="s">
        <v>64</v>
      </c>
      <c r="B6" s="27" t="n">
        <v>2</v>
      </c>
      <c r="C6" s="28" t="s">
        <v>165</v>
      </c>
      <c r="D6" s="27" t="n">
        <f aca="false">SUMIFS(5000m比較!$G$5:$G$34,5000m比較!$A$5:$A$34,$A6,5000m比較!$C$5:$C$34,$C6)</f>
        <v>1</v>
      </c>
      <c r="E6" s="26" t="n">
        <f aca="false">SUMIFS(合宿走行距離!$C$5:$C$28,合宿走行距離!$A$5:$A$28,$A6,合宿走行距離!$B$5:$B$28,$C6)</f>
        <v>509.5</v>
      </c>
      <c r="F6" s="26" t="n">
        <f aca="false">SUMIFS(合宿走行距離!$F$5:$F$28,合宿走行距離!$A$5:$A$28,$A6,合宿走行距離!$B$5:$B$28,$C6)</f>
        <v>23.1590909090909</v>
      </c>
      <c r="G6" s="26" t="n">
        <f aca="false">SUMIFS(合宿走行距離!$D$5:$D$28,合宿走行距離!$A$5:$A$28,$A6,合宿走行距離!$B$5:$B$28,$C6)</f>
        <v>234</v>
      </c>
      <c r="H6" s="26" t="n">
        <f aca="false">E6+G6</f>
        <v>743.5</v>
      </c>
      <c r="I6" s="30" t="n">
        <f aca="false">SUMIFS(出雲区間記録!$M$5:$M$34,出雲区間記録!$A$5:$A$34,$A6,出雲区間記録!$B$5:$B$34,$B6)</f>
        <v>0</v>
      </c>
      <c r="J6" s="35" t="n">
        <f aca="false">SUMIFS(5000m比較!$K$5:$K$34,5000m比較!$A$5:$A$34,$A6,5000m比較!$C$5:$C$34,$C6)</f>
        <v>0.0219616173176038</v>
      </c>
    </row>
    <row r="7" customFormat="false" ht="15" hidden="false" customHeight="false" outlineLevel="0" collapsed="false">
      <c r="A7" s="25" t="s">
        <v>64</v>
      </c>
      <c r="B7" s="27" t="n">
        <v>3</v>
      </c>
      <c r="C7" s="28" t="s">
        <v>166</v>
      </c>
      <c r="D7" s="27" t="n">
        <f aca="false">SUMIFS(5000m比較!$G$5:$G$34,5000m比較!$A$5:$A$34,$A7,5000m比較!$C$5:$C$34,$C7)</f>
        <v>3</v>
      </c>
      <c r="E7" s="26" t="n">
        <f aca="false">SUMIFS(合宿走行距離!$C$5:$C$28,合宿走行距離!$A$5:$A$28,$A7,合宿走行距離!$B$5:$B$28,$C7)</f>
        <v>647</v>
      </c>
      <c r="F7" s="26" t="n">
        <f aca="false">SUMIFS(合宿走行距離!$F$5:$F$28,合宿走行距離!$A$5:$A$28,$A7,合宿走行距離!$B$5:$B$28,$C7)</f>
        <v>29.4090909090909</v>
      </c>
      <c r="G7" s="26" t="n">
        <f aca="false">SUMIFS(合宿走行距離!$D$5:$D$28,合宿走行距離!$A$5:$A$28,$A7,合宿走行距離!$B$5:$B$28,$C7)</f>
        <v>160</v>
      </c>
      <c r="H7" s="26" t="n">
        <f aca="false">E7+G7</f>
        <v>807</v>
      </c>
      <c r="I7" s="30" t="n">
        <f aca="false">SUMIFS(出雲区間記録!$M$5:$M$34,出雲区間記録!$A$5:$A$34,$A7,出雲区間記録!$B$5:$B$34,$B7)</f>
        <v>18.8</v>
      </c>
      <c r="J7" s="35" t="n">
        <f aca="false">SUMIFS(5000m比較!$K$5:$K$34,5000m比較!$A$5:$A$34,$A7,5000m比較!$C$5:$C$34,$C7)</f>
        <v>0.0749813931672396</v>
      </c>
    </row>
    <row r="8" customFormat="false" ht="15" hidden="false" customHeight="false" outlineLevel="0" collapsed="false">
      <c r="A8" s="25" t="s">
        <v>64</v>
      </c>
      <c r="B8" s="27" t="n">
        <v>4</v>
      </c>
      <c r="C8" s="28" t="s">
        <v>167</v>
      </c>
      <c r="D8" s="27" t="n">
        <f aca="false">SUMIFS(5000m比較!$G$5:$G$34,5000m比較!$A$5:$A$34,$A8,5000m比較!$C$5:$C$34,$C8)</f>
        <v>1</v>
      </c>
      <c r="E8" s="26" t="n">
        <f aca="false">SUMIFS(合宿走行距離!$C$5:$C$28,合宿走行距離!$A$5:$A$28,$A8,合宿走行距離!$B$5:$B$28,$C8)</f>
        <v>569</v>
      </c>
      <c r="F8" s="26" t="n">
        <f aca="false">SUMIFS(合宿走行距離!$F$5:$F$28,合宿走行距離!$A$5:$A$28,$A8,合宿走行距離!$B$5:$B$28,$C8)</f>
        <v>25.8636363636364</v>
      </c>
      <c r="G8" s="26" t="n">
        <f aca="false">SUMIFS(合宿走行距離!$D$5:$D$28,合宿走行距離!$A$5:$A$28,$A8,合宿走行距離!$B$5:$B$28,$C8)</f>
        <v>237</v>
      </c>
      <c r="H8" s="26" t="n">
        <f aca="false">E8+G8</f>
        <v>806</v>
      </c>
      <c r="I8" s="30" t="n">
        <f aca="false">SUMIFS(出雲区間記録!$M$5:$M$34,出雲区間記録!$A$5:$A$34,$A8,出雲区間記録!$B$5:$B$34,$B8)</f>
        <v>0</v>
      </c>
      <c r="J8" s="35" t="n">
        <f aca="false">SUMIFS(5000m比較!$K$5:$K$34,5000m比較!$A$5:$A$34,$A8,5000m比較!$C$5:$C$34,$C8)</f>
        <v>0.0438830629329889</v>
      </c>
    </row>
    <row r="9" customFormat="false" ht="15" hidden="false" customHeight="false" outlineLevel="0" collapsed="false">
      <c r="A9" s="25" t="s">
        <v>64</v>
      </c>
      <c r="B9" s="27" t="n">
        <v>5</v>
      </c>
      <c r="C9" s="28" t="s">
        <v>168</v>
      </c>
      <c r="D9" s="27" t="n">
        <f aca="false">SUMIFS(5000m比較!$G$5:$G$34,5000m比較!$A$5:$A$34,$A9,5000m比較!$C$5:$C$34,$C9)</f>
        <v>9</v>
      </c>
      <c r="E9" s="26" t="n">
        <f aca="false">SUMIFS(合宿走行距離!$C$5:$C$28,合宿走行距離!$A$5:$A$28,$A9,合宿走行距離!$B$5:$B$28,$C9)</f>
        <v>708</v>
      </c>
      <c r="F9" s="26" t="n">
        <f aca="false">SUMIFS(合宿走行距離!$F$5:$F$28,合宿走行距離!$A$5:$A$28,$A9,合宿走行距離!$B$5:$B$28,$C9)</f>
        <v>32.1818181818182</v>
      </c>
      <c r="G9" s="26" t="n">
        <f aca="false">SUMIFS(合宿走行距離!$D$5:$D$28,合宿走行距離!$A$5:$A$28,$A9,合宿走行距離!$B$5:$B$28,$C9)</f>
        <v>271</v>
      </c>
      <c r="H9" s="26" t="n">
        <f aca="false">E9+G9</f>
        <v>979</v>
      </c>
      <c r="I9" s="30" t="n">
        <f aca="false">SUMIFS(出雲区間記録!$M$5:$M$34,出雲区間記録!$A$5:$A$34,$A9,出雲区間記録!$B$5:$B$34,$B9)</f>
        <v>57.8</v>
      </c>
      <c r="J9" s="35" t="n">
        <f aca="false">SUMIFS(5000m比較!$K$5:$K$34,5000m比較!$A$5:$A$34,$A9,5000m比較!$C$5:$C$34,$C9)</f>
        <v>0.0952594492671992</v>
      </c>
    </row>
    <row r="10" customFormat="false" ht="15" hidden="false" customHeight="false" outlineLevel="0" collapsed="false">
      <c r="A10" s="25" t="s">
        <v>64</v>
      </c>
      <c r="B10" s="27" t="n">
        <v>6</v>
      </c>
      <c r="C10" s="28" t="s">
        <v>169</v>
      </c>
      <c r="D10" s="27" t="n">
        <f aca="false">SUMIFS(5000m比較!$G$5:$G$34,5000m比較!$A$5:$A$34,$A10,5000m比較!$C$5:$C$34,$C10)</f>
        <v>7</v>
      </c>
      <c r="E10" s="26" t="n">
        <f aca="false">SUMIFS(合宿走行距離!$C$5:$C$28,合宿走行距離!$A$5:$A$28,$A10,合宿走行距離!$B$5:$B$28,$C10)</f>
        <v>459</v>
      </c>
      <c r="F10" s="26" t="n">
        <f aca="false">SUMIFS(合宿走行距離!$F$5:$F$28,合宿走行距離!$A$5:$A$28,$A10,合宿走行距離!$B$5:$B$28,$C10)</f>
        <v>20.8636363636364</v>
      </c>
      <c r="G10" s="26" t="n">
        <f aca="false">SUMIFS(合宿走行距離!$D$5:$D$28,合宿走行距離!$A$5:$A$28,$A10,合宿走行距離!$B$5:$B$28,$C10)</f>
        <v>220</v>
      </c>
      <c r="H10" s="26" t="n">
        <f aca="false">E10+G10</f>
        <v>679</v>
      </c>
      <c r="I10" s="30" t="n">
        <f aca="false">SUMIFS(出雲区間記録!$M$5:$M$34,出雲区間記録!$A$5:$A$34,$A10,出雲区間記録!$B$5:$B$34,$B10)</f>
        <v>82.4</v>
      </c>
      <c r="J10" s="35" t="n">
        <f aca="false">SUMIFS(5000m比較!$K$5:$K$34,5000m比較!$A$5:$A$34,$A10,5000m比較!$C$5:$C$34,$C10)</f>
        <v>0.0756173123436992</v>
      </c>
    </row>
    <row r="11" customFormat="false" ht="15" hidden="false" customHeight="false" outlineLevel="0" collapsed="false">
      <c r="A11" s="13" t="s">
        <v>65</v>
      </c>
      <c r="B11" s="14" t="n">
        <v>1</v>
      </c>
      <c r="C11" s="8" t="s">
        <v>169</v>
      </c>
      <c r="D11" s="14" t="n">
        <f aca="false">SUMIFS(5000m比較!$G$5:$G$34,5000m比較!$A$5:$A$34,$A11,5000m比較!$C$5:$C$34,$C11)</f>
        <v>1</v>
      </c>
      <c r="E11" s="18" t="n">
        <f aca="false">SUMIFS(合宿走行距離!$C$5:$C$28,合宿走行距離!$A$5:$A$28,$A11,合宿走行距離!$B$5:$B$28,$C11)</f>
        <v>409</v>
      </c>
      <c r="F11" s="18" t="n">
        <f aca="false">SUMIFS(合宿走行距離!$F$5:$F$28,合宿走行距離!$A$5:$A$28,$A11,合宿走行距離!$B$5:$B$28,$C11)</f>
        <v>21.5263157894737</v>
      </c>
      <c r="G11" s="18" t="n">
        <f aca="false">SUMIFS(合宿走行距離!$D$5:$D$28,合宿走行距離!$A$5:$A$28,$A11,合宿走行距離!$B$5:$B$28,$C11)</f>
        <v>202</v>
      </c>
      <c r="H11" s="18" t="n">
        <f aca="false">E11+G11</f>
        <v>611</v>
      </c>
      <c r="I11" s="15" t="n">
        <f aca="false">SUMIFS(出雲区間記録!$M$5:$M$34,出雲区間記録!$A$5:$A$34,$A11,出雲区間記録!$B$5:$B$34,$B11)</f>
        <v>0</v>
      </c>
      <c r="J11" s="37" t="n">
        <f aca="false">SUMIFS(5000m比較!$K$5:$K$34,5000m比較!$A$5:$A$34,$A11,5000m比較!$C$5:$C$34,$C11)</f>
        <v>0.0676306419016453</v>
      </c>
    </row>
    <row r="12" customFormat="false" ht="15" hidden="false" customHeight="false" outlineLevel="0" collapsed="false">
      <c r="A12" s="13" t="s">
        <v>65</v>
      </c>
      <c r="B12" s="14" t="n">
        <v>2</v>
      </c>
      <c r="C12" s="8" t="s">
        <v>163</v>
      </c>
      <c r="D12" s="14" t="n">
        <f aca="false">SUMIFS(5000m比較!$G$5:$G$34,5000m比較!$A$5:$A$34,$A12,5000m比較!$C$5:$C$34,$C12)</f>
        <v>6</v>
      </c>
      <c r="E12" s="18" t="n">
        <f aca="false">SUMIFS(合宿走行距離!$C$5:$C$28,合宿走行距離!$A$5:$A$28,$A12,合宿走行距離!$B$5:$B$28,$C12)</f>
        <v>485</v>
      </c>
      <c r="F12" s="18" t="n">
        <f aca="false">SUMIFS(合宿走行距離!$F$5:$F$28,合宿走行距離!$A$5:$A$28,$A12,合宿走行距離!$B$5:$B$28,$C12)</f>
        <v>25.5263157894737</v>
      </c>
      <c r="G12" s="18" t="n">
        <f aca="false">SUMIFS(合宿走行距離!$D$5:$D$28,合宿走行距離!$A$5:$A$28,$A12,合宿走行距離!$B$5:$B$28,$C12)</f>
        <v>202</v>
      </c>
      <c r="H12" s="18" t="n">
        <f aca="false">E12+G12</f>
        <v>687</v>
      </c>
      <c r="I12" s="15" t="n">
        <f aca="false">SUMIFS(出雲区間記録!$M$5:$M$34,出雲区間記録!$A$5:$A$34,$A12,出雲区間記録!$B$5:$B$34,$B12)</f>
        <v>39.7</v>
      </c>
      <c r="J12" s="37" t="n">
        <f aca="false">SUMIFS(5000m比較!$K$5:$K$34,5000m比較!$A$5:$A$34,$A12,5000m比較!$C$5:$C$34,$C12)</f>
        <v>0.0312973804214844</v>
      </c>
    </row>
    <row r="13" customFormat="false" ht="15" hidden="false" customHeight="false" outlineLevel="0" collapsed="false">
      <c r="A13" s="13" t="s">
        <v>65</v>
      </c>
      <c r="B13" s="14" t="n">
        <v>3</v>
      </c>
      <c r="C13" s="8" t="s">
        <v>165</v>
      </c>
      <c r="D13" s="14" t="n">
        <f aca="false">SUMIFS(5000m比較!$G$5:$G$34,5000m比較!$A$5:$A$34,$A13,5000m比較!$C$5:$C$34,$C13)</f>
        <v>3</v>
      </c>
      <c r="E13" s="18" t="n">
        <f aca="false">SUMIFS(合宿走行距離!$C$5:$C$28,合宿走行距離!$A$5:$A$28,$A13,合宿走行距離!$B$5:$B$28,$C13)</f>
        <v>453</v>
      </c>
      <c r="F13" s="18" t="n">
        <f aca="false">SUMIFS(合宿走行距離!$F$5:$F$28,合宿走行距離!$A$5:$A$28,$A13,合宿走行距離!$B$5:$B$28,$C13)</f>
        <v>23.8421052631579</v>
      </c>
      <c r="G13" s="18" t="n">
        <f aca="false">SUMIFS(合宿走行距離!$D$5:$D$28,合宿走行距離!$A$5:$A$28,$A13,合宿走行距離!$B$5:$B$28,$C13)</f>
        <v>206</v>
      </c>
      <c r="H13" s="18" t="n">
        <f aca="false">E13+G13</f>
        <v>659</v>
      </c>
      <c r="I13" s="15" t="n">
        <f aca="false">SUMIFS(出雲区間記録!$M$5:$M$34,出雲区間記録!$A$5:$A$34,$A13,出雲区間記録!$B$5:$B$34,$B13)</f>
        <v>1.8</v>
      </c>
      <c r="J13" s="37" t="n">
        <f aca="false">SUMIFS(5000m比較!$K$5:$K$34,5000m比較!$A$5:$A$34,$A13,5000m比較!$C$5:$C$34,$C13)</f>
        <v>0.0294745375435375</v>
      </c>
    </row>
    <row r="14" customFormat="false" ht="15" hidden="false" customHeight="false" outlineLevel="0" collapsed="false">
      <c r="A14" s="13" t="s">
        <v>65</v>
      </c>
      <c r="B14" s="14" t="n">
        <v>4</v>
      </c>
      <c r="C14" s="8" t="s">
        <v>172</v>
      </c>
      <c r="D14" s="14" t="n">
        <f aca="false">SUMIFS(5000m比較!$G$5:$G$34,5000m比較!$A$5:$A$34,$A14,5000m比較!$C$5:$C$34,$C14)</f>
        <v>5</v>
      </c>
      <c r="E14" s="18" t="n">
        <f aca="false">SUMIFS(合宿走行距離!$C$5:$C$28,合宿走行距離!$A$5:$A$28,$A14,合宿走行距離!$B$5:$B$28,$C14)</f>
        <v>500</v>
      </c>
      <c r="F14" s="18" t="n">
        <f aca="false">SUMIFS(合宿走行距離!$F$5:$F$28,合宿走行距離!$A$5:$A$28,$A14,合宿走行距離!$B$5:$B$28,$C14)</f>
        <v>26.3157894736842</v>
      </c>
      <c r="G14" s="18" t="n">
        <f aca="false">SUMIFS(合宿走行距離!$D$5:$D$28,合宿走行距離!$A$5:$A$28,$A14,合宿走行距離!$B$5:$B$28,$C14)</f>
        <v>199</v>
      </c>
      <c r="H14" s="18" t="n">
        <f aca="false">E14+G14</f>
        <v>699</v>
      </c>
      <c r="I14" s="15" t="n">
        <f aca="false">SUMIFS(出雲区間記録!$M$5:$M$34,出雲区間記録!$A$5:$A$34,$A14,出雲区間記録!$B$5:$B$34,$B14)</f>
        <v>12.9</v>
      </c>
      <c r="J14" s="37" t="n">
        <f aca="false">SUMIFS(5000m比較!$K$5:$K$34,5000m比較!$A$5:$A$34,$A14,5000m比較!$C$5:$C$34,$C14)</f>
        <v>0.06307988641021</v>
      </c>
    </row>
    <row r="15" customFormat="false" ht="15" hidden="false" customHeight="false" outlineLevel="0" collapsed="false">
      <c r="A15" s="13" t="s">
        <v>65</v>
      </c>
      <c r="B15" s="14" t="n">
        <v>5</v>
      </c>
      <c r="C15" s="8" t="s">
        <v>173</v>
      </c>
      <c r="D15" s="14" t="n">
        <f aca="false">SUMIFS(5000m比較!$G$5:$G$34,5000m比較!$A$5:$A$34,$A15,5000m比較!$C$5:$C$34,$C15)</f>
        <v>5</v>
      </c>
      <c r="E15" s="18" t="n">
        <f aca="false">SUMIFS(合宿走行距離!$C$5:$C$28,合宿走行距離!$A$5:$A$28,$A15,合宿走行距離!$B$5:$B$28,$C15)</f>
        <v>536</v>
      </c>
      <c r="F15" s="18" t="n">
        <f aca="false">SUMIFS(合宿走行距離!$F$5:$F$28,合宿走行距離!$A$5:$A$28,$A15,合宿走行距離!$B$5:$B$28,$C15)</f>
        <v>28.2105263157895</v>
      </c>
      <c r="G15" s="18" t="n">
        <f aca="false">SUMIFS(合宿走行距離!$D$5:$D$28,合宿走行距離!$A$5:$A$28,$A15,合宿走行距離!$B$5:$B$28,$C15)</f>
        <v>252</v>
      </c>
      <c r="H15" s="18" t="n">
        <f aca="false">E15+G15</f>
        <v>788</v>
      </c>
      <c r="I15" s="15" t="n">
        <f aca="false">SUMIFS(出雲区間記録!$M$5:$M$34,出雲区間記録!$A$5:$A$34,$A15,出雲区間記録!$B$5:$B$34,$B15)</f>
        <v>21.9</v>
      </c>
      <c r="J15" s="37" t="n">
        <f aca="false">SUMIFS(5000m比較!$K$5:$K$34,5000m比較!$A$5:$A$34,$A15,5000m比較!$C$5:$C$34,$C15)</f>
        <v>0.0495256144222807</v>
      </c>
    </row>
    <row r="16" customFormat="false" ht="15" hidden="false" customHeight="false" outlineLevel="0" collapsed="false">
      <c r="A16" s="13" t="s">
        <v>65</v>
      </c>
      <c r="B16" s="14" t="n">
        <v>6</v>
      </c>
      <c r="C16" s="8" t="s">
        <v>174</v>
      </c>
      <c r="D16" s="14" t="n">
        <f aca="false">SUMIFS(5000m比較!$G$5:$G$34,5000m比較!$A$5:$A$34,$A16,5000m比較!$C$5:$C$34,$C16)</f>
        <v>3</v>
      </c>
      <c r="E16" s="18" t="n">
        <f aca="false">SUMIFS(合宿走行距離!$C$5:$C$28,合宿走行距離!$A$5:$A$28,$A16,合宿走行距離!$B$5:$B$28,$C16)</f>
        <v>463</v>
      </c>
      <c r="F16" s="18" t="n">
        <f aca="false">SUMIFS(合宿走行距離!$F$5:$F$28,合宿走行距離!$A$5:$A$28,$A16,合宿走行距離!$B$5:$B$28,$C16)</f>
        <v>24.3684210526316</v>
      </c>
      <c r="G16" s="18" t="n">
        <f aca="false">SUMIFS(合宿走行距離!$D$5:$D$28,合宿走行距離!$A$5:$A$28,$A16,合宿走行距離!$B$5:$B$28,$C16)</f>
        <v>201</v>
      </c>
      <c r="H16" s="18" t="n">
        <f aca="false">E16+G16</f>
        <v>664</v>
      </c>
      <c r="I16" s="15" t="n">
        <f aca="false">SUMIFS(出雲区間記録!$M$5:$M$34,出雲区間記録!$A$5:$A$34,$A16,出雲区間記録!$B$5:$B$34,$B16)</f>
        <v>35.3</v>
      </c>
      <c r="J16" s="37" t="n">
        <f aca="false">SUMIFS(5000m比較!$K$5:$K$34,5000m比較!$A$5:$A$34,$A16,5000m比較!$C$5:$C$34,$C16)</f>
        <v>0.0364625062747057</v>
      </c>
    </row>
    <row r="17" customFormat="false" ht="15" hidden="false" customHeight="false" outlineLevel="0" collapsed="false">
      <c r="A17" s="25" t="s">
        <v>66</v>
      </c>
      <c r="B17" s="27" t="n">
        <v>1</v>
      </c>
      <c r="C17" s="28" t="s">
        <v>175</v>
      </c>
      <c r="D17" s="27" t="n">
        <f aca="false">SUMIFS(5000m比較!$G$5:$G$34,5000m比較!$A$5:$A$34,$A17,5000m比較!$C$5:$C$34,$C17)</f>
        <v>6</v>
      </c>
      <c r="E17" s="26" t="n">
        <f aca="false">SUMIFS(合宿走行距離!$C$5:$C$28,合宿走行距離!$A$5:$A$28,$A17,合宿走行距離!$B$5:$B$28,$C17)</f>
        <v>612</v>
      </c>
      <c r="F17" s="26" t="n">
        <f aca="false">SUMIFS(合宿走行距離!$F$5:$F$28,合宿走行距離!$A$5:$A$28,$A17,合宿走行距離!$B$5:$B$28,$C17)</f>
        <v>32.2105263157895</v>
      </c>
      <c r="G17" s="26" t="n">
        <f aca="false">SUMIFS(合宿走行距離!$D$5:$D$28,合宿走行距離!$A$5:$A$28,$A17,合宿走行距離!$B$5:$B$28,$C17)</f>
        <v>212</v>
      </c>
      <c r="H17" s="26" t="n">
        <f aca="false">E17+G17</f>
        <v>824</v>
      </c>
      <c r="I17" s="30" t="n">
        <f aca="false">SUMIFS(出雲区間記録!$M$5:$M$34,出雲区間記録!$A$5:$A$34,$A17,出雲区間記録!$B$5:$B$34,$B17)</f>
        <v>11.3</v>
      </c>
      <c r="J17" s="35" t="n">
        <f aca="false">SUMIFS(5000m比較!$K$5:$K$34,5000m比較!$A$5:$A$34,$A17,5000m比較!$C$5:$C$34,$C17)</f>
        <v>0.0845624026479752</v>
      </c>
    </row>
    <row r="18" customFormat="false" ht="15" hidden="false" customHeight="false" outlineLevel="0" collapsed="false">
      <c r="A18" s="25" t="s">
        <v>66</v>
      </c>
      <c r="B18" s="27" t="n">
        <v>2</v>
      </c>
      <c r="C18" s="28" t="s">
        <v>176</v>
      </c>
      <c r="D18" s="27" t="n">
        <f aca="false">SUMIFS(5000m比較!$G$5:$G$34,5000m比較!$A$5:$A$34,$A18,5000m比較!$C$5:$C$34,$C18)</f>
        <v>10</v>
      </c>
      <c r="E18" s="26" t="n">
        <f aca="false">SUMIFS(合宿走行距離!$C$5:$C$28,合宿走行距離!$A$5:$A$28,$A18,合宿走行距離!$B$5:$B$28,$C18)</f>
        <v>556</v>
      </c>
      <c r="F18" s="26" t="n">
        <f aca="false">SUMIFS(合宿走行距離!$F$5:$F$28,合宿走行距離!$A$5:$A$28,$A18,合宿走行距離!$B$5:$B$28,$C18)</f>
        <v>29.2631578947368</v>
      </c>
      <c r="G18" s="26" t="n">
        <f aca="false">SUMIFS(合宿走行距離!$D$5:$D$28,合宿走行距離!$A$5:$A$28,$A18,合宿走行距離!$B$5:$B$28,$C18)</f>
        <v>219</v>
      </c>
      <c r="H18" s="26" t="n">
        <f aca="false">E18+G18</f>
        <v>775</v>
      </c>
      <c r="I18" s="30" t="n">
        <f aca="false">SUMIFS(出雲区間記録!$M$5:$M$34,出雲区間記録!$A$5:$A$34,$A18,出雲区間記録!$B$5:$B$34,$B18)</f>
        <v>50.9</v>
      </c>
      <c r="J18" s="35" t="n">
        <f aca="false">SUMIFS(5000m比較!$K$5:$K$34,5000m比較!$A$5:$A$34,$A18,5000m比較!$C$5:$C$34,$C18)</f>
        <v>0.0442219785704272</v>
      </c>
    </row>
    <row r="19" customFormat="false" ht="15" hidden="false" customHeight="false" outlineLevel="0" collapsed="false">
      <c r="A19" s="25" t="s">
        <v>66</v>
      </c>
      <c r="B19" s="27" t="n">
        <v>3</v>
      </c>
      <c r="C19" s="28" t="s">
        <v>177</v>
      </c>
      <c r="D19" s="27" t="n">
        <f aca="false">SUMIFS(5000m比較!$G$5:$G$34,5000m比較!$A$5:$A$34,$A19,5000m比較!$C$5:$C$34,$C19)</f>
        <v>10</v>
      </c>
      <c r="E19" s="26" t="n">
        <f aca="false">SUMIFS(合宿走行距離!$C$5:$C$28,合宿走行距離!$A$5:$A$28,$A19,合宿走行距離!$B$5:$B$28,$C19)</f>
        <v>496</v>
      </c>
      <c r="F19" s="26" t="n">
        <f aca="false">SUMIFS(合宿走行距離!$F$5:$F$28,合宿走行距離!$A$5:$A$28,$A19,合宿走行距離!$B$5:$B$28,$C19)</f>
        <v>26.1052631578947</v>
      </c>
      <c r="G19" s="26" t="n">
        <f aca="false">SUMIFS(合宿走行距離!$D$5:$D$28,合宿走行距離!$A$5:$A$28,$A19,合宿走行距離!$B$5:$B$28,$C19)</f>
        <v>222</v>
      </c>
      <c r="H19" s="26" t="n">
        <f aca="false">E19+G19</f>
        <v>718</v>
      </c>
      <c r="I19" s="30" t="n">
        <f aca="false">SUMIFS(出雲区間記録!$M$5:$M$34,出雲区間記録!$A$5:$A$34,$A19,出雲区間記録!$B$5:$B$34,$B19)</f>
        <v>51.8</v>
      </c>
      <c r="J19" s="35" t="n">
        <f aca="false">SUMIFS(5000m比較!$K$5:$K$34,5000m比較!$A$5:$A$34,$A19,5000m比較!$C$5:$C$34,$C19)</f>
        <v>0.077135543697834</v>
      </c>
    </row>
    <row r="20" customFormat="false" ht="15" hidden="false" customHeight="false" outlineLevel="0" collapsed="false">
      <c r="A20" s="25" t="s">
        <v>66</v>
      </c>
      <c r="B20" s="27" t="n">
        <v>4</v>
      </c>
      <c r="C20" s="28" t="s">
        <v>178</v>
      </c>
      <c r="D20" s="27" t="n">
        <f aca="false">SUMIFS(5000m比較!$G$5:$G$34,5000m比較!$A$5:$A$34,$A20,5000m比較!$C$5:$C$34,$C20)</f>
        <v>8</v>
      </c>
      <c r="E20" s="26" t="n">
        <f aca="false">SUMIFS(合宿走行距離!$C$5:$C$28,合宿走行距離!$A$5:$A$28,$A20,合宿走行距離!$B$5:$B$28,$C20)</f>
        <v>591</v>
      </c>
      <c r="F20" s="26" t="n">
        <f aca="false">SUMIFS(合宿走行距離!$F$5:$F$28,合宿走行距離!$A$5:$A$28,$A20,合宿走行距離!$B$5:$B$28,$C20)</f>
        <v>31.1052631578947</v>
      </c>
      <c r="G20" s="26" t="n">
        <f aca="false">SUMIFS(合宿走行距離!$D$5:$D$28,合宿走行距離!$A$5:$A$28,$A20,合宿走行距離!$B$5:$B$28,$C20)</f>
        <v>240</v>
      </c>
      <c r="H20" s="26" t="n">
        <f aca="false">E20+G20</f>
        <v>831</v>
      </c>
      <c r="I20" s="30" t="n">
        <f aca="false">SUMIFS(出雲区間記録!$M$5:$M$34,出雲区間記録!$A$5:$A$34,$A20,出雲区間記録!$B$5:$B$34,$B20)</f>
        <v>19.4</v>
      </c>
      <c r="J20" s="35" t="n">
        <f aca="false">SUMIFS(5000m比較!$K$5:$K$34,5000m比較!$A$5:$A$34,$A20,5000m比較!$C$5:$C$34,$C20)</f>
        <v>0.0413530699754023</v>
      </c>
    </row>
    <row r="21" customFormat="false" ht="15" hidden="false" customHeight="false" outlineLevel="0" collapsed="false">
      <c r="A21" s="25" t="s">
        <v>66</v>
      </c>
      <c r="B21" s="27" t="n">
        <v>5</v>
      </c>
      <c r="C21" s="28" t="s">
        <v>179</v>
      </c>
      <c r="D21" s="27" t="n">
        <f aca="false">SUMIFS(5000m比較!$G$5:$G$34,5000m比較!$A$5:$A$34,$A21,5000m比較!$C$5:$C$34,$C21)</f>
        <v>1</v>
      </c>
      <c r="E21" s="26" t="n">
        <f aca="false">SUMIFS(合宿走行距離!$C$5:$C$28,合宿走行距離!$A$5:$A$28,$A21,合宿走行距離!$B$5:$B$28,$C21)</f>
        <v>721</v>
      </c>
      <c r="F21" s="26" t="n">
        <f aca="false">SUMIFS(合宿走行距離!$F$5:$F$28,合宿走行距離!$A$5:$A$28,$A21,合宿走行距離!$B$5:$B$28,$C21)</f>
        <v>37.9473684210526</v>
      </c>
      <c r="G21" s="26" t="n">
        <f aca="false">SUMIFS(合宿走行距離!$D$5:$D$28,合宿走行距離!$A$5:$A$28,$A21,合宿走行距離!$B$5:$B$28,$C21)</f>
        <v>266</v>
      </c>
      <c r="H21" s="26" t="n">
        <f aca="false">E21+G21</f>
        <v>987</v>
      </c>
      <c r="I21" s="30" t="n">
        <f aca="false">SUMIFS(出雲区間記録!$M$5:$M$34,出雲区間記録!$A$5:$A$34,$A21,出雲区間記録!$B$5:$B$34,$B21)</f>
        <v>0</v>
      </c>
      <c r="J21" s="35" t="n">
        <f aca="false">SUMIFS(5000m比較!$K$5:$K$34,5000m比較!$A$5:$A$34,$A21,5000m比較!$C$5:$C$34,$C21)</f>
        <v>0.0114548676406772</v>
      </c>
    </row>
    <row r="22" customFormat="false" ht="15" hidden="false" customHeight="false" outlineLevel="0" collapsed="false">
      <c r="A22" s="25" t="s">
        <v>66</v>
      </c>
      <c r="B22" s="27" t="n">
        <v>6</v>
      </c>
      <c r="C22" s="28" t="s">
        <v>165</v>
      </c>
      <c r="D22" s="27" t="n">
        <f aca="false">SUMIFS(5000m比較!$G$5:$G$34,5000m比較!$A$5:$A$34,$A22,5000m比較!$C$5:$C$34,$C22)</f>
        <v>1</v>
      </c>
      <c r="E22" s="26" t="n">
        <f aca="false">SUMIFS(合宿走行距離!$C$5:$C$28,合宿走行距離!$A$5:$A$28,$A22,合宿走行距離!$B$5:$B$28,$C22)</f>
        <v>496</v>
      </c>
      <c r="F22" s="26" t="n">
        <f aca="false">SUMIFS(合宿走行距離!$F$5:$F$28,合宿走行距離!$A$5:$A$28,$A22,合宿走行距離!$B$5:$B$28,$C22)</f>
        <v>26.1052631578947</v>
      </c>
      <c r="G22" s="26" t="n">
        <f aca="false">SUMIFS(合宿走行距離!$D$5:$D$28,合宿走行距離!$A$5:$A$28,$A22,合宿走行距離!$B$5:$B$28,$C22)</f>
        <v>224</v>
      </c>
      <c r="H22" s="26" t="n">
        <f aca="false">E22+G22</f>
        <v>720</v>
      </c>
      <c r="I22" s="30" t="n">
        <f aca="false">SUMIFS(出雲区間記録!$M$5:$M$34,出雲区間記録!$A$5:$A$34,$A22,出雲区間記録!$B$5:$B$34,$B22)</f>
        <v>0</v>
      </c>
      <c r="J22" s="35" t="n">
        <f aca="false">SUMIFS(5000m比較!$K$5:$K$34,5000m比較!$A$5:$A$34,$A22,5000m比較!$C$5:$C$34,$C22)</f>
        <v>0.0568593968711182</v>
      </c>
    </row>
    <row r="23" customFormat="false" ht="15" hidden="false" customHeight="false" outlineLevel="0" collapsed="false">
      <c r="A23" s="13" t="s">
        <v>67</v>
      </c>
      <c r="B23" s="14" t="n">
        <v>1</v>
      </c>
      <c r="C23" s="8" t="s">
        <v>180</v>
      </c>
      <c r="D23" s="14" t="n">
        <f aca="false">SUMIFS(5000m比較!$G$5:$G$34,5000m比較!$A$5:$A$34,$A23,5000m比較!$C$5:$C$34,$C23)</f>
        <v>2</v>
      </c>
      <c r="E23" s="18" t="n">
        <f aca="false">SUMIFS(合宿走行距離!$C$5:$C$28,合宿走行距離!$A$5:$A$28,$A23,合宿走行距離!$B$5:$B$28,$C23)</f>
        <v>502</v>
      </c>
      <c r="F23" s="18" t="n">
        <f aca="false">SUMIFS(合宿走行距離!$F$5:$F$28,合宿走行距離!$A$5:$A$28,$A23,合宿走行距離!$B$5:$B$28,$C23)</f>
        <v>27.8888888888889</v>
      </c>
      <c r="G23" s="18" t="n">
        <f aca="false">SUMIFS(合宿走行距離!$D$5:$D$28,合宿走行距離!$A$5:$A$28,$A23,合宿走行距離!$B$5:$B$28,$C23)</f>
        <v>221</v>
      </c>
      <c r="H23" s="18" t="n">
        <f aca="false">E23+G23</f>
        <v>723</v>
      </c>
      <c r="I23" s="15" t="n">
        <f aca="false">SUMIFS(出雲区間記録!$M$5:$M$34,出雲区間記録!$A$5:$A$34,$A23,出雲区間記録!$B$5:$B$34,$B23)</f>
        <v>3.7</v>
      </c>
      <c r="J23" s="37" t="n">
        <f aca="false">SUMIFS(5000m比較!$K$5:$K$34,5000m比較!$A$5:$A$34,$A23,5000m比較!$C$5:$C$34,$C23)</f>
        <v>0.0465116279069768</v>
      </c>
    </row>
    <row r="24" customFormat="false" ht="15" hidden="false" customHeight="false" outlineLevel="0" collapsed="false">
      <c r="A24" s="13" t="s">
        <v>67</v>
      </c>
      <c r="B24" s="14" t="n">
        <v>2</v>
      </c>
      <c r="C24" s="8" t="s">
        <v>168</v>
      </c>
      <c r="D24" s="14" t="n">
        <f aca="false">SUMIFS(5000m比較!$G$5:$G$34,5000m比較!$A$5:$A$34,$A24,5000m比較!$C$5:$C$34,$C24)</f>
        <v>9</v>
      </c>
      <c r="E24" s="18" t="n">
        <f aca="false">SUMIFS(合宿走行距離!$C$5:$C$28,合宿走行距離!$A$5:$A$28,$A24,合宿走行距離!$B$5:$B$28,$C24)</f>
        <v>595</v>
      </c>
      <c r="F24" s="18" t="n">
        <f aca="false">SUMIFS(合宿走行距離!$F$5:$F$28,合宿走行距離!$A$5:$A$28,$A24,合宿走行距離!$B$5:$B$28,$C24)</f>
        <v>33.0555555555556</v>
      </c>
      <c r="G24" s="18" t="n">
        <f aca="false">SUMIFS(合宿走行距離!$D$5:$D$28,合宿走行距離!$A$5:$A$28,$A24,合宿走行距離!$B$5:$B$28,$C24)</f>
        <v>233</v>
      </c>
      <c r="H24" s="18" t="n">
        <f aca="false">E24+G24</f>
        <v>828</v>
      </c>
      <c r="I24" s="15" t="n">
        <f aca="false">SUMIFS(出雲区間記録!$M$5:$M$34,出雲区間記録!$A$5:$A$34,$A24,出雲区間記録!$B$5:$B$34,$B24)</f>
        <v>24.1</v>
      </c>
      <c r="J24" s="37" t="n">
        <f aca="false">SUMIFS(5000m比較!$K$5:$K$34,5000m比較!$A$5:$A$34,$A24,5000m比較!$C$5:$C$34,$C24)</f>
        <v>0.0247633536173089</v>
      </c>
    </row>
    <row r="25" customFormat="false" ht="15" hidden="false" customHeight="false" outlineLevel="0" collapsed="false">
      <c r="A25" s="13" t="s">
        <v>67</v>
      </c>
      <c r="B25" s="14" t="n">
        <v>3</v>
      </c>
      <c r="C25" s="8" t="s">
        <v>177</v>
      </c>
      <c r="D25" s="14" t="n">
        <f aca="false">SUMIFS(5000m比較!$G$5:$G$34,5000m比較!$A$5:$A$34,$A25,5000m比較!$C$5:$C$34,$C25)</f>
        <v>11</v>
      </c>
      <c r="E25" s="18" t="n">
        <f aca="false">SUMIFS(合宿走行距離!$C$5:$C$28,合宿走行距離!$A$5:$A$28,$A25,合宿走行距離!$B$5:$B$28,$C25)</f>
        <v>500</v>
      </c>
      <c r="F25" s="18" t="n">
        <f aca="false">SUMIFS(合宿走行距離!$F$5:$F$28,合宿走行距離!$A$5:$A$28,$A25,合宿走行距離!$B$5:$B$28,$C25)</f>
        <v>27.7777777777778</v>
      </c>
      <c r="G25" s="18" t="n">
        <f aca="false">SUMIFS(合宿走行距離!$D$5:$D$28,合宿走行距離!$A$5:$A$28,$A25,合宿走行距離!$B$5:$B$28,$C25)</f>
        <v>212</v>
      </c>
      <c r="H25" s="18" t="n">
        <f aca="false">E25+G25</f>
        <v>712</v>
      </c>
      <c r="I25" s="15" t="n">
        <f aca="false">SUMIFS(出雲区間記録!$M$5:$M$34,出雲区間記録!$A$5:$A$34,$A25,出雲区間記録!$B$5:$B$34,$B25)</f>
        <v>41.2</v>
      </c>
      <c r="J25" s="37" t="n">
        <f aca="false">SUMIFS(5000m比較!$K$5:$K$34,5000m比較!$A$5:$A$34,$A25,5000m比較!$C$5:$C$34,$C25)</f>
        <v>0.0674846625766874</v>
      </c>
    </row>
    <row r="26" customFormat="false" ht="15" hidden="false" customHeight="false" outlineLevel="0" collapsed="false">
      <c r="A26" s="13" t="s">
        <v>67</v>
      </c>
      <c r="B26" s="14" t="n">
        <v>4</v>
      </c>
      <c r="C26" s="8" t="s">
        <v>175</v>
      </c>
      <c r="D26" s="14" t="n">
        <f aca="false">SUMIFS(5000m比較!$G$5:$G$34,5000m比較!$A$5:$A$34,$A26,5000m比較!$C$5:$C$34,$C26)</f>
        <v>11</v>
      </c>
      <c r="E26" s="18" t="n">
        <f aca="false">SUMIFS(合宿走行距離!$C$5:$C$28,合宿走行距離!$A$5:$A$28,$A26,合宿走行距離!$B$5:$B$28,$C26)</f>
        <v>616</v>
      </c>
      <c r="F26" s="18" t="n">
        <f aca="false">SUMIFS(合宿走行距離!$F$5:$F$28,合宿走行距離!$A$5:$A$28,$A26,合宿走行距離!$B$5:$B$28,$C26)</f>
        <v>34.2222222222222</v>
      </c>
      <c r="G26" s="18" t="n">
        <f aca="false">SUMIFS(合宿走行距離!$D$5:$D$28,合宿走行距離!$A$5:$A$28,$A26,合宿走行距離!$B$5:$B$28,$C26)</f>
        <v>230</v>
      </c>
      <c r="H26" s="18" t="n">
        <f aca="false">E26+G26</f>
        <v>846</v>
      </c>
      <c r="I26" s="15" t="n">
        <f aca="false">SUMIFS(出雲区間記録!$M$5:$M$34,出雲区間記録!$A$5:$A$34,$A26,出雲区間記録!$B$5:$B$34,$B26)</f>
        <v>39.5</v>
      </c>
      <c r="J26" s="37" t="n">
        <f aca="false">SUMIFS(5000m比較!$K$5:$K$34,5000m比較!$A$5:$A$34,$A26,5000m比較!$C$5:$C$34,$C26)</f>
        <v>0.0585903775213879</v>
      </c>
    </row>
    <row r="27" customFormat="false" ht="15" hidden="false" customHeight="false" outlineLevel="0" collapsed="false">
      <c r="A27" s="13" t="s">
        <v>67</v>
      </c>
      <c r="B27" s="14" t="n">
        <v>5</v>
      </c>
      <c r="C27" s="8" t="s">
        <v>182</v>
      </c>
      <c r="D27" s="14" t="n">
        <f aca="false">SUMIFS(5000m比較!$G$5:$G$34,5000m比較!$A$5:$A$34,$A27,5000m比較!$C$5:$C$34,$C27)</f>
        <v>7</v>
      </c>
      <c r="E27" s="18" t="n">
        <f aca="false">SUMIFS(合宿走行距離!$C$5:$C$28,合宿走行距離!$A$5:$A$28,$A27,合宿走行距離!$B$5:$B$28,$C27)</f>
        <v>501</v>
      </c>
      <c r="F27" s="18" t="n">
        <f aca="false">SUMIFS(合宿走行距離!$F$5:$F$28,合宿走行距離!$A$5:$A$28,$A27,合宿走行距離!$B$5:$B$28,$C27)</f>
        <v>27.8333333333333</v>
      </c>
      <c r="G27" s="18" t="n">
        <f aca="false">SUMIFS(合宿走行距離!$D$5:$D$28,合宿走行距離!$A$5:$A$28,$A27,合宿走行距離!$B$5:$B$28,$C27)</f>
        <v>222</v>
      </c>
      <c r="H27" s="18" t="n">
        <f aca="false">E27+G27</f>
        <v>723</v>
      </c>
      <c r="I27" s="15" t="n">
        <f aca="false">SUMIFS(出雲区間記録!$M$5:$M$34,出雲区間記録!$A$5:$A$34,$A27,出雲区間記録!$B$5:$B$34,$B27)</f>
        <v>13.3</v>
      </c>
      <c r="J27" s="37" t="n">
        <f aca="false">SUMIFS(5000m比較!$K$5:$K$34,5000m比較!$A$5:$A$34,$A27,5000m比較!$C$5:$C$34,$C27)</f>
        <v>0.0213414634146343</v>
      </c>
    </row>
    <row r="28" customFormat="false" ht="15" hidden="false" customHeight="false" outlineLevel="0" collapsed="false">
      <c r="A28" s="13" t="s">
        <v>67</v>
      </c>
      <c r="B28" s="14" t="n">
        <v>6</v>
      </c>
      <c r="C28" s="8" t="s">
        <v>183</v>
      </c>
      <c r="D28" s="14" t="n">
        <f aca="false">SUMIFS(5000m比較!$G$5:$G$34,5000m比較!$A$5:$A$34,$A28,5000m比較!$C$5:$C$34,$C28)</f>
        <v>9</v>
      </c>
      <c r="E28" s="18" t="n">
        <f aca="false">SUMIFS(合宿走行距離!$C$5:$C$28,合宿走行距離!$A$5:$A$28,$A28,合宿走行距離!$B$5:$B$28,$C28)</f>
        <v>619</v>
      </c>
      <c r="F28" s="18" t="n">
        <f aca="false">SUMIFS(合宿走行距離!$F$5:$F$28,合宿走行距離!$A$5:$A$28,$A28,合宿走行距離!$B$5:$B$28,$C28)</f>
        <v>34.3888888888889</v>
      </c>
      <c r="G28" s="18" t="n">
        <f aca="false">SUMIFS(合宿走行距離!$D$5:$D$28,合宿走行距離!$A$5:$A$28,$A28,合宿走行距離!$B$5:$B$28,$C28)</f>
        <v>248</v>
      </c>
      <c r="H28" s="18" t="n">
        <f aca="false">E28+G28</f>
        <v>867</v>
      </c>
      <c r="I28" s="15" t="n">
        <f aca="false">SUMIFS(出雲区間記録!$M$5:$M$34,出雲区間記録!$A$5:$A$34,$A28,出雲区間記録!$B$5:$B$34,$B28)</f>
        <v>83.3</v>
      </c>
      <c r="J28" s="37" t="n">
        <f aca="false">SUMIFS(5000m比較!$K$5:$K$34,5000m比較!$A$5:$A$34,$A28,5000m比較!$C$5:$C$34,$C28)</f>
        <v>0.0923172687878573</v>
      </c>
    </row>
    <row r="30" customFormat="false" ht="15" hidden="false" customHeight="false" outlineLevel="0" collapsed="false">
      <c r="A30" s="23" t="s">
        <v>196</v>
      </c>
    </row>
    <row r="31" customFormat="false" ht="48" hidden="false" customHeight="true" outlineLevel="0" collapsed="false">
      <c r="A31" s="11" t="s">
        <v>46</v>
      </c>
      <c r="B31" s="11" t="s">
        <v>47</v>
      </c>
      <c r="C31" s="11"/>
      <c r="D31" s="11" t="s">
        <v>197</v>
      </c>
      <c r="E31" s="12" t="s">
        <v>186</v>
      </c>
      <c r="F31" s="12" t="s">
        <v>193</v>
      </c>
      <c r="G31" s="12" t="s">
        <v>187</v>
      </c>
      <c r="H31" s="12" t="s">
        <v>194</v>
      </c>
      <c r="I31" s="11" t="s">
        <v>195</v>
      </c>
      <c r="J31" s="11" t="s">
        <v>24</v>
      </c>
    </row>
    <row r="32" customFormat="false" ht="15" hidden="false" customHeight="false" outlineLevel="0" collapsed="false">
      <c r="A32" s="13" t="s">
        <v>64</v>
      </c>
      <c r="B32" s="14" t="n">
        <v>4</v>
      </c>
      <c r="C32" s="8"/>
      <c r="D32" s="18" t="n">
        <f aca="false">AVERAGEIFS($D$5:$D$28,$A$5:$A$28,$A32)</f>
        <v>4.5</v>
      </c>
      <c r="E32" s="18" t="n">
        <f aca="false">AVERAGEIFS($E$5:$E$28,$A$5:$A$28,$A32)</f>
        <v>575.25</v>
      </c>
      <c r="F32" s="18" t="n">
        <f aca="false">AVERAGEIFS($F$5:$F$28,$A$5:$A$28,$A32)</f>
        <v>26.1477272727273</v>
      </c>
      <c r="G32" s="18" t="n">
        <f aca="false">AVERAGEIFS($G$5:$G$28,$A$5:$A$28,$A32)</f>
        <v>232.333333333333</v>
      </c>
      <c r="H32" s="18" t="n">
        <f aca="false">AVERAGEIFS($H$5:$H$28,$A$5:$A$28,$A32)</f>
        <v>807.583333333333</v>
      </c>
      <c r="I32" s="15" t="n">
        <f aca="false">AVERAGEIFS($I$5:$I$28,$A$5:$A$28,$A32)</f>
        <v>30.5666666666667</v>
      </c>
      <c r="J32" s="17" t="n">
        <f aca="false">AVERAGEIFS($J$5:$J$28,$A$5:$A$28,$A32)</f>
        <v>0.0643077124151847</v>
      </c>
    </row>
    <row r="33" customFormat="false" ht="15" hidden="false" customHeight="false" outlineLevel="0" collapsed="false">
      <c r="A33" s="13" t="s">
        <v>65</v>
      </c>
      <c r="B33" s="14" t="n">
        <v>3</v>
      </c>
      <c r="C33" s="8"/>
      <c r="D33" s="18" t="n">
        <f aca="false">AVERAGEIFS($D$5:$D$28,$A$5:$A$28,$A33)</f>
        <v>3.83333333333333</v>
      </c>
      <c r="E33" s="18" t="n">
        <f aca="false">AVERAGEIFS($E$5:$E$28,$A$5:$A$28,$A33)</f>
        <v>474.333333333333</v>
      </c>
      <c r="F33" s="18" t="n">
        <f aca="false">AVERAGEIFS($F$5:$F$28,$A$5:$A$28,$A33)</f>
        <v>24.9649122807018</v>
      </c>
      <c r="G33" s="18" t="n">
        <f aca="false">AVERAGEIFS($G$5:$G$28,$A$5:$A$28,$A33)</f>
        <v>210.333333333333</v>
      </c>
      <c r="H33" s="18" t="n">
        <f aca="false">AVERAGEIFS($H$5:$H$28,$A$5:$A$28,$A33)</f>
        <v>684.666666666667</v>
      </c>
      <c r="I33" s="15" t="n">
        <f aca="false">AVERAGEIFS($I$5:$I$28,$A$5:$A$28,$A33)</f>
        <v>18.6</v>
      </c>
      <c r="J33" s="17" t="n">
        <f aca="false">AVERAGEIFS($J$5:$J$28,$A$5:$A$28,$A33)</f>
        <v>0.0462450944956439</v>
      </c>
    </row>
    <row r="34" customFormat="false" ht="15" hidden="false" customHeight="false" outlineLevel="0" collapsed="false">
      <c r="A34" s="13" t="s">
        <v>66</v>
      </c>
      <c r="B34" s="14" t="n">
        <v>7</v>
      </c>
      <c r="C34" s="8"/>
      <c r="D34" s="18" t="n">
        <f aca="false">AVERAGEIFS($D$5:$D$28,$A$5:$A$28,$A34)</f>
        <v>6</v>
      </c>
      <c r="E34" s="18" t="n">
        <f aca="false">AVERAGEIFS($E$5:$E$28,$A$5:$A$28,$A34)</f>
        <v>578.666666666667</v>
      </c>
      <c r="F34" s="18" t="n">
        <f aca="false">AVERAGEIFS($F$5:$F$28,$A$5:$A$28,$A34)</f>
        <v>30.4561403508772</v>
      </c>
      <c r="G34" s="18" t="n">
        <f aca="false">AVERAGEIFS($G$5:$G$28,$A$5:$A$28,$A34)</f>
        <v>230.5</v>
      </c>
      <c r="H34" s="18" t="n">
        <f aca="false">AVERAGEIFS($H$5:$H$28,$A$5:$A$28,$A34)</f>
        <v>809.166666666667</v>
      </c>
      <c r="I34" s="15" t="n">
        <f aca="false">AVERAGEIFS($I$5:$I$28,$A$5:$A$28,$A34)</f>
        <v>22.2333333333333</v>
      </c>
      <c r="J34" s="17" t="n">
        <f aca="false">AVERAGEIFS($J$5:$J$28,$A$5:$A$28,$A34)</f>
        <v>0.052597876567239</v>
      </c>
    </row>
    <row r="35" customFormat="false" ht="15" hidden="false" customHeight="false" outlineLevel="0" collapsed="false">
      <c r="A35" s="13" t="s">
        <v>67</v>
      </c>
      <c r="B35" s="14" t="n">
        <v>11</v>
      </c>
      <c r="C35" s="8"/>
      <c r="D35" s="18" t="n">
        <f aca="false">AVERAGEIFS($D$5:$D$28,$A$5:$A$28,$A35)</f>
        <v>8.16666666666667</v>
      </c>
      <c r="E35" s="18" t="n">
        <f aca="false">AVERAGEIFS($E$5:$E$28,$A$5:$A$28,$A35)</f>
        <v>555.5</v>
      </c>
      <c r="F35" s="18" t="n">
        <f aca="false">AVERAGEIFS($F$5:$F$28,$A$5:$A$28,$A35)</f>
        <v>30.8611111111111</v>
      </c>
      <c r="G35" s="18" t="n">
        <f aca="false">AVERAGEIFS($G$5:$G$28,$A$5:$A$28,$A35)</f>
        <v>227.666666666667</v>
      </c>
      <c r="H35" s="18" t="n">
        <f aca="false">AVERAGEIFS($H$5:$H$28,$A$5:$A$28,$A35)</f>
        <v>783.166666666667</v>
      </c>
      <c r="I35" s="15" t="n">
        <f aca="false">AVERAGEIFS($I$5:$I$28,$A$5:$A$28,$A35)</f>
        <v>34.1833333333333</v>
      </c>
      <c r="J35" s="17" t="n">
        <f aca="false">AVERAGEIFS($J$5:$J$28,$A$5:$A$28,$A35)</f>
        <v>0.0518347923041421</v>
      </c>
    </row>
    <row r="37" customFormat="false" ht="15" hidden="false" customHeight="false" outlineLevel="0" collapsed="false">
      <c r="A37" s="23" t="s">
        <v>198</v>
      </c>
    </row>
    <row r="38" customFormat="false" ht="19.5" hidden="false" customHeight="true" outlineLevel="0" collapsed="false">
      <c r="A38" s="11" t="s">
        <v>199</v>
      </c>
      <c r="B38" s="11"/>
      <c r="C38" s="11"/>
      <c r="D38" s="11"/>
      <c r="E38" s="11" t="s">
        <v>71</v>
      </c>
    </row>
    <row r="39" customFormat="false" ht="15" hidden="false" customHeight="true" outlineLevel="0" collapsed="false">
      <c r="A39" s="7" t="s">
        <v>200</v>
      </c>
      <c r="B39" s="7"/>
      <c r="C39" s="7"/>
      <c r="D39" s="7"/>
      <c r="E39" s="21" t="n">
        <f aca="false">CORREL(E5:E28,D5:D28)</f>
        <v>0.21035603271837</v>
      </c>
    </row>
    <row r="40" customFormat="false" ht="15" hidden="false" customHeight="true" outlineLevel="0" collapsed="false">
      <c r="A40" s="7" t="s">
        <v>201</v>
      </c>
      <c r="B40" s="7"/>
      <c r="C40" s="7"/>
      <c r="D40" s="7"/>
      <c r="E40" s="21" t="n">
        <f aca="false">CORREL(F5:F28,D5:D28)</f>
        <v>0.3528208001734</v>
      </c>
    </row>
    <row r="41" customFormat="false" ht="15" hidden="false" customHeight="true" outlineLevel="0" collapsed="false">
      <c r="A41" s="7" t="s">
        <v>202</v>
      </c>
      <c r="B41" s="7"/>
      <c r="C41" s="7"/>
      <c r="D41" s="7"/>
      <c r="E41" s="21" t="n">
        <f aca="false">CORREL(G5:G28,D5:D28)</f>
        <v>0.158827292582218</v>
      </c>
    </row>
    <row r="42" customFormat="false" ht="15" hidden="false" customHeight="true" outlineLevel="0" collapsed="false">
      <c r="A42" s="7" t="s">
        <v>203</v>
      </c>
      <c r="B42" s="7"/>
      <c r="C42" s="7"/>
      <c r="D42" s="7"/>
      <c r="E42" s="21" t="n">
        <f aca="false">CORREL(H5:H28,D5:D28)</f>
        <v>0.221128744912739</v>
      </c>
    </row>
    <row r="43" customFormat="false" ht="15" hidden="false" customHeight="true" outlineLevel="0" collapsed="false">
      <c r="A43" s="5" t="s">
        <v>24</v>
      </c>
      <c r="B43" s="5"/>
      <c r="C43" s="5"/>
      <c r="D43" s="5"/>
      <c r="E43" s="21" t="n">
        <f aca="false">CORREL(J5:J28,D5:D28)</f>
        <v>0.357795231918494</v>
      </c>
    </row>
    <row r="44" customFormat="false" ht="15" hidden="false" customHeight="false" outlineLevel="0" collapsed="false">
      <c r="A44" s="38" t="s">
        <v>204</v>
      </c>
    </row>
    <row r="46" customFormat="false" ht="15" hidden="false" customHeight="false" outlineLevel="0" collapsed="false">
      <c r="A46" s="23" t="s">
        <v>205</v>
      </c>
    </row>
    <row r="47" customFormat="false" ht="48" hidden="false" customHeight="true" outlineLevel="0" collapsed="false">
      <c r="A47" s="11" t="s">
        <v>206</v>
      </c>
      <c r="B47" s="11"/>
      <c r="C47" s="11"/>
      <c r="D47" s="11" t="s">
        <v>207</v>
      </c>
      <c r="E47" s="12" t="s">
        <v>186</v>
      </c>
      <c r="F47" s="12" t="s">
        <v>193</v>
      </c>
      <c r="G47" s="12" t="s">
        <v>187</v>
      </c>
      <c r="H47" s="12" t="s">
        <v>194</v>
      </c>
    </row>
    <row r="48" customFormat="false" ht="15" hidden="false" customHeight="true" outlineLevel="0" collapsed="false">
      <c r="A48" s="8" t="s">
        <v>208</v>
      </c>
      <c r="B48" s="8"/>
      <c r="C48" s="8"/>
      <c r="D48" s="14" t="n">
        <f aca="false">COUNTIFS($D$5:$D$28,"&lt;=3")</f>
        <v>9</v>
      </c>
      <c r="E48" s="18" t="n">
        <f aca="false">AVERAGEIFS(E$5:E$28,$D$5:$D$28,"&lt;=3")</f>
        <v>529.944444444445</v>
      </c>
      <c r="F48" s="18" t="n">
        <f aca="false">AVERAGEIFS(F$5:F$28,$D$5:$D$28,"&lt;=3")</f>
        <v>26.6789089727686</v>
      </c>
      <c r="G48" s="18" t="n">
        <f aca="false">AVERAGEIFS(G$5:G$28,$D$5:$D$28,"&lt;=3")</f>
        <v>216.777777777778</v>
      </c>
      <c r="H48" s="18" t="n">
        <f aca="false">AVERAGEIFS(H$5:H$28,$D$5:$D$28,"&lt;=3")</f>
        <v>746.722222222222</v>
      </c>
    </row>
    <row r="49" customFormat="false" ht="15" hidden="false" customHeight="true" outlineLevel="0" collapsed="false">
      <c r="A49" s="8" t="s">
        <v>209</v>
      </c>
      <c r="B49" s="8"/>
      <c r="C49" s="8"/>
      <c r="D49" s="14" t="n">
        <f aca="false">COUNTIFS($D$5:$D$28,"&gt;3")</f>
        <v>15</v>
      </c>
      <c r="E49" s="18" t="n">
        <f aca="false">AVERAGEIFS(E$5:E$28,$D$5:$D$28,"&gt;3")</f>
        <v>555.533333333333</v>
      </c>
      <c r="F49" s="18" t="n">
        <f aca="false">AVERAGEIFS(F$5:F$28,$D$5:$D$28,"&gt;3")</f>
        <v>28.9646110225058</v>
      </c>
      <c r="G49" s="18" t="n">
        <f aca="false">AVERAGEIFS(G$5:G$28,$D$5:$D$28,"&gt;3")</f>
        <v>230.266666666667</v>
      </c>
      <c r="H49" s="18" t="n">
        <f aca="false">AVERAGEIFS(H$5:H$28,$D$5:$D$28,"&gt;3")</f>
        <v>785.8</v>
      </c>
    </row>
  </sheetData>
  <autoFilter ref="A4:J28"/>
  <mergeCells count="10">
    <mergeCell ref="A2:J2"/>
    <mergeCell ref="A38:D38"/>
    <mergeCell ref="A39:D39"/>
    <mergeCell ref="A40:D40"/>
    <mergeCell ref="A41:D41"/>
    <mergeCell ref="A42:D42"/>
    <mergeCell ref="A43:D43"/>
    <mergeCell ref="A47:C47"/>
    <mergeCell ref="A48:C48"/>
    <mergeCell ref="A49:C49"/>
  </mergeCells>
  <conditionalFormatting sqref="D5:D28">
    <cfRule type="expression" priority="2" aboveAverage="0" equalAverage="0" bottom="0" percent="0" rank="0" text="" dxfId="28">
      <formula>$D5=1</formula>
    </cfRule>
  </conditionalFormatting>
  <conditionalFormatting sqref="F5:F28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6" min="3" style="0" width="9"/>
    <col collapsed="false" customWidth="true" hidden="false" outlineLevel="0" max="7" min="7" style="0" width="8"/>
  </cols>
  <sheetData>
    <row r="1" customFormat="false" ht="19.4" hidden="false" customHeight="false" outlineLevel="0" collapsed="false">
      <c r="A1" s="9" t="s">
        <v>210</v>
      </c>
    </row>
    <row r="2" customFormat="false" ht="30" hidden="false" customHeight="true" outlineLevel="0" collapsed="false">
      <c r="A2" s="10" t="s">
        <v>211</v>
      </c>
      <c r="B2" s="10"/>
      <c r="C2" s="10"/>
      <c r="D2" s="10"/>
      <c r="E2" s="10"/>
      <c r="F2" s="10"/>
      <c r="G2" s="10"/>
    </row>
    <row r="4" customFormat="false" ht="33.75" hidden="false" customHeight="true" outlineLevel="0" collapsed="false">
      <c r="A4" s="11" t="s">
        <v>46</v>
      </c>
      <c r="B4" s="11" t="s">
        <v>149</v>
      </c>
      <c r="C4" s="12" t="s">
        <v>212</v>
      </c>
      <c r="D4" s="12" t="s">
        <v>213</v>
      </c>
      <c r="E4" s="12" t="s">
        <v>214</v>
      </c>
      <c r="F4" s="11" t="s">
        <v>215</v>
      </c>
      <c r="G4" s="11" t="s">
        <v>190</v>
      </c>
    </row>
    <row r="5" customFormat="false" ht="15" hidden="false" customHeight="false" outlineLevel="0" collapsed="false">
      <c r="A5" s="25" t="s">
        <v>64</v>
      </c>
      <c r="B5" s="28" t="s">
        <v>163</v>
      </c>
      <c r="C5" s="39" t="n">
        <v>0.614</v>
      </c>
      <c r="D5" s="39" t="n">
        <v>1</v>
      </c>
      <c r="E5" s="39" t="n">
        <v>1</v>
      </c>
      <c r="F5" s="40" t="n">
        <f aca="false">IFERROR(AVERAGE(C5:E5),"")</f>
        <v>0.871333333333333</v>
      </c>
      <c r="G5" s="28" t="n">
        <f aca="false">SUMIFS(5000m比較!$B$5:$B$34,5000m比較!$A$5:$A$34,A5,5000m比較!$C$5:$C$34,B5)</f>
        <v>1</v>
      </c>
    </row>
    <row r="6" customFormat="false" ht="15" hidden="false" customHeight="false" outlineLevel="0" collapsed="false">
      <c r="A6" s="25" t="s">
        <v>64</v>
      </c>
      <c r="B6" s="28" t="s">
        <v>165</v>
      </c>
      <c r="C6" s="39" t="n">
        <v>0.9</v>
      </c>
      <c r="D6" s="39" t="n">
        <v>1</v>
      </c>
      <c r="E6" s="39" t="n">
        <v>1</v>
      </c>
      <c r="F6" s="40" t="n">
        <f aca="false">IFERROR(AVERAGE(C6:E6),"")</f>
        <v>0.966666666666667</v>
      </c>
      <c r="G6" s="28" t="n">
        <f aca="false">SUMIFS(5000m比較!$B$5:$B$34,5000m比較!$A$5:$A$34,A6,5000m比較!$C$5:$C$34,B6)</f>
        <v>2</v>
      </c>
    </row>
    <row r="7" customFormat="false" ht="15" hidden="false" customHeight="false" outlineLevel="0" collapsed="false">
      <c r="A7" s="25" t="s">
        <v>64</v>
      </c>
      <c r="B7" s="28" t="s">
        <v>166</v>
      </c>
      <c r="C7" s="39" t="n">
        <v>1</v>
      </c>
      <c r="D7" s="39" t="n">
        <v>0.825</v>
      </c>
      <c r="E7" s="39" t="n">
        <v>0.925</v>
      </c>
      <c r="F7" s="40" t="n">
        <f aca="false">IFERROR(AVERAGE(C7:E7),"")</f>
        <v>0.916666666666667</v>
      </c>
      <c r="G7" s="28" t="n">
        <f aca="false">SUMIFS(5000m比較!$B$5:$B$34,5000m比較!$A$5:$A$34,A7,5000m比較!$C$5:$C$34,B7)</f>
        <v>3</v>
      </c>
    </row>
    <row r="8" customFormat="false" ht="15" hidden="false" customHeight="false" outlineLevel="0" collapsed="false">
      <c r="A8" s="25" t="s">
        <v>64</v>
      </c>
      <c r="B8" s="28" t="s">
        <v>167</v>
      </c>
      <c r="C8" s="39" t="n">
        <v>1</v>
      </c>
      <c r="D8" s="39" t="n">
        <v>1</v>
      </c>
      <c r="E8" s="39" t="n">
        <v>1</v>
      </c>
      <c r="F8" s="40" t="n">
        <f aca="false">IFERROR(AVERAGE(C8:E8),"")</f>
        <v>1</v>
      </c>
      <c r="G8" s="28" t="n">
        <f aca="false">SUMIFS(5000m比較!$B$5:$B$34,5000m比較!$A$5:$A$34,A8,5000m比較!$C$5:$C$34,B8)</f>
        <v>4</v>
      </c>
    </row>
    <row r="9" customFormat="false" ht="15" hidden="false" customHeight="false" outlineLevel="0" collapsed="false">
      <c r="A9" s="25" t="s">
        <v>64</v>
      </c>
      <c r="B9" s="28" t="s">
        <v>168</v>
      </c>
      <c r="C9" s="39" t="n">
        <v>1</v>
      </c>
      <c r="D9" s="39" t="n">
        <v>1</v>
      </c>
      <c r="E9" s="39" t="n">
        <v>1</v>
      </c>
      <c r="F9" s="40" t="n">
        <f aca="false">IFERROR(AVERAGE(C9:E9),"")</f>
        <v>1</v>
      </c>
      <c r="G9" s="28" t="n">
        <f aca="false">SUMIFS(5000m比較!$B$5:$B$34,5000m比較!$A$5:$A$34,A9,5000m比較!$C$5:$C$34,B9)</f>
        <v>5</v>
      </c>
    </row>
    <row r="10" customFormat="false" ht="15" hidden="false" customHeight="false" outlineLevel="0" collapsed="false">
      <c r="A10" s="25" t="s">
        <v>64</v>
      </c>
      <c r="B10" s="28" t="s">
        <v>169</v>
      </c>
      <c r="C10" s="39" t="n">
        <v>0.414</v>
      </c>
      <c r="D10" s="39" t="n">
        <v>0.925</v>
      </c>
      <c r="E10" s="39" t="n">
        <v>0.75</v>
      </c>
      <c r="F10" s="40" t="n">
        <f aca="false">IFERROR(AVERAGE(C10:E10),"")</f>
        <v>0.696333333333333</v>
      </c>
      <c r="G10" s="28" t="n">
        <f aca="false">SUMIFS(5000m比較!$B$5:$B$34,5000m比較!$A$5:$A$34,A10,5000m比較!$C$5:$C$34,B10)</f>
        <v>6</v>
      </c>
    </row>
    <row r="11" customFormat="false" ht="15" hidden="false" customHeight="false" outlineLevel="0" collapsed="false">
      <c r="A11" s="13" t="s">
        <v>65</v>
      </c>
      <c r="B11" s="8" t="s">
        <v>169</v>
      </c>
      <c r="C11" s="19" t="n">
        <v>1</v>
      </c>
      <c r="D11" s="19" t="n">
        <v>0.825</v>
      </c>
      <c r="E11" s="19" t="n">
        <v>1</v>
      </c>
      <c r="F11" s="20" t="n">
        <f aca="false">IFERROR(AVERAGE(C11:E11),"")</f>
        <v>0.941666666666667</v>
      </c>
      <c r="G11" s="8" t="n">
        <f aca="false">SUMIFS(5000m比較!$B$5:$B$34,5000m比較!$A$5:$A$34,A11,5000m比較!$C$5:$C$34,B11)</f>
        <v>1</v>
      </c>
    </row>
    <row r="12" customFormat="false" ht="15" hidden="false" customHeight="false" outlineLevel="0" collapsed="false">
      <c r="A12" s="13" t="s">
        <v>65</v>
      </c>
      <c r="B12" s="8" t="s">
        <v>163</v>
      </c>
      <c r="C12" s="19" t="n">
        <v>1</v>
      </c>
      <c r="D12" s="19" t="n">
        <v>1</v>
      </c>
      <c r="E12" s="19" t="n">
        <v>1</v>
      </c>
      <c r="F12" s="20" t="n">
        <f aca="false">IFERROR(AVERAGE(C12:E12),"")</f>
        <v>1</v>
      </c>
      <c r="G12" s="8" t="n">
        <f aca="false">SUMIFS(5000m比較!$B$5:$B$34,5000m比較!$A$5:$A$34,A12,5000m比較!$C$5:$C$34,B12)</f>
        <v>2</v>
      </c>
    </row>
    <row r="13" customFormat="false" ht="15" hidden="false" customHeight="false" outlineLevel="0" collapsed="false">
      <c r="A13" s="13" t="s">
        <v>65</v>
      </c>
      <c r="B13" s="8" t="s">
        <v>165</v>
      </c>
      <c r="C13" s="19" t="n">
        <v>1</v>
      </c>
      <c r="D13" s="19" t="n">
        <v>1</v>
      </c>
      <c r="E13" s="19" t="n">
        <v>1</v>
      </c>
      <c r="F13" s="20" t="n">
        <f aca="false">IFERROR(AVERAGE(C13:E13),"")</f>
        <v>1</v>
      </c>
      <c r="G13" s="8" t="n">
        <f aca="false">SUMIFS(5000m比較!$B$5:$B$34,5000m比較!$A$5:$A$34,A13,5000m比較!$C$5:$C$34,B13)</f>
        <v>3</v>
      </c>
    </row>
    <row r="14" customFormat="false" ht="15" hidden="false" customHeight="false" outlineLevel="0" collapsed="false">
      <c r="A14" s="13" t="s">
        <v>65</v>
      </c>
      <c r="B14" s="8" t="s">
        <v>172</v>
      </c>
      <c r="C14" s="19" t="n">
        <v>1</v>
      </c>
      <c r="D14" s="19" t="n">
        <v>0.975</v>
      </c>
      <c r="E14" s="19" t="n">
        <v>1</v>
      </c>
      <c r="F14" s="20" t="n">
        <f aca="false">IFERROR(AVERAGE(C14:E14),"")</f>
        <v>0.991666666666667</v>
      </c>
      <c r="G14" s="8" t="n">
        <f aca="false">SUMIFS(5000m比較!$B$5:$B$34,5000m比較!$A$5:$A$34,A14,5000m比較!$C$5:$C$34,B14)</f>
        <v>4</v>
      </c>
    </row>
    <row r="15" customFormat="false" ht="15" hidden="false" customHeight="false" outlineLevel="0" collapsed="false">
      <c r="A15" s="13" t="s">
        <v>65</v>
      </c>
      <c r="B15" s="8" t="s">
        <v>173</v>
      </c>
      <c r="C15" s="19" t="n">
        <v>0.825</v>
      </c>
      <c r="D15" s="19" t="n">
        <v>1</v>
      </c>
      <c r="E15" s="19" t="n">
        <v>1</v>
      </c>
      <c r="F15" s="20" t="n">
        <f aca="false">IFERROR(AVERAGE(C15:E15),"")</f>
        <v>0.941666666666667</v>
      </c>
      <c r="G15" s="8" t="n">
        <f aca="false">SUMIFS(5000m比較!$B$5:$B$34,5000m比較!$A$5:$A$34,A15,5000m比較!$C$5:$C$34,B15)</f>
        <v>5</v>
      </c>
    </row>
    <row r="16" customFormat="false" ht="15" hidden="false" customHeight="false" outlineLevel="0" collapsed="false">
      <c r="A16" s="13" t="s">
        <v>65</v>
      </c>
      <c r="B16" s="8" t="s">
        <v>174</v>
      </c>
      <c r="C16" s="19" t="n">
        <v>0.925</v>
      </c>
      <c r="D16" s="19" t="n">
        <v>1</v>
      </c>
      <c r="E16" s="19" t="n">
        <v>0.925</v>
      </c>
      <c r="F16" s="20" t="n">
        <f aca="false">IFERROR(AVERAGE(C16:E16),"")</f>
        <v>0.95</v>
      </c>
      <c r="G16" s="8" t="n">
        <f aca="false">SUMIFS(5000m比較!$B$5:$B$34,5000m比較!$A$5:$A$34,A16,5000m比較!$C$5:$C$34,B16)</f>
        <v>6</v>
      </c>
    </row>
    <row r="17" customFormat="false" ht="15" hidden="false" customHeight="false" outlineLevel="0" collapsed="false">
      <c r="A17" s="25" t="s">
        <v>66</v>
      </c>
      <c r="B17" s="28" t="s">
        <v>175</v>
      </c>
      <c r="C17" s="39" t="n">
        <v>1</v>
      </c>
      <c r="D17" s="39" t="n">
        <v>1</v>
      </c>
      <c r="E17" s="39" t="n">
        <v>1</v>
      </c>
      <c r="F17" s="40" t="n">
        <f aca="false">IFERROR(AVERAGE(C17:E17),"")</f>
        <v>1</v>
      </c>
      <c r="G17" s="28" t="n">
        <f aca="false">SUMIFS(5000m比較!$B$5:$B$34,5000m比較!$A$5:$A$34,A17,5000m比較!$C$5:$C$34,B17)</f>
        <v>1</v>
      </c>
    </row>
    <row r="18" customFormat="false" ht="15" hidden="false" customHeight="false" outlineLevel="0" collapsed="false">
      <c r="A18" s="25" t="s">
        <v>66</v>
      </c>
      <c r="B18" s="28" t="s">
        <v>176</v>
      </c>
      <c r="C18" s="39" t="n">
        <v>1</v>
      </c>
      <c r="D18" s="39" t="n">
        <v>1</v>
      </c>
      <c r="E18" s="39" t="n">
        <v>1</v>
      </c>
      <c r="F18" s="40" t="n">
        <f aca="false">IFERROR(AVERAGE(C18:E18),"")</f>
        <v>1</v>
      </c>
      <c r="G18" s="28" t="n">
        <f aca="false">SUMIFS(5000m比較!$B$5:$B$34,5000m比較!$A$5:$A$34,A18,5000m比較!$C$5:$C$34,B18)</f>
        <v>2</v>
      </c>
    </row>
    <row r="19" customFormat="false" ht="15" hidden="false" customHeight="false" outlineLevel="0" collapsed="false">
      <c r="A19" s="25" t="s">
        <v>66</v>
      </c>
      <c r="B19" s="28" t="s">
        <v>177</v>
      </c>
      <c r="C19" s="39" t="n">
        <v>0.66</v>
      </c>
      <c r="D19" s="39" t="n">
        <v>1</v>
      </c>
      <c r="E19" s="39" t="n">
        <v>1</v>
      </c>
      <c r="F19" s="40" t="n">
        <f aca="false">IFERROR(AVERAGE(C19:E19),"")</f>
        <v>0.886666666666667</v>
      </c>
      <c r="G19" s="28" t="n">
        <f aca="false">SUMIFS(5000m比較!$B$5:$B$34,5000m比較!$A$5:$A$34,A19,5000m比較!$C$5:$C$34,B19)</f>
        <v>3</v>
      </c>
    </row>
    <row r="20" customFormat="false" ht="15" hidden="false" customHeight="false" outlineLevel="0" collapsed="false">
      <c r="A20" s="25" t="s">
        <v>66</v>
      </c>
      <c r="B20" s="28" t="s">
        <v>178</v>
      </c>
      <c r="C20" s="39" t="n">
        <v>1</v>
      </c>
      <c r="D20" s="39" t="n">
        <v>1</v>
      </c>
      <c r="E20" s="39" t="n">
        <v>1</v>
      </c>
      <c r="F20" s="40" t="n">
        <f aca="false">IFERROR(AVERAGE(C20:E20),"")</f>
        <v>1</v>
      </c>
      <c r="G20" s="28" t="n">
        <f aca="false">SUMIFS(5000m比較!$B$5:$B$34,5000m比較!$A$5:$A$34,A20,5000m比較!$C$5:$C$34,B20)</f>
        <v>4</v>
      </c>
    </row>
    <row r="21" customFormat="false" ht="15" hidden="false" customHeight="false" outlineLevel="0" collapsed="false">
      <c r="A21" s="25" t="s">
        <v>66</v>
      </c>
      <c r="B21" s="28" t="s">
        <v>179</v>
      </c>
      <c r="C21" s="39" t="n">
        <v>1</v>
      </c>
      <c r="D21" s="39" t="n">
        <v>1</v>
      </c>
      <c r="E21" s="39" t="n">
        <v>1</v>
      </c>
      <c r="F21" s="40" t="n">
        <f aca="false">IFERROR(AVERAGE(C21:E21),"")</f>
        <v>1</v>
      </c>
      <c r="G21" s="28" t="n">
        <f aca="false">SUMIFS(5000m比較!$B$5:$B$34,5000m比較!$A$5:$A$34,A21,5000m比較!$C$5:$C$34,B21)</f>
        <v>5</v>
      </c>
    </row>
    <row r="22" customFormat="false" ht="15" hidden="false" customHeight="false" outlineLevel="0" collapsed="false">
      <c r="A22" s="25" t="s">
        <v>66</v>
      </c>
      <c r="B22" s="28" t="s">
        <v>165</v>
      </c>
      <c r="C22" s="39" t="n">
        <v>1</v>
      </c>
      <c r="D22" s="39" t="n">
        <v>1</v>
      </c>
      <c r="E22" s="39" t="n">
        <v>1</v>
      </c>
      <c r="F22" s="40" t="n">
        <f aca="false">IFERROR(AVERAGE(C22:E22),"")</f>
        <v>1</v>
      </c>
      <c r="G22" s="28" t="n">
        <f aca="false">SUMIFS(5000m比較!$B$5:$B$34,5000m比較!$A$5:$A$34,A22,5000m比較!$C$5:$C$34,B22)</f>
        <v>6</v>
      </c>
    </row>
    <row r="23" customFormat="false" ht="15" hidden="false" customHeight="false" outlineLevel="0" collapsed="false">
      <c r="A23" s="13" t="s">
        <v>67</v>
      </c>
      <c r="B23" s="8" t="s">
        <v>180</v>
      </c>
      <c r="C23" s="19" t="n">
        <v>0.83</v>
      </c>
      <c r="D23" s="19" t="n">
        <v>1</v>
      </c>
      <c r="E23" s="19" t="n">
        <v>1</v>
      </c>
      <c r="F23" s="20" t="n">
        <f aca="false">IFERROR(AVERAGE(C23:E23),"")</f>
        <v>0.943333333333333</v>
      </c>
      <c r="G23" s="8" t="n">
        <f aca="false">SUMIFS(5000m比較!$B$5:$B$34,5000m比較!$A$5:$A$34,A23,5000m比較!$C$5:$C$34,B23)</f>
        <v>1</v>
      </c>
    </row>
    <row r="24" customFormat="false" ht="15" hidden="false" customHeight="false" outlineLevel="0" collapsed="false">
      <c r="A24" s="13" t="s">
        <v>67</v>
      </c>
      <c r="B24" s="8" t="s">
        <v>168</v>
      </c>
      <c r="C24" s="19" t="n">
        <v>1</v>
      </c>
      <c r="D24" s="19" t="n">
        <v>1</v>
      </c>
      <c r="E24" s="19" t="n">
        <v>1</v>
      </c>
      <c r="F24" s="20" t="n">
        <f aca="false">IFERROR(AVERAGE(C24:E24),"")</f>
        <v>1</v>
      </c>
      <c r="G24" s="8" t="n">
        <f aca="false">SUMIFS(5000m比較!$B$5:$B$34,5000m比較!$A$5:$A$34,A24,5000m比較!$C$5:$C$34,B24)</f>
        <v>2</v>
      </c>
    </row>
    <row r="25" customFormat="false" ht="15" hidden="false" customHeight="false" outlineLevel="0" collapsed="false">
      <c r="A25" s="13" t="s">
        <v>67</v>
      </c>
      <c r="B25" s="8" t="s">
        <v>177</v>
      </c>
      <c r="C25" s="19" t="n">
        <v>0.83</v>
      </c>
      <c r="D25" s="19" t="n">
        <v>1</v>
      </c>
      <c r="E25" s="19" t="n">
        <v>1</v>
      </c>
      <c r="F25" s="20" t="n">
        <f aca="false">IFERROR(AVERAGE(C25:E25),"")</f>
        <v>0.943333333333333</v>
      </c>
      <c r="G25" s="8" t="n">
        <f aca="false">SUMIFS(5000m比較!$B$5:$B$34,5000m比較!$A$5:$A$34,A25,5000m比較!$C$5:$C$34,B25)</f>
        <v>3</v>
      </c>
    </row>
    <row r="26" customFormat="false" ht="15" hidden="false" customHeight="false" outlineLevel="0" collapsed="false">
      <c r="A26" s="13" t="s">
        <v>67</v>
      </c>
      <c r="B26" s="8" t="s">
        <v>175</v>
      </c>
      <c r="C26" s="19" t="n">
        <v>1</v>
      </c>
      <c r="D26" s="19" t="n">
        <v>1</v>
      </c>
      <c r="E26" s="19" t="n">
        <v>1</v>
      </c>
      <c r="F26" s="20" t="n">
        <f aca="false">IFERROR(AVERAGE(C26:E26),"")</f>
        <v>1</v>
      </c>
      <c r="G26" s="8" t="n">
        <f aca="false">SUMIFS(5000m比較!$B$5:$B$34,5000m比較!$A$5:$A$34,A26,5000m比較!$C$5:$C$34,B26)</f>
        <v>4</v>
      </c>
    </row>
    <row r="27" customFormat="false" ht="15" hidden="false" customHeight="false" outlineLevel="0" collapsed="false">
      <c r="A27" s="13" t="s">
        <v>67</v>
      </c>
      <c r="B27" s="8" t="s">
        <v>182</v>
      </c>
      <c r="C27" s="19" t="n">
        <v>1</v>
      </c>
      <c r="D27" s="19" t="n">
        <v>1</v>
      </c>
      <c r="E27" s="19" t="n">
        <v>1</v>
      </c>
      <c r="F27" s="20" t="n">
        <f aca="false">IFERROR(AVERAGE(C27:E27),"")</f>
        <v>1</v>
      </c>
      <c r="G27" s="8" t="n">
        <f aca="false">SUMIFS(5000m比較!$B$5:$B$34,5000m比較!$A$5:$A$34,A27,5000m比較!$C$5:$C$34,B27)</f>
        <v>5</v>
      </c>
    </row>
    <row r="28" customFormat="false" ht="15" hidden="false" customHeight="false" outlineLevel="0" collapsed="false">
      <c r="A28" s="13" t="s">
        <v>67</v>
      </c>
      <c r="B28" s="8" t="s">
        <v>183</v>
      </c>
      <c r="C28" s="19" t="n">
        <v>1</v>
      </c>
      <c r="D28" s="19" t="n">
        <v>1</v>
      </c>
      <c r="E28" s="19" t="n">
        <v>0.98</v>
      </c>
      <c r="F28" s="20" t="n">
        <f aca="false">IFERROR(AVERAGE(C28:E28),"")</f>
        <v>0.993333333333333</v>
      </c>
      <c r="G28" s="8" t="n">
        <f aca="false">SUMIFS(5000m比較!$B$5:$B$34,5000m比較!$A$5:$A$34,A28,5000m比較!$C$5:$C$34,B28)</f>
        <v>6</v>
      </c>
    </row>
  </sheetData>
  <autoFilter ref="A4:G28"/>
  <mergeCells count="1">
    <mergeCell ref="A2:G2"/>
  </mergeCells>
  <conditionalFormatting sqref="C5:F28">
    <cfRule type="colorScale" priority="2">
      <colorScale>
        <cfvo type="num" val="0"/>
        <cfvo type="num" val="0.7"/>
        <cfvo type="num" val="1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P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14" min="3" style="0" width="7"/>
    <col collapsed="false" customWidth="true" hidden="false" outlineLevel="0" max="15" min="15" style="0" width="9"/>
    <col collapsed="false" customWidth="true" hidden="false" outlineLevel="0" max="16" min="16" style="0" width="8"/>
  </cols>
  <sheetData>
    <row r="1" customFormat="false" ht="19.4" hidden="false" customHeight="false" outlineLevel="0" collapsed="false">
      <c r="A1" s="9" t="s">
        <v>216</v>
      </c>
    </row>
    <row r="2" customFormat="false" ht="30" hidden="false" customHeight="true" outlineLevel="0" collapsed="false">
      <c r="A2" s="10" t="s">
        <v>217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4" customFormat="false" ht="33.75" hidden="false" customHeight="true" outlineLevel="0" collapsed="false">
      <c r="A4" s="11" t="s">
        <v>46</v>
      </c>
      <c r="B4" s="11" t="s">
        <v>149</v>
      </c>
      <c r="C4" s="12" t="s">
        <v>218</v>
      </c>
      <c r="D4" s="12" t="s">
        <v>219</v>
      </c>
      <c r="E4" s="12" t="s">
        <v>220</v>
      </c>
      <c r="F4" s="12" t="s">
        <v>221</v>
      </c>
      <c r="G4" s="12" t="s">
        <v>222</v>
      </c>
      <c r="H4" s="12" t="s">
        <v>223</v>
      </c>
      <c r="I4" s="12" t="s">
        <v>224</v>
      </c>
      <c r="J4" s="12" t="s">
        <v>225</v>
      </c>
      <c r="K4" s="12" t="s">
        <v>226</v>
      </c>
      <c r="L4" s="12" t="s">
        <v>227</v>
      </c>
      <c r="M4" s="12" t="s">
        <v>228</v>
      </c>
      <c r="N4" s="12" t="s">
        <v>229</v>
      </c>
      <c r="O4" s="12" t="s">
        <v>59</v>
      </c>
      <c r="P4" s="11" t="s">
        <v>190</v>
      </c>
    </row>
    <row r="5" customFormat="false" ht="15" hidden="false" customHeight="false" outlineLevel="0" collapsed="false">
      <c r="A5" s="25" t="s">
        <v>63</v>
      </c>
      <c r="B5" s="28" t="s">
        <v>156</v>
      </c>
      <c r="C5" s="27" t="n">
        <v>286</v>
      </c>
      <c r="D5" s="27" t="n">
        <v>405</v>
      </c>
      <c r="E5" s="27" t="n">
        <v>489</v>
      </c>
      <c r="F5" s="27"/>
      <c r="G5" s="27" t="n">
        <v>369</v>
      </c>
      <c r="H5" s="27" t="n">
        <v>404</v>
      </c>
      <c r="I5" s="27" t="n">
        <v>344</v>
      </c>
      <c r="J5" s="27" t="n">
        <v>674</v>
      </c>
      <c r="K5" s="27" t="n">
        <v>373</v>
      </c>
      <c r="L5" s="27" t="n">
        <v>443</v>
      </c>
      <c r="M5" s="27" t="n">
        <v>384</v>
      </c>
      <c r="N5" s="27" t="n">
        <v>478</v>
      </c>
      <c r="O5" s="41" t="n">
        <f aca="false">IF(OR(J5="",K5="",J5=0),"",K5/J5)</f>
        <v>0.553412462908012</v>
      </c>
      <c r="P5" s="28" t="n">
        <f aca="false">SUMIFS(5000m比較!$B$5:$B$34,5000m比較!$A$5:$A$34,A5,5000m比較!$C$5:$C$34,B5)</f>
        <v>1</v>
      </c>
    </row>
    <row r="6" customFormat="false" ht="15" hidden="false" customHeight="false" outlineLevel="0" collapsed="false">
      <c r="A6" s="25" t="s">
        <v>63</v>
      </c>
      <c r="B6" s="28" t="s">
        <v>158</v>
      </c>
      <c r="C6" s="27" t="n">
        <v>370</v>
      </c>
      <c r="D6" s="27" t="n">
        <v>303</v>
      </c>
      <c r="E6" s="27" t="n">
        <v>237</v>
      </c>
      <c r="F6" s="27" t="n">
        <v>363</v>
      </c>
      <c r="G6" s="27" t="n">
        <v>421</v>
      </c>
      <c r="H6" s="27" t="n">
        <v>396</v>
      </c>
      <c r="I6" s="27" t="n">
        <v>394</v>
      </c>
      <c r="J6" s="27" t="n">
        <v>710</v>
      </c>
      <c r="K6" s="27" t="n">
        <v>384</v>
      </c>
      <c r="L6" s="27" t="n">
        <v>415</v>
      </c>
      <c r="M6" s="27" t="n">
        <v>432</v>
      </c>
      <c r="N6" s="27" t="n">
        <v>430</v>
      </c>
      <c r="O6" s="41" t="n">
        <f aca="false">IF(OR(J6="",K6="",J6=0),"",K6/J6)</f>
        <v>0.540845070422535</v>
      </c>
      <c r="P6" s="28" t="n">
        <f aca="false">SUMIFS(5000m比較!$B$5:$B$34,5000m比較!$A$5:$A$34,A6,5000m比較!$C$5:$C$34,B6)</f>
        <v>2</v>
      </c>
    </row>
    <row r="7" customFormat="false" ht="15" hidden="false" customHeight="false" outlineLevel="0" collapsed="false">
      <c r="A7" s="25" t="s">
        <v>63</v>
      </c>
      <c r="B7" s="28" t="s">
        <v>159</v>
      </c>
      <c r="C7" s="27" t="n">
        <v>321</v>
      </c>
      <c r="D7" s="27" t="n">
        <v>23</v>
      </c>
      <c r="E7" s="27" t="n">
        <v>314</v>
      </c>
      <c r="F7" s="27" t="n">
        <v>373</v>
      </c>
      <c r="G7" s="27" t="n">
        <v>191</v>
      </c>
      <c r="H7" s="27" t="n">
        <v>169</v>
      </c>
      <c r="I7" s="27" t="n">
        <v>408</v>
      </c>
      <c r="J7" s="27" t="n">
        <v>638</v>
      </c>
      <c r="K7" s="27" t="n">
        <v>510</v>
      </c>
      <c r="L7" s="27" t="n">
        <v>430</v>
      </c>
      <c r="M7" s="27" t="n">
        <v>479</v>
      </c>
      <c r="N7" s="27" t="n">
        <v>450</v>
      </c>
      <c r="O7" s="41" t="n">
        <f aca="false">IF(OR(J7="",K7="",J7=0),"",K7/J7)</f>
        <v>0.799373040752351</v>
      </c>
      <c r="P7" s="28" t="n">
        <f aca="false">SUMIFS(5000m比較!$B$5:$B$34,5000m比較!$A$5:$A$34,A7,5000m比較!$C$5:$C$34,B7)</f>
        <v>3</v>
      </c>
    </row>
    <row r="8" customFormat="false" ht="15" hidden="false" customHeight="false" outlineLevel="0" collapsed="false">
      <c r="A8" s="25" t="s">
        <v>63</v>
      </c>
      <c r="B8" s="28" t="s">
        <v>160</v>
      </c>
      <c r="C8" s="27" t="n">
        <v>126</v>
      </c>
      <c r="D8" s="27" t="n">
        <v>411</v>
      </c>
      <c r="E8" s="27" t="n">
        <v>446</v>
      </c>
      <c r="F8" s="27" t="n">
        <v>274</v>
      </c>
      <c r="G8" s="27" t="n">
        <v>305</v>
      </c>
      <c r="H8" s="27" t="n">
        <v>384</v>
      </c>
      <c r="I8" s="27" t="n">
        <v>336</v>
      </c>
      <c r="J8" s="27" t="n">
        <v>698</v>
      </c>
      <c r="K8" s="27" t="n">
        <v>384</v>
      </c>
      <c r="L8" s="27" t="n">
        <v>350</v>
      </c>
      <c r="M8" s="27" t="n">
        <v>415</v>
      </c>
      <c r="N8" s="27" t="n">
        <v>448</v>
      </c>
      <c r="O8" s="41" t="n">
        <f aca="false">IF(OR(J8="",K8="",J8=0),"",K8/J8)</f>
        <v>0.550143266475645</v>
      </c>
      <c r="P8" s="28" t="n">
        <f aca="false">SUMIFS(5000m比較!$B$5:$B$34,5000m比較!$A$5:$A$34,A8,5000m比較!$C$5:$C$34,B8)</f>
        <v>4</v>
      </c>
    </row>
    <row r="9" customFormat="false" ht="15" hidden="false" customHeight="false" outlineLevel="0" collapsed="false">
      <c r="A9" s="25" t="s">
        <v>63</v>
      </c>
      <c r="B9" s="28" t="s">
        <v>161</v>
      </c>
      <c r="C9" s="27" t="n">
        <v>348</v>
      </c>
      <c r="D9" s="27" t="n">
        <v>411</v>
      </c>
      <c r="E9" s="27" t="n">
        <v>503</v>
      </c>
      <c r="F9" s="27" t="n">
        <v>345</v>
      </c>
      <c r="G9" s="27" t="n">
        <v>274</v>
      </c>
      <c r="H9" s="27" t="n">
        <v>359</v>
      </c>
      <c r="I9" s="27" t="n">
        <v>337</v>
      </c>
      <c r="J9" s="27" t="n">
        <v>630</v>
      </c>
      <c r="K9" s="27" t="n">
        <v>310</v>
      </c>
      <c r="L9" s="27" t="n">
        <v>494</v>
      </c>
      <c r="M9" s="27" t="n">
        <v>341</v>
      </c>
      <c r="N9" s="27" t="n">
        <v>491</v>
      </c>
      <c r="O9" s="41" t="n">
        <f aca="false">IF(OR(J9="",K9="",J9=0),"",K9/J9)</f>
        <v>0.492063492063492</v>
      </c>
      <c r="P9" s="28" t="n">
        <f aca="false">SUMIFS(5000m比較!$B$5:$B$34,5000m比較!$A$5:$A$34,A9,5000m比較!$C$5:$C$34,B9)</f>
        <v>5</v>
      </c>
    </row>
    <row r="10" customFormat="false" ht="15" hidden="false" customHeight="false" outlineLevel="0" collapsed="false">
      <c r="A10" s="25" t="s">
        <v>63</v>
      </c>
      <c r="B10" s="28" t="s">
        <v>162</v>
      </c>
      <c r="C10" s="27" t="n">
        <v>138</v>
      </c>
      <c r="D10" s="27" t="n">
        <v>345</v>
      </c>
      <c r="E10" s="27" t="n">
        <v>439</v>
      </c>
      <c r="F10" s="27" t="n">
        <v>344</v>
      </c>
      <c r="G10" s="27" t="n">
        <v>63</v>
      </c>
      <c r="H10" s="27" t="n">
        <v>437</v>
      </c>
      <c r="I10" s="27" t="n">
        <v>405</v>
      </c>
      <c r="J10" s="27" t="n">
        <v>701</v>
      </c>
      <c r="K10" s="27" t="n">
        <v>420</v>
      </c>
      <c r="L10" s="27" t="n">
        <v>390</v>
      </c>
      <c r="M10" s="27" t="n">
        <v>415</v>
      </c>
      <c r="N10" s="27" t="n">
        <v>345</v>
      </c>
      <c r="O10" s="41" t="n">
        <f aca="false">IF(OR(J10="",K10="",J10=0),"",K10/J10)</f>
        <v>0.599144079885877</v>
      </c>
      <c r="P10" s="28" t="n">
        <f aca="false">SUMIFS(5000m比較!$B$5:$B$34,5000m比較!$A$5:$A$34,A10,5000m比較!$C$5:$C$34,B10)</f>
        <v>6</v>
      </c>
    </row>
    <row r="11" customFormat="false" ht="15" hidden="false" customHeight="false" outlineLevel="0" collapsed="false">
      <c r="A11" s="13" t="s">
        <v>64</v>
      </c>
      <c r="B11" s="8" t="s">
        <v>163</v>
      </c>
      <c r="C11" s="14" t="n">
        <v>112</v>
      </c>
      <c r="D11" s="14" t="n">
        <v>177</v>
      </c>
      <c r="E11" s="14" t="n">
        <v>315</v>
      </c>
      <c r="F11" s="14" t="n">
        <v>501</v>
      </c>
      <c r="G11" s="14"/>
      <c r="H11" s="14" t="n">
        <v>85</v>
      </c>
      <c r="I11" s="14" t="n">
        <v>303</v>
      </c>
      <c r="J11" s="14" t="n">
        <v>652</v>
      </c>
      <c r="K11" s="14" t="n">
        <v>477</v>
      </c>
      <c r="L11" s="14" t="n">
        <v>100</v>
      </c>
      <c r="M11" s="14" t="n">
        <v>415</v>
      </c>
      <c r="N11" s="14"/>
      <c r="O11" s="21" t="n">
        <f aca="false">IF(OR(J11="",K11="",J11=0),"",K11/J11)</f>
        <v>0.73159509202454</v>
      </c>
      <c r="P11" s="8" t="n">
        <f aca="false">SUMIFS(5000m比較!$B$5:$B$34,5000m比較!$A$5:$A$34,A11,5000m比較!$C$5:$C$34,B11)</f>
        <v>1</v>
      </c>
    </row>
    <row r="12" customFormat="false" ht="15" hidden="false" customHeight="false" outlineLevel="0" collapsed="false">
      <c r="A12" s="13" t="s">
        <v>64</v>
      </c>
      <c r="B12" s="8" t="s">
        <v>165</v>
      </c>
      <c r="C12" s="14" t="n">
        <v>380</v>
      </c>
      <c r="D12" s="14" t="n">
        <v>132</v>
      </c>
      <c r="E12" s="14" t="n">
        <v>462</v>
      </c>
      <c r="F12" s="14" t="n">
        <v>471</v>
      </c>
      <c r="G12" s="14" t="n">
        <v>293</v>
      </c>
      <c r="H12" s="14" t="n">
        <v>352.5</v>
      </c>
      <c r="I12" s="14" t="n">
        <v>365</v>
      </c>
      <c r="J12" s="14" t="n">
        <v>626</v>
      </c>
      <c r="K12" s="14" t="n">
        <v>435.8</v>
      </c>
      <c r="L12" s="14"/>
      <c r="M12" s="14"/>
      <c r="N12" s="14"/>
      <c r="O12" s="21" t="n">
        <f aca="false">IF(OR(J12="",K12="",J12=0),"",K12/J12)</f>
        <v>0.696166134185304</v>
      </c>
      <c r="P12" s="8" t="n">
        <f aca="false">SUMIFS(5000m比較!$B$5:$B$34,5000m比較!$A$5:$A$34,A12,5000m比較!$C$5:$C$34,B12)</f>
        <v>2</v>
      </c>
    </row>
    <row r="13" customFormat="false" ht="15" hidden="false" customHeight="false" outlineLevel="0" collapsed="false">
      <c r="A13" s="13" t="s">
        <v>64</v>
      </c>
      <c r="B13" s="8" t="s">
        <v>166</v>
      </c>
      <c r="C13" s="14" t="n">
        <v>207</v>
      </c>
      <c r="D13" s="14" t="n">
        <v>397</v>
      </c>
      <c r="E13" s="14"/>
      <c r="F13" s="14" t="n">
        <v>305</v>
      </c>
      <c r="G13" s="14" t="n">
        <v>363</v>
      </c>
      <c r="H13" s="14" t="n">
        <v>389</v>
      </c>
      <c r="I13" s="14" t="n">
        <v>478</v>
      </c>
      <c r="J13" s="14" t="n">
        <v>639</v>
      </c>
      <c r="K13" s="14" t="n">
        <v>412</v>
      </c>
      <c r="L13" s="14" t="n">
        <v>398</v>
      </c>
      <c r="M13" s="14" t="n">
        <v>338</v>
      </c>
      <c r="N13" s="14"/>
      <c r="O13" s="21" t="n">
        <f aca="false">IF(OR(J13="",K13="",J13=0),"",K13/J13)</f>
        <v>0.644757433489828</v>
      </c>
      <c r="P13" s="8" t="n">
        <f aca="false">SUMIFS(5000m比較!$B$5:$B$34,5000m比較!$A$5:$A$34,A13,5000m比較!$C$5:$C$34,B13)</f>
        <v>3</v>
      </c>
    </row>
    <row r="14" customFormat="false" ht="15" hidden="false" customHeight="false" outlineLevel="0" collapsed="false">
      <c r="A14" s="13" t="s">
        <v>64</v>
      </c>
      <c r="B14" s="8" t="s">
        <v>167</v>
      </c>
      <c r="C14" s="14" t="n">
        <v>353</v>
      </c>
      <c r="D14" s="14" t="n">
        <v>320</v>
      </c>
      <c r="E14" s="14" t="n">
        <v>390</v>
      </c>
      <c r="F14" s="14" t="n">
        <v>319</v>
      </c>
      <c r="G14" s="14" t="n">
        <v>290</v>
      </c>
      <c r="H14" s="14"/>
      <c r="I14" s="14" t="n">
        <v>474</v>
      </c>
      <c r="J14" s="14" t="n">
        <v>611</v>
      </c>
      <c r="K14" s="14" t="n">
        <v>467</v>
      </c>
      <c r="L14" s="14" t="n">
        <v>440</v>
      </c>
      <c r="M14" s="14"/>
      <c r="N14" s="14"/>
      <c r="O14" s="21" t="n">
        <f aca="false">IF(OR(J14="",K14="",J14=0),"",K14/J14)</f>
        <v>0.764320785597381</v>
      </c>
      <c r="P14" s="8" t="n">
        <f aca="false">SUMIFS(5000m比較!$B$5:$B$34,5000m比較!$A$5:$A$34,A14,5000m比較!$C$5:$C$34,B14)</f>
        <v>4</v>
      </c>
    </row>
    <row r="15" customFormat="false" ht="15" hidden="false" customHeight="false" outlineLevel="0" collapsed="false">
      <c r="A15" s="13" t="s">
        <v>64</v>
      </c>
      <c r="B15" s="8" t="s">
        <v>168</v>
      </c>
      <c r="C15" s="14"/>
      <c r="D15" s="14"/>
      <c r="E15" s="14" t="n">
        <v>441</v>
      </c>
      <c r="F15" s="14" t="n">
        <v>232</v>
      </c>
      <c r="G15" s="14" t="n">
        <v>346</v>
      </c>
      <c r="H15" s="14" t="n">
        <v>354</v>
      </c>
      <c r="I15" s="14" t="n">
        <v>402</v>
      </c>
      <c r="J15" s="14" t="n">
        <v>672</v>
      </c>
      <c r="K15" s="14" t="n">
        <v>502</v>
      </c>
      <c r="L15" s="14" t="n">
        <v>408</v>
      </c>
      <c r="M15" s="14" t="n">
        <v>352.6</v>
      </c>
      <c r="N15" s="14"/>
      <c r="O15" s="21" t="n">
        <f aca="false">IF(OR(J15="",K15="",J15=0),"",K15/J15)</f>
        <v>0.74702380952381</v>
      </c>
      <c r="P15" s="8" t="n">
        <f aca="false">SUMIFS(5000m比較!$B$5:$B$34,5000m比較!$A$5:$A$34,A15,5000m比較!$C$5:$C$34,B15)</f>
        <v>5</v>
      </c>
    </row>
    <row r="16" customFormat="false" ht="15" hidden="false" customHeight="false" outlineLevel="0" collapsed="false">
      <c r="A16" s="13" t="s">
        <v>64</v>
      </c>
      <c r="B16" s="8" t="s">
        <v>169</v>
      </c>
      <c r="C16" s="14" t="n">
        <v>400</v>
      </c>
      <c r="D16" s="14" t="n">
        <v>430</v>
      </c>
      <c r="E16" s="14" t="n">
        <v>80</v>
      </c>
      <c r="F16" s="14" t="n">
        <v>440</v>
      </c>
      <c r="G16" s="14" t="n">
        <v>463</v>
      </c>
      <c r="H16" s="14" t="n">
        <v>137</v>
      </c>
      <c r="I16" s="14" t="n">
        <v>168</v>
      </c>
      <c r="J16" s="14" t="n">
        <v>618</v>
      </c>
      <c r="K16" s="14" t="n">
        <v>515</v>
      </c>
      <c r="L16" s="14" t="n">
        <v>402</v>
      </c>
      <c r="M16" s="14" t="n">
        <v>184</v>
      </c>
      <c r="N16" s="14"/>
      <c r="O16" s="21" t="n">
        <f aca="false">IF(OR(J16="",K16="",J16=0),"",K16/J16)</f>
        <v>0.833333333333333</v>
      </c>
      <c r="P16" s="8" t="n">
        <f aca="false">SUMIFS(5000m比較!$B$5:$B$34,5000m比較!$A$5:$A$34,A16,5000m比較!$C$5:$C$34,B16)</f>
        <v>6</v>
      </c>
    </row>
    <row r="17" customFormat="false" ht="15" hidden="false" customHeight="false" outlineLevel="0" collapsed="false">
      <c r="A17" s="25" t="s">
        <v>65</v>
      </c>
      <c r="B17" s="28" t="s">
        <v>169</v>
      </c>
      <c r="C17" s="27" t="n">
        <v>284</v>
      </c>
      <c r="D17" s="27" t="n">
        <v>423</v>
      </c>
      <c r="E17" s="27" t="n">
        <v>470</v>
      </c>
      <c r="F17" s="27" t="n">
        <v>0</v>
      </c>
      <c r="G17" s="27" t="n">
        <v>358</v>
      </c>
      <c r="H17" s="27" t="n">
        <v>364</v>
      </c>
      <c r="I17" s="27"/>
      <c r="J17" s="27"/>
      <c r="K17" s="27"/>
      <c r="L17" s="27"/>
      <c r="M17" s="27"/>
      <c r="N17" s="27"/>
      <c r="O17" s="41" t="str">
        <f aca="false">IF(OR(J17="",K17="",J17=0),"",K17/J17)</f>
        <v/>
      </c>
      <c r="P17" s="28" t="n">
        <f aca="false">SUMIFS(5000m比較!$B$5:$B$34,5000m比較!$A$5:$A$34,A17,5000m比較!$C$5:$C$34,B17)</f>
        <v>1</v>
      </c>
    </row>
    <row r="18" customFormat="false" ht="15" hidden="false" customHeight="false" outlineLevel="0" collapsed="false">
      <c r="A18" s="25" t="s">
        <v>65</v>
      </c>
      <c r="B18" s="28" t="s">
        <v>163</v>
      </c>
      <c r="C18" s="27" t="n">
        <v>103</v>
      </c>
      <c r="D18" s="27" t="n">
        <v>134</v>
      </c>
      <c r="E18" s="27" t="n">
        <v>438</v>
      </c>
      <c r="F18" s="27" t="n">
        <v>421</v>
      </c>
      <c r="G18" s="27" t="n">
        <v>403</v>
      </c>
      <c r="H18" s="27" t="n">
        <v>407</v>
      </c>
      <c r="I18" s="27"/>
      <c r="J18" s="27"/>
      <c r="K18" s="27"/>
      <c r="L18" s="27"/>
      <c r="M18" s="27"/>
      <c r="N18" s="27"/>
      <c r="O18" s="41" t="str">
        <f aca="false">IF(OR(J18="",K18="",J18=0),"",K18/J18)</f>
        <v/>
      </c>
      <c r="P18" s="28" t="n">
        <f aca="false">SUMIFS(5000m比較!$B$5:$B$34,5000m比較!$A$5:$A$34,A18,5000m比較!$C$5:$C$34,B18)</f>
        <v>2</v>
      </c>
    </row>
    <row r="19" customFormat="false" ht="15" hidden="false" customHeight="false" outlineLevel="0" collapsed="false">
      <c r="A19" s="25" t="s">
        <v>65</v>
      </c>
      <c r="B19" s="28" t="s">
        <v>165</v>
      </c>
      <c r="C19" s="27" t="n">
        <v>0</v>
      </c>
      <c r="D19" s="27" t="n">
        <v>0</v>
      </c>
      <c r="E19" s="27" t="n">
        <v>0</v>
      </c>
      <c r="F19" s="27" t="n">
        <v>0</v>
      </c>
      <c r="G19" s="27" t="n">
        <v>326</v>
      </c>
      <c r="H19" s="27" t="n">
        <v>307.5</v>
      </c>
      <c r="I19" s="27"/>
      <c r="J19" s="27"/>
      <c r="K19" s="27"/>
      <c r="L19" s="27"/>
      <c r="M19" s="27"/>
      <c r="N19" s="27"/>
      <c r="O19" s="41" t="str">
        <f aca="false">IF(OR(J19="",K19="",J19=0),"",K19/J19)</f>
        <v/>
      </c>
      <c r="P19" s="28" t="n">
        <f aca="false">SUMIFS(5000m比較!$B$5:$B$34,5000m比較!$A$5:$A$34,A19,5000m比較!$C$5:$C$34,B19)</f>
        <v>3</v>
      </c>
    </row>
    <row r="20" customFormat="false" ht="15" hidden="false" customHeight="false" outlineLevel="0" collapsed="false">
      <c r="A20" s="25" t="s">
        <v>65</v>
      </c>
      <c r="B20" s="28" t="s">
        <v>172</v>
      </c>
      <c r="C20" s="27" t="n">
        <v>175</v>
      </c>
      <c r="D20" s="27" t="n">
        <v>210</v>
      </c>
      <c r="E20" s="27" t="n">
        <v>452.1</v>
      </c>
      <c r="F20" s="27" t="n">
        <v>416</v>
      </c>
      <c r="G20" s="27" t="n">
        <v>425</v>
      </c>
      <c r="H20" s="27" t="n">
        <v>230</v>
      </c>
      <c r="I20" s="27"/>
      <c r="J20" s="27"/>
      <c r="K20" s="27"/>
      <c r="L20" s="27"/>
      <c r="M20" s="27"/>
      <c r="N20" s="27"/>
      <c r="O20" s="41" t="str">
        <f aca="false">IF(OR(J20="",K20="",J20=0),"",K20/J20)</f>
        <v/>
      </c>
      <c r="P20" s="28" t="n">
        <f aca="false">SUMIFS(5000m比較!$B$5:$B$34,5000m比較!$A$5:$A$34,A20,5000m比較!$C$5:$C$34,B20)</f>
        <v>4</v>
      </c>
    </row>
    <row r="21" customFormat="false" ht="15" hidden="false" customHeight="false" outlineLevel="0" collapsed="false">
      <c r="A21" s="25" t="s">
        <v>65</v>
      </c>
      <c r="B21" s="28" t="s">
        <v>173</v>
      </c>
      <c r="C21" s="27" t="n">
        <v>265</v>
      </c>
      <c r="D21" s="27" t="n">
        <v>415.2</v>
      </c>
      <c r="E21" s="27" t="n">
        <v>387.8</v>
      </c>
      <c r="F21" s="27" t="n">
        <v>0</v>
      </c>
      <c r="G21" s="27" t="n">
        <v>275.3</v>
      </c>
      <c r="H21" s="27" t="n">
        <v>400.7</v>
      </c>
      <c r="I21" s="27"/>
      <c r="J21" s="27"/>
      <c r="K21" s="27"/>
      <c r="L21" s="27"/>
      <c r="M21" s="27"/>
      <c r="N21" s="27"/>
      <c r="O21" s="41" t="str">
        <f aca="false">IF(OR(J21="",K21="",J21=0),"",K21/J21)</f>
        <v/>
      </c>
      <c r="P21" s="28" t="n">
        <f aca="false">SUMIFS(5000m比較!$B$5:$B$34,5000m比較!$A$5:$A$34,A21,5000m比較!$C$5:$C$34,B21)</f>
        <v>5</v>
      </c>
    </row>
    <row r="22" customFormat="false" ht="15" hidden="false" customHeight="false" outlineLevel="0" collapsed="false">
      <c r="A22" s="25" t="s">
        <v>65</v>
      </c>
      <c r="B22" s="28" t="s">
        <v>174</v>
      </c>
      <c r="C22" s="27" t="n">
        <v>156</v>
      </c>
      <c r="D22" s="27" t="n">
        <v>182</v>
      </c>
      <c r="E22" s="27" t="n">
        <v>384</v>
      </c>
      <c r="F22" s="27" t="n">
        <v>0</v>
      </c>
      <c r="G22" s="27" t="n">
        <v>463</v>
      </c>
      <c r="H22" s="27" t="n">
        <v>570</v>
      </c>
      <c r="I22" s="27"/>
      <c r="J22" s="27"/>
      <c r="K22" s="27"/>
      <c r="L22" s="27"/>
      <c r="M22" s="27"/>
      <c r="N22" s="27"/>
      <c r="O22" s="41" t="str">
        <f aca="false">IF(OR(J22="",K22="",J22=0),"",K22/J22)</f>
        <v/>
      </c>
      <c r="P22" s="28" t="n">
        <f aca="false">SUMIFS(5000m比較!$B$5:$B$34,5000m比較!$A$5:$A$34,A22,5000m比較!$C$5:$C$34,B22)</f>
        <v>6</v>
      </c>
    </row>
  </sheetData>
  <autoFilter ref="A4:P22"/>
  <mergeCells count="1"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9.4" hidden="false" customHeight="false" outlineLevel="0" collapsed="false">
      <c r="A1" s="32" t="s">
        <v>230</v>
      </c>
    </row>
    <row r="2" customFormat="false" ht="15" hidden="false" customHeight="false" outlineLevel="0" collapsed="false">
      <c r="A2" s="38" t="s">
        <v>231</v>
      </c>
    </row>
    <row r="3" customFormat="false" ht="15" hidden="false" customHeight="false" outlineLevel="0" collapsed="false">
      <c r="A3" s="38" t="s">
        <v>232</v>
      </c>
    </row>
    <row r="4" customFormat="false" ht="15" hidden="false" customHeight="false" outlineLevel="0" collapsed="false">
      <c r="A4" s="38" t="s">
        <v>233</v>
      </c>
    </row>
    <row r="5" customFormat="false" ht="15" hidden="false" customHeight="false" outlineLevel="0" collapsed="false">
      <c r="A5" s="24" t="s">
        <v>234</v>
      </c>
    </row>
    <row r="6" customFormat="false" ht="15" hidden="false" customHeight="false" outlineLevel="0" collapsed="false">
      <c r="A6" s="24" t="s">
        <v>235</v>
      </c>
    </row>
    <row r="8" customFormat="false" ht="15" hidden="false" customHeight="false" outlineLevel="0" collapsed="false">
      <c r="A8" s="42" t="s">
        <v>236</v>
      </c>
    </row>
    <row r="10" customFormat="false" ht="15" hidden="false" customHeight="false" outlineLevel="0" collapsed="false">
      <c r="A10" s="43" t="s">
        <v>237</v>
      </c>
    </row>
    <row r="11" customFormat="false" ht="15" hidden="false" customHeight="false" outlineLevel="0" collapsed="false">
      <c r="A11" s="11" t="s">
        <v>238</v>
      </c>
      <c r="B11" s="11" t="s">
        <v>239</v>
      </c>
      <c r="C11" s="11" t="s">
        <v>240</v>
      </c>
      <c r="D11" s="11" t="s">
        <v>241</v>
      </c>
      <c r="E11" s="11" t="s">
        <v>242</v>
      </c>
      <c r="F11" s="11" t="s">
        <v>243</v>
      </c>
      <c r="G11" s="11" t="s">
        <v>244</v>
      </c>
      <c r="H11" s="11" t="s">
        <v>245</v>
      </c>
    </row>
    <row r="12" customFormat="false" ht="30" hidden="false" customHeight="true" outlineLevel="0" collapsed="false">
      <c r="A12" s="13" t="s">
        <v>246</v>
      </c>
      <c r="B12" s="7" t="s">
        <v>247</v>
      </c>
      <c r="C12" s="44" t="s">
        <v>248</v>
      </c>
      <c r="D12" s="13" t="s">
        <v>249</v>
      </c>
      <c r="E12" s="13" t="s">
        <v>249</v>
      </c>
      <c r="F12" s="13" t="s">
        <v>249</v>
      </c>
      <c r="G12" s="13" t="s">
        <v>249</v>
      </c>
      <c r="H12" s="44" t="s">
        <v>250</v>
      </c>
    </row>
    <row r="13" customFormat="false" ht="30" hidden="false" customHeight="true" outlineLevel="0" collapsed="false">
      <c r="A13" s="13" t="s">
        <v>251</v>
      </c>
      <c r="B13" s="7" t="s">
        <v>252</v>
      </c>
      <c r="C13" s="44" t="s">
        <v>253</v>
      </c>
      <c r="D13" s="44" t="s">
        <v>248</v>
      </c>
      <c r="E13" s="13" t="s">
        <v>254</v>
      </c>
      <c r="F13" s="13" t="s">
        <v>254</v>
      </c>
      <c r="G13" s="13" t="s">
        <v>255</v>
      </c>
      <c r="H13" s="44" t="s">
        <v>248</v>
      </c>
    </row>
    <row r="14" customFormat="false" ht="30" hidden="false" customHeight="true" outlineLevel="0" collapsed="false">
      <c r="A14" s="13" t="s">
        <v>256</v>
      </c>
      <c r="B14" s="7" t="s">
        <v>257</v>
      </c>
      <c r="C14" s="44" t="s">
        <v>258</v>
      </c>
      <c r="D14" s="13" t="s">
        <v>249</v>
      </c>
      <c r="E14" s="13" t="s">
        <v>249</v>
      </c>
      <c r="F14" s="13" t="s">
        <v>249</v>
      </c>
      <c r="G14" s="13" t="s">
        <v>259</v>
      </c>
      <c r="H14" s="44" t="s">
        <v>248</v>
      </c>
    </row>
    <row r="15" customFormat="false" ht="30" hidden="false" customHeight="true" outlineLevel="0" collapsed="false">
      <c r="A15" s="13" t="s">
        <v>260</v>
      </c>
      <c r="B15" s="7" t="s">
        <v>261</v>
      </c>
      <c r="C15" s="13" t="s">
        <v>262</v>
      </c>
      <c r="D15" s="13" t="s">
        <v>263</v>
      </c>
      <c r="E15" s="13" t="s">
        <v>264</v>
      </c>
      <c r="F15" s="13" t="s">
        <v>265</v>
      </c>
      <c r="G15" s="13" t="s">
        <v>266</v>
      </c>
      <c r="H15" s="44" t="s">
        <v>267</v>
      </c>
    </row>
    <row r="16" customFormat="false" ht="30" hidden="false" customHeight="true" outlineLevel="0" collapsed="false">
      <c r="A16" s="13" t="s">
        <v>268</v>
      </c>
      <c r="B16" s="7" t="s">
        <v>269</v>
      </c>
      <c r="C16" s="44" t="s">
        <v>270</v>
      </c>
      <c r="D16" s="13" t="s">
        <v>249</v>
      </c>
      <c r="E16" s="13" t="s">
        <v>249</v>
      </c>
      <c r="F16" s="13" t="s">
        <v>249</v>
      </c>
      <c r="G16" s="13" t="s">
        <v>259</v>
      </c>
      <c r="H16" s="44" t="s">
        <v>270</v>
      </c>
    </row>
    <row r="17" customFormat="false" ht="30" hidden="false" customHeight="true" outlineLevel="0" collapsed="false">
      <c r="A17" s="13" t="s">
        <v>271</v>
      </c>
      <c r="B17" s="7" t="s">
        <v>261</v>
      </c>
      <c r="C17" s="13" t="s">
        <v>272</v>
      </c>
      <c r="D17" s="13" t="s">
        <v>273</v>
      </c>
      <c r="E17" s="13" t="s">
        <v>274</v>
      </c>
      <c r="F17" s="13" t="s">
        <v>275</v>
      </c>
      <c r="G17" s="13" t="s">
        <v>276</v>
      </c>
      <c r="H17" s="13" t="s">
        <v>277</v>
      </c>
    </row>
    <row r="18" customFormat="false" ht="30" hidden="false" customHeight="true" outlineLevel="0" collapsed="false">
      <c r="A18" s="13" t="s">
        <v>278</v>
      </c>
      <c r="B18" s="7" t="s">
        <v>279</v>
      </c>
      <c r="C18" s="44" t="s">
        <v>280</v>
      </c>
      <c r="D18" s="13" t="s">
        <v>281</v>
      </c>
      <c r="E18" s="13" t="s">
        <v>281</v>
      </c>
      <c r="F18" s="13" t="s">
        <v>281</v>
      </c>
      <c r="G18" s="13" t="s">
        <v>281</v>
      </c>
      <c r="H18" s="44" t="s">
        <v>280</v>
      </c>
    </row>
    <row r="20" customFormat="false" ht="15" hidden="false" customHeight="false" outlineLevel="0" collapsed="false">
      <c r="A20" s="43" t="s">
        <v>282</v>
      </c>
    </row>
    <row r="21" customFormat="false" ht="15" hidden="false" customHeight="false" outlineLevel="0" collapsed="false">
      <c r="A21" s="11" t="s">
        <v>238</v>
      </c>
      <c r="B21" s="11" t="s">
        <v>239</v>
      </c>
      <c r="C21" s="11" t="s">
        <v>240</v>
      </c>
      <c r="D21" s="11" t="s">
        <v>241</v>
      </c>
      <c r="E21" s="11" t="s">
        <v>242</v>
      </c>
      <c r="F21" s="11" t="s">
        <v>243</v>
      </c>
      <c r="G21" s="11" t="s">
        <v>244</v>
      </c>
      <c r="H21" s="11" t="s">
        <v>245</v>
      </c>
    </row>
    <row r="22" customFormat="false" ht="30" hidden="false" customHeight="true" outlineLevel="0" collapsed="false">
      <c r="A22" s="13" t="s">
        <v>283</v>
      </c>
      <c r="B22" s="7" t="s">
        <v>284</v>
      </c>
      <c r="C22" s="13" t="s">
        <v>249</v>
      </c>
      <c r="D22" s="13" t="s">
        <v>249</v>
      </c>
      <c r="E22" s="13" t="s">
        <v>249</v>
      </c>
      <c r="F22" s="13" t="s">
        <v>249</v>
      </c>
      <c r="G22" s="13" t="s">
        <v>259</v>
      </c>
      <c r="H22" s="44" t="s">
        <v>285</v>
      </c>
    </row>
    <row r="23" customFormat="false" ht="30" hidden="false" customHeight="true" outlineLevel="0" collapsed="false">
      <c r="A23" s="13" t="s">
        <v>286</v>
      </c>
      <c r="B23" s="7" t="s">
        <v>287</v>
      </c>
      <c r="C23" s="13" t="s">
        <v>249</v>
      </c>
      <c r="D23" s="13" t="s">
        <v>249</v>
      </c>
      <c r="E23" s="13" t="s">
        <v>249</v>
      </c>
      <c r="F23" s="13" t="s">
        <v>249</v>
      </c>
      <c r="G23" s="13" t="s">
        <v>259</v>
      </c>
      <c r="H23" s="13" t="s">
        <v>249</v>
      </c>
    </row>
    <row r="24" customFormat="false" ht="30" hidden="false" customHeight="true" outlineLevel="0" collapsed="false">
      <c r="A24" s="13" t="s">
        <v>288</v>
      </c>
      <c r="B24" s="7" t="s">
        <v>289</v>
      </c>
      <c r="C24" s="13" t="s">
        <v>249</v>
      </c>
      <c r="D24" s="13" t="s">
        <v>249</v>
      </c>
      <c r="E24" s="13" t="s">
        <v>249</v>
      </c>
      <c r="F24" s="13" t="s">
        <v>249</v>
      </c>
      <c r="G24" s="13" t="s">
        <v>259</v>
      </c>
      <c r="H24" s="13" t="s">
        <v>249</v>
      </c>
    </row>
    <row r="25" customFormat="false" ht="30" hidden="false" customHeight="true" outlineLevel="0" collapsed="false">
      <c r="A25" s="13" t="s">
        <v>290</v>
      </c>
      <c r="B25" s="7" t="s">
        <v>287</v>
      </c>
      <c r="C25" s="13" t="s">
        <v>249</v>
      </c>
      <c r="D25" s="13" t="s">
        <v>249</v>
      </c>
      <c r="E25" s="44" t="s">
        <v>248</v>
      </c>
      <c r="F25" s="13" t="s">
        <v>249</v>
      </c>
      <c r="G25" s="13" t="s">
        <v>259</v>
      </c>
      <c r="H25" s="13" t="s">
        <v>249</v>
      </c>
    </row>
    <row r="27" customFormat="false" ht="15" hidden="false" customHeight="false" outlineLevel="0" collapsed="false">
      <c r="A27" s="43" t="s">
        <v>291</v>
      </c>
    </row>
    <row r="28" customFormat="false" ht="15" hidden="false" customHeight="false" outlineLevel="0" collapsed="false">
      <c r="A28" s="11" t="s">
        <v>238</v>
      </c>
      <c r="B28" s="11" t="s">
        <v>239</v>
      </c>
      <c r="C28" s="11" t="s">
        <v>240</v>
      </c>
      <c r="D28" s="11" t="s">
        <v>241</v>
      </c>
      <c r="E28" s="11" t="s">
        <v>242</v>
      </c>
      <c r="F28" s="11" t="s">
        <v>243</v>
      </c>
      <c r="G28" s="11" t="s">
        <v>244</v>
      </c>
      <c r="H28" s="11" t="s">
        <v>245</v>
      </c>
    </row>
    <row r="29" customFormat="false" ht="30" hidden="false" customHeight="true" outlineLevel="0" collapsed="false">
      <c r="A29" s="13" t="s">
        <v>292</v>
      </c>
      <c r="B29" s="7" t="s">
        <v>293</v>
      </c>
      <c r="C29" s="13" t="s">
        <v>249</v>
      </c>
      <c r="D29" s="13" t="s">
        <v>249</v>
      </c>
      <c r="E29" s="13" t="s">
        <v>249</v>
      </c>
      <c r="F29" s="13" t="s">
        <v>249</v>
      </c>
      <c r="G29" s="13" t="s">
        <v>249</v>
      </c>
      <c r="H29" s="44" t="s">
        <v>248</v>
      </c>
    </row>
    <row r="30" customFormat="false" ht="30" hidden="false" customHeight="true" outlineLevel="0" collapsed="false">
      <c r="A30" s="13" t="s">
        <v>294</v>
      </c>
      <c r="B30" s="7" t="s">
        <v>295</v>
      </c>
      <c r="C30" s="13" t="s">
        <v>254</v>
      </c>
      <c r="D30" s="13" t="s">
        <v>254</v>
      </c>
      <c r="E30" s="13" t="s">
        <v>254</v>
      </c>
      <c r="F30" s="13" t="s">
        <v>254</v>
      </c>
      <c r="G30" s="13" t="s">
        <v>254</v>
      </c>
      <c r="H30" s="44" t="s">
        <v>296</v>
      </c>
    </row>
    <row r="31" customFormat="false" ht="30" hidden="false" customHeight="true" outlineLevel="0" collapsed="false">
      <c r="A31" s="13" t="s">
        <v>297</v>
      </c>
      <c r="B31" s="7" t="s">
        <v>298</v>
      </c>
      <c r="C31" s="13" t="s">
        <v>254</v>
      </c>
      <c r="D31" s="13" t="s">
        <v>254</v>
      </c>
      <c r="E31" s="44" t="s">
        <v>299</v>
      </c>
      <c r="F31" s="13" t="s">
        <v>300</v>
      </c>
      <c r="G31" s="13" t="s">
        <v>254</v>
      </c>
      <c r="H31" s="13" t="s">
        <v>254</v>
      </c>
    </row>
    <row r="32" customFormat="false" ht="30" hidden="false" customHeight="true" outlineLevel="0" collapsed="false">
      <c r="A32" s="13" t="s">
        <v>301</v>
      </c>
      <c r="B32" s="7" t="s">
        <v>302</v>
      </c>
      <c r="C32" s="13" t="s">
        <v>254</v>
      </c>
      <c r="D32" s="13" t="s">
        <v>254</v>
      </c>
      <c r="E32" s="13" t="s">
        <v>254</v>
      </c>
      <c r="F32" s="13" t="s">
        <v>254</v>
      </c>
      <c r="G32" s="13" t="s">
        <v>300</v>
      </c>
      <c r="H32" s="13" t="s">
        <v>254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9.4" hidden="false" customHeight="false" outlineLevel="0" collapsed="false">
      <c r="A1" s="32" t="s">
        <v>303</v>
      </c>
    </row>
    <row r="2" customFormat="false" ht="15" hidden="false" customHeight="false" outlineLevel="0" collapsed="false">
      <c r="A2" s="38" t="s">
        <v>231</v>
      </c>
    </row>
    <row r="3" customFormat="false" ht="15" hidden="false" customHeight="false" outlineLevel="0" collapsed="false">
      <c r="A3" s="38" t="s">
        <v>232</v>
      </c>
    </row>
    <row r="4" customFormat="false" ht="15" hidden="false" customHeight="false" outlineLevel="0" collapsed="false">
      <c r="A4" s="38" t="s">
        <v>233</v>
      </c>
    </row>
    <row r="5" customFormat="false" ht="15" hidden="false" customHeight="false" outlineLevel="0" collapsed="false">
      <c r="A5" s="24" t="s">
        <v>234</v>
      </c>
    </row>
    <row r="6" customFormat="false" ht="15" hidden="false" customHeight="false" outlineLevel="0" collapsed="false">
      <c r="A6" s="24" t="s">
        <v>235</v>
      </c>
    </row>
    <row r="8" customFormat="false" ht="15" hidden="false" customHeight="false" outlineLevel="0" collapsed="false">
      <c r="A8" s="42" t="s">
        <v>304</v>
      </c>
    </row>
    <row r="10" customFormat="false" ht="15" hidden="false" customHeight="false" outlineLevel="0" collapsed="false">
      <c r="A10" s="43" t="s">
        <v>305</v>
      </c>
    </row>
    <row r="11" customFormat="false" ht="15" hidden="false" customHeight="false" outlineLevel="0" collapsed="false">
      <c r="A11" s="11" t="s">
        <v>238</v>
      </c>
      <c r="B11" s="11" t="s">
        <v>239</v>
      </c>
      <c r="C11" s="11" t="s">
        <v>245</v>
      </c>
      <c r="D11" s="11" t="s">
        <v>240</v>
      </c>
      <c r="E11" s="11" t="s">
        <v>241</v>
      </c>
      <c r="F11" s="11" t="s">
        <v>306</v>
      </c>
      <c r="G11" s="11" t="s">
        <v>307</v>
      </c>
      <c r="H11" s="11" t="s">
        <v>308</v>
      </c>
    </row>
    <row r="12" customFormat="false" ht="30" hidden="false" customHeight="true" outlineLevel="0" collapsed="false">
      <c r="A12" s="13" t="s">
        <v>309</v>
      </c>
      <c r="B12" s="7" t="s">
        <v>310</v>
      </c>
      <c r="C12" s="13" t="s">
        <v>311</v>
      </c>
      <c r="D12" s="13" t="s">
        <v>312</v>
      </c>
      <c r="E12" s="13" t="s">
        <v>313</v>
      </c>
      <c r="F12" s="13" t="s">
        <v>314</v>
      </c>
      <c r="G12" s="13" t="s">
        <v>315</v>
      </c>
      <c r="H12" s="44" t="s">
        <v>316</v>
      </c>
    </row>
    <row r="13" customFormat="false" ht="30" hidden="false" customHeight="true" outlineLevel="0" collapsed="false">
      <c r="A13" s="13" t="s">
        <v>271</v>
      </c>
      <c r="B13" s="7" t="s">
        <v>317</v>
      </c>
      <c r="C13" s="13" t="s">
        <v>249</v>
      </c>
      <c r="D13" s="13" t="s">
        <v>249</v>
      </c>
      <c r="E13" s="13" t="s">
        <v>249</v>
      </c>
      <c r="F13" s="13" t="s">
        <v>249</v>
      </c>
      <c r="G13" s="13" t="s">
        <v>249</v>
      </c>
      <c r="H13" s="13" t="s">
        <v>318</v>
      </c>
    </row>
    <row r="14" customFormat="false" ht="30" hidden="false" customHeight="true" outlineLevel="0" collapsed="false">
      <c r="A14" s="13" t="s">
        <v>278</v>
      </c>
      <c r="B14" s="7" t="s">
        <v>310</v>
      </c>
      <c r="C14" s="13" t="s">
        <v>319</v>
      </c>
      <c r="D14" s="13" t="s">
        <v>320</v>
      </c>
      <c r="E14" s="13" t="s">
        <v>321</v>
      </c>
      <c r="F14" s="13" t="s">
        <v>322</v>
      </c>
      <c r="G14" s="13" t="s">
        <v>323</v>
      </c>
      <c r="H14" s="13" t="s">
        <v>324</v>
      </c>
    </row>
    <row r="15" customFormat="false" ht="30" hidden="false" customHeight="true" outlineLevel="0" collapsed="false">
      <c r="A15" s="13" t="s">
        <v>325</v>
      </c>
      <c r="B15" s="7" t="s">
        <v>326</v>
      </c>
      <c r="C15" s="13" t="s">
        <v>281</v>
      </c>
      <c r="D15" s="13" t="s">
        <v>281</v>
      </c>
      <c r="E15" s="13" t="s">
        <v>281</v>
      </c>
      <c r="F15" s="13" t="s">
        <v>281</v>
      </c>
      <c r="G15" s="44" t="s">
        <v>327</v>
      </c>
      <c r="H15" s="13" t="s">
        <v>281</v>
      </c>
    </row>
    <row r="17" customFormat="false" ht="15" hidden="false" customHeight="false" outlineLevel="0" collapsed="false">
      <c r="A17" s="43" t="s">
        <v>328</v>
      </c>
    </row>
    <row r="18" customFormat="false" ht="15" hidden="false" customHeight="false" outlineLevel="0" collapsed="false">
      <c r="A18" s="11" t="s">
        <v>238</v>
      </c>
      <c r="B18" s="11" t="s">
        <v>239</v>
      </c>
      <c r="C18" s="11" t="s">
        <v>245</v>
      </c>
      <c r="D18" s="11" t="s">
        <v>240</v>
      </c>
      <c r="E18" s="11" t="s">
        <v>241</v>
      </c>
      <c r="F18" s="11" t="s">
        <v>306</v>
      </c>
      <c r="G18" s="11" t="s">
        <v>307</v>
      </c>
      <c r="H18" s="11" t="s">
        <v>308</v>
      </c>
    </row>
    <row r="19" customFormat="false" ht="30" hidden="false" customHeight="true" outlineLevel="0" collapsed="false">
      <c r="A19" s="13" t="s">
        <v>329</v>
      </c>
      <c r="B19" s="7" t="s">
        <v>330</v>
      </c>
      <c r="C19" s="13" t="s">
        <v>254</v>
      </c>
      <c r="D19" s="13" t="s">
        <v>254</v>
      </c>
      <c r="E19" s="13" t="s">
        <v>254</v>
      </c>
      <c r="F19" s="13" t="s">
        <v>300</v>
      </c>
      <c r="G19" s="13" t="s">
        <v>254</v>
      </c>
      <c r="H19" s="13" t="s">
        <v>300</v>
      </c>
    </row>
    <row r="20" customFormat="false" ht="30" hidden="false" customHeight="true" outlineLevel="0" collapsed="false">
      <c r="A20" s="13" t="s">
        <v>288</v>
      </c>
      <c r="B20" s="7" t="s">
        <v>331</v>
      </c>
      <c r="C20" s="13" t="s">
        <v>254</v>
      </c>
      <c r="D20" s="13" t="s">
        <v>254</v>
      </c>
      <c r="E20" s="13" t="s">
        <v>254</v>
      </c>
      <c r="F20" s="13" t="s">
        <v>300</v>
      </c>
      <c r="G20" s="13" t="s">
        <v>254</v>
      </c>
      <c r="H20" s="13" t="s">
        <v>254</v>
      </c>
    </row>
    <row r="21" customFormat="false" ht="30" hidden="false" customHeight="true" outlineLevel="0" collapsed="false">
      <c r="A21" s="13" t="s">
        <v>332</v>
      </c>
      <c r="B21" s="7" t="s">
        <v>333</v>
      </c>
      <c r="C21" s="13" t="s">
        <v>254</v>
      </c>
      <c r="D21" s="13" t="s">
        <v>254</v>
      </c>
      <c r="E21" s="13" t="s">
        <v>254</v>
      </c>
      <c r="F21" s="13" t="s">
        <v>334</v>
      </c>
      <c r="G21" s="13" t="s">
        <v>254</v>
      </c>
      <c r="H21" s="13" t="s">
        <v>254</v>
      </c>
    </row>
    <row r="22" customFormat="false" ht="30" hidden="false" customHeight="true" outlineLevel="0" collapsed="false">
      <c r="A22" s="13" t="s">
        <v>335</v>
      </c>
      <c r="B22" s="7" t="s">
        <v>287</v>
      </c>
      <c r="C22" s="44" t="s">
        <v>336</v>
      </c>
      <c r="D22" s="13" t="s">
        <v>254</v>
      </c>
      <c r="E22" s="13" t="s">
        <v>254</v>
      </c>
      <c r="F22" s="13" t="s">
        <v>300</v>
      </c>
      <c r="G22" s="13" t="s">
        <v>254</v>
      </c>
      <c r="H22" s="13" t="s">
        <v>254</v>
      </c>
    </row>
    <row r="24" customFormat="false" ht="15" hidden="false" customHeight="false" outlineLevel="0" collapsed="false">
      <c r="A24" s="43" t="s">
        <v>337</v>
      </c>
    </row>
    <row r="25" customFormat="false" ht="15" hidden="false" customHeight="false" outlineLevel="0" collapsed="false">
      <c r="A25" s="11" t="s">
        <v>238</v>
      </c>
      <c r="B25" s="11" t="s">
        <v>239</v>
      </c>
      <c r="C25" s="11" t="s">
        <v>245</v>
      </c>
      <c r="D25" s="11" t="s">
        <v>240</v>
      </c>
      <c r="E25" s="11" t="s">
        <v>241</v>
      </c>
      <c r="F25" s="11" t="s">
        <v>306</v>
      </c>
      <c r="G25" s="11" t="s">
        <v>307</v>
      </c>
      <c r="H25" s="11" t="s">
        <v>308</v>
      </c>
    </row>
    <row r="26" customFormat="false" ht="30" hidden="false" customHeight="true" outlineLevel="0" collapsed="false">
      <c r="A26" s="13" t="s">
        <v>338</v>
      </c>
      <c r="B26" s="7" t="s">
        <v>339</v>
      </c>
      <c r="C26" s="13" t="s">
        <v>254</v>
      </c>
      <c r="D26" s="13" t="s">
        <v>254</v>
      </c>
      <c r="E26" s="13" t="s">
        <v>254</v>
      </c>
      <c r="F26" s="13" t="s">
        <v>300</v>
      </c>
      <c r="G26" s="13" t="s">
        <v>254</v>
      </c>
      <c r="H26" s="44" t="s">
        <v>340</v>
      </c>
    </row>
    <row r="27" customFormat="false" ht="30" hidden="false" customHeight="true" outlineLevel="0" collapsed="false">
      <c r="A27" s="13" t="s">
        <v>297</v>
      </c>
      <c r="B27" s="7" t="s">
        <v>341</v>
      </c>
      <c r="C27" s="13" t="s">
        <v>254</v>
      </c>
      <c r="D27" s="13" t="s">
        <v>254</v>
      </c>
      <c r="E27" s="13" t="s">
        <v>254</v>
      </c>
      <c r="F27" s="13" t="s">
        <v>300</v>
      </c>
      <c r="G27" s="13" t="s">
        <v>254</v>
      </c>
      <c r="H27" s="13" t="s">
        <v>254</v>
      </c>
    </row>
    <row r="28" customFormat="false" ht="30" hidden="false" customHeight="true" outlineLevel="0" collapsed="false">
      <c r="A28" s="13" t="s">
        <v>342</v>
      </c>
      <c r="B28" s="7" t="s">
        <v>343</v>
      </c>
      <c r="C28" s="13" t="s">
        <v>254</v>
      </c>
      <c r="D28" s="13" t="s">
        <v>254</v>
      </c>
      <c r="E28" s="13" t="s">
        <v>254</v>
      </c>
      <c r="F28" s="13" t="s">
        <v>300</v>
      </c>
      <c r="G28" s="13" t="s">
        <v>254</v>
      </c>
      <c r="H28" s="13" t="s">
        <v>254</v>
      </c>
    </row>
    <row r="29" customFormat="false" ht="30" hidden="false" customHeight="true" outlineLevel="0" collapsed="false">
      <c r="A29" s="13" t="s">
        <v>344</v>
      </c>
      <c r="B29" s="7" t="s">
        <v>345</v>
      </c>
      <c r="C29" s="13" t="s">
        <v>249</v>
      </c>
      <c r="D29" s="13" t="s">
        <v>249</v>
      </c>
      <c r="E29" s="13" t="s">
        <v>249</v>
      </c>
      <c r="F29" s="13" t="s">
        <v>249</v>
      </c>
      <c r="G29" s="13" t="s">
        <v>249</v>
      </c>
      <c r="H29" s="13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9.4" hidden="false" customHeight="false" outlineLevel="0" collapsed="false">
      <c r="A1" s="32" t="s">
        <v>346</v>
      </c>
    </row>
    <row r="2" customFormat="false" ht="15" hidden="false" customHeight="false" outlineLevel="0" collapsed="false">
      <c r="A2" s="38" t="s">
        <v>231</v>
      </c>
    </row>
    <row r="3" customFormat="false" ht="15" hidden="false" customHeight="false" outlineLevel="0" collapsed="false">
      <c r="A3" s="38" t="s">
        <v>232</v>
      </c>
    </row>
    <row r="4" customFormat="false" ht="15" hidden="false" customHeight="false" outlineLevel="0" collapsed="false">
      <c r="A4" s="38" t="s">
        <v>233</v>
      </c>
    </row>
    <row r="5" customFormat="false" ht="15" hidden="false" customHeight="false" outlineLevel="0" collapsed="false">
      <c r="A5" s="24" t="s">
        <v>234</v>
      </c>
    </row>
    <row r="6" customFormat="false" ht="15" hidden="false" customHeight="false" outlineLevel="0" collapsed="false">
      <c r="A6" s="24" t="s">
        <v>235</v>
      </c>
    </row>
    <row r="8" customFormat="false" ht="15" hidden="false" customHeight="false" outlineLevel="0" collapsed="false">
      <c r="A8" s="42" t="s">
        <v>347</v>
      </c>
    </row>
    <row r="10" customFormat="false" ht="15" hidden="false" customHeight="false" outlineLevel="0" collapsed="false">
      <c r="A10" s="43" t="s">
        <v>348</v>
      </c>
    </row>
    <row r="11" customFormat="false" ht="15" hidden="false" customHeight="false" outlineLevel="0" collapsed="false">
      <c r="A11" s="11" t="s">
        <v>238</v>
      </c>
      <c r="B11" s="11" t="s">
        <v>239</v>
      </c>
      <c r="C11" s="11" t="s">
        <v>349</v>
      </c>
      <c r="D11" s="11" t="s">
        <v>350</v>
      </c>
      <c r="E11" s="11" t="s">
        <v>351</v>
      </c>
      <c r="F11" s="11" t="s">
        <v>352</v>
      </c>
      <c r="G11" s="11" t="s">
        <v>353</v>
      </c>
      <c r="H11" s="11" t="s">
        <v>241</v>
      </c>
    </row>
    <row r="12" customFormat="false" ht="30" hidden="false" customHeight="true" outlineLevel="0" collapsed="false">
      <c r="A12" s="13" t="s">
        <v>260</v>
      </c>
      <c r="B12" s="7" t="s">
        <v>354</v>
      </c>
      <c r="C12" s="13" t="s">
        <v>249</v>
      </c>
      <c r="D12" s="13" t="s">
        <v>249</v>
      </c>
      <c r="E12" s="13" t="s">
        <v>249</v>
      </c>
      <c r="F12" s="13" t="s">
        <v>259</v>
      </c>
      <c r="G12" s="13" t="s">
        <v>249</v>
      </c>
      <c r="H12" s="13" t="s">
        <v>249</v>
      </c>
    </row>
    <row r="13" customFormat="false" ht="30" hidden="false" customHeight="true" outlineLevel="0" collapsed="false">
      <c r="A13" s="13" t="s">
        <v>309</v>
      </c>
      <c r="B13" s="7" t="s">
        <v>310</v>
      </c>
      <c r="C13" s="13" t="s">
        <v>355</v>
      </c>
      <c r="D13" s="13" t="s">
        <v>356</v>
      </c>
      <c r="E13" s="13" t="s">
        <v>357</v>
      </c>
      <c r="F13" s="13" t="s">
        <v>358</v>
      </c>
      <c r="G13" s="13" t="s">
        <v>359</v>
      </c>
      <c r="H13" s="13" t="s">
        <v>360</v>
      </c>
    </row>
    <row r="14" customFormat="false" ht="30" hidden="false" customHeight="true" outlineLevel="0" collapsed="false">
      <c r="A14" s="13" t="s">
        <v>271</v>
      </c>
      <c r="B14" s="7" t="s">
        <v>354</v>
      </c>
      <c r="C14" s="13" t="s">
        <v>249</v>
      </c>
      <c r="D14" s="13" t="s">
        <v>259</v>
      </c>
      <c r="E14" s="13" t="s">
        <v>249</v>
      </c>
      <c r="F14" s="13" t="s">
        <v>259</v>
      </c>
      <c r="G14" s="13" t="s">
        <v>249</v>
      </c>
      <c r="H14" s="13" t="s">
        <v>249</v>
      </c>
    </row>
    <row r="15" customFormat="false" ht="30" hidden="false" customHeight="true" outlineLevel="0" collapsed="false">
      <c r="A15" s="13" t="s">
        <v>278</v>
      </c>
      <c r="B15" s="7" t="s">
        <v>310</v>
      </c>
      <c r="C15" s="13" t="s">
        <v>361</v>
      </c>
      <c r="D15" s="13" t="s">
        <v>362</v>
      </c>
      <c r="E15" s="44" t="s">
        <v>248</v>
      </c>
      <c r="F15" s="13" t="s">
        <v>363</v>
      </c>
      <c r="G15" s="13" t="s">
        <v>364</v>
      </c>
      <c r="H15" s="13" t="s">
        <v>365</v>
      </c>
    </row>
    <row r="16" customFormat="false" ht="30" hidden="false" customHeight="true" outlineLevel="0" collapsed="false">
      <c r="A16" s="8" t="s">
        <v>366</v>
      </c>
      <c r="B16" s="7" t="s">
        <v>367</v>
      </c>
      <c r="C16" s="13" t="s">
        <v>281</v>
      </c>
      <c r="D16" s="13" t="s">
        <v>281</v>
      </c>
      <c r="E16" s="44" t="s">
        <v>250</v>
      </c>
      <c r="F16" s="13" t="s">
        <v>281</v>
      </c>
      <c r="G16" s="13" t="s">
        <v>281</v>
      </c>
      <c r="H16" s="13" t="s">
        <v>281</v>
      </c>
    </row>
    <row r="18" customFormat="false" ht="15" hidden="false" customHeight="false" outlineLevel="0" collapsed="false">
      <c r="A18" s="43" t="s">
        <v>368</v>
      </c>
    </row>
    <row r="19" customFormat="false" ht="15" hidden="false" customHeight="false" outlineLevel="0" collapsed="false">
      <c r="A19" s="11" t="s">
        <v>238</v>
      </c>
      <c r="B19" s="11" t="s">
        <v>239</v>
      </c>
      <c r="C19" s="11" t="s">
        <v>349</v>
      </c>
      <c r="D19" s="11" t="s">
        <v>350</v>
      </c>
      <c r="E19" s="11" t="s">
        <v>351</v>
      </c>
      <c r="F19" s="11" t="s">
        <v>352</v>
      </c>
      <c r="G19" s="11" t="s">
        <v>353</v>
      </c>
      <c r="H19" s="11" t="s">
        <v>241</v>
      </c>
    </row>
    <row r="20" customFormat="false" ht="30" hidden="false" customHeight="true" outlineLevel="0" collapsed="false">
      <c r="A20" s="13" t="s">
        <v>369</v>
      </c>
      <c r="B20" s="7" t="s">
        <v>370</v>
      </c>
      <c r="C20" s="13" t="s">
        <v>249</v>
      </c>
      <c r="D20" s="13" t="s">
        <v>249</v>
      </c>
      <c r="E20" s="13" t="s">
        <v>371</v>
      </c>
      <c r="F20" s="13" t="s">
        <v>371</v>
      </c>
      <c r="G20" s="13" t="s">
        <v>249</v>
      </c>
      <c r="H20" s="13" t="s">
        <v>249</v>
      </c>
    </row>
    <row r="21" customFormat="false" ht="30" hidden="false" customHeight="true" outlineLevel="0" collapsed="false">
      <c r="A21" s="13" t="s">
        <v>369</v>
      </c>
      <c r="B21" s="7" t="s">
        <v>372</v>
      </c>
      <c r="C21" s="13" t="s">
        <v>249</v>
      </c>
      <c r="D21" s="13" t="s">
        <v>249</v>
      </c>
      <c r="E21" s="13" t="s">
        <v>371</v>
      </c>
      <c r="F21" s="13" t="s">
        <v>371</v>
      </c>
      <c r="G21" s="13" t="s">
        <v>249</v>
      </c>
      <c r="H21" s="13" t="s">
        <v>249</v>
      </c>
    </row>
    <row r="22" customFormat="false" ht="30" hidden="false" customHeight="true" outlineLevel="0" collapsed="false">
      <c r="A22" s="13" t="s">
        <v>369</v>
      </c>
      <c r="B22" s="7" t="s">
        <v>373</v>
      </c>
      <c r="C22" s="13" t="s">
        <v>249</v>
      </c>
      <c r="D22" s="13" t="s">
        <v>249</v>
      </c>
      <c r="E22" s="13" t="s">
        <v>281</v>
      </c>
      <c r="F22" s="13" t="s">
        <v>371</v>
      </c>
      <c r="G22" s="13" t="s">
        <v>249</v>
      </c>
      <c r="H22" s="13" t="s">
        <v>249</v>
      </c>
    </row>
    <row r="23" customFormat="false" ht="30" hidden="false" customHeight="true" outlineLevel="0" collapsed="false">
      <c r="A23" s="13" t="s">
        <v>369</v>
      </c>
      <c r="B23" s="7" t="s">
        <v>330</v>
      </c>
      <c r="C23" s="13" t="s">
        <v>249</v>
      </c>
      <c r="D23" s="13" t="s">
        <v>249</v>
      </c>
      <c r="E23" s="13" t="s">
        <v>259</v>
      </c>
      <c r="F23" s="13" t="s">
        <v>259</v>
      </c>
      <c r="G23" s="13" t="s">
        <v>249</v>
      </c>
      <c r="H23" s="13" t="s">
        <v>249</v>
      </c>
    </row>
    <row r="24" customFormat="false" ht="30" hidden="false" customHeight="true" outlineLevel="0" collapsed="false">
      <c r="A24" s="13" t="s">
        <v>374</v>
      </c>
      <c r="B24" s="7" t="s">
        <v>375</v>
      </c>
      <c r="C24" s="13" t="s">
        <v>249</v>
      </c>
      <c r="D24" s="13" t="s">
        <v>249</v>
      </c>
      <c r="E24" s="13" t="s">
        <v>259</v>
      </c>
      <c r="F24" s="13" t="s">
        <v>371</v>
      </c>
      <c r="G24" s="13" t="s">
        <v>249</v>
      </c>
      <c r="H24" s="13" t="s">
        <v>249</v>
      </c>
    </row>
    <row r="26" customFormat="false" ht="15" hidden="false" customHeight="false" outlineLevel="0" collapsed="false">
      <c r="A26" s="43" t="s">
        <v>376</v>
      </c>
    </row>
    <row r="27" customFormat="false" ht="15" hidden="false" customHeight="false" outlineLevel="0" collapsed="false">
      <c r="A27" s="11" t="s">
        <v>238</v>
      </c>
      <c r="B27" s="11" t="s">
        <v>239</v>
      </c>
      <c r="C27" s="11" t="s">
        <v>349</v>
      </c>
      <c r="D27" s="11" t="s">
        <v>350</v>
      </c>
      <c r="E27" s="11" t="s">
        <v>351</v>
      </c>
      <c r="F27" s="11" t="s">
        <v>352</v>
      </c>
      <c r="G27" s="11" t="s">
        <v>353</v>
      </c>
      <c r="H27" s="11" t="s">
        <v>241</v>
      </c>
    </row>
    <row r="28" customFormat="false" ht="30" hidden="false" customHeight="true" outlineLevel="0" collapsed="false">
      <c r="A28" s="13" t="s">
        <v>292</v>
      </c>
      <c r="B28" s="7" t="s">
        <v>377</v>
      </c>
      <c r="C28" s="13" t="s">
        <v>249</v>
      </c>
      <c r="D28" s="13" t="s">
        <v>249</v>
      </c>
      <c r="E28" s="13" t="s">
        <v>249</v>
      </c>
      <c r="F28" s="13" t="s">
        <v>259</v>
      </c>
      <c r="G28" s="13" t="s">
        <v>249</v>
      </c>
      <c r="H28" s="13" t="s">
        <v>249</v>
      </c>
    </row>
    <row r="29" customFormat="false" ht="30" hidden="false" customHeight="true" outlineLevel="0" collapsed="false">
      <c r="A29" s="13" t="s">
        <v>338</v>
      </c>
      <c r="B29" s="7" t="s">
        <v>343</v>
      </c>
      <c r="C29" s="13" t="s">
        <v>254</v>
      </c>
      <c r="D29" s="13" t="s">
        <v>254</v>
      </c>
      <c r="E29" s="13" t="s">
        <v>254</v>
      </c>
      <c r="F29" s="13" t="s">
        <v>300</v>
      </c>
      <c r="G29" s="13" t="s">
        <v>254</v>
      </c>
      <c r="H29" s="13" t="s">
        <v>254</v>
      </c>
    </row>
    <row r="30" customFormat="false" ht="30" hidden="false" customHeight="true" outlineLevel="0" collapsed="false">
      <c r="A30" s="13" t="s">
        <v>301</v>
      </c>
      <c r="B30" s="7" t="s">
        <v>378</v>
      </c>
      <c r="C30" s="13" t="s">
        <v>249</v>
      </c>
      <c r="D30" s="13" t="s">
        <v>249</v>
      </c>
      <c r="E30" s="13" t="s">
        <v>249</v>
      </c>
      <c r="F30" s="13" t="s">
        <v>259</v>
      </c>
      <c r="G30" s="13" t="s">
        <v>249</v>
      </c>
      <c r="H30" s="13" t="s">
        <v>249</v>
      </c>
    </row>
    <row r="31" customFormat="false" ht="30" hidden="false" customHeight="true" outlineLevel="0" collapsed="false">
      <c r="A31" s="13" t="s">
        <v>379</v>
      </c>
      <c r="B31" s="7" t="s">
        <v>380</v>
      </c>
      <c r="C31" s="13" t="s">
        <v>249</v>
      </c>
      <c r="D31" s="13" t="s">
        <v>249</v>
      </c>
      <c r="E31" s="13" t="s">
        <v>249</v>
      </c>
      <c r="F31" s="13" t="s">
        <v>259</v>
      </c>
      <c r="G31" s="13" t="s">
        <v>249</v>
      </c>
      <c r="H31" s="13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9.4" hidden="false" customHeight="false" outlineLevel="0" collapsed="false">
      <c r="A1" s="32" t="s">
        <v>381</v>
      </c>
    </row>
    <row r="2" customFormat="false" ht="15" hidden="false" customHeight="false" outlineLevel="0" collapsed="false">
      <c r="A2" s="38" t="s">
        <v>231</v>
      </c>
    </row>
    <row r="3" customFormat="false" ht="15" hidden="false" customHeight="false" outlineLevel="0" collapsed="false">
      <c r="A3" s="38" t="s">
        <v>232</v>
      </c>
    </row>
    <row r="4" customFormat="false" ht="15" hidden="false" customHeight="false" outlineLevel="0" collapsed="false">
      <c r="A4" s="38" t="s">
        <v>233</v>
      </c>
    </row>
    <row r="5" customFormat="false" ht="15" hidden="false" customHeight="false" outlineLevel="0" collapsed="false">
      <c r="A5" s="24" t="s">
        <v>234</v>
      </c>
    </row>
    <row r="6" customFormat="false" ht="15" hidden="false" customHeight="false" outlineLevel="0" collapsed="false">
      <c r="A6" s="24" t="s">
        <v>235</v>
      </c>
    </row>
    <row r="8" customFormat="false" ht="15" hidden="false" customHeight="false" outlineLevel="0" collapsed="false">
      <c r="A8" s="42" t="s">
        <v>382</v>
      </c>
    </row>
    <row r="10" customFormat="false" ht="15" hidden="false" customHeight="false" outlineLevel="0" collapsed="false">
      <c r="A10" s="43" t="s">
        <v>383</v>
      </c>
    </row>
    <row r="11" customFormat="false" ht="15" hidden="false" customHeight="false" outlineLevel="0" collapsed="false">
      <c r="A11" s="11" t="s">
        <v>238</v>
      </c>
      <c r="B11" s="11" t="s">
        <v>239</v>
      </c>
      <c r="C11" s="11" t="s">
        <v>384</v>
      </c>
      <c r="D11" s="11" t="s">
        <v>244</v>
      </c>
      <c r="E11" s="11" t="s">
        <v>351</v>
      </c>
      <c r="F11" s="11" t="s">
        <v>349</v>
      </c>
      <c r="G11" s="11" t="s">
        <v>182</v>
      </c>
      <c r="H11" s="11" t="s">
        <v>385</v>
      </c>
    </row>
    <row r="12" customFormat="false" ht="45" hidden="false" customHeight="true" outlineLevel="0" collapsed="false">
      <c r="A12" s="13" t="s">
        <v>386</v>
      </c>
      <c r="B12" s="7" t="s">
        <v>387</v>
      </c>
      <c r="C12" s="13" t="s">
        <v>249</v>
      </c>
      <c r="D12" s="13" t="s">
        <v>249</v>
      </c>
      <c r="E12" s="44" t="s">
        <v>248</v>
      </c>
      <c r="F12" s="13" t="s">
        <v>249</v>
      </c>
      <c r="G12" s="13" t="s">
        <v>388</v>
      </c>
      <c r="H12" s="13" t="s">
        <v>259</v>
      </c>
    </row>
    <row r="13" customFormat="false" ht="30" hidden="false" customHeight="true" outlineLevel="0" collapsed="false">
      <c r="A13" s="13" t="s">
        <v>260</v>
      </c>
      <c r="B13" s="7" t="s">
        <v>354</v>
      </c>
      <c r="C13" s="13" t="s">
        <v>249</v>
      </c>
      <c r="D13" s="13" t="s">
        <v>249</v>
      </c>
      <c r="E13" s="44" t="s">
        <v>389</v>
      </c>
      <c r="F13" s="13" t="s">
        <v>249</v>
      </c>
      <c r="G13" s="13" t="s">
        <v>249</v>
      </c>
      <c r="H13" s="13" t="s">
        <v>259</v>
      </c>
    </row>
    <row r="14" customFormat="false" ht="30" hidden="false" customHeight="true" outlineLevel="0" collapsed="false">
      <c r="A14" s="13" t="s">
        <v>309</v>
      </c>
      <c r="B14" s="7" t="s">
        <v>390</v>
      </c>
      <c r="C14" s="13" t="s">
        <v>391</v>
      </c>
      <c r="D14" s="13" t="s">
        <v>392</v>
      </c>
      <c r="E14" s="13" t="s">
        <v>393</v>
      </c>
      <c r="F14" s="13" t="s">
        <v>394</v>
      </c>
      <c r="G14" s="13" t="s">
        <v>395</v>
      </c>
      <c r="H14" s="13" t="s">
        <v>396</v>
      </c>
    </row>
    <row r="15" customFormat="false" ht="30" hidden="false" customHeight="true" outlineLevel="0" collapsed="false">
      <c r="A15" s="13" t="s">
        <v>271</v>
      </c>
      <c r="B15" s="7" t="s">
        <v>397</v>
      </c>
      <c r="C15" s="13" t="s">
        <v>249</v>
      </c>
      <c r="D15" s="13" t="s">
        <v>249</v>
      </c>
      <c r="E15" s="13" t="s">
        <v>249</v>
      </c>
      <c r="F15" s="13" t="s">
        <v>249</v>
      </c>
      <c r="G15" s="13" t="s">
        <v>249</v>
      </c>
      <c r="H15" s="13" t="s">
        <v>259</v>
      </c>
    </row>
    <row r="16" customFormat="false" ht="30" hidden="false" customHeight="true" outlineLevel="0" collapsed="false">
      <c r="A16" s="13" t="s">
        <v>398</v>
      </c>
      <c r="B16" s="7" t="s">
        <v>399</v>
      </c>
      <c r="C16" s="44" t="s">
        <v>250</v>
      </c>
      <c r="D16" s="13" t="s">
        <v>400</v>
      </c>
      <c r="E16" s="13" t="s">
        <v>401</v>
      </c>
      <c r="F16" s="13" t="s">
        <v>402</v>
      </c>
      <c r="G16" s="13" t="s">
        <v>403</v>
      </c>
      <c r="H16" s="13" t="s">
        <v>404</v>
      </c>
    </row>
    <row r="17" customFormat="false" ht="30" hidden="false" customHeight="true" outlineLevel="0" collapsed="false">
      <c r="A17" s="13" t="s">
        <v>325</v>
      </c>
      <c r="B17" s="7" t="s">
        <v>367</v>
      </c>
      <c r="C17" s="13" t="s">
        <v>281</v>
      </c>
      <c r="D17" s="13" t="s">
        <v>281</v>
      </c>
      <c r="E17" s="13" t="s">
        <v>281</v>
      </c>
      <c r="F17" s="13" t="s">
        <v>281</v>
      </c>
      <c r="G17" s="13" t="s">
        <v>281</v>
      </c>
      <c r="H17" s="13" t="s">
        <v>281</v>
      </c>
    </row>
    <row r="19" customFormat="false" ht="15" hidden="false" customHeight="false" outlineLevel="0" collapsed="false">
      <c r="A19" s="43" t="s">
        <v>328</v>
      </c>
    </row>
    <row r="20" customFormat="false" ht="15" hidden="false" customHeight="false" outlineLevel="0" collapsed="false">
      <c r="A20" s="11" t="s">
        <v>238</v>
      </c>
      <c r="B20" s="11" t="s">
        <v>239</v>
      </c>
      <c r="C20" s="11" t="s">
        <v>384</v>
      </c>
      <c r="D20" s="11" t="s">
        <v>244</v>
      </c>
      <c r="E20" s="11" t="s">
        <v>351</v>
      </c>
      <c r="F20" s="11" t="s">
        <v>349</v>
      </c>
      <c r="G20" s="11" t="s">
        <v>182</v>
      </c>
      <c r="H20" s="11" t="s">
        <v>385</v>
      </c>
    </row>
    <row r="21" customFormat="false" ht="30" hidden="false" customHeight="true" outlineLevel="0" collapsed="false">
      <c r="A21" s="13" t="s">
        <v>405</v>
      </c>
      <c r="B21" s="7" t="s">
        <v>406</v>
      </c>
      <c r="C21" s="13" t="s">
        <v>249</v>
      </c>
      <c r="D21" s="13" t="s">
        <v>249</v>
      </c>
      <c r="E21" s="13" t="s">
        <v>249</v>
      </c>
      <c r="F21" s="13" t="s">
        <v>249</v>
      </c>
      <c r="G21" s="13" t="s">
        <v>259</v>
      </c>
      <c r="H21" s="13" t="s">
        <v>259</v>
      </c>
    </row>
    <row r="22" customFormat="false" ht="30" hidden="false" customHeight="true" outlineLevel="0" collapsed="false">
      <c r="A22" s="13" t="s">
        <v>407</v>
      </c>
      <c r="B22" s="7" t="s">
        <v>408</v>
      </c>
      <c r="C22" s="13" t="s">
        <v>254</v>
      </c>
      <c r="D22" s="13" t="s">
        <v>300</v>
      </c>
      <c r="E22" s="13" t="s">
        <v>254</v>
      </c>
      <c r="F22" s="13" t="s">
        <v>254</v>
      </c>
      <c r="G22" s="13" t="s">
        <v>300</v>
      </c>
      <c r="H22" s="13" t="s">
        <v>255</v>
      </c>
    </row>
    <row r="23" customFormat="false" ht="30" hidden="false" customHeight="true" outlineLevel="0" collapsed="false">
      <c r="A23" s="13" t="s">
        <v>374</v>
      </c>
      <c r="B23" s="7" t="s">
        <v>409</v>
      </c>
      <c r="C23" s="13" t="s">
        <v>410</v>
      </c>
      <c r="D23" s="13" t="s">
        <v>411</v>
      </c>
      <c r="E23" s="13" t="s">
        <v>412</v>
      </c>
      <c r="F23" s="13" t="s">
        <v>413</v>
      </c>
      <c r="G23" s="13" t="s">
        <v>414</v>
      </c>
      <c r="H23" s="13" t="s">
        <v>415</v>
      </c>
    </row>
    <row r="24" customFormat="false" ht="30" hidden="false" customHeight="true" outlineLevel="0" collapsed="false">
      <c r="A24" s="13" t="s">
        <v>335</v>
      </c>
      <c r="B24" s="7" t="s">
        <v>416</v>
      </c>
      <c r="C24" s="13" t="s">
        <v>249</v>
      </c>
      <c r="D24" s="13" t="s">
        <v>249</v>
      </c>
      <c r="E24" s="13" t="s">
        <v>249</v>
      </c>
      <c r="F24" s="13" t="s">
        <v>249</v>
      </c>
      <c r="G24" s="13" t="s">
        <v>259</v>
      </c>
      <c r="H24" s="13" t="s">
        <v>259</v>
      </c>
    </row>
    <row r="26" customFormat="false" ht="15" hidden="false" customHeight="false" outlineLevel="0" collapsed="false">
      <c r="A26" s="43" t="s">
        <v>417</v>
      </c>
    </row>
    <row r="27" customFormat="false" ht="15" hidden="false" customHeight="false" outlineLevel="0" collapsed="false">
      <c r="A27" s="11" t="s">
        <v>238</v>
      </c>
      <c r="B27" s="11" t="s">
        <v>239</v>
      </c>
      <c r="C27" s="11" t="s">
        <v>384</v>
      </c>
      <c r="D27" s="11" t="s">
        <v>244</v>
      </c>
      <c r="E27" s="11" t="s">
        <v>351</v>
      </c>
      <c r="F27" s="11" t="s">
        <v>349</v>
      </c>
      <c r="G27" s="11" t="s">
        <v>182</v>
      </c>
      <c r="H27" s="11" t="s">
        <v>385</v>
      </c>
    </row>
    <row r="28" customFormat="false" ht="30" hidden="false" customHeight="true" outlineLevel="0" collapsed="false">
      <c r="A28" s="13" t="s">
        <v>418</v>
      </c>
      <c r="B28" s="7" t="s">
        <v>419</v>
      </c>
      <c r="C28" s="13" t="s">
        <v>249</v>
      </c>
      <c r="D28" s="13" t="s">
        <v>249</v>
      </c>
      <c r="E28" s="13" t="s">
        <v>249</v>
      </c>
      <c r="F28" s="13" t="s">
        <v>249</v>
      </c>
      <c r="G28" s="13" t="s">
        <v>249</v>
      </c>
      <c r="H28" s="13" t="s">
        <v>259</v>
      </c>
    </row>
    <row r="29" customFormat="false" ht="30" hidden="false" customHeight="true" outlineLevel="0" collapsed="false">
      <c r="A29" s="13" t="s">
        <v>342</v>
      </c>
      <c r="B29" s="7" t="s">
        <v>420</v>
      </c>
      <c r="C29" s="13" t="s">
        <v>421</v>
      </c>
      <c r="D29" s="13" t="s">
        <v>421</v>
      </c>
      <c r="E29" s="13" t="s">
        <v>421</v>
      </c>
      <c r="F29" s="13" t="s">
        <v>422</v>
      </c>
      <c r="G29" s="13" t="s">
        <v>422</v>
      </c>
      <c r="H29" s="13" t="s">
        <v>422</v>
      </c>
    </row>
    <row r="30" customFormat="false" ht="30" hidden="false" customHeight="true" outlineLevel="0" collapsed="false">
      <c r="A30" s="13" t="s">
        <v>344</v>
      </c>
      <c r="B30" s="7" t="s">
        <v>423</v>
      </c>
      <c r="C30" s="13" t="s">
        <v>249</v>
      </c>
      <c r="D30" s="13" t="s">
        <v>249</v>
      </c>
      <c r="E30" s="13" t="s">
        <v>249</v>
      </c>
      <c r="F30" s="13" t="s">
        <v>249</v>
      </c>
      <c r="G30" s="13" t="s">
        <v>249</v>
      </c>
      <c r="H30" s="13" t="s">
        <v>424</v>
      </c>
    </row>
    <row r="31" customFormat="false" ht="30" hidden="false" customHeight="true" outlineLevel="0" collapsed="false">
      <c r="A31" s="13" t="s">
        <v>425</v>
      </c>
      <c r="B31" s="7" t="s">
        <v>426</v>
      </c>
      <c r="C31" s="13" t="s">
        <v>249</v>
      </c>
      <c r="D31" s="13" t="s">
        <v>249</v>
      </c>
      <c r="E31" s="13" t="s">
        <v>249</v>
      </c>
      <c r="F31" s="13" t="s">
        <v>249</v>
      </c>
      <c r="G31" s="13" t="s">
        <v>249</v>
      </c>
      <c r="H31" s="13" t="s">
        <v>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2026-10-12T06:34:51Z</dcterms:created>
  <dc:creator>openpyxl</dc:creator>
  <dc:description/>
  <dc:language>en-US</dc:language>
  <cp:lastModifiedBy/>
  <dcterms:modified xsi:type="dcterms:W3CDTF">2026-10-12T06:34:51Z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