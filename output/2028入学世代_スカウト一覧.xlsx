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選手一覧" sheetId="1" state="visible" r:id="rId3"/>
    <sheet name="注目選手" sheetId="2" state="visible" r:id="rId4"/>
    <sheet name="日本海駅伝" sheetId="3" state="visible" r:id="rId5"/>
    <sheet name="奥球磨駅伝" sheetId="4" state="visible" r:id="rId6"/>
    <sheet name="3000mSC" sheetId="5" state="visible" r:id="rId7"/>
    <sheet name="1500m" sheetId="6" state="visible" r:id="rId8"/>
  </sheets>
  <definedNames>
    <definedName function="false" hidden="true" localSheetId="5" name="_xlnm._FilterDatabase" vbProcedure="false">1500m!$A$4:$J$1360</definedName>
    <definedName function="false" hidden="true" localSheetId="4" name="_xlnm._FilterDatabase" vbProcedure="false">3000mSC!$A$4:$J$1380</definedName>
    <definedName function="false" hidden="true" localSheetId="3" name="_xlnm._FilterDatabase" vbProcedure="false">奥球磨駅伝!$A$4:$Q$115</definedName>
    <definedName function="false" hidden="true" localSheetId="2" name="_xlnm._FilterDatabase" vbProcedure="false">日本海駅伝!$A$4:$Q$229</definedName>
    <definedName function="false" hidden="true" localSheetId="1" name="_xlnm._FilterDatabase" vbProcedure="false">注目選手!$A$4:$M$29</definedName>
    <definedName function="false" hidden="true" localSheetId="0" name="_xlnm._FilterDatabase" vbProcedure="false">選手一覧!$A$4:$M$2736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<sst xmlns="http://schemas.openxmlformats.org/spreadsheetml/2006/main" count="12292" uniqueCount="4693">
  <si>
    <r>
      <rPr>
        <b val="true"/>
        <sz val="14"/>
        <color rgb="FF000000"/>
        <rFont val="HGPｺﾞｼｯｸM"/>
        <family val="0"/>
        <charset val="1"/>
      </rPr>
      <t xml:space="preserve">2028</t>
    </r>
    <r>
      <rPr>
        <b val="true"/>
        <sz val="14"/>
        <color rgb="FF000000"/>
        <rFont val="WenQuanYi Zen Hei"/>
        <family val="2"/>
      </rPr>
      <t xml:space="preserve">年入学世代（現高校</t>
    </r>
    <r>
      <rPr>
        <b val="true"/>
        <sz val="14"/>
        <color rgb="FF000000"/>
        <rFont val="HGPｺﾞｼｯｸM"/>
        <family val="0"/>
        <charset val="1"/>
      </rPr>
      <t xml:space="preserve">2</t>
    </r>
    <r>
      <rPr>
        <b val="true"/>
        <sz val="14"/>
        <color rgb="FF000000"/>
        <rFont val="WenQuanYi Zen Hei"/>
        <family val="2"/>
      </rPr>
      <t xml:space="preserve">年）中長距離 選手一覧（</t>
    </r>
    <r>
      <rPr>
        <b val="true"/>
        <sz val="14"/>
        <color rgb="FF000000"/>
        <rFont val="HGPｺﾞｼｯｸM"/>
        <family val="0"/>
        <charset val="1"/>
      </rPr>
      <t xml:space="preserve">5000m</t>
    </r>
    <r>
      <rPr>
        <b val="true"/>
        <sz val="14"/>
        <color rgb="FF000000"/>
        <rFont val="WenQuanYi Zen Hei"/>
        <family val="2"/>
      </rPr>
      <t xml:space="preserve">順）</t>
    </r>
  </si>
  <si>
    <r>
      <rPr>
        <sz val="9"/>
        <color rgb="FF000000"/>
        <rFont val="WenQuanYi Zen Hei"/>
        <family val="2"/>
      </rPr>
      <t xml:space="preserve">陸マガの</t>
    </r>
    <r>
      <rPr>
        <sz val="9"/>
        <color rgb="FF000000"/>
        <rFont val="HGPｺﾞｼｯｸM"/>
        <family val="0"/>
        <charset val="1"/>
      </rPr>
      <t xml:space="preserve">5000m</t>
    </r>
    <r>
      <rPr>
        <sz val="9"/>
        <color rgb="FF000000"/>
        <rFont val="WenQuanYi Zen Hei"/>
        <family val="2"/>
      </rPr>
      <t xml:space="preserve">・</t>
    </r>
    <r>
      <rPr>
        <sz val="9"/>
        <color rgb="FF000000"/>
        <rFont val="HGPｺﾞｼｯｸM"/>
        <family val="0"/>
        <charset val="1"/>
      </rPr>
      <t xml:space="preserve">3000mSC</t>
    </r>
    <r>
      <rPr>
        <sz val="9"/>
        <color rgb="FF000000"/>
        <rFont val="WenQuanYi Zen Hei"/>
        <family val="2"/>
      </rPr>
      <t xml:space="preserve">・</t>
    </r>
    <r>
      <rPr>
        <sz val="9"/>
        <color rgb="FF000000"/>
        <rFont val="HGPｺﾞｼｯｸM"/>
        <family val="0"/>
        <charset val="1"/>
      </rPr>
      <t xml:space="preserve">1500m</t>
    </r>
    <r>
      <rPr>
        <sz val="9"/>
        <color rgb="FF000000"/>
        <rFont val="WenQuanYi Zen Hei"/>
        <family val="2"/>
      </rPr>
      <t xml:space="preserve">ランキングを選手ごとに</t>
    </r>
    <r>
      <rPr>
        <sz val="9"/>
        <color rgb="FF000000"/>
        <rFont val="HGPｺﾞｼｯｸM"/>
        <family val="0"/>
        <charset val="1"/>
      </rPr>
      <t xml:space="preserve">1</t>
    </r>
    <r>
      <rPr>
        <sz val="9"/>
        <color rgb="FF000000"/>
        <rFont val="WenQuanYi Zen Hei"/>
        <family val="2"/>
      </rPr>
      <t xml:space="preserve">行にまとめたもの。並び順＝</t>
    </r>
    <r>
      <rPr>
        <sz val="9"/>
        <color rgb="FF000000"/>
        <rFont val="HGPｺﾞｼｯｸM"/>
        <family val="0"/>
        <charset val="1"/>
      </rPr>
      <t xml:space="preserve">5000m</t>
    </r>
    <r>
      <rPr>
        <sz val="9"/>
        <color rgb="FF000000"/>
        <rFont val="WenQuanYi Zen Hei"/>
        <family val="2"/>
      </rPr>
      <t xml:space="preserve">の順位（</t>
    </r>
    <r>
      <rPr>
        <sz val="9"/>
        <color rgb="FF000000"/>
        <rFont val="HGPｺﾞｼｯｸM"/>
        <family val="0"/>
        <charset val="1"/>
      </rPr>
      <t xml:space="preserve">5000m</t>
    </r>
    <r>
      <rPr>
        <sz val="9"/>
        <color rgb="FF000000"/>
        <rFont val="WenQuanYi Zen Hei"/>
        <family val="2"/>
      </rPr>
      <t xml:space="preserve">の記録がない選手はその後ろに他種目の最高順位順）。順位の色：濃い緑＝</t>
    </r>
    <r>
      <rPr>
        <sz val="9"/>
        <color rgb="FF000000"/>
        <rFont val="HGPｺﾞｼｯｸM"/>
        <family val="0"/>
        <charset val="1"/>
      </rPr>
      <t xml:space="preserve">10</t>
    </r>
    <r>
      <rPr>
        <sz val="9"/>
        <color rgb="FF000000"/>
        <rFont val="WenQuanYi Zen Hei"/>
        <family val="2"/>
      </rPr>
      <t xml:space="preserve">位以内、緑＝</t>
    </r>
    <r>
      <rPr>
        <sz val="9"/>
        <color rgb="FF000000"/>
        <rFont val="HGPｺﾞｼｯｸM"/>
        <family val="0"/>
        <charset val="1"/>
      </rPr>
      <t xml:space="preserve">50</t>
    </r>
    <r>
      <rPr>
        <sz val="9"/>
        <color rgb="FF000000"/>
        <rFont val="WenQuanYi Zen Hei"/>
        <family val="2"/>
      </rPr>
      <t xml:space="preserve">位以内、薄緑＝</t>
    </r>
    <r>
      <rPr>
        <sz val="9"/>
        <color rgb="FF000000"/>
        <rFont val="HGPｺﾞｼｯｸM"/>
        <family val="0"/>
        <charset val="1"/>
      </rPr>
      <t xml:space="preserve">100</t>
    </r>
    <r>
      <rPr>
        <sz val="9"/>
        <color rgb="FF000000"/>
        <rFont val="WenQuanYi Zen Hei"/>
        <family val="2"/>
      </rPr>
      <t xml:space="preserve">位以内。見出しのフィルターで高校名・駅伝出場などを絞り込めます。オレンジ＝注目選手（「注目選手」シートに一覧）。メモ列（黄色）は自由に記入してください。</t>
    </r>
  </si>
  <si>
    <t xml:space="preserve">No</t>
  </si>
  <si>
    <t xml:space="preserve">氏名</t>
  </si>
  <si>
    <t xml:space="preserve">高校</t>
  </si>
  <si>
    <r>
      <rPr>
        <b val="true"/>
        <sz val="10"/>
        <color rgb="FFFFFFFF"/>
        <rFont val="HGPｺﾞｼｯｸM"/>
        <family val="0"/>
        <charset val="1"/>
      </rPr>
      <t xml:space="preserve">5000m
</t>
    </r>
    <r>
      <rPr>
        <b val="true"/>
        <sz val="10"/>
        <color rgb="FFFFFFFF"/>
        <rFont val="WenQuanYi Zen Hei"/>
        <family val="2"/>
      </rPr>
      <t xml:space="preserve">記録</t>
    </r>
  </si>
  <si>
    <r>
      <rPr>
        <b val="true"/>
        <sz val="10"/>
        <color rgb="FFFFFFFF"/>
        <rFont val="HGPｺﾞｼｯｸM"/>
        <family val="0"/>
        <charset val="1"/>
      </rPr>
      <t xml:space="preserve">5000m
</t>
    </r>
    <r>
      <rPr>
        <b val="true"/>
        <sz val="10"/>
        <color rgb="FFFFFFFF"/>
        <rFont val="WenQuanYi Zen Hei"/>
        <family val="2"/>
      </rPr>
      <t xml:space="preserve">順位</t>
    </r>
  </si>
  <si>
    <r>
      <rPr>
        <b val="true"/>
        <sz val="10"/>
        <color rgb="FF000000"/>
        <rFont val="HGPｺﾞｼｯｸM"/>
        <family val="0"/>
        <charset val="1"/>
      </rPr>
      <t xml:space="preserve">3000mSC
</t>
    </r>
    <r>
      <rPr>
        <b val="true"/>
        <sz val="10"/>
        <color rgb="FF000000"/>
        <rFont val="WenQuanYi Zen Hei"/>
        <family val="2"/>
      </rPr>
      <t xml:space="preserve">記録</t>
    </r>
  </si>
  <si>
    <r>
      <rPr>
        <b val="true"/>
        <sz val="10"/>
        <color rgb="FF000000"/>
        <rFont val="HGPｺﾞｼｯｸM"/>
        <family val="0"/>
        <charset val="1"/>
      </rPr>
      <t xml:space="preserve">3000mSC
</t>
    </r>
    <r>
      <rPr>
        <b val="true"/>
        <sz val="10"/>
        <color rgb="FF000000"/>
        <rFont val="WenQuanYi Zen Hei"/>
        <family val="2"/>
      </rPr>
      <t xml:space="preserve">順位</t>
    </r>
  </si>
  <si>
    <r>
      <rPr>
        <b val="true"/>
        <sz val="10"/>
        <color rgb="FF000000"/>
        <rFont val="HGPｺﾞｼｯｸM"/>
        <family val="0"/>
        <charset val="1"/>
      </rPr>
      <t xml:space="preserve">1500m
</t>
    </r>
    <r>
      <rPr>
        <b val="true"/>
        <sz val="10"/>
        <color rgb="FF000000"/>
        <rFont val="WenQuanYi Zen Hei"/>
        <family val="2"/>
      </rPr>
      <t xml:space="preserve">記録</t>
    </r>
  </si>
  <si>
    <r>
      <rPr>
        <b val="true"/>
        <sz val="10"/>
        <color rgb="FF000000"/>
        <rFont val="HGPｺﾞｼｯｸM"/>
        <family val="0"/>
        <charset val="1"/>
      </rPr>
      <t xml:space="preserve">1500m
</t>
    </r>
    <r>
      <rPr>
        <b val="true"/>
        <sz val="10"/>
        <color rgb="FF000000"/>
        <rFont val="WenQuanYi Zen Hei"/>
        <family val="2"/>
      </rPr>
      <t xml:space="preserve">順位</t>
    </r>
  </si>
  <si>
    <t xml:space="preserve">日本海駅伝
（区・区間順位）</t>
  </si>
  <si>
    <t xml:space="preserve">奥球磨駅伝
（区・区間順位）</t>
  </si>
  <si>
    <t xml:space="preserve">備考</t>
  </si>
  <si>
    <t xml:space="preserve">メモ</t>
  </si>
  <si>
    <t xml:space="preserve">ボイ　ビリス</t>
  </si>
  <si>
    <t xml:space="preserve">札幌山の手高</t>
  </si>
  <si>
    <t xml:space="preserve">稲垣　翔馴</t>
  </si>
  <si>
    <t xml:space="preserve">洛南高</t>
  </si>
  <si>
    <r>
      <rPr>
        <sz val="10"/>
        <color rgb="FF000000"/>
        <rFont val="HGPｺﾞｼｯｸM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28:54</t>
    </r>
    <r>
      <rPr>
        <sz val="10"/>
        <color rgb="FF000000"/>
        <rFont val="WenQuanYi Zen Hei"/>
        <family val="2"/>
      </rPr>
      <t xml:space="preserve">）</t>
    </r>
  </si>
  <si>
    <t xml:space="preserve">石原　向規</t>
  </si>
  <si>
    <r>
      <rPr>
        <sz val="10"/>
        <color rgb="FF000000"/>
        <rFont val="HGPｺﾞｼｯｸM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14:28</t>
    </r>
    <r>
      <rPr>
        <sz val="10"/>
        <color rgb="FF000000"/>
        <rFont val="WenQuanYi Zen Hei"/>
        <family val="2"/>
      </rPr>
      <t xml:space="preserve">）</t>
    </r>
  </si>
  <si>
    <t xml:space="preserve">若田　大尚</t>
  </si>
  <si>
    <t xml:space="preserve">学法石川高</t>
  </si>
  <si>
    <t xml:space="preserve">パレイヨ　アントニーイタ</t>
  </si>
  <si>
    <t xml:space="preserve">福岡一高</t>
  </si>
  <si>
    <r>
      <rPr>
        <sz val="10"/>
        <color rgb="FF000000"/>
        <rFont val="HGPｺﾞｼｯｸM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8:06</t>
    </r>
    <r>
      <rPr>
        <sz val="10"/>
        <color rgb="FF000000"/>
        <rFont val="WenQuanYi Zen Hei"/>
        <family val="2"/>
      </rPr>
      <t xml:space="preserve">）</t>
    </r>
  </si>
  <si>
    <t xml:space="preserve">橋本　蒼平</t>
  </si>
  <si>
    <t xml:space="preserve">佐久長聖高</t>
  </si>
  <si>
    <r>
      <rPr>
        <sz val="10"/>
        <color rgb="FF000000"/>
        <rFont val="HGPｺﾞｼｯｸM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28:58</t>
    </r>
    <r>
      <rPr>
        <sz val="10"/>
        <color rgb="FF000000"/>
        <rFont val="WenQuanYi Zen Hei"/>
        <family val="2"/>
      </rPr>
      <t xml:space="preserve">）</t>
    </r>
  </si>
  <si>
    <t xml:space="preserve">サイモン　ムッソーニ</t>
  </si>
  <si>
    <t xml:space="preserve">鎮西学院高</t>
  </si>
  <si>
    <r>
      <rPr>
        <sz val="10"/>
        <color rgb="FF000000"/>
        <rFont val="HGPｺﾞｼｯｸM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8:36</t>
    </r>
    <r>
      <rPr>
        <sz val="10"/>
        <color rgb="FF000000"/>
        <rFont val="WenQuanYi Zen Hei"/>
        <family val="2"/>
      </rPr>
      <t xml:space="preserve">）</t>
    </r>
  </si>
  <si>
    <t xml:space="preserve">ポール　ジョロゲ</t>
  </si>
  <si>
    <t xml:space="preserve">東海大附福岡高</t>
  </si>
  <si>
    <r>
      <rPr>
        <sz val="10"/>
        <color rgb="FF000000"/>
        <rFont val="HGPｺﾞｼｯｸM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8:16</t>
    </r>
    <r>
      <rPr>
        <sz val="10"/>
        <color rgb="FF000000"/>
        <rFont val="WenQuanYi Zen Hei"/>
        <family val="2"/>
      </rPr>
      <t xml:space="preserve">）</t>
    </r>
  </si>
  <si>
    <t xml:space="preserve">美沢　央佑</t>
  </si>
  <si>
    <t xml:space="preserve">伊藤　遼</t>
  </si>
  <si>
    <t xml:space="preserve">酒井　琉史</t>
  </si>
  <si>
    <r>
      <rPr>
        <sz val="10"/>
        <color rgb="FF000000"/>
        <rFont val="HGPｺﾞｼｯｸM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29:06</t>
    </r>
    <r>
      <rPr>
        <sz val="10"/>
        <color rgb="FF000000"/>
        <rFont val="WenQuanYi Zen Hei"/>
        <family val="2"/>
      </rPr>
      <t xml:space="preserve">）</t>
    </r>
  </si>
  <si>
    <t xml:space="preserve">野口　琉太</t>
  </si>
  <si>
    <t xml:space="preserve">小林高</t>
  </si>
  <si>
    <r>
      <rPr>
        <sz val="10"/>
        <color rgb="FF000000"/>
        <rFont val="HGPｺﾞｼｯｸM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13:45</t>
    </r>
    <r>
      <rPr>
        <sz val="10"/>
        <color rgb="FF000000"/>
        <rFont val="WenQuanYi Zen Hei"/>
        <family val="2"/>
      </rPr>
      <t xml:space="preserve">）</t>
    </r>
  </si>
  <si>
    <t xml:space="preserve">朝倉　悠羽</t>
  </si>
  <si>
    <t xml:space="preserve">山梨学院高</t>
  </si>
  <si>
    <r>
      <rPr>
        <sz val="10"/>
        <color rgb="FF000000"/>
        <rFont val="HGPｺﾞｼｯｸM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22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29:47</t>
    </r>
    <r>
      <rPr>
        <sz val="10"/>
        <color rgb="FF000000"/>
        <rFont val="WenQuanYi Zen Hei"/>
        <family val="2"/>
      </rPr>
      <t xml:space="preserve">）</t>
    </r>
  </si>
  <si>
    <t xml:space="preserve">竹田　櫂司</t>
  </si>
  <si>
    <r>
      <rPr>
        <sz val="10"/>
        <color rgb="FF000000"/>
        <rFont val="HGPｺﾞｼｯｸM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23:54</t>
    </r>
    <r>
      <rPr>
        <sz val="10"/>
        <color rgb="FF000000"/>
        <rFont val="WenQuanYi Zen Hei"/>
        <family val="2"/>
      </rPr>
      <t xml:space="preserve">）</t>
    </r>
  </si>
  <si>
    <t xml:space="preserve">鴨作　大夢</t>
  </si>
  <si>
    <t xml:space="preserve">東海大甲府高</t>
  </si>
  <si>
    <t xml:space="preserve">東海大</t>
  </si>
  <si>
    <t xml:space="preserve">上杉　創亮</t>
  </si>
  <si>
    <t xml:space="preserve">八千代松陰高</t>
  </si>
  <si>
    <t xml:space="preserve">平井　啓太郎</t>
  </si>
  <si>
    <t xml:space="preserve">西条農高</t>
  </si>
  <si>
    <t xml:space="preserve">山田　莉生</t>
  </si>
  <si>
    <t xml:space="preserve">拓大一高</t>
  </si>
  <si>
    <t xml:space="preserve">西川　晴貴</t>
  </si>
  <si>
    <t xml:space="preserve">洛北高</t>
  </si>
  <si>
    <t xml:space="preserve">長期故障</t>
  </si>
  <si>
    <t xml:space="preserve">小原　健太郎</t>
  </si>
  <si>
    <t xml:space="preserve">花巻東高</t>
  </si>
  <si>
    <t xml:space="preserve">國學院</t>
  </si>
  <si>
    <t xml:space="preserve">高田　康介</t>
  </si>
  <si>
    <t xml:space="preserve">東海大附相模高</t>
  </si>
  <si>
    <t xml:space="preserve">熊谷　颯柊</t>
  </si>
  <si>
    <t xml:space="preserve">武蔵野学院高</t>
  </si>
  <si>
    <t xml:space="preserve">武村　翔月</t>
  </si>
  <si>
    <r>
      <rPr>
        <sz val="10"/>
        <color rgb="FF000000"/>
        <rFont val="HGPｺﾞｼｯｸM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24:31</t>
    </r>
    <r>
      <rPr>
        <sz val="10"/>
        <color rgb="FF000000"/>
        <rFont val="WenQuanYi Zen Hei"/>
        <family val="2"/>
      </rPr>
      <t xml:space="preserve">）</t>
    </r>
  </si>
  <si>
    <t xml:space="preserve">杉平　颯志</t>
  </si>
  <si>
    <t xml:space="preserve">鳥栖工高</t>
  </si>
  <si>
    <r>
      <rPr>
        <sz val="10"/>
        <color rgb="FF000000"/>
        <rFont val="HGPｺﾞｼｯｸM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29:50</t>
    </r>
    <r>
      <rPr>
        <sz val="10"/>
        <color rgb="FF000000"/>
        <rFont val="WenQuanYi Zen Hei"/>
        <family val="2"/>
      </rPr>
      <t xml:space="preserve">）</t>
    </r>
  </si>
  <si>
    <t xml:space="preserve">増田　大誠</t>
  </si>
  <si>
    <t xml:space="preserve">上田西高</t>
  </si>
  <si>
    <t xml:space="preserve">千葉　海虎</t>
  </si>
  <si>
    <t xml:space="preserve">小田　桜雅</t>
  </si>
  <si>
    <t xml:space="preserve">仙台育英学園高</t>
  </si>
  <si>
    <t xml:space="preserve">田代　悠翔</t>
  </si>
  <si>
    <r>
      <rPr>
        <sz val="10"/>
        <color rgb="FF000000"/>
        <rFont val="HGPｺﾞｼｯｸM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23:56</t>
    </r>
    <r>
      <rPr>
        <sz val="10"/>
        <color rgb="FF000000"/>
        <rFont val="WenQuanYi Zen Hei"/>
        <family val="2"/>
      </rPr>
      <t xml:space="preserve">）</t>
    </r>
  </si>
  <si>
    <t xml:space="preserve">亀山　純平</t>
  </si>
  <si>
    <t xml:space="preserve">佐野日大高</t>
  </si>
  <si>
    <t xml:space="preserve">小林　柾輝</t>
  </si>
  <si>
    <t xml:space="preserve">長尾　羚煌</t>
  </si>
  <si>
    <t xml:space="preserve">市長崎商高</t>
  </si>
  <si>
    <t xml:space="preserve">中沢　侑己</t>
  </si>
  <si>
    <r>
      <rPr>
        <sz val="10"/>
        <color rgb="FF000000"/>
        <rFont val="HGPｺﾞｼｯｸM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23:52</t>
    </r>
    <r>
      <rPr>
        <sz val="10"/>
        <color rgb="FF000000"/>
        <rFont val="WenQuanYi Zen Hei"/>
        <family val="2"/>
      </rPr>
      <t xml:space="preserve">）</t>
    </r>
  </si>
  <si>
    <t xml:space="preserve">薮下　殿傑</t>
  </si>
  <si>
    <t xml:space="preserve">須磨学園高</t>
  </si>
  <si>
    <t xml:space="preserve">長　 　煌介</t>
  </si>
  <si>
    <t xml:space="preserve">鳥取城北高</t>
  </si>
  <si>
    <r>
      <rPr>
        <sz val="10"/>
        <color rgb="FF000000"/>
        <rFont val="HGPｺﾞｼｯｸM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23:53</t>
    </r>
    <r>
      <rPr>
        <sz val="10"/>
        <color rgb="FF000000"/>
        <rFont val="WenQuanYi Zen Hei"/>
        <family val="2"/>
      </rPr>
      <t xml:space="preserve">）</t>
    </r>
  </si>
  <si>
    <t xml:space="preserve">後藤　大晴</t>
  </si>
  <si>
    <t xml:space="preserve">相洋高</t>
  </si>
  <si>
    <t xml:space="preserve">中川　悠晴</t>
  </si>
  <si>
    <t xml:space="preserve">富山商高</t>
  </si>
  <si>
    <t xml:space="preserve">向岩　玖恩</t>
  </si>
  <si>
    <t xml:space="preserve">敦賀気比高</t>
  </si>
  <si>
    <t xml:space="preserve">増田　優太朗</t>
  </si>
  <si>
    <t xml:space="preserve">原　 　心傘</t>
  </si>
  <si>
    <t xml:space="preserve">田尻　清雅</t>
  </si>
  <si>
    <t xml:space="preserve">慶誠高</t>
  </si>
  <si>
    <r>
      <rPr>
        <sz val="10"/>
        <color rgb="FF000000"/>
        <rFont val="HGPｺﾞｼｯｸM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29:47</t>
    </r>
    <r>
      <rPr>
        <sz val="10"/>
        <color rgb="FF000000"/>
        <rFont val="WenQuanYi Zen Hei"/>
        <family val="2"/>
      </rPr>
      <t xml:space="preserve">）</t>
    </r>
  </si>
  <si>
    <t xml:space="preserve">山岸　大智</t>
  </si>
  <si>
    <r>
      <rPr>
        <sz val="10"/>
        <color rgb="FF000000"/>
        <rFont val="HGPｺﾞｼｯｸM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8:19</t>
    </r>
    <r>
      <rPr>
        <sz val="10"/>
        <color rgb="FF000000"/>
        <rFont val="WenQuanYi Zen Hei"/>
        <family val="2"/>
      </rPr>
      <t xml:space="preserve">）</t>
    </r>
  </si>
  <si>
    <t xml:space="preserve">小畑　瑞貴</t>
  </si>
  <si>
    <t xml:space="preserve">平田　千隼</t>
  </si>
  <si>
    <r>
      <rPr>
        <sz val="10"/>
        <color rgb="FF000000"/>
        <rFont val="HGPｺﾞｼｯｸM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29:25</t>
    </r>
    <r>
      <rPr>
        <sz val="10"/>
        <color rgb="FF000000"/>
        <rFont val="WenQuanYi Zen Hei"/>
        <family val="2"/>
      </rPr>
      <t xml:space="preserve">）</t>
    </r>
  </si>
  <si>
    <t xml:space="preserve">坂場　凱仁</t>
  </si>
  <si>
    <t xml:space="preserve">水城高</t>
  </si>
  <si>
    <t xml:space="preserve">岩田　健志</t>
  </si>
  <si>
    <r>
      <rPr>
        <sz val="10"/>
        <color rgb="FF000000"/>
        <rFont val="HGPｺﾞｼｯｸM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8:26</t>
    </r>
    <r>
      <rPr>
        <sz val="10"/>
        <color rgb="FF000000"/>
        <rFont val="WenQuanYi Zen Hei"/>
        <family val="2"/>
      </rPr>
      <t xml:space="preserve">）</t>
    </r>
  </si>
  <si>
    <t xml:space="preserve">星　 　柊斗</t>
  </si>
  <si>
    <t xml:space="preserve">岡島　稜</t>
  </si>
  <si>
    <t xml:space="preserve">伊賀白鳳高</t>
  </si>
  <si>
    <r>
      <rPr>
        <sz val="10"/>
        <color rgb="FF000000"/>
        <rFont val="HGPｺﾞｼｯｸM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42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30:21</t>
    </r>
    <r>
      <rPr>
        <sz val="10"/>
        <color rgb="FF000000"/>
        <rFont val="WenQuanYi Zen Hei"/>
        <family val="2"/>
      </rPr>
      <t xml:space="preserve">）</t>
    </r>
  </si>
  <si>
    <t xml:space="preserve">渡部　喜市</t>
  </si>
  <si>
    <t xml:space="preserve">美濃加茂高</t>
  </si>
  <si>
    <t xml:space="preserve">杉田　来翔</t>
  </si>
  <si>
    <t xml:space="preserve">東海大附札幌高</t>
  </si>
  <si>
    <t xml:space="preserve">岩崎　奏</t>
  </si>
  <si>
    <t xml:space="preserve">西脇工高</t>
  </si>
  <si>
    <t xml:space="preserve">富永　永輝愛</t>
  </si>
  <si>
    <t xml:space="preserve">開新高</t>
  </si>
  <si>
    <r>
      <rPr>
        <sz val="10"/>
        <color rgb="FF000000"/>
        <rFont val="HGPｺﾞｼｯｸM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30:11</t>
    </r>
    <r>
      <rPr>
        <sz val="10"/>
        <color rgb="FF000000"/>
        <rFont val="WenQuanYi Zen Hei"/>
        <family val="2"/>
      </rPr>
      <t xml:space="preserve">）</t>
    </r>
  </si>
  <si>
    <t xml:space="preserve">長瀬　礼</t>
  </si>
  <si>
    <t xml:space="preserve">岸本　周真</t>
  </si>
  <si>
    <r>
      <rPr>
        <sz val="10"/>
        <color rgb="FF000000"/>
        <rFont val="HGPｺﾞｼｯｸM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13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29:26</t>
    </r>
    <r>
      <rPr>
        <sz val="10"/>
        <color rgb="FF000000"/>
        <rFont val="WenQuanYi Zen Hei"/>
        <family val="2"/>
      </rPr>
      <t xml:space="preserve">）</t>
    </r>
  </si>
  <si>
    <t xml:space="preserve">加賀龍之介</t>
  </si>
  <si>
    <t xml:space="preserve">国学院大久我山高</t>
  </si>
  <si>
    <t xml:space="preserve">沢　 　佑斗</t>
  </si>
  <si>
    <t xml:space="preserve">中央学院高</t>
  </si>
  <si>
    <t xml:space="preserve">小松　隼太</t>
  </si>
  <si>
    <t xml:space="preserve">川口　頼輝</t>
  </si>
  <si>
    <t xml:space="preserve">宮川　晴斗</t>
  </si>
  <si>
    <t xml:space="preserve">智弁学園奈良カレッジ高</t>
  </si>
  <si>
    <t xml:space="preserve">柘植　源太</t>
  </si>
  <si>
    <t xml:space="preserve">浜松日体高</t>
  </si>
  <si>
    <t xml:space="preserve">譲次郎</t>
  </si>
  <si>
    <t xml:space="preserve">長野日大高</t>
  </si>
  <si>
    <t xml:space="preserve">佐藤　凌誠</t>
  </si>
  <si>
    <t xml:space="preserve">松下　悠真</t>
  </si>
  <si>
    <r>
      <rPr>
        <sz val="10"/>
        <color rgb="FF000000"/>
        <rFont val="HGPｺﾞｼｯｸM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24:30</t>
    </r>
    <r>
      <rPr>
        <sz val="10"/>
        <color rgb="FF000000"/>
        <rFont val="WenQuanYi Zen Hei"/>
        <family val="2"/>
      </rPr>
      <t xml:space="preserve">）</t>
    </r>
  </si>
  <si>
    <t xml:space="preserve">入江　佑典</t>
  </si>
  <si>
    <t xml:space="preserve">那須拓陽高</t>
  </si>
  <si>
    <t xml:space="preserve">舛谷　夢生</t>
  </si>
  <si>
    <t xml:space="preserve">倉敷高</t>
  </si>
  <si>
    <r>
      <rPr>
        <sz val="10"/>
        <color rgb="FF000000"/>
        <rFont val="HGPｺﾞｼｯｸM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14:28</t>
    </r>
    <r>
      <rPr>
        <sz val="10"/>
        <color rgb="FF000000"/>
        <rFont val="WenQuanYi Zen Hei"/>
        <family val="2"/>
      </rPr>
      <t xml:space="preserve">）</t>
    </r>
  </si>
  <si>
    <t xml:space="preserve">中岫　奏輔</t>
  </si>
  <si>
    <t xml:space="preserve">青森山田高</t>
  </si>
  <si>
    <t xml:space="preserve">時本　宝琉</t>
  </si>
  <si>
    <t xml:space="preserve">埼玉栄高</t>
  </si>
  <si>
    <t xml:space="preserve">村田　凌唯</t>
  </si>
  <si>
    <t xml:space="preserve">文星芸大附高</t>
  </si>
  <si>
    <t xml:space="preserve">東　 　海斗</t>
  </si>
  <si>
    <t xml:space="preserve">興国高</t>
  </si>
  <si>
    <r>
      <rPr>
        <sz val="10"/>
        <color rgb="FF000000"/>
        <rFont val="HGPｺﾞｼｯｸM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24:21</t>
    </r>
    <r>
      <rPr>
        <sz val="10"/>
        <color rgb="FF000000"/>
        <rFont val="WenQuanYi Zen Hei"/>
        <family val="2"/>
      </rPr>
      <t xml:space="preserve">）</t>
    </r>
  </si>
  <si>
    <t xml:space="preserve">仲重　柊晴</t>
  </si>
  <si>
    <t xml:space="preserve">森田　航聖</t>
  </si>
  <si>
    <t xml:space="preserve">浦和実学高</t>
  </si>
  <si>
    <t xml:space="preserve">西井　健真</t>
  </si>
  <si>
    <t xml:space="preserve">豊川高</t>
  </si>
  <si>
    <r>
      <rPr>
        <sz val="10"/>
        <color rgb="FF000000"/>
        <rFont val="HGPｺﾞｼｯｸM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14:07</t>
    </r>
    <r>
      <rPr>
        <sz val="10"/>
        <color rgb="FF000000"/>
        <rFont val="WenQuanYi Zen Hei"/>
        <family val="2"/>
      </rPr>
      <t xml:space="preserve">）</t>
    </r>
  </si>
  <si>
    <t xml:space="preserve">川人　仁嘉</t>
  </si>
  <si>
    <r>
      <rPr>
        <sz val="10"/>
        <color rgb="FF000000"/>
        <rFont val="HGPｺﾞｼｯｸM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36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30:13</t>
    </r>
    <r>
      <rPr>
        <sz val="10"/>
        <color rgb="FF000000"/>
        <rFont val="WenQuanYi Zen Hei"/>
        <family val="2"/>
      </rPr>
      <t xml:space="preserve">）</t>
    </r>
  </si>
  <si>
    <t xml:space="preserve">エゼ　ディリチュク勇</t>
  </si>
  <si>
    <r>
      <rPr>
        <sz val="10"/>
        <color rgb="FF000000"/>
        <rFont val="HGPｺﾞｼｯｸM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13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24:32</t>
    </r>
    <r>
      <rPr>
        <sz val="10"/>
        <color rgb="FF000000"/>
        <rFont val="WenQuanYi Zen Hei"/>
        <family val="2"/>
      </rPr>
      <t xml:space="preserve">）</t>
    </r>
  </si>
  <si>
    <t xml:space="preserve">真船　煌大</t>
  </si>
  <si>
    <t xml:space="preserve">内藤　大輔</t>
  </si>
  <si>
    <t xml:space="preserve">藤田　昂</t>
  </si>
  <si>
    <t xml:space="preserve">代田　真司</t>
  </si>
  <si>
    <r>
      <rPr>
        <sz val="10"/>
        <color rgb="FF000000"/>
        <rFont val="HGPｺﾞｼｯｸM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9:07</t>
    </r>
    <r>
      <rPr>
        <sz val="10"/>
        <color rgb="FF000000"/>
        <rFont val="WenQuanYi Zen Hei"/>
        <family val="2"/>
      </rPr>
      <t xml:space="preserve">）</t>
    </r>
  </si>
  <si>
    <t xml:space="preserve">星野　駿人</t>
  </si>
  <si>
    <t xml:space="preserve">稲生高</t>
  </si>
  <si>
    <r>
      <rPr>
        <sz val="10"/>
        <color rgb="FF000000"/>
        <rFont val="HGPｺﾞｼｯｸM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33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24:44</t>
    </r>
    <r>
      <rPr>
        <sz val="10"/>
        <color rgb="FF000000"/>
        <rFont val="WenQuanYi Zen Hei"/>
        <family val="2"/>
      </rPr>
      <t xml:space="preserve">）</t>
    </r>
  </si>
  <si>
    <t xml:space="preserve">前　 　春馬</t>
  </si>
  <si>
    <r>
      <rPr>
        <sz val="10"/>
        <color rgb="FF000000"/>
        <rFont val="HGPｺﾞｼｯｸM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30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30:03</t>
    </r>
    <r>
      <rPr>
        <sz val="10"/>
        <color rgb="FF000000"/>
        <rFont val="WenQuanYi Zen Hei"/>
        <family val="2"/>
      </rPr>
      <t xml:space="preserve">）</t>
    </r>
  </si>
  <si>
    <t xml:space="preserve">井上　悠夢</t>
  </si>
  <si>
    <r>
      <rPr>
        <sz val="10"/>
        <color rgb="FF000000"/>
        <rFont val="HGPｺﾞｼｯｸM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14:10</t>
    </r>
    <r>
      <rPr>
        <sz val="10"/>
        <color rgb="FF000000"/>
        <rFont val="WenQuanYi Zen Hei"/>
        <family val="2"/>
      </rPr>
      <t xml:space="preserve">）</t>
    </r>
  </si>
  <si>
    <t xml:space="preserve">河野　莉空</t>
  </si>
  <si>
    <t xml:space="preserve">中京高</t>
  </si>
  <si>
    <r>
      <rPr>
        <sz val="10"/>
        <color rgb="FF000000"/>
        <rFont val="HGPｺﾞｼｯｸM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45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25:06</t>
    </r>
    <r>
      <rPr>
        <sz val="10"/>
        <color rgb="FF000000"/>
        <rFont val="WenQuanYi Zen Hei"/>
        <family val="2"/>
      </rPr>
      <t xml:space="preserve">）</t>
    </r>
  </si>
  <si>
    <t xml:space="preserve">加藤　心翔</t>
  </si>
  <si>
    <t xml:space="preserve">小早川　駿也</t>
  </si>
  <si>
    <t xml:space="preserve">谷崎　大翔</t>
  </si>
  <si>
    <r>
      <rPr>
        <sz val="10"/>
        <color rgb="FF000000"/>
        <rFont val="HGPｺﾞｼｯｸM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13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24:01</t>
    </r>
    <r>
      <rPr>
        <sz val="10"/>
        <color rgb="FF000000"/>
        <rFont val="WenQuanYi Zen Hei"/>
        <family val="2"/>
      </rPr>
      <t xml:space="preserve">）</t>
    </r>
  </si>
  <si>
    <t xml:space="preserve">本川　竜光</t>
  </si>
  <si>
    <t xml:space="preserve">東京実高</t>
  </si>
  <si>
    <t xml:space="preserve">雑賀　温大</t>
  </si>
  <si>
    <t xml:space="preserve">土浦日大高</t>
  </si>
  <si>
    <t xml:space="preserve">松本　陽樹</t>
  </si>
  <si>
    <r>
      <rPr>
        <sz val="10"/>
        <color rgb="FF000000"/>
        <rFont val="HGPｺﾞｼｯｸM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14:46</t>
    </r>
    <r>
      <rPr>
        <sz val="10"/>
        <color rgb="FF000000"/>
        <rFont val="WenQuanYi Zen Hei"/>
        <family val="2"/>
      </rPr>
      <t xml:space="preserve">）</t>
    </r>
  </si>
  <si>
    <t xml:space="preserve">五社　泰至</t>
  </si>
  <si>
    <t xml:space="preserve">東洋大附牛久高</t>
  </si>
  <si>
    <t xml:space="preserve">佐々木　凉蒼</t>
  </si>
  <si>
    <t xml:space="preserve">金子　陽翔</t>
  </si>
  <si>
    <t xml:space="preserve">小石沢　大翔</t>
  </si>
  <si>
    <t xml:space="preserve">山下　匠</t>
  </si>
  <si>
    <t xml:space="preserve">水戸葵陵高</t>
  </si>
  <si>
    <r>
      <rPr>
        <sz val="10"/>
        <color rgb="FF000000"/>
        <rFont val="HGPｺﾞｼｯｸM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26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24:57</t>
    </r>
    <r>
      <rPr>
        <sz val="10"/>
        <color rgb="FF000000"/>
        <rFont val="WenQuanYi Zen Hei"/>
        <family val="2"/>
      </rPr>
      <t xml:space="preserve">）</t>
    </r>
  </si>
  <si>
    <t xml:space="preserve">植野　元唯</t>
  </si>
  <si>
    <t xml:space="preserve">清風高</t>
  </si>
  <si>
    <t xml:space="preserve">新垣　蓮</t>
  </si>
  <si>
    <t xml:space="preserve">富士宮北高</t>
  </si>
  <si>
    <t xml:space="preserve">谷　 　颯真</t>
  </si>
  <si>
    <t xml:space="preserve">田中　寿樹</t>
  </si>
  <si>
    <t xml:space="preserve">伊豆中央高</t>
  </si>
  <si>
    <t xml:space="preserve">辻井　智稀</t>
  </si>
  <si>
    <t xml:space="preserve">関大北陽高</t>
  </si>
  <si>
    <r>
      <rPr>
        <sz val="10"/>
        <color rgb="FF000000"/>
        <rFont val="HGPｺﾞｼｯｸM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15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8:29</t>
    </r>
    <r>
      <rPr>
        <sz val="10"/>
        <color rgb="FF000000"/>
        <rFont val="WenQuanYi Zen Hei"/>
        <family val="2"/>
      </rPr>
      <t xml:space="preserve">）</t>
    </r>
  </si>
  <si>
    <t xml:space="preserve">岩尾　春</t>
  </si>
  <si>
    <t xml:space="preserve">東京国際大学：関東学連高</t>
  </si>
  <si>
    <t xml:space="preserve">気賀沢　勇之助</t>
  </si>
  <si>
    <t xml:space="preserve">駒大高</t>
  </si>
  <si>
    <t xml:space="preserve">山崎　圭人</t>
  </si>
  <si>
    <t xml:space="preserve">亀田　十羽</t>
  </si>
  <si>
    <r>
      <rPr>
        <sz val="10"/>
        <color rgb="FF000000"/>
        <rFont val="HGPｺﾞｼｯｸM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8:23</t>
    </r>
    <r>
      <rPr>
        <sz val="10"/>
        <color rgb="FF000000"/>
        <rFont val="WenQuanYi Zen Hei"/>
        <family val="2"/>
      </rPr>
      <t xml:space="preserve">）</t>
    </r>
  </si>
  <si>
    <t xml:space="preserve">神谷　勇輝</t>
  </si>
  <si>
    <t xml:space="preserve">横浜　慶</t>
  </si>
  <si>
    <t xml:space="preserve">大野　真吾</t>
  </si>
  <si>
    <t xml:space="preserve">高橋　空</t>
  </si>
  <si>
    <t xml:space="preserve">原田　隼</t>
  </si>
  <si>
    <t xml:space="preserve">自由ケ丘高</t>
  </si>
  <si>
    <r>
      <rPr>
        <sz val="10"/>
        <color rgb="FF000000"/>
        <rFont val="HGPｺﾞｼｯｸM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15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8:40</t>
    </r>
    <r>
      <rPr>
        <sz val="10"/>
        <color rgb="FF000000"/>
        <rFont val="WenQuanYi Zen Hei"/>
        <family val="2"/>
      </rPr>
      <t xml:space="preserve">）</t>
    </r>
  </si>
  <si>
    <t xml:space="preserve">西中川　和真</t>
  </si>
  <si>
    <t xml:space="preserve">山寺　慧太</t>
  </si>
  <si>
    <t xml:space="preserve">菊池　大夢</t>
  </si>
  <si>
    <t xml:space="preserve">木村　剛士</t>
  </si>
  <si>
    <r>
      <rPr>
        <sz val="10"/>
        <color rgb="FF000000"/>
        <rFont val="HGPｺﾞｼｯｸM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26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29:50</t>
    </r>
    <r>
      <rPr>
        <sz val="10"/>
        <color rgb="FF000000"/>
        <rFont val="WenQuanYi Zen Hei"/>
        <family val="2"/>
      </rPr>
      <t xml:space="preserve">）</t>
    </r>
  </si>
  <si>
    <t xml:space="preserve">漆畑　颯恭</t>
  </si>
  <si>
    <t xml:space="preserve">飛龍高</t>
  </si>
  <si>
    <t xml:space="preserve">清水　大馳</t>
  </si>
  <si>
    <t xml:space="preserve">鳥谷部凌央</t>
  </si>
  <si>
    <t xml:space="preserve">坂口　太弥</t>
  </si>
  <si>
    <t xml:space="preserve">和歌山北高</t>
  </si>
  <si>
    <r>
      <rPr>
        <sz val="10"/>
        <color rgb="FF000000"/>
        <rFont val="HGPｺﾞｼｯｸM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20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29:45</t>
    </r>
    <r>
      <rPr>
        <sz val="10"/>
        <color rgb="FF000000"/>
        <rFont val="WenQuanYi Zen Hei"/>
        <family val="2"/>
      </rPr>
      <t xml:space="preserve">）</t>
    </r>
  </si>
  <si>
    <t xml:space="preserve">渡部　湧斗</t>
  </si>
  <si>
    <t xml:space="preserve">帝京安積高</t>
  </si>
  <si>
    <t xml:space="preserve">杉山　力斗</t>
  </si>
  <si>
    <t xml:space="preserve">九州学院高</t>
  </si>
  <si>
    <r>
      <rPr>
        <sz val="10"/>
        <color rgb="FF000000"/>
        <rFont val="HGPｺﾞｼｯｸM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13:52</t>
    </r>
    <r>
      <rPr>
        <sz val="10"/>
        <color rgb="FF000000"/>
        <rFont val="WenQuanYi Zen Hei"/>
        <family val="2"/>
      </rPr>
      <t xml:space="preserve">）</t>
    </r>
  </si>
  <si>
    <t xml:space="preserve">徳永　昇生</t>
  </si>
  <si>
    <t xml:space="preserve">大分東明高</t>
  </si>
  <si>
    <t xml:space="preserve">高森　稀隆</t>
  </si>
  <si>
    <t xml:space="preserve">金沢学院大附高</t>
  </si>
  <si>
    <t xml:space="preserve">校名表記：金沢学院大附高／金沢学大附高</t>
  </si>
  <si>
    <t xml:space="preserve">前川　侑大</t>
  </si>
  <si>
    <t xml:space="preserve">今治北高</t>
  </si>
  <si>
    <r>
      <rPr>
        <sz val="10"/>
        <color rgb="FF000000"/>
        <rFont val="HGPｺﾞｼｯｸM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37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30:15</t>
    </r>
    <r>
      <rPr>
        <sz val="10"/>
        <color rgb="FF000000"/>
        <rFont val="WenQuanYi Zen Hei"/>
        <family val="2"/>
      </rPr>
      <t xml:space="preserve">）</t>
    </r>
  </si>
  <si>
    <t xml:space="preserve">藤井　真生</t>
  </si>
  <si>
    <t xml:space="preserve">東海大山形高</t>
  </si>
  <si>
    <t xml:space="preserve">千葉　海頼</t>
  </si>
  <si>
    <t xml:space="preserve">木村　太郎</t>
  </si>
  <si>
    <t xml:space="preserve">希望が丘高</t>
  </si>
  <si>
    <r>
      <rPr>
        <sz val="10"/>
        <color rgb="FF000000"/>
        <rFont val="HGPｺﾞｼｯｸM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13:58</t>
    </r>
    <r>
      <rPr>
        <sz val="10"/>
        <color rgb="FF000000"/>
        <rFont val="WenQuanYi Zen Hei"/>
        <family val="2"/>
      </rPr>
      <t xml:space="preserve">）</t>
    </r>
  </si>
  <si>
    <t xml:space="preserve">向井　駿輔</t>
  </si>
  <si>
    <t xml:space="preserve">麻溝台高</t>
  </si>
  <si>
    <t xml:space="preserve">高松　龍星</t>
  </si>
  <si>
    <r>
      <rPr>
        <sz val="10"/>
        <color rgb="FF000000"/>
        <rFont val="HGPｺﾞｼｯｸM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24:50</t>
    </r>
    <r>
      <rPr>
        <sz val="10"/>
        <color rgb="FF000000"/>
        <rFont val="WenQuanYi Zen Hei"/>
        <family val="2"/>
      </rPr>
      <t xml:space="preserve">）</t>
    </r>
  </si>
  <si>
    <t xml:space="preserve">中島　希</t>
  </si>
  <si>
    <t xml:space="preserve">比叡山高</t>
  </si>
  <si>
    <r>
      <rPr>
        <sz val="10"/>
        <color rgb="FF000000"/>
        <rFont val="HGPｺﾞｼｯｸM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38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30:18</t>
    </r>
    <r>
      <rPr>
        <sz val="10"/>
        <color rgb="FF000000"/>
        <rFont val="WenQuanYi Zen Hei"/>
        <family val="2"/>
      </rPr>
      <t xml:space="preserve">）</t>
    </r>
  </si>
  <si>
    <t xml:space="preserve">中村　碧吹</t>
  </si>
  <si>
    <t xml:space="preserve">市船橋高</t>
  </si>
  <si>
    <t xml:space="preserve">藤田　翔蒼</t>
  </si>
  <si>
    <r>
      <rPr>
        <sz val="10"/>
        <color rgb="FF000000"/>
        <rFont val="HGPｺﾞｼｯｸM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15:06</t>
    </r>
    <r>
      <rPr>
        <sz val="10"/>
        <color rgb="FF000000"/>
        <rFont val="WenQuanYi Zen Hei"/>
        <family val="2"/>
      </rPr>
      <t xml:space="preserve">）</t>
    </r>
  </si>
  <si>
    <t xml:space="preserve">石川　幸輝</t>
  </si>
  <si>
    <t xml:space="preserve">益田東高</t>
  </si>
  <si>
    <t xml:space="preserve">上田　浩士</t>
  </si>
  <si>
    <t xml:space="preserve">神大附中等・兵庫高</t>
  </si>
  <si>
    <t xml:space="preserve">校名表記：神大附中等・兵庫高／神戸大附中等</t>
  </si>
  <si>
    <t xml:space="preserve">田　 　有希也</t>
  </si>
  <si>
    <t xml:space="preserve">蛭田　渉正</t>
  </si>
  <si>
    <t xml:space="preserve">橋　 　空</t>
  </si>
  <si>
    <t xml:space="preserve">深沢　暖斗</t>
  </si>
  <si>
    <t xml:space="preserve">東農大二高</t>
  </si>
  <si>
    <r>
      <rPr>
        <sz val="10"/>
        <color rgb="FF000000"/>
        <rFont val="HGPｺﾞｼｯｸM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8:43</t>
    </r>
    <r>
      <rPr>
        <sz val="10"/>
        <color rgb="FF000000"/>
        <rFont val="WenQuanYi Zen Hei"/>
        <family val="2"/>
      </rPr>
      <t xml:space="preserve">）</t>
    </r>
  </si>
  <si>
    <t xml:space="preserve">角田　寛維</t>
  </si>
  <si>
    <t xml:space="preserve">大野　晃誠</t>
  </si>
  <si>
    <t xml:space="preserve">飯塚高</t>
  </si>
  <si>
    <r>
      <rPr>
        <sz val="10"/>
        <color rgb="FF000000"/>
        <rFont val="HGPｺﾞｼｯｸM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19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30:30</t>
    </r>
    <r>
      <rPr>
        <sz val="10"/>
        <color rgb="FF000000"/>
        <rFont val="WenQuanYi Zen Hei"/>
        <family val="2"/>
      </rPr>
      <t xml:space="preserve">）</t>
    </r>
  </si>
  <si>
    <t xml:space="preserve">米川　翔</t>
  </si>
  <si>
    <t xml:space="preserve">川崎橘高</t>
  </si>
  <si>
    <t xml:space="preserve">吉村　悠希</t>
  </si>
  <si>
    <t xml:space="preserve">名古屋経大高蔵高</t>
  </si>
  <si>
    <t xml:space="preserve">周　 　凱文</t>
  </si>
  <si>
    <t xml:space="preserve">藤野　健太</t>
  </si>
  <si>
    <r>
      <rPr>
        <sz val="10"/>
        <color rgb="FF000000"/>
        <rFont val="HGPｺﾞｼｯｸM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24:05</t>
    </r>
    <r>
      <rPr>
        <sz val="10"/>
        <color rgb="FF000000"/>
        <rFont val="WenQuanYi Zen Hei"/>
        <family val="2"/>
      </rPr>
      <t xml:space="preserve">）</t>
    </r>
  </si>
  <si>
    <t xml:space="preserve">江口　優</t>
  </si>
  <si>
    <r>
      <rPr>
        <sz val="10"/>
        <color rgb="FF000000"/>
        <rFont val="HGPｺﾞｼｯｸM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15:27</t>
    </r>
    <r>
      <rPr>
        <sz val="10"/>
        <color rgb="FF000000"/>
        <rFont val="WenQuanYi Zen Hei"/>
        <family val="2"/>
      </rPr>
      <t xml:space="preserve">）</t>
    </r>
  </si>
  <si>
    <t xml:space="preserve">吉本　健心</t>
  </si>
  <si>
    <t xml:space="preserve">岡崎城西高</t>
  </si>
  <si>
    <r>
      <rPr>
        <sz val="10"/>
        <color rgb="FF000000"/>
        <rFont val="HGPｺﾞｼｯｸM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23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24:27</t>
    </r>
    <r>
      <rPr>
        <sz val="10"/>
        <color rgb="FF000000"/>
        <rFont val="WenQuanYi Zen Hei"/>
        <family val="2"/>
      </rPr>
      <t xml:space="preserve">）</t>
    </r>
  </si>
  <si>
    <t xml:space="preserve">小山　颯太</t>
  </si>
  <si>
    <t xml:space="preserve">薮崎　一心</t>
  </si>
  <si>
    <t xml:space="preserve">市松戸高</t>
  </si>
  <si>
    <t xml:space="preserve">五十嵐　陽希</t>
  </si>
  <si>
    <t xml:space="preserve">一関学院高</t>
  </si>
  <si>
    <t xml:space="preserve">久保　洋斗</t>
  </si>
  <si>
    <t xml:space="preserve">荒木　琉偉</t>
  </si>
  <si>
    <r>
      <rPr>
        <sz val="10"/>
        <color rgb="FF000000"/>
        <rFont val="HGPｺﾞｼｯｸM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8:15</t>
    </r>
    <r>
      <rPr>
        <sz val="10"/>
        <color rgb="FF000000"/>
        <rFont val="WenQuanYi Zen Hei"/>
        <family val="2"/>
      </rPr>
      <t xml:space="preserve">）</t>
    </r>
  </si>
  <si>
    <t xml:space="preserve">佐藤聡太郎</t>
  </si>
  <si>
    <r>
      <rPr>
        <sz val="10"/>
        <color rgb="FF000000"/>
        <rFont val="HGPｺﾞｼｯｸM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13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8:38</t>
    </r>
    <r>
      <rPr>
        <sz val="10"/>
        <color rgb="FF000000"/>
        <rFont val="WenQuanYi Zen Hei"/>
        <family val="2"/>
      </rPr>
      <t xml:space="preserve">）</t>
    </r>
  </si>
  <si>
    <t xml:space="preserve">月野　優人</t>
  </si>
  <si>
    <t xml:space="preserve">磯崎　蓮凌</t>
  </si>
  <si>
    <t xml:space="preserve">光明学園相模原高</t>
  </si>
  <si>
    <t xml:space="preserve">北川　歩夢</t>
  </si>
  <si>
    <t xml:space="preserve">高知工高</t>
  </si>
  <si>
    <r>
      <rPr>
        <sz val="10"/>
        <color rgb="FF000000"/>
        <rFont val="HGPｺﾞｼｯｸM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21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24:21</t>
    </r>
    <r>
      <rPr>
        <sz val="10"/>
        <color rgb="FF000000"/>
        <rFont val="WenQuanYi Zen Hei"/>
        <family val="2"/>
      </rPr>
      <t xml:space="preserve">）</t>
    </r>
  </si>
  <si>
    <t xml:space="preserve">黒川　歩夢</t>
  </si>
  <si>
    <t xml:space="preserve">秋田工高</t>
  </si>
  <si>
    <t xml:space="preserve">伊藤　瞭太</t>
  </si>
  <si>
    <t xml:space="preserve">田村高</t>
  </si>
  <si>
    <t xml:space="preserve">松本　優哉</t>
  </si>
  <si>
    <t xml:space="preserve">西京高</t>
  </si>
  <si>
    <r>
      <rPr>
        <sz val="10"/>
        <color rgb="FF000000"/>
        <rFont val="HGPｺﾞｼｯｸM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24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31:08</t>
    </r>
    <r>
      <rPr>
        <sz val="10"/>
        <color rgb="FF000000"/>
        <rFont val="WenQuanYi Zen Hei"/>
        <family val="2"/>
      </rPr>
      <t xml:space="preserve">）</t>
    </r>
  </si>
  <si>
    <t xml:space="preserve">酒瀬川　新</t>
  </si>
  <si>
    <t xml:space="preserve">法政二高</t>
  </si>
  <si>
    <t xml:space="preserve">吉原　貫太</t>
  </si>
  <si>
    <r>
      <rPr>
        <sz val="10"/>
        <color rgb="FF000000"/>
        <rFont val="HGPｺﾞｼｯｸM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18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25:16</t>
    </r>
    <r>
      <rPr>
        <sz val="10"/>
        <color rgb="FF000000"/>
        <rFont val="WenQuanYi Zen Hei"/>
        <family val="2"/>
      </rPr>
      <t xml:space="preserve">）</t>
    </r>
  </si>
  <si>
    <t xml:space="preserve">岩下　幾海</t>
  </si>
  <si>
    <r>
      <rPr>
        <sz val="10"/>
        <color rgb="FF000000"/>
        <rFont val="HGPｺﾞｼｯｸM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34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30:11</t>
    </r>
    <r>
      <rPr>
        <sz val="10"/>
        <color rgb="FF000000"/>
        <rFont val="WenQuanYi Zen Hei"/>
        <family val="2"/>
      </rPr>
      <t xml:space="preserve">）</t>
    </r>
  </si>
  <si>
    <t xml:space="preserve">大金　莉久</t>
  </si>
  <si>
    <t xml:space="preserve">加藤　聖大</t>
  </si>
  <si>
    <t xml:space="preserve">古沢　崇翔</t>
  </si>
  <si>
    <r>
      <rPr>
        <sz val="10"/>
        <color rgb="FF000000"/>
        <rFont val="HGPｺﾞｼｯｸM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34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8:39</t>
    </r>
    <r>
      <rPr>
        <sz val="10"/>
        <color rgb="FF000000"/>
        <rFont val="WenQuanYi Zen Hei"/>
        <family val="2"/>
      </rPr>
      <t xml:space="preserve">）</t>
    </r>
  </si>
  <si>
    <t xml:space="preserve">山田　琉碧</t>
  </si>
  <si>
    <t xml:space="preserve">八頭高</t>
  </si>
  <si>
    <r>
      <rPr>
        <sz val="10"/>
        <color rgb="FF000000"/>
        <rFont val="HGPｺﾞｼｯｸM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68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15:56</t>
    </r>
    <r>
      <rPr>
        <sz val="10"/>
        <color rgb="FF000000"/>
        <rFont val="WenQuanYi Zen Hei"/>
        <family val="2"/>
      </rPr>
      <t xml:space="preserve">）</t>
    </r>
  </si>
  <si>
    <t xml:space="preserve">田代常太郎</t>
  </si>
  <si>
    <r>
      <rPr>
        <sz val="10"/>
        <color rgb="FF000000"/>
        <rFont val="HGPｺﾞｼｯｸM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8:27</t>
    </r>
    <r>
      <rPr>
        <sz val="10"/>
        <color rgb="FF000000"/>
        <rFont val="WenQuanYi Zen Hei"/>
        <family val="2"/>
      </rPr>
      <t xml:space="preserve">）</t>
    </r>
  </si>
  <si>
    <t xml:space="preserve">服部　凉大</t>
  </si>
  <si>
    <r>
      <rPr>
        <sz val="10"/>
        <color rgb="FF000000"/>
        <rFont val="HGPｺﾞｼｯｸM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20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25:06</t>
    </r>
    <r>
      <rPr>
        <sz val="10"/>
        <color rgb="FF000000"/>
        <rFont val="WenQuanYi Zen Hei"/>
        <family val="2"/>
      </rPr>
      <t xml:space="preserve">）</t>
    </r>
  </si>
  <si>
    <t xml:space="preserve">赤松　新太</t>
  </si>
  <si>
    <t xml:space="preserve">四国学大香川西高</t>
  </si>
  <si>
    <t xml:space="preserve">柳　 　譲次郎</t>
  </si>
  <si>
    <t xml:space="preserve">湯野　健太</t>
  </si>
  <si>
    <r>
      <rPr>
        <sz val="10"/>
        <color rgb="FF000000"/>
        <rFont val="HGPｺﾞｼｯｸM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17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24:47</t>
    </r>
    <r>
      <rPr>
        <sz val="10"/>
        <color rgb="FF000000"/>
        <rFont val="WenQuanYi Zen Hei"/>
        <family val="2"/>
      </rPr>
      <t xml:space="preserve">）</t>
    </r>
  </si>
  <si>
    <t xml:space="preserve">鈴木　陸斗</t>
  </si>
  <si>
    <r>
      <rPr>
        <sz val="10"/>
        <color rgb="FF000000"/>
        <rFont val="HGPｺﾞｼｯｸM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9:16</t>
    </r>
    <r>
      <rPr>
        <sz val="10"/>
        <color rgb="FF000000"/>
        <rFont val="WenQuanYi Zen Hei"/>
        <family val="2"/>
      </rPr>
      <t xml:space="preserve">）</t>
    </r>
  </si>
  <si>
    <t xml:space="preserve">服部　涼大</t>
  </si>
  <si>
    <t xml:space="preserve">千葉　渚斗</t>
  </si>
  <si>
    <t xml:space="preserve">広島国際学院高</t>
  </si>
  <si>
    <r>
      <rPr>
        <sz val="10"/>
        <color rgb="FF000000"/>
        <rFont val="HGPｺﾞｼｯｸM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18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29:38</t>
    </r>
    <r>
      <rPr>
        <sz val="10"/>
        <color rgb="FF000000"/>
        <rFont val="WenQuanYi Zen Hei"/>
        <family val="2"/>
      </rPr>
      <t xml:space="preserve">）</t>
    </r>
  </si>
  <si>
    <t xml:space="preserve">若松　悠馬</t>
  </si>
  <si>
    <t xml:space="preserve">鹿児島城西高</t>
  </si>
  <si>
    <r>
      <rPr>
        <sz val="10"/>
        <color rgb="FF000000"/>
        <rFont val="HGPｺﾞｼｯｸM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13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14:13</t>
    </r>
    <r>
      <rPr>
        <sz val="10"/>
        <color rgb="FF000000"/>
        <rFont val="WenQuanYi Zen Hei"/>
        <family val="2"/>
      </rPr>
      <t xml:space="preserve">）</t>
    </r>
  </si>
  <si>
    <t xml:space="preserve">阿部　誠志郎</t>
  </si>
  <si>
    <t xml:space="preserve">小野寺　駿</t>
  </si>
  <si>
    <t xml:space="preserve">岩田　逢希</t>
  </si>
  <si>
    <t xml:space="preserve">安藤　和真</t>
  </si>
  <si>
    <r>
      <rPr>
        <sz val="10"/>
        <color rgb="FF000000"/>
        <rFont val="HGPｺﾞｼｯｸM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37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25:13</t>
    </r>
    <r>
      <rPr>
        <sz val="10"/>
        <color rgb="FF000000"/>
        <rFont val="WenQuanYi Zen Hei"/>
        <family val="2"/>
      </rPr>
      <t xml:space="preserve">）</t>
    </r>
  </si>
  <si>
    <t xml:space="preserve">森田　正貴</t>
  </si>
  <si>
    <t xml:space="preserve">森川　恭丞</t>
  </si>
  <si>
    <t xml:space="preserve">小豆島中央高</t>
  </si>
  <si>
    <r>
      <rPr>
        <sz val="10"/>
        <color rgb="FF000000"/>
        <rFont val="HGPｺﾞｼｯｸM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72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31:07</t>
    </r>
    <r>
      <rPr>
        <sz val="10"/>
        <color rgb="FF000000"/>
        <rFont val="WenQuanYi Zen Hei"/>
        <family val="2"/>
      </rPr>
      <t xml:space="preserve">）</t>
    </r>
  </si>
  <si>
    <t xml:space="preserve">金田　潤</t>
  </si>
  <si>
    <t xml:space="preserve">北条　航太郎</t>
  </si>
  <si>
    <r>
      <rPr>
        <sz val="10"/>
        <color rgb="FF000000"/>
        <rFont val="HGPｺﾞｼｯｸM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42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25:02</t>
    </r>
    <r>
      <rPr>
        <sz val="10"/>
        <color rgb="FF000000"/>
        <rFont val="WenQuanYi Zen Hei"/>
        <family val="2"/>
      </rPr>
      <t xml:space="preserve">）</t>
    </r>
  </si>
  <si>
    <t xml:space="preserve">上妻　和史</t>
  </si>
  <si>
    <t xml:space="preserve">良永　一馬</t>
  </si>
  <si>
    <r>
      <rPr>
        <sz val="10"/>
        <color rgb="FF000000"/>
        <rFont val="HGPｺﾞｼｯｸM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15:35</t>
    </r>
    <r>
      <rPr>
        <sz val="10"/>
        <color rgb="FF000000"/>
        <rFont val="WenQuanYi Zen Hei"/>
        <family val="2"/>
      </rPr>
      <t xml:space="preserve">）</t>
    </r>
  </si>
  <si>
    <t xml:space="preserve">岸　 　慧大</t>
  </si>
  <si>
    <t xml:space="preserve">伊藤　洸瑠</t>
  </si>
  <si>
    <t xml:space="preserve">旭丘高</t>
  </si>
  <si>
    <t xml:space="preserve">金田　煌白</t>
  </si>
  <si>
    <t xml:space="preserve">森山　心翔</t>
  </si>
  <si>
    <r>
      <rPr>
        <sz val="10"/>
        <color rgb="FF000000"/>
        <rFont val="HGPｺﾞｼｯｸM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30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31:40</t>
    </r>
    <r>
      <rPr>
        <sz val="10"/>
        <color rgb="FF000000"/>
        <rFont val="WenQuanYi Zen Hei"/>
        <family val="2"/>
      </rPr>
      <t xml:space="preserve">）</t>
    </r>
  </si>
  <si>
    <t xml:space="preserve">菊地　裕陽</t>
  </si>
  <si>
    <t xml:space="preserve">東北高</t>
  </si>
  <si>
    <t xml:space="preserve">小玉　麗巳</t>
  </si>
  <si>
    <t xml:space="preserve">宇都宮短大附高</t>
  </si>
  <si>
    <t xml:space="preserve">校名表記：宇都宮短大附高／宇短附高</t>
  </si>
  <si>
    <t xml:space="preserve">佐藤　健汰</t>
  </si>
  <si>
    <t xml:space="preserve">坂戸西高</t>
  </si>
  <si>
    <t xml:space="preserve">斎藤　煌来</t>
  </si>
  <si>
    <t xml:space="preserve">高川学園高</t>
  </si>
  <si>
    <t xml:space="preserve">吉池　琉仁</t>
  </si>
  <si>
    <t xml:space="preserve">林　 　蒼介</t>
  </si>
  <si>
    <t xml:space="preserve">黒田　琉斗</t>
  </si>
  <si>
    <t xml:space="preserve">水越　琉平</t>
  </si>
  <si>
    <t xml:space="preserve">碇元　瑛太</t>
  </si>
  <si>
    <t xml:space="preserve">中井　柊駕</t>
  </si>
  <si>
    <t xml:space="preserve">市西宮高</t>
  </si>
  <si>
    <r>
      <rPr>
        <sz val="10"/>
        <color rgb="FF000000"/>
        <rFont val="HGPｺﾞｼｯｸM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27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24:36</t>
    </r>
    <r>
      <rPr>
        <sz val="10"/>
        <color rgb="FF000000"/>
        <rFont val="WenQuanYi Zen Hei"/>
        <family val="2"/>
      </rPr>
      <t xml:space="preserve">）</t>
    </r>
  </si>
  <si>
    <t xml:space="preserve">溝辺　煌心</t>
  </si>
  <si>
    <r>
      <rPr>
        <sz val="10"/>
        <color rgb="FF000000"/>
        <rFont val="HGPｺﾞｼｯｸM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39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30:18</t>
    </r>
    <r>
      <rPr>
        <sz val="10"/>
        <color rgb="FF000000"/>
        <rFont val="WenQuanYi Zen Hei"/>
        <family val="2"/>
      </rPr>
      <t xml:space="preserve">）</t>
    </r>
  </si>
  <si>
    <t xml:space="preserve">榎本　翔馬</t>
  </si>
  <si>
    <r>
      <rPr>
        <sz val="10"/>
        <color rgb="FF000000"/>
        <rFont val="HGPｺﾞｼｯｸM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14:44</t>
    </r>
    <r>
      <rPr>
        <sz val="10"/>
        <color rgb="FF000000"/>
        <rFont val="WenQuanYi Zen Hei"/>
        <family val="2"/>
      </rPr>
      <t xml:space="preserve">）</t>
    </r>
  </si>
  <si>
    <t xml:space="preserve">上田　輝空</t>
  </si>
  <si>
    <t xml:space="preserve">川村　緒十</t>
  </si>
  <si>
    <t xml:space="preserve">盛岡大附高</t>
  </si>
  <si>
    <t xml:space="preserve">三浦　康星</t>
  </si>
  <si>
    <t xml:space="preserve">前田　竜希</t>
  </si>
  <si>
    <t xml:space="preserve">大賀　一誠</t>
  </si>
  <si>
    <t xml:space="preserve">樹徳高</t>
  </si>
  <si>
    <t xml:space="preserve">山本　航己</t>
  </si>
  <si>
    <t xml:space="preserve">薮本　尚士</t>
  </si>
  <si>
    <r>
      <rPr>
        <sz val="10"/>
        <color rgb="FF000000"/>
        <rFont val="HGPｺﾞｼｯｸM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61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25:23</t>
    </r>
    <r>
      <rPr>
        <sz val="10"/>
        <color rgb="FF000000"/>
        <rFont val="WenQuanYi Zen Hei"/>
        <family val="2"/>
      </rPr>
      <t xml:space="preserve">）</t>
    </r>
  </si>
  <si>
    <t xml:space="preserve">山崎　弘陽</t>
  </si>
  <si>
    <t xml:space="preserve">大阪高</t>
  </si>
  <si>
    <r>
      <rPr>
        <sz val="10"/>
        <color rgb="FF000000"/>
        <rFont val="HGPｺﾞｼｯｸM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48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25:11</t>
    </r>
    <r>
      <rPr>
        <sz val="10"/>
        <color rgb="FF000000"/>
        <rFont val="WenQuanYi Zen Hei"/>
        <family val="2"/>
      </rPr>
      <t xml:space="preserve">）</t>
    </r>
  </si>
  <si>
    <t xml:space="preserve">三浦　敦仁</t>
  </si>
  <si>
    <t xml:space="preserve">折尾愛真高</t>
  </si>
  <si>
    <t xml:space="preserve">渡辺　志</t>
  </si>
  <si>
    <r>
      <rPr>
        <sz val="10"/>
        <color rgb="FF000000"/>
        <rFont val="HGPｺﾞｼｯｸM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24:25</t>
    </r>
    <r>
      <rPr>
        <sz val="10"/>
        <color rgb="FF000000"/>
        <rFont val="WenQuanYi Zen Hei"/>
        <family val="2"/>
      </rPr>
      <t xml:space="preserve">）</t>
    </r>
  </si>
  <si>
    <t xml:space="preserve">筒井　陽</t>
  </si>
  <si>
    <t xml:space="preserve">山路　梨生</t>
  </si>
  <si>
    <t xml:space="preserve">樋口　隼</t>
  </si>
  <si>
    <t xml:space="preserve">花咲徳栄高</t>
  </si>
  <si>
    <t xml:space="preserve">前田　峻佑</t>
  </si>
  <si>
    <t xml:space="preserve">荏田高</t>
  </si>
  <si>
    <t xml:space="preserve">井沼　佑樹</t>
  </si>
  <si>
    <t xml:space="preserve">山本　航大</t>
  </si>
  <si>
    <t xml:space="preserve">沢口　彩星</t>
  </si>
  <si>
    <t xml:space="preserve">小柳津　翔太</t>
  </si>
  <si>
    <r>
      <rPr>
        <sz val="10"/>
        <color rgb="FF000000"/>
        <rFont val="HGPｺﾞｼｯｸM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8:28</t>
    </r>
    <r>
      <rPr>
        <sz val="10"/>
        <color rgb="FF000000"/>
        <rFont val="WenQuanYi Zen Hei"/>
        <family val="2"/>
      </rPr>
      <t xml:space="preserve">）</t>
    </r>
  </si>
  <si>
    <t xml:space="preserve">吉岡　俊樹</t>
  </si>
  <si>
    <t xml:space="preserve">藤岡　一心</t>
  </si>
  <si>
    <t xml:space="preserve">植松　遼</t>
  </si>
  <si>
    <t xml:space="preserve">北条航太朗</t>
  </si>
  <si>
    <t xml:space="preserve">吉川　櫂永</t>
  </si>
  <si>
    <t xml:space="preserve">中田　智紘</t>
  </si>
  <si>
    <t xml:space="preserve">鈴木　貫太</t>
  </si>
  <si>
    <t xml:space="preserve">専大松戸高</t>
  </si>
  <si>
    <t xml:space="preserve">吹春　瞬</t>
  </si>
  <si>
    <r>
      <rPr>
        <sz val="10"/>
        <color rgb="FF000000"/>
        <rFont val="HGPｺﾞｼｯｸM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30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25:03</t>
    </r>
    <r>
      <rPr>
        <sz val="10"/>
        <color rgb="FF000000"/>
        <rFont val="WenQuanYi Zen Hei"/>
        <family val="2"/>
      </rPr>
      <t xml:space="preserve">）</t>
    </r>
  </si>
  <si>
    <t xml:space="preserve">楯　 　冬次</t>
  </si>
  <si>
    <t xml:space="preserve">愛知学院愛知高</t>
  </si>
  <si>
    <r>
      <rPr>
        <sz val="10"/>
        <color rgb="FF000000"/>
        <rFont val="HGPｺﾞｼｯｸM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32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30:06</t>
    </r>
    <r>
      <rPr>
        <sz val="10"/>
        <color rgb="FF000000"/>
        <rFont val="WenQuanYi Zen Hei"/>
        <family val="2"/>
      </rPr>
      <t xml:space="preserve">）</t>
    </r>
  </si>
  <si>
    <t xml:space="preserve">橋　 　優輝</t>
  </si>
  <si>
    <t xml:space="preserve">森　 　遥人</t>
  </si>
  <si>
    <t xml:space="preserve">大牟田高</t>
  </si>
  <si>
    <t xml:space="preserve">喜多　勇貴</t>
  </si>
  <si>
    <t xml:space="preserve">徳島科技高</t>
  </si>
  <si>
    <r>
      <rPr>
        <sz val="10"/>
        <color rgb="FF000000"/>
        <rFont val="HGPｺﾞｼｯｸM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83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31:22</t>
    </r>
    <r>
      <rPr>
        <sz val="10"/>
        <color rgb="FF000000"/>
        <rFont val="WenQuanYi Zen Hei"/>
        <family val="2"/>
      </rPr>
      <t xml:space="preserve">）</t>
    </r>
  </si>
  <si>
    <t xml:space="preserve">松本　莉史</t>
  </si>
  <si>
    <t xml:space="preserve">金子　瑛太</t>
  </si>
  <si>
    <t xml:space="preserve">高知農高</t>
  </si>
  <si>
    <r>
      <rPr>
        <sz val="10"/>
        <color rgb="FF000000"/>
        <rFont val="HGPｺﾞｼｯｸM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31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24:43</t>
    </r>
    <r>
      <rPr>
        <sz val="10"/>
        <color rgb="FF000000"/>
        <rFont val="WenQuanYi Zen Hei"/>
        <family val="2"/>
      </rPr>
      <t xml:space="preserve">）</t>
    </r>
  </si>
  <si>
    <t xml:space="preserve">滝山　優世</t>
  </si>
  <si>
    <t xml:space="preserve">市熊本千原台高</t>
  </si>
  <si>
    <t xml:space="preserve">山副　昇太郎</t>
  </si>
  <si>
    <t xml:space="preserve">丹後緑風高</t>
  </si>
  <si>
    <r>
      <rPr>
        <sz val="10"/>
        <color rgb="FF000000"/>
        <rFont val="HGPｺﾞｼｯｸM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43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30:22</t>
    </r>
    <r>
      <rPr>
        <sz val="10"/>
        <color rgb="FF000000"/>
        <rFont val="WenQuanYi Zen Hei"/>
        <family val="2"/>
      </rPr>
      <t xml:space="preserve">）</t>
    </r>
  </si>
  <si>
    <t xml:space="preserve">河合　琢留</t>
  </si>
  <si>
    <r>
      <rPr>
        <sz val="10"/>
        <color rgb="FF000000"/>
        <rFont val="HGPｺﾞｼｯｸM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22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30:55</t>
    </r>
    <r>
      <rPr>
        <sz val="10"/>
        <color rgb="FF000000"/>
        <rFont val="WenQuanYi Zen Hei"/>
        <family val="2"/>
      </rPr>
      <t xml:space="preserve">）</t>
    </r>
  </si>
  <si>
    <t xml:space="preserve">朝倉　凌</t>
  </si>
  <si>
    <t xml:space="preserve">新潟一高</t>
  </si>
  <si>
    <t xml:space="preserve">野口　泰希</t>
  </si>
  <si>
    <t xml:space="preserve">興梠　真人</t>
  </si>
  <si>
    <t xml:space="preserve">宮崎日大高</t>
  </si>
  <si>
    <t xml:space="preserve">江口　尊琉</t>
  </si>
  <si>
    <t xml:space="preserve">小笠原慶翔</t>
  </si>
  <si>
    <t xml:space="preserve">川口市立高</t>
  </si>
  <si>
    <t xml:space="preserve">校名表記：川口市陸協／川口市立高</t>
  </si>
  <si>
    <t xml:space="preserve">成田　光輝</t>
  </si>
  <si>
    <t xml:space="preserve">鹿児島高</t>
  </si>
  <si>
    <r>
      <rPr>
        <sz val="10"/>
        <color rgb="FF000000"/>
        <rFont val="HGPｺﾞｼｯｸM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36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31:56</t>
    </r>
    <r>
      <rPr>
        <sz val="10"/>
        <color rgb="FF000000"/>
        <rFont val="WenQuanYi Zen Hei"/>
        <family val="2"/>
      </rPr>
      <t xml:space="preserve">）</t>
    </r>
  </si>
  <si>
    <t xml:space="preserve">太田　泰聖</t>
  </si>
  <si>
    <r>
      <rPr>
        <sz val="10"/>
        <color rgb="FF000000"/>
        <rFont val="HGPｺﾞｼｯｸM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63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30:53</t>
    </r>
    <r>
      <rPr>
        <sz val="10"/>
        <color rgb="FF000000"/>
        <rFont val="WenQuanYi Zen Hei"/>
        <family val="2"/>
      </rPr>
      <t xml:space="preserve">）</t>
    </r>
  </si>
  <si>
    <t xml:space="preserve">斎藤　光</t>
  </si>
  <si>
    <t xml:space="preserve">入江　僚太</t>
  </si>
  <si>
    <t xml:space="preserve">米子松蔭高</t>
  </si>
  <si>
    <t xml:space="preserve">伊田　悠馬</t>
  </si>
  <si>
    <t xml:space="preserve">穴井　優希</t>
  </si>
  <si>
    <t xml:space="preserve">造田　拓海</t>
  </si>
  <si>
    <t xml:space="preserve">辻？？　啓亜</t>
  </si>
  <si>
    <t xml:space="preserve">竹内　蒼</t>
  </si>
  <si>
    <r>
      <rPr>
        <sz val="10"/>
        <color rgb="FF000000"/>
        <rFont val="HGPｺﾞｼｯｸM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19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24:48</t>
    </r>
    <r>
      <rPr>
        <sz val="10"/>
        <color rgb="FF000000"/>
        <rFont val="WenQuanYi Zen Hei"/>
        <family val="2"/>
      </rPr>
      <t xml:space="preserve">）</t>
    </r>
  </si>
  <si>
    <t xml:space="preserve">辻　 　啓亜</t>
  </si>
  <si>
    <t xml:space="preserve">中林　純</t>
  </si>
  <si>
    <t xml:space="preserve">高田高</t>
  </si>
  <si>
    <t xml:space="preserve">木田　優吾</t>
  </si>
  <si>
    <r>
      <rPr>
        <sz val="10"/>
        <color rgb="FF000000"/>
        <rFont val="HGPｺﾞｼｯｸM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23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9:30</t>
    </r>
    <r>
      <rPr>
        <sz val="10"/>
        <color rgb="FF000000"/>
        <rFont val="WenQuanYi Zen Hei"/>
        <family val="2"/>
      </rPr>
      <t xml:space="preserve">）</t>
    </r>
  </si>
  <si>
    <t xml:space="preserve">横田　拓実</t>
  </si>
  <si>
    <r>
      <rPr>
        <sz val="10"/>
        <color rgb="FF000000"/>
        <rFont val="HGPｺﾞｼｯｸM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16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24:46</t>
    </r>
    <r>
      <rPr>
        <sz val="10"/>
        <color rgb="FF000000"/>
        <rFont val="WenQuanYi Zen Hei"/>
        <family val="2"/>
      </rPr>
      <t xml:space="preserve">）</t>
    </r>
  </si>
  <si>
    <t xml:space="preserve">福田　晃希</t>
  </si>
  <si>
    <t xml:space="preserve">新居浜商高</t>
  </si>
  <si>
    <t xml:space="preserve">河治　晴真</t>
  </si>
  <si>
    <t xml:space="preserve">宇都宮高</t>
  </si>
  <si>
    <t xml:space="preserve">花田　健大</t>
  </si>
  <si>
    <t xml:space="preserve">神辺旭高</t>
  </si>
  <si>
    <t xml:space="preserve">堀　 　楓真</t>
  </si>
  <si>
    <t xml:space="preserve">栗原　琉</t>
  </si>
  <si>
    <t xml:space="preserve">西武台千葉高</t>
  </si>
  <si>
    <t xml:space="preserve">西田　修造</t>
  </si>
  <si>
    <t xml:space="preserve">稲岡　透亜</t>
  </si>
  <si>
    <t xml:space="preserve">藤田　悠聖</t>
  </si>
  <si>
    <t xml:space="preserve">坂本　心優</t>
  </si>
  <si>
    <t xml:space="preserve">宮下　海風</t>
  </si>
  <si>
    <t xml:space="preserve">可児　悠月</t>
  </si>
  <si>
    <r>
      <rPr>
        <sz val="10"/>
        <color rgb="FF000000"/>
        <rFont val="HGPｺﾞｼｯｸM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15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14:36</t>
    </r>
    <r>
      <rPr>
        <sz val="10"/>
        <color rgb="FF000000"/>
        <rFont val="WenQuanYi Zen Hei"/>
        <family val="2"/>
      </rPr>
      <t xml:space="preserve">）</t>
    </r>
  </si>
  <si>
    <t xml:space="preserve">松本　瑛都</t>
  </si>
  <si>
    <r>
      <rPr>
        <sz val="10"/>
        <color rgb="FF000000"/>
        <rFont val="HGPｺﾞｼｯｸM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14:32</t>
    </r>
    <r>
      <rPr>
        <sz val="10"/>
        <color rgb="FF000000"/>
        <rFont val="WenQuanYi Zen Hei"/>
        <family val="2"/>
      </rPr>
      <t xml:space="preserve">）</t>
    </r>
  </si>
  <si>
    <t xml:space="preserve">藤田　晴亮</t>
  </si>
  <si>
    <t xml:space="preserve">高橋　悠樹</t>
  </si>
  <si>
    <t xml:space="preserve">世羅高</t>
  </si>
  <si>
    <t xml:space="preserve">徳谷　航生</t>
  </si>
  <si>
    <t xml:space="preserve">田村　陸斗</t>
  </si>
  <si>
    <t xml:space="preserve">保高　道豊</t>
  </si>
  <si>
    <t xml:space="preserve">大東大一高</t>
  </si>
  <si>
    <t xml:space="preserve">水本　優翔</t>
  </si>
  <si>
    <t xml:space="preserve">玉川　彩人</t>
  </si>
  <si>
    <r>
      <rPr>
        <sz val="10"/>
        <color rgb="FF000000"/>
        <rFont val="HGPｺﾞｼｯｸM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16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9:24</t>
    </r>
    <r>
      <rPr>
        <sz val="10"/>
        <color rgb="FF000000"/>
        <rFont val="WenQuanYi Zen Hei"/>
        <family val="2"/>
      </rPr>
      <t xml:space="preserve">）</t>
    </r>
  </si>
  <si>
    <t xml:space="preserve">松永　惟吹</t>
  </si>
  <si>
    <r>
      <rPr>
        <sz val="10"/>
        <color rgb="FF000000"/>
        <rFont val="HGPｺﾞｼｯｸM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11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14:54</t>
    </r>
    <r>
      <rPr>
        <sz val="10"/>
        <color rgb="FF000000"/>
        <rFont val="WenQuanYi Zen Hei"/>
        <family val="2"/>
      </rPr>
      <t xml:space="preserve">）</t>
    </r>
  </si>
  <si>
    <t xml:space="preserve">稲見　綾真</t>
  </si>
  <si>
    <t xml:space="preserve">山中　朔児</t>
  </si>
  <si>
    <t xml:space="preserve">城西大附城西高</t>
  </si>
  <si>
    <t xml:space="preserve">磯部旭希</t>
  </si>
  <si>
    <t xml:space="preserve">倉田　圭梧</t>
  </si>
  <si>
    <t xml:space="preserve">小野原　奏</t>
  </si>
  <si>
    <r>
      <rPr>
        <sz val="10"/>
        <color rgb="FF000000"/>
        <rFont val="HGPｺﾞｼｯｸM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23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25:32</t>
    </r>
    <r>
      <rPr>
        <sz val="10"/>
        <color rgb="FF000000"/>
        <rFont val="WenQuanYi Zen Hei"/>
        <family val="2"/>
      </rPr>
      <t xml:space="preserve">）</t>
    </r>
  </si>
  <si>
    <t xml:space="preserve">上山　宙大</t>
  </si>
  <si>
    <t xml:space="preserve">亀井琥太郎</t>
  </si>
  <si>
    <t xml:space="preserve">関西創価高</t>
  </si>
  <si>
    <t xml:space="preserve">竹内　琉力</t>
  </si>
  <si>
    <t xml:space="preserve">喜多嶋　悠次</t>
  </si>
  <si>
    <t xml:space="preserve">九州国大附高</t>
  </si>
  <si>
    <r>
      <rPr>
        <sz val="10"/>
        <color rgb="FF000000"/>
        <rFont val="HGPｺﾞｼｯｸM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74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31:08</t>
    </r>
    <r>
      <rPr>
        <sz val="10"/>
        <color rgb="FF000000"/>
        <rFont val="WenQuanYi Zen Hei"/>
        <family val="2"/>
      </rPr>
      <t xml:space="preserve">）</t>
    </r>
  </si>
  <si>
    <t xml:space="preserve">立花　力輝</t>
  </si>
  <si>
    <r>
      <rPr>
        <sz val="10"/>
        <color rgb="FF000000"/>
        <rFont val="HGPｺﾞｼｯｸM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9:21</t>
    </r>
    <r>
      <rPr>
        <sz val="10"/>
        <color rgb="FF000000"/>
        <rFont val="WenQuanYi Zen Hei"/>
        <family val="2"/>
      </rPr>
      <t xml:space="preserve">）</t>
    </r>
  </si>
  <si>
    <t xml:space="preserve">富田　和志</t>
  </si>
  <si>
    <t xml:space="preserve">宇和高</t>
  </si>
  <si>
    <t xml:space="preserve">山口　裕輝</t>
  </si>
  <si>
    <t xml:space="preserve">長崎日大高</t>
  </si>
  <si>
    <t xml:space="preserve">山本　結仁</t>
  </si>
  <si>
    <t xml:space="preserve">中島　篤志</t>
  </si>
  <si>
    <r>
      <rPr>
        <sz val="10"/>
        <color rgb="FF000000"/>
        <rFont val="HGPｺﾞｼｯｸM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25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25:36</t>
    </r>
    <r>
      <rPr>
        <sz val="10"/>
        <color rgb="FF000000"/>
        <rFont val="WenQuanYi Zen Hei"/>
        <family val="2"/>
      </rPr>
      <t xml:space="preserve">）</t>
    </r>
  </si>
  <si>
    <t xml:space="preserve">石塚　煌人</t>
  </si>
  <si>
    <t xml:space="preserve">東農大三高</t>
  </si>
  <si>
    <t xml:space="preserve">柳田　悠吾</t>
  </si>
  <si>
    <t xml:space="preserve">大西龍之輔</t>
  </si>
  <si>
    <t xml:space="preserve">長坂　潤</t>
  </si>
  <si>
    <t xml:space="preserve">酒巻　隼人</t>
  </si>
  <si>
    <t xml:space="preserve">阿部　雅也</t>
  </si>
  <si>
    <t xml:space="preserve">吉田　隼也</t>
  </si>
  <si>
    <t xml:space="preserve">鯖江高</t>
  </si>
  <si>
    <r>
      <rPr>
        <sz val="10"/>
        <color rgb="FF000000"/>
        <rFont val="HGPｺﾞｼｯｸM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65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25:30</t>
    </r>
    <r>
      <rPr>
        <sz val="10"/>
        <color rgb="FF000000"/>
        <rFont val="WenQuanYi Zen Hei"/>
        <family val="2"/>
      </rPr>
      <t xml:space="preserve">）</t>
    </r>
  </si>
  <si>
    <t xml:space="preserve">高柳　譲次郎</t>
  </si>
  <si>
    <t xml:space="preserve">山内　颯真</t>
  </si>
  <si>
    <t xml:space="preserve">乙訓高</t>
  </si>
  <si>
    <r>
      <rPr>
        <sz val="10"/>
        <color rgb="FF000000"/>
        <rFont val="HGPｺﾞｼｯｸM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57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30:42</t>
    </r>
    <r>
      <rPr>
        <sz val="10"/>
        <color rgb="FF000000"/>
        <rFont val="WenQuanYi Zen Hei"/>
        <family val="2"/>
      </rPr>
      <t xml:space="preserve">）</t>
    </r>
  </si>
  <si>
    <t xml:space="preserve">三嶋　奏汰</t>
  </si>
  <si>
    <t xml:space="preserve">門川高</t>
  </si>
  <si>
    <t xml:space="preserve">成田　光希</t>
  </si>
  <si>
    <t xml:space="preserve">松尾　奏杜</t>
  </si>
  <si>
    <t xml:space="preserve">斎藤　陽太</t>
  </si>
  <si>
    <t xml:space="preserve">天野　綺人</t>
  </si>
  <si>
    <t xml:space="preserve">山形中央高</t>
  </si>
  <si>
    <t xml:space="preserve">菅原　伶王</t>
  </si>
  <si>
    <t xml:space="preserve">松沢　歩</t>
  </si>
  <si>
    <t xml:space="preserve">群馬県中央中等高</t>
  </si>
  <si>
    <t xml:space="preserve">駒野　恵之</t>
  </si>
  <si>
    <t xml:space="preserve">京都外大西高</t>
  </si>
  <si>
    <r>
      <rPr>
        <sz val="10"/>
        <color rgb="FF000000"/>
        <rFont val="HGPｺﾞｼｯｸM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64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30:54</t>
    </r>
    <r>
      <rPr>
        <sz val="10"/>
        <color rgb="FF000000"/>
        <rFont val="WenQuanYi Zen Hei"/>
        <family val="2"/>
      </rPr>
      <t xml:space="preserve">）</t>
    </r>
  </si>
  <si>
    <t xml:space="preserve">泉　 　圭輔</t>
  </si>
  <si>
    <t xml:space="preserve">北原　汰一</t>
  </si>
  <si>
    <t xml:space="preserve">熊本工高</t>
  </si>
  <si>
    <t xml:space="preserve">三浦　知都</t>
  </si>
  <si>
    <r>
      <rPr>
        <sz val="10"/>
        <color rgb="FF000000"/>
        <rFont val="HGPｺﾞｼｯｸM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17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24:53</t>
    </r>
    <r>
      <rPr>
        <sz val="10"/>
        <color rgb="FF000000"/>
        <rFont val="WenQuanYi Zen Hei"/>
        <family val="2"/>
      </rPr>
      <t xml:space="preserve">）</t>
    </r>
  </si>
  <si>
    <t xml:space="preserve">本宮　修平</t>
  </si>
  <si>
    <t xml:space="preserve">船橋高</t>
  </si>
  <si>
    <t xml:space="preserve">岸田　拓真</t>
  </si>
  <si>
    <t xml:space="preserve">校名表記：智弁学園奈良カレッジ／智弁学園奈良カレッジ高</t>
  </si>
  <si>
    <t xml:space="preserve">並木　優和</t>
  </si>
  <si>
    <t xml:space="preserve">昌平高</t>
  </si>
  <si>
    <t xml:space="preserve">角田　頼武</t>
  </si>
  <si>
    <t xml:space="preserve">西武学園文理高</t>
  </si>
  <si>
    <t xml:space="preserve">坂手　真樹</t>
  </si>
  <si>
    <t xml:space="preserve">三田学園高</t>
  </si>
  <si>
    <t xml:space="preserve">エゼ　勇</t>
  </si>
  <si>
    <t xml:space="preserve">村上　慎一</t>
  </si>
  <si>
    <r>
      <rPr>
        <sz val="10"/>
        <color rgb="FF000000"/>
        <rFont val="HGPｺﾞｼｯｸM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24:09</t>
    </r>
    <r>
      <rPr>
        <sz val="10"/>
        <color rgb="FF000000"/>
        <rFont val="WenQuanYi Zen Hei"/>
        <family val="2"/>
      </rPr>
      <t xml:space="preserve">）</t>
    </r>
  </si>
  <si>
    <t xml:space="preserve">小林　丹</t>
  </si>
  <si>
    <t xml:space="preserve">川辺　孝志郎</t>
  </si>
  <si>
    <t xml:space="preserve">進藤　晴仁</t>
  </si>
  <si>
    <t xml:space="preserve">前沢　奏良</t>
  </si>
  <si>
    <t xml:space="preserve">酒田南高</t>
  </si>
  <si>
    <t xml:space="preserve">同名の別選手あり（東海大山形高）</t>
  </si>
  <si>
    <t xml:space="preserve">河村　俊志</t>
  </si>
  <si>
    <t xml:space="preserve">中安　快飛</t>
  </si>
  <si>
    <t xml:space="preserve">春日部高</t>
  </si>
  <si>
    <t xml:space="preserve">佐藤　駿成</t>
  </si>
  <si>
    <t xml:space="preserve">桂高</t>
  </si>
  <si>
    <r>
      <rPr>
        <sz val="10"/>
        <color rgb="FF000000"/>
        <rFont val="HGPｺﾞｼｯｸM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52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25:44</t>
    </r>
    <r>
      <rPr>
        <sz val="10"/>
        <color rgb="FF000000"/>
        <rFont val="WenQuanYi Zen Hei"/>
        <family val="2"/>
      </rPr>
      <t xml:space="preserve">）</t>
    </r>
  </si>
  <si>
    <t xml:space="preserve">酒井　良</t>
  </si>
  <si>
    <t xml:space="preserve">大林　凛太郎</t>
  </si>
  <si>
    <t xml:space="preserve">草津東高</t>
  </si>
  <si>
    <r>
      <rPr>
        <sz val="10"/>
        <color rgb="FF000000"/>
        <rFont val="HGPｺﾞｼｯｸM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81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31:18</t>
    </r>
    <r>
      <rPr>
        <sz val="10"/>
        <color rgb="FF000000"/>
        <rFont val="WenQuanYi Zen Hei"/>
        <family val="2"/>
      </rPr>
      <t xml:space="preserve">）</t>
    </r>
  </si>
  <si>
    <t xml:space="preserve">松下　翔</t>
  </si>
  <si>
    <t xml:space="preserve">蓑島　颯佑</t>
  </si>
  <si>
    <t xml:space="preserve">三浦学苑高</t>
  </si>
  <si>
    <t xml:space="preserve">菅野　暖</t>
  </si>
  <si>
    <t xml:space="preserve">武蔵越生高</t>
  </si>
  <si>
    <t xml:space="preserve">満原　丈晴</t>
  </si>
  <si>
    <t xml:space="preserve">下田　悠太</t>
  </si>
  <si>
    <r>
      <rPr>
        <sz val="10"/>
        <color rgb="FF000000"/>
        <rFont val="HGPｺﾞｼｯｸM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28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16:05</t>
    </r>
    <r>
      <rPr>
        <sz val="10"/>
        <color rgb="FF000000"/>
        <rFont val="WenQuanYi Zen Hei"/>
        <family val="2"/>
      </rPr>
      <t xml:space="preserve">）</t>
    </r>
  </si>
  <si>
    <t xml:space="preserve">佐藤　史規</t>
  </si>
  <si>
    <t xml:space="preserve">福山　拓己</t>
  </si>
  <si>
    <t xml:space="preserve">青木　亮太朗</t>
  </si>
  <si>
    <t xml:space="preserve">大木　優</t>
  </si>
  <si>
    <t xml:space="preserve">福岡大附若葉高</t>
  </si>
  <si>
    <t xml:space="preserve">小泉　陽樹</t>
  </si>
  <si>
    <t xml:space="preserve">横田　篤志</t>
  </si>
  <si>
    <t xml:space="preserve">吉川　優斗</t>
  </si>
  <si>
    <t xml:space="preserve">牛久高</t>
  </si>
  <si>
    <t xml:space="preserve">佐藤　真斗</t>
  </si>
  <si>
    <t xml:space="preserve">鶴崎工高</t>
  </si>
  <si>
    <t xml:space="preserve">田崎　空汰</t>
  </si>
  <si>
    <t xml:space="preserve">梶　 　悠磨</t>
  </si>
  <si>
    <t xml:space="preserve">尾上　倫太郎</t>
  </si>
  <si>
    <t xml:space="preserve">智弁学園和歌山高</t>
  </si>
  <si>
    <r>
      <rPr>
        <sz val="10"/>
        <color rgb="FF000000"/>
        <rFont val="HGPｺﾞｼｯｸM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51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25:39</t>
    </r>
    <r>
      <rPr>
        <sz val="10"/>
        <color rgb="FF000000"/>
        <rFont val="WenQuanYi Zen Hei"/>
        <family val="2"/>
      </rPr>
      <t xml:space="preserve">）</t>
    </r>
  </si>
  <si>
    <t xml:space="preserve">富田　蒼輝</t>
  </si>
  <si>
    <t xml:space="preserve">内山　翔羽</t>
  </si>
  <si>
    <t xml:space="preserve">鹿児島工高</t>
  </si>
  <si>
    <r>
      <rPr>
        <sz val="10"/>
        <color rgb="FF000000"/>
        <rFont val="HGPｺﾞｼｯｸM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17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15:50</t>
    </r>
    <r>
      <rPr>
        <sz val="10"/>
        <color rgb="FF000000"/>
        <rFont val="WenQuanYi Zen Hei"/>
        <family val="2"/>
      </rPr>
      <t xml:space="preserve">）</t>
    </r>
  </si>
  <si>
    <t xml:space="preserve">弓倉　航</t>
  </si>
  <si>
    <t xml:space="preserve">上原　響</t>
  </si>
  <si>
    <r>
      <rPr>
        <sz val="10"/>
        <color rgb="FF000000"/>
        <rFont val="HGPｺﾞｼｯｸM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35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25:11</t>
    </r>
    <r>
      <rPr>
        <sz val="10"/>
        <color rgb="FF000000"/>
        <rFont val="WenQuanYi Zen Hei"/>
        <family val="2"/>
      </rPr>
      <t xml:space="preserve">）</t>
    </r>
  </si>
  <si>
    <t xml:space="preserve">平本　悠翔</t>
  </si>
  <si>
    <t xml:space="preserve">奈良育英高</t>
  </si>
  <si>
    <r>
      <rPr>
        <sz val="10"/>
        <color rgb="FF000000"/>
        <rFont val="HGPｺﾞｼｯｸM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70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26:15</t>
    </r>
    <r>
      <rPr>
        <sz val="10"/>
        <color rgb="FF000000"/>
        <rFont val="WenQuanYi Zen Hei"/>
        <family val="2"/>
      </rPr>
      <t xml:space="preserve">）</t>
    </r>
  </si>
  <si>
    <t xml:space="preserve">島田　新太</t>
  </si>
  <si>
    <t xml:space="preserve">美方高</t>
  </si>
  <si>
    <r>
      <rPr>
        <sz val="10"/>
        <color rgb="FF000000"/>
        <rFont val="HGPｺﾞｼｯｸM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53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30:36</t>
    </r>
    <r>
      <rPr>
        <sz val="10"/>
        <color rgb="FF000000"/>
        <rFont val="WenQuanYi Zen Hei"/>
        <family val="2"/>
      </rPr>
      <t xml:space="preserve">）</t>
    </r>
  </si>
  <si>
    <t xml:space="preserve">工藤　翔太</t>
  </si>
  <si>
    <t xml:space="preserve">鞍元　斗波</t>
  </si>
  <si>
    <t xml:space="preserve">上条　悠太</t>
  </si>
  <si>
    <t xml:space="preserve">田中　心</t>
  </si>
  <si>
    <t xml:space="preserve">本田　勇富</t>
  </si>
  <si>
    <t xml:space="preserve">佐藤　環</t>
  </si>
  <si>
    <t xml:space="preserve">鳥取　優作</t>
  </si>
  <si>
    <t xml:space="preserve">辻　 　瑛人</t>
  </si>
  <si>
    <t xml:space="preserve">斎藤　隼</t>
  </si>
  <si>
    <t xml:space="preserve">永田　敦士</t>
  </si>
  <si>
    <r>
      <rPr>
        <sz val="10"/>
        <color rgb="FF000000"/>
        <rFont val="HGPｺﾞｼｯｸM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13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15:42</t>
    </r>
    <r>
      <rPr>
        <sz val="10"/>
        <color rgb="FF000000"/>
        <rFont val="WenQuanYi Zen Hei"/>
        <family val="2"/>
      </rPr>
      <t xml:space="preserve">）</t>
    </r>
  </si>
  <si>
    <t xml:space="preserve">米村　和真</t>
  </si>
  <si>
    <r>
      <rPr>
        <sz val="10"/>
        <color rgb="FF000000"/>
        <rFont val="HGPｺﾞｼｯｸM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25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15:06</t>
    </r>
    <r>
      <rPr>
        <sz val="10"/>
        <color rgb="FF000000"/>
        <rFont val="WenQuanYi Zen Hei"/>
        <family val="2"/>
      </rPr>
      <t xml:space="preserve">）</t>
    </r>
  </si>
  <si>
    <t xml:space="preserve">杉浦　秀亜</t>
  </si>
  <si>
    <t xml:space="preserve">豊田大谷高</t>
  </si>
  <si>
    <r>
      <rPr>
        <sz val="10"/>
        <color rgb="FF000000"/>
        <rFont val="HGPｺﾞｼｯｸM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45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30:22</t>
    </r>
    <r>
      <rPr>
        <sz val="10"/>
        <color rgb="FF000000"/>
        <rFont val="WenQuanYi Zen Hei"/>
        <family val="2"/>
      </rPr>
      <t xml:space="preserve">）</t>
    </r>
  </si>
  <si>
    <t xml:space="preserve">福長　正翔</t>
  </si>
  <si>
    <t xml:space="preserve">川畑　僚大</t>
  </si>
  <si>
    <r>
      <rPr>
        <sz val="10"/>
        <color rgb="FF000000"/>
        <rFont val="HGPｺﾞｼｯｸM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59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30:46</t>
    </r>
    <r>
      <rPr>
        <sz val="10"/>
        <color rgb="FF000000"/>
        <rFont val="WenQuanYi Zen Hei"/>
        <family val="2"/>
      </rPr>
      <t xml:space="preserve">）</t>
    </r>
  </si>
  <si>
    <t xml:space="preserve">山口　翔馬</t>
  </si>
  <si>
    <r>
      <rPr>
        <sz val="10"/>
        <color rgb="FF000000"/>
        <rFont val="HGPｺﾞｼｯｸM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31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31:41</t>
    </r>
    <r>
      <rPr>
        <sz val="10"/>
        <color rgb="FF000000"/>
        <rFont val="WenQuanYi Zen Hei"/>
        <family val="2"/>
      </rPr>
      <t xml:space="preserve">）</t>
    </r>
  </si>
  <si>
    <t xml:space="preserve">久田　祐也</t>
  </si>
  <si>
    <t xml:space="preserve">小林　一奈</t>
  </si>
  <si>
    <r>
      <rPr>
        <sz val="10"/>
        <color rgb="FF000000"/>
        <rFont val="HGPｺﾞｼｯｸM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65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30:54</t>
    </r>
    <r>
      <rPr>
        <sz val="10"/>
        <color rgb="FF000000"/>
        <rFont val="WenQuanYi Zen Hei"/>
        <family val="2"/>
      </rPr>
      <t xml:space="preserve">）</t>
    </r>
  </si>
  <si>
    <t xml:space="preserve">玉井　誠也</t>
  </si>
  <si>
    <t xml:space="preserve">長谷川　獅</t>
  </si>
  <si>
    <t xml:space="preserve">田渕　秀真</t>
  </si>
  <si>
    <t xml:space="preserve">坂本　大翼</t>
  </si>
  <si>
    <t xml:space="preserve">渋谷　玖蒼</t>
  </si>
  <si>
    <t xml:space="preserve">中村　舜大</t>
  </si>
  <si>
    <t xml:space="preserve">深井　真生</t>
  </si>
  <si>
    <t xml:space="preserve">中沢　叶翔</t>
  </si>
  <si>
    <r>
      <rPr>
        <sz val="10"/>
        <color rgb="FF000000"/>
        <rFont val="HGPｺﾞｼｯｸM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35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15:14</t>
    </r>
    <r>
      <rPr>
        <sz val="10"/>
        <color rgb="FF000000"/>
        <rFont val="WenQuanYi Zen Hei"/>
        <family val="2"/>
      </rPr>
      <t xml:space="preserve">）</t>
    </r>
  </si>
  <si>
    <t xml:space="preserve">大和田　剛基</t>
  </si>
  <si>
    <t xml:space="preserve">いわき秀英高</t>
  </si>
  <si>
    <t xml:space="preserve">浅井　遥陽</t>
  </si>
  <si>
    <r>
      <rPr>
        <sz val="10"/>
        <color rgb="FF000000"/>
        <rFont val="HGPｺﾞｼｯｸM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54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25:46</t>
    </r>
    <r>
      <rPr>
        <sz val="10"/>
        <color rgb="FF000000"/>
        <rFont val="WenQuanYi Zen Hei"/>
        <family val="2"/>
      </rPr>
      <t xml:space="preserve">）</t>
    </r>
  </si>
  <si>
    <t xml:space="preserve">高杉　和希</t>
  </si>
  <si>
    <t xml:space="preserve">田中　翔真</t>
  </si>
  <si>
    <t xml:space="preserve">矢野　半蔵</t>
  </si>
  <si>
    <t xml:space="preserve">田辺高</t>
  </si>
  <si>
    <r>
      <rPr>
        <sz val="10"/>
        <color rgb="FF000000"/>
        <rFont val="HGPｺﾞｼｯｸM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71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31:04</t>
    </r>
    <r>
      <rPr>
        <sz val="10"/>
        <color rgb="FF000000"/>
        <rFont val="WenQuanYi Zen Hei"/>
        <family val="2"/>
      </rPr>
      <t xml:space="preserve">）</t>
    </r>
  </si>
  <si>
    <t xml:space="preserve">打越　成都</t>
  </si>
  <si>
    <t xml:space="preserve">国仲　江空斗</t>
  </si>
  <si>
    <r>
      <rPr>
        <sz val="10"/>
        <color rgb="FF000000"/>
        <rFont val="HGPｺﾞｼｯｸM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23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14:45</t>
    </r>
    <r>
      <rPr>
        <sz val="10"/>
        <color rgb="FF000000"/>
        <rFont val="WenQuanYi Zen Hei"/>
        <family val="2"/>
      </rPr>
      <t xml:space="preserve">）</t>
    </r>
  </si>
  <si>
    <t xml:space="preserve">多胡　圭祐</t>
  </si>
  <si>
    <r>
      <rPr>
        <sz val="10"/>
        <color rgb="FF000000"/>
        <rFont val="HGPｺﾞｼｯｸM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63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25:24</t>
    </r>
    <r>
      <rPr>
        <sz val="10"/>
        <color rgb="FF000000"/>
        <rFont val="WenQuanYi Zen Hei"/>
        <family val="2"/>
      </rPr>
      <t xml:space="preserve">）</t>
    </r>
  </si>
  <si>
    <t xml:space="preserve">武田　巴瑠</t>
  </si>
  <si>
    <t xml:space="preserve">田中　駿成</t>
  </si>
  <si>
    <t xml:space="preserve">津々木　俊翔</t>
  </si>
  <si>
    <r>
      <rPr>
        <sz val="10"/>
        <color rgb="FF000000"/>
        <rFont val="HGPｺﾞｼｯｸM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24:24</t>
    </r>
    <r>
      <rPr>
        <sz val="10"/>
        <color rgb="FF000000"/>
        <rFont val="WenQuanYi Zen Hei"/>
        <family val="2"/>
      </rPr>
      <t xml:space="preserve">）</t>
    </r>
  </si>
  <si>
    <t xml:space="preserve">川南　星流</t>
  </si>
  <si>
    <t xml:space="preserve">滋賀学園高</t>
  </si>
  <si>
    <r>
      <rPr>
        <sz val="10"/>
        <color rgb="FF000000"/>
        <rFont val="HGPｺﾞｼｯｸM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18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14:40</t>
    </r>
    <r>
      <rPr>
        <sz val="10"/>
        <color rgb="FF000000"/>
        <rFont val="WenQuanYi Zen Hei"/>
        <family val="2"/>
      </rPr>
      <t xml:space="preserve">）</t>
    </r>
  </si>
  <si>
    <t xml:space="preserve">田嶋礼貴歩</t>
  </si>
  <si>
    <t xml:space="preserve">武藤　蒼</t>
  </si>
  <si>
    <t xml:space="preserve">浜松開誠館高</t>
  </si>
  <si>
    <t xml:space="preserve">秋広　逞久真</t>
  </si>
  <si>
    <t xml:space="preserve">樟南高</t>
  </si>
  <si>
    <t xml:space="preserve">近江　雄将</t>
  </si>
  <si>
    <t xml:space="preserve">相沢　嶺馬</t>
  </si>
  <si>
    <t xml:space="preserve">作新学院高</t>
  </si>
  <si>
    <t xml:space="preserve">高橋　俊輔</t>
  </si>
  <si>
    <t xml:space="preserve">谷口　侑</t>
  </si>
  <si>
    <t xml:space="preserve">大阪桐蔭高</t>
  </si>
  <si>
    <r>
      <rPr>
        <sz val="10"/>
        <color rgb="FF000000"/>
        <rFont val="HGPｺﾞｼｯｸM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8:15</t>
    </r>
    <r>
      <rPr>
        <sz val="10"/>
        <color rgb="FF000000"/>
        <rFont val="WenQuanYi Zen Hei"/>
        <family val="2"/>
      </rPr>
      <t xml:space="preserve">）</t>
    </r>
  </si>
  <si>
    <t xml:space="preserve">小宮　好陽</t>
  </si>
  <si>
    <t xml:space="preserve">柳沢　佑斗</t>
  </si>
  <si>
    <t xml:space="preserve">加藤　陸人</t>
  </si>
  <si>
    <t xml:space="preserve">後藤　漣</t>
  </si>
  <si>
    <t xml:space="preserve">喜多　勇希</t>
  </si>
  <si>
    <t xml:space="preserve">吉田　怜央</t>
  </si>
  <si>
    <t xml:space="preserve">姉川　雷雅</t>
  </si>
  <si>
    <t xml:space="preserve">純真高</t>
  </si>
  <si>
    <t xml:space="preserve">増田　敬大</t>
  </si>
  <si>
    <t xml:space="preserve">文徳高</t>
  </si>
  <si>
    <t xml:space="preserve">松本　快風</t>
  </si>
  <si>
    <t xml:space="preserve">前橋育英高</t>
  </si>
  <si>
    <t xml:space="preserve">武藤　風太</t>
  </si>
  <si>
    <r>
      <rPr>
        <sz val="10"/>
        <color rgb="FF000000"/>
        <rFont val="HGPｺﾞｼｯｸM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56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25:50</t>
    </r>
    <r>
      <rPr>
        <sz val="10"/>
        <color rgb="FF000000"/>
        <rFont val="WenQuanYi Zen Hei"/>
        <family val="2"/>
      </rPr>
      <t xml:space="preserve">）</t>
    </r>
  </si>
  <si>
    <t xml:space="preserve">福家　佑樹</t>
  </si>
  <si>
    <r>
      <rPr>
        <sz val="10"/>
        <color rgb="FF000000"/>
        <rFont val="HGPｺﾞｼｯｸM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30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14:53</t>
    </r>
    <r>
      <rPr>
        <sz val="10"/>
        <color rgb="FF000000"/>
        <rFont val="WenQuanYi Zen Hei"/>
        <family val="2"/>
      </rPr>
      <t xml:space="preserve">）</t>
    </r>
  </si>
  <si>
    <t xml:space="preserve">松下　謙心</t>
  </si>
  <si>
    <t xml:space="preserve">江川　颯大</t>
  </si>
  <si>
    <t xml:space="preserve">岸本　羽琉</t>
  </si>
  <si>
    <r>
      <rPr>
        <sz val="10"/>
        <color rgb="FF000000"/>
        <rFont val="HGPｺﾞｼｯｸM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16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14:23</t>
    </r>
    <r>
      <rPr>
        <sz val="10"/>
        <color rgb="FF000000"/>
        <rFont val="WenQuanYi Zen Hei"/>
        <family val="2"/>
      </rPr>
      <t xml:space="preserve">）</t>
    </r>
  </si>
  <si>
    <t xml:space="preserve">岸野　ハルト</t>
  </si>
  <si>
    <t xml:space="preserve">宮内　健輔</t>
  </si>
  <si>
    <t xml:space="preserve">三好市陸協</t>
  </si>
  <si>
    <t xml:space="preserve">山本　穂高</t>
  </si>
  <si>
    <t xml:space="preserve">東　 　朝日</t>
  </si>
  <si>
    <t xml:space="preserve">林田　雅斗</t>
  </si>
  <si>
    <r>
      <rPr>
        <sz val="10"/>
        <color rgb="FF000000"/>
        <rFont val="HGPｺﾞｼｯｸM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19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15:51</t>
    </r>
    <r>
      <rPr>
        <sz val="10"/>
        <color rgb="FF000000"/>
        <rFont val="WenQuanYi Zen Hei"/>
        <family val="2"/>
      </rPr>
      <t xml:space="preserve">）</t>
    </r>
  </si>
  <si>
    <t xml:space="preserve">川下　日翔</t>
  </si>
  <si>
    <t xml:space="preserve">鹿児島実高</t>
  </si>
  <si>
    <r>
      <rPr>
        <sz val="10"/>
        <color rgb="FF000000"/>
        <rFont val="HGPｺﾞｼｯｸM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15:28</t>
    </r>
    <r>
      <rPr>
        <sz val="10"/>
        <color rgb="FF000000"/>
        <rFont val="WenQuanYi Zen Hei"/>
        <family val="2"/>
      </rPr>
      <t xml:space="preserve">）</t>
    </r>
  </si>
  <si>
    <t xml:space="preserve">宮崎　寛大</t>
  </si>
  <si>
    <t xml:space="preserve">山本　夏輝</t>
  </si>
  <si>
    <t xml:space="preserve">田辺工高</t>
  </si>
  <si>
    <t xml:space="preserve">校名表記：田辺工高／田辺工業高校</t>
  </si>
  <si>
    <t xml:space="preserve">服部　恵吾</t>
  </si>
  <si>
    <t xml:space="preserve">竹下　正竜</t>
  </si>
  <si>
    <t xml:space="preserve">坂口　大斗</t>
  </si>
  <si>
    <t xml:space="preserve">藤枝明誠高</t>
  </si>
  <si>
    <r>
      <rPr>
        <sz val="10"/>
        <color rgb="FF000000"/>
        <rFont val="HGPｺﾞｼｯｸM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46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25:36</t>
    </r>
    <r>
      <rPr>
        <sz val="10"/>
        <color rgb="FF000000"/>
        <rFont val="WenQuanYi Zen Hei"/>
        <family val="2"/>
      </rPr>
      <t xml:space="preserve">）</t>
    </r>
  </si>
  <si>
    <t xml:space="preserve">渡辺　裕珂</t>
  </si>
  <si>
    <r>
      <rPr>
        <sz val="10"/>
        <color rgb="FF000000"/>
        <rFont val="HGPｺﾞｼｯｸM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28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14:52</t>
    </r>
    <r>
      <rPr>
        <sz val="10"/>
        <color rgb="FF000000"/>
        <rFont val="WenQuanYi Zen Hei"/>
        <family val="2"/>
      </rPr>
      <t xml:space="preserve">）</t>
    </r>
  </si>
  <si>
    <t xml:space="preserve">原田　悠慎</t>
  </si>
  <si>
    <t xml:space="preserve">大垣日大高</t>
  </si>
  <si>
    <r>
      <rPr>
        <sz val="10"/>
        <color rgb="FF000000"/>
        <rFont val="HGPｺﾞｼｯｸM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54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15:26</t>
    </r>
    <r>
      <rPr>
        <sz val="10"/>
        <color rgb="FF000000"/>
        <rFont val="WenQuanYi Zen Hei"/>
        <family val="2"/>
      </rPr>
      <t xml:space="preserve">）</t>
    </r>
  </si>
  <si>
    <t xml:space="preserve">清家　大和</t>
  </si>
  <si>
    <t xml:space="preserve">南　 　遼貴</t>
  </si>
  <si>
    <r>
      <rPr>
        <sz val="10"/>
        <color rgb="FF000000"/>
        <rFont val="HGPｺﾞｼｯｸM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36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26:04</t>
    </r>
    <r>
      <rPr>
        <sz val="10"/>
        <color rgb="FF000000"/>
        <rFont val="WenQuanYi Zen Hei"/>
        <family val="2"/>
      </rPr>
      <t xml:space="preserve">）</t>
    </r>
  </si>
  <si>
    <t xml:space="preserve">笹尾　颯良</t>
  </si>
  <si>
    <t xml:space="preserve">岩瀬　光城</t>
  </si>
  <si>
    <t xml:space="preserve">田名部高</t>
  </si>
  <si>
    <t xml:space="preserve">江刺家琉己</t>
  </si>
  <si>
    <t xml:space="preserve">白川　智也</t>
  </si>
  <si>
    <r>
      <rPr>
        <sz val="10"/>
        <color rgb="FF000000"/>
        <rFont val="HGPｺﾞｼｯｸM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79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9:13</t>
    </r>
    <r>
      <rPr>
        <sz val="10"/>
        <color rgb="FF000000"/>
        <rFont val="WenQuanYi Zen Hei"/>
        <family val="2"/>
      </rPr>
      <t xml:space="preserve">）</t>
    </r>
  </si>
  <si>
    <t xml:space="preserve">奥村　斗愛</t>
  </si>
  <si>
    <r>
      <rPr>
        <sz val="10"/>
        <color rgb="FF000000"/>
        <rFont val="HGPｺﾞｼｯｸM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36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15:17</t>
    </r>
    <r>
      <rPr>
        <sz val="10"/>
        <color rgb="FF000000"/>
        <rFont val="WenQuanYi Zen Hei"/>
        <family val="2"/>
      </rPr>
      <t xml:space="preserve">）</t>
    </r>
  </si>
  <si>
    <t xml:space="preserve">内藤　健太郎</t>
  </si>
  <si>
    <t xml:space="preserve">朝戸　尊人</t>
  </si>
  <si>
    <t xml:space="preserve">出水中央高</t>
  </si>
  <si>
    <t xml:space="preserve">山下　智也</t>
  </si>
  <si>
    <t xml:space="preserve">平本　大河</t>
  </si>
  <si>
    <t xml:space="preserve">藤坂　龍仁</t>
  </si>
  <si>
    <r>
      <rPr>
        <sz val="10"/>
        <color rgb="FF000000"/>
        <rFont val="HGPｺﾞｼｯｸM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28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25:01</t>
    </r>
    <r>
      <rPr>
        <sz val="10"/>
        <color rgb="FF000000"/>
        <rFont val="WenQuanYi Zen Hei"/>
        <family val="2"/>
      </rPr>
      <t xml:space="preserve">）</t>
    </r>
  </si>
  <si>
    <t xml:space="preserve">米満　楓馬</t>
  </si>
  <si>
    <r>
      <rPr>
        <sz val="10"/>
        <color rgb="FF000000"/>
        <rFont val="HGPｺﾞｼｯｸM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14:04</t>
    </r>
    <r>
      <rPr>
        <sz val="10"/>
        <color rgb="FF000000"/>
        <rFont val="WenQuanYi Zen Hei"/>
        <family val="2"/>
      </rPr>
      <t xml:space="preserve">）</t>
    </r>
  </si>
  <si>
    <t xml:space="preserve">水沢　駿一郎</t>
  </si>
  <si>
    <t xml:space="preserve">三浦　翔空</t>
  </si>
  <si>
    <t xml:space="preserve">七五三　充綺</t>
  </si>
  <si>
    <t xml:space="preserve">愛知黎明高</t>
  </si>
  <si>
    <r>
      <rPr>
        <sz val="10"/>
        <color rgb="FF000000"/>
        <rFont val="HGPｺﾞｼｯｸM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43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25:04</t>
    </r>
    <r>
      <rPr>
        <sz val="10"/>
        <color rgb="FF000000"/>
        <rFont val="WenQuanYi Zen Hei"/>
        <family val="2"/>
      </rPr>
      <t xml:space="preserve">）</t>
    </r>
  </si>
  <si>
    <t xml:space="preserve">前田　俊祐</t>
  </si>
  <si>
    <t xml:space="preserve">松本　蒼生</t>
  </si>
  <si>
    <t xml:space="preserve">河野　蒼人</t>
  </si>
  <si>
    <t xml:space="preserve">石川　琉斐</t>
  </si>
  <si>
    <r>
      <rPr>
        <sz val="10"/>
        <color rgb="FF000000"/>
        <rFont val="HGPｺﾞｼｯｸM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41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32:10</t>
    </r>
    <r>
      <rPr>
        <sz val="10"/>
        <color rgb="FF000000"/>
        <rFont val="WenQuanYi Zen Hei"/>
        <family val="2"/>
      </rPr>
      <t xml:space="preserve">）</t>
    </r>
  </si>
  <si>
    <t xml:space="preserve">池之端　琉月</t>
  </si>
  <si>
    <r>
      <rPr>
        <sz val="10"/>
        <color rgb="FF000000"/>
        <rFont val="HGPｺﾞｼｯｸM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29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8:36</t>
    </r>
    <r>
      <rPr>
        <sz val="10"/>
        <color rgb="FF000000"/>
        <rFont val="WenQuanYi Zen Hei"/>
        <family val="2"/>
      </rPr>
      <t xml:space="preserve">）</t>
    </r>
  </si>
  <si>
    <t xml:space="preserve">保坂　充樹</t>
  </si>
  <si>
    <r>
      <rPr>
        <sz val="10"/>
        <color rgb="FF000000"/>
        <rFont val="HGPｺﾞｼｯｸM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39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15:03</t>
    </r>
    <r>
      <rPr>
        <sz val="10"/>
        <color rgb="FF000000"/>
        <rFont val="WenQuanYi Zen Hei"/>
        <family val="2"/>
      </rPr>
      <t xml:space="preserve">）</t>
    </r>
  </si>
  <si>
    <t xml:space="preserve">柴田　優貴</t>
  </si>
  <si>
    <t xml:space="preserve">清教学園高</t>
  </si>
  <si>
    <t xml:space="preserve">米原　羽壱琉</t>
  </si>
  <si>
    <t xml:space="preserve">伊藤　翔貴</t>
  </si>
  <si>
    <t xml:space="preserve">与那嶺太地</t>
  </si>
  <si>
    <t xml:space="preserve">小林　昂起</t>
  </si>
  <si>
    <t xml:space="preserve">山本　唯翔</t>
  </si>
  <si>
    <t xml:space="preserve">松山商高</t>
  </si>
  <si>
    <r>
      <rPr>
        <sz val="10"/>
        <color rgb="FF000000"/>
        <rFont val="HGPｺﾞｼｯｸM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76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31:13</t>
    </r>
    <r>
      <rPr>
        <sz val="10"/>
        <color rgb="FF000000"/>
        <rFont val="WenQuanYi Zen Hei"/>
        <family val="2"/>
      </rPr>
      <t xml:space="preserve">）</t>
    </r>
  </si>
  <si>
    <t xml:space="preserve">永益　広大</t>
  </si>
  <si>
    <t xml:space="preserve">白石高</t>
  </si>
  <si>
    <t xml:space="preserve">鎌田　陽斗</t>
  </si>
  <si>
    <t xml:space="preserve">流通経大附柏高</t>
  </si>
  <si>
    <t xml:space="preserve">菅原　希一</t>
  </si>
  <si>
    <t xml:space="preserve">後藤　匠登</t>
  </si>
  <si>
    <t xml:space="preserve">立花　冬虎</t>
  </si>
  <si>
    <t xml:space="preserve">岡田　陸</t>
  </si>
  <si>
    <t xml:space="preserve">成田高</t>
  </si>
  <si>
    <t xml:space="preserve">増田　和旺</t>
  </si>
  <si>
    <t xml:space="preserve">坂本　結人</t>
  </si>
  <si>
    <t xml:space="preserve">河西　隼叶</t>
  </si>
  <si>
    <t xml:space="preserve">上伊那農高</t>
  </si>
  <si>
    <t xml:space="preserve">高橋　海斗</t>
  </si>
  <si>
    <t xml:space="preserve">落合　勇斗</t>
  </si>
  <si>
    <t xml:space="preserve">小山高</t>
  </si>
  <si>
    <t xml:space="preserve">山下　月渚</t>
  </si>
  <si>
    <t xml:space="preserve">平岡　悠</t>
  </si>
  <si>
    <t xml:space="preserve">村松　秀康</t>
  </si>
  <si>
    <t xml:space="preserve">大久保　武</t>
  </si>
  <si>
    <t xml:space="preserve">上甲　侑羽里</t>
  </si>
  <si>
    <t xml:space="preserve">山内　大矢</t>
  </si>
  <si>
    <t xml:space="preserve">杵築高</t>
  </si>
  <si>
    <t xml:space="preserve">丸山　遥輝</t>
  </si>
  <si>
    <t xml:space="preserve">栗本　陽向</t>
  </si>
  <si>
    <t xml:space="preserve">今西　爽介</t>
  </si>
  <si>
    <r>
      <rPr>
        <sz val="10"/>
        <color rgb="FF000000"/>
        <rFont val="HGPｺﾞｼｯｸM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28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31:22</t>
    </r>
    <r>
      <rPr>
        <sz val="10"/>
        <color rgb="FF000000"/>
        <rFont val="WenQuanYi Zen Hei"/>
        <family val="2"/>
      </rPr>
      <t xml:space="preserve">）</t>
    </r>
  </si>
  <si>
    <t xml:space="preserve">古川　零唯</t>
  </si>
  <si>
    <r>
      <rPr>
        <sz val="10"/>
        <color rgb="FF000000"/>
        <rFont val="HGPｺﾞｼｯｸM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41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30:20</t>
    </r>
    <r>
      <rPr>
        <sz val="10"/>
        <color rgb="FF000000"/>
        <rFont val="WenQuanYi Zen Hei"/>
        <family val="2"/>
      </rPr>
      <t xml:space="preserve">）</t>
    </r>
  </si>
  <si>
    <t xml:space="preserve">五所村央歩</t>
  </si>
  <si>
    <t xml:space="preserve">小松高</t>
  </si>
  <si>
    <t xml:space="preserve">斎藤　皐成</t>
  </si>
  <si>
    <t xml:space="preserve">鳴門高</t>
  </si>
  <si>
    <t xml:space="preserve">松川　睦月</t>
  </si>
  <si>
    <t xml:space="preserve">郡山高</t>
  </si>
  <si>
    <t xml:space="preserve">小野里　珀生</t>
  </si>
  <si>
    <t xml:space="preserve">田辺　颯梧</t>
  </si>
  <si>
    <t xml:space="preserve">時習館高</t>
  </si>
  <si>
    <t xml:space="preserve">臼井　礼翔</t>
  </si>
  <si>
    <t xml:space="preserve">阿久根　英駿</t>
  </si>
  <si>
    <r>
      <rPr>
        <sz val="10"/>
        <color rgb="FF000000"/>
        <rFont val="HGPｺﾞｼｯｸM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28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9:32</t>
    </r>
    <r>
      <rPr>
        <sz val="10"/>
        <color rgb="FF000000"/>
        <rFont val="WenQuanYi Zen Hei"/>
        <family val="2"/>
      </rPr>
      <t xml:space="preserve">）</t>
    </r>
  </si>
  <si>
    <t xml:space="preserve">松野　政嵩</t>
  </si>
  <si>
    <t xml:space="preserve">前橋　快</t>
  </si>
  <si>
    <t xml:space="preserve">都福生高</t>
  </si>
  <si>
    <t xml:space="preserve">吉田　唯人</t>
  </si>
  <si>
    <t xml:space="preserve">延永　大和</t>
  </si>
  <si>
    <t xml:space="preserve">橋　 　海斗</t>
  </si>
  <si>
    <t xml:space="preserve">湯浅　紘翔</t>
  </si>
  <si>
    <r>
      <rPr>
        <sz val="10"/>
        <color rgb="FF000000"/>
        <rFont val="HGPｺﾞｼｯｸM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33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30:08</t>
    </r>
    <r>
      <rPr>
        <sz val="10"/>
        <color rgb="FF000000"/>
        <rFont val="WenQuanYi Zen Hei"/>
        <family val="2"/>
      </rPr>
      <t xml:space="preserve">）</t>
    </r>
  </si>
  <si>
    <t xml:space="preserve">後閑　璃央希</t>
  </si>
  <si>
    <t xml:space="preserve">徳田　楓士</t>
  </si>
  <si>
    <r>
      <rPr>
        <sz val="10"/>
        <color rgb="FF000000"/>
        <rFont val="HGPｺﾞｼｯｸM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38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24:55</t>
    </r>
    <r>
      <rPr>
        <sz val="10"/>
        <color rgb="FF000000"/>
        <rFont val="WenQuanYi Zen Hei"/>
        <family val="2"/>
      </rPr>
      <t xml:space="preserve">）</t>
    </r>
  </si>
  <si>
    <t xml:space="preserve">小島　大空</t>
  </si>
  <si>
    <t xml:space="preserve">湯田　幸明</t>
  </si>
  <si>
    <r>
      <rPr>
        <sz val="10"/>
        <color rgb="FF000000"/>
        <rFont val="HGPｺﾞｼｯｸM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24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8:57</t>
    </r>
    <r>
      <rPr>
        <sz val="10"/>
        <color rgb="FF000000"/>
        <rFont val="WenQuanYi Zen Hei"/>
        <family val="2"/>
      </rPr>
      <t xml:space="preserve">）</t>
    </r>
  </si>
  <si>
    <t xml:space="preserve">大塚　春斗</t>
  </si>
  <si>
    <t xml:space="preserve">小坂　将人</t>
  </si>
  <si>
    <r>
      <rPr>
        <sz val="10"/>
        <color rgb="FF000000"/>
        <rFont val="HGPｺﾞｼｯｸM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26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14:49</t>
    </r>
    <r>
      <rPr>
        <sz val="10"/>
        <color rgb="FF000000"/>
        <rFont val="WenQuanYi Zen Hei"/>
        <family val="2"/>
      </rPr>
      <t xml:space="preserve">）</t>
    </r>
  </si>
  <si>
    <t xml:space="preserve">福吉　輝</t>
  </si>
  <si>
    <t xml:space="preserve">鳳凰高</t>
  </si>
  <si>
    <t xml:space="preserve">片平　佳希</t>
  </si>
  <si>
    <r>
      <rPr>
        <sz val="10"/>
        <color rgb="FF000000"/>
        <rFont val="HGPｺﾞｼｯｸM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31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25:30</t>
    </r>
    <r>
      <rPr>
        <sz val="10"/>
        <color rgb="FF000000"/>
        <rFont val="WenQuanYi Zen Hei"/>
        <family val="2"/>
      </rPr>
      <t xml:space="preserve">）</t>
    </r>
  </si>
  <si>
    <t xml:space="preserve">原　 　佑樹</t>
  </si>
  <si>
    <t xml:space="preserve">木村　裕世</t>
  </si>
  <si>
    <t xml:space="preserve">古里　理恭</t>
  </si>
  <si>
    <t xml:space="preserve">島田高</t>
  </si>
  <si>
    <t xml:space="preserve">吉村　琉翔</t>
  </si>
  <si>
    <r>
      <rPr>
        <sz val="10"/>
        <color rgb="FF000000"/>
        <rFont val="HGPｺﾞｼｯｸM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66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25:32</t>
    </r>
    <r>
      <rPr>
        <sz val="10"/>
        <color rgb="FF000000"/>
        <rFont val="WenQuanYi Zen Hei"/>
        <family val="2"/>
      </rPr>
      <t xml:space="preserve">）</t>
    </r>
  </si>
  <si>
    <t xml:space="preserve">水上　颯祐</t>
  </si>
  <si>
    <t xml:space="preserve">坂梨　天飛</t>
  </si>
  <si>
    <t xml:space="preserve">中尾　駿佑</t>
  </si>
  <si>
    <t xml:space="preserve">膳所高</t>
  </si>
  <si>
    <t xml:space="preserve">小林　亮太</t>
  </si>
  <si>
    <t xml:space="preserve">諏訪清陵高</t>
  </si>
  <si>
    <t xml:space="preserve">巽　 　陽南太</t>
  </si>
  <si>
    <t xml:space="preserve">平川　遼真</t>
  </si>
  <si>
    <t xml:space="preserve">パウデルセトリ　ウマンガ</t>
  </si>
  <si>
    <t xml:space="preserve">瓊浦高</t>
  </si>
  <si>
    <r>
      <rPr>
        <sz val="10"/>
        <color rgb="FF000000"/>
        <rFont val="HGPｺﾞｼｯｸM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28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25:27</t>
    </r>
    <r>
      <rPr>
        <sz val="10"/>
        <color rgb="FF000000"/>
        <rFont val="WenQuanYi Zen Hei"/>
        <family val="2"/>
      </rPr>
      <t xml:space="preserve">）</t>
    </r>
  </si>
  <si>
    <t xml:space="preserve">加藤　蒼礼</t>
  </si>
  <si>
    <r>
      <rPr>
        <sz val="10"/>
        <color rgb="FF000000"/>
        <rFont val="HGPｺﾞｼｯｸM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23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24:53</t>
    </r>
    <r>
      <rPr>
        <sz val="10"/>
        <color rgb="FF000000"/>
        <rFont val="WenQuanYi Zen Hei"/>
        <family val="2"/>
      </rPr>
      <t xml:space="preserve">）</t>
    </r>
  </si>
  <si>
    <t xml:space="preserve">伊藤　魁夢</t>
  </si>
  <si>
    <t xml:space="preserve">開志国際高</t>
  </si>
  <si>
    <t xml:space="preserve">渡辺　斗愛</t>
  </si>
  <si>
    <r>
      <rPr>
        <sz val="10"/>
        <color rgb="FF000000"/>
        <rFont val="HGPｺﾞｼｯｸM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44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25:25</t>
    </r>
    <r>
      <rPr>
        <sz val="10"/>
        <color rgb="FF000000"/>
        <rFont val="WenQuanYi Zen Hei"/>
        <family val="2"/>
      </rPr>
      <t xml:space="preserve">）</t>
    </r>
  </si>
  <si>
    <t xml:space="preserve">与那嶺　希</t>
  </si>
  <si>
    <t xml:space="preserve">エナジック</t>
  </si>
  <si>
    <t xml:space="preserve">早川　南人</t>
  </si>
  <si>
    <t xml:space="preserve">東海大附大阪仰星高</t>
  </si>
  <si>
    <r>
      <rPr>
        <sz val="10"/>
        <color rgb="FF000000"/>
        <rFont val="HGPｺﾞｼｯｸM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58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25:20</t>
    </r>
    <r>
      <rPr>
        <sz val="10"/>
        <color rgb="FF000000"/>
        <rFont val="WenQuanYi Zen Hei"/>
        <family val="2"/>
      </rPr>
      <t xml:space="preserve">）</t>
    </r>
  </si>
  <si>
    <t xml:space="preserve">飯田　葵斗</t>
  </si>
  <si>
    <t xml:space="preserve">首藤　恵向</t>
  </si>
  <si>
    <t xml:space="preserve">大分西高</t>
  </si>
  <si>
    <t xml:space="preserve">阿部　敏人</t>
  </si>
  <si>
    <t xml:space="preserve">佐久間バラン　丈瑠</t>
  </si>
  <si>
    <t xml:space="preserve">佐伯　空叶</t>
  </si>
  <si>
    <r>
      <rPr>
        <sz val="10"/>
        <color rgb="FF000000"/>
        <rFont val="HGPｺﾞｼｯｸM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32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8:38</t>
    </r>
    <r>
      <rPr>
        <sz val="10"/>
        <color rgb="FF000000"/>
        <rFont val="WenQuanYi Zen Hei"/>
        <family val="2"/>
      </rPr>
      <t xml:space="preserve">）</t>
    </r>
  </si>
  <si>
    <t xml:space="preserve">秋田　順哉</t>
  </si>
  <si>
    <t xml:space="preserve">岡崎北高</t>
  </si>
  <si>
    <t xml:space="preserve">校名表記：岡崎北／岡崎北高</t>
  </si>
  <si>
    <t xml:space="preserve">平田　未来</t>
  </si>
  <si>
    <t xml:space="preserve">下関中等高</t>
  </si>
  <si>
    <t xml:space="preserve">？？光寺　奏</t>
  </si>
  <si>
    <t xml:space="preserve">山口　蓮斗</t>
  </si>
  <si>
    <r>
      <rPr>
        <sz val="10"/>
        <color rgb="FF000000"/>
        <rFont val="HGPｺﾞｼｯｸM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57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25:52</t>
    </r>
    <r>
      <rPr>
        <sz val="10"/>
        <color rgb="FF000000"/>
        <rFont val="WenQuanYi Zen Hei"/>
        <family val="2"/>
      </rPr>
      <t xml:space="preserve">）</t>
    </r>
  </si>
  <si>
    <t xml:space="preserve">中山　広太郎</t>
  </si>
  <si>
    <t xml:space="preserve">八戸学院光星高</t>
  </si>
  <si>
    <t xml:space="preserve">帖佐　宏哉</t>
  </si>
  <si>
    <r>
      <rPr>
        <sz val="10"/>
        <color rgb="FF000000"/>
        <rFont val="HGPｺﾞｼｯｸM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20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8:48</t>
    </r>
    <r>
      <rPr>
        <sz val="10"/>
        <color rgb="FF000000"/>
        <rFont val="WenQuanYi Zen Hei"/>
        <family val="2"/>
      </rPr>
      <t xml:space="preserve">）</t>
    </r>
  </si>
  <si>
    <t xml:space="preserve">清光　理央</t>
  </si>
  <si>
    <t xml:space="preserve">多久和　竜空</t>
  </si>
  <si>
    <t xml:space="preserve">出雲工高</t>
  </si>
  <si>
    <r>
      <rPr>
        <sz val="10"/>
        <color rgb="FF000000"/>
        <rFont val="HGPｺﾞｼｯｸM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97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32:32</t>
    </r>
    <r>
      <rPr>
        <sz val="10"/>
        <color rgb="FF000000"/>
        <rFont val="WenQuanYi Zen Hei"/>
        <family val="2"/>
      </rPr>
      <t xml:space="preserve">）</t>
    </r>
  </si>
  <si>
    <t xml:space="preserve">小池　亮太</t>
  </si>
  <si>
    <t xml:space="preserve">小森　友翔</t>
  </si>
  <si>
    <t xml:space="preserve">中湊　来輝</t>
  </si>
  <si>
    <t xml:space="preserve">高岡向陵高</t>
  </si>
  <si>
    <t xml:space="preserve">高田　大翔</t>
  </si>
  <si>
    <t xml:space="preserve">中嶋　大善</t>
  </si>
  <si>
    <t xml:space="preserve">安部　裕多</t>
  </si>
  <si>
    <t xml:space="preserve">つるぎ高</t>
  </si>
  <si>
    <r>
      <rPr>
        <sz val="10"/>
        <color rgb="FF000000"/>
        <rFont val="HGPｺﾞｼｯｸM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66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30:56</t>
    </r>
    <r>
      <rPr>
        <sz val="10"/>
        <color rgb="FF000000"/>
        <rFont val="WenQuanYi Zen Hei"/>
        <family val="2"/>
      </rPr>
      <t xml:space="preserve">）</t>
    </r>
  </si>
  <si>
    <t xml:space="preserve">小林　昇太</t>
  </si>
  <si>
    <t xml:space="preserve">倉敷南高</t>
  </si>
  <si>
    <t xml:space="preserve">吉田　柊汰</t>
  </si>
  <si>
    <t xml:space="preserve">留萌高</t>
  </si>
  <si>
    <t xml:space="preserve">田代　倖大</t>
  </si>
  <si>
    <t xml:space="preserve">福田　圭一朗</t>
  </si>
  <si>
    <t xml:space="preserve">日大二高</t>
  </si>
  <si>
    <t xml:space="preserve">酒尾　朋希</t>
  </si>
  <si>
    <t xml:space="preserve">金沢泉丘高</t>
  </si>
  <si>
    <t xml:space="preserve">森谷　洵太</t>
  </si>
  <si>
    <t xml:space="preserve">高橋　千景</t>
  </si>
  <si>
    <t xml:space="preserve">大内　夏樹</t>
  </si>
  <si>
    <r>
      <rPr>
        <sz val="10"/>
        <color rgb="FF000000"/>
        <rFont val="HGPｺﾞｼｯｸM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35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14:57</t>
    </r>
    <r>
      <rPr>
        <sz val="10"/>
        <color rgb="FF000000"/>
        <rFont val="WenQuanYi Zen Hei"/>
        <family val="2"/>
      </rPr>
      <t xml:space="preserve">）</t>
    </r>
  </si>
  <si>
    <t xml:space="preserve">沢口　煌己</t>
  </si>
  <si>
    <t xml:space="preserve">橋本　竜樹</t>
  </si>
  <si>
    <r>
      <rPr>
        <sz val="10"/>
        <color rgb="FF000000"/>
        <rFont val="HGPｺﾞｼｯｸM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32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14:54</t>
    </r>
    <r>
      <rPr>
        <sz val="10"/>
        <color rgb="FF000000"/>
        <rFont val="WenQuanYi Zen Hei"/>
        <family val="2"/>
      </rPr>
      <t xml:space="preserve">）</t>
    </r>
  </si>
  <si>
    <t xml:space="preserve">鈴木　譲</t>
  </si>
  <si>
    <t xml:space="preserve">池上　颯</t>
  </si>
  <si>
    <t xml:space="preserve">竹内　雅功</t>
  </si>
  <si>
    <t xml:space="preserve">藤原　和樹</t>
  </si>
  <si>
    <t xml:space="preserve">就実高</t>
  </si>
  <si>
    <t xml:space="preserve">塚本　悠己</t>
  </si>
  <si>
    <r>
      <rPr>
        <sz val="10"/>
        <color rgb="FF000000"/>
        <rFont val="HGPｺﾞｼｯｸM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21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8:51</t>
    </r>
    <r>
      <rPr>
        <sz val="10"/>
        <color rgb="FF000000"/>
        <rFont val="WenQuanYi Zen Hei"/>
        <family val="2"/>
      </rPr>
      <t xml:space="preserve">）</t>
    </r>
  </si>
  <si>
    <t xml:space="preserve">市来　健</t>
  </si>
  <si>
    <t xml:space="preserve">奈良学園高</t>
  </si>
  <si>
    <t xml:space="preserve">校名表記：奈良学園高・奈良高／奈良学園高</t>
  </si>
  <si>
    <t xml:space="preserve">高山　倖瑠</t>
  </si>
  <si>
    <t xml:space="preserve">札幌創成高</t>
  </si>
  <si>
    <t xml:space="preserve">塚本　悠都</t>
  </si>
  <si>
    <t xml:space="preserve">古田　旬</t>
  </si>
  <si>
    <t xml:space="preserve">鹿児島商高</t>
  </si>
  <si>
    <r>
      <rPr>
        <sz val="10"/>
        <color rgb="FF000000"/>
        <rFont val="HGPｺﾞｼｯｸM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21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14:36</t>
    </r>
    <r>
      <rPr>
        <sz val="10"/>
        <color rgb="FF000000"/>
        <rFont val="WenQuanYi Zen Hei"/>
        <family val="2"/>
      </rPr>
      <t xml:space="preserve">）</t>
    </r>
  </si>
  <si>
    <t xml:space="preserve">鈴木　快斗</t>
  </si>
  <si>
    <t xml:space="preserve">山元　俊</t>
  </si>
  <si>
    <r>
      <rPr>
        <sz val="10"/>
        <color rgb="FF000000"/>
        <rFont val="HGPｺﾞｼｯｸM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16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24:49</t>
    </r>
    <r>
      <rPr>
        <sz val="10"/>
        <color rgb="FF000000"/>
        <rFont val="WenQuanYi Zen Hei"/>
        <family val="2"/>
      </rPr>
      <t xml:space="preserve">）</t>
    </r>
  </si>
  <si>
    <t xml:space="preserve">伊藤　壮真</t>
  </si>
  <si>
    <t xml:space="preserve">ユ　 　ソンジェ</t>
  </si>
  <si>
    <t xml:space="preserve">蓑田　滉翔</t>
  </si>
  <si>
    <t xml:space="preserve">球磨工高</t>
  </si>
  <si>
    <t xml:space="preserve">長内　悠斗</t>
  </si>
  <si>
    <t xml:space="preserve">北海道栄高</t>
  </si>
  <si>
    <t xml:space="preserve">永井　弧</t>
  </si>
  <si>
    <t xml:space="preserve">山手学院高</t>
  </si>
  <si>
    <t xml:space="preserve">小山　秀太</t>
  </si>
  <si>
    <t xml:space="preserve">玉野光南高</t>
  </si>
  <si>
    <t xml:space="preserve">山下　綾太</t>
  </si>
  <si>
    <t xml:space="preserve">幕内　遥斗</t>
  </si>
  <si>
    <t xml:space="preserve">中村　龍希</t>
  </si>
  <si>
    <t xml:space="preserve">緒方　志道</t>
  </si>
  <si>
    <t xml:space="preserve">唐内　陽太</t>
  </si>
  <si>
    <t xml:space="preserve">山本　陽心</t>
  </si>
  <si>
    <t xml:space="preserve">佐藤　瑠維</t>
  </si>
  <si>
    <t xml:space="preserve">利府高</t>
  </si>
  <si>
    <t xml:space="preserve">堀之内　悠</t>
  </si>
  <si>
    <r>
      <rPr>
        <sz val="10"/>
        <color rgb="FF000000"/>
        <rFont val="HGPｺﾞｼｯｸM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37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15:00</t>
    </r>
    <r>
      <rPr>
        <sz val="10"/>
        <color rgb="FF000000"/>
        <rFont val="WenQuanYi Zen Hei"/>
        <family val="2"/>
      </rPr>
      <t xml:space="preserve">）</t>
    </r>
  </si>
  <si>
    <t xml:space="preserve">久保田　航陽</t>
  </si>
  <si>
    <t xml:space="preserve">県伊丹高</t>
  </si>
  <si>
    <t xml:space="preserve">永井　琉惺</t>
  </si>
  <si>
    <t xml:space="preserve">富沢　奏太</t>
  </si>
  <si>
    <t xml:space="preserve">十日町高</t>
  </si>
  <si>
    <t xml:space="preserve">紅林　明希</t>
  </si>
  <si>
    <t xml:space="preserve">甲斐蒼心朗</t>
  </si>
  <si>
    <r>
      <rPr>
        <sz val="10"/>
        <color rgb="FF000000"/>
        <rFont val="HGPｺﾞｼｯｸM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38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32:04</t>
    </r>
    <r>
      <rPr>
        <sz val="10"/>
        <color rgb="FF000000"/>
        <rFont val="WenQuanYi Zen Hei"/>
        <family val="2"/>
      </rPr>
      <t xml:space="preserve">）</t>
    </r>
  </si>
  <si>
    <t xml:space="preserve">前沢　聡良</t>
  </si>
  <si>
    <t xml:space="preserve">甲斐　偉知</t>
  </si>
  <si>
    <r>
      <rPr>
        <sz val="10"/>
        <color rgb="FF000000"/>
        <rFont val="HGPｺﾞｼｯｸM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15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14:22</t>
    </r>
    <r>
      <rPr>
        <sz val="10"/>
        <color rgb="FF000000"/>
        <rFont val="WenQuanYi Zen Hei"/>
        <family val="2"/>
      </rPr>
      <t xml:space="preserve">）</t>
    </r>
  </si>
  <si>
    <t xml:space="preserve">妹尾　太希</t>
  </si>
  <si>
    <t xml:space="preserve">桜井　大翔</t>
  </si>
  <si>
    <t xml:space="preserve">柳　 　晴也</t>
  </si>
  <si>
    <t xml:space="preserve">土浦日大中等高</t>
  </si>
  <si>
    <t xml:space="preserve">御手洗　創太</t>
  </si>
  <si>
    <t xml:space="preserve">藤蔭高</t>
  </si>
  <si>
    <t xml:space="preserve">稲田　春樹</t>
  </si>
  <si>
    <t xml:space="preserve">松山東高</t>
  </si>
  <si>
    <t xml:space="preserve">大塚　亮仁</t>
  </si>
  <si>
    <t xml:space="preserve">伊藤　春弥</t>
  </si>
  <si>
    <r>
      <rPr>
        <sz val="10"/>
        <color rgb="FF000000"/>
        <rFont val="HGPｺﾞｼｯｸM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63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15:49</t>
    </r>
    <r>
      <rPr>
        <sz val="10"/>
        <color rgb="FF000000"/>
        <rFont val="WenQuanYi Zen Hei"/>
        <family val="2"/>
      </rPr>
      <t xml:space="preserve">）</t>
    </r>
  </si>
  <si>
    <t xml:space="preserve">猪原　颯空</t>
  </si>
  <si>
    <t xml:space="preserve">谷　 　弘明</t>
  </si>
  <si>
    <t xml:space="preserve">大沼　慶汰</t>
  </si>
  <si>
    <t xml:space="preserve">韮山高</t>
  </si>
  <si>
    <t xml:space="preserve">菅野　一陽</t>
  </si>
  <si>
    <t xml:space="preserve">佐野　陽大</t>
  </si>
  <si>
    <t xml:space="preserve">小野　凛人</t>
  </si>
  <si>
    <t xml:space="preserve">服部　大翔</t>
  </si>
  <si>
    <r>
      <rPr>
        <sz val="10"/>
        <color rgb="FF000000"/>
        <rFont val="HGPｺﾞｼｯｸM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30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9:33</t>
    </r>
    <r>
      <rPr>
        <sz val="10"/>
        <color rgb="FF000000"/>
        <rFont val="WenQuanYi Zen Hei"/>
        <family val="2"/>
      </rPr>
      <t xml:space="preserve">）</t>
    </r>
  </si>
  <si>
    <t xml:space="preserve">藤川　蓮丸</t>
  </si>
  <si>
    <t xml:space="preserve">湘南高</t>
  </si>
  <si>
    <t xml:space="preserve">太田　寛人</t>
  </si>
  <si>
    <t xml:space="preserve">竹内　大聖</t>
  </si>
  <si>
    <t xml:space="preserve">清藤　優成</t>
  </si>
  <si>
    <t xml:space="preserve">梅野　陽成</t>
  </si>
  <si>
    <r>
      <rPr>
        <sz val="10"/>
        <color rgb="FF000000"/>
        <rFont val="HGPｺﾞｼｯｸM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8:25</t>
    </r>
    <r>
      <rPr>
        <sz val="10"/>
        <color rgb="FF000000"/>
        <rFont val="WenQuanYi Zen Hei"/>
        <family val="2"/>
      </rPr>
      <t xml:space="preserve">）</t>
    </r>
  </si>
  <si>
    <t xml:space="preserve">黒田　創太</t>
  </si>
  <si>
    <t xml:space="preserve">校名表記：名経大高蔵／名古屋経大高蔵高</t>
  </si>
  <si>
    <t xml:space="preserve">梶　 　悠馬</t>
  </si>
  <si>
    <t xml:space="preserve">大塚　晴翔</t>
  </si>
  <si>
    <t xml:space="preserve">天草工高</t>
  </si>
  <si>
    <r>
      <rPr>
        <sz val="10"/>
        <color rgb="FF000000"/>
        <rFont val="HGPｺﾞｼｯｸM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30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25:49</t>
    </r>
    <r>
      <rPr>
        <sz val="10"/>
        <color rgb="FF000000"/>
        <rFont val="WenQuanYi Zen Hei"/>
        <family val="2"/>
      </rPr>
      <t xml:space="preserve">）</t>
    </r>
  </si>
  <si>
    <t xml:space="preserve">堀江　昊</t>
  </si>
  <si>
    <t xml:space="preserve">大阪陸協</t>
  </si>
  <si>
    <t xml:space="preserve">上田　蒼大</t>
  </si>
  <si>
    <t xml:space="preserve">遠藤　風翔</t>
  </si>
  <si>
    <t xml:space="preserve">奥田　瑛太</t>
  </si>
  <si>
    <r>
      <rPr>
        <sz val="10"/>
        <color rgb="FF000000"/>
        <rFont val="HGPｺﾞｼｯｸM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72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25:44</t>
    </r>
    <r>
      <rPr>
        <sz val="10"/>
        <color rgb="FF000000"/>
        <rFont val="WenQuanYi Zen Hei"/>
        <family val="2"/>
      </rPr>
      <t xml:space="preserve">）</t>
    </r>
  </si>
  <si>
    <t xml:space="preserve">後藤　遥希</t>
  </si>
  <si>
    <t xml:space="preserve">浦田　稜誠</t>
  </si>
  <si>
    <r>
      <rPr>
        <sz val="10"/>
        <color rgb="FF000000"/>
        <rFont val="HGPｺﾞｼｯｸM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13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8:47</t>
    </r>
    <r>
      <rPr>
        <sz val="10"/>
        <color rgb="FF000000"/>
        <rFont val="WenQuanYi Zen Hei"/>
        <family val="2"/>
      </rPr>
      <t xml:space="preserve">）</t>
    </r>
  </si>
  <si>
    <t xml:space="preserve">？？村　悠希</t>
  </si>
  <si>
    <t xml:space="preserve">長原　淳志</t>
  </si>
  <si>
    <t xml:space="preserve">徳田　湊介</t>
  </si>
  <si>
    <r>
      <rPr>
        <sz val="10"/>
        <color rgb="FF000000"/>
        <rFont val="HGPｺﾞｼｯｸM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25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9:31</t>
    </r>
    <r>
      <rPr>
        <sz val="10"/>
        <color rgb="FF000000"/>
        <rFont val="WenQuanYi Zen Hei"/>
        <family val="2"/>
      </rPr>
      <t xml:space="preserve">）</t>
    </r>
  </si>
  <si>
    <t xml:space="preserve">大木　陽輝</t>
  </si>
  <si>
    <t xml:space="preserve">佐藤　舷</t>
  </si>
  <si>
    <t xml:space="preserve">藤原　瑞希</t>
  </si>
  <si>
    <t xml:space="preserve">岩木　美雄</t>
  </si>
  <si>
    <t xml:space="preserve">新坂上　爽</t>
  </si>
  <si>
    <r>
      <rPr>
        <sz val="10"/>
        <color rgb="FF000000"/>
        <rFont val="HGPｺﾞｼｯｸM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13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24:39</t>
    </r>
    <r>
      <rPr>
        <sz val="10"/>
        <color rgb="FF000000"/>
        <rFont val="WenQuanYi Zen Hei"/>
        <family val="2"/>
      </rPr>
      <t xml:space="preserve">）</t>
    </r>
  </si>
  <si>
    <t xml:space="preserve">桑原　蓮</t>
  </si>
  <si>
    <t xml:space="preserve">東海大菅生高</t>
  </si>
  <si>
    <t xml:space="preserve">松井　蓮</t>
  </si>
  <si>
    <r>
      <rPr>
        <sz val="10"/>
        <color rgb="FF000000"/>
        <rFont val="HGPｺﾞｼｯｸM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17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14:57</t>
    </r>
    <r>
      <rPr>
        <sz val="10"/>
        <color rgb="FF000000"/>
        <rFont val="WenQuanYi Zen Hei"/>
        <family val="2"/>
      </rPr>
      <t xml:space="preserve">）</t>
    </r>
  </si>
  <si>
    <t xml:space="preserve">鈴木　隆斗</t>
  </si>
  <si>
    <t xml:space="preserve">黒木　玲雄</t>
  </si>
  <si>
    <t xml:space="preserve">渡部　航晟</t>
  </si>
  <si>
    <t xml:space="preserve">氏田　優大</t>
  </si>
  <si>
    <t xml:space="preserve">矢板東高</t>
  </si>
  <si>
    <t xml:space="preserve">飯山　吏央</t>
  </si>
  <si>
    <t xml:space="preserve">涌嶋　洋輝</t>
  </si>
  <si>
    <t xml:space="preserve">斎田　真也</t>
  </si>
  <si>
    <t xml:space="preserve">真壁　海翔</t>
  </si>
  <si>
    <t xml:space="preserve">牧田　隼知</t>
  </si>
  <si>
    <t xml:space="preserve">堀口　蓮月</t>
  </si>
  <si>
    <t xml:space="preserve">隅田　圭太</t>
  </si>
  <si>
    <t xml:space="preserve">ハサヌディン　知輝</t>
  </si>
  <si>
    <t xml:space="preserve">堀木　朝日</t>
  </si>
  <si>
    <t xml:space="preserve">水島　征士</t>
  </si>
  <si>
    <t xml:space="preserve">北原　稜大</t>
  </si>
  <si>
    <t xml:space="preserve">聖和学園高</t>
  </si>
  <si>
    <t xml:space="preserve">蔵重　椋太</t>
  </si>
  <si>
    <t xml:space="preserve">岡山商大附高</t>
  </si>
  <si>
    <r>
      <rPr>
        <sz val="10"/>
        <color rgb="FF000000"/>
        <rFont val="HGPｺﾞｼｯｸM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33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14:55</t>
    </r>
    <r>
      <rPr>
        <sz val="10"/>
        <color rgb="FF000000"/>
        <rFont val="WenQuanYi Zen Hei"/>
        <family val="2"/>
      </rPr>
      <t xml:space="preserve">）</t>
    </r>
  </si>
  <si>
    <t xml:space="preserve">野沢　岳己</t>
  </si>
  <si>
    <t xml:space="preserve">藤井　洵太</t>
  </si>
  <si>
    <r>
      <rPr>
        <sz val="10"/>
        <color rgb="FF000000"/>
        <rFont val="HGPｺﾞｼｯｸM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18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24:55</t>
    </r>
    <r>
      <rPr>
        <sz val="10"/>
        <color rgb="FF000000"/>
        <rFont val="WenQuanYi Zen Hei"/>
        <family val="2"/>
      </rPr>
      <t xml:space="preserve">）</t>
    </r>
  </si>
  <si>
    <t xml:space="preserve">森　 　雄太郎</t>
  </si>
  <si>
    <t xml:space="preserve">谷　 　康平</t>
  </si>
  <si>
    <t xml:space="preserve">新美　昴征</t>
  </si>
  <si>
    <t xml:space="preserve">岩佐　仁誠</t>
  </si>
  <si>
    <r>
      <rPr>
        <sz val="10"/>
        <color rgb="FF000000"/>
        <rFont val="HGPｺﾞｼｯｸM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54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25:17</t>
    </r>
    <r>
      <rPr>
        <sz val="10"/>
        <color rgb="FF000000"/>
        <rFont val="WenQuanYi Zen Hei"/>
        <family val="2"/>
      </rPr>
      <t xml:space="preserve">）</t>
    </r>
  </si>
  <si>
    <t xml:space="preserve">駒沢　直弥</t>
  </si>
  <si>
    <t xml:space="preserve">俣野　煌太</t>
  </si>
  <si>
    <t xml:space="preserve">高木　郁真</t>
  </si>
  <si>
    <t xml:space="preserve">武　 　蓮之介</t>
  </si>
  <si>
    <t xml:space="preserve">松陽高</t>
  </si>
  <si>
    <t xml:space="preserve">内田　純明</t>
  </si>
  <si>
    <t xml:space="preserve">角舘　歩樹</t>
  </si>
  <si>
    <t xml:space="preserve">木村　樹</t>
  </si>
  <si>
    <r>
      <rPr>
        <sz val="10"/>
        <color rgb="FF000000"/>
        <rFont val="HGPｺﾞｼｯｸM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67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8:59</t>
    </r>
    <r>
      <rPr>
        <sz val="10"/>
        <color rgb="FF000000"/>
        <rFont val="WenQuanYi Zen Hei"/>
        <family val="2"/>
      </rPr>
      <t xml:space="preserve">）</t>
    </r>
  </si>
  <si>
    <t xml:space="preserve">渡部　太晴</t>
  </si>
  <si>
    <t xml:space="preserve">山形南高</t>
  </si>
  <si>
    <t xml:space="preserve">三品　陸斗</t>
  </si>
  <si>
    <t xml:space="preserve">柴田高</t>
  </si>
  <si>
    <t xml:space="preserve">小原　大河</t>
  </si>
  <si>
    <t xml:space="preserve">横田　滉介</t>
  </si>
  <si>
    <t xml:space="preserve">泊　 　博聖</t>
  </si>
  <si>
    <r>
      <rPr>
        <sz val="10"/>
        <color rgb="FF000000"/>
        <rFont val="HGPｺﾞｼｯｸM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33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25:45</t>
    </r>
    <r>
      <rPr>
        <sz val="10"/>
        <color rgb="FF000000"/>
        <rFont val="WenQuanYi Zen Hei"/>
        <family val="2"/>
      </rPr>
      <t xml:space="preserve">）</t>
    </r>
  </si>
  <si>
    <t xml:space="preserve">高橋　優輝</t>
  </si>
  <si>
    <t xml:space="preserve">箕浦　悠人</t>
  </si>
  <si>
    <t xml:space="preserve">酒井　大空</t>
  </si>
  <si>
    <t xml:space="preserve">杉原　跳</t>
  </si>
  <si>
    <t xml:space="preserve">手島　雄大</t>
  </si>
  <si>
    <t xml:space="preserve">近藤　勝</t>
  </si>
  <si>
    <t xml:space="preserve">鳴瀬　夏輝</t>
  </si>
  <si>
    <t xml:space="preserve">青雲高</t>
  </si>
  <si>
    <t xml:space="preserve">沖野　佑太</t>
  </si>
  <si>
    <t xml:space="preserve">河村　拓真</t>
  </si>
  <si>
    <r>
      <rPr>
        <sz val="10"/>
        <color rgb="FF000000"/>
        <rFont val="HGPｺﾞｼｯｸM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26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25:37</t>
    </r>
    <r>
      <rPr>
        <sz val="10"/>
        <color rgb="FF000000"/>
        <rFont val="WenQuanYi Zen Hei"/>
        <family val="2"/>
      </rPr>
      <t xml:space="preserve">）</t>
    </r>
  </si>
  <si>
    <t xml:space="preserve">竹田　雅矢</t>
  </si>
  <si>
    <t xml:space="preserve">吉園　清広</t>
  </si>
  <si>
    <t xml:space="preserve">古子璃陽翔</t>
  </si>
  <si>
    <t xml:space="preserve">山口　由翔</t>
  </si>
  <si>
    <t xml:space="preserve">長浜　泰正</t>
  </si>
  <si>
    <t xml:space="preserve">糸満高</t>
  </si>
  <si>
    <t xml:space="preserve">吉池　光賀</t>
  </si>
  <si>
    <t xml:space="preserve">加藤学園高</t>
  </si>
  <si>
    <t xml:space="preserve">梅月健太朗</t>
  </si>
  <si>
    <t xml:space="preserve">門司学園高</t>
  </si>
  <si>
    <t xml:space="preserve">斎藤　颯馬</t>
  </si>
  <si>
    <t xml:space="preserve">大辻　剛己</t>
  </si>
  <si>
    <t xml:space="preserve">古川　羽琉</t>
  </si>
  <si>
    <t xml:space="preserve">佐伯麟太朗</t>
  </si>
  <si>
    <t xml:space="preserve">富田　秀太</t>
  </si>
  <si>
    <t xml:space="preserve">佐藤　大叶</t>
  </si>
  <si>
    <t xml:space="preserve">石原　和明</t>
  </si>
  <si>
    <t xml:space="preserve">川和高</t>
  </si>
  <si>
    <t xml:space="preserve">菊地　晴空</t>
  </si>
  <si>
    <t xml:space="preserve">仙台二高</t>
  </si>
  <si>
    <t xml:space="preserve">木村　雄太</t>
  </si>
  <si>
    <t xml:space="preserve">要田　芽</t>
  </si>
  <si>
    <r>
      <rPr>
        <sz val="10"/>
        <color rgb="FF000000"/>
        <rFont val="HGPｺﾞｼｯｸM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33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25:55</t>
    </r>
    <r>
      <rPr>
        <sz val="10"/>
        <color rgb="FF000000"/>
        <rFont val="WenQuanYi Zen Hei"/>
        <family val="2"/>
      </rPr>
      <t xml:space="preserve">）</t>
    </r>
  </si>
  <si>
    <t xml:space="preserve">川那子　叶有</t>
  </si>
  <si>
    <t xml:space="preserve">保善高</t>
  </si>
  <si>
    <t xml:space="preserve">猿渡　結斗</t>
  </si>
  <si>
    <t xml:space="preserve">本多　蒼士</t>
  </si>
  <si>
    <t xml:space="preserve">藤原　昴</t>
  </si>
  <si>
    <t xml:space="preserve">渡辺　諒太</t>
  </si>
  <si>
    <t xml:space="preserve">梶川　遼平</t>
  </si>
  <si>
    <t xml:space="preserve">川越東高</t>
  </si>
  <si>
    <t xml:space="preserve">渡辺　朝陽</t>
  </si>
  <si>
    <r>
      <rPr>
        <sz val="10"/>
        <color rgb="FF000000"/>
        <rFont val="HGPｺﾞｼｯｸM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52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15:24</t>
    </r>
    <r>
      <rPr>
        <sz val="10"/>
        <color rgb="FF000000"/>
        <rFont val="WenQuanYi Zen Hei"/>
        <family val="2"/>
      </rPr>
      <t xml:space="preserve">）</t>
    </r>
  </si>
  <si>
    <t xml:space="preserve">内山　航太</t>
  </si>
  <si>
    <t xml:space="preserve">浜松南高</t>
  </si>
  <si>
    <t xml:space="preserve">若林　祥汰</t>
  </si>
  <si>
    <t xml:space="preserve">川口高</t>
  </si>
  <si>
    <t xml:space="preserve">小谷　悠希</t>
  </si>
  <si>
    <t xml:space="preserve">松江高専</t>
  </si>
  <si>
    <t xml:space="preserve">小林　嵩志</t>
  </si>
  <si>
    <t xml:space="preserve">会津学鳳高</t>
  </si>
  <si>
    <t xml:space="preserve">野崎　友稀</t>
  </si>
  <si>
    <t xml:space="preserve">米山　幸汰</t>
  </si>
  <si>
    <t xml:space="preserve">吉野　絢信</t>
  </si>
  <si>
    <t xml:space="preserve">四日市工高</t>
  </si>
  <si>
    <r>
      <rPr>
        <sz val="10"/>
        <color rgb="FF000000"/>
        <rFont val="HGPｺﾞｼｯｸM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71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25:43</t>
    </r>
    <r>
      <rPr>
        <sz val="10"/>
        <color rgb="FF000000"/>
        <rFont val="WenQuanYi Zen Hei"/>
        <family val="2"/>
      </rPr>
      <t xml:space="preserve">）</t>
    </r>
  </si>
  <si>
    <t xml:space="preserve">福留　晴</t>
  </si>
  <si>
    <r>
      <rPr>
        <sz val="10"/>
        <color rgb="FF000000"/>
        <rFont val="HGPｺﾞｼｯｸM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48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17:20</t>
    </r>
    <r>
      <rPr>
        <sz val="10"/>
        <color rgb="FF000000"/>
        <rFont val="WenQuanYi Zen Hei"/>
        <family val="2"/>
      </rPr>
      <t xml:space="preserve">）</t>
    </r>
  </si>
  <si>
    <t xml:space="preserve">山本　陸人</t>
  </si>
  <si>
    <r>
      <rPr>
        <sz val="10"/>
        <color rgb="FF000000"/>
        <rFont val="HGPｺﾞｼｯｸM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40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15:22</t>
    </r>
    <r>
      <rPr>
        <sz val="10"/>
        <color rgb="FF000000"/>
        <rFont val="WenQuanYi Zen Hei"/>
        <family val="2"/>
      </rPr>
      <t xml:space="preserve">）</t>
    </r>
  </si>
  <si>
    <t xml:space="preserve">橘龍輝</t>
  </si>
  <si>
    <t xml:space="preserve">浜松市立高</t>
  </si>
  <si>
    <t xml:space="preserve">渡辺　翔弥</t>
  </si>
  <si>
    <t xml:space="preserve">柳　 　敬隼</t>
  </si>
  <si>
    <t xml:space="preserve">日本文理高</t>
  </si>
  <si>
    <t xml:space="preserve">滝田　竜輔</t>
  </si>
  <si>
    <t xml:space="preserve">佐藤　光平</t>
  </si>
  <si>
    <t xml:space="preserve">新潟明訓高</t>
  </si>
  <si>
    <t xml:space="preserve">田中　晴久</t>
  </si>
  <si>
    <t xml:space="preserve">山口高</t>
  </si>
  <si>
    <t xml:space="preserve">畑井　海翔</t>
  </si>
  <si>
    <t xml:space="preserve">水口東高</t>
  </si>
  <si>
    <t xml:space="preserve">阿部　陽真</t>
  </si>
  <si>
    <t xml:space="preserve">表　 　結翔</t>
  </si>
  <si>
    <t xml:space="preserve">斐太高</t>
  </si>
  <si>
    <t xml:space="preserve">安達　蒼一郎</t>
  </si>
  <si>
    <t xml:space="preserve">北野　寛大</t>
  </si>
  <si>
    <t xml:space="preserve">遊学館高</t>
  </si>
  <si>
    <t xml:space="preserve">山川　瑛輔</t>
  </si>
  <si>
    <r>
      <rPr>
        <sz val="10"/>
        <color rgb="FF000000"/>
        <rFont val="HGPｺﾞｼｯｸM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11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8:46</t>
    </r>
    <r>
      <rPr>
        <sz val="10"/>
        <color rgb="FF000000"/>
        <rFont val="WenQuanYi Zen Hei"/>
        <family val="2"/>
      </rPr>
      <t xml:space="preserve">）</t>
    </r>
  </si>
  <si>
    <t xml:space="preserve">畔柳　圭佑</t>
  </si>
  <si>
    <r>
      <rPr>
        <sz val="10"/>
        <color rgb="FF000000"/>
        <rFont val="HGPｺﾞｼｯｸM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56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8:51</t>
    </r>
    <r>
      <rPr>
        <sz val="10"/>
        <color rgb="FF000000"/>
        <rFont val="WenQuanYi Zen Hei"/>
        <family val="2"/>
      </rPr>
      <t xml:space="preserve">）</t>
    </r>
  </si>
  <si>
    <t xml:space="preserve">小林　慶信</t>
  </si>
  <si>
    <t xml:space="preserve">海星高</t>
  </si>
  <si>
    <t xml:space="preserve">小林　拓人</t>
  </si>
  <si>
    <t xml:space="preserve">内村　凌</t>
  </si>
  <si>
    <t xml:space="preserve">森　 　悠豪</t>
  </si>
  <si>
    <r>
      <rPr>
        <sz val="10"/>
        <color rgb="FF000000"/>
        <rFont val="HGPｺﾞｼｯｸM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40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32:09</t>
    </r>
    <r>
      <rPr>
        <sz val="10"/>
        <color rgb="FF000000"/>
        <rFont val="WenQuanYi Zen Hei"/>
        <family val="2"/>
      </rPr>
      <t xml:space="preserve">）</t>
    </r>
  </si>
  <si>
    <t xml:space="preserve">今田　旺輝</t>
  </si>
  <si>
    <t xml:space="preserve">広島工大高</t>
  </si>
  <si>
    <r>
      <rPr>
        <sz val="10"/>
        <color rgb="FF000000"/>
        <rFont val="HGPｺﾞｼｯｸM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85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9:16</t>
    </r>
    <r>
      <rPr>
        <sz val="10"/>
        <color rgb="FF000000"/>
        <rFont val="WenQuanYi Zen Hei"/>
        <family val="2"/>
      </rPr>
      <t xml:space="preserve">）</t>
    </r>
  </si>
  <si>
    <t xml:space="preserve">坂下　漣</t>
  </si>
  <si>
    <t xml:space="preserve">池田　琢真</t>
  </si>
  <si>
    <t xml:space="preserve">島崎　凌雅</t>
  </si>
  <si>
    <t xml:space="preserve">永田　和門</t>
  </si>
  <si>
    <t xml:space="preserve">高岸　笑輝</t>
  </si>
  <si>
    <t xml:space="preserve">篠田龍之介</t>
  </si>
  <si>
    <t xml:space="preserve">柳　 　琉生</t>
  </si>
  <si>
    <t xml:space="preserve">新潟陸協</t>
  </si>
  <si>
    <t xml:space="preserve">田中　煌晟</t>
  </si>
  <si>
    <t xml:space="preserve">深谷　春綺</t>
  </si>
  <si>
    <t xml:space="preserve">太田一高</t>
  </si>
  <si>
    <t xml:space="preserve">井野　晃希</t>
  </si>
  <si>
    <t xml:space="preserve">飯島　健椰</t>
  </si>
  <si>
    <t xml:space="preserve">御殿場西高</t>
  </si>
  <si>
    <t xml:space="preserve">筈谷　育生</t>
  </si>
  <si>
    <t xml:space="preserve">菊池　蒼海</t>
  </si>
  <si>
    <t xml:space="preserve">花巻北高</t>
  </si>
  <si>
    <t xml:space="preserve">泉　 　幸太郎</t>
  </si>
  <si>
    <r>
      <rPr>
        <sz val="10"/>
        <color rgb="FF000000"/>
        <rFont val="HGPｺﾞｼｯｸM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43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9:43</t>
    </r>
    <r>
      <rPr>
        <sz val="10"/>
        <color rgb="FF000000"/>
        <rFont val="WenQuanYi Zen Hei"/>
        <family val="2"/>
      </rPr>
      <t xml:space="preserve">）</t>
    </r>
  </si>
  <si>
    <t xml:space="preserve">脇川　大輝</t>
  </si>
  <si>
    <t xml:space="preserve">阿見ＡＣ</t>
  </si>
  <si>
    <t xml:space="preserve">武者　篤樹</t>
  </si>
  <si>
    <t xml:space="preserve">新発田南高</t>
  </si>
  <si>
    <t xml:space="preserve">山口　伯流</t>
  </si>
  <si>
    <t xml:space="preserve">拓大紅陵高</t>
  </si>
  <si>
    <t xml:space="preserve">川崎　莉空</t>
  </si>
  <si>
    <t xml:space="preserve">国分　駈</t>
  </si>
  <si>
    <t xml:space="preserve">山川　幹大</t>
  </si>
  <si>
    <t xml:space="preserve">慶応志木高</t>
  </si>
  <si>
    <t xml:space="preserve">松本　辿翔</t>
  </si>
  <si>
    <t xml:space="preserve">長谷沼　伶皇</t>
  </si>
  <si>
    <t xml:space="preserve">会津若松ザベリオ学園高</t>
  </si>
  <si>
    <t xml:space="preserve">西中川　和馬</t>
  </si>
  <si>
    <r>
      <rPr>
        <sz val="10"/>
        <color rgb="FF000000"/>
        <rFont val="HGPｺﾞｼｯｸM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24:49</t>
    </r>
    <r>
      <rPr>
        <sz val="10"/>
        <color rgb="FF000000"/>
        <rFont val="WenQuanYi Zen Hei"/>
        <family val="2"/>
      </rPr>
      <t xml:space="preserve">）</t>
    </r>
  </si>
  <si>
    <t xml:space="preserve">三上　大蔵</t>
  </si>
  <si>
    <t xml:space="preserve">奥園　一颯</t>
  </si>
  <si>
    <t xml:space="preserve">鈴木　李空</t>
  </si>
  <si>
    <t xml:space="preserve">森口　能有</t>
  </si>
  <si>
    <r>
      <rPr>
        <sz val="10"/>
        <color rgb="FF000000"/>
        <rFont val="HGPｺﾞｼｯｸM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46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9:45</t>
    </r>
    <r>
      <rPr>
        <sz val="10"/>
        <color rgb="FF000000"/>
        <rFont val="WenQuanYi Zen Hei"/>
        <family val="2"/>
      </rPr>
      <t xml:space="preserve">）</t>
    </r>
  </si>
  <si>
    <t xml:space="preserve">高田　有希也</t>
  </si>
  <si>
    <t xml:space="preserve">山本　歩</t>
  </si>
  <si>
    <t xml:space="preserve">神港学園高</t>
  </si>
  <si>
    <r>
      <rPr>
        <sz val="10"/>
        <color rgb="FF000000"/>
        <rFont val="HGPｺﾞｼｯｸM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41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15:12</t>
    </r>
    <r>
      <rPr>
        <sz val="10"/>
        <color rgb="FF000000"/>
        <rFont val="WenQuanYi Zen Hei"/>
        <family val="2"/>
      </rPr>
      <t xml:space="preserve">）</t>
    </r>
  </si>
  <si>
    <t xml:space="preserve">イレチュク　エゼブライアン</t>
  </si>
  <si>
    <t xml:space="preserve">豊岡高</t>
  </si>
  <si>
    <t xml:space="preserve">山本　竣介</t>
  </si>
  <si>
    <t xml:space="preserve">松本　翔聖</t>
  </si>
  <si>
    <t xml:space="preserve">山本　蓮</t>
  </si>
  <si>
    <t xml:space="preserve">小野高</t>
  </si>
  <si>
    <t xml:space="preserve">畠山　瑠仁</t>
  </si>
  <si>
    <t xml:space="preserve">高知商高</t>
  </si>
  <si>
    <t xml:space="preserve">伊藤　謙伸</t>
  </si>
  <si>
    <t xml:space="preserve">平田高</t>
  </si>
  <si>
    <t xml:space="preserve">杉林　雅斗</t>
  </si>
  <si>
    <t xml:space="preserve">渡辺　永遠</t>
  </si>
  <si>
    <t xml:space="preserve">森永　和杜</t>
  </si>
  <si>
    <t xml:space="preserve">川内高</t>
  </si>
  <si>
    <t xml:space="preserve">南川　雄界</t>
  </si>
  <si>
    <t xml:space="preserve">太田　健翔</t>
  </si>
  <si>
    <t xml:space="preserve">小田原高</t>
  </si>
  <si>
    <t xml:space="preserve">長谷川　晧平</t>
  </si>
  <si>
    <t xml:space="preserve">桐蔭学園高</t>
  </si>
  <si>
    <t xml:space="preserve">相馬　瑞樹</t>
  </si>
  <si>
    <t xml:space="preserve">中越高</t>
  </si>
  <si>
    <t xml:space="preserve">広町　優信</t>
  </si>
  <si>
    <t xml:space="preserve">若嶋　梨公</t>
  </si>
  <si>
    <t xml:space="preserve">福崎　子竜</t>
  </si>
  <si>
    <r>
      <rPr>
        <sz val="10"/>
        <color rgb="FF000000"/>
        <rFont val="HGPｺﾞｼｯｸM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21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8:57</t>
    </r>
    <r>
      <rPr>
        <sz val="10"/>
        <color rgb="FF000000"/>
        <rFont val="WenQuanYi Zen Hei"/>
        <family val="2"/>
      </rPr>
      <t xml:space="preserve">）</t>
    </r>
  </si>
  <si>
    <t xml:space="preserve">保　 　道豊</t>
  </si>
  <si>
    <t xml:space="preserve">大東第一高</t>
  </si>
  <si>
    <t xml:space="preserve">竹内　琉カ</t>
  </si>
  <si>
    <t xml:space="preserve">米山　煌星</t>
  </si>
  <si>
    <t xml:space="preserve">井上　彩人</t>
  </si>
  <si>
    <t xml:space="preserve">鈴木　涼太</t>
  </si>
  <si>
    <t xml:space="preserve">ＡＵ，　Ｈｏ　Ｃｈｕｎ</t>
  </si>
  <si>
    <t xml:space="preserve">-</t>
  </si>
  <si>
    <t xml:space="preserve">山崎　倫太郎</t>
  </si>
  <si>
    <t xml:space="preserve">指宿商高</t>
  </si>
  <si>
    <t xml:space="preserve">橋本　力輝</t>
  </si>
  <si>
    <t xml:space="preserve">橋本　悠真</t>
  </si>
  <si>
    <t xml:space="preserve">もとみや市駅伝高</t>
  </si>
  <si>
    <t xml:space="preserve">同名の別選手あり（安積高）</t>
  </si>
  <si>
    <t xml:space="preserve">重藤　浩太</t>
  </si>
  <si>
    <r>
      <rPr>
        <sz val="10"/>
        <color rgb="FF000000"/>
        <rFont val="HGPｺﾞｼｯｸM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17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8:50</t>
    </r>
    <r>
      <rPr>
        <sz val="10"/>
        <color rgb="FF000000"/>
        <rFont val="WenQuanYi Zen Hei"/>
        <family val="2"/>
      </rPr>
      <t xml:space="preserve">）</t>
    </r>
  </si>
  <si>
    <t xml:space="preserve">田丸　剣人</t>
  </si>
  <si>
    <t xml:space="preserve">中島　宝良</t>
  </si>
  <si>
    <t xml:space="preserve">北島　煕将</t>
  </si>
  <si>
    <t xml:space="preserve">北野高</t>
  </si>
  <si>
    <t xml:space="preserve">横尾　俊介</t>
  </si>
  <si>
    <r>
      <rPr>
        <sz val="10"/>
        <color rgb="FF000000"/>
        <rFont val="HGPｺﾞｼｯｸM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32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14:45</t>
    </r>
    <r>
      <rPr>
        <sz val="10"/>
        <color rgb="FF000000"/>
        <rFont val="WenQuanYi Zen Hei"/>
        <family val="2"/>
      </rPr>
      <t xml:space="preserve">）</t>
    </r>
  </si>
  <si>
    <t xml:space="preserve">砂浪　悠人</t>
  </si>
  <si>
    <t xml:space="preserve">近大附福岡高</t>
  </si>
  <si>
    <t xml:space="preserve">浜松　栄汰</t>
  </si>
  <si>
    <t xml:space="preserve">呉高</t>
  </si>
  <si>
    <t xml:space="preserve">校名表記：呉高専／呉高</t>
  </si>
  <si>
    <t xml:space="preserve">西尾　翔基</t>
  </si>
  <si>
    <t xml:space="preserve">田渕　琥杜嗣</t>
  </si>
  <si>
    <t xml:space="preserve">逗子開成高</t>
  </si>
  <si>
    <t xml:space="preserve">藤井　颯真</t>
  </si>
  <si>
    <t xml:space="preserve">井上　陽人</t>
  </si>
  <si>
    <t xml:space="preserve">曽我部　彪太</t>
  </si>
  <si>
    <t xml:space="preserve">新居浜西高</t>
  </si>
  <si>
    <t xml:space="preserve">小坂　拓生</t>
  </si>
  <si>
    <t xml:space="preserve">北川　仁貴</t>
  </si>
  <si>
    <t xml:space="preserve">平　 　龍将</t>
  </si>
  <si>
    <t xml:space="preserve">西岡　壱航</t>
  </si>
  <si>
    <t xml:space="preserve">富岡東高</t>
  </si>
  <si>
    <t xml:space="preserve">森　 　悠晴</t>
  </si>
  <si>
    <t xml:space="preserve">鈴木　秀宙</t>
  </si>
  <si>
    <r>
      <rPr>
        <sz val="10"/>
        <color rgb="FF000000"/>
        <rFont val="HGPｺﾞｼｯｸM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42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9:41</t>
    </r>
    <r>
      <rPr>
        <sz val="10"/>
        <color rgb="FF000000"/>
        <rFont val="WenQuanYi Zen Hei"/>
        <family val="2"/>
      </rPr>
      <t xml:space="preserve">）</t>
    </r>
  </si>
  <si>
    <t xml:space="preserve">山口　穣次</t>
  </si>
  <si>
    <t xml:space="preserve">井上　漣</t>
  </si>
  <si>
    <t xml:space="preserve">渡辺　真之亮</t>
  </si>
  <si>
    <t xml:space="preserve">鈴木　稜空</t>
  </si>
  <si>
    <r>
      <rPr>
        <sz val="10"/>
        <color rgb="FF000000"/>
        <rFont val="HGPｺﾞｼｯｸM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54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15:38</t>
    </r>
    <r>
      <rPr>
        <sz val="10"/>
        <color rgb="FF000000"/>
        <rFont val="WenQuanYi Zen Hei"/>
        <family val="2"/>
      </rPr>
      <t xml:space="preserve">）</t>
    </r>
  </si>
  <si>
    <t xml:space="preserve">小野　芽久斗</t>
  </si>
  <si>
    <t xml:space="preserve">英明高</t>
  </si>
  <si>
    <t xml:space="preserve">桑原　琉之介</t>
  </si>
  <si>
    <t xml:space="preserve">桐生工高</t>
  </si>
  <si>
    <t xml:space="preserve">宮崎　愛大</t>
  </si>
  <si>
    <t xml:space="preserve">今野　怜</t>
  </si>
  <si>
    <t xml:space="preserve">小森谷　奏太</t>
  </si>
  <si>
    <t xml:space="preserve">永瀬　楓真</t>
  </si>
  <si>
    <t xml:space="preserve">中村　栄斗</t>
  </si>
  <si>
    <t xml:space="preserve">浜松西高</t>
  </si>
  <si>
    <t xml:space="preserve">折田　一篤</t>
  </si>
  <si>
    <t xml:space="preserve">石川　颯人</t>
  </si>
  <si>
    <t xml:space="preserve">大西　詩音</t>
  </si>
  <si>
    <t xml:space="preserve">上津原　啓介</t>
  </si>
  <si>
    <t xml:space="preserve">新井　煌世</t>
  </si>
  <si>
    <t xml:space="preserve">村松　丈慈</t>
  </si>
  <si>
    <t xml:space="preserve">藤野　光葉</t>
  </si>
  <si>
    <t xml:space="preserve">早田　悠希</t>
  </si>
  <si>
    <r>
      <rPr>
        <sz val="10"/>
        <color rgb="FF000000"/>
        <rFont val="HGPｺﾞｼｯｸM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16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8:48</t>
    </r>
    <r>
      <rPr>
        <sz val="10"/>
        <color rgb="FF000000"/>
        <rFont val="WenQuanYi Zen Hei"/>
        <family val="2"/>
      </rPr>
      <t xml:space="preserve">）</t>
    </r>
  </si>
  <si>
    <t xml:space="preserve">西田　真央</t>
  </si>
  <si>
    <t xml:space="preserve">加田　蒼</t>
  </si>
  <si>
    <r>
      <rPr>
        <sz val="10"/>
        <color rgb="FF000000"/>
        <rFont val="HGPｺﾞｼｯｸM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9:09</t>
    </r>
    <r>
      <rPr>
        <sz val="10"/>
        <color rgb="FF000000"/>
        <rFont val="WenQuanYi Zen Hei"/>
        <family val="2"/>
      </rPr>
      <t xml:space="preserve">）</t>
    </r>
  </si>
  <si>
    <t xml:space="preserve">斎藤　太星</t>
  </si>
  <si>
    <t xml:space="preserve">大崎　次朗</t>
  </si>
  <si>
    <t xml:space="preserve">豊岡　雄士</t>
  </si>
  <si>
    <t xml:space="preserve">内舘　大翔</t>
  </si>
  <si>
    <t xml:space="preserve">田畑　遥希</t>
  </si>
  <si>
    <t xml:space="preserve">川内商工高</t>
  </si>
  <si>
    <t xml:space="preserve">富吉　海翔</t>
  </si>
  <si>
    <t xml:space="preserve">奥山　陽斗</t>
  </si>
  <si>
    <t xml:space="preserve">芦田　怜也</t>
  </si>
  <si>
    <t xml:space="preserve">佐々木　真斗</t>
  </si>
  <si>
    <t xml:space="preserve">中京大附中京高</t>
  </si>
  <si>
    <t xml:space="preserve">山口　幸希</t>
  </si>
  <si>
    <t xml:space="preserve">今泉　佑太</t>
  </si>
  <si>
    <t xml:space="preserve">小川　翔正</t>
  </si>
  <si>
    <t xml:space="preserve">松村　伊晟</t>
  </si>
  <si>
    <t xml:space="preserve">羽水高</t>
  </si>
  <si>
    <t xml:space="preserve">村上　樹</t>
  </si>
  <si>
    <t xml:space="preserve">新井　亮太</t>
  </si>
  <si>
    <r>
      <rPr>
        <sz val="10"/>
        <color rgb="FF000000"/>
        <rFont val="HGPｺﾞｼｯｸM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40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26:06</t>
    </r>
    <r>
      <rPr>
        <sz val="10"/>
        <color rgb="FF000000"/>
        <rFont val="WenQuanYi Zen Hei"/>
        <family val="2"/>
      </rPr>
      <t xml:space="preserve">）</t>
    </r>
  </si>
  <si>
    <t xml:space="preserve">正司　尚輝</t>
  </si>
  <si>
    <t xml:space="preserve">渡辺　悠真</t>
  </si>
  <si>
    <r>
      <rPr>
        <sz val="10"/>
        <color rgb="FF000000"/>
        <rFont val="HGPｺﾞｼｯｸM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38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25:56</t>
    </r>
    <r>
      <rPr>
        <sz val="10"/>
        <color rgb="FF000000"/>
        <rFont val="WenQuanYi Zen Hei"/>
        <family val="2"/>
      </rPr>
      <t xml:space="preserve">）</t>
    </r>
  </si>
  <si>
    <t xml:space="preserve">吉原　優</t>
  </si>
  <si>
    <r>
      <rPr>
        <sz val="10"/>
        <color rgb="FF000000"/>
        <rFont val="HGPｺﾞｼｯｸM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49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26:41</t>
    </r>
    <r>
      <rPr>
        <sz val="10"/>
        <color rgb="FF000000"/>
        <rFont val="WenQuanYi Zen Hei"/>
        <family val="2"/>
      </rPr>
      <t xml:space="preserve">）</t>
    </r>
  </si>
  <si>
    <t xml:space="preserve">美濃　鉄平</t>
  </si>
  <si>
    <t xml:space="preserve">東山高</t>
  </si>
  <si>
    <t xml:space="preserve">河崎　優太</t>
  </si>
  <si>
    <t xml:space="preserve">龍野北高</t>
  </si>
  <si>
    <t xml:space="preserve">中根　慧</t>
  </si>
  <si>
    <t xml:space="preserve">横浜清風高</t>
  </si>
  <si>
    <t xml:space="preserve">千葉　創太</t>
  </si>
  <si>
    <t xml:space="preserve">鎌田　隼年</t>
  </si>
  <si>
    <r>
      <rPr>
        <sz val="10"/>
        <color rgb="FF000000"/>
        <rFont val="HGPｺﾞｼｯｸM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48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15:18</t>
    </r>
    <r>
      <rPr>
        <sz val="10"/>
        <color rgb="FF000000"/>
        <rFont val="WenQuanYi Zen Hei"/>
        <family val="2"/>
      </rPr>
      <t xml:space="preserve">）</t>
    </r>
  </si>
  <si>
    <t xml:space="preserve">池田　壮吾</t>
  </si>
  <si>
    <t xml:space="preserve">一宮南高</t>
  </si>
  <si>
    <t xml:space="preserve">山本　優樹</t>
  </si>
  <si>
    <t xml:space="preserve">小塚　優喜</t>
  </si>
  <si>
    <t xml:space="preserve">金沢学大附高</t>
  </si>
  <si>
    <t xml:space="preserve">森　 　奏輔</t>
  </si>
  <si>
    <t xml:space="preserve">長崎北陽台高</t>
  </si>
  <si>
    <t xml:space="preserve">城戸　晴仁</t>
  </si>
  <si>
    <t xml:space="preserve">福工大城東高</t>
  </si>
  <si>
    <t xml:space="preserve">吉川　敦悠</t>
  </si>
  <si>
    <t xml:space="preserve">広島市立舟入高</t>
  </si>
  <si>
    <t xml:space="preserve">中野　哲平</t>
  </si>
  <si>
    <t xml:space="preserve">片畑　阿弥</t>
  </si>
  <si>
    <t xml:space="preserve">江崎　ブライアン</t>
  </si>
  <si>
    <t xml:space="preserve">霜島　光希</t>
  </si>
  <si>
    <t xml:space="preserve">長田　晏空</t>
  </si>
  <si>
    <t xml:space="preserve">日立一高</t>
  </si>
  <si>
    <t xml:space="preserve">橋　 　空也</t>
  </si>
  <si>
    <t xml:space="preserve">品田　京平</t>
  </si>
  <si>
    <t xml:space="preserve">小千谷高</t>
  </si>
  <si>
    <t xml:space="preserve">青木　暖士</t>
  </si>
  <si>
    <t xml:space="preserve">遠藤　大翔</t>
  </si>
  <si>
    <t xml:space="preserve">新発田高</t>
  </si>
  <si>
    <t xml:space="preserve">狩野　夢翔</t>
  </si>
  <si>
    <t xml:space="preserve">猪口　琉汰</t>
  </si>
  <si>
    <t xml:space="preserve">鳥取東高</t>
  </si>
  <si>
    <r>
      <rPr>
        <sz val="10"/>
        <color rgb="FF000000"/>
        <rFont val="HGPｺﾞｼｯｸM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75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31:11</t>
    </r>
    <r>
      <rPr>
        <sz val="10"/>
        <color rgb="FF000000"/>
        <rFont val="WenQuanYi Zen Hei"/>
        <family val="2"/>
      </rPr>
      <t xml:space="preserve">）</t>
    </r>
  </si>
  <si>
    <t xml:space="preserve">矢野　高臣</t>
  </si>
  <si>
    <t xml:space="preserve">藤森　翔希人</t>
  </si>
  <si>
    <t xml:space="preserve">摂津高</t>
  </si>
  <si>
    <t xml:space="preserve">山口　陽也</t>
  </si>
  <si>
    <r>
      <rPr>
        <sz val="10"/>
        <color rgb="FF000000"/>
        <rFont val="HGPｺﾞｼｯｸM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23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8:53</t>
    </r>
    <r>
      <rPr>
        <sz val="10"/>
        <color rgb="FF000000"/>
        <rFont val="WenQuanYi Zen Hei"/>
        <family val="2"/>
      </rPr>
      <t xml:space="preserve">）</t>
    </r>
  </si>
  <si>
    <t xml:space="preserve">近野　孝太郎</t>
  </si>
  <si>
    <t xml:space="preserve">生野高</t>
  </si>
  <si>
    <t xml:space="preserve">西部　尊</t>
  </si>
  <si>
    <t xml:space="preserve">小山　和楽</t>
  </si>
  <si>
    <t xml:space="preserve">片岡　宙夢</t>
  </si>
  <si>
    <t xml:space="preserve">大曽根　悠</t>
  </si>
  <si>
    <t xml:space="preserve">川澄　優太</t>
  </si>
  <si>
    <r>
      <rPr>
        <sz val="10"/>
        <color rgb="FF000000"/>
        <rFont val="HGPｺﾞｼｯｸM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56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15:28</t>
    </r>
    <r>
      <rPr>
        <sz val="10"/>
        <color rgb="FF000000"/>
        <rFont val="WenQuanYi Zen Hei"/>
        <family val="2"/>
      </rPr>
      <t xml:space="preserve">）</t>
    </r>
  </si>
  <si>
    <t xml:space="preserve">伊勢村　優斗</t>
  </si>
  <si>
    <t xml:space="preserve">久保　悠真</t>
  </si>
  <si>
    <t xml:space="preserve">同名の別選手あり（小倉南高）</t>
  </si>
  <si>
    <t xml:space="preserve">井指　陽介</t>
  </si>
  <si>
    <t xml:space="preserve">竹原　慎作</t>
  </si>
  <si>
    <t xml:space="preserve">下諏訪向陽高</t>
  </si>
  <si>
    <t xml:space="preserve">北島俊太郎</t>
  </si>
  <si>
    <t xml:space="preserve">麗沢瑞浪高</t>
  </si>
  <si>
    <t xml:space="preserve">服部　奏斗</t>
  </si>
  <si>
    <t xml:space="preserve">浜口　一楓</t>
  </si>
  <si>
    <t xml:space="preserve">泉　 　絆士郎</t>
  </si>
  <si>
    <t xml:space="preserve">堀越　音杜</t>
  </si>
  <si>
    <t xml:space="preserve">浜口　嵐</t>
  </si>
  <si>
    <t xml:space="preserve">阪口　泰生</t>
  </si>
  <si>
    <t xml:space="preserve">大阪学芸高</t>
  </si>
  <si>
    <r>
      <rPr>
        <sz val="10"/>
        <color rgb="FF000000"/>
        <rFont val="HGPｺﾞｼｯｸM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59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15:43</t>
    </r>
    <r>
      <rPr>
        <sz val="10"/>
        <color rgb="FF000000"/>
        <rFont val="WenQuanYi Zen Hei"/>
        <family val="2"/>
      </rPr>
      <t xml:space="preserve">）</t>
    </r>
  </si>
  <si>
    <t xml:space="preserve">阿部　薫</t>
  </si>
  <si>
    <t xml:space="preserve">杉町　橙</t>
  </si>
  <si>
    <t xml:space="preserve">京都翔英高</t>
  </si>
  <si>
    <r>
      <rPr>
        <sz val="10"/>
        <color rgb="FF000000"/>
        <rFont val="HGPｺﾞｼｯｸM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74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26:24</t>
    </r>
    <r>
      <rPr>
        <sz val="10"/>
        <color rgb="FF000000"/>
        <rFont val="WenQuanYi Zen Hei"/>
        <family val="2"/>
      </rPr>
      <t xml:space="preserve">）</t>
    </r>
  </si>
  <si>
    <t xml:space="preserve">吉本　旭</t>
  </si>
  <si>
    <t xml:space="preserve">千代田高</t>
  </si>
  <si>
    <r>
      <rPr>
        <sz val="10"/>
        <color rgb="FF000000"/>
        <rFont val="HGPｺﾞｼｯｸM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81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26:49</t>
    </r>
    <r>
      <rPr>
        <sz val="10"/>
        <color rgb="FF000000"/>
        <rFont val="WenQuanYi Zen Hei"/>
        <family val="2"/>
      </rPr>
      <t xml:space="preserve">）</t>
    </r>
  </si>
  <si>
    <t xml:space="preserve">遠藤　風雅</t>
  </si>
  <si>
    <t xml:space="preserve">高木　悠太</t>
  </si>
  <si>
    <t xml:space="preserve">東島　大成</t>
  </si>
  <si>
    <t xml:space="preserve">飯塚　篤弥</t>
  </si>
  <si>
    <t xml:space="preserve">松下　恵丞</t>
  </si>
  <si>
    <r>
      <rPr>
        <sz val="10"/>
        <color rgb="FF000000"/>
        <rFont val="HGPｺﾞｼｯｸM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46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15:33</t>
    </r>
    <r>
      <rPr>
        <sz val="10"/>
        <color rgb="FF000000"/>
        <rFont val="WenQuanYi Zen Hei"/>
        <family val="2"/>
      </rPr>
      <t xml:space="preserve">）</t>
    </r>
  </si>
  <si>
    <t xml:space="preserve">金子　颯汰</t>
  </si>
  <si>
    <t xml:space="preserve">打田　聖真</t>
  </si>
  <si>
    <t xml:space="preserve">東播磨高</t>
  </si>
  <si>
    <t xml:space="preserve">金原　雅宗</t>
  </si>
  <si>
    <t xml:space="preserve">野坂　怜央</t>
  </si>
  <si>
    <t xml:space="preserve">札幌日大高</t>
  </si>
  <si>
    <t xml:space="preserve">小林　右京</t>
  </si>
  <si>
    <t xml:space="preserve">熊本　珠樹</t>
  </si>
  <si>
    <t xml:space="preserve">福知山成美高</t>
  </si>
  <si>
    <r>
      <rPr>
        <sz val="10"/>
        <color rgb="FF000000"/>
        <rFont val="HGPｺﾞｼｯｸM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90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16:28</t>
    </r>
    <r>
      <rPr>
        <sz val="10"/>
        <color rgb="FF000000"/>
        <rFont val="WenQuanYi Zen Hei"/>
        <family val="2"/>
      </rPr>
      <t xml:space="preserve">）</t>
    </r>
  </si>
  <si>
    <t xml:space="preserve">阿部　佑月</t>
  </si>
  <si>
    <t xml:space="preserve">花巻南高</t>
  </si>
  <si>
    <t xml:space="preserve">嶋津　幸平</t>
  </si>
  <si>
    <t xml:space="preserve">前橋東高</t>
  </si>
  <si>
    <t xml:space="preserve">福永　一颯</t>
  </si>
  <si>
    <t xml:space="preserve">内海　智希</t>
  </si>
  <si>
    <t xml:space="preserve">神谷　一希</t>
  </si>
  <si>
    <r>
      <rPr>
        <sz val="10"/>
        <color rgb="FF000000"/>
        <rFont val="HGPｺﾞｼｯｸM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51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15:35</t>
    </r>
    <r>
      <rPr>
        <sz val="10"/>
        <color rgb="FF000000"/>
        <rFont val="WenQuanYi Zen Hei"/>
        <family val="2"/>
      </rPr>
      <t xml:space="preserve">）</t>
    </r>
  </si>
  <si>
    <t xml:space="preserve">野田　匡人</t>
  </si>
  <si>
    <r>
      <rPr>
        <sz val="10"/>
        <color rgb="FF000000"/>
        <rFont val="HGPｺﾞｼｯｸM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38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26:13</t>
    </r>
    <r>
      <rPr>
        <sz val="10"/>
        <color rgb="FF000000"/>
        <rFont val="WenQuanYi Zen Hei"/>
        <family val="2"/>
      </rPr>
      <t xml:space="preserve">）</t>
    </r>
  </si>
  <si>
    <t xml:space="preserve">大島　瑛斗</t>
  </si>
  <si>
    <t xml:space="preserve">謝花　郁光</t>
  </si>
  <si>
    <t xml:space="preserve">北山高</t>
  </si>
  <si>
    <t xml:space="preserve">苅部　隼人</t>
  </si>
  <si>
    <t xml:space="preserve">慶応高</t>
  </si>
  <si>
    <t xml:space="preserve">松村　優樹</t>
  </si>
  <si>
    <t xml:space="preserve">盛岡一高</t>
  </si>
  <si>
    <t xml:space="preserve">角鹿　大夢</t>
  </si>
  <si>
    <t xml:space="preserve">中村　律</t>
  </si>
  <si>
    <r>
      <rPr>
        <sz val="10"/>
        <color rgb="FF000000"/>
        <rFont val="HGPｺﾞｼｯｸM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55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15:40</t>
    </r>
    <r>
      <rPr>
        <sz val="10"/>
        <color rgb="FF000000"/>
        <rFont val="WenQuanYi Zen Hei"/>
        <family val="2"/>
      </rPr>
      <t xml:space="preserve">）</t>
    </r>
  </si>
  <si>
    <t xml:space="preserve">金山　仁</t>
  </si>
  <si>
    <r>
      <rPr>
        <sz val="10"/>
        <color rgb="FF000000"/>
        <rFont val="HGPｺﾞｼｯｸM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43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8:43</t>
    </r>
    <r>
      <rPr>
        <sz val="10"/>
        <color rgb="FF000000"/>
        <rFont val="WenQuanYi Zen Hei"/>
        <family val="2"/>
      </rPr>
      <t xml:space="preserve">）</t>
    </r>
  </si>
  <si>
    <t xml:space="preserve">藤本　琉希</t>
  </si>
  <si>
    <t xml:space="preserve">竹内　一瑳</t>
  </si>
  <si>
    <t xml:space="preserve">川口　朝陽</t>
  </si>
  <si>
    <t xml:space="preserve">吉田　緯空</t>
  </si>
  <si>
    <t xml:space="preserve">森下　颯斗</t>
  </si>
  <si>
    <t xml:space="preserve">大嶋　康生</t>
  </si>
  <si>
    <t xml:space="preserve">甲府東高</t>
  </si>
  <si>
    <t xml:space="preserve">庄野　遥人</t>
  </si>
  <si>
    <r>
      <rPr>
        <sz val="10"/>
        <color rgb="FF000000"/>
        <rFont val="HGPｺﾞｼｯｸM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30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14:42</t>
    </r>
    <r>
      <rPr>
        <sz val="10"/>
        <color rgb="FF000000"/>
        <rFont val="WenQuanYi Zen Hei"/>
        <family val="2"/>
      </rPr>
      <t xml:space="preserve">）</t>
    </r>
  </si>
  <si>
    <t xml:space="preserve">森　 　悠登</t>
  </si>
  <si>
    <t xml:space="preserve">真鍋　龍心</t>
  </si>
  <si>
    <t xml:space="preserve">新居浜東高</t>
  </si>
  <si>
    <r>
      <rPr>
        <sz val="10"/>
        <color rgb="FF000000"/>
        <rFont val="HGPｺﾞｼｯｸM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69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25:36</t>
    </r>
    <r>
      <rPr>
        <sz val="10"/>
        <color rgb="FF000000"/>
        <rFont val="WenQuanYi Zen Hei"/>
        <family val="2"/>
      </rPr>
      <t xml:space="preserve">）</t>
    </r>
  </si>
  <si>
    <t xml:space="preserve">奥田　陽輝</t>
  </si>
  <si>
    <t xml:space="preserve">神奈川陸協</t>
  </si>
  <si>
    <t xml:space="preserve">尾上　裕人</t>
  </si>
  <si>
    <t xml:space="preserve">磐田南高</t>
  </si>
  <si>
    <t xml:space="preserve">赤塚　佑星</t>
  </si>
  <si>
    <t xml:space="preserve">大久保　圭悟</t>
  </si>
  <si>
    <t xml:space="preserve">奈良高</t>
  </si>
  <si>
    <t xml:space="preserve">松井　勇翔</t>
  </si>
  <si>
    <t xml:space="preserve">津司　健太朗</t>
  </si>
  <si>
    <t xml:space="preserve">脇町高</t>
  </si>
  <si>
    <t xml:space="preserve">藤枝　京太郎</t>
  </si>
  <si>
    <t xml:space="preserve">緑岡高</t>
  </si>
  <si>
    <t xml:space="preserve">池田　稜弥</t>
  </si>
  <si>
    <t xml:space="preserve">報徳学園高</t>
  </si>
  <si>
    <t xml:space="preserve">宮田　怜治</t>
  </si>
  <si>
    <t xml:space="preserve">松本　竜其</t>
  </si>
  <si>
    <t xml:space="preserve">亀井　遼希</t>
  </si>
  <si>
    <t xml:space="preserve">玉名高</t>
  </si>
  <si>
    <t xml:space="preserve">谷内　颯</t>
  </si>
  <si>
    <t xml:space="preserve">佐藤　豪</t>
  </si>
  <si>
    <t xml:space="preserve">古賀　三大</t>
  </si>
  <si>
    <t xml:space="preserve">浅原　龍之介</t>
  </si>
  <si>
    <t xml:space="preserve">横沢　春希</t>
  </si>
  <si>
    <t xml:space="preserve">岩本幸志郎</t>
  </si>
  <si>
    <t xml:space="preserve">九州文化学園高</t>
  </si>
  <si>
    <r>
      <rPr>
        <sz val="10"/>
        <color rgb="FF000000"/>
        <rFont val="HGPｺﾞｼｯｸM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25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25:22</t>
    </r>
    <r>
      <rPr>
        <sz val="10"/>
        <color rgb="FF000000"/>
        <rFont val="WenQuanYi Zen Hei"/>
        <family val="2"/>
      </rPr>
      <t xml:space="preserve">）</t>
    </r>
  </si>
  <si>
    <t xml:space="preserve">大角　剛琉</t>
  </si>
  <si>
    <t xml:space="preserve">田村　夷久磨</t>
  </si>
  <si>
    <r>
      <rPr>
        <sz val="10"/>
        <color rgb="FF000000"/>
        <rFont val="HGPｺﾞｼｯｸM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28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8:59</t>
    </r>
    <r>
      <rPr>
        <sz val="10"/>
        <color rgb="FF000000"/>
        <rFont val="WenQuanYi Zen Hei"/>
        <family val="2"/>
      </rPr>
      <t xml:space="preserve">）</t>
    </r>
  </si>
  <si>
    <t xml:space="preserve">片岡　航大</t>
  </si>
  <si>
    <t xml:space="preserve">日大三島高</t>
  </si>
  <si>
    <t xml:space="preserve">依田　開聖</t>
  </si>
  <si>
    <t xml:space="preserve">葛生　信進</t>
  </si>
  <si>
    <t xml:space="preserve">永井　結崇</t>
  </si>
  <si>
    <t xml:space="preserve">平沢　哉大</t>
  </si>
  <si>
    <t xml:space="preserve">千葉　映仁</t>
  </si>
  <si>
    <t xml:space="preserve">野口　啓介</t>
  </si>
  <si>
    <r>
      <rPr>
        <sz val="10"/>
        <color rgb="FF000000"/>
        <rFont val="HGPｺﾞｼｯｸM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52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25:15</t>
    </r>
    <r>
      <rPr>
        <sz val="10"/>
        <color rgb="FF000000"/>
        <rFont val="WenQuanYi Zen Hei"/>
        <family val="2"/>
      </rPr>
      <t xml:space="preserve">）</t>
    </r>
  </si>
  <si>
    <t xml:space="preserve">土屋　息吹</t>
  </si>
  <si>
    <t xml:space="preserve">静岡東高</t>
  </si>
  <si>
    <t xml:space="preserve">大金　勇翔</t>
  </si>
  <si>
    <t xml:space="preserve">平岡　大典</t>
  </si>
  <si>
    <t xml:space="preserve">畝傍高</t>
  </si>
  <si>
    <t xml:space="preserve">山辺　朱夏</t>
  </si>
  <si>
    <t xml:space="preserve">米子高専</t>
  </si>
  <si>
    <t xml:space="preserve">山口　清夢</t>
  </si>
  <si>
    <t xml:space="preserve">浜咲　優翔</t>
  </si>
  <si>
    <t xml:space="preserve">宮本　拳士</t>
  </si>
  <si>
    <t xml:space="preserve">日章学園高</t>
  </si>
  <si>
    <t xml:space="preserve">三条　太土</t>
  </si>
  <si>
    <t xml:space="preserve">菊池　悠斗</t>
  </si>
  <si>
    <t xml:space="preserve">日立工高</t>
  </si>
  <si>
    <t xml:space="preserve">坂本　諭太</t>
  </si>
  <si>
    <t xml:space="preserve">中薗　賢祐</t>
  </si>
  <si>
    <r>
      <rPr>
        <sz val="10"/>
        <color rgb="FF000000"/>
        <rFont val="HGPｺﾞｼｯｸM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61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15:34</t>
    </r>
    <r>
      <rPr>
        <sz val="10"/>
        <color rgb="FF000000"/>
        <rFont val="WenQuanYi Zen Hei"/>
        <family val="2"/>
      </rPr>
      <t xml:space="preserve">）</t>
    </r>
  </si>
  <si>
    <t xml:space="preserve">京谷　柊汰</t>
  </si>
  <si>
    <r>
      <rPr>
        <sz val="10"/>
        <color rgb="FF000000"/>
        <rFont val="HGPｺﾞｼｯｸM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55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8:50</t>
    </r>
    <r>
      <rPr>
        <sz val="10"/>
        <color rgb="FF000000"/>
        <rFont val="WenQuanYi Zen Hei"/>
        <family val="2"/>
      </rPr>
      <t xml:space="preserve">）</t>
    </r>
  </si>
  <si>
    <t xml:space="preserve">小桜　奏太</t>
  </si>
  <si>
    <t xml:space="preserve">市沼田高</t>
  </si>
  <si>
    <r>
      <rPr>
        <sz val="10"/>
        <color rgb="FF000000"/>
        <rFont val="HGPｺﾞｼｯｸM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73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16:04</t>
    </r>
    <r>
      <rPr>
        <sz val="10"/>
        <color rgb="FF000000"/>
        <rFont val="WenQuanYi Zen Hei"/>
        <family val="2"/>
      </rPr>
      <t xml:space="preserve">）</t>
    </r>
  </si>
  <si>
    <t xml:space="preserve">土方　廉矢</t>
  </si>
  <si>
    <t xml:space="preserve">堀越高</t>
  </si>
  <si>
    <t xml:space="preserve">鈴木　颯太</t>
  </si>
  <si>
    <t xml:space="preserve">桑名西高</t>
  </si>
  <si>
    <t xml:space="preserve">五十嵐　陽晟</t>
  </si>
  <si>
    <t xml:space="preserve">向井　優賀</t>
  </si>
  <si>
    <t xml:space="preserve">長江　汰起</t>
  </si>
  <si>
    <t xml:space="preserve">森下　永遠</t>
  </si>
  <si>
    <t xml:space="preserve">上田　悠翔</t>
  </si>
  <si>
    <t xml:space="preserve">井口　敬太</t>
  </si>
  <si>
    <t xml:space="preserve">県尼崎高</t>
  </si>
  <si>
    <r>
      <rPr>
        <sz val="10"/>
        <color rgb="FF000000"/>
        <rFont val="HGPｺﾞｼｯｸM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69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9:02</t>
    </r>
    <r>
      <rPr>
        <sz val="10"/>
        <color rgb="FF000000"/>
        <rFont val="WenQuanYi Zen Hei"/>
        <family val="2"/>
      </rPr>
      <t xml:space="preserve">）</t>
    </r>
  </si>
  <si>
    <t xml:space="preserve">校名表記：県尼崎高／尼崎高</t>
  </si>
  <si>
    <t xml:space="preserve">細貝　恒平</t>
  </si>
  <si>
    <t xml:space="preserve">小坂　壮吾</t>
  </si>
  <si>
    <t xml:space="preserve">市浦和高</t>
  </si>
  <si>
    <t xml:space="preserve">黒津　大空</t>
  </si>
  <si>
    <t xml:space="preserve">藤井　祐人</t>
  </si>
  <si>
    <t xml:space="preserve">松岡　真輝</t>
  </si>
  <si>
    <t xml:space="preserve">田中　悠晴</t>
  </si>
  <si>
    <t xml:space="preserve">高山西高</t>
  </si>
  <si>
    <t xml:space="preserve">辻　 　晴充</t>
  </si>
  <si>
    <t xml:space="preserve">山本　恭佑</t>
  </si>
  <si>
    <t xml:space="preserve">山内　陽</t>
  </si>
  <si>
    <t xml:space="preserve">杉田　琉威</t>
  </si>
  <si>
    <t xml:space="preserve">丸山　慶来</t>
  </si>
  <si>
    <t xml:space="preserve">早稲田実業高</t>
  </si>
  <si>
    <t xml:space="preserve">塩谷　謙</t>
  </si>
  <si>
    <t xml:space="preserve">都東大和高</t>
  </si>
  <si>
    <t xml:space="preserve">神野　吏輝</t>
  </si>
  <si>
    <t xml:space="preserve">安田　修平</t>
  </si>
  <si>
    <t xml:space="preserve">粟飯原　憲心</t>
  </si>
  <si>
    <t xml:space="preserve">柳　 　慶士</t>
  </si>
  <si>
    <t xml:space="preserve">後藤　陸斗</t>
  </si>
  <si>
    <t xml:space="preserve">左向　真空</t>
  </si>
  <si>
    <t xml:space="preserve">西田　壮志</t>
  </si>
  <si>
    <t xml:space="preserve">早大本庄高</t>
  </si>
  <si>
    <t xml:space="preserve">岩沢　春樹</t>
  </si>
  <si>
    <t xml:space="preserve">湯浅　充琉</t>
  </si>
  <si>
    <t xml:space="preserve">初沢　尚馬</t>
  </si>
  <si>
    <t xml:space="preserve">柏南高</t>
  </si>
  <si>
    <t xml:space="preserve">辻　 　詠太</t>
  </si>
  <si>
    <r>
      <rPr>
        <sz val="10"/>
        <color rgb="FF000000"/>
        <rFont val="HGPｺﾞｼｯｸM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70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9:03</t>
    </r>
    <r>
      <rPr>
        <sz val="10"/>
        <color rgb="FF000000"/>
        <rFont val="WenQuanYi Zen Hei"/>
        <family val="2"/>
      </rPr>
      <t xml:space="preserve">）</t>
    </r>
  </si>
  <si>
    <t xml:space="preserve">和田　恵祐</t>
  </si>
  <si>
    <t xml:space="preserve">藤本　庵史</t>
  </si>
  <si>
    <t xml:space="preserve">田中　廉士郎</t>
  </si>
  <si>
    <t xml:space="preserve">渋谷教育学園幕張高</t>
  </si>
  <si>
    <t xml:space="preserve">松沢　晃佑</t>
  </si>
  <si>
    <t xml:space="preserve">豊科高</t>
  </si>
  <si>
    <t xml:space="preserve">長原　朋希</t>
  </si>
  <si>
    <t xml:space="preserve">西内　悠記</t>
  </si>
  <si>
    <t xml:space="preserve">藤平　海風</t>
  </si>
  <si>
    <t xml:space="preserve">富士　歩夢</t>
  </si>
  <si>
    <t xml:space="preserve">清川　陵</t>
  </si>
  <si>
    <r>
      <rPr>
        <sz val="10"/>
        <color rgb="FF000000"/>
        <rFont val="WenQuanYi Zen Hei"/>
        <family val="2"/>
      </rPr>
      <t xml:space="preserve">手動計時：</t>
    </r>
    <r>
      <rPr>
        <sz val="10"/>
        <color rgb="FF000000"/>
        <rFont val="HGPｺﾞｼｯｸM"/>
        <family val="0"/>
        <charset val="1"/>
      </rPr>
      <t xml:space="preserve">5000m</t>
    </r>
  </si>
  <si>
    <t xml:space="preserve">山田　悟史</t>
  </si>
  <si>
    <t xml:space="preserve">仙台三高</t>
  </si>
  <si>
    <t xml:space="preserve">中尾　維吹</t>
  </si>
  <si>
    <t xml:space="preserve">橿原高</t>
  </si>
  <si>
    <t xml:space="preserve">宮川　恵伍</t>
  </si>
  <si>
    <t xml:space="preserve">五十崎　凪斗</t>
  </si>
  <si>
    <t xml:space="preserve">林田　皇晟</t>
  </si>
  <si>
    <t xml:space="preserve">敬徳高</t>
  </si>
  <si>
    <t xml:space="preserve">小松　翔波</t>
  </si>
  <si>
    <t xml:space="preserve">鶴岡工高</t>
  </si>
  <si>
    <t xml:space="preserve">竹花　廉太郎</t>
  </si>
  <si>
    <t xml:space="preserve">堀田　倖希</t>
  </si>
  <si>
    <t xml:space="preserve">賀茂高</t>
  </si>
  <si>
    <t xml:space="preserve">相沢　怜央</t>
  </si>
  <si>
    <t xml:space="preserve">杉本　涼雅</t>
  </si>
  <si>
    <t xml:space="preserve">古舘　拓</t>
  </si>
  <si>
    <t xml:space="preserve">盛岡中央高</t>
  </si>
  <si>
    <t xml:space="preserve">五十嵐　琉晟</t>
  </si>
  <si>
    <t xml:space="preserve">藤井　孝晟</t>
  </si>
  <si>
    <t xml:space="preserve">京産大附高</t>
  </si>
  <si>
    <t xml:space="preserve">鈴木　秀幸</t>
  </si>
  <si>
    <t xml:space="preserve">田中　鉄大</t>
  </si>
  <si>
    <t xml:space="preserve">宮崎　康太</t>
  </si>
  <si>
    <t xml:space="preserve">尚志館高</t>
  </si>
  <si>
    <r>
      <rPr>
        <sz val="10"/>
        <color rgb="FF000000"/>
        <rFont val="HGPｺﾞｼｯｸM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54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34:40</t>
    </r>
    <r>
      <rPr>
        <sz val="10"/>
        <color rgb="FF000000"/>
        <rFont val="WenQuanYi Zen Hei"/>
        <family val="2"/>
      </rPr>
      <t xml:space="preserve">）</t>
    </r>
  </si>
  <si>
    <t xml:space="preserve">弘部　和志</t>
  </si>
  <si>
    <r>
      <rPr>
        <sz val="10"/>
        <color rgb="FF000000"/>
        <rFont val="HGPｺﾞｼｯｸM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63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25:59</t>
    </r>
    <r>
      <rPr>
        <sz val="10"/>
        <color rgb="FF000000"/>
        <rFont val="WenQuanYi Zen Hei"/>
        <family val="2"/>
      </rPr>
      <t xml:space="preserve">）</t>
    </r>
  </si>
  <si>
    <t xml:space="preserve">谷口　昊</t>
  </si>
  <si>
    <t xml:space="preserve">豊橋工高</t>
  </si>
  <si>
    <t xml:space="preserve">山中　唯颯</t>
  </si>
  <si>
    <r>
      <rPr>
        <sz val="10"/>
        <color rgb="FF000000"/>
        <rFont val="HGPｺﾞｼｯｸM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18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8:45</t>
    </r>
    <r>
      <rPr>
        <sz val="10"/>
        <color rgb="FF000000"/>
        <rFont val="WenQuanYi Zen Hei"/>
        <family val="2"/>
      </rPr>
      <t xml:space="preserve">）</t>
    </r>
  </si>
  <si>
    <t xml:space="preserve">石塚　聖河</t>
  </si>
  <si>
    <t xml:space="preserve">港北高</t>
  </si>
  <si>
    <t xml:space="preserve">阿部　寛大</t>
  </si>
  <si>
    <t xml:space="preserve">渡辺　日々輝</t>
  </si>
  <si>
    <t xml:space="preserve">済々黌高</t>
  </si>
  <si>
    <t xml:space="preserve">小山田　航大</t>
  </si>
  <si>
    <t xml:space="preserve">盛岡四高</t>
  </si>
  <si>
    <t xml:space="preserve">長谷川雅皇</t>
  </si>
  <si>
    <t xml:space="preserve">伊藤　一朝</t>
  </si>
  <si>
    <t xml:space="preserve">和田　陽希</t>
  </si>
  <si>
    <t xml:space="preserve">伊賀　大悟</t>
  </si>
  <si>
    <t xml:space="preserve">武　 　航生</t>
  </si>
  <si>
    <t xml:space="preserve">牛尾　哲太</t>
  </si>
  <si>
    <t xml:space="preserve">丸山　冬悟</t>
  </si>
  <si>
    <t xml:space="preserve">松尾　一樹</t>
  </si>
  <si>
    <t xml:space="preserve">中山　大河</t>
  </si>
  <si>
    <r>
      <rPr>
        <sz val="10"/>
        <color rgb="FF000000"/>
        <rFont val="HGPｺﾞｼｯｸM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65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26:04</t>
    </r>
    <r>
      <rPr>
        <sz val="10"/>
        <color rgb="FF000000"/>
        <rFont val="WenQuanYi Zen Hei"/>
        <family val="2"/>
      </rPr>
      <t xml:space="preserve">）</t>
    </r>
  </si>
  <si>
    <t xml:space="preserve">鈴木　陽大</t>
  </si>
  <si>
    <t xml:space="preserve">尾関　柊空</t>
  </si>
  <si>
    <t xml:space="preserve">校名表記：豊田大谷／豊田大谷高</t>
  </si>
  <si>
    <t xml:space="preserve">堀江　優翔</t>
  </si>
  <si>
    <t xml:space="preserve">伊藤　尊</t>
  </si>
  <si>
    <t xml:space="preserve">宅島　悠</t>
  </si>
  <si>
    <t xml:space="preserve">大内　音弥</t>
  </si>
  <si>
    <t xml:space="preserve">岩佐　拓斗</t>
  </si>
  <si>
    <r>
      <rPr>
        <sz val="10"/>
        <color rgb="FF000000"/>
        <rFont val="HGPｺﾞｼｯｸM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42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26:28</t>
    </r>
    <r>
      <rPr>
        <sz val="10"/>
        <color rgb="FF000000"/>
        <rFont val="WenQuanYi Zen Hei"/>
        <family val="2"/>
      </rPr>
      <t xml:space="preserve">）</t>
    </r>
  </si>
  <si>
    <t xml:space="preserve">川田　悠木</t>
  </si>
  <si>
    <t xml:space="preserve">東海大附静岡翔洋高</t>
  </si>
  <si>
    <t xml:space="preserve">岸本　成浩</t>
  </si>
  <si>
    <t xml:space="preserve">森屋　樹</t>
  </si>
  <si>
    <t xml:space="preserve">上田染谷丘高</t>
  </si>
  <si>
    <t xml:space="preserve">谷川　航太</t>
  </si>
  <si>
    <t xml:space="preserve">群馬陸協</t>
  </si>
  <si>
    <t xml:space="preserve">矢野　快音</t>
  </si>
  <si>
    <t xml:space="preserve">山田　蒼助</t>
  </si>
  <si>
    <t xml:space="preserve">沖谷　羽閏</t>
  </si>
  <si>
    <t xml:space="preserve">樋口　大人</t>
  </si>
  <si>
    <t xml:space="preserve">園田　拓海</t>
  </si>
  <si>
    <t xml:space="preserve">福田　冴吹</t>
  </si>
  <si>
    <t xml:space="preserve">東京陸協</t>
  </si>
  <si>
    <t xml:space="preserve">小菅　絆</t>
  </si>
  <si>
    <t xml:space="preserve">春日部共栄高</t>
  </si>
  <si>
    <t xml:space="preserve">関野　連太郎</t>
  </si>
  <si>
    <t xml:space="preserve">横浜栄高</t>
  </si>
  <si>
    <t xml:space="preserve">菅野　煌大</t>
  </si>
  <si>
    <t xml:space="preserve">吉田　煌季</t>
  </si>
  <si>
    <t xml:space="preserve">飯田　晴羽</t>
  </si>
  <si>
    <r>
      <rPr>
        <sz val="10"/>
        <color rgb="FF000000"/>
        <rFont val="HGPｺﾞｼｯｸM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72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16:03</t>
    </r>
    <r>
      <rPr>
        <sz val="10"/>
        <color rgb="FF000000"/>
        <rFont val="WenQuanYi Zen Hei"/>
        <family val="2"/>
      </rPr>
      <t xml:space="preserve">）</t>
    </r>
  </si>
  <si>
    <t xml:space="preserve">野口祐ノ介</t>
  </si>
  <si>
    <t xml:space="preserve">唐津東高</t>
  </si>
  <si>
    <t xml:space="preserve">今村　征史郎</t>
  </si>
  <si>
    <t xml:space="preserve">松村　欧太</t>
  </si>
  <si>
    <t xml:space="preserve">相模原弥栄高</t>
  </si>
  <si>
    <t xml:space="preserve">中村　蓮鳳</t>
  </si>
  <si>
    <t xml:space="preserve">望月　一希</t>
  </si>
  <si>
    <t xml:space="preserve">田頭　悠</t>
  </si>
  <si>
    <t xml:space="preserve">原田　涼平</t>
  </si>
  <si>
    <t xml:space="preserve">田坂　涼</t>
  </si>
  <si>
    <t xml:space="preserve">広島皆実高</t>
  </si>
  <si>
    <r>
      <rPr>
        <sz val="10"/>
        <color rgb="FF000000"/>
        <rFont val="HGPｺﾞｼｯｸM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78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16:18</t>
    </r>
    <r>
      <rPr>
        <sz val="10"/>
        <color rgb="FF000000"/>
        <rFont val="WenQuanYi Zen Hei"/>
        <family val="2"/>
      </rPr>
      <t xml:space="preserve">）</t>
    </r>
  </si>
  <si>
    <t xml:space="preserve">伊藤　洸太</t>
  </si>
  <si>
    <r>
      <rPr>
        <sz val="10"/>
        <color rgb="FF000000"/>
        <rFont val="HGPｺﾞｼｯｸM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71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16:02</t>
    </r>
    <r>
      <rPr>
        <sz val="10"/>
        <color rgb="FF000000"/>
        <rFont val="WenQuanYi Zen Hei"/>
        <family val="2"/>
      </rPr>
      <t xml:space="preserve">）</t>
    </r>
  </si>
  <si>
    <t xml:space="preserve">橋本　敏</t>
  </si>
  <si>
    <t xml:space="preserve">神戸高</t>
  </si>
  <si>
    <t xml:space="preserve">田中　音羽</t>
  </si>
  <si>
    <t xml:space="preserve">栗田　潤</t>
  </si>
  <si>
    <t xml:space="preserve">ＳＣＨＳ</t>
  </si>
  <si>
    <t xml:space="preserve">砂川　勇翔</t>
  </si>
  <si>
    <t xml:space="preserve">大森　一真</t>
  </si>
  <si>
    <t xml:space="preserve">富岡高</t>
  </si>
  <si>
    <t xml:space="preserve">吉田　圭佑</t>
  </si>
  <si>
    <t xml:space="preserve">和田　征太郎</t>
  </si>
  <si>
    <t xml:space="preserve">主枝　史成</t>
  </si>
  <si>
    <t xml:space="preserve">田中　瑠音</t>
  </si>
  <si>
    <t xml:space="preserve">古川　恵唯</t>
  </si>
  <si>
    <t xml:space="preserve">平野　海翔</t>
  </si>
  <si>
    <t xml:space="preserve">銚子高</t>
  </si>
  <si>
    <t xml:space="preserve">清川　恵佑</t>
  </si>
  <si>
    <t xml:space="preserve">壱岐高</t>
  </si>
  <si>
    <t xml:space="preserve">米村　健人</t>
  </si>
  <si>
    <t xml:space="preserve">向井　俊輔</t>
  </si>
  <si>
    <t xml:space="preserve">小野　巧人</t>
  </si>
  <si>
    <t xml:space="preserve">池田　翔一</t>
  </si>
  <si>
    <t xml:space="preserve">八代高</t>
  </si>
  <si>
    <t xml:space="preserve">村田　惺</t>
  </si>
  <si>
    <t xml:space="preserve">相模原中等高</t>
  </si>
  <si>
    <t xml:space="preserve">篠原　歌</t>
  </si>
  <si>
    <t xml:space="preserve">上口　心大</t>
  </si>
  <si>
    <t xml:space="preserve">畑野　駿亮</t>
  </si>
  <si>
    <t xml:space="preserve">県西宮高</t>
  </si>
  <si>
    <r>
      <rPr>
        <sz val="10"/>
        <color rgb="FF000000"/>
        <rFont val="HGPｺﾞｼｯｸM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86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26:59</t>
    </r>
    <r>
      <rPr>
        <sz val="10"/>
        <color rgb="FF000000"/>
        <rFont val="WenQuanYi Zen Hei"/>
        <family val="2"/>
      </rPr>
      <t xml:space="preserve">）</t>
    </r>
  </si>
  <si>
    <t xml:space="preserve">田村　俊輔</t>
  </si>
  <si>
    <t xml:space="preserve">成塚　宗一郎</t>
  </si>
  <si>
    <t xml:space="preserve">伊奈学園総合高</t>
  </si>
  <si>
    <t xml:space="preserve">吉川　陽梧</t>
  </si>
  <si>
    <t xml:space="preserve">立命館宇治高</t>
  </si>
  <si>
    <t xml:space="preserve">小石沢頼人</t>
  </si>
  <si>
    <t xml:space="preserve">富田　暖</t>
  </si>
  <si>
    <t xml:space="preserve">鹿島学園高</t>
  </si>
  <si>
    <t xml:space="preserve">佐藤　開斗</t>
  </si>
  <si>
    <t xml:space="preserve">小川　真向</t>
  </si>
  <si>
    <t xml:space="preserve">佐原高</t>
  </si>
  <si>
    <t xml:space="preserve">渡辺　真紘</t>
  </si>
  <si>
    <t xml:space="preserve">佐野　嶺</t>
  </si>
  <si>
    <t xml:space="preserve">常葉大学菊川高</t>
  </si>
  <si>
    <t xml:space="preserve">大山　陸翔</t>
  </si>
  <si>
    <t xml:space="preserve">中部大一高</t>
  </si>
  <si>
    <t xml:space="preserve">武野谷　陸斗</t>
  </si>
  <si>
    <t xml:space="preserve">狭山ケ丘高</t>
  </si>
  <si>
    <t xml:space="preserve">田畑　泰司</t>
  </si>
  <si>
    <t xml:space="preserve">松土　翔</t>
  </si>
  <si>
    <t xml:space="preserve">北杜高</t>
  </si>
  <si>
    <t xml:space="preserve">田之頭　陽葵</t>
  </si>
  <si>
    <t xml:space="preserve">原　 　祥太</t>
  </si>
  <si>
    <t xml:space="preserve">柳　 　裕也</t>
  </si>
  <si>
    <t xml:space="preserve">犬塚　壮琉</t>
  </si>
  <si>
    <t xml:space="preserve">池亀　陽斗</t>
  </si>
  <si>
    <t xml:space="preserve">淑徳巣鴨高</t>
  </si>
  <si>
    <t xml:space="preserve">三田　海斗</t>
  </si>
  <si>
    <t xml:space="preserve">平野　颯太郎</t>
  </si>
  <si>
    <t xml:space="preserve">穴井　亮輔</t>
  </si>
  <si>
    <t xml:space="preserve">牧川　和真</t>
  </si>
  <si>
    <t xml:space="preserve">八代東高</t>
  </si>
  <si>
    <r>
      <rPr>
        <sz val="10"/>
        <color rgb="FF000000"/>
        <rFont val="HGPｺﾞｼｯｸM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48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27:30</t>
    </r>
    <r>
      <rPr>
        <sz val="10"/>
        <color rgb="FF000000"/>
        <rFont val="WenQuanYi Zen Hei"/>
        <family val="2"/>
      </rPr>
      <t xml:space="preserve">）</t>
    </r>
  </si>
  <si>
    <t xml:space="preserve">諏訪　暖人</t>
  </si>
  <si>
    <t xml:space="preserve">沼津東高</t>
  </si>
  <si>
    <t xml:space="preserve">高野　疾颯</t>
  </si>
  <si>
    <t xml:space="preserve">山下　倖</t>
  </si>
  <si>
    <t xml:space="preserve">多田　暖</t>
  </si>
  <si>
    <t xml:space="preserve">反町　徠翔</t>
  </si>
  <si>
    <t xml:space="preserve">健康福祉大高崎高</t>
  </si>
  <si>
    <t xml:space="preserve">市尻　太朗</t>
  </si>
  <si>
    <t xml:space="preserve">古川　咲音</t>
  </si>
  <si>
    <t xml:space="preserve">聖光学院高</t>
  </si>
  <si>
    <t xml:space="preserve">石黒誠直</t>
  </si>
  <si>
    <t xml:space="preserve">座間高</t>
  </si>
  <si>
    <t xml:space="preserve">細見　悠雅</t>
  </si>
  <si>
    <r>
      <rPr>
        <sz val="10"/>
        <color rgb="FF000000"/>
        <rFont val="HGPｺﾞｼｯｸM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37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24:54</t>
    </r>
    <r>
      <rPr>
        <sz val="10"/>
        <color rgb="FF000000"/>
        <rFont val="WenQuanYi Zen Hei"/>
        <family val="2"/>
      </rPr>
      <t xml:space="preserve">）</t>
    </r>
  </si>
  <si>
    <t xml:space="preserve">鶴田　有馬</t>
  </si>
  <si>
    <t xml:space="preserve">大村工高</t>
  </si>
  <si>
    <t xml:space="preserve">黒崎　琉聖</t>
  </si>
  <si>
    <t xml:space="preserve">東京高</t>
  </si>
  <si>
    <t xml:space="preserve">岡田　然</t>
  </si>
  <si>
    <t xml:space="preserve">黒沢　大夢</t>
  </si>
  <si>
    <t xml:space="preserve">鏡山　裕己</t>
  </si>
  <si>
    <t xml:space="preserve">相浦　友哉</t>
  </si>
  <si>
    <t xml:space="preserve">小林　洸政</t>
  </si>
  <si>
    <t xml:space="preserve">長岡工高</t>
  </si>
  <si>
    <t xml:space="preserve">大浜　悠生</t>
  </si>
  <si>
    <t xml:space="preserve">宇部鴻城高</t>
  </si>
  <si>
    <r>
      <rPr>
        <sz val="10"/>
        <color rgb="FF000000"/>
        <rFont val="HGPｺﾞｼｯｸM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58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8:52</t>
    </r>
    <r>
      <rPr>
        <sz val="10"/>
        <color rgb="FF000000"/>
        <rFont val="WenQuanYi Zen Hei"/>
        <family val="2"/>
      </rPr>
      <t xml:space="preserve">）</t>
    </r>
  </si>
  <si>
    <t xml:space="preserve">半谷　樹希翔</t>
  </si>
  <si>
    <t xml:space="preserve">至学館高</t>
  </si>
  <si>
    <t xml:space="preserve">植竹　優翔</t>
  </si>
  <si>
    <t xml:space="preserve">重面　怜音</t>
  </si>
  <si>
    <t xml:space="preserve">椎原　諒真</t>
  </si>
  <si>
    <t xml:space="preserve">坂田　悠翔</t>
  </si>
  <si>
    <t xml:space="preserve">大阪商大高</t>
  </si>
  <si>
    <t xml:space="preserve">斎藤　渉</t>
  </si>
  <si>
    <t xml:space="preserve">鈴木　遼真</t>
  </si>
  <si>
    <t xml:space="preserve">工藤　峻也</t>
  </si>
  <si>
    <t xml:space="preserve">秋田中央高</t>
  </si>
  <si>
    <t xml:space="preserve">本山　愁晴</t>
  </si>
  <si>
    <t xml:space="preserve">桜井　惇太</t>
  </si>
  <si>
    <t xml:space="preserve">黒野　雄大</t>
  </si>
  <si>
    <t xml:space="preserve">旭野高</t>
  </si>
  <si>
    <t xml:space="preserve">佐藤　駿宇</t>
  </si>
  <si>
    <t xml:space="preserve">新庄東高</t>
  </si>
  <si>
    <t xml:space="preserve">浜口一颯</t>
  </si>
  <si>
    <t xml:space="preserve">村上　瑛祐</t>
  </si>
  <si>
    <t xml:space="preserve">日体大柏高</t>
  </si>
  <si>
    <t xml:space="preserve">大塚　元輝</t>
  </si>
  <si>
    <t xml:space="preserve">松尾　昴</t>
  </si>
  <si>
    <r>
      <rPr>
        <sz val="10"/>
        <color rgb="FF000000"/>
        <rFont val="HGPｺﾞｼｯｸM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66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15:53</t>
    </r>
    <r>
      <rPr>
        <sz val="10"/>
        <color rgb="FF000000"/>
        <rFont val="WenQuanYi Zen Hei"/>
        <family val="2"/>
      </rPr>
      <t xml:space="preserve">）</t>
    </r>
  </si>
  <si>
    <t xml:space="preserve">米村　建人</t>
  </si>
  <si>
    <t xml:space="preserve">小室　璃空</t>
  </si>
  <si>
    <t xml:space="preserve">有馬高</t>
  </si>
  <si>
    <t xml:space="preserve">南雲　歩志</t>
  </si>
  <si>
    <t xml:space="preserve">八海高</t>
  </si>
  <si>
    <t xml:space="preserve">浜島　夏絆</t>
  </si>
  <si>
    <r>
      <rPr>
        <sz val="10"/>
        <color rgb="FF000000"/>
        <rFont val="HGPｺﾞｼｯｸM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46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26:33</t>
    </r>
    <r>
      <rPr>
        <sz val="10"/>
        <color rgb="FF000000"/>
        <rFont val="WenQuanYi Zen Hei"/>
        <family val="2"/>
      </rPr>
      <t xml:space="preserve">）</t>
    </r>
  </si>
  <si>
    <t xml:space="preserve">久光　航平</t>
  </si>
  <si>
    <t xml:space="preserve">延岡高</t>
  </si>
  <si>
    <t xml:space="preserve">真柄　伊吹</t>
  </si>
  <si>
    <t xml:space="preserve">新津高</t>
  </si>
  <si>
    <t xml:space="preserve">風祭　大和</t>
  </si>
  <si>
    <t xml:space="preserve">杉田　禅</t>
  </si>
  <si>
    <t xml:space="preserve">村里　聡太</t>
  </si>
  <si>
    <t xml:space="preserve">松山　拓実</t>
  </si>
  <si>
    <t xml:space="preserve">野崎　慶</t>
  </si>
  <si>
    <t xml:space="preserve">平林　涼</t>
  </si>
  <si>
    <t xml:space="preserve">北島　晃太朗</t>
  </si>
  <si>
    <t xml:space="preserve">鈴木佑馬</t>
  </si>
  <si>
    <t xml:space="preserve">加藤　慶弥</t>
  </si>
  <si>
    <r>
      <rPr>
        <sz val="10"/>
        <color rgb="FF000000"/>
        <rFont val="HGPｺﾞｼｯｸM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71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26:16</t>
    </r>
    <r>
      <rPr>
        <sz val="10"/>
        <color rgb="FF000000"/>
        <rFont val="WenQuanYi Zen Hei"/>
        <family val="2"/>
      </rPr>
      <t xml:space="preserve">）</t>
    </r>
  </si>
  <si>
    <t xml:space="preserve">井上　大堵</t>
  </si>
  <si>
    <t xml:space="preserve">藤岡　凌</t>
  </si>
  <si>
    <t xml:space="preserve">神戸市立高</t>
  </si>
  <si>
    <t xml:space="preserve">松井　大晴</t>
  </si>
  <si>
    <t xml:space="preserve">柳ケ浦高</t>
  </si>
  <si>
    <t xml:space="preserve">大川　暖人</t>
  </si>
  <si>
    <t xml:space="preserve">中根　俊</t>
  </si>
  <si>
    <t xml:space="preserve">元石川高</t>
  </si>
  <si>
    <t xml:space="preserve">高木　煌士</t>
  </si>
  <si>
    <t xml:space="preserve">市西京高</t>
  </si>
  <si>
    <r>
      <rPr>
        <sz val="10"/>
        <color rgb="FF000000"/>
        <rFont val="HGPｺﾞｼｯｸM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102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33:03</t>
    </r>
    <r>
      <rPr>
        <sz val="10"/>
        <color rgb="FF000000"/>
        <rFont val="WenQuanYi Zen Hei"/>
        <family val="2"/>
      </rPr>
      <t xml:space="preserve">）</t>
    </r>
  </si>
  <si>
    <t xml:space="preserve">茂木　琉一叶</t>
  </si>
  <si>
    <t xml:space="preserve">植田　七碧</t>
  </si>
  <si>
    <t xml:space="preserve">宝塚東高</t>
  </si>
  <si>
    <r>
      <rPr>
        <sz val="10"/>
        <color rgb="FF000000"/>
        <rFont val="HGPｺﾞｼｯｸM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107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34:10</t>
    </r>
    <r>
      <rPr>
        <sz val="10"/>
        <color rgb="FF000000"/>
        <rFont val="WenQuanYi Zen Hei"/>
        <family val="2"/>
      </rPr>
      <t xml:space="preserve">）</t>
    </r>
  </si>
  <si>
    <t xml:space="preserve">井上　広翔</t>
  </si>
  <si>
    <t xml:space="preserve">田口　瑛太</t>
  </si>
  <si>
    <t xml:space="preserve">山田　悠斗</t>
  </si>
  <si>
    <t xml:space="preserve">上田　怜央</t>
  </si>
  <si>
    <t xml:space="preserve">開建高</t>
  </si>
  <si>
    <t xml:space="preserve">中村　優希</t>
  </si>
  <si>
    <r>
      <rPr>
        <sz val="10"/>
        <color rgb="FF000000"/>
        <rFont val="HGPｺﾞｼｯｸM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90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27:07</t>
    </r>
    <r>
      <rPr>
        <sz val="10"/>
        <color rgb="FF000000"/>
        <rFont val="WenQuanYi Zen Hei"/>
        <family val="2"/>
      </rPr>
      <t xml:space="preserve">）</t>
    </r>
  </si>
  <si>
    <t xml:space="preserve">同名の別選手あり（高崎高）</t>
  </si>
  <si>
    <t xml:space="preserve">前成　翔大</t>
  </si>
  <si>
    <t xml:space="preserve">楽満　柊真</t>
  </si>
  <si>
    <t xml:space="preserve">鵬学園高</t>
  </si>
  <si>
    <t xml:space="preserve">桃尾　奏志</t>
  </si>
  <si>
    <t xml:space="preserve">神戸高塚高</t>
  </si>
  <si>
    <t xml:space="preserve">平田　央亮</t>
  </si>
  <si>
    <t xml:space="preserve">松本　大河</t>
  </si>
  <si>
    <t xml:space="preserve">堀出　謡</t>
  </si>
  <si>
    <t xml:space="preserve">小村　匠</t>
  </si>
  <si>
    <t xml:space="preserve">榊原　錬</t>
  </si>
  <si>
    <r>
      <rPr>
        <sz val="10"/>
        <color rgb="FF000000"/>
        <rFont val="HGPｺﾞｼｯｸM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70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15:48</t>
    </r>
    <r>
      <rPr>
        <sz val="10"/>
        <color rgb="FF000000"/>
        <rFont val="WenQuanYi Zen Hei"/>
        <family val="2"/>
      </rPr>
      <t xml:space="preserve">）</t>
    </r>
  </si>
  <si>
    <t xml:space="preserve">溝口　蒼太</t>
  </si>
  <si>
    <t xml:space="preserve">立花学園高</t>
  </si>
  <si>
    <t xml:space="preserve">鈴木　蒼真</t>
  </si>
  <si>
    <t xml:space="preserve">新垣　朝大</t>
  </si>
  <si>
    <t xml:space="preserve">田中　櫂吏</t>
  </si>
  <si>
    <t xml:space="preserve">三条高</t>
  </si>
  <si>
    <t xml:space="preserve">大隈　里玖</t>
  </si>
  <si>
    <t xml:space="preserve">橘田　太陽</t>
  </si>
  <si>
    <t xml:space="preserve">向井　駿</t>
  </si>
  <si>
    <t xml:space="preserve">戸高　友翔</t>
  </si>
  <si>
    <t xml:space="preserve">川野　稜樹</t>
  </si>
  <si>
    <t xml:space="preserve">富岡西高</t>
  </si>
  <si>
    <t xml:space="preserve">山下　陽南太</t>
  </si>
  <si>
    <t xml:space="preserve">岡村　奏汰</t>
  </si>
  <si>
    <t xml:space="preserve">野添　智葵</t>
  </si>
  <si>
    <t xml:space="preserve">小倉南高</t>
  </si>
  <si>
    <t xml:space="preserve">野口　匠</t>
  </si>
  <si>
    <t xml:space="preserve">石岡一高</t>
  </si>
  <si>
    <t xml:space="preserve">夜野　統真</t>
  </si>
  <si>
    <t xml:space="preserve">大津商高</t>
  </si>
  <si>
    <t xml:space="preserve">大場　俊輔</t>
  </si>
  <si>
    <t xml:space="preserve">木村　有友</t>
  </si>
  <si>
    <t xml:space="preserve">浅海　有星</t>
  </si>
  <si>
    <t xml:space="preserve">本間　日葵</t>
  </si>
  <si>
    <t xml:space="preserve">佐渡高</t>
  </si>
  <si>
    <t xml:space="preserve">星名　康希</t>
  </si>
  <si>
    <t xml:space="preserve">山口紋治郎</t>
  </si>
  <si>
    <t xml:space="preserve">創成館高</t>
  </si>
  <si>
    <t xml:space="preserve">山根　一希</t>
  </si>
  <si>
    <r>
      <rPr>
        <sz val="10"/>
        <color rgb="FF000000"/>
        <rFont val="HGPｺﾞｼｯｸM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88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27:03</t>
    </r>
    <r>
      <rPr>
        <sz val="10"/>
        <color rgb="FF000000"/>
        <rFont val="WenQuanYi Zen Hei"/>
        <family val="2"/>
      </rPr>
      <t xml:space="preserve">）</t>
    </r>
  </si>
  <si>
    <t xml:space="preserve">梅山　優志</t>
  </si>
  <si>
    <t xml:space="preserve">大分舞鶴高</t>
  </si>
  <si>
    <t xml:space="preserve">野下　慶太</t>
  </si>
  <si>
    <t xml:space="preserve">湘南工科大附高</t>
  </si>
  <si>
    <t xml:space="preserve">柴山　英士</t>
  </si>
  <si>
    <r>
      <rPr>
        <sz val="10"/>
        <color rgb="FF000000"/>
        <rFont val="HGPｺﾞｼｯｸM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33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16:20</t>
    </r>
    <r>
      <rPr>
        <sz val="10"/>
        <color rgb="FF000000"/>
        <rFont val="WenQuanYi Zen Hei"/>
        <family val="2"/>
      </rPr>
      <t xml:space="preserve">）</t>
    </r>
  </si>
  <si>
    <t xml:space="preserve">木村　蓮</t>
  </si>
  <si>
    <t xml:space="preserve">同名の別選手あり（平田高）</t>
  </si>
  <si>
    <t xml:space="preserve">高麗　颯太</t>
  </si>
  <si>
    <t xml:space="preserve">入江　陽希</t>
  </si>
  <si>
    <t xml:space="preserve">重村　仁稀</t>
  </si>
  <si>
    <t xml:space="preserve">秦野高</t>
  </si>
  <si>
    <t xml:space="preserve">石田　竜己</t>
  </si>
  <si>
    <t xml:space="preserve">石井　晴翔</t>
  </si>
  <si>
    <t xml:space="preserve">北川　依吹</t>
  </si>
  <si>
    <t xml:space="preserve">石井　翔</t>
  </si>
  <si>
    <t xml:space="preserve">よろしく真岡高</t>
  </si>
  <si>
    <t xml:space="preserve">小田島　啓吾</t>
  </si>
  <si>
    <t xml:space="preserve">及川　郁人</t>
  </si>
  <si>
    <t xml:space="preserve">横手高</t>
  </si>
  <si>
    <t xml:space="preserve">内田　悠斗</t>
  </si>
  <si>
    <t xml:space="preserve">大船高</t>
  </si>
  <si>
    <t xml:space="preserve">横山　数馬</t>
  </si>
  <si>
    <t xml:space="preserve">柴原　史弥</t>
  </si>
  <si>
    <t xml:space="preserve">須田　裕大</t>
  </si>
  <si>
    <t xml:space="preserve">桜美林高</t>
  </si>
  <si>
    <t xml:space="preserve">武下　爽祐</t>
  </si>
  <si>
    <t xml:space="preserve">清水　遥貴</t>
  </si>
  <si>
    <t xml:space="preserve">吉田　竣貴</t>
  </si>
  <si>
    <t xml:space="preserve">田中　明斗</t>
  </si>
  <si>
    <r>
      <rPr>
        <sz val="10"/>
        <color rgb="FF000000"/>
        <rFont val="HGPｺﾞｼｯｸM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53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28:26</t>
    </r>
    <r>
      <rPr>
        <sz val="10"/>
        <color rgb="FF000000"/>
        <rFont val="WenQuanYi Zen Hei"/>
        <family val="2"/>
      </rPr>
      <t xml:space="preserve">）</t>
    </r>
  </si>
  <si>
    <t xml:space="preserve">小沢逸己</t>
  </si>
  <si>
    <t xml:space="preserve">浜松工高</t>
  </si>
  <si>
    <t xml:space="preserve">田中　陽太</t>
  </si>
  <si>
    <t xml:space="preserve">吾妻中央高</t>
  </si>
  <si>
    <t xml:space="preserve">山口　怜士</t>
  </si>
  <si>
    <r>
      <rPr>
        <sz val="10"/>
        <color rgb="FF000000"/>
        <rFont val="HGPｺﾞｼｯｸM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92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27:11</t>
    </r>
    <r>
      <rPr>
        <sz val="10"/>
        <color rgb="FF000000"/>
        <rFont val="WenQuanYi Zen Hei"/>
        <family val="2"/>
      </rPr>
      <t xml:space="preserve">）</t>
    </r>
  </si>
  <si>
    <t xml:space="preserve">野口　優介</t>
  </si>
  <si>
    <t xml:space="preserve">種本　翔</t>
  </si>
  <si>
    <t xml:space="preserve">小林　咲斗</t>
  </si>
  <si>
    <t xml:space="preserve">井上　晄汰</t>
  </si>
  <si>
    <t xml:space="preserve">佐藤　光</t>
  </si>
  <si>
    <t xml:space="preserve">中沢　颯大</t>
  </si>
  <si>
    <t xml:space="preserve">大川　和真</t>
  </si>
  <si>
    <t xml:space="preserve">小玉　宗時朗</t>
  </si>
  <si>
    <t xml:space="preserve">大村　陽斗</t>
  </si>
  <si>
    <r>
      <rPr>
        <sz val="10"/>
        <color rgb="FF000000"/>
        <rFont val="HGPｺﾞｼｯｸM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29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9:08</t>
    </r>
    <r>
      <rPr>
        <sz val="10"/>
        <color rgb="FF000000"/>
        <rFont val="WenQuanYi Zen Hei"/>
        <family val="2"/>
      </rPr>
      <t xml:space="preserve">）</t>
    </r>
  </si>
  <si>
    <t xml:space="preserve">石坂　太季</t>
  </si>
  <si>
    <t xml:space="preserve">岡崎　隼士</t>
  </si>
  <si>
    <t xml:space="preserve">大社高</t>
  </si>
  <si>
    <t xml:space="preserve">菊池　玲音</t>
  </si>
  <si>
    <t xml:space="preserve">白鴎大足利高</t>
  </si>
  <si>
    <t xml:space="preserve">島宗　庚成</t>
  </si>
  <si>
    <t xml:space="preserve">高橋　空也</t>
  </si>
  <si>
    <t xml:space="preserve">山口　陽希</t>
  </si>
  <si>
    <t xml:space="preserve">城北学園城北高</t>
  </si>
  <si>
    <t xml:space="preserve">小川　陽生</t>
  </si>
  <si>
    <t xml:space="preserve">瀬田　淳太</t>
  </si>
  <si>
    <t xml:space="preserve">卯西　陽之</t>
  </si>
  <si>
    <t xml:space="preserve">太刀川　豪</t>
  </si>
  <si>
    <t xml:space="preserve">茅ケ崎市陸協</t>
  </si>
  <si>
    <t xml:space="preserve">渡辺　成理</t>
  </si>
  <si>
    <t xml:space="preserve">山田　健太</t>
  </si>
  <si>
    <t xml:space="preserve">大豆生田　竜世</t>
  </si>
  <si>
    <t xml:space="preserve">土谷　陸斗</t>
  </si>
  <si>
    <t xml:space="preserve">鈴木　結斗</t>
  </si>
  <si>
    <t xml:space="preserve">酢谷　椋太</t>
  </si>
  <si>
    <t xml:space="preserve">浜上　結心</t>
  </si>
  <si>
    <t xml:space="preserve">片岡　大河</t>
  </si>
  <si>
    <t xml:space="preserve">美祢青嶺高</t>
  </si>
  <si>
    <t xml:space="preserve">小椋　颯人</t>
  </si>
  <si>
    <t xml:space="preserve">修道高</t>
  </si>
  <si>
    <t xml:space="preserve">金子　泰蔵</t>
  </si>
  <si>
    <t xml:space="preserve">秋田高</t>
  </si>
  <si>
    <t xml:space="preserve">西田　聖哉</t>
  </si>
  <si>
    <t xml:space="preserve">玉井　悠斗</t>
  </si>
  <si>
    <t xml:space="preserve">四日市高</t>
  </si>
  <si>
    <t xml:space="preserve">小西　快</t>
  </si>
  <si>
    <t xml:space="preserve">白幡　希音</t>
  </si>
  <si>
    <t xml:space="preserve">鶴岡東高</t>
  </si>
  <si>
    <t xml:space="preserve">高橋　直之</t>
  </si>
  <si>
    <t xml:space="preserve">福山誠之館高</t>
  </si>
  <si>
    <t xml:space="preserve">石坂　翔</t>
  </si>
  <si>
    <t xml:space="preserve">田中　清士郎</t>
  </si>
  <si>
    <t xml:space="preserve">山崎　智也</t>
  </si>
  <si>
    <t xml:space="preserve">的場　大季</t>
  </si>
  <si>
    <t xml:space="preserve">札幌南高</t>
  </si>
  <si>
    <t xml:space="preserve">小林　大晟</t>
  </si>
  <si>
    <t xml:space="preserve">盛本　滝</t>
  </si>
  <si>
    <t xml:space="preserve">中村紳太郎</t>
  </si>
  <si>
    <t xml:space="preserve">佐世保北高</t>
  </si>
  <si>
    <t xml:space="preserve">甲田　優斗</t>
  </si>
  <si>
    <t xml:space="preserve">保土ケ谷高</t>
  </si>
  <si>
    <t xml:space="preserve">中山　陽登</t>
  </si>
  <si>
    <t xml:space="preserve">横浜翠嵐高</t>
  </si>
  <si>
    <t xml:space="preserve">野口　琉</t>
  </si>
  <si>
    <t xml:space="preserve">渡辺　流空</t>
  </si>
  <si>
    <t xml:space="preserve">稲田　応祐</t>
  </si>
  <si>
    <t xml:space="preserve">土谷　侑奨</t>
  </si>
  <si>
    <t xml:space="preserve">蕨高</t>
  </si>
  <si>
    <t xml:space="preserve">城　 　颯利</t>
  </si>
  <si>
    <t xml:space="preserve">鴫原　蒼祐</t>
  </si>
  <si>
    <t xml:space="preserve">桑原　幸水</t>
  </si>
  <si>
    <t xml:space="preserve">早稲田大阪高</t>
  </si>
  <si>
    <t xml:space="preserve">福田　煌叶</t>
  </si>
  <si>
    <t xml:space="preserve">松田　健汰</t>
  </si>
  <si>
    <t xml:space="preserve">星稜高</t>
  </si>
  <si>
    <t xml:space="preserve">新沢　愛翔</t>
  </si>
  <si>
    <t xml:space="preserve">伊藤　功太</t>
  </si>
  <si>
    <t xml:space="preserve">長浜　快柾</t>
  </si>
  <si>
    <t xml:space="preserve">諌早高</t>
  </si>
  <si>
    <t xml:space="preserve">森元　桜介</t>
  </si>
  <si>
    <t xml:space="preserve">北岡　瑛人</t>
  </si>
  <si>
    <t xml:space="preserve">鳥取中央育英高</t>
  </si>
  <si>
    <t xml:space="preserve">小西　温葵</t>
  </si>
  <si>
    <t xml:space="preserve">安永　陽悠</t>
  </si>
  <si>
    <t xml:space="preserve">宗像高</t>
  </si>
  <si>
    <t xml:space="preserve">橋　 　千景</t>
  </si>
  <si>
    <t xml:space="preserve">庄司　蓮</t>
  </si>
  <si>
    <t xml:space="preserve">藤原　柳希</t>
  </si>
  <si>
    <t xml:space="preserve">平野　裕介</t>
  </si>
  <si>
    <t xml:space="preserve">重成　篤希</t>
  </si>
  <si>
    <t xml:space="preserve">瀬戸口　侑聖</t>
  </si>
  <si>
    <t xml:space="preserve">夏井　敦慎</t>
  </si>
  <si>
    <t xml:space="preserve">篠田　恵太</t>
  </si>
  <si>
    <t xml:space="preserve">北見北斗高</t>
  </si>
  <si>
    <t xml:space="preserve">植原　康瑛</t>
  </si>
  <si>
    <t xml:space="preserve">笛吹高</t>
  </si>
  <si>
    <t xml:space="preserve">東出　海</t>
  </si>
  <si>
    <t xml:space="preserve">山口　蓮人</t>
  </si>
  <si>
    <t xml:space="preserve">河村　翔琉</t>
  </si>
  <si>
    <r>
      <rPr>
        <sz val="10"/>
        <color rgb="FF000000"/>
        <rFont val="HGPｺﾞｼｯｸM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30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9:00</t>
    </r>
    <r>
      <rPr>
        <sz val="10"/>
        <color rgb="FF000000"/>
        <rFont val="WenQuanYi Zen Hei"/>
        <family val="2"/>
      </rPr>
      <t xml:space="preserve">）</t>
    </r>
  </si>
  <si>
    <t xml:space="preserve">中松　丈</t>
  </si>
  <si>
    <r>
      <rPr>
        <sz val="10"/>
        <color rgb="FF000000"/>
        <rFont val="HGPｺﾞｼｯｸM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88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26:22</t>
    </r>
    <r>
      <rPr>
        <sz val="10"/>
        <color rgb="FF000000"/>
        <rFont val="WenQuanYi Zen Hei"/>
        <family val="2"/>
      </rPr>
      <t xml:space="preserve">）</t>
    </r>
  </si>
  <si>
    <t xml:space="preserve">福田　悠介</t>
  </si>
  <si>
    <t xml:space="preserve">都城工高</t>
  </si>
  <si>
    <t xml:space="preserve">古宇田　樹輝</t>
  </si>
  <si>
    <t xml:space="preserve">盛山　晴空</t>
  </si>
  <si>
    <t xml:space="preserve">佐藤　多聞</t>
  </si>
  <si>
    <t xml:space="preserve">新潟南高</t>
  </si>
  <si>
    <t xml:space="preserve">小島　孝太</t>
  </si>
  <si>
    <t xml:space="preserve">斎藤　瑚二郎</t>
  </si>
  <si>
    <t xml:space="preserve">五味　洸尊</t>
  </si>
  <si>
    <t xml:space="preserve">佐田野　永久</t>
  </si>
  <si>
    <t xml:space="preserve">古厩　慎二</t>
  </si>
  <si>
    <t xml:space="preserve">大和高</t>
  </si>
  <si>
    <t xml:space="preserve">小笠原　悠椰</t>
  </si>
  <si>
    <t xml:space="preserve">妹尾　大希</t>
  </si>
  <si>
    <t xml:space="preserve">藤本　悠平</t>
  </si>
  <si>
    <t xml:space="preserve">銭谷　光聖</t>
  </si>
  <si>
    <t xml:space="preserve">兵藤　陸都</t>
  </si>
  <si>
    <t xml:space="preserve">飯塚　想太</t>
  </si>
  <si>
    <t xml:space="preserve">清田　航羽</t>
  </si>
  <si>
    <t xml:space="preserve">津上　皓丞</t>
  </si>
  <si>
    <t xml:space="preserve">伊藤　蒼</t>
  </si>
  <si>
    <t xml:space="preserve">高岡　帝</t>
  </si>
  <si>
    <t xml:space="preserve">林　 　和輝</t>
  </si>
  <si>
    <t xml:space="preserve">佐野本　大地</t>
  </si>
  <si>
    <t xml:space="preserve">首藤　聡汰</t>
  </si>
  <si>
    <t xml:space="preserve">高木龍太郎</t>
  </si>
  <si>
    <t xml:space="preserve">峰野　椋太</t>
  </si>
  <si>
    <t xml:space="preserve">久野　温正</t>
  </si>
  <si>
    <t xml:space="preserve">判治　直哉</t>
  </si>
  <si>
    <t xml:space="preserve">西田　泰斗</t>
  </si>
  <si>
    <r>
      <rPr>
        <sz val="10"/>
        <color rgb="FF000000"/>
        <rFont val="HGPｺﾞｼｯｸM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32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16:16</t>
    </r>
    <r>
      <rPr>
        <sz val="10"/>
        <color rgb="FF000000"/>
        <rFont val="WenQuanYi Zen Hei"/>
        <family val="2"/>
      </rPr>
      <t xml:space="preserve">）</t>
    </r>
  </si>
  <si>
    <t xml:space="preserve">高島　悠成</t>
  </si>
  <si>
    <t xml:space="preserve">小阪　琉碧</t>
  </si>
  <si>
    <t xml:space="preserve">長谷川　皓平</t>
  </si>
  <si>
    <t xml:space="preserve">上妻　悠哉</t>
  </si>
  <si>
    <t xml:space="preserve">熊本国府高</t>
  </si>
  <si>
    <r>
      <rPr>
        <sz val="10"/>
        <color rgb="FF000000"/>
        <rFont val="HGPｺﾞｼｯｸM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51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27:09</t>
    </r>
    <r>
      <rPr>
        <sz val="10"/>
        <color rgb="FF000000"/>
        <rFont val="WenQuanYi Zen Hei"/>
        <family val="2"/>
      </rPr>
      <t xml:space="preserve">）</t>
    </r>
  </si>
  <si>
    <t xml:space="preserve">篠藤　涼太</t>
  </si>
  <si>
    <t xml:space="preserve">浜名　海里</t>
  </si>
  <si>
    <t xml:space="preserve">村山　功揮</t>
  </si>
  <si>
    <t xml:space="preserve">多々良　亮那</t>
  </si>
  <si>
    <t xml:space="preserve">吉野　優大</t>
  </si>
  <si>
    <t xml:space="preserve">若生　翼</t>
  </si>
  <si>
    <t xml:space="preserve">舞岡高</t>
  </si>
  <si>
    <t xml:space="preserve">大久保　太晴</t>
  </si>
  <si>
    <t xml:space="preserve">専大熊本高</t>
  </si>
  <si>
    <t xml:space="preserve">野口祐之介</t>
  </si>
  <si>
    <t xml:space="preserve">望月　光太</t>
  </si>
  <si>
    <t xml:space="preserve">鈴木　竣太</t>
  </si>
  <si>
    <t xml:space="preserve">座光寺　奏</t>
  </si>
  <si>
    <t xml:space="preserve">小松　大将</t>
  </si>
  <si>
    <t xml:space="preserve">木南　佑哉</t>
  </si>
  <si>
    <t xml:space="preserve">成田　陸翔</t>
  </si>
  <si>
    <t xml:space="preserve">熊谷西高</t>
  </si>
  <si>
    <t xml:space="preserve">頼正　悠人</t>
  </si>
  <si>
    <t xml:space="preserve">岡山朝日高</t>
  </si>
  <si>
    <t xml:space="preserve">堀　 　早汰</t>
  </si>
  <si>
    <t xml:space="preserve">坂口　智明</t>
  </si>
  <si>
    <t xml:space="preserve">市葺合高</t>
  </si>
  <si>
    <t xml:space="preserve">田中　智仁</t>
  </si>
  <si>
    <t xml:space="preserve">浦和高</t>
  </si>
  <si>
    <t xml:space="preserve">緒方　悠人</t>
  </si>
  <si>
    <t xml:space="preserve">糸島高</t>
  </si>
  <si>
    <t xml:space="preserve">中尾　瞭佑</t>
  </si>
  <si>
    <t xml:space="preserve">和田　龍真</t>
  </si>
  <si>
    <t xml:space="preserve">燕　 　文哉</t>
  </si>
  <si>
    <t xml:space="preserve">山田　漣</t>
  </si>
  <si>
    <t xml:space="preserve">品田　新雄</t>
  </si>
  <si>
    <t xml:space="preserve">三沢高</t>
  </si>
  <si>
    <t xml:space="preserve">伊藤　成</t>
  </si>
  <si>
    <t xml:space="preserve">辻江　皓</t>
  </si>
  <si>
    <t xml:space="preserve">秋元　一葵</t>
  </si>
  <si>
    <t xml:space="preserve">都昭和高</t>
  </si>
  <si>
    <t xml:space="preserve">俣野　煌大</t>
  </si>
  <si>
    <t xml:space="preserve">三明　淳一</t>
  </si>
  <si>
    <t xml:space="preserve">大多和学園開星高</t>
  </si>
  <si>
    <t xml:space="preserve">中嶋　悠翔</t>
  </si>
  <si>
    <t xml:space="preserve">井沢　輝</t>
  </si>
  <si>
    <t xml:space="preserve">木川　恒輝</t>
  </si>
  <si>
    <t xml:space="preserve">条野　冬也</t>
  </si>
  <si>
    <t xml:space="preserve">菊池　悠太</t>
  </si>
  <si>
    <t xml:space="preserve">盛岡市立高</t>
  </si>
  <si>
    <t xml:space="preserve">野口　諒太郎</t>
  </si>
  <si>
    <t xml:space="preserve">八王子高</t>
  </si>
  <si>
    <t xml:space="preserve">竹内　孔哉</t>
  </si>
  <si>
    <t xml:space="preserve">名城大附高</t>
  </si>
  <si>
    <t xml:space="preserve">岡本　玲哉</t>
  </si>
  <si>
    <t xml:space="preserve">校名表記：智弁和歌山／智弁学園和歌山高</t>
  </si>
  <si>
    <t xml:space="preserve">角掛　涼太</t>
  </si>
  <si>
    <t xml:space="preserve">金泉　陽向</t>
  </si>
  <si>
    <t xml:space="preserve">松本　玄</t>
  </si>
  <si>
    <t xml:space="preserve">野副　智葵</t>
  </si>
  <si>
    <t xml:space="preserve">高橋　泰晴</t>
  </si>
  <si>
    <t xml:space="preserve">法大Ⅱ部高</t>
  </si>
  <si>
    <t xml:space="preserve">石沢　聖成</t>
  </si>
  <si>
    <t xml:space="preserve">加茂　史也</t>
  </si>
  <si>
    <t xml:space="preserve">姫野　来都</t>
  </si>
  <si>
    <t xml:space="preserve">小海　温人</t>
  </si>
  <si>
    <t xml:space="preserve">上田　陽士</t>
  </si>
  <si>
    <t xml:space="preserve">小津高</t>
  </si>
  <si>
    <t xml:space="preserve">長野　煌史</t>
  </si>
  <si>
    <t xml:space="preserve">辻江　晧</t>
  </si>
  <si>
    <t xml:space="preserve">深谷　将寛</t>
  </si>
  <si>
    <t xml:space="preserve">石田　握杜</t>
  </si>
  <si>
    <t xml:space="preserve">箕面自由学園高</t>
  </si>
  <si>
    <t xml:space="preserve">野口　遼太郎</t>
  </si>
  <si>
    <t xml:space="preserve">西村　駿汰</t>
  </si>
  <si>
    <t xml:space="preserve">県岐阜商高</t>
  </si>
  <si>
    <r>
      <rPr>
        <sz val="10"/>
        <color rgb="FF000000"/>
        <rFont val="HGPｺﾞｼｯｸM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96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32:22</t>
    </r>
    <r>
      <rPr>
        <sz val="10"/>
        <color rgb="FF000000"/>
        <rFont val="WenQuanYi Zen Hei"/>
        <family val="2"/>
      </rPr>
      <t xml:space="preserve">）</t>
    </r>
  </si>
  <si>
    <t xml:space="preserve">古川　幸典</t>
  </si>
  <si>
    <t xml:space="preserve">福岡大附大濠高</t>
  </si>
  <si>
    <t xml:space="preserve">丸山　駿介</t>
  </si>
  <si>
    <t xml:space="preserve">田村　龍</t>
  </si>
  <si>
    <t xml:space="preserve">松山北高</t>
  </si>
  <si>
    <t xml:space="preserve">鈴木　蓮太郎</t>
  </si>
  <si>
    <t xml:space="preserve">津村　輝真</t>
  </si>
  <si>
    <r>
      <rPr>
        <sz val="10"/>
        <color rgb="FF000000"/>
        <rFont val="HGPｺﾞｼｯｸM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42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15:15</t>
    </r>
    <r>
      <rPr>
        <sz val="10"/>
        <color rgb="FF000000"/>
        <rFont val="WenQuanYi Zen Hei"/>
        <family val="2"/>
      </rPr>
      <t xml:space="preserve">）</t>
    </r>
  </si>
  <si>
    <t xml:space="preserve">山口　祐生</t>
  </si>
  <si>
    <t xml:space="preserve">河野　柊輝</t>
  </si>
  <si>
    <t xml:space="preserve">牧野　快飛</t>
  </si>
  <si>
    <t xml:space="preserve">富士高</t>
  </si>
  <si>
    <t xml:space="preserve">小林　泰地</t>
  </si>
  <si>
    <t xml:space="preserve">姫路西高</t>
  </si>
  <si>
    <t xml:space="preserve">谷　 　圭悟</t>
  </si>
  <si>
    <t xml:space="preserve">近藤　聖真</t>
  </si>
  <si>
    <t xml:space="preserve">弘大医陸高</t>
  </si>
  <si>
    <t xml:space="preserve">古堅　翔也</t>
  </si>
  <si>
    <t xml:space="preserve">那覇西高</t>
  </si>
  <si>
    <t xml:space="preserve">尾崎　柾斗</t>
  </si>
  <si>
    <t xml:space="preserve">桜丘高</t>
  </si>
  <si>
    <t xml:space="preserve">高山　慧太</t>
  </si>
  <si>
    <t xml:space="preserve">谷口　隼太</t>
  </si>
  <si>
    <t xml:space="preserve">長岡　佑悟</t>
  </si>
  <si>
    <t xml:space="preserve">宇和島東高</t>
  </si>
  <si>
    <r>
      <rPr>
        <sz val="10"/>
        <color rgb="FF000000"/>
        <rFont val="HGPｺﾞｼｯｸM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103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33:10</t>
    </r>
    <r>
      <rPr>
        <sz val="10"/>
        <color rgb="FF000000"/>
        <rFont val="WenQuanYi Zen Hei"/>
        <family val="2"/>
      </rPr>
      <t xml:space="preserve">）</t>
    </r>
  </si>
  <si>
    <t xml:space="preserve">津田野　凌</t>
  </si>
  <si>
    <r>
      <rPr>
        <sz val="10"/>
        <color rgb="FF000000"/>
        <rFont val="HGPｺﾞｼｯｸM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100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27:32</t>
    </r>
    <r>
      <rPr>
        <sz val="10"/>
        <color rgb="FF000000"/>
        <rFont val="WenQuanYi Zen Hei"/>
        <family val="2"/>
      </rPr>
      <t xml:space="preserve">）</t>
    </r>
  </si>
  <si>
    <t xml:space="preserve">綱　 　望夢</t>
  </si>
  <si>
    <t xml:space="preserve">埼玉陸協</t>
  </si>
  <si>
    <t xml:space="preserve">岡田　一輝</t>
  </si>
  <si>
    <t xml:space="preserve">向陽高</t>
  </si>
  <si>
    <t xml:space="preserve">本間　遥裕</t>
  </si>
  <si>
    <t xml:space="preserve">塚本　真優斗</t>
  </si>
  <si>
    <t xml:space="preserve">皇学館高</t>
  </si>
  <si>
    <t xml:space="preserve">吉川　僚</t>
  </si>
  <si>
    <t xml:space="preserve">西湘高</t>
  </si>
  <si>
    <t xml:space="preserve">広田　悠斗</t>
  </si>
  <si>
    <t xml:space="preserve">岩美高</t>
  </si>
  <si>
    <t xml:space="preserve">関沢　陽希</t>
  </si>
  <si>
    <t xml:space="preserve">水島　優</t>
  </si>
  <si>
    <t xml:space="preserve">上田　康誠</t>
  </si>
  <si>
    <t xml:space="preserve">野口　慎悟</t>
  </si>
  <si>
    <t xml:space="preserve">帝京長岡高</t>
  </si>
  <si>
    <t xml:space="preserve">楠　 　璽帥</t>
  </si>
  <si>
    <t xml:space="preserve">富岡　弥雲</t>
  </si>
  <si>
    <t xml:space="preserve">横山　大翔</t>
  </si>
  <si>
    <t xml:space="preserve">菖池　隆介</t>
  </si>
  <si>
    <t xml:space="preserve">一宮高</t>
  </si>
  <si>
    <t xml:space="preserve">皆川　航瑠</t>
  </si>
  <si>
    <t xml:space="preserve">札幌一高</t>
  </si>
  <si>
    <t xml:space="preserve">佐藤　有人</t>
  </si>
  <si>
    <t xml:space="preserve">平田　琉晟</t>
  </si>
  <si>
    <t xml:space="preserve">愛知産大三河高</t>
  </si>
  <si>
    <t xml:space="preserve">湯川　瑛斗</t>
  </si>
  <si>
    <t xml:space="preserve">勝呂　颯太</t>
  </si>
  <si>
    <t xml:space="preserve">山本希海</t>
  </si>
  <si>
    <t xml:space="preserve">武田　真統</t>
  </si>
  <si>
    <t xml:space="preserve">小島　隆暉</t>
  </si>
  <si>
    <t xml:space="preserve">坂本　智哉</t>
  </si>
  <si>
    <t xml:space="preserve">宇土高</t>
  </si>
  <si>
    <t xml:space="preserve">久保田莉央</t>
  </si>
  <si>
    <t xml:space="preserve">茂籠　和生</t>
  </si>
  <si>
    <t xml:space="preserve">山中　悠輔</t>
  </si>
  <si>
    <r>
      <rPr>
        <sz val="10"/>
        <color rgb="FF000000"/>
        <rFont val="HGPｺﾞｼｯｸM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69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15:58</t>
    </r>
    <r>
      <rPr>
        <sz val="10"/>
        <color rgb="FF000000"/>
        <rFont val="WenQuanYi Zen Hei"/>
        <family val="2"/>
      </rPr>
      <t xml:space="preserve">）</t>
    </r>
  </si>
  <si>
    <t xml:space="preserve">雜賀　温大</t>
  </si>
  <si>
    <t xml:space="preserve">高山　力帆</t>
  </si>
  <si>
    <t xml:space="preserve">浜松商高</t>
  </si>
  <si>
    <t xml:space="preserve">浅海　太勇</t>
  </si>
  <si>
    <t xml:space="preserve">坂野　優心</t>
  </si>
  <si>
    <t xml:space="preserve">藤沢　勝猛</t>
  </si>
  <si>
    <t xml:space="preserve">市立太田高</t>
  </si>
  <si>
    <t xml:space="preserve">立花　愛士</t>
  </si>
  <si>
    <t xml:space="preserve">飾磨工高</t>
  </si>
  <si>
    <t xml:space="preserve">須藤　幸輝</t>
  </si>
  <si>
    <t xml:space="preserve">下妻一高</t>
  </si>
  <si>
    <t xml:space="preserve">奥村　瑛斗</t>
  </si>
  <si>
    <r>
      <rPr>
        <sz val="10"/>
        <color rgb="FF000000"/>
        <rFont val="HGPｺﾞｼｯｸM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35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9:38</t>
    </r>
    <r>
      <rPr>
        <sz val="10"/>
        <color rgb="FF000000"/>
        <rFont val="WenQuanYi Zen Hei"/>
        <family val="2"/>
      </rPr>
      <t xml:space="preserve">）</t>
    </r>
  </si>
  <si>
    <t xml:space="preserve">河合　淳之介</t>
  </si>
  <si>
    <t xml:space="preserve">東　 　直輝</t>
  </si>
  <si>
    <t xml:space="preserve">荒　 　遥斗</t>
  </si>
  <si>
    <t xml:space="preserve">掛川西高</t>
  </si>
  <si>
    <t xml:space="preserve">紀　 　将司</t>
  </si>
  <si>
    <t xml:space="preserve">上原　衣月</t>
  </si>
  <si>
    <t xml:space="preserve">後藤　漱介</t>
  </si>
  <si>
    <t xml:space="preserve">森下真乃介</t>
  </si>
  <si>
    <t xml:space="preserve">杉本　瑛汰</t>
  </si>
  <si>
    <t xml:space="preserve">札幌東高</t>
  </si>
  <si>
    <t xml:space="preserve">西原　蒼士</t>
  </si>
  <si>
    <t xml:space="preserve">古川　寛貴</t>
  </si>
  <si>
    <t xml:space="preserve">田中　遥</t>
  </si>
  <si>
    <t xml:space="preserve">福岡高</t>
  </si>
  <si>
    <t xml:space="preserve">中村　公洋</t>
  </si>
  <si>
    <t xml:space="preserve">船橋芝山高</t>
  </si>
  <si>
    <t xml:space="preserve">名倉　立晟</t>
  </si>
  <si>
    <t xml:space="preserve">浜松北高</t>
  </si>
  <si>
    <t xml:space="preserve">唐木　陽大</t>
  </si>
  <si>
    <t xml:space="preserve">中川　琉暉</t>
  </si>
  <si>
    <t xml:space="preserve">山崎　湊太</t>
  </si>
  <si>
    <t xml:space="preserve">渋谷　諒</t>
  </si>
  <si>
    <t xml:space="preserve">三郷高</t>
  </si>
  <si>
    <t xml:space="preserve">久保　凪杜</t>
  </si>
  <si>
    <t xml:space="preserve">東海大附浦安高</t>
  </si>
  <si>
    <t xml:space="preserve">塩谷幸之助</t>
  </si>
  <si>
    <t xml:space="preserve">岡本　湧善</t>
  </si>
  <si>
    <t xml:space="preserve">浜口　昊太郎</t>
  </si>
  <si>
    <t xml:space="preserve">志学館高</t>
  </si>
  <si>
    <t xml:space="preserve">宮　 　大惺</t>
  </si>
  <si>
    <t xml:space="preserve">内野　遥翔</t>
  </si>
  <si>
    <t xml:space="preserve">野村　一馬</t>
  </si>
  <si>
    <t xml:space="preserve">松本　湊</t>
  </si>
  <si>
    <t xml:space="preserve">五島高</t>
  </si>
  <si>
    <t xml:space="preserve">一柳　航</t>
  </si>
  <si>
    <t xml:space="preserve">小牧高</t>
  </si>
  <si>
    <t xml:space="preserve">本田　皐介</t>
  </si>
  <si>
    <t xml:space="preserve">水戸　海志</t>
  </si>
  <si>
    <t xml:space="preserve">北広島高</t>
  </si>
  <si>
    <t xml:space="preserve">兼松　翔大</t>
  </si>
  <si>
    <t xml:space="preserve">嵯峨山　広太</t>
  </si>
  <si>
    <t xml:space="preserve">春日丘高</t>
  </si>
  <si>
    <t xml:space="preserve">三浦　颯斗</t>
  </si>
  <si>
    <t xml:space="preserve">尽誠学園高</t>
  </si>
  <si>
    <t xml:space="preserve">二見　樹</t>
  </si>
  <si>
    <t xml:space="preserve">小橋川　祐晟</t>
  </si>
  <si>
    <t xml:space="preserve">大釜　奏介</t>
  </si>
  <si>
    <t xml:space="preserve">追手門学院高</t>
  </si>
  <si>
    <t xml:space="preserve">水師　蒼太郎</t>
  </si>
  <si>
    <t xml:space="preserve">松江高</t>
  </si>
  <si>
    <t xml:space="preserve">校名表記：松江高専／松江高</t>
  </si>
  <si>
    <t xml:space="preserve">鈴木　龍河</t>
  </si>
  <si>
    <t xml:space="preserve">安藤陽太郎</t>
  </si>
  <si>
    <t xml:space="preserve">後藤　連</t>
  </si>
  <si>
    <t xml:space="preserve">成沢　尚希</t>
  </si>
  <si>
    <t xml:space="preserve">松代高</t>
  </si>
  <si>
    <t xml:space="preserve">田中　智葵</t>
  </si>
  <si>
    <t xml:space="preserve">西北苦楽園高</t>
  </si>
  <si>
    <t xml:space="preserve">古谷　太一</t>
  </si>
  <si>
    <t xml:space="preserve">樋口　翔優</t>
  </si>
  <si>
    <t xml:space="preserve">三池工高</t>
  </si>
  <si>
    <t xml:space="preserve">田宮　広翔</t>
  </si>
  <si>
    <t xml:space="preserve">前川　天輔</t>
  </si>
  <si>
    <t xml:space="preserve">神戸市科技高</t>
  </si>
  <si>
    <t xml:space="preserve">山口　隼</t>
  </si>
  <si>
    <t xml:space="preserve">松商学園高</t>
  </si>
  <si>
    <t xml:space="preserve">波間　優弥</t>
  </si>
  <si>
    <t xml:space="preserve">新発田中央高</t>
  </si>
  <si>
    <t xml:space="preserve">杉山　聖弥</t>
  </si>
  <si>
    <t xml:space="preserve">白樺学園高</t>
  </si>
  <si>
    <t xml:space="preserve">海老原　滉斗</t>
  </si>
  <si>
    <t xml:space="preserve">中熊　輝翔</t>
  </si>
  <si>
    <t xml:space="preserve">宮園　就也</t>
  </si>
  <si>
    <t xml:space="preserve">加治木高</t>
  </si>
  <si>
    <t xml:space="preserve">時本　悠生</t>
  </si>
  <si>
    <t xml:space="preserve">宝塚高</t>
  </si>
  <si>
    <r>
      <rPr>
        <sz val="10"/>
        <color rgb="FF000000"/>
        <rFont val="HGPｺﾞｼｯｸM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75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15:55</t>
    </r>
    <r>
      <rPr>
        <sz val="10"/>
        <color rgb="FF000000"/>
        <rFont val="WenQuanYi Zen Hei"/>
        <family val="2"/>
      </rPr>
      <t xml:space="preserve">）</t>
    </r>
  </si>
  <si>
    <t xml:space="preserve">坂爪　樹</t>
  </si>
  <si>
    <t xml:space="preserve">越谷北高</t>
  </si>
  <si>
    <t xml:space="preserve">石田　拓也</t>
  </si>
  <si>
    <t xml:space="preserve">水戸商高</t>
  </si>
  <si>
    <t xml:space="preserve">小森　奏介</t>
  </si>
  <si>
    <t xml:space="preserve">高岡商高</t>
  </si>
  <si>
    <t xml:space="preserve">比嘉　大輔</t>
  </si>
  <si>
    <r>
      <rPr>
        <sz val="10"/>
        <color rgb="FF000000"/>
        <rFont val="HGPｺﾞｼｯｸM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66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26:06</t>
    </r>
    <r>
      <rPr>
        <sz val="10"/>
        <color rgb="FF000000"/>
        <rFont val="WenQuanYi Zen Hei"/>
        <family val="2"/>
      </rPr>
      <t xml:space="preserve">）</t>
    </r>
  </si>
  <si>
    <t xml:space="preserve">平尾　輝久斗</t>
  </si>
  <si>
    <t xml:space="preserve">箕浦　新太</t>
  </si>
  <si>
    <t xml:space="preserve">城北高</t>
  </si>
  <si>
    <t xml:space="preserve">金井　孝太朗</t>
  </si>
  <si>
    <t xml:space="preserve">高崎高</t>
  </si>
  <si>
    <t xml:space="preserve">和田　遼大</t>
  </si>
  <si>
    <t xml:space="preserve">鹿角高</t>
  </si>
  <si>
    <t xml:space="preserve">小柳　和寛</t>
  </si>
  <si>
    <t xml:space="preserve">関西大倉高</t>
  </si>
  <si>
    <t xml:space="preserve">斎藤　鳳珠</t>
  </si>
  <si>
    <t xml:space="preserve">斎藤　陽</t>
  </si>
  <si>
    <t xml:space="preserve">中村　優月</t>
  </si>
  <si>
    <t xml:space="preserve">弥城　優太</t>
  </si>
  <si>
    <t xml:space="preserve">姫路工高</t>
  </si>
  <si>
    <t xml:space="preserve">小林　煌来</t>
  </si>
  <si>
    <t xml:space="preserve">大宮東高</t>
  </si>
  <si>
    <t xml:space="preserve">渡辺　圭汰</t>
  </si>
  <si>
    <t xml:space="preserve">横浜高</t>
  </si>
  <si>
    <t xml:space="preserve">清水　誠多朗</t>
  </si>
  <si>
    <t xml:space="preserve">大谷高</t>
  </si>
  <si>
    <t xml:space="preserve">加藤　陸斗</t>
  </si>
  <si>
    <t xml:space="preserve">仙台大附明成高</t>
  </si>
  <si>
    <t xml:space="preserve">東海　壮祐</t>
  </si>
  <si>
    <t xml:space="preserve">弘前南高</t>
  </si>
  <si>
    <t xml:space="preserve">柏木　紡</t>
  </si>
  <si>
    <t xml:space="preserve">津島東</t>
  </si>
  <si>
    <t xml:space="preserve">井上　海人</t>
  </si>
  <si>
    <t xml:space="preserve">聖光高</t>
  </si>
  <si>
    <t xml:space="preserve">高田　秀優</t>
  </si>
  <si>
    <t xml:space="preserve">岩崎　大芽</t>
  </si>
  <si>
    <t xml:space="preserve">鴨沂高</t>
  </si>
  <si>
    <t xml:space="preserve">北野谷　光騎</t>
  </si>
  <si>
    <t xml:space="preserve">佐藤　優志</t>
  </si>
  <si>
    <t xml:space="preserve">山下　実臣</t>
  </si>
  <si>
    <t xml:space="preserve">津島東高</t>
  </si>
  <si>
    <t xml:space="preserve">中屋　拓望</t>
  </si>
  <si>
    <t xml:space="preserve">富山東高</t>
  </si>
  <si>
    <t xml:space="preserve">松本　青龍</t>
  </si>
  <si>
    <t xml:space="preserve">日向高</t>
  </si>
  <si>
    <t xml:space="preserve">鈴木　祐磨</t>
  </si>
  <si>
    <t xml:space="preserve">日大山形高</t>
  </si>
  <si>
    <t xml:space="preserve">新藤　響</t>
  </si>
  <si>
    <t xml:space="preserve">佐藤　銀河</t>
  </si>
  <si>
    <t xml:space="preserve">九里学園高</t>
  </si>
  <si>
    <t xml:space="preserve">大河内　健太郎</t>
  </si>
  <si>
    <t xml:space="preserve">蒔田　晃己</t>
  </si>
  <si>
    <t xml:space="preserve">八戸西高</t>
  </si>
  <si>
    <t xml:space="preserve">山本　岳</t>
  </si>
  <si>
    <t xml:space="preserve">横浜南高</t>
  </si>
  <si>
    <t xml:space="preserve">袖　 　瑞希</t>
  </si>
  <si>
    <t xml:space="preserve">三輪　航大</t>
  </si>
  <si>
    <t xml:space="preserve">大津緑洋高</t>
  </si>
  <si>
    <t xml:space="preserve">竹田　大翔</t>
  </si>
  <si>
    <t xml:space="preserve">水篠　春樹</t>
  </si>
  <si>
    <t xml:space="preserve">八尾高</t>
  </si>
  <si>
    <r>
      <rPr>
        <sz val="10"/>
        <color rgb="FF000000"/>
        <rFont val="HGPｺﾞｼｯｸM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106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17:39</t>
    </r>
    <r>
      <rPr>
        <sz val="10"/>
        <color rgb="FF000000"/>
        <rFont val="WenQuanYi Zen Hei"/>
        <family val="2"/>
      </rPr>
      <t xml:space="preserve">）</t>
    </r>
  </si>
  <si>
    <t xml:space="preserve">丸山　皓大</t>
  </si>
  <si>
    <t xml:space="preserve">金子　怜矢</t>
  </si>
  <si>
    <t xml:space="preserve">不動岡高</t>
  </si>
  <si>
    <t xml:space="preserve">星野　葵</t>
  </si>
  <si>
    <t xml:space="preserve">前田　泰我</t>
  </si>
  <si>
    <t xml:space="preserve">太田　至</t>
  </si>
  <si>
    <t xml:space="preserve">山下未来叶</t>
  </si>
  <si>
    <t xml:space="preserve">兵庫高</t>
  </si>
  <si>
    <t xml:space="preserve">仲尾　勇翔</t>
  </si>
  <si>
    <t xml:space="preserve">大宮南高</t>
  </si>
  <si>
    <t xml:space="preserve">有本　陸</t>
  </si>
  <si>
    <t xml:space="preserve">九平　来鷲</t>
  </si>
  <si>
    <t xml:space="preserve">石黒　和楽</t>
  </si>
  <si>
    <t xml:space="preserve">広島叡智学園高</t>
  </si>
  <si>
    <t xml:space="preserve">沢田　駈琉</t>
  </si>
  <si>
    <t xml:space="preserve">常葉大附菊川高</t>
  </si>
  <si>
    <t xml:space="preserve">水野　悠一朗</t>
  </si>
  <si>
    <t xml:space="preserve">東海南高</t>
  </si>
  <si>
    <t xml:space="preserve">竹本　珠吏</t>
  </si>
  <si>
    <t xml:space="preserve">岡田　篤弥</t>
  </si>
  <si>
    <t xml:space="preserve">白木　海音</t>
  </si>
  <si>
    <t xml:space="preserve">岡田　逞斗</t>
  </si>
  <si>
    <t xml:space="preserve">布野　央士</t>
  </si>
  <si>
    <t xml:space="preserve">神永直太朗</t>
  </si>
  <si>
    <t xml:space="preserve">松川　龍世</t>
  </si>
  <si>
    <t xml:space="preserve">本多　皇春</t>
  </si>
  <si>
    <t xml:space="preserve">福崎　エスネイデル</t>
  </si>
  <si>
    <t xml:space="preserve">播磨南高</t>
  </si>
  <si>
    <t xml:space="preserve">遠藤　一継</t>
  </si>
  <si>
    <t xml:space="preserve">東川高</t>
  </si>
  <si>
    <t xml:space="preserve">山本　碧</t>
  </si>
  <si>
    <r>
      <rPr>
        <sz val="10"/>
        <color rgb="FF000000"/>
        <rFont val="HGPｺﾞｼｯｸM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98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17:18</t>
    </r>
    <r>
      <rPr>
        <sz val="10"/>
        <color rgb="FF000000"/>
        <rFont val="WenQuanYi Zen Hei"/>
        <family val="2"/>
      </rPr>
      <t xml:space="preserve">）</t>
    </r>
  </si>
  <si>
    <t xml:space="preserve">小島　典粋</t>
  </si>
  <si>
    <t xml:space="preserve">天野　晃汰</t>
  </si>
  <si>
    <t xml:space="preserve">小峰　太樹</t>
  </si>
  <si>
    <t xml:space="preserve">端　 　和洋</t>
  </si>
  <si>
    <t xml:space="preserve">謝　 　瑾軒</t>
  </si>
  <si>
    <t xml:space="preserve">草野　海成</t>
  </si>
  <si>
    <t xml:space="preserve">福島高</t>
  </si>
  <si>
    <t xml:space="preserve">加茂　大</t>
  </si>
  <si>
    <t xml:space="preserve">浜松湖北高</t>
  </si>
  <si>
    <t xml:space="preserve">森山　楽</t>
  </si>
  <si>
    <t xml:space="preserve">東海ＡＣ</t>
  </si>
  <si>
    <t xml:space="preserve">岸　 　優直</t>
  </si>
  <si>
    <t xml:space="preserve">紙谷　涼成</t>
  </si>
  <si>
    <t xml:space="preserve">金沢学院大附属高</t>
  </si>
  <si>
    <t xml:space="preserve">福島　翔大</t>
  </si>
  <si>
    <t xml:space="preserve">又吉　俊太</t>
  </si>
  <si>
    <t xml:space="preserve">エナジック高</t>
  </si>
  <si>
    <t xml:space="preserve">緒方　紀人</t>
  </si>
  <si>
    <t xml:space="preserve">新田高</t>
  </si>
  <si>
    <t xml:space="preserve">竹本　恵太</t>
  </si>
  <si>
    <t xml:space="preserve">鳳高</t>
  </si>
  <si>
    <t xml:space="preserve">北条　裕貴</t>
  </si>
  <si>
    <t xml:space="preserve">静岡陸協</t>
  </si>
  <si>
    <t xml:space="preserve">丹　 　幸生</t>
  </si>
  <si>
    <t xml:space="preserve">草野　愛斗</t>
  </si>
  <si>
    <t xml:space="preserve">古谷　潤</t>
  </si>
  <si>
    <t xml:space="preserve">村上　翔太</t>
  </si>
  <si>
    <t xml:space="preserve">市前橋高</t>
  </si>
  <si>
    <t xml:space="preserve">佐藤　陽星</t>
  </si>
  <si>
    <t xml:space="preserve">大曲工高</t>
  </si>
  <si>
    <t xml:space="preserve">深谷　弦汰</t>
  </si>
  <si>
    <t xml:space="preserve">佐賀工高</t>
  </si>
  <si>
    <t xml:space="preserve">脇田　優希</t>
  </si>
  <si>
    <t xml:space="preserve">寝屋川高</t>
  </si>
  <si>
    <t xml:space="preserve">東田　大亜</t>
  </si>
  <si>
    <t xml:space="preserve">松林　歩杜</t>
  </si>
  <si>
    <t xml:space="preserve">得丸　涼雅</t>
  </si>
  <si>
    <t xml:space="preserve">小平　潤</t>
  </si>
  <si>
    <t xml:space="preserve">伊藤　槍太</t>
  </si>
  <si>
    <t xml:space="preserve">武生高</t>
  </si>
  <si>
    <t xml:space="preserve">田中　智稀</t>
  </si>
  <si>
    <t xml:space="preserve">日当　瀬名</t>
  </si>
  <si>
    <t xml:space="preserve">武井　惇歩</t>
  </si>
  <si>
    <t xml:space="preserve">川越高</t>
  </si>
  <si>
    <t xml:space="preserve">沢里　龍玖</t>
  </si>
  <si>
    <t xml:space="preserve">久慈高</t>
  </si>
  <si>
    <t xml:space="preserve">三上　風汰</t>
  </si>
  <si>
    <t xml:space="preserve">土浦二高</t>
  </si>
  <si>
    <t xml:space="preserve">数野　優人</t>
  </si>
  <si>
    <t xml:space="preserve">広瀬　椋也</t>
  </si>
  <si>
    <t xml:space="preserve">川森　獅月</t>
  </si>
  <si>
    <t xml:space="preserve">吉岡　陸翔</t>
  </si>
  <si>
    <r>
      <rPr>
        <sz val="10"/>
        <color rgb="FF000000"/>
        <rFont val="HGPｺﾞｼｯｸM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48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9:37</t>
    </r>
    <r>
      <rPr>
        <sz val="10"/>
        <color rgb="FF000000"/>
        <rFont val="WenQuanYi Zen Hei"/>
        <family val="2"/>
      </rPr>
      <t xml:space="preserve">）</t>
    </r>
  </si>
  <si>
    <t xml:space="preserve">原　 　大河</t>
  </si>
  <si>
    <t xml:space="preserve">瀬古　一心</t>
  </si>
  <si>
    <t xml:space="preserve">須賀　大晟</t>
  </si>
  <si>
    <t xml:space="preserve">松田　瑛太</t>
  </si>
  <si>
    <t xml:space="preserve">亀井　瑛人</t>
  </si>
  <si>
    <t xml:space="preserve">丸野内　大悟</t>
  </si>
  <si>
    <t xml:space="preserve">富永　琥聖</t>
  </si>
  <si>
    <t xml:space="preserve">曽田　怜輝</t>
  </si>
  <si>
    <t xml:space="preserve">間正　天</t>
  </si>
  <si>
    <t xml:space="preserve">本庄一高</t>
  </si>
  <si>
    <t xml:space="preserve">宮谷　俊</t>
  </si>
  <si>
    <t xml:space="preserve">吉田　一吹</t>
  </si>
  <si>
    <t xml:space="preserve">黒木　太陽</t>
  </si>
  <si>
    <t xml:space="preserve">枚方高</t>
  </si>
  <si>
    <t xml:space="preserve">長谷川　翔太</t>
  </si>
  <si>
    <t xml:space="preserve">与座鈴扶斗</t>
  </si>
  <si>
    <t xml:space="preserve">小藤田爽真</t>
  </si>
  <si>
    <t xml:space="preserve">近松　暖人</t>
  </si>
  <si>
    <t xml:space="preserve">金子　晄</t>
  </si>
  <si>
    <t xml:space="preserve">前田　桔平</t>
  </si>
  <si>
    <t xml:space="preserve">阿南高</t>
  </si>
  <si>
    <t xml:space="preserve">校名表記：阿南高専／阿南高</t>
  </si>
  <si>
    <t xml:space="preserve">寺田　駿平</t>
  </si>
  <si>
    <t xml:space="preserve">広田　雅史</t>
  </si>
  <si>
    <t xml:space="preserve">津島</t>
  </si>
  <si>
    <t xml:space="preserve">玉腰　悠真</t>
  </si>
  <si>
    <t xml:space="preserve">都武蔵野北高</t>
  </si>
  <si>
    <t xml:space="preserve">安田　高良</t>
  </si>
  <si>
    <t xml:space="preserve">鈴木　悠斗</t>
  </si>
  <si>
    <t xml:space="preserve">横須賀高</t>
  </si>
  <si>
    <t xml:space="preserve">大坪　蒼麻</t>
  </si>
  <si>
    <t xml:space="preserve">上郡高</t>
  </si>
  <si>
    <t xml:space="preserve">斎藤　晴希</t>
  </si>
  <si>
    <t xml:space="preserve">城ノ内中等高</t>
  </si>
  <si>
    <t xml:space="preserve">武口　陸斗</t>
  </si>
  <si>
    <t xml:space="preserve">稲取高</t>
  </si>
  <si>
    <t xml:space="preserve">日比野　穰</t>
  </si>
  <si>
    <t xml:space="preserve">都桜修館中等高</t>
  </si>
  <si>
    <t xml:space="preserve">嶋津　涼介</t>
  </si>
  <si>
    <t xml:space="preserve">東海大附市原望洋高</t>
  </si>
  <si>
    <t xml:space="preserve">森　 　健剛</t>
  </si>
  <si>
    <t xml:space="preserve">市尼崎高</t>
  </si>
  <si>
    <t xml:space="preserve">野口　悠稀</t>
  </si>
  <si>
    <r>
      <rPr>
        <sz val="10"/>
        <color rgb="FF000000"/>
        <rFont val="HGPｺﾞｼｯｸM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50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15:40</t>
    </r>
    <r>
      <rPr>
        <sz val="10"/>
        <color rgb="FF000000"/>
        <rFont val="WenQuanYi Zen Hei"/>
        <family val="2"/>
      </rPr>
      <t xml:space="preserve">）</t>
    </r>
  </si>
  <si>
    <t xml:space="preserve">境　 　皐我</t>
  </si>
  <si>
    <t xml:space="preserve">青木　鴻棋</t>
  </si>
  <si>
    <t xml:space="preserve">堤　 　煌</t>
  </si>
  <si>
    <t xml:space="preserve">大野　結士</t>
  </si>
  <si>
    <t xml:space="preserve">希望ケ丘高</t>
  </si>
  <si>
    <t xml:space="preserve">酒井　碧也</t>
  </si>
  <si>
    <t xml:space="preserve">長生高</t>
  </si>
  <si>
    <t xml:space="preserve">吉村　優翔</t>
  </si>
  <si>
    <t xml:space="preserve">山岡　央佳</t>
  </si>
  <si>
    <t xml:space="preserve">信田　莞爾</t>
  </si>
  <si>
    <t xml:space="preserve">茶畑　空</t>
  </si>
  <si>
    <r>
      <rPr>
        <sz val="10"/>
        <color rgb="FF000000"/>
        <rFont val="HGPｺﾞｼｯｸM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46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27:09</t>
    </r>
    <r>
      <rPr>
        <sz val="10"/>
        <color rgb="FF000000"/>
        <rFont val="WenQuanYi Zen Hei"/>
        <family val="2"/>
      </rPr>
      <t xml:space="preserve">）</t>
    </r>
  </si>
  <si>
    <t xml:space="preserve">小松　幸平</t>
  </si>
  <si>
    <t xml:space="preserve">市西宮東高</t>
  </si>
  <si>
    <t xml:space="preserve">沢田　鷹玖</t>
  </si>
  <si>
    <t xml:space="preserve">小島　颯介</t>
  </si>
  <si>
    <t xml:space="preserve">鎌ケ谷高</t>
  </si>
  <si>
    <t xml:space="preserve">黒田　晴暉</t>
  </si>
  <si>
    <t xml:space="preserve">厚木高</t>
  </si>
  <si>
    <t xml:space="preserve">鈴木　蒼一朗</t>
  </si>
  <si>
    <t xml:space="preserve">中山　嘉人</t>
  </si>
  <si>
    <t xml:space="preserve">和泉高</t>
  </si>
  <si>
    <t xml:space="preserve">坂本　琉生</t>
  </si>
  <si>
    <t xml:space="preserve">中山　三四郎</t>
  </si>
  <si>
    <t xml:space="preserve">鹿本高</t>
  </si>
  <si>
    <t xml:space="preserve">藤原　衣吹</t>
  </si>
  <si>
    <t xml:space="preserve">坂寄　都羽</t>
  </si>
  <si>
    <t xml:space="preserve">山斗　未徠</t>
  </si>
  <si>
    <t xml:space="preserve">大宮　玲士</t>
  </si>
  <si>
    <t xml:space="preserve">栗林　英士</t>
  </si>
  <si>
    <t xml:space="preserve">盛岡三高</t>
  </si>
  <si>
    <t xml:space="preserve">大沢　旅良</t>
  </si>
  <si>
    <r>
      <rPr>
        <sz val="10"/>
        <color rgb="FF000000"/>
        <rFont val="HGPｺﾞｼｯｸM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93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31:59</t>
    </r>
    <r>
      <rPr>
        <sz val="10"/>
        <color rgb="FF000000"/>
        <rFont val="WenQuanYi Zen Hei"/>
        <family val="2"/>
      </rPr>
      <t xml:space="preserve">）</t>
    </r>
  </si>
  <si>
    <t xml:space="preserve">長谷川　泰大</t>
  </si>
  <si>
    <t xml:space="preserve">瀬田工高</t>
  </si>
  <si>
    <t xml:space="preserve">永野　央樹</t>
  </si>
  <si>
    <t xml:space="preserve">船橋法典高</t>
  </si>
  <si>
    <t xml:space="preserve">瀬利　慶次郎</t>
  </si>
  <si>
    <t xml:space="preserve">国分高</t>
  </si>
  <si>
    <t xml:space="preserve">河田　怜真</t>
  </si>
  <si>
    <t xml:space="preserve">新潟高</t>
  </si>
  <si>
    <t xml:space="preserve">浦谷　康太郎</t>
  </si>
  <si>
    <t xml:space="preserve">中川青和高</t>
  </si>
  <si>
    <t xml:space="preserve">池田　翼</t>
  </si>
  <si>
    <t xml:space="preserve">池上　虎亜</t>
  </si>
  <si>
    <t xml:space="preserve">麻生高</t>
  </si>
  <si>
    <t xml:space="preserve">加藤　颯真</t>
  </si>
  <si>
    <t xml:space="preserve">秋田南高</t>
  </si>
  <si>
    <t xml:space="preserve">野崎　龍佑</t>
  </si>
  <si>
    <t xml:space="preserve">恩田　龍真</t>
  </si>
  <si>
    <t xml:space="preserve">下舌　亮樹</t>
  </si>
  <si>
    <t xml:space="preserve">専大北上高</t>
  </si>
  <si>
    <t xml:space="preserve">岬本　響也</t>
  </si>
  <si>
    <t xml:space="preserve">豊浦高</t>
  </si>
  <si>
    <t xml:space="preserve">斎藤　千晴</t>
  </si>
  <si>
    <t xml:space="preserve">関根学園高</t>
  </si>
  <si>
    <t xml:space="preserve">伊藤　大翔</t>
  </si>
  <si>
    <t xml:space="preserve">松本　弦人</t>
  </si>
  <si>
    <r>
      <rPr>
        <sz val="10"/>
        <color rgb="FF000000"/>
        <rFont val="HGPｺﾞｼｯｸM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82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16:10</t>
    </r>
    <r>
      <rPr>
        <sz val="10"/>
        <color rgb="FF000000"/>
        <rFont val="WenQuanYi Zen Hei"/>
        <family val="2"/>
      </rPr>
      <t xml:space="preserve">）</t>
    </r>
  </si>
  <si>
    <t xml:space="preserve">横山　智大</t>
  </si>
  <si>
    <t xml:space="preserve">尼崎稲園高</t>
  </si>
  <si>
    <t xml:space="preserve">甲斐　颯</t>
  </si>
  <si>
    <t xml:space="preserve">高沢　玲偉</t>
  </si>
  <si>
    <t xml:space="preserve">宇都宮北高</t>
  </si>
  <si>
    <t xml:space="preserve">福山　正鳴</t>
  </si>
  <si>
    <t xml:space="preserve">刀根山高</t>
  </si>
  <si>
    <t xml:space="preserve">山本　慶介</t>
  </si>
  <si>
    <t xml:space="preserve">横川　十樹</t>
  </si>
  <si>
    <t xml:space="preserve">土浦工高</t>
  </si>
  <si>
    <t xml:space="preserve">渡辺　朋希</t>
  </si>
  <si>
    <t xml:space="preserve">飯土井　皓汰</t>
  </si>
  <si>
    <t xml:space="preserve">旭高</t>
  </si>
  <si>
    <t xml:space="preserve">元家　純</t>
  </si>
  <si>
    <t xml:space="preserve">基町高</t>
  </si>
  <si>
    <t xml:space="preserve">住田　大翔</t>
  </si>
  <si>
    <t xml:space="preserve">横浜市立金沢高</t>
  </si>
  <si>
    <t xml:space="preserve">江藤　太陽</t>
  </si>
  <si>
    <t xml:space="preserve">佐伯鶴城高</t>
  </si>
  <si>
    <t xml:space="preserve">名倉　凉真</t>
  </si>
  <si>
    <t xml:space="preserve">山崎　智哉</t>
  </si>
  <si>
    <t xml:space="preserve">森田　大智</t>
  </si>
  <si>
    <t xml:space="preserve">添上高</t>
  </si>
  <si>
    <t xml:space="preserve">東　 　翼作</t>
  </si>
  <si>
    <t xml:space="preserve">都松が谷高</t>
  </si>
  <si>
    <t xml:space="preserve">渡辺　彩人</t>
  </si>
  <si>
    <t xml:space="preserve">富士学苑高</t>
  </si>
  <si>
    <t xml:space="preserve">伊東　和之</t>
  </si>
  <si>
    <t xml:space="preserve">佐々木　道隆</t>
  </si>
  <si>
    <t xml:space="preserve">萩原　匠</t>
  </si>
  <si>
    <t xml:space="preserve">玉林　文人</t>
  </si>
  <si>
    <t xml:space="preserve">吉田　将大</t>
  </si>
  <si>
    <t xml:space="preserve">渡辺　諒</t>
  </si>
  <si>
    <t xml:space="preserve">鎌倉高</t>
  </si>
  <si>
    <t xml:space="preserve">後藤　至温</t>
  </si>
  <si>
    <t xml:space="preserve">清水優羽</t>
  </si>
  <si>
    <t xml:space="preserve">工藤　瑛人</t>
  </si>
  <si>
    <t xml:space="preserve">小沢　一輝</t>
  </si>
  <si>
    <t xml:space="preserve">愛知総合工科高</t>
  </si>
  <si>
    <t xml:space="preserve">大西　龍之介</t>
  </si>
  <si>
    <t xml:space="preserve">堀池　淳平</t>
  </si>
  <si>
    <t xml:space="preserve">小林　昴起</t>
  </si>
  <si>
    <t xml:space="preserve">井上　伸治</t>
  </si>
  <si>
    <t xml:space="preserve">畠本　逸滉</t>
  </si>
  <si>
    <t xml:space="preserve">山岸　竜士</t>
  </si>
  <si>
    <t xml:space="preserve">平塚中等高</t>
  </si>
  <si>
    <t xml:space="preserve">山口　誠志郎</t>
  </si>
  <si>
    <t xml:space="preserve">岡山一宮高</t>
  </si>
  <si>
    <t xml:space="preserve">金井　立志</t>
  </si>
  <si>
    <t xml:space="preserve">まつもとＴＦＣ</t>
  </si>
  <si>
    <t xml:space="preserve">梶本　来空</t>
  </si>
  <si>
    <t xml:space="preserve">我妻　尚哉</t>
  </si>
  <si>
    <t xml:space="preserve">米沢中央高</t>
  </si>
  <si>
    <t xml:space="preserve">山本　拓未</t>
  </si>
  <si>
    <t xml:space="preserve">大府東高</t>
  </si>
  <si>
    <t xml:space="preserve">大城　正太郎</t>
  </si>
  <si>
    <t xml:space="preserve">岸和田高</t>
  </si>
  <si>
    <t xml:space="preserve">佐々木秀真</t>
  </si>
  <si>
    <t xml:space="preserve">家村　優基</t>
  </si>
  <si>
    <t xml:space="preserve">安陪　悠斗</t>
  </si>
  <si>
    <t xml:space="preserve">鳥取西高</t>
  </si>
  <si>
    <t xml:space="preserve">平塚　智</t>
  </si>
  <si>
    <t xml:space="preserve">信大医陸高</t>
  </si>
  <si>
    <t xml:space="preserve">高橋　岳大</t>
  </si>
  <si>
    <t xml:space="preserve">岡山東商高</t>
  </si>
  <si>
    <t xml:space="preserve">小沢　蓮</t>
  </si>
  <si>
    <t xml:space="preserve">韮崎高</t>
  </si>
  <si>
    <t xml:space="preserve">藤田　幸太郎</t>
  </si>
  <si>
    <t xml:space="preserve">竹内　飛夏</t>
  </si>
  <si>
    <t xml:space="preserve">長野高</t>
  </si>
  <si>
    <t xml:space="preserve">樺沢　大晴</t>
  </si>
  <si>
    <t xml:space="preserve">長岡向陵高</t>
  </si>
  <si>
    <t xml:space="preserve">斎藤　天飛</t>
  </si>
  <si>
    <t xml:space="preserve">川西緑台高</t>
  </si>
  <si>
    <t xml:space="preserve">鶴田　勇翔</t>
  </si>
  <si>
    <t xml:space="preserve">甲府南高</t>
  </si>
  <si>
    <t xml:space="preserve">上枝　龍矢</t>
  </si>
  <si>
    <t xml:space="preserve">木村　颯良</t>
  </si>
  <si>
    <t xml:space="preserve">反保　光大朗</t>
  </si>
  <si>
    <t xml:space="preserve">三国丘高</t>
  </si>
  <si>
    <t xml:space="preserve">東山　紘己</t>
  </si>
  <si>
    <t xml:space="preserve">東京国際陸上部</t>
  </si>
  <si>
    <t xml:space="preserve">増永　衣純</t>
  </si>
  <si>
    <t xml:space="preserve">安井　千暁</t>
  </si>
  <si>
    <t xml:space="preserve">佐藤　煌生</t>
  </si>
  <si>
    <t xml:space="preserve">小林　隆太</t>
  </si>
  <si>
    <t xml:space="preserve">北海高</t>
  </si>
  <si>
    <t xml:space="preserve">斎藤　桜翔</t>
  </si>
  <si>
    <t xml:space="preserve">境高</t>
  </si>
  <si>
    <t xml:space="preserve">平田　瑛太郎</t>
  </si>
  <si>
    <t xml:space="preserve">倉敷青陵高</t>
  </si>
  <si>
    <t xml:space="preserve">土居　篤季</t>
  </si>
  <si>
    <t xml:space="preserve">内子高</t>
  </si>
  <si>
    <t xml:space="preserve">石井蓮</t>
  </si>
  <si>
    <t xml:space="preserve">五十嵐　由葵</t>
  </si>
  <si>
    <t xml:space="preserve">日比野　穣</t>
  </si>
  <si>
    <t xml:space="preserve">戸田　悠大</t>
  </si>
  <si>
    <t xml:space="preserve">河合　悠</t>
  </si>
  <si>
    <t xml:space="preserve">増田　琉星</t>
  </si>
  <si>
    <t xml:space="preserve">大手前高</t>
  </si>
  <si>
    <t xml:space="preserve">竹下　優</t>
  </si>
  <si>
    <t xml:space="preserve">静岡高</t>
  </si>
  <si>
    <t xml:space="preserve">岡山　遥晃</t>
  </si>
  <si>
    <t xml:space="preserve">安広　大耀</t>
  </si>
  <si>
    <t xml:space="preserve">下関西高</t>
  </si>
  <si>
    <t xml:space="preserve">有森　凰凱</t>
  </si>
  <si>
    <t xml:space="preserve">小清水　琢実</t>
  </si>
  <si>
    <t xml:space="preserve">飯田　玲夢</t>
  </si>
  <si>
    <t xml:space="preserve">市銚子高</t>
  </si>
  <si>
    <t xml:space="preserve">前田　大翔</t>
  </si>
  <si>
    <t xml:space="preserve">井口啓一郎</t>
  </si>
  <si>
    <t xml:space="preserve">立教新座高</t>
  </si>
  <si>
    <t xml:space="preserve">静　 　光大郎</t>
  </si>
  <si>
    <t xml:space="preserve">松山高</t>
  </si>
  <si>
    <t xml:space="preserve">山元　旺夏</t>
  </si>
  <si>
    <t xml:space="preserve">長友　啓祐</t>
  </si>
  <si>
    <t xml:space="preserve">宮崎南高</t>
  </si>
  <si>
    <t xml:space="preserve">小野寺　宙</t>
  </si>
  <si>
    <t xml:space="preserve">別宗　琉空</t>
  </si>
  <si>
    <t xml:space="preserve">市川　翔聖</t>
  </si>
  <si>
    <t xml:space="preserve">甲府工高</t>
  </si>
  <si>
    <t xml:space="preserve">藤山　羚音</t>
  </si>
  <si>
    <t xml:space="preserve">松尾　健一朗</t>
  </si>
  <si>
    <t xml:space="preserve">西城陽高</t>
  </si>
  <si>
    <r>
      <rPr>
        <sz val="10"/>
        <color rgb="FF000000"/>
        <rFont val="HGPｺﾞｼｯｸM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89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27:04</t>
    </r>
    <r>
      <rPr>
        <sz val="10"/>
        <color rgb="FF000000"/>
        <rFont val="WenQuanYi Zen Hei"/>
        <family val="2"/>
      </rPr>
      <t xml:space="preserve">）</t>
    </r>
  </si>
  <si>
    <t xml:space="preserve">中村　剣城</t>
  </si>
  <si>
    <t xml:space="preserve">井上　裕也</t>
  </si>
  <si>
    <t xml:space="preserve">藤田　晃気</t>
  </si>
  <si>
    <t xml:space="preserve">伊吹　朔弥</t>
  </si>
  <si>
    <t xml:space="preserve">小野　智矢</t>
  </si>
  <si>
    <t xml:space="preserve">向陽高・和歌山高</t>
  </si>
  <si>
    <t xml:space="preserve">吉田　幸平</t>
  </si>
  <si>
    <t xml:space="preserve">岡田　京平</t>
  </si>
  <si>
    <t xml:space="preserve">鵜川　琉音</t>
  </si>
  <si>
    <t xml:space="preserve">茂木高</t>
  </si>
  <si>
    <t xml:space="preserve">内田　峻太郎</t>
  </si>
  <si>
    <t xml:space="preserve">甲府一高</t>
  </si>
  <si>
    <t xml:space="preserve">アムラタ　ルイ　カイリ</t>
  </si>
  <si>
    <t xml:space="preserve">市ケ尾高</t>
  </si>
  <si>
    <t xml:space="preserve">信田　虎太郎</t>
  </si>
  <si>
    <t xml:space="preserve">鷲野　佑真</t>
  </si>
  <si>
    <t xml:space="preserve">飯山高</t>
  </si>
  <si>
    <t xml:space="preserve">大城　慶吾</t>
  </si>
  <si>
    <t xml:space="preserve">川越南高</t>
  </si>
  <si>
    <t xml:space="preserve">小林　悠人</t>
  </si>
  <si>
    <r>
      <rPr>
        <sz val="10"/>
        <color rgb="FF000000"/>
        <rFont val="HGPｺﾞｼｯｸM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53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9:52</t>
    </r>
    <r>
      <rPr>
        <sz val="10"/>
        <color rgb="FF000000"/>
        <rFont val="WenQuanYi Zen Hei"/>
        <family val="2"/>
      </rPr>
      <t xml:space="preserve">）</t>
    </r>
  </si>
  <si>
    <t xml:space="preserve">内田　侑希</t>
  </si>
  <si>
    <t xml:space="preserve">折原　旭陽</t>
  </si>
  <si>
    <t xml:space="preserve">谷川　雄太</t>
  </si>
  <si>
    <t xml:space="preserve">新城　陽道</t>
  </si>
  <si>
    <t xml:space="preserve">松本　悠吾</t>
  </si>
  <si>
    <t xml:space="preserve">児玉　昊汰</t>
  </si>
  <si>
    <t xml:space="preserve">西木　琥珀</t>
  </si>
  <si>
    <t xml:space="preserve">深水　凰雅</t>
  </si>
  <si>
    <r>
      <rPr>
        <sz val="10"/>
        <color rgb="FF000000"/>
        <rFont val="HGPｺﾞｼｯｸM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51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17:54</t>
    </r>
    <r>
      <rPr>
        <sz val="10"/>
        <color rgb="FF000000"/>
        <rFont val="WenQuanYi Zen Hei"/>
        <family val="2"/>
      </rPr>
      <t xml:space="preserve">）</t>
    </r>
  </si>
  <si>
    <t xml:space="preserve">比知屋　夏夢</t>
  </si>
  <si>
    <t xml:space="preserve">中西　経太</t>
  </si>
  <si>
    <t xml:space="preserve">伊勢高</t>
  </si>
  <si>
    <t xml:space="preserve">和田見　陽太</t>
  </si>
  <si>
    <t xml:space="preserve">都文京高</t>
  </si>
  <si>
    <t xml:space="preserve">桜井　裕介</t>
  </si>
  <si>
    <t xml:space="preserve">寄居城北高</t>
  </si>
  <si>
    <t xml:space="preserve">福山　新太</t>
  </si>
  <si>
    <t xml:space="preserve">加納高</t>
  </si>
  <si>
    <t xml:space="preserve">杉江　智</t>
  </si>
  <si>
    <t xml:space="preserve">藤井　勝道</t>
  </si>
  <si>
    <t xml:space="preserve">岩佐　琉希亜</t>
  </si>
  <si>
    <t xml:space="preserve">東葉高</t>
  </si>
  <si>
    <t xml:space="preserve">沢田　倫太朗</t>
  </si>
  <si>
    <t xml:space="preserve">友野　顕大</t>
  </si>
  <si>
    <t xml:space="preserve">玉島商高</t>
  </si>
  <si>
    <t xml:space="preserve">小西　涼介</t>
  </si>
  <si>
    <t xml:space="preserve">横浜創学館高</t>
  </si>
  <si>
    <t xml:space="preserve">古谷　直己</t>
  </si>
  <si>
    <t xml:space="preserve">井上　雅也</t>
  </si>
  <si>
    <t xml:space="preserve">都城高</t>
  </si>
  <si>
    <t xml:space="preserve">校名表記：都城高／都城高専</t>
  </si>
  <si>
    <t xml:space="preserve">藤沢　直輝</t>
  </si>
  <si>
    <t xml:space="preserve">長野吉田高</t>
  </si>
  <si>
    <t xml:space="preserve">板倉　健</t>
  </si>
  <si>
    <t xml:space="preserve">明学東村山高</t>
  </si>
  <si>
    <t xml:space="preserve">南　 　颯舞</t>
  </si>
  <si>
    <t xml:space="preserve">松崎　心音</t>
  </si>
  <si>
    <t xml:space="preserve">新苗　哲平</t>
  </si>
  <si>
    <t xml:space="preserve">札幌英藍高</t>
  </si>
  <si>
    <t xml:space="preserve">桑原　遼</t>
  </si>
  <si>
    <t xml:space="preserve">茂泉　颯馬</t>
  </si>
  <si>
    <t xml:space="preserve">吉田　洸翔</t>
  </si>
  <si>
    <r>
      <rPr>
        <sz val="10"/>
        <color rgb="FF000000"/>
        <rFont val="HGPｺﾞｼｯｸM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72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9:04</t>
    </r>
    <r>
      <rPr>
        <sz val="10"/>
        <color rgb="FF000000"/>
        <rFont val="WenQuanYi Zen Hei"/>
        <family val="2"/>
      </rPr>
      <t xml:space="preserve">）</t>
    </r>
  </si>
  <si>
    <t xml:space="preserve">加藤　琉生</t>
  </si>
  <si>
    <t xml:space="preserve">早稲田　優太</t>
  </si>
  <si>
    <t xml:space="preserve">外崎　尋也</t>
  </si>
  <si>
    <t xml:space="preserve">福原　拓馬</t>
  </si>
  <si>
    <t xml:space="preserve">岡山芳泉高</t>
  </si>
  <si>
    <t xml:space="preserve">柳岡　碧輝</t>
  </si>
  <si>
    <t xml:space="preserve">豊永　大樹</t>
  </si>
  <si>
    <t xml:space="preserve">九産大附九州高</t>
  </si>
  <si>
    <t xml:space="preserve">香田　虎太郎</t>
  </si>
  <si>
    <t xml:space="preserve">貞方　大樹</t>
  </si>
  <si>
    <t xml:space="preserve">金沢　儀明</t>
  </si>
  <si>
    <t xml:space="preserve">末永　海翔</t>
  </si>
  <si>
    <t xml:space="preserve">大塚高</t>
  </si>
  <si>
    <t xml:space="preserve">横山　昇馬</t>
  </si>
  <si>
    <t xml:space="preserve">龍野高</t>
  </si>
  <si>
    <t xml:space="preserve">政　 　匠栄</t>
  </si>
  <si>
    <t xml:space="preserve">木村　寛太</t>
  </si>
  <si>
    <t xml:space="preserve">熊谷　航介</t>
  </si>
  <si>
    <t xml:space="preserve">羽石　悠希</t>
  </si>
  <si>
    <r>
      <rPr>
        <sz val="10"/>
        <color rgb="FF000000"/>
        <rFont val="HGPｺﾞｼｯｸM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63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15:38</t>
    </r>
    <r>
      <rPr>
        <sz val="10"/>
        <color rgb="FF000000"/>
        <rFont val="WenQuanYi Zen Hei"/>
        <family val="2"/>
      </rPr>
      <t xml:space="preserve">）</t>
    </r>
  </si>
  <si>
    <t xml:space="preserve">中島　龍央馬</t>
  </si>
  <si>
    <t xml:space="preserve">都小平高</t>
  </si>
  <si>
    <t xml:space="preserve">吉田　悠真</t>
  </si>
  <si>
    <t xml:space="preserve">藤沢清流高</t>
  </si>
  <si>
    <t xml:space="preserve">新村　隼</t>
  </si>
  <si>
    <t xml:space="preserve">松隈　朝聖</t>
  </si>
  <si>
    <t xml:space="preserve">柏陵高</t>
  </si>
  <si>
    <t xml:space="preserve">高野　孝太郎</t>
  </si>
  <si>
    <t xml:space="preserve">森　 　優太</t>
  </si>
  <si>
    <t xml:space="preserve">明善高</t>
  </si>
  <si>
    <t xml:space="preserve">水野　透麻</t>
  </si>
  <si>
    <r>
      <rPr>
        <sz val="10"/>
        <color rgb="FF000000"/>
        <rFont val="HGPｺﾞｼｯｸM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91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16:51</t>
    </r>
    <r>
      <rPr>
        <sz val="10"/>
        <color rgb="FF000000"/>
        <rFont val="WenQuanYi Zen Hei"/>
        <family val="2"/>
      </rPr>
      <t xml:space="preserve">）</t>
    </r>
  </si>
  <si>
    <t xml:space="preserve">西田　稔也</t>
  </si>
  <si>
    <t xml:space="preserve">鷲沢　仁</t>
  </si>
  <si>
    <t xml:space="preserve">米子工高</t>
  </si>
  <si>
    <t xml:space="preserve">樫原　凛星</t>
  </si>
  <si>
    <r>
      <rPr>
        <sz val="10"/>
        <color rgb="FF000000"/>
        <rFont val="HGPｺﾞｼｯｸM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79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10:14</t>
    </r>
    <r>
      <rPr>
        <sz val="10"/>
        <color rgb="FF000000"/>
        <rFont val="WenQuanYi Zen Hei"/>
        <family val="2"/>
      </rPr>
      <t xml:space="preserve">）</t>
    </r>
  </si>
  <si>
    <t xml:space="preserve">前田　恭佑</t>
  </si>
  <si>
    <t xml:space="preserve">八戸工高</t>
  </si>
  <si>
    <t xml:space="preserve">鬼沢　優颯</t>
  </si>
  <si>
    <t xml:space="preserve">槙山　泰正</t>
  </si>
  <si>
    <t xml:space="preserve">扶蘇　一颯</t>
  </si>
  <si>
    <t xml:space="preserve">三木高</t>
  </si>
  <si>
    <t xml:space="preserve">寺島　弘希</t>
  </si>
  <si>
    <t xml:space="preserve">相馬総合高</t>
  </si>
  <si>
    <t xml:space="preserve">堀田　友希</t>
  </si>
  <si>
    <r>
      <rPr>
        <sz val="10"/>
        <color rgb="FF000000"/>
        <rFont val="HGPｺﾞｼｯｸM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95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16:56</t>
    </r>
    <r>
      <rPr>
        <sz val="10"/>
        <color rgb="FF000000"/>
        <rFont val="WenQuanYi Zen Hei"/>
        <family val="2"/>
      </rPr>
      <t xml:space="preserve">）</t>
    </r>
  </si>
  <si>
    <t xml:space="preserve">中村　心音</t>
  </si>
  <si>
    <t xml:space="preserve">内田　賢吾</t>
  </si>
  <si>
    <t xml:space="preserve">財前　人成</t>
  </si>
  <si>
    <t xml:space="preserve">小原　海緒</t>
  </si>
  <si>
    <t xml:space="preserve">山川　真裕</t>
  </si>
  <si>
    <t xml:space="preserve">木下　結斗</t>
  </si>
  <si>
    <t xml:space="preserve">藤田　惇也</t>
  </si>
  <si>
    <t xml:space="preserve">大館鳳鳴高</t>
  </si>
  <si>
    <t xml:space="preserve">南　 　晴仁</t>
  </si>
  <si>
    <t xml:space="preserve">吉田　伊吹</t>
  </si>
  <si>
    <t xml:space="preserve">蟹井　結月</t>
  </si>
  <si>
    <t xml:space="preserve">久古　陽大</t>
  </si>
  <si>
    <t xml:space="preserve">八千代高</t>
  </si>
  <si>
    <t xml:space="preserve">久野　柑太</t>
  </si>
  <si>
    <r>
      <rPr>
        <sz val="10"/>
        <color rgb="FF000000"/>
        <rFont val="HGPｺﾞｼｯｸM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84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16:29</t>
    </r>
    <r>
      <rPr>
        <sz val="10"/>
        <color rgb="FF000000"/>
        <rFont val="WenQuanYi Zen Hei"/>
        <family val="2"/>
      </rPr>
      <t xml:space="preserve">）</t>
    </r>
  </si>
  <si>
    <t xml:space="preserve">村島　幸太郎</t>
  </si>
  <si>
    <r>
      <rPr>
        <sz val="10"/>
        <color rgb="FF000000"/>
        <rFont val="HGPｺﾞｼｯｸM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43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15:16</t>
    </r>
    <r>
      <rPr>
        <sz val="10"/>
        <color rgb="FF000000"/>
        <rFont val="WenQuanYi Zen Hei"/>
        <family val="2"/>
      </rPr>
      <t xml:space="preserve">）</t>
    </r>
  </si>
  <si>
    <t xml:space="preserve">羽田　浬</t>
  </si>
  <si>
    <t xml:space="preserve">安積高</t>
  </si>
  <si>
    <t xml:space="preserve">同名の別選手あり（もとみや市駅伝高）</t>
  </si>
  <si>
    <t xml:space="preserve">毛利　友貴</t>
  </si>
  <si>
    <t xml:space="preserve">星陵高</t>
  </si>
  <si>
    <t xml:space="preserve">立石　虎心朗</t>
  </si>
  <si>
    <t xml:space="preserve">篠永　悠斗</t>
  </si>
  <si>
    <t xml:space="preserve">西崎　諄</t>
  </si>
  <si>
    <t xml:space="preserve">神戸商高</t>
  </si>
  <si>
    <r>
      <rPr>
        <sz val="10"/>
        <color rgb="FF000000"/>
        <rFont val="HGPｺﾞｼｯｸM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88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31:37</t>
    </r>
    <r>
      <rPr>
        <sz val="10"/>
        <color rgb="FF000000"/>
        <rFont val="WenQuanYi Zen Hei"/>
        <family val="2"/>
      </rPr>
      <t xml:space="preserve">）</t>
    </r>
  </si>
  <si>
    <t xml:space="preserve">神藤　照太</t>
  </si>
  <si>
    <t xml:space="preserve">岩崎　柊真</t>
  </si>
  <si>
    <t xml:space="preserve">夢野台高</t>
  </si>
  <si>
    <t xml:space="preserve">近藤　勇人</t>
  </si>
  <si>
    <t xml:space="preserve">井内　涼翔</t>
  </si>
  <si>
    <t xml:space="preserve">名西高</t>
  </si>
  <si>
    <t xml:space="preserve">堀井　洋人</t>
  </si>
  <si>
    <t xml:space="preserve">山田高</t>
  </si>
  <si>
    <t xml:space="preserve">佐野　斗哉</t>
  </si>
  <si>
    <t xml:space="preserve">武相高</t>
  </si>
  <si>
    <t xml:space="preserve">横溝　賢汰</t>
  </si>
  <si>
    <t xml:space="preserve">岡山南高</t>
  </si>
  <si>
    <t xml:space="preserve">谷川　詩星</t>
  </si>
  <si>
    <t xml:space="preserve">摺出寺　優良</t>
  </si>
  <si>
    <t xml:space="preserve">泉北高</t>
  </si>
  <si>
    <t xml:space="preserve">藤　 　幸生</t>
  </si>
  <si>
    <t xml:space="preserve">東福岡高</t>
  </si>
  <si>
    <t xml:space="preserve">松浦　啓士</t>
  </si>
  <si>
    <t xml:space="preserve">村松　侑真</t>
  </si>
  <si>
    <t xml:space="preserve">小池　晴斗</t>
  </si>
  <si>
    <t xml:space="preserve">五泉高</t>
  </si>
  <si>
    <t xml:space="preserve">椎葉　晴己</t>
  </si>
  <si>
    <t xml:space="preserve">茨木高</t>
  </si>
  <si>
    <t xml:space="preserve">萩原　佑樹</t>
  </si>
  <si>
    <t xml:space="preserve">郡　 　秀二郎</t>
  </si>
  <si>
    <t xml:space="preserve">高井　夕貴</t>
  </si>
  <si>
    <t xml:space="preserve">福田　蓮</t>
  </si>
  <si>
    <t xml:space="preserve">滑川総合高</t>
  </si>
  <si>
    <t xml:space="preserve">蔭野　将人</t>
  </si>
  <si>
    <t xml:space="preserve">高垣　優希</t>
  </si>
  <si>
    <t xml:space="preserve">芝　 　真輝</t>
  </si>
  <si>
    <t xml:space="preserve">金井高</t>
  </si>
  <si>
    <t xml:space="preserve">野口　啓太</t>
  </si>
  <si>
    <t xml:space="preserve">対馬　伶</t>
  </si>
  <si>
    <t xml:space="preserve">静岡北高</t>
  </si>
  <si>
    <t xml:space="preserve">谷藤　亮太</t>
  </si>
  <si>
    <t xml:space="preserve">佐倉高</t>
  </si>
  <si>
    <t xml:space="preserve">藤田　敦人</t>
  </si>
  <si>
    <t xml:space="preserve">天野　快晟</t>
  </si>
  <si>
    <t xml:space="preserve">佐々木　壮輔</t>
  </si>
  <si>
    <t xml:space="preserve">北星学園大附高</t>
  </si>
  <si>
    <t xml:space="preserve">加瀬　智之</t>
  </si>
  <si>
    <t xml:space="preserve">伊藤　大葵</t>
  </si>
  <si>
    <t xml:space="preserve">福島東高</t>
  </si>
  <si>
    <t xml:space="preserve">高羽　渉</t>
  </si>
  <si>
    <t xml:space="preserve">所沢北高</t>
  </si>
  <si>
    <t xml:space="preserve">松尾心太郎</t>
  </si>
  <si>
    <t xml:space="preserve">北筑高</t>
  </si>
  <si>
    <t xml:space="preserve">渡辺　燈</t>
  </si>
  <si>
    <t xml:space="preserve">追手前高</t>
  </si>
  <si>
    <t xml:space="preserve">山下　晴也</t>
  </si>
  <si>
    <t xml:space="preserve">加古川東高</t>
  </si>
  <si>
    <t xml:space="preserve">川嶋　帆航</t>
  </si>
  <si>
    <t xml:space="preserve">古瀬　幹太</t>
  </si>
  <si>
    <t xml:space="preserve">当麻　雄心</t>
  </si>
  <si>
    <t xml:space="preserve">市呉高</t>
  </si>
  <si>
    <t xml:space="preserve">佐藤　歩斗</t>
  </si>
  <si>
    <t xml:space="preserve">浅野　順正</t>
  </si>
  <si>
    <t xml:space="preserve">下地　惺大</t>
  </si>
  <si>
    <t xml:space="preserve">和田　晴凪</t>
  </si>
  <si>
    <t xml:space="preserve">有衛　桜華</t>
  </si>
  <si>
    <t xml:space="preserve">三橋　永和</t>
  </si>
  <si>
    <t xml:space="preserve">桑田　凌冴</t>
  </si>
  <si>
    <t xml:space="preserve">伊丹西高</t>
  </si>
  <si>
    <r>
      <rPr>
        <sz val="10"/>
        <color rgb="FF000000"/>
        <rFont val="HGPｺﾞｼｯｸM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104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27:25</t>
    </r>
    <r>
      <rPr>
        <sz val="10"/>
        <color rgb="FF000000"/>
        <rFont val="WenQuanYi Zen Hei"/>
        <family val="2"/>
      </rPr>
      <t xml:space="preserve">）</t>
    </r>
  </si>
  <si>
    <t xml:space="preserve">中村　迅</t>
  </si>
  <si>
    <t xml:space="preserve">津川　悠真</t>
  </si>
  <si>
    <t xml:space="preserve">倉吉西</t>
  </si>
  <si>
    <t xml:space="preserve">同名の別選手あり（浜松開誠館高）</t>
  </si>
  <si>
    <t xml:space="preserve">林　 　勇斗</t>
  </si>
  <si>
    <r>
      <rPr>
        <sz val="10"/>
        <color rgb="FF000000"/>
        <rFont val="HGPｺﾞｼｯｸM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77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9:11</t>
    </r>
    <r>
      <rPr>
        <sz val="10"/>
        <color rgb="FF000000"/>
        <rFont val="WenQuanYi Zen Hei"/>
        <family val="2"/>
      </rPr>
      <t xml:space="preserve">）</t>
    </r>
  </si>
  <si>
    <t xml:space="preserve">武富　福久</t>
  </si>
  <si>
    <t xml:space="preserve">池田　大知</t>
  </si>
  <si>
    <t xml:space="preserve">昭和学院高</t>
  </si>
  <si>
    <t xml:space="preserve">竹内　将磨</t>
  </si>
  <si>
    <t xml:space="preserve">山口　寛十</t>
  </si>
  <si>
    <t xml:space="preserve">おかやま山陽高</t>
  </si>
  <si>
    <t xml:space="preserve">水野　楓理</t>
  </si>
  <si>
    <t xml:space="preserve">山本　悠駕</t>
  </si>
  <si>
    <r>
      <rPr>
        <sz val="10"/>
        <color rgb="FF000000"/>
        <rFont val="HGPｺﾞｼｯｸM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82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26:11</t>
    </r>
    <r>
      <rPr>
        <sz val="10"/>
        <color rgb="FF000000"/>
        <rFont val="WenQuanYi Zen Hei"/>
        <family val="2"/>
      </rPr>
      <t xml:space="preserve">）</t>
    </r>
  </si>
  <si>
    <t xml:space="preserve">中村　柊太</t>
  </si>
  <si>
    <t xml:space="preserve">市函館高</t>
  </si>
  <si>
    <t xml:space="preserve">川辺　昂輝</t>
  </si>
  <si>
    <r>
      <rPr>
        <sz val="10"/>
        <color rgb="FF000000"/>
        <rFont val="HGPｺﾞｼｯｸM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88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9:19</t>
    </r>
    <r>
      <rPr>
        <sz val="10"/>
        <color rgb="FF000000"/>
        <rFont val="WenQuanYi Zen Hei"/>
        <family val="2"/>
      </rPr>
      <t xml:space="preserve">）</t>
    </r>
  </si>
  <si>
    <t xml:space="preserve">木ノ村　輝</t>
  </si>
  <si>
    <t xml:space="preserve">重安　輝</t>
  </si>
  <si>
    <t xml:space="preserve">小口　煌成</t>
  </si>
  <si>
    <t xml:space="preserve">市千葉高</t>
  </si>
  <si>
    <t xml:space="preserve">北山　幸士郎</t>
  </si>
  <si>
    <t xml:space="preserve">東北学院高</t>
  </si>
  <si>
    <t xml:space="preserve">大町　爽翔</t>
  </si>
  <si>
    <t xml:space="preserve">田辺　颯悟</t>
  </si>
  <si>
    <t xml:space="preserve">松田　昇磨</t>
  </si>
  <si>
    <t xml:space="preserve">棚町　颯斗</t>
  </si>
  <si>
    <t xml:space="preserve">三養基高</t>
  </si>
  <si>
    <t xml:space="preserve">今村　瑛太</t>
  </si>
  <si>
    <t xml:space="preserve">都城泉ケ丘高</t>
  </si>
  <si>
    <t xml:space="preserve">河野　宏真</t>
  </si>
  <si>
    <r>
      <rPr>
        <sz val="10"/>
        <color rgb="FF000000"/>
        <rFont val="HGPｺﾞｼｯｸM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90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26:26</t>
    </r>
    <r>
      <rPr>
        <sz val="10"/>
        <color rgb="FF000000"/>
        <rFont val="WenQuanYi Zen Hei"/>
        <family val="2"/>
      </rPr>
      <t xml:space="preserve">）</t>
    </r>
  </si>
  <si>
    <t xml:space="preserve">新郷　悠馬</t>
  </si>
  <si>
    <t xml:space="preserve">浦和学院高</t>
  </si>
  <si>
    <t xml:space="preserve">高橋　幸盛</t>
  </si>
  <si>
    <t xml:space="preserve">三次高</t>
  </si>
  <si>
    <t xml:space="preserve">中山　将宗</t>
  </si>
  <si>
    <t xml:space="preserve">唐津工高</t>
  </si>
  <si>
    <t xml:space="preserve">岩崎　叶</t>
  </si>
  <si>
    <t xml:space="preserve">田畑　暖</t>
  </si>
  <si>
    <t xml:space="preserve">重松　俊弥</t>
  </si>
  <si>
    <t xml:space="preserve">門平　大志</t>
  </si>
  <si>
    <t xml:space="preserve">天倉　煌太</t>
  </si>
  <si>
    <t xml:space="preserve">渡辺　将斗</t>
  </si>
  <si>
    <t xml:space="preserve">手島　隆登</t>
  </si>
  <si>
    <t xml:space="preserve">柏陽高</t>
  </si>
  <si>
    <t xml:space="preserve">野口　敬古</t>
  </si>
  <si>
    <t xml:space="preserve">田中丸政義</t>
  </si>
  <si>
    <t xml:space="preserve">武雄高</t>
  </si>
  <si>
    <t xml:space="preserve">宮嶋　悠翔</t>
  </si>
  <si>
    <t xml:space="preserve">坂田　愛将</t>
  </si>
  <si>
    <t xml:space="preserve">博野　心平</t>
  </si>
  <si>
    <t xml:space="preserve">明星学園高</t>
  </si>
  <si>
    <t xml:space="preserve">中尾　悠人</t>
  </si>
  <si>
    <t xml:space="preserve">姫路商高</t>
  </si>
  <si>
    <t xml:space="preserve">西方路　瑛太</t>
  </si>
  <si>
    <t xml:space="preserve">大阪桐蔭高校</t>
  </si>
  <si>
    <t xml:space="preserve">新村　成司</t>
  </si>
  <si>
    <t xml:space="preserve">高橋　春人</t>
  </si>
  <si>
    <t xml:space="preserve">新屋高</t>
  </si>
  <si>
    <t xml:space="preserve">田中　里旺</t>
  </si>
  <si>
    <t xml:space="preserve">大田原高</t>
  </si>
  <si>
    <t xml:space="preserve">平野　遊大</t>
  </si>
  <si>
    <t xml:space="preserve">名護高</t>
  </si>
  <si>
    <t xml:space="preserve">岡崎　奏空</t>
  </si>
  <si>
    <t xml:space="preserve">市岸和田産高</t>
  </si>
  <si>
    <t xml:space="preserve">和田　凛太郎</t>
  </si>
  <si>
    <t xml:space="preserve">中沢　陽向</t>
  </si>
  <si>
    <t xml:space="preserve">松江南高</t>
  </si>
  <si>
    <t xml:space="preserve">大橋　暖史</t>
  </si>
  <si>
    <t xml:space="preserve">新井　健</t>
  </si>
  <si>
    <t xml:space="preserve">帝塚山学院泉ケ丘高</t>
  </si>
  <si>
    <t xml:space="preserve">今田　陸</t>
  </si>
  <si>
    <t xml:space="preserve">岩国高</t>
  </si>
  <si>
    <t xml:space="preserve">渋谷　宥成</t>
  </si>
  <si>
    <t xml:space="preserve">竹政　羽琉</t>
  </si>
  <si>
    <t xml:space="preserve">中野立志館高</t>
  </si>
  <si>
    <t xml:space="preserve">永田　航大</t>
  </si>
  <si>
    <t xml:space="preserve">松本県ケ丘高</t>
  </si>
  <si>
    <t xml:space="preserve">工藤　涼大</t>
  </si>
  <si>
    <t xml:space="preserve">市大宮北高</t>
  </si>
  <si>
    <t xml:space="preserve">鶴田　亮介</t>
  </si>
  <si>
    <t xml:space="preserve">山口幸之介</t>
  </si>
  <si>
    <t xml:space="preserve">佐世保工高</t>
  </si>
  <si>
    <t xml:space="preserve">鹿嶌　厚希</t>
  </si>
  <si>
    <t xml:space="preserve">君津高</t>
  </si>
  <si>
    <t xml:space="preserve">橋本　湊</t>
  </si>
  <si>
    <t xml:space="preserve">成城学園高</t>
  </si>
  <si>
    <t xml:space="preserve">原田　結希斗</t>
  </si>
  <si>
    <t xml:space="preserve">神戸鈴蘭台高</t>
  </si>
  <si>
    <t xml:space="preserve">辻　 　瑛大</t>
  </si>
  <si>
    <t xml:space="preserve">三沢　壬</t>
  </si>
  <si>
    <t xml:space="preserve">本荘高</t>
  </si>
  <si>
    <t xml:space="preserve">桧垣　咲玖</t>
  </si>
  <si>
    <t xml:space="preserve">祐誠高</t>
  </si>
  <si>
    <r>
      <rPr>
        <sz val="10"/>
        <color rgb="FF000000"/>
        <rFont val="WenQuanYi Zen Hei"/>
        <family val="2"/>
      </rPr>
      <t xml:space="preserve">手動計時：</t>
    </r>
    <r>
      <rPr>
        <sz val="10"/>
        <color rgb="FF000000"/>
        <rFont val="HGPｺﾞｼｯｸM"/>
        <family val="0"/>
        <charset val="1"/>
      </rPr>
      <t xml:space="preserve">3000mSC</t>
    </r>
  </si>
  <si>
    <t xml:space="preserve">田中　詠太郎</t>
  </si>
  <si>
    <t xml:space="preserve">笹渡　礼</t>
  </si>
  <si>
    <t xml:space="preserve">アスリートＴＣ</t>
  </si>
  <si>
    <t xml:space="preserve">野口　優斗</t>
  </si>
  <si>
    <t xml:space="preserve">星野高</t>
  </si>
  <si>
    <t xml:space="preserve">加藤　諒真</t>
  </si>
  <si>
    <t xml:space="preserve">所沢西高</t>
  </si>
  <si>
    <t xml:space="preserve">藤沢　洸希</t>
  </si>
  <si>
    <t xml:space="preserve">佐竹　紬</t>
  </si>
  <si>
    <t xml:space="preserve">宮後　佳永</t>
  </si>
  <si>
    <t xml:space="preserve">中村　奏太</t>
  </si>
  <si>
    <t xml:space="preserve">都東大和南高</t>
  </si>
  <si>
    <t xml:space="preserve">牛島　成郁</t>
  </si>
  <si>
    <t xml:space="preserve">田中　渡</t>
  </si>
  <si>
    <t xml:space="preserve">臼田　颯介</t>
  </si>
  <si>
    <t xml:space="preserve">徳原　莉緒斗</t>
  </si>
  <si>
    <t xml:space="preserve">岡　 　雅翔</t>
  </si>
  <si>
    <t xml:space="preserve">池田高</t>
  </si>
  <si>
    <t xml:space="preserve">永井　陽智</t>
  </si>
  <si>
    <t xml:space="preserve">舘　 　佳史</t>
  </si>
  <si>
    <t xml:space="preserve">鳩場　万浬</t>
  </si>
  <si>
    <r>
      <rPr>
        <sz val="10"/>
        <color rgb="FF000000"/>
        <rFont val="HGPｺﾞｼｯｸM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76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9:10</t>
    </r>
    <r>
      <rPr>
        <sz val="10"/>
        <color rgb="FF000000"/>
        <rFont val="WenQuanYi Zen Hei"/>
        <family val="2"/>
      </rPr>
      <t xml:space="preserve">）</t>
    </r>
  </si>
  <si>
    <t xml:space="preserve">稲　 　勇斗</t>
  </si>
  <si>
    <t xml:space="preserve">御殿場南高</t>
  </si>
  <si>
    <t xml:space="preserve">税所　篤</t>
  </si>
  <si>
    <t xml:space="preserve">筑紫高</t>
  </si>
  <si>
    <t xml:space="preserve">田野　一希</t>
  </si>
  <si>
    <t xml:space="preserve">村野　新太</t>
  </si>
  <si>
    <t xml:space="preserve">池田　秀太</t>
  </si>
  <si>
    <t xml:space="preserve">牧　 　文哉</t>
  </si>
  <si>
    <t xml:space="preserve">野中　陸翔</t>
  </si>
  <si>
    <t xml:space="preserve">ＡＬＬ八代高</t>
  </si>
  <si>
    <t xml:space="preserve">八木　海音</t>
  </si>
  <si>
    <t xml:space="preserve">宮崎北高</t>
  </si>
  <si>
    <t xml:space="preserve">楠　 　璽師</t>
  </si>
  <si>
    <t xml:space="preserve">青木　陽翔</t>
  </si>
  <si>
    <t xml:space="preserve">都調布南高</t>
  </si>
  <si>
    <t xml:space="preserve">中道　勝太</t>
  </si>
  <si>
    <t xml:space="preserve">柴田　陸</t>
  </si>
  <si>
    <t xml:space="preserve">徳永　宇音</t>
  </si>
  <si>
    <t xml:space="preserve">池松　明日</t>
  </si>
  <si>
    <t xml:space="preserve">水俣高</t>
  </si>
  <si>
    <t xml:space="preserve">中村　悠真</t>
  </si>
  <si>
    <t xml:space="preserve">上甲　直幸</t>
  </si>
  <si>
    <t xml:space="preserve">杉浦　彪牙</t>
  </si>
  <si>
    <t xml:space="preserve">阿部　壮一朗</t>
  </si>
  <si>
    <t xml:space="preserve">行野　悠心</t>
  </si>
  <si>
    <t xml:space="preserve">田口　智喜</t>
  </si>
  <si>
    <t xml:space="preserve">東大寺学園高</t>
  </si>
  <si>
    <t xml:space="preserve">牧野　光</t>
  </si>
  <si>
    <t xml:space="preserve">竹田　幸生</t>
  </si>
  <si>
    <t xml:space="preserve">青木　健瑠</t>
  </si>
  <si>
    <t xml:space="preserve">石田　勝海</t>
  </si>
  <si>
    <t xml:space="preserve">高橋　岳人</t>
  </si>
  <si>
    <r>
      <rPr>
        <sz val="10"/>
        <color rgb="FF000000"/>
        <rFont val="WenQuanYi Zen Hei"/>
        <family val="2"/>
      </rPr>
      <t xml:space="preserve">手動計時：</t>
    </r>
    <r>
      <rPr>
        <sz val="10"/>
        <color rgb="FF000000"/>
        <rFont val="HGPｺﾞｼｯｸM"/>
        <family val="0"/>
        <charset val="1"/>
      </rPr>
      <t xml:space="preserve">1500m</t>
    </r>
  </si>
  <si>
    <t xml:space="preserve">森田　翔星</t>
  </si>
  <si>
    <t xml:space="preserve">小川　蒼平</t>
  </si>
  <si>
    <t xml:space="preserve">寺内　諒太</t>
  </si>
  <si>
    <t xml:space="preserve">二松学舎大附柏高</t>
  </si>
  <si>
    <t xml:space="preserve">前田　駿</t>
  </si>
  <si>
    <t xml:space="preserve">大山　奏音</t>
  </si>
  <si>
    <t xml:space="preserve">武藤　瑛太</t>
  </si>
  <si>
    <t xml:space="preserve">小林　篤史</t>
  </si>
  <si>
    <t xml:space="preserve">菊地　莉空</t>
  </si>
  <si>
    <t xml:space="preserve">西邑楽高</t>
  </si>
  <si>
    <t xml:space="preserve">山下　詩恩</t>
  </si>
  <si>
    <t xml:space="preserve">倉本　琉心</t>
  </si>
  <si>
    <t xml:space="preserve">野村　勘心</t>
  </si>
  <si>
    <t xml:space="preserve">中森　智治</t>
  </si>
  <si>
    <t xml:space="preserve">同名の別選手あり（酒田南高）</t>
  </si>
  <si>
    <t xml:space="preserve">筒井　遥斗</t>
  </si>
  <si>
    <t xml:space="preserve">上高原　翔</t>
  </si>
  <si>
    <t xml:space="preserve">鎌倉学園高</t>
  </si>
  <si>
    <t xml:space="preserve">又城　沙俊</t>
  </si>
  <si>
    <t xml:space="preserve">花崎　陽仁</t>
  </si>
  <si>
    <t xml:space="preserve">相生高</t>
  </si>
  <si>
    <t xml:space="preserve">加賀　壮志</t>
  </si>
  <si>
    <t xml:space="preserve">加藤　創士</t>
  </si>
  <si>
    <t xml:space="preserve">竜ケ崎一高</t>
  </si>
  <si>
    <t xml:space="preserve">鎌倉　尊</t>
  </si>
  <si>
    <t xml:space="preserve">佐藤　秀真</t>
  </si>
  <si>
    <t xml:space="preserve">有田　陽生</t>
  </si>
  <si>
    <t xml:space="preserve">八幡工高</t>
  </si>
  <si>
    <t xml:space="preserve">池尻　拓未</t>
  </si>
  <si>
    <t xml:space="preserve">広島大附高</t>
  </si>
  <si>
    <t xml:space="preserve">井手　健</t>
  </si>
  <si>
    <r>
      <rPr>
        <sz val="10"/>
        <color rgb="FF000000"/>
        <rFont val="HGPｺﾞｼｯｸM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102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27:41</t>
    </r>
    <r>
      <rPr>
        <sz val="10"/>
        <color rgb="FF000000"/>
        <rFont val="WenQuanYi Zen Hei"/>
        <family val="2"/>
      </rPr>
      <t xml:space="preserve">）</t>
    </r>
  </si>
  <si>
    <t xml:space="preserve">広島　亨介</t>
  </si>
  <si>
    <t xml:space="preserve">坂出高</t>
  </si>
  <si>
    <t xml:space="preserve">須藤　夏生</t>
  </si>
  <si>
    <t xml:space="preserve">下妻二高</t>
  </si>
  <si>
    <t xml:space="preserve">橘高　尊</t>
  </si>
  <si>
    <t xml:space="preserve">川口北高</t>
  </si>
  <si>
    <t xml:space="preserve">古賀　雄大</t>
  </si>
  <si>
    <t xml:space="preserve">旭川志峯高</t>
  </si>
  <si>
    <t xml:space="preserve">浅野　光祐</t>
  </si>
  <si>
    <t xml:space="preserve">金沢　俊輝</t>
  </si>
  <si>
    <t xml:space="preserve">同名の別選手あり（西条農高）</t>
  </si>
  <si>
    <t xml:space="preserve">高寺　翌桧</t>
  </si>
  <si>
    <t xml:space="preserve">徳重　伸</t>
  </si>
  <si>
    <t xml:space="preserve">呉高専</t>
  </si>
  <si>
    <t xml:space="preserve">宮崎　寛士</t>
  </si>
  <si>
    <t xml:space="preserve">中島　海利</t>
  </si>
  <si>
    <r>
      <rPr>
        <sz val="10"/>
        <color rgb="FF000000"/>
        <rFont val="HGPｺﾞｼｯｸM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74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25:49</t>
    </r>
    <r>
      <rPr>
        <sz val="10"/>
        <color rgb="FF000000"/>
        <rFont val="WenQuanYi Zen Hei"/>
        <family val="2"/>
      </rPr>
      <t xml:space="preserve">）</t>
    </r>
  </si>
  <si>
    <t xml:space="preserve">菅原　颯佑</t>
  </si>
  <si>
    <t xml:space="preserve">田中　翔樹</t>
  </si>
  <si>
    <t xml:space="preserve">大体大浪商高</t>
  </si>
  <si>
    <t xml:space="preserve">後藤　総汰</t>
  </si>
  <si>
    <t xml:space="preserve">小松　雄朔</t>
  </si>
  <si>
    <t xml:space="preserve">安房高</t>
  </si>
  <si>
    <t xml:space="preserve">小野田　昊輝</t>
  </si>
  <si>
    <t xml:space="preserve">佐藤　朔</t>
  </si>
  <si>
    <t xml:space="preserve">加藤　悠真</t>
  </si>
  <si>
    <t xml:space="preserve">西尾高</t>
  </si>
  <si>
    <t xml:space="preserve">柳田　温真</t>
  </si>
  <si>
    <t xml:space="preserve">林　 　誠也</t>
  </si>
  <si>
    <t xml:space="preserve">徳元　奏太</t>
  </si>
  <si>
    <t xml:space="preserve">大森　悠喜</t>
  </si>
  <si>
    <t xml:space="preserve">武田　宗将</t>
  </si>
  <si>
    <t xml:space="preserve">吉浦　育飛</t>
  </si>
  <si>
    <t xml:space="preserve">菅原真太朗</t>
  </si>
  <si>
    <t xml:space="preserve">大曲高</t>
  </si>
  <si>
    <t xml:space="preserve">松永　空太</t>
  </si>
  <si>
    <t xml:space="preserve">鹿児島南高</t>
  </si>
  <si>
    <t xml:space="preserve">日野　颯太</t>
  </si>
  <si>
    <t xml:space="preserve">松江工高</t>
  </si>
  <si>
    <t xml:space="preserve">ブラウン　レオ</t>
  </si>
  <si>
    <t xml:space="preserve">斎藤　英翔</t>
  </si>
  <si>
    <t xml:space="preserve">東京学館新潟高</t>
  </si>
  <si>
    <t xml:space="preserve">剣持　唯都</t>
  </si>
  <si>
    <t xml:space="preserve">磯辺高</t>
  </si>
  <si>
    <t xml:space="preserve">外勢礼央夢</t>
  </si>
  <si>
    <t xml:space="preserve">鶴田　義和</t>
  </si>
  <si>
    <t xml:space="preserve">前原　寿至</t>
  </si>
  <si>
    <t xml:space="preserve">桜井　新太</t>
  </si>
  <si>
    <t xml:space="preserve">山形市商高</t>
  </si>
  <si>
    <t xml:space="preserve">堀口　健丸</t>
  </si>
  <si>
    <t xml:space="preserve">山田　心</t>
  </si>
  <si>
    <t xml:space="preserve">菅原　真之輔</t>
  </si>
  <si>
    <t xml:space="preserve">致道館高</t>
  </si>
  <si>
    <t xml:space="preserve">青木　凰陽</t>
  </si>
  <si>
    <t xml:space="preserve">菊川　智弘</t>
  </si>
  <si>
    <t xml:space="preserve">広島なぎさ高</t>
  </si>
  <si>
    <t xml:space="preserve">赤堀　寛仁</t>
  </si>
  <si>
    <t xml:space="preserve">浜北西高</t>
  </si>
  <si>
    <t xml:space="preserve">渡辺　孝哉</t>
  </si>
  <si>
    <t xml:space="preserve">島戸　政次郎</t>
  </si>
  <si>
    <t xml:space="preserve">三池高</t>
  </si>
  <si>
    <t xml:space="preserve">岩瀬　優志</t>
  </si>
  <si>
    <t xml:space="preserve">小郡高</t>
  </si>
  <si>
    <t xml:space="preserve">矢端　遼</t>
  </si>
  <si>
    <t xml:space="preserve">金井　瑞穂</t>
  </si>
  <si>
    <t xml:space="preserve">八木橋和紀</t>
  </si>
  <si>
    <t xml:space="preserve">磐城高</t>
  </si>
  <si>
    <t xml:space="preserve">金井　優空</t>
  </si>
  <si>
    <t xml:space="preserve">堀　 　維真</t>
  </si>
  <si>
    <t xml:space="preserve">石川高専</t>
  </si>
  <si>
    <t xml:space="preserve">松沢　卓三</t>
  </si>
  <si>
    <t xml:space="preserve">木村　祐介</t>
  </si>
  <si>
    <t xml:space="preserve">河村　優希</t>
  </si>
  <si>
    <t xml:space="preserve">藤井寺高</t>
  </si>
  <si>
    <t xml:space="preserve">吉本龍之介</t>
  </si>
  <si>
    <t xml:space="preserve">伊万里実業高</t>
  </si>
  <si>
    <t xml:space="preserve">黒田　嘉人</t>
  </si>
  <si>
    <t xml:space="preserve">神戸甲北高</t>
  </si>
  <si>
    <t xml:space="preserve">徳永　陽大</t>
  </si>
  <si>
    <t xml:space="preserve">山田　稜晟</t>
  </si>
  <si>
    <t xml:space="preserve">荻田　裕央</t>
  </si>
  <si>
    <t xml:space="preserve">高知国際高</t>
  </si>
  <si>
    <t xml:space="preserve">石山　竜聖</t>
  </si>
  <si>
    <t xml:space="preserve">函館中部高</t>
  </si>
  <si>
    <t xml:space="preserve">桜井　優諒</t>
  </si>
  <si>
    <t xml:space="preserve">久保田　悠路</t>
  </si>
  <si>
    <t xml:space="preserve">宮古商工高</t>
  </si>
  <si>
    <t xml:space="preserve">米本　陸斗</t>
  </si>
  <si>
    <t xml:space="preserve">南陽工高</t>
  </si>
  <si>
    <t xml:space="preserve">畑田　優太</t>
  </si>
  <si>
    <t xml:space="preserve">砂川　治斗</t>
  </si>
  <si>
    <t xml:space="preserve">區皓駿</t>
  </si>
  <si>
    <t xml:space="preserve">Ｄｉｏｃｅｓａｎ Ｂｏｙｓ’ Ｓｃｈｏｏｌ</t>
  </si>
  <si>
    <t xml:space="preserve">小林　夕馬</t>
  </si>
  <si>
    <t xml:space="preserve">小田　湧斗</t>
  </si>
  <si>
    <t xml:space="preserve">坂本　一桂</t>
  </si>
  <si>
    <t xml:space="preserve">渡辺　大舞</t>
  </si>
  <si>
    <t xml:space="preserve">福島　拳成</t>
  </si>
  <si>
    <t xml:space="preserve">岡崎　丈</t>
  </si>
  <si>
    <t xml:space="preserve">桜井　諒河</t>
  </si>
  <si>
    <t xml:space="preserve">真岡高</t>
  </si>
  <si>
    <t xml:space="preserve">弓指　浩平</t>
  </si>
  <si>
    <t xml:space="preserve">石本　翔生</t>
  </si>
  <si>
    <t xml:space="preserve">奈良原　優</t>
  </si>
  <si>
    <t xml:space="preserve">高久　湧雅</t>
  </si>
  <si>
    <t xml:space="preserve">川口　澄海</t>
  </si>
  <si>
    <t xml:space="preserve">山廼辺　渉</t>
  </si>
  <si>
    <t xml:space="preserve">磐城桜が丘高</t>
  </si>
  <si>
    <t xml:space="preserve">井上　銀次</t>
  </si>
  <si>
    <t xml:space="preserve">藤野　汰一</t>
  </si>
  <si>
    <r>
      <rPr>
        <sz val="10"/>
        <color rgb="FF000000"/>
        <rFont val="HGPｺﾞｼｯｸM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37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9:07</t>
    </r>
    <r>
      <rPr>
        <sz val="10"/>
        <color rgb="FF000000"/>
        <rFont val="WenQuanYi Zen Hei"/>
        <family val="2"/>
      </rPr>
      <t xml:space="preserve">）</t>
    </r>
  </si>
  <si>
    <t xml:space="preserve">井田　陸王</t>
  </si>
  <si>
    <t xml:space="preserve">雲雀丘高</t>
  </si>
  <si>
    <t xml:space="preserve">藤井　璃紘</t>
  </si>
  <si>
    <t xml:space="preserve">神奈川大附高</t>
  </si>
  <si>
    <t xml:space="preserve">橋爪　悠真</t>
  </si>
  <si>
    <t xml:space="preserve">鳥栖高</t>
  </si>
  <si>
    <t xml:space="preserve">和田　将明</t>
  </si>
  <si>
    <t xml:space="preserve">杉村　優介</t>
  </si>
  <si>
    <t xml:space="preserve">八幡高</t>
  </si>
  <si>
    <t xml:space="preserve">斎藤　希祐</t>
  </si>
  <si>
    <t xml:space="preserve">筑前高</t>
  </si>
  <si>
    <t xml:space="preserve">新坂　祐斗</t>
  </si>
  <si>
    <t xml:space="preserve">人吉高</t>
  </si>
  <si>
    <t xml:space="preserve">阿部　楓士</t>
  </si>
  <si>
    <r>
      <rPr>
        <sz val="10"/>
        <color rgb="FF000000"/>
        <rFont val="HGPｺﾞｼｯｸM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80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16:04</t>
    </r>
    <r>
      <rPr>
        <sz val="10"/>
        <color rgb="FF000000"/>
        <rFont val="WenQuanYi Zen Hei"/>
        <family val="2"/>
      </rPr>
      <t xml:space="preserve">）</t>
    </r>
  </si>
  <si>
    <t xml:space="preserve">富田　健芯</t>
  </si>
  <si>
    <t xml:space="preserve">修猷館高</t>
  </si>
  <si>
    <t xml:space="preserve">藤尾　怜生</t>
  </si>
  <si>
    <t xml:space="preserve">黒川　陽太郎</t>
  </si>
  <si>
    <t xml:space="preserve">米子西高</t>
  </si>
  <si>
    <r>
      <rPr>
        <sz val="10"/>
        <color rgb="FF000000"/>
        <rFont val="HGPｺﾞｼｯｸM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103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27:23</t>
    </r>
    <r>
      <rPr>
        <sz val="10"/>
        <color rgb="FF000000"/>
        <rFont val="WenQuanYi Zen Hei"/>
        <family val="2"/>
      </rPr>
      <t xml:space="preserve">）</t>
    </r>
  </si>
  <si>
    <t xml:space="preserve">北　 　陽生</t>
  </si>
  <si>
    <t xml:space="preserve">成東高</t>
  </si>
  <si>
    <t xml:space="preserve">小島　拓朗</t>
  </si>
  <si>
    <t xml:space="preserve">古谷　勇</t>
  </si>
  <si>
    <t xml:space="preserve">倉敷工高</t>
  </si>
  <si>
    <t xml:space="preserve">六車　遼太</t>
  </si>
  <si>
    <t xml:space="preserve">都石神井高</t>
  </si>
  <si>
    <t xml:space="preserve">岸　 　春輝</t>
  </si>
  <si>
    <t xml:space="preserve">高崎北高</t>
  </si>
  <si>
    <t xml:space="preserve">岡田　健人</t>
  </si>
  <si>
    <t xml:space="preserve">有本　圭吾</t>
  </si>
  <si>
    <t xml:space="preserve">咲くやこの花高</t>
  </si>
  <si>
    <t xml:space="preserve">武川　大雅</t>
  </si>
  <si>
    <t xml:space="preserve">長島　悠渡</t>
  </si>
  <si>
    <t xml:space="preserve">多治見北高</t>
  </si>
  <si>
    <t xml:space="preserve">水谷　柊人</t>
  </si>
  <si>
    <t xml:space="preserve">野口　翔登</t>
  </si>
  <si>
    <t xml:space="preserve">飯室　幸真</t>
  </si>
  <si>
    <t xml:space="preserve">福島　諒</t>
  </si>
  <si>
    <t xml:space="preserve">藤島高</t>
  </si>
  <si>
    <t xml:space="preserve">白石　渚</t>
  </si>
  <si>
    <t xml:space="preserve">大船渡高</t>
  </si>
  <si>
    <t xml:space="preserve">石川　巧</t>
  </si>
  <si>
    <t xml:space="preserve">斎藤　旬</t>
  </si>
  <si>
    <t xml:space="preserve">栗木　康太</t>
  </si>
  <si>
    <t xml:space="preserve">横山　睦樹</t>
  </si>
  <si>
    <t xml:space="preserve">海妻　靖久</t>
  </si>
  <si>
    <t xml:space="preserve">増田　拓朗</t>
  </si>
  <si>
    <t xml:space="preserve">島田工高</t>
  </si>
  <si>
    <t xml:space="preserve">藤本　倖成</t>
  </si>
  <si>
    <t xml:space="preserve">千葉明徳高</t>
  </si>
  <si>
    <t xml:space="preserve">田中　駿太郎</t>
  </si>
  <si>
    <t xml:space="preserve">権太　将利</t>
  </si>
  <si>
    <t xml:space="preserve">渡辺一輝</t>
  </si>
  <si>
    <t xml:space="preserve">安楽　航太</t>
  </si>
  <si>
    <t xml:space="preserve">都城西高</t>
  </si>
  <si>
    <t xml:space="preserve">十河　晴樹</t>
  </si>
  <si>
    <t xml:space="preserve">福知山高</t>
  </si>
  <si>
    <r>
      <rPr>
        <sz val="10"/>
        <color rgb="FF000000"/>
        <rFont val="HGPｺﾞｼｯｸM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100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27:08</t>
    </r>
    <r>
      <rPr>
        <sz val="10"/>
        <color rgb="FF000000"/>
        <rFont val="WenQuanYi Zen Hei"/>
        <family val="2"/>
      </rPr>
      <t xml:space="preserve">）</t>
    </r>
  </si>
  <si>
    <t xml:space="preserve">富士田　聡太郎</t>
  </si>
  <si>
    <t xml:space="preserve">高津高</t>
  </si>
  <si>
    <t xml:space="preserve">波岸　凰介</t>
  </si>
  <si>
    <t xml:space="preserve">小西　立真</t>
  </si>
  <si>
    <t xml:space="preserve">大垣北高</t>
  </si>
  <si>
    <t xml:space="preserve">原田　将吾</t>
  </si>
  <si>
    <t xml:space="preserve">滝下　響</t>
  </si>
  <si>
    <t xml:space="preserve">伊藤　蒼空</t>
  </si>
  <si>
    <t xml:space="preserve">大垣工高</t>
  </si>
  <si>
    <t xml:space="preserve">藤原　大和</t>
  </si>
  <si>
    <t xml:space="preserve">八鹿高</t>
  </si>
  <si>
    <t xml:space="preserve">山田　郁</t>
  </si>
  <si>
    <t xml:space="preserve">西武台高</t>
  </si>
  <si>
    <t xml:space="preserve">水田　叶希</t>
  </si>
  <si>
    <t xml:space="preserve">北九州高専</t>
  </si>
  <si>
    <t xml:space="preserve">生田　和獅</t>
  </si>
  <si>
    <r>
      <rPr>
        <sz val="10"/>
        <color rgb="FF000000"/>
        <rFont val="HGPｺﾞｼｯｸM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100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16:48</t>
    </r>
    <r>
      <rPr>
        <sz val="10"/>
        <color rgb="FF000000"/>
        <rFont val="WenQuanYi Zen Hei"/>
        <family val="2"/>
      </rPr>
      <t xml:space="preserve">）</t>
    </r>
  </si>
  <si>
    <t xml:space="preserve">荒井　愛斗</t>
  </si>
  <si>
    <t xml:space="preserve">日大藤沢高</t>
  </si>
  <si>
    <t xml:space="preserve">松本　琉生</t>
  </si>
  <si>
    <t xml:space="preserve">同名の別選手あり（水戸葵陵高校）</t>
  </si>
  <si>
    <t xml:space="preserve">古沢　輝翔</t>
  </si>
  <si>
    <t xml:space="preserve">真岡工高</t>
  </si>
  <si>
    <t xml:space="preserve">永井　悠葵</t>
  </si>
  <si>
    <t xml:space="preserve">都野津田高</t>
  </si>
  <si>
    <t xml:space="preserve">栗原　剛輝</t>
  </si>
  <si>
    <t xml:space="preserve">竹原　勇生</t>
  </si>
  <si>
    <t xml:space="preserve">山　 　大翔</t>
  </si>
  <si>
    <t xml:space="preserve">玉名工高</t>
  </si>
  <si>
    <t xml:space="preserve">川島　朔</t>
  </si>
  <si>
    <t xml:space="preserve">春日井</t>
  </si>
  <si>
    <t xml:space="preserve">佐藤　樹希</t>
  </si>
  <si>
    <t xml:space="preserve">いなべ総合学園高</t>
  </si>
  <si>
    <t xml:space="preserve">直井　琥太郎</t>
  </si>
  <si>
    <t xml:space="preserve">越谷南高</t>
  </si>
  <si>
    <t xml:space="preserve">近藤　匠真</t>
  </si>
  <si>
    <t xml:space="preserve">田口　煌司</t>
  </si>
  <si>
    <t xml:space="preserve">高田　蒼空</t>
  </si>
  <si>
    <t xml:space="preserve">二ノ宮　大知</t>
  </si>
  <si>
    <t xml:space="preserve">伊藤　絋一郎</t>
  </si>
  <si>
    <t xml:space="preserve">札幌龍谷高</t>
  </si>
  <si>
    <t xml:space="preserve">鈴木　侑</t>
  </si>
  <si>
    <t xml:space="preserve">松崎高</t>
  </si>
  <si>
    <t xml:space="preserve">清水　幸夢</t>
  </si>
  <si>
    <t xml:space="preserve">根上　漣</t>
  </si>
  <si>
    <t xml:space="preserve">木村　光佑</t>
  </si>
  <si>
    <t xml:space="preserve">武田高</t>
  </si>
  <si>
    <t xml:space="preserve">下　 　隼人</t>
  </si>
  <si>
    <t xml:space="preserve">栄木　快心</t>
  </si>
  <si>
    <t xml:space="preserve">諌早農高</t>
  </si>
  <si>
    <t xml:space="preserve">大山　椋平</t>
  </si>
  <si>
    <t xml:space="preserve">高島高</t>
  </si>
  <si>
    <t xml:space="preserve">田原　佑真</t>
  </si>
  <si>
    <t xml:space="preserve">大川　漣生</t>
  </si>
  <si>
    <t xml:space="preserve">田岡　将和</t>
  </si>
  <si>
    <t xml:space="preserve">久保真直人</t>
  </si>
  <si>
    <t xml:space="preserve">秋田　優真</t>
  </si>
  <si>
    <t xml:space="preserve">都調布北高</t>
  </si>
  <si>
    <t xml:space="preserve">桑木　哲央</t>
  </si>
  <si>
    <t xml:space="preserve">横須賀学院高</t>
  </si>
  <si>
    <t xml:space="preserve">片桐　友朔</t>
  </si>
  <si>
    <t xml:space="preserve">奈良大附高</t>
  </si>
  <si>
    <t xml:space="preserve">足立　大翔</t>
  </si>
  <si>
    <r>
      <rPr>
        <sz val="10"/>
        <color rgb="FF000000"/>
        <rFont val="HGPｺﾞｼｯｸM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60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9:56</t>
    </r>
    <r>
      <rPr>
        <sz val="10"/>
        <color rgb="FF000000"/>
        <rFont val="WenQuanYi Zen Hei"/>
        <family val="2"/>
      </rPr>
      <t xml:space="preserve">）</t>
    </r>
  </si>
  <si>
    <t xml:space="preserve">篠崎　崇輔</t>
  </si>
  <si>
    <t xml:space="preserve">水戸工高</t>
  </si>
  <si>
    <t xml:space="preserve">平野　祐介</t>
  </si>
  <si>
    <t xml:space="preserve">橋本　玲音</t>
  </si>
  <si>
    <t xml:space="preserve">高橋　匡佑</t>
  </si>
  <si>
    <t xml:space="preserve">西村　航太朗</t>
  </si>
  <si>
    <t xml:space="preserve">呉三津田高</t>
  </si>
  <si>
    <t xml:space="preserve">大川　和寿</t>
  </si>
  <si>
    <t xml:space="preserve">丸本浩太郎</t>
  </si>
  <si>
    <t xml:space="preserve">小林　勇斗</t>
  </si>
  <si>
    <t xml:space="preserve">新湊高</t>
  </si>
  <si>
    <t xml:space="preserve">小原　大和</t>
  </si>
  <si>
    <t xml:space="preserve">本多　竣</t>
  </si>
  <si>
    <t xml:space="preserve">沼田高</t>
  </si>
  <si>
    <t xml:space="preserve">水野　蒼空</t>
  </si>
  <si>
    <t xml:space="preserve">富山工高</t>
  </si>
  <si>
    <t xml:space="preserve">戸田　大夢</t>
  </si>
  <si>
    <t xml:space="preserve">松尾高</t>
  </si>
  <si>
    <t xml:space="preserve">沢村　琉生</t>
  </si>
  <si>
    <t xml:space="preserve">日進西高</t>
  </si>
  <si>
    <t xml:space="preserve">田辺　奏</t>
  </si>
  <si>
    <t xml:space="preserve">東野高</t>
  </si>
  <si>
    <t xml:space="preserve">小田桐皇輝</t>
  </si>
  <si>
    <t xml:space="preserve">竹井　翔真</t>
  </si>
  <si>
    <t xml:space="preserve">岡山操山高</t>
  </si>
  <si>
    <t xml:space="preserve">林　 　穣治</t>
  </si>
  <si>
    <t xml:space="preserve">三浦　航</t>
  </si>
  <si>
    <t xml:space="preserve">清水　岳</t>
  </si>
  <si>
    <t xml:space="preserve">船久保　稜太</t>
  </si>
  <si>
    <t xml:space="preserve">瀬戸西高</t>
  </si>
  <si>
    <t xml:space="preserve">石山　陽里</t>
  </si>
  <si>
    <t xml:space="preserve">釈永　凛庵</t>
  </si>
  <si>
    <t xml:space="preserve">龍谷富山高</t>
  </si>
  <si>
    <t xml:space="preserve">我部　陽太</t>
  </si>
  <si>
    <t xml:space="preserve">都新宿高</t>
  </si>
  <si>
    <t xml:space="preserve">校名表記：新宿高／都新宿高</t>
  </si>
  <si>
    <t xml:space="preserve">中村　晴希</t>
  </si>
  <si>
    <t xml:space="preserve">藤井　敬史郎</t>
  </si>
  <si>
    <t xml:space="preserve">名古屋市立高</t>
  </si>
  <si>
    <t xml:space="preserve">北村　愛介</t>
  </si>
  <si>
    <t xml:space="preserve">日野高</t>
  </si>
  <si>
    <t xml:space="preserve">梅原　幸太</t>
  </si>
  <si>
    <t xml:space="preserve">袋井高</t>
  </si>
  <si>
    <t xml:space="preserve">隈元　隆太</t>
  </si>
  <si>
    <r>
      <rPr>
        <sz val="10"/>
        <color rgb="FF000000"/>
        <rFont val="HGPｺﾞｼｯｸM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50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9:35</t>
    </r>
    <r>
      <rPr>
        <sz val="10"/>
        <color rgb="FF000000"/>
        <rFont val="WenQuanYi Zen Hei"/>
        <family val="2"/>
      </rPr>
      <t xml:space="preserve">）</t>
    </r>
  </si>
  <si>
    <t xml:space="preserve">吉田那由太</t>
  </si>
  <si>
    <t xml:space="preserve">小林　彩人</t>
  </si>
  <si>
    <t xml:space="preserve">北越高</t>
  </si>
  <si>
    <t xml:space="preserve">阿部　孝太郎</t>
  </si>
  <si>
    <t xml:space="preserve">小山　源氏</t>
  </si>
  <si>
    <t xml:space="preserve">都秋留台高</t>
  </si>
  <si>
    <t xml:space="preserve">平野　稜人</t>
  </si>
  <si>
    <t xml:space="preserve">広嵜　奏</t>
  </si>
  <si>
    <t xml:space="preserve">清水　雅俊</t>
  </si>
  <si>
    <t xml:space="preserve">横畠　蒼大</t>
  </si>
  <si>
    <t xml:space="preserve">守山高</t>
  </si>
  <si>
    <t xml:space="preserve">李　 　宰成</t>
  </si>
  <si>
    <t xml:space="preserve">佐々木　健</t>
  </si>
  <si>
    <t xml:space="preserve">谷口　晴翔</t>
  </si>
  <si>
    <t xml:space="preserve">大木　健太</t>
  </si>
  <si>
    <t xml:space="preserve">佐伯　憲吾</t>
  </si>
  <si>
    <t xml:space="preserve">横浜氷取沢高</t>
  </si>
  <si>
    <t xml:space="preserve">坂井　陽希</t>
  </si>
  <si>
    <t xml:space="preserve">青木　水南</t>
  </si>
  <si>
    <r>
      <rPr>
        <sz val="10"/>
        <color rgb="FF000000"/>
        <rFont val="HGPｺﾞｼｯｸM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27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8:58</t>
    </r>
    <r>
      <rPr>
        <sz val="10"/>
        <color rgb="FF000000"/>
        <rFont val="WenQuanYi Zen Hei"/>
        <family val="2"/>
      </rPr>
      <t xml:space="preserve">）</t>
    </r>
  </si>
  <si>
    <t xml:space="preserve">葛　 　佑希</t>
  </si>
  <si>
    <t xml:space="preserve">茂原樟陽高</t>
  </si>
  <si>
    <t xml:space="preserve">柴原　璃空</t>
  </si>
  <si>
    <t xml:space="preserve">西山　裕惺</t>
  </si>
  <si>
    <t xml:space="preserve">石橋　翔介</t>
  </si>
  <si>
    <t xml:space="preserve">同志社香里高</t>
  </si>
  <si>
    <t xml:space="preserve">浅井　雄介</t>
  </si>
  <si>
    <t xml:space="preserve">有薗　聡太朗</t>
  </si>
  <si>
    <t xml:space="preserve">小田　煌翔</t>
  </si>
  <si>
    <t xml:space="preserve">小樽潮陵高</t>
  </si>
  <si>
    <t xml:space="preserve">下野　晃成</t>
  </si>
  <si>
    <t xml:space="preserve">岐阜高</t>
  </si>
  <si>
    <t xml:space="preserve">松永　拓通</t>
  </si>
  <si>
    <t xml:space="preserve">清水東高</t>
  </si>
  <si>
    <t xml:space="preserve">坂口　岳大</t>
  </si>
  <si>
    <t xml:space="preserve">吉竹　怜央</t>
  </si>
  <si>
    <t xml:space="preserve">柏原高</t>
  </si>
  <si>
    <t xml:space="preserve">斎藤　弘哉</t>
  </si>
  <si>
    <t xml:space="preserve">大橋　悠翔</t>
  </si>
  <si>
    <t xml:space="preserve">浜名高</t>
  </si>
  <si>
    <t xml:space="preserve">栗秋　裕人</t>
  </si>
  <si>
    <t xml:space="preserve">小倉工高</t>
  </si>
  <si>
    <t xml:space="preserve">長谷川　謙太</t>
  </si>
  <si>
    <t xml:space="preserve">成瀬　朔</t>
  </si>
  <si>
    <t xml:space="preserve">八女学院高</t>
  </si>
  <si>
    <t xml:space="preserve">谷村　光哉</t>
  </si>
  <si>
    <t xml:space="preserve">大島高</t>
  </si>
  <si>
    <t xml:space="preserve">松浦　弘樹</t>
  </si>
  <si>
    <t xml:space="preserve">市福翔高</t>
  </si>
  <si>
    <t xml:space="preserve">山田　惺央</t>
  </si>
  <si>
    <t xml:space="preserve">与那嶺月渚</t>
  </si>
  <si>
    <t xml:space="preserve">二本木　真輝</t>
  </si>
  <si>
    <t xml:space="preserve">松原　志隆</t>
  </si>
  <si>
    <t xml:space="preserve">綿貫倖太郎</t>
  </si>
  <si>
    <t xml:space="preserve">馬場　健人</t>
  </si>
  <si>
    <t xml:space="preserve">森下　大空</t>
  </si>
  <si>
    <r>
      <rPr>
        <sz val="10"/>
        <color rgb="FF000000"/>
        <rFont val="HGPｺﾞｼｯｸM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49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15:39</t>
    </r>
    <r>
      <rPr>
        <sz val="10"/>
        <color rgb="FF000000"/>
        <rFont val="WenQuanYi Zen Hei"/>
        <family val="2"/>
      </rPr>
      <t xml:space="preserve">）</t>
    </r>
  </si>
  <si>
    <t xml:space="preserve">三好　裕心</t>
  </si>
  <si>
    <t xml:space="preserve">吉成　快星</t>
  </si>
  <si>
    <t xml:space="preserve">小松　優月</t>
  </si>
  <si>
    <t xml:space="preserve">若林　祥太</t>
  </si>
  <si>
    <t xml:space="preserve">ＥＶＯ・ＴＣ</t>
  </si>
  <si>
    <t xml:space="preserve">守安　清匡</t>
  </si>
  <si>
    <t xml:space="preserve">木村　海人</t>
  </si>
  <si>
    <t xml:space="preserve">山本　桂士</t>
  </si>
  <si>
    <t xml:space="preserve">福岡舞鶴高</t>
  </si>
  <si>
    <t xml:space="preserve">西村　敦</t>
  </si>
  <si>
    <t xml:space="preserve">武者　陽</t>
  </si>
  <si>
    <t xml:space="preserve">北辻　陽平</t>
  </si>
  <si>
    <t xml:space="preserve">時田　悠椰</t>
  </si>
  <si>
    <t xml:space="preserve">駒ケ嶺　尚輝</t>
  </si>
  <si>
    <t xml:space="preserve">岩槻高</t>
  </si>
  <si>
    <t xml:space="preserve">荒井　啓</t>
  </si>
  <si>
    <t xml:space="preserve">平野　智春</t>
  </si>
  <si>
    <t xml:space="preserve">奥田　光貴</t>
  </si>
  <si>
    <r>
      <rPr>
        <sz val="10"/>
        <color rgb="FF000000"/>
        <rFont val="HGPｺﾞｼｯｸM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101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16:56</t>
    </r>
    <r>
      <rPr>
        <sz val="10"/>
        <color rgb="FF000000"/>
        <rFont val="WenQuanYi Zen Hei"/>
        <family val="2"/>
      </rPr>
      <t xml:space="preserve">）</t>
    </r>
  </si>
  <si>
    <t xml:space="preserve">細野　拓海</t>
  </si>
  <si>
    <t xml:space="preserve">山岡　琉</t>
  </si>
  <si>
    <t xml:space="preserve">府中高</t>
  </si>
  <si>
    <t xml:space="preserve">竹下　翼冴</t>
  </si>
  <si>
    <t xml:space="preserve">安芸南高</t>
  </si>
  <si>
    <t xml:space="preserve">小笠原　悠斗</t>
  </si>
  <si>
    <t xml:space="preserve">たちばな高</t>
  </si>
  <si>
    <t xml:space="preserve">山中　絢心</t>
  </si>
  <si>
    <t xml:space="preserve">滋賀短大附高</t>
  </si>
  <si>
    <t xml:space="preserve">黒田　虎太郎</t>
  </si>
  <si>
    <t xml:space="preserve">静内高</t>
  </si>
  <si>
    <t xml:space="preserve">亀田　煌斗</t>
  </si>
  <si>
    <t xml:space="preserve">釧路明輝高</t>
  </si>
  <si>
    <t xml:space="preserve">坂井　睦人</t>
  </si>
  <si>
    <t xml:space="preserve">原町高</t>
  </si>
  <si>
    <t xml:space="preserve">深山　巧翔</t>
  </si>
  <si>
    <t xml:space="preserve">向上高</t>
  </si>
  <si>
    <t xml:space="preserve">末吉　結翔</t>
  </si>
  <si>
    <t xml:space="preserve">島原高</t>
  </si>
  <si>
    <t xml:space="preserve">水野　恭輔</t>
  </si>
  <si>
    <t xml:space="preserve">千葉西高</t>
  </si>
  <si>
    <t xml:space="preserve">金沢　寛貴</t>
  </si>
  <si>
    <t xml:space="preserve">福嶋　蒼大</t>
  </si>
  <si>
    <t xml:space="preserve">門馬　有利</t>
  </si>
  <si>
    <t xml:space="preserve">山中　泰成</t>
  </si>
  <si>
    <t xml:space="preserve">岡本　和真</t>
  </si>
  <si>
    <t xml:space="preserve">平見　吏都</t>
  </si>
  <si>
    <t xml:space="preserve">大谷　浩也</t>
  </si>
  <si>
    <t xml:space="preserve">生田高</t>
  </si>
  <si>
    <t xml:space="preserve">名村　太一</t>
  </si>
  <si>
    <t xml:space="preserve">並松　和心</t>
  </si>
  <si>
    <r>
      <rPr>
        <sz val="10"/>
        <color rgb="FF000000"/>
        <rFont val="HGPｺﾞｼｯｸM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36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9:06</t>
    </r>
    <r>
      <rPr>
        <sz val="10"/>
        <color rgb="FF000000"/>
        <rFont val="WenQuanYi Zen Hei"/>
        <family val="2"/>
      </rPr>
      <t xml:space="preserve">）</t>
    </r>
  </si>
  <si>
    <t xml:space="preserve">植松　海琉</t>
  </si>
  <si>
    <t xml:space="preserve">石橋　大雅</t>
  </si>
  <si>
    <t xml:space="preserve">福岡工高</t>
  </si>
  <si>
    <t xml:space="preserve">西村　颯真</t>
  </si>
  <si>
    <t xml:space="preserve">金沢桜丘高</t>
  </si>
  <si>
    <t xml:space="preserve">吉見　颯真</t>
  </si>
  <si>
    <t xml:space="preserve">大渓　晟矢</t>
  </si>
  <si>
    <t xml:space="preserve">松木　悠真</t>
  </si>
  <si>
    <t xml:space="preserve">長牛　耀</t>
  </si>
  <si>
    <t xml:space="preserve">内藤　祐靖</t>
  </si>
  <si>
    <t xml:space="preserve">岩田　貫</t>
  </si>
  <si>
    <t xml:space="preserve">京田　周</t>
  </si>
  <si>
    <t xml:space="preserve">守屋　幸朔</t>
  </si>
  <si>
    <t xml:space="preserve">吉川　怜玖</t>
  </si>
  <si>
    <t xml:space="preserve">城東高</t>
  </si>
  <si>
    <t xml:space="preserve">西山　隼人</t>
  </si>
  <si>
    <t xml:space="preserve">岡崎　未来</t>
  </si>
  <si>
    <t xml:space="preserve">尾道北高</t>
  </si>
  <si>
    <t xml:space="preserve">兼子　大輝</t>
  </si>
  <si>
    <t xml:space="preserve">山本　蒼太</t>
  </si>
  <si>
    <t xml:space="preserve">松尾　崇雅</t>
  </si>
  <si>
    <t xml:space="preserve">中元　結心</t>
  </si>
  <si>
    <t xml:space="preserve">野崎　聖夏</t>
  </si>
  <si>
    <t xml:space="preserve">飯野高</t>
  </si>
  <si>
    <t xml:space="preserve">石原　優斗</t>
  </si>
  <si>
    <t xml:space="preserve">上山　夢叶</t>
  </si>
  <si>
    <t xml:space="preserve">市岐阜商高</t>
  </si>
  <si>
    <t xml:space="preserve">飯田　凌輝</t>
  </si>
  <si>
    <t xml:space="preserve">金光藤蔭高</t>
  </si>
  <si>
    <t xml:space="preserve">畠山　幸平</t>
  </si>
  <si>
    <t xml:space="preserve">敬愛学園高</t>
  </si>
  <si>
    <t xml:space="preserve">片倉　遼</t>
  </si>
  <si>
    <t xml:space="preserve">吉本　進翔</t>
  </si>
  <si>
    <t xml:space="preserve">鵠沼高</t>
  </si>
  <si>
    <t xml:space="preserve">吉田　詩音</t>
  </si>
  <si>
    <t xml:space="preserve">近大高専</t>
  </si>
  <si>
    <t xml:space="preserve">藤井　崇喜</t>
  </si>
  <si>
    <t xml:space="preserve">福山葦陽高</t>
  </si>
  <si>
    <t xml:space="preserve">崎枝　寿之</t>
  </si>
  <si>
    <t xml:space="preserve">西島　優希</t>
  </si>
  <si>
    <t xml:space="preserve">中里　翔太</t>
  </si>
  <si>
    <t xml:space="preserve">与野高</t>
  </si>
  <si>
    <t xml:space="preserve">岸　 　玲慧</t>
  </si>
  <si>
    <t xml:space="preserve">熊谷高</t>
  </si>
  <si>
    <t xml:space="preserve">月井　蒼空</t>
  </si>
  <si>
    <t xml:space="preserve">上田　凌和</t>
  </si>
  <si>
    <t xml:space="preserve">水戸桜ノ牧高</t>
  </si>
  <si>
    <t xml:space="preserve">中内　陸人</t>
  </si>
  <si>
    <t xml:space="preserve">熊本二高</t>
  </si>
  <si>
    <t xml:space="preserve">赤繁　直弥</t>
  </si>
  <si>
    <t xml:space="preserve">府中東高</t>
  </si>
  <si>
    <t xml:space="preserve">山本　将貴</t>
  </si>
  <si>
    <t xml:space="preserve">赤堀　陽樹</t>
  </si>
  <si>
    <t xml:space="preserve">聖隷クリストファー高</t>
  </si>
  <si>
    <t xml:space="preserve">新井　立志</t>
  </si>
  <si>
    <t xml:space="preserve">同志社高</t>
  </si>
  <si>
    <t xml:space="preserve">塙　 　凛太郎</t>
  </si>
  <si>
    <t xml:space="preserve">綾　 　颯乃助</t>
  </si>
  <si>
    <t xml:space="preserve">観音寺総合高</t>
  </si>
  <si>
    <t xml:space="preserve">花井　海利</t>
  </si>
  <si>
    <t xml:space="preserve">金沢二水高</t>
  </si>
  <si>
    <t xml:space="preserve">沢山滉太郎</t>
  </si>
  <si>
    <t xml:space="preserve">帯広工高</t>
  </si>
  <si>
    <t xml:space="preserve">難波　瑛俊</t>
  </si>
  <si>
    <t xml:space="preserve">関西高</t>
  </si>
  <si>
    <t xml:space="preserve">長尾　凛汰朗</t>
  </si>
  <si>
    <t xml:space="preserve">淡路三原高</t>
  </si>
  <si>
    <t xml:space="preserve">清末　蒼真</t>
  </si>
  <si>
    <t xml:space="preserve">江浦　嘉彬</t>
  </si>
  <si>
    <t xml:space="preserve">都立川高</t>
  </si>
  <si>
    <t xml:space="preserve">水戸葵陵高校</t>
  </si>
  <si>
    <t xml:space="preserve">同名の別選手あり（港北高）</t>
  </si>
  <si>
    <t xml:space="preserve">雨宮　修真</t>
  </si>
  <si>
    <t xml:space="preserve">佐藤　桜士朗</t>
  </si>
  <si>
    <t xml:space="preserve">大屋戸　聖</t>
  </si>
  <si>
    <t xml:space="preserve">有野　将貴</t>
  </si>
  <si>
    <t xml:space="preserve">鳴尾高</t>
  </si>
  <si>
    <t xml:space="preserve">丸山　千吏</t>
  </si>
  <si>
    <t xml:space="preserve">座間味　凛</t>
  </si>
  <si>
    <t xml:space="preserve">赤木　仁晟</t>
  </si>
  <si>
    <t xml:space="preserve">河合　亮汰</t>
  </si>
  <si>
    <t xml:space="preserve">延沢　永真</t>
  </si>
  <si>
    <t xml:space="preserve">ＡＭＵＲＯ ＡＣ</t>
  </si>
  <si>
    <t xml:space="preserve">鈴木　遥飛</t>
  </si>
  <si>
    <t xml:space="preserve">長岡商高</t>
  </si>
  <si>
    <t xml:space="preserve">片岡　隆斗</t>
  </si>
  <si>
    <t xml:space="preserve">原　 　旺介</t>
  </si>
  <si>
    <t xml:space="preserve">後藤　丈</t>
  </si>
  <si>
    <t xml:space="preserve">山形学院高</t>
  </si>
  <si>
    <t xml:space="preserve">高橋　謙信</t>
  </si>
  <si>
    <t xml:space="preserve">吉村　優斗</t>
  </si>
  <si>
    <t xml:space="preserve">松浦　龍成</t>
  </si>
  <si>
    <t xml:space="preserve">椎山　遥空</t>
  </si>
  <si>
    <t xml:space="preserve">佐藤　凛太郎</t>
  </si>
  <si>
    <t xml:space="preserve">森　 　悠人</t>
  </si>
  <si>
    <t xml:space="preserve">延岡工高</t>
  </si>
  <si>
    <t xml:space="preserve">竹山　心</t>
  </si>
  <si>
    <t xml:space="preserve">大商学園高</t>
  </si>
  <si>
    <t xml:space="preserve">新美　昂征</t>
  </si>
  <si>
    <t xml:space="preserve">佐藤　陽輝</t>
  </si>
  <si>
    <t xml:space="preserve">角田　祥燿</t>
  </si>
  <si>
    <t xml:space="preserve">古川工高</t>
  </si>
  <si>
    <t xml:space="preserve">江上　泰正</t>
  </si>
  <si>
    <t xml:space="preserve">加藤　佑</t>
  </si>
  <si>
    <t xml:space="preserve">豊橋東高</t>
  </si>
  <si>
    <t xml:space="preserve">押谷　凌多</t>
  </si>
  <si>
    <t xml:space="preserve">千種高</t>
  </si>
  <si>
    <t xml:space="preserve">中川　碧</t>
  </si>
  <si>
    <t xml:space="preserve">新城高</t>
  </si>
  <si>
    <t xml:space="preserve">大貫琳太郎</t>
  </si>
  <si>
    <t xml:space="preserve">田中　大夢</t>
  </si>
  <si>
    <t xml:space="preserve">寺岡　慧</t>
  </si>
  <si>
    <t xml:space="preserve">小林　有汰</t>
  </si>
  <si>
    <t xml:space="preserve">西原　優人</t>
  </si>
  <si>
    <t xml:space="preserve">今井　洋翔</t>
  </si>
  <si>
    <t xml:space="preserve">大中　湊介</t>
  </si>
  <si>
    <t xml:space="preserve">蛯原　慶</t>
  </si>
  <si>
    <t xml:space="preserve">原　 　みらい</t>
  </si>
  <si>
    <t xml:space="preserve">田川高</t>
  </si>
  <si>
    <t xml:space="preserve">シンクレア　桜生</t>
  </si>
  <si>
    <t xml:space="preserve">高田　皓介</t>
  </si>
  <si>
    <t xml:space="preserve">平塚江南高</t>
  </si>
  <si>
    <t xml:space="preserve">岸和田　大河</t>
  </si>
  <si>
    <t xml:space="preserve">福嶋　光陽</t>
  </si>
  <si>
    <t xml:space="preserve">岩崎　大駕</t>
  </si>
  <si>
    <t xml:space="preserve">東総工高</t>
  </si>
  <si>
    <t xml:space="preserve">刈谷　賛</t>
  </si>
  <si>
    <t xml:space="preserve">伊来　祐太</t>
  </si>
  <si>
    <t xml:space="preserve">清次　怜桜</t>
  </si>
  <si>
    <r>
      <rPr>
        <sz val="10"/>
        <color rgb="FF000000"/>
        <rFont val="HGPｺﾞｼｯｸM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51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15:52</t>
    </r>
    <r>
      <rPr>
        <sz val="10"/>
        <color rgb="FF000000"/>
        <rFont val="WenQuanYi Zen Hei"/>
        <family val="2"/>
      </rPr>
      <t xml:space="preserve">）</t>
    </r>
  </si>
  <si>
    <t xml:space="preserve">高間　渉</t>
  </si>
  <si>
    <t xml:space="preserve">一宮西高</t>
  </si>
  <si>
    <t xml:space="preserve">佐藤　聖悟</t>
  </si>
  <si>
    <t xml:space="preserve">伊丹北高</t>
  </si>
  <si>
    <t xml:space="preserve">牛尾　一之亮</t>
  </si>
  <si>
    <t xml:space="preserve">熱田高</t>
  </si>
  <si>
    <t xml:space="preserve">山崎　航宙</t>
  </si>
  <si>
    <t xml:space="preserve">木船　湧惺</t>
  </si>
  <si>
    <t xml:space="preserve">巣鴨高</t>
  </si>
  <si>
    <t xml:space="preserve">平井　凰雅</t>
  </si>
  <si>
    <t xml:space="preserve">弘前学院聖愛高</t>
  </si>
  <si>
    <t xml:space="preserve">早川　宗佑</t>
  </si>
  <si>
    <t xml:space="preserve">関根　優斗</t>
  </si>
  <si>
    <t xml:space="preserve">浅川　龍之介</t>
  </si>
  <si>
    <t xml:space="preserve">増田　暁人</t>
  </si>
  <si>
    <t xml:space="preserve">上宮高</t>
  </si>
  <si>
    <t xml:space="preserve">松本　岳大</t>
  </si>
  <si>
    <t xml:space="preserve">増本　健人</t>
  </si>
  <si>
    <t xml:space="preserve">検見川高</t>
  </si>
  <si>
    <t xml:space="preserve">加賀谷　凛太郎</t>
  </si>
  <si>
    <t xml:space="preserve">渥美農高</t>
  </si>
  <si>
    <t xml:space="preserve">広島　享介</t>
  </si>
  <si>
    <t xml:space="preserve">村川　礼</t>
  </si>
  <si>
    <t xml:space="preserve">出沢　侑也</t>
  </si>
  <si>
    <t xml:space="preserve">荒井　宥哉</t>
  </si>
  <si>
    <t xml:space="preserve">滝川西高</t>
  </si>
  <si>
    <t xml:space="preserve">栗原　聖也</t>
  </si>
  <si>
    <t xml:space="preserve">加藤　孝悠</t>
  </si>
  <si>
    <t xml:space="preserve">牧原　悠斗</t>
  </si>
  <si>
    <t xml:space="preserve">岡崎西高</t>
  </si>
  <si>
    <t xml:space="preserve">三原　真人</t>
  </si>
  <si>
    <t xml:space="preserve">工藤　優心</t>
  </si>
  <si>
    <t xml:space="preserve">小川　綾</t>
  </si>
  <si>
    <t xml:space="preserve">北出　大耀</t>
  </si>
  <si>
    <t xml:space="preserve">野間　勇斗</t>
  </si>
  <si>
    <t xml:space="preserve">上原　大征</t>
  </si>
  <si>
    <t xml:space="preserve">清水　佑真</t>
  </si>
  <si>
    <t xml:space="preserve">明石商高</t>
  </si>
  <si>
    <t xml:space="preserve">大西　静生</t>
  </si>
  <si>
    <t xml:space="preserve">加古川北高</t>
  </si>
  <si>
    <t xml:space="preserve">浜田　恵太</t>
  </si>
  <si>
    <t xml:space="preserve">藤田　陽斗</t>
  </si>
  <si>
    <t xml:space="preserve">佐々木　大翔</t>
  </si>
  <si>
    <t xml:space="preserve">宮古高</t>
  </si>
  <si>
    <t xml:space="preserve">小泉　一斗</t>
  </si>
  <si>
    <t xml:space="preserve">国学院大栃木高</t>
  </si>
  <si>
    <t xml:space="preserve">成田　遥駿</t>
  </si>
  <si>
    <t xml:space="preserve">大府高</t>
  </si>
  <si>
    <t xml:space="preserve">千葉　蒼介</t>
  </si>
  <si>
    <t xml:space="preserve">塩田　将真</t>
  </si>
  <si>
    <t xml:space="preserve">富山　心陽</t>
  </si>
  <si>
    <t xml:space="preserve">登美丘高</t>
  </si>
  <si>
    <t xml:space="preserve">沢藤　颯斗</t>
  </si>
  <si>
    <t xml:space="preserve">狭山経済高</t>
  </si>
  <si>
    <t xml:space="preserve">市川　祐大</t>
  </si>
  <si>
    <t xml:space="preserve">山形　惺良</t>
  </si>
  <si>
    <t xml:space="preserve">巨摩高</t>
  </si>
  <si>
    <t xml:space="preserve">小林　景太</t>
  </si>
  <si>
    <t xml:space="preserve">福田　晃生</t>
  </si>
  <si>
    <t xml:space="preserve">前橋高</t>
  </si>
  <si>
    <t xml:space="preserve">伊藤　凌輔</t>
  </si>
  <si>
    <t xml:space="preserve">日体大附高</t>
  </si>
  <si>
    <t xml:space="preserve">伊藤　誠之介</t>
  </si>
  <si>
    <t xml:space="preserve">大野　凛人</t>
  </si>
  <si>
    <t xml:space="preserve">赤穂高</t>
  </si>
  <si>
    <t xml:space="preserve">中西　亮介</t>
  </si>
  <si>
    <t xml:space="preserve">柳沢　真翔</t>
  </si>
  <si>
    <t xml:space="preserve">井手玲太朗</t>
  </si>
  <si>
    <t xml:space="preserve">岩也　侑正</t>
  </si>
  <si>
    <t xml:space="preserve">小村　晴斗</t>
  </si>
  <si>
    <t xml:space="preserve">渡壁　虹太</t>
  </si>
  <si>
    <t xml:space="preserve">瑞陵高</t>
  </si>
  <si>
    <t xml:space="preserve">四柳　仁清</t>
  </si>
  <si>
    <t xml:space="preserve">鳶谷　聖我</t>
  </si>
  <si>
    <t xml:space="preserve">渡辺　煌大</t>
  </si>
  <si>
    <t xml:space="preserve">芽室高</t>
  </si>
  <si>
    <t xml:space="preserve">松尾　真叶</t>
  </si>
  <si>
    <t xml:space="preserve">伊礼　碧人</t>
  </si>
  <si>
    <t xml:space="preserve">久木山　敬心</t>
  </si>
  <si>
    <t xml:space="preserve">江崎　翼</t>
  </si>
  <si>
    <t xml:space="preserve">都戸山高</t>
  </si>
  <si>
    <t xml:space="preserve">藤堂　和誠</t>
  </si>
  <si>
    <t xml:space="preserve">勝山高</t>
  </si>
  <si>
    <t xml:space="preserve">木下　結富</t>
  </si>
  <si>
    <t xml:space="preserve">東葛飾高</t>
  </si>
  <si>
    <t xml:space="preserve">遠藤　空</t>
  </si>
  <si>
    <t xml:space="preserve">高井　奏斗</t>
  </si>
  <si>
    <t xml:space="preserve">東濃実高</t>
  </si>
  <si>
    <t xml:space="preserve">植木　歩</t>
  </si>
  <si>
    <t xml:space="preserve">黒木　太晴</t>
  </si>
  <si>
    <r>
      <rPr>
        <sz val="10"/>
        <color rgb="FF000000"/>
        <rFont val="HGPｺﾞｼｯｸM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92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16:52</t>
    </r>
    <r>
      <rPr>
        <sz val="10"/>
        <color rgb="FF000000"/>
        <rFont val="WenQuanYi Zen Hei"/>
        <family val="2"/>
      </rPr>
      <t xml:space="preserve">）</t>
    </r>
  </si>
  <si>
    <t xml:space="preserve">山口　海星</t>
  </si>
  <si>
    <t xml:space="preserve">山田　碧士</t>
  </si>
  <si>
    <t xml:space="preserve">草賀　斗真</t>
  </si>
  <si>
    <t xml:space="preserve">杉田　瑛宥</t>
  </si>
  <si>
    <r>
      <rPr>
        <sz val="10"/>
        <color rgb="FF000000"/>
        <rFont val="HGPｺﾞｼｯｸM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97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17:14</t>
    </r>
    <r>
      <rPr>
        <sz val="10"/>
        <color rgb="FF000000"/>
        <rFont val="WenQuanYi Zen Hei"/>
        <family val="2"/>
      </rPr>
      <t xml:space="preserve">）</t>
    </r>
  </si>
  <si>
    <t xml:space="preserve">武井　蒼空</t>
  </si>
  <si>
    <t xml:space="preserve">芥川高</t>
  </si>
  <si>
    <t xml:space="preserve">西川　大暉</t>
  </si>
  <si>
    <t xml:space="preserve">藤田　悠良</t>
  </si>
  <si>
    <t xml:space="preserve">伊藤　蒼馬</t>
  </si>
  <si>
    <t xml:space="preserve">岩木　瑛澄</t>
  </si>
  <si>
    <t xml:space="preserve">宮永　陽太</t>
  </si>
  <si>
    <t xml:space="preserve">駒込高</t>
  </si>
  <si>
    <t xml:space="preserve">山田　凌空</t>
  </si>
  <si>
    <t xml:space="preserve">豊橋南高</t>
  </si>
  <si>
    <t xml:space="preserve">渡辺　航成</t>
  </si>
  <si>
    <t xml:space="preserve">長良高</t>
  </si>
  <si>
    <t xml:space="preserve">施　 　讃人</t>
  </si>
  <si>
    <t xml:space="preserve">六甲学院高</t>
  </si>
  <si>
    <t xml:space="preserve">佐藤　魁翔</t>
  </si>
  <si>
    <t xml:space="preserve">ふじみ野高</t>
  </si>
  <si>
    <t xml:space="preserve">村上　蒼空</t>
  </si>
  <si>
    <t xml:space="preserve">旭川工高</t>
  </si>
  <si>
    <t xml:space="preserve">木瀬　暖士</t>
  </si>
  <si>
    <t xml:space="preserve">前川　宏都</t>
  </si>
  <si>
    <t xml:space="preserve">金沢高</t>
  </si>
  <si>
    <t xml:space="preserve">風間　詩月</t>
  </si>
  <si>
    <t xml:space="preserve">六日町高</t>
  </si>
  <si>
    <t xml:space="preserve">鳴海　澄晴</t>
  </si>
  <si>
    <t xml:space="preserve">伊那弥生ケ丘高</t>
  </si>
  <si>
    <t xml:space="preserve">笠原　陽翔</t>
  </si>
  <si>
    <t xml:space="preserve">伊勢崎高</t>
  </si>
  <si>
    <t xml:space="preserve">梅田　優</t>
  </si>
  <si>
    <t xml:space="preserve">伊藤　紘一郎</t>
  </si>
  <si>
    <t xml:space="preserve">喜夛　悠斗</t>
  </si>
  <si>
    <t xml:space="preserve">佐久間　稔</t>
  </si>
  <si>
    <t xml:space="preserve">大方　優杜</t>
  </si>
  <si>
    <t xml:space="preserve">結城　笙</t>
  </si>
  <si>
    <t xml:space="preserve">小松明峰高</t>
  </si>
  <si>
    <t xml:space="preserve">藤田　大志</t>
  </si>
  <si>
    <t xml:space="preserve">札幌北陵高</t>
  </si>
  <si>
    <t xml:space="preserve">黒沢　涼雅</t>
  </si>
  <si>
    <t xml:space="preserve">渋川高</t>
  </si>
  <si>
    <t xml:space="preserve">境井　龍輝</t>
  </si>
  <si>
    <t xml:space="preserve">吉本　拓夢</t>
  </si>
  <si>
    <t xml:space="preserve">高松工芸高</t>
  </si>
  <si>
    <r>
      <rPr>
        <sz val="10"/>
        <color rgb="FF000000"/>
        <rFont val="HGPｺﾞｼｯｸM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80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10:15</t>
    </r>
    <r>
      <rPr>
        <sz val="10"/>
        <color rgb="FF000000"/>
        <rFont val="WenQuanYi Zen Hei"/>
        <family val="2"/>
      </rPr>
      <t xml:space="preserve">）</t>
    </r>
  </si>
  <si>
    <t xml:space="preserve">嶽下　允希</t>
  </si>
  <si>
    <t xml:space="preserve">松戸　零武</t>
  </si>
  <si>
    <t xml:space="preserve">畠中　颯真</t>
  </si>
  <si>
    <t xml:space="preserve">三田祥雲館高</t>
  </si>
  <si>
    <t xml:space="preserve">太田　朝陽</t>
  </si>
  <si>
    <t xml:space="preserve">旭川北高</t>
  </si>
  <si>
    <t xml:space="preserve">牧野　夏己</t>
  </si>
  <si>
    <t xml:space="preserve">妹尾　優羽</t>
  </si>
  <si>
    <t xml:space="preserve">井口高</t>
  </si>
  <si>
    <t xml:space="preserve">万玉　葦大</t>
  </si>
  <si>
    <t xml:space="preserve">高松農高</t>
  </si>
  <si>
    <t xml:space="preserve">島田　奈季</t>
  </si>
  <si>
    <t xml:space="preserve">鎮西高</t>
  </si>
  <si>
    <t xml:space="preserve">岡崎　柊</t>
  </si>
  <si>
    <t xml:space="preserve">大津高</t>
  </si>
  <si>
    <t xml:space="preserve">野坂　宗司</t>
  </si>
  <si>
    <t xml:space="preserve">松村　徳真</t>
  </si>
  <si>
    <t xml:space="preserve">五代　倫太郎</t>
  </si>
  <si>
    <t xml:space="preserve">中島　諒</t>
  </si>
  <si>
    <t xml:space="preserve">常翔学園高</t>
  </si>
  <si>
    <t xml:space="preserve">松岡　凌玖</t>
  </si>
  <si>
    <t xml:space="preserve">本島　岳</t>
  </si>
  <si>
    <t xml:space="preserve">長野高専</t>
  </si>
  <si>
    <t xml:space="preserve">富田　雄軌</t>
  </si>
  <si>
    <t xml:space="preserve">桜井　一蕗</t>
  </si>
  <si>
    <t xml:space="preserve">山形東高</t>
  </si>
  <si>
    <t xml:space="preserve">岩堀　蒼哉</t>
  </si>
  <si>
    <t xml:space="preserve">市柏高</t>
  </si>
  <si>
    <t xml:space="preserve">森島　瑠哉</t>
  </si>
  <si>
    <t xml:space="preserve">愛教大ク名古屋高</t>
  </si>
  <si>
    <t xml:space="preserve">大竹　悠仁</t>
  </si>
  <si>
    <t xml:space="preserve">会津高</t>
  </si>
  <si>
    <t xml:space="preserve">前村　空良</t>
  </si>
  <si>
    <t xml:space="preserve">水口　悠大</t>
  </si>
  <si>
    <r>
      <rPr>
        <sz val="10"/>
        <color rgb="FF000000"/>
        <rFont val="HGPｺﾞｼｯｸM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95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26:48</t>
    </r>
    <r>
      <rPr>
        <sz val="10"/>
        <color rgb="FF000000"/>
        <rFont val="WenQuanYi Zen Hei"/>
        <family val="2"/>
      </rPr>
      <t xml:space="preserve">）</t>
    </r>
  </si>
  <si>
    <t xml:space="preserve">小柳　勇翔</t>
  </si>
  <si>
    <t xml:space="preserve">能見　大翔</t>
  </si>
  <si>
    <t xml:space="preserve">柏木学園高</t>
  </si>
  <si>
    <t xml:space="preserve">樽角　遼</t>
  </si>
  <si>
    <t xml:space="preserve">田中　翔希</t>
  </si>
  <si>
    <t xml:space="preserve">中村　瑠</t>
  </si>
  <si>
    <t xml:space="preserve">遠藤　優剛</t>
  </si>
  <si>
    <t xml:space="preserve">石狩翔陽高</t>
  </si>
  <si>
    <t xml:space="preserve">松倉　悠悟</t>
  </si>
  <si>
    <t xml:space="preserve">八戸高</t>
  </si>
  <si>
    <t xml:space="preserve">高津　月翔</t>
  </si>
  <si>
    <t xml:space="preserve">松下　大悟</t>
  </si>
  <si>
    <t xml:space="preserve">長谷川　禅</t>
  </si>
  <si>
    <t xml:space="preserve">札幌工高</t>
  </si>
  <si>
    <t xml:space="preserve">内田　暖人</t>
  </si>
  <si>
    <t xml:space="preserve">長島　琉夏</t>
  </si>
  <si>
    <t xml:space="preserve">清水桜が丘高</t>
  </si>
  <si>
    <t xml:space="preserve">遠藤　正基</t>
  </si>
  <si>
    <t xml:space="preserve">平工高</t>
  </si>
  <si>
    <t xml:space="preserve">森岡　大歌</t>
  </si>
  <si>
    <t xml:space="preserve">林田　尚真</t>
  </si>
  <si>
    <t xml:space="preserve">香川中央高</t>
  </si>
  <si>
    <t xml:space="preserve">石川　結士</t>
  </si>
  <si>
    <t xml:space="preserve">横山　真生</t>
  </si>
  <si>
    <r>
      <rPr>
        <sz val="10"/>
        <color rgb="FF000000"/>
        <rFont val="HGPｺﾞｼｯｸM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34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9:11</t>
    </r>
    <r>
      <rPr>
        <sz val="10"/>
        <color rgb="FF000000"/>
        <rFont val="WenQuanYi Zen Hei"/>
        <family val="2"/>
      </rPr>
      <t xml:space="preserve">）</t>
    </r>
  </si>
  <si>
    <t xml:space="preserve">大鷹　亮晴</t>
  </si>
  <si>
    <t xml:space="preserve">小谷口　柚希</t>
  </si>
  <si>
    <t xml:space="preserve">大阪国際大ＡＣ</t>
  </si>
  <si>
    <t xml:space="preserve">小林　悠希</t>
  </si>
  <si>
    <t xml:space="preserve">青柳　尚央</t>
  </si>
  <si>
    <t xml:space="preserve">筑紫丘高</t>
  </si>
  <si>
    <t xml:space="preserve">佐藤　流輝</t>
  </si>
  <si>
    <t xml:space="preserve">寺西　蒼生</t>
  </si>
  <si>
    <t xml:space="preserve">重松　宗次郎</t>
  </si>
  <si>
    <t xml:space="preserve">村岡　駿</t>
  </si>
  <si>
    <t xml:space="preserve">市川高</t>
  </si>
  <si>
    <t xml:space="preserve">西村　悟</t>
  </si>
  <si>
    <t xml:space="preserve">河井　一真</t>
  </si>
  <si>
    <t xml:space="preserve">長久手高</t>
  </si>
  <si>
    <t xml:space="preserve">渡辺　曜</t>
  </si>
  <si>
    <t xml:space="preserve">東桜学館高</t>
  </si>
  <si>
    <t xml:space="preserve">小山　健真</t>
  </si>
  <si>
    <t xml:space="preserve">高槻高</t>
  </si>
  <si>
    <t xml:space="preserve">植村　優生</t>
  </si>
  <si>
    <t xml:space="preserve">高松西高</t>
  </si>
  <si>
    <t xml:space="preserve">坂口　竹虎</t>
  </si>
  <si>
    <t xml:space="preserve">青木　桜大</t>
  </si>
  <si>
    <t xml:space="preserve">陣出　一志</t>
  </si>
  <si>
    <t xml:space="preserve">小松大谷高</t>
  </si>
  <si>
    <t xml:space="preserve">古田　悠真</t>
  </si>
  <si>
    <t xml:space="preserve">松本　晴斗</t>
  </si>
  <si>
    <t xml:space="preserve">松本　倭和</t>
  </si>
  <si>
    <t xml:space="preserve">川瀬　晃太</t>
  </si>
  <si>
    <t xml:space="preserve">名張青峰高</t>
  </si>
  <si>
    <t xml:space="preserve">岡部　光希</t>
  </si>
  <si>
    <t xml:space="preserve">万波　翔樹</t>
  </si>
  <si>
    <t xml:space="preserve">宗像　大晴</t>
  </si>
  <si>
    <t xml:space="preserve">冬田　侑士</t>
  </si>
  <si>
    <t xml:space="preserve">目代　来煌</t>
  </si>
  <si>
    <t xml:space="preserve">逆井　健瑠</t>
  </si>
  <si>
    <t xml:space="preserve">松尾　和篤</t>
  </si>
  <si>
    <t xml:space="preserve">須磨翔風高</t>
  </si>
  <si>
    <t xml:space="preserve">森川　敬介</t>
  </si>
  <si>
    <t xml:space="preserve">観音寺一高</t>
  </si>
  <si>
    <t xml:space="preserve">木原　吏修</t>
  </si>
  <si>
    <t xml:space="preserve">石狩南高</t>
  </si>
  <si>
    <t xml:space="preserve">大上　哲平</t>
  </si>
  <si>
    <t xml:space="preserve">並木中等高</t>
  </si>
  <si>
    <t xml:space="preserve">稲川　豪</t>
  </si>
  <si>
    <t xml:space="preserve">日野　修杜</t>
  </si>
  <si>
    <t xml:space="preserve">小林　琉星</t>
  </si>
  <si>
    <t xml:space="preserve">柿田　俊輔</t>
  </si>
  <si>
    <t xml:space="preserve">藤井　颯大</t>
  </si>
  <si>
    <t xml:space="preserve">山田　治人</t>
  </si>
  <si>
    <t xml:space="preserve">長崎東高</t>
  </si>
  <si>
    <t xml:space="preserve">高尾　碧生</t>
  </si>
  <si>
    <t xml:space="preserve">鶴嶺高</t>
  </si>
  <si>
    <t xml:space="preserve">渡辺　篤志</t>
  </si>
  <si>
    <t xml:space="preserve">海南高</t>
  </si>
  <si>
    <t xml:space="preserve">折原　光</t>
  </si>
  <si>
    <t xml:space="preserve">久喜北陽高</t>
  </si>
  <si>
    <t xml:space="preserve">増田　絢斗</t>
  </si>
  <si>
    <t xml:space="preserve">林　 　衣岬</t>
  </si>
  <si>
    <t xml:space="preserve">北川　寛静</t>
  </si>
  <si>
    <t xml:space="preserve">橋本　匠太郎</t>
  </si>
  <si>
    <t xml:space="preserve">早大学院高</t>
  </si>
  <si>
    <t xml:space="preserve">本倉　諒</t>
  </si>
  <si>
    <t xml:space="preserve">杉本　真昊</t>
  </si>
  <si>
    <t xml:space="preserve">鈴木　結太</t>
  </si>
  <si>
    <t xml:space="preserve">秋田高専</t>
  </si>
  <si>
    <t xml:space="preserve">浮島　大夢</t>
  </si>
  <si>
    <t xml:space="preserve">増子　新大</t>
  </si>
  <si>
    <t xml:space="preserve">安積黎明高</t>
  </si>
  <si>
    <t xml:space="preserve">道明　宣允</t>
  </si>
  <si>
    <t xml:space="preserve">結束　颯太</t>
  </si>
  <si>
    <t xml:space="preserve">黒崎　聡明</t>
  </si>
  <si>
    <t xml:space="preserve">野田中央高</t>
  </si>
  <si>
    <t xml:space="preserve">モウルド　琉空</t>
  </si>
  <si>
    <t xml:space="preserve">長岡大手高</t>
  </si>
  <si>
    <t xml:space="preserve">高倉　慶太</t>
  </si>
  <si>
    <t xml:space="preserve">三国高</t>
  </si>
  <si>
    <t xml:space="preserve">植月　優太</t>
  </si>
  <si>
    <t xml:space="preserve">小池　悠太</t>
  </si>
  <si>
    <t xml:space="preserve">同名の別選手あり（八頭高）</t>
  </si>
  <si>
    <t xml:space="preserve">西田　慎太郎</t>
  </si>
  <si>
    <t xml:space="preserve">飯島　遥太</t>
  </si>
  <si>
    <t xml:space="preserve">榎戸　翔希空</t>
  </si>
  <si>
    <t xml:space="preserve">窪田　理人</t>
  </si>
  <si>
    <t xml:space="preserve">小橋　由尭</t>
  </si>
  <si>
    <t xml:space="preserve">浜嶋　凌乃介</t>
  </si>
  <si>
    <t xml:space="preserve">杏和高</t>
  </si>
  <si>
    <t xml:space="preserve">池田　昂生</t>
  </si>
  <si>
    <t xml:space="preserve">近大附広島高福山</t>
  </si>
  <si>
    <t xml:space="preserve">干場　泰志</t>
  </si>
  <si>
    <t xml:space="preserve">輪島高</t>
  </si>
  <si>
    <t xml:space="preserve">重高　歩夢</t>
  </si>
  <si>
    <t xml:space="preserve">広瀬　尊</t>
  </si>
  <si>
    <t xml:space="preserve">富山南高</t>
  </si>
  <si>
    <t xml:space="preserve">瀬合　晴斗</t>
  </si>
  <si>
    <t xml:space="preserve">成城高</t>
  </si>
  <si>
    <t xml:space="preserve">末永　勇人</t>
  </si>
  <si>
    <t xml:space="preserve">田中　楓哉</t>
  </si>
  <si>
    <t xml:space="preserve">間嶋　隆太</t>
  </si>
  <si>
    <t xml:space="preserve">高柳　颯</t>
  </si>
  <si>
    <t xml:space="preserve">二宗　冬磨</t>
  </si>
  <si>
    <t xml:space="preserve">津山商高</t>
  </si>
  <si>
    <t xml:space="preserve">森本　一鷲</t>
  </si>
  <si>
    <t xml:space="preserve">小宮山　空知</t>
  </si>
  <si>
    <t xml:space="preserve">松岡　凌央</t>
  </si>
  <si>
    <t xml:space="preserve">内野　湊太</t>
  </si>
  <si>
    <t xml:space="preserve">新家　仁</t>
  </si>
  <si>
    <t xml:space="preserve">八木　悠成</t>
  </si>
  <si>
    <t xml:space="preserve">科学技術高</t>
  </si>
  <si>
    <t xml:space="preserve">河野　丞佑</t>
  </si>
  <si>
    <t xml:space="preserve">鶴田　力毅</t>
  </si>
  <si>
    <t xml:space="preserve">牧野　光希</t>
  </si>
  <si>
    <t xml:space="preserve">小久保　拓馬</t>
  </si>
  <si>
    <t xml:space="preserve">斎藤　奏太</t>
  </si>
  <si>
    <t xml:space="preserve">黒田　晃汰</t>
  </si>
  <si>
    <t xml:space="preserve">山田　優空</t>
  </si>
  <si>
    <t xml:space="preserve">日進高</t>
  </si>
  <si>
    <t xml:space="preserve">遠藤　拓実</t>
  </si>
  <si>
    <t xml:space="preserve">森下　裕也</t>
  </si>
  <si>
    <t xml:space="preserve">永井　裕真</t>
  </si>
  <si>
    <t xml:space="preserve">清陵情報高</t>
  </si>
  <si>
    <t xml:space="preserve">佐藤　匠</t>
  </si>
  <si>
    <t xml:space="preserve">松田　匠翔</t>
  </si>
  <si>
    <t xml:space="preserve">村松　幸亮</t>
  </si>
  <si>
    <t xml:space="preserve">高橋　翔威</t>
  </si>
  <si>
    <t xml:space="preserve">川上　達也</t>
  </si>
  <si>
    <t xml:space="preserve">杉山　大耀</t>
  </si>
  <si>
    <t xml:space="preserve">長谷川　凛</t>
  </si>
  <si>
    <t xml:space="preserve">ＦＥＬＵＳＴ</t>
  </si>
  <si>
    <t xml:space="preserve">坂本　光翼</t>
  </si>
  <si>
    <t xml:space="preserve">小林　尋揮</t>
  </si>
  <si>
    <t xml:space="preserve">富良野高</t>
  </si>
  <si>
    <t xml:space="preserve">松本　英士</t>
  </si>
  <si>
    <t xml:space="preserve">立教池袋高</t>
  </si>
  <si>
    <t xml:space="preserve">高戸　健太郎</t>
  </si>
  <si>
    <t xml:space="preserve">乃田　健太朗</t>
  </si>
  <si>
    <t xml:space="preserve">山中　颯人</t>
  </si>
  <si>
    <t xml:space="preserve">相生産高</t>
  </si>
  <si>
    <t xml:space="preserve">細井　大慎</t>
  </si>
  <si>
    <t xml:space="preserve">松浦　強太</t>
  </si>
  <si>
    <t xml:space="preserve">浜松城北工高</t>
  </si>
  <si>
    <t xml:space="preserve">尾島　輝</t>
  </si>
  <si>
    <t xml:space="preserve">石川　創史</t>
  </si>
  <si>
    <t xml:space="preserve">山根　大空</t>
  </si>
  <si>
    <r>
      <rPr>
        <sz val="10"/>
        <color rgb="FF000000"/>
        <rFont val="HGPｺﾞｼｯｸM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98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27:07</t>
    </r>
    <r>
      <rPr>
        <sz val="10"/>
        <color rgb="FF000000"/>
        <rFont val="WenQuanYi Zen Hei"/>
        <family val="2"/>
      </rPr>
      <t xml:space="preserve">）</t>
    </r>
  </si>
  <si>
    <t xml:space="preserve">川畑　季也</t>
  </si>
  <si>
    <t xml:space="preserve">市立札幌藻岩高</t>
  </si>
  <si>
    <t xml:space="preserve">星先　理一</t>
  </si>
  <si>
    <t xml:space="preserve">高木　碧翔</t>
  </si>
  <si>
    <t xml:space="preserve">市柏</t>
  </si>
  <si>
    <t xml:space="preserve">岡野　琉生</t>
  </si>
  <si>
    <t xml:space="preserve">市立伊丹高</t>
  </si>
  <si>
    <t xml:space="preserve">小山　慶太</t>
  </si>
  <si>
    <t xml:space="preserve">高輪高</t>
  </si>
  <si>
    <t xml:space="preserve">柳谷　透摩</t>
  </si>
  <si>
    <t xml:space="preserve">野村　優也</t>
  </si>
  <si>
    <t xml:space="preserve">関東一高</t>
  </si>
  <si>
    <t xml:space="preserve">長島　寛樹</t>
  </si>
  <si>
    <t xml:space="preserve">田中　稟汰朗</t>
  </si>
  <si>
    <t xml:space="preserve">下田高</t>
  </si>
  <si>
    <t xml:space="preserve">小浜　漣</t>
  </si>
  <si>
    <t xml:space="preserve">釧路湖陵高</t>
  </si>
  <si>
    <t xml:space="preserve">小川　敦生</t>
  </si>
  <si>
    <t xml:space="preserve">佐分　蒼真</t>
  </si>
  <si>
    <t xml:space="preserve">久留米高専</t>
  </si>
  <si>
    <t xml:space="preserve">幕田　成勢</t>
  </si>
  <si>
    <t xml:space="preserve">奥村　直希</t>
  </si>
  <si>
    <t xml:space="preserve">安治川修聖</t>
  </si>
  <si>
    <t xml:space="preserve">宮崎西高</t>
  </si>
  <si>
    <t xml:space="preserve">玉井　隆之介</t>
  </si>
  <si>
    <t xml:space="preserve">奥洞　啓太</t>
  </si>
  <si>
    <t xml:space="preserve">松田　蓮</t>
  </si>
  <si>
    <t xml:space="preserve">広陵高</t>
  </si>
  <si>
    <t xml:space="preserve">岩久　温之慎</t>
  </si>
  <si>
    <t xml:space="preserve">南　 　順也</t>
  </si>
  <si>
    <t xml:space="preserve">西村　淳希</t>
  </si>
  <si>
    <t xml:space="preserve">松山工高</t>
  </si>
  <si>
    <t xml:space="preserve">仙波　諒也</t>
  </si>
  <si>
    <t xml:space="preserve">鈴木　優仁</t>
  </si>
  <si>
    <t xml:space="preserve">神尾　怜音</t>
  </si>
  <si>
    <t xml:space="preserve">清水　泰成</t>
  </si>
  <si>
    <t xml:space="preserve">松森　一樹</t>
  </si>
  <si>
    <t xml:space="preserve">啓新高</t>
  </si>
  <si>
    <t xml:space="preserve">山口　伶士</t>
  </si>
  <si>
    <t xml:space="preserve">鳥越　月仁</t>
  </si>
  <si>
    <t xml:space="preserve">笠岡高</t>
  </si>
  <si>
    <t xml:space="preserve">土岐　健翔</t>
  </si>
  <si>
    <t xml:space="preserve">岐阜高専</t>
  </si>
  <si>
    <t xml:space="preserve">影山　康介</t>
  </si>
  <si>
    <t xml:space="preserve">沢山　礼慈</t>
  </si>
  <si>
    <t xml:space="preserve">帯広三条高</t>
  </si>
  <si>
    <t xml:space="preserve">真角　善司</t>
  </si>
  <si>
    <t xml:space="preserve">大井　梨功</t>
  </si>
  <si>
    <t xml:space="preserve">高石高</t>
  </si>
  <si>
    <t xml:space="preserve">渥美　開浬</t>
  </si>
  <si>
    <t xml:space="preserve">ガードナー　エヴァン</t>
  </si>
  <si>
    <t xml:space="preserve">井上　魁人</t>
  </si>
  <si>
    <t xml:space="preserve">小桧山　悠斗</t>
  </si>
  <si>
    <t xml:space="preserve">石川　稜馬</t>
  </si>
  <si>
    <t xml:space="preserve">サレジオ高専</t>
  </si>
  <si>
    <t xml:space="preserve">奥寺　一慧</t>
  </si>
  <si>
    <t xml:space="preserve">鈴木　康悌</t>
  </si>
  <si>
    <t xml:space="preserve">栗原　一真</t>
  </si>
  <si>
    <t xml:space="preserve">山本　陽翔</t>
  </si>
  <si>
    <t xml:space="preserve">井上　恵翔</t>
  </si>
  <si>
    <t xml:space="preserve">松島　佑一</t>
  </si>
  <si>
    <t xml:space="preserve">高陽高</t>
  </si>
  <si>
    <t xml:space="preserve">伊藤　節</t>
  </si>
  <si>
    <t xml:space="preserve">札幌旭丘高</t>
  </si>
  <si>
    <t xml:space="preserve">小桧山　悠翔</t>
  </si>
  <si>
    <t xml:space="preserve">蒔田　明日真</t>
  </si>
  <si>
    <t xml:space="preserve">鈴木　改汰</t>
  </si>
  <si>
    <t xml:space="preserve">渡辺　拓真</t>
  </si>
  <si>
    <t xml:space="preserve">四日市南高</t>
  </si>
  <si>
    <t xml:space="preserve">高本　蒼真</t>
  </si>
  <si>
    <t xml:space="preserve">熊本一高</t>
  </si>
  <si>
    <t xml:space="preserve">松本　啓吾</t>
  </si>
  <si>
    <t xml:space="preserve">亀甲　壮真</t>
  </si>
  <si>
    <t xml:space="preserve">住田　陽</t>
  </si>
  <si>
    <t xml:space="preserve">日大高</t>
  </si>
  <si>
    <t xml:space="preserve">宮川　祐</t>
  </si>
  <si>
    <t xml:space="preserve">平原　凛太郎</t>
  </si>
  <si>
    <t xml:space="preserve">名城　侍</t>
  </si>
  <si>
    <t xml:space="preserve">花倉　巧真</t>
  </si>
  <si>
    <t xml:space="preserve">妹尾　漣也</t>
  </si>
  <si>
    <t xml:space="preserve">市名古屋商高</t>
  </si>
  <si>
    <t xml:space="preserve">叶　 　遼太</t>
  </si>
  <si>
    <t xml:space="preserve">万代　陽大</t>
  </si>
  <si>
    <t xml:space="preserve">中谷　光汰</t>
  </si>
  <si>
    <t xml:space="preserve">伊那北高</t>
  </si>
  <si>
    <t xml:space="preserve">吉満　馨</t>
  </si>
  <si>
    <t xml:space="preserve">横浜市立ＹＳＦ高</t>
  </si>
  <si>
    <t xml:space="preserve">後藤　幹翔</t>
  </si>
  <si>
    <t xml:space="preserve">高田　莉央</t>
  </si>
  <si>
    <t xml:space="preserve">海老原　晃斗</t>
  </si>
  <si>
    <t xml:space="preserve">楫部　悠真</t>
  </si>
  <si>
    <t xml:space="preserve">大田高</t>
  </si>
  <si>
    <t xml:space="preserve">朝井　郷牙</t>
  </si>
  <si>
    <t xml:space="preserve">山本　智也</t>
  </si>
  <si>
    <t xml:space="preserve">岡山白陵高</t>
  </si>
  <si>
    <t xml:space="preserve">南本　和顕</t>
  </si>
  <si>
    <t xml:space="preserve">伊藤　颯真</t>
  </si>
  <si>
    <t xml:space="preserve">札幌手稲高</t>
  </si>
  <si>
    <t xml:space="preserve">畠中　歩</t>
  </si>
  <si>
    <t xml:space="preserve">紫野高</t>
  </si>
  <si>
    <t xml:space="preserve">内田　善</t>
  </si>
  <si>
    <t xml:space="preserve">武藤　裕雅</t>
  </si>
  <si>
    <t xml:space="preserve">木村　聡介</t>
  </si>
  <si>
    <t xml:space="preserve">渡辺　心結</t>
  </si>
  <si>
    <t xml:space="preserve">高木　鼓太郎</t>
  </si>
  <si>
    <t xml:space="preserve">原田　蓮斗</t>
  </si>
  <si>
    <t xml:space="preserve">旭川西高</t>
  </si>
  <si>
    <t xml:space="preserve">阪井　健心</t>
  </si>
  <si>
    <t xml:space="preserve">山村　絆斗</t>
  </si>
  <si>
    <r>
      <rPr>
        <sz val="10"/>
        <color rgb="FF000000"/>
        <rFont val="HGPｺﾞｼｯｸM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区 </t>
    </r>
    <r>
      <rPr>
        <sz val="10"/>
        <color rgb="FF000000"/>
        <rFont val="HGPｺﾞｼｯｸM"/>
        <family val="0"/>
        <charset val="1"/>
      </rPr>
      <t xml:space="preserve">46</t>
    </r>
    <r>
      <rPr>
        <sz val="10"/>
        <color rgb="FF000000"/>
        <rFont val="WenQuanYi Zen Hei"/>
        <family val="2"/>
      </rPr>
      <t xml:space="preserve">位（</t>
    </r>
    <r>
      <rPr>
        <sz val="10"/>
        <color rgb="FF000000"/>
        <rFont val="HGPｺﾞｼｯｸM"/>
        <family val="0"/>
        <charset val="1"/>
      </rPr>
      <t xml:space="preserve">17:01</t>
    </r>
    <r>
      <rPr>
        <sz val="10"/>
        <color rgb="FF000000"/>
        <rFont val="WenQuanYi Zen Hei"/>
        <family val="2"/>
      </rPr>
      <t xml:space="preserve">）</t>
    </r>
  </si>
  <si>
    <t xml:space="preserve">吉目木　悠作</t>
  </si>
  <si>
    <t xml:space="preserve">滝川高</t>
  </si>
  <si>
    <t xml:space="preserve">小渕　陽彩</t>
  </si>
  <si>
    <t xml:space="preserve">高見　修平</t>
  </si>
  <si>
    <t xml:space="preserve">佐藤　悠生</t>
  </si>
  <si>
    <t xml:space="preserve">松本　悠汰</t>
  </si>
  <si>
    <t xml:space="preserve">桃山高</t>
  </si>
  <si>
    <t xml:space="preserve">杉本　翔輝</t>
  </si>
  <si>
    <t xml:space="preserve">大久保　惺太</t>
  </si>
  <si>
    <t xml:space="preserve">都城高専</t>
  </si>
  <si>
    <t xml:space="preserve">斎藤　皇</t>
  </si>
  <si>
    <t xml:space="preserve">松山　大希</t>
  </si>
  <si>
    <t xml:space="preserve">上条　将生</t>
  </si>
  <si>
    <t xml:space="preserve">樋川　新</t>
  </si>
  <si>
    <t xml:space="preserve">中道　大葵</t>
  </si>
  <si>
    <t xml:space="preserve">渡部　伶人</t>
  </si>
  <si>
    <t xml:space="preserve">辻横　陽馬</t>
  </si>
  <si>
    <t xml:space="preserve">井上　航佑</t>
  </si>
  <si>
    <t xml:space="preserve">武南高</t>
  </si>
  <si>
    <t xml:space="preserve">中山　敢太</t>
  </si>
  <si>
    <t xml:space="preserve">堀内　陽太</t>
  </si>
  <si>
    <t xml:space="preserve">田中　斗麻</t>
  </si>
  <si>
    <t xml:space="preserve">福岡西陵高</t>
  </si>
  <si>
    <t xml:space="preserve">坂本　拓未</t>
  </si>
  <si>
    <t xml:space="preserve">大聖寺高</t>
  </si>
  <si>
    <t xml:space="preserve">柳沢　蓮</t>
  </si>
  <si>
    <t xml:space="preserve">久野　湊太</t>
  </si>
  <si>
    <t xml:space="preserve">大垣東高</t>
  </si>
  <si>
    <t xml:space="preserve">野田　侑希</t>
  </si>
  <si>
    <t xml:space="preserve">新美　諒真</t>
  </si>
  <si>
    <t xml:space="preserve">半田高</t>
  </si>
  <si>
    <t xml:space="preserve">坂元　誠規</t>
  </si>
  <si>
    <t xml:space="preserve">伊志田高</t>
  </si>
  <si>
    <t xml:space="preserve">石橋　望</t>
  </si>
  <si>
    <t xml:space="preserve">豊中高</t>
  </si>
  <si>
    <t xml:space="preserve">山ノ井　太郎</t>
  </si>
  <si>
    <t xml:space="preserve">開成高</t>
  </si>
  <si>
    <t xml:space="preserve">安達　雄祐</t>
  </si>
  <si>
    <t xml:space="preserve">大阪産大附高</t>
  </si>
  <si>
    <t xml:space="preserve">小川　智史</t>
  </si>
  <si>
    <t xml:space="preserve">木村　光稀</t>
  </si>
  <si>
    <t xml:space="preserve">松山西中等高</t>
  </si>
  <si>
    <t xml:space="preserve">上本　瑞偉</t>
  </si>
  <si>
    <t xml:space="preserve">明石高</t>
  </si>
  <si>
    <t xml:space="preserve">中野　将希</t>
  </si>
  <si>
    <t xml:space="preserve">洲本高</t>
  </si>
  <si>
    <t xml:space="preserve">小林　遼太郎</t>
  </si>
  <si>
    <t xml:space="preserve">松尾　建吾</t>
  </si>
  <si>
    <t xml:space="preserve">兵庫工高</t>
  </si>
  <si>
    <t xml:space="preserve">竹内　樹生</t>
  </si>
  <si>
    <t xml:space="preserve">尚絅学院高</t>
  </si>
  <si>
    <t xml:space="preserve">大塚　進之介</t>
  </si>
  <si>
    <t xml:space="preserve">宇都宮クラーク高</t>
  </si>
  <si>
    <t xml:space="preserve">寺本　琥心</t>
  </si>
  <si>
    <t xml:space="preserve">宇治山田高</t>
  </si>
  <si>
    <t xml:space="preserve">平山　空</t>
  </si>
  <si>
    <t xml:space="preserve">山田　浩太郎</t>
  </si>
  <si>
    <t xml:space="preserve">名古屋高</t>
  </si>
  <si>
    <t xml:space="preserve">村上　煌心</t>
  </si>
  <si>
    <t xml:space="preserve">伊藤　虎鉄</t>
  </si>
  <si>
    <t xml:space="preserve">札幌啓成高</t>
  </si>
  <si>
    <t xml:space="preserve">南川　有琉真</t>
  </si>
  <si>
    <t xml:space="preserve">近大附高</t>
  </si>
  <si>
    <t xml:space="preserve">高橋　悠真</t>
  </si>
  <si>
    <t xml:space="preserve">三浦　冬馬</t>
  </si>
  <si>
    <t xml:space="preserve">伊藤　語</t>
  </si>
  <si>
    <t xml:space="preserve">大久保真尋</t>
  </si>
  <si>
    <t xml:space="preserve">石井　大河</t>
  </si>
  <si>
    <t xml:space="preserve">遠藤　団</t>
  </si>
  <si>
    <t xml:space="preserve">小島　蒼史</t>
  </si>
  <si>
    <t xml:space="preserve">日野</t>
  </si>
  <si>
    <t xml:space="preserve">折敷　一樹</t>
  </si>
  <si>
    <t xml:space="preserve">天王寺高</t>
  </si>
  <si>
    <t xml:space="preserve">畠山　琉夢</t>
  </si>
  <si>
    <t xml:space="preserve">鏡　 　洋喬</t>
  </si>
  <si>
    <t xml:space="preserve">鉾田一高</t>
  </si>
  <si>
    <t xml:space="preserve">伊藤　真之</t>
  </si>
  <si>
    <t xml:space="preserve">土師　壮介</t>
  </si>
  <si>
    <t xml:space="preserve">鎌田　奏良</t>
  </si>
  <si>
    <t xml:space="preserve">斎藤　充希</t>
  </si>
  <si>
    <t xml:space="preserve">帯広南商高</t>
  </si>
  <si>
    <t xml:space="preserve">奥野　景翔</t>
  </si>
  <si>
    <t xml:space="preserve">堤　 　煌平</t>
  </si>
  <si>
    <t xml:space="preserve">村尾　莉玖</t>
  </si>
  <si>
    <t xml:space="preserve">北嵯峨高</t>
  </si>
  <si>
    <t xml:space="preserve">江上　湧春</t>
  </si>
  <si>
    <t xml:space="preserve">尾崎　開</t>
  </si>
  <si>
    <t xml:space="preserve">工藤　蒼史</t>
  </si>
  <si>
    <t xml:space="preserve">旭川南高</t>
  </si>
  <si>
    <t xml:space="preserve">嘉門　尚志</t>
  </si>
  <si>
    <t xml:space="preserve">薬園台高</t>
  </si>
  <si>
    <t xml:space="preserve">鷹西　真弥</t>
  </si>
  <si>
    <t xml:space="preserve">高岡工芸高</t>
  </si>
  <si>
    <t xml:space="preserve">加塩　涼晟</t>
  </si>
  <si>
    <t xml:space="preserve">小谷　政志</t>
  </si>
  <si>
    <t xml:space="preserve">苫米地　颯梧</t>
  </si>
  <si>
    <t xml:space="preserve">三農恵拓高</t>
  </si>
  <si>
    <t xml:space="preserve">山中　琥太朗</t>
  </si>
  <si>
    <t xml:space="preserve">仙台一高</t>
  </si>
  <si>
    <t xml:space="preserve">三浦　心陽</t>
  </si>
  <si>
    <t xml:space="preserve">手塚　琥羽</t>
  </si>
  <si>
    <t xml:space="preserve">沖野　佑舵</t>
  </si>
  <si>
    <t xml:space="preserve">宜野湾高</t>
  </si>
  <si>
    <t xml:space="preserve">安斎　開清</t>
  </si>
  <si>
    <t xml:space="preserve">いわき光洋高</t>
  </si>
  <si>
    <t xml:space="preserve">伊藤　海太</t>
  </si>
  <si>
    <t xml:space="preserve">田中　達也</t>
  </si>
  <si>
    <t xml:space="preserve">平塚　栄太</t>
  </si>
  <si>
    <t xml:space="preserve">金足農高</t>
  </si>
  <si>
    <t xml:space="preserve">白川　綾悠</t>
  </si>
  <si>
    <t xml:space="preserve">土肥　優人</t>
  </si>
  <si>
    <t xml:space="preserve">重橋　寛介</t>
  </si>
  <si>
    <t xml:space="preserve">浦上　仁</t>
  </si>
  <si>
    <t xml:space="preserve">高橋　虹輝</t>
  </si>
  <si>
    <t xml:space="preserve">武村　悠聖</t>
  </si>
  <si>
    <t xml:space="preserve">菅原　純也</t>
  </si>
  <si>
    <t xml:space="preserve">加藤　大暉</t>
  </si>
  <si>
    <t xml:space="preserve">越崎　颯</t>
  </si>
  <si>
    <t xml:space="preserve">函館大谷高</t>
  </si>
  <si>
    <t xml:space="preserve">池田　湊鎮</t>
  </si>
  <si>
    <t xml:space="preserve">岡本　拳</t>
  </si>
  <si>
    <t xml:space="preserve">名古屋大谷高</t>
  </si>
  <si>
    <t xml:space="preserve">伊戸川　貴匡</t>
  </si>
  <si>
    <t xml:space="preserve">諏佐　晃己</t>
  </si>
  <si>
    <t xml:space="preserve">平川　晴介</t>
  </si>
  <si>
    <t xml:space="preserve">渡辺　真喜斗</t>
  </si>
  <si>
    <t xml:space="preserve">千歳高</t>
  </si>
  <si>
    <t xml:space="preserve">山本　蒼空</t>
  </si>
  <si>
    <t xml:space="preserve">大川　紘矢</t>
  </si>
  <si>
    <t xml:space="preserve">伊賀瀬　将輝</t>
  </si>
  <si>
    <t xml:space="preserve">松山中央高</t>
  </si>
  <si>
    <t xml:space="preserve">中尾宇一郎</t>
  </si>
  <si>
    <t xml:space="preserve">弘学館高</t>
  </si>
  <si>
    <t xml:space="preserve">富土原　慧</t>
  </si>
  <si>
    <t xml:space="preserve">姫路飾西高</t>
  </si>
  <si>
    <t xml:space="preserve">南幅　樹</t>
  </si>
  <si>
    <t xml:space="preserve">高井　陽翔</t>
  </si>
  <si>
    <t xml:space="preserve">大西　陽斗</t>
  </si>
  <si>
    <t xml:space="preserve">境　 　修真</t>
  </si>
  <si>
    <t xml:space="preserve">蛭川　聖大</t>
  </si>
  <si>
    <t xml:space="preserve">都保谷高</t>
  </si>
  <si>
    <t xml:space="preserve">沼平　亮太</t>
  </si>
  <si>
    <t xml:space="preserve">大村　渉翔</t>
  </si>
  <si>
    <t xml:space="preserve">福沢　愛大</t>
  </si>
  <si>
    <t xml:space="preserve">徳山　泰輝</t>
  </si>
  <si>
    <t xml:space="preserve">北島　琉空</t>
  </si>
  <si>
    <t xml:space="preserve">篠ノ井高</t>
  </si>
  <si>
    <t xml:space="preserve">佐志幸之輔</t>
  </si>
  <si>
    <t xml:space="preserve">伊万里高</t>
  </si>
  <si>
    <t xml:space="preserve">宇仁　想真</t>
  </si>
  <si>
    <t xml:space="preserve">山田　来希</t>
  </si>
  <si>
    <t xml:space="preserve">増山　匠</t>
  </si>
  <si>
    <t xml:space="preserve">富士北稜高</t>
  </si>
  <si>
    <t xml:space="preserve">川端　悠斗</t>
  </si>
  <si>
    <t xml:space="preserve">原　 　彬暢</t>
  </si>
  <si>
    <t xml:space="preserve">岩島　航平</t>
  </si>
  <si>
    <t xml:space="preserve">山口　弘稀</t>
  </si>
  <si>
    <t xml:space="preserve">内藤　優成</t>
  </si>
  <si>
    <t xml:space="preserve">静岡学園高</t>
  </si>
  <si>
    <t xml:space="preserve">久野　星弥</t>
  </si>
  <si>
    <t xml:space="preserve">伊波　大成</t>
  </si>
  <si>
    <t xml:space="preserve">沖縄工高専</t>
  </si>
  <si>
    <t xml:space="preserve">栗原　由侑</t>
  </si>
  <si>
    <t xml:space="preserve">田京　大治</t>
  </si>
  <si>
    <t xml:space="preserve">浜松湖南高</t>
  </si>
  <si>
    <t xml:space="preserve">神村　岳</t>
  </si>
  <si>
    <t xml:space="preserve">彦根東高</t>
  </si>
  <si>
    <t xml:space="preserve">伊丸岡　隼人</t>
  </si>
  <si>
    <t xml:space="preserve">岩見沢東高</t>
  </si>
  <si>
    <t xml:space="preserve">小森　悠貴</t>
  </si>
  <si>
    <t xml:space="preserve">小田　奏真</t>
  </si>
  <si>
    <t xml:space="preserve">三重高</t>
  </si>
  <si>
    <t xml:space="preserve">関根　佑真</t>
  </si>
  <si>
    <t xml:space="preserve">東京成徳大高</t>
  </si>
  <si>
    <t xml:space="preserve">粕谷　悠珠</t>
  </si>
  <si>
    <r>
      <rPr>
        <b val="true"/>
        <sz val="14"/>
        <color rgb="FF000000"/>
        <rFont val="WenQuanYi Zen Hei"/>
        <family val="2"/>
      </rPr>
      <t xml:space="preserve">注目選手（</t>
    </r>
    <r>
      <rPr>
        <b val="true"/>
        <sz val="14"/>
        <color rgb="FF000000"/>
        <rFont val="HGPｺﾞｼｯｸM"/>
        <family val="0"/>
        <charset val="1"/>
      </rPr>
      <t xml:space="preserve">25</t>
    </r>
    <r>
      <rPr>
        <b val="true"/>
        <sz val="14"/>
        <color rgb="FF000000"/>
        <rFont val="WenQuanYi Zen Hei"/>
        <family val="2"/>
      </rPr>
      <t xml:space="preserve">人・</t>
    </r>
    <r>
      <rPr>
        <b val="true"/>
        <sz val="14"/>
        <color rgb="FF000000"/>
        <rFont val="HGPｺﾞｼｯｸM"/>
        <family val="0"/>
        <charset val="1"/>
      </rPr>
      <t xml:space="preserve">5000m</t>
    </r>
    <r>
      <rPr>
        <b val="true"/>
        <sz val="14"/>
        <color rgb="FF000000"/>
        <rFont val="WenQuanYi Zen Hei"/>
        <family val="2"/>
      </rPr>
      <t xml:space="preserve">順）</t>
    </r>
  </si>
  <si>
    <r>
      <rPr>
        <sz val="9"/>
        <color rgb="FF000000"/>
        <rFont val="WenQuanYi Zen Hei"/>
        <family val="2"/>
      </rPr>
      <t xml:space="preserve">選手一覧でオレンジにした選手。記録・駅伝・メモは「選手一覧」から数式で参照（メモは選手一覧のメモ列に記入）。注目選手を増減するときは、どのシートでも行をオレンジ（</t>
    </r>
    <r>
      <rPr>
        <sz val="9"/>
        <color rgb="FF000000"/>
        <rFont val="HGPｺﾞｼｯｸM"/>
        <family val="0"/>
        <charset val="1"/>
      </rPr>
      <t xml:space="preserve">FFC000</t>
    </r>
    <r>
      <rPr>
        <sz val="9"/>
        <color rgb="FF000000"/>
        <rFont val="WenQuanYi Zen Hei"/>
        <family val="2"/>
      </rPr>
      <t xml:space="preserve">）にして返してください。</t>
    </r>
  </si>
  <si>
    <r>
      <rPr>
        <b val="true"/>
        <sz val="14"/>
        <color rgb="FF000000"/>
        <rFont val="WenQuanYi Zen Hei"/>
        <family val="2"/>
      </rPr>
      <t xml:space="preserve">第</t>
    </r>
    <r>
      <rPr>
        <b val="true"/>
        <sz val="14"/>
        <color rgb="FF000000"/>
        <rFont val="HGPｺﾞｼｯｸM"/>
        <family val="0"/>
        <charset val="1"/>
      </rPr>
      <t xml:space="preserve">46</t>
    </r>
    <r>
      <rPr>
        <b val="true"/>
        <sz val="14"/>
        <color rgb="FF000000"/>
        <rFont val="WenQuanYi Zen Hei"/>
        <family val="2"/>
      </rPr>
      <t xml:space="preserve">回 日本海駅伝（</t>
    </r>
    <r>
      <rPr>
        <b val="true"/>
        <sz val="14"/>
        <color rgb="FF000000"/>
        <rFont val="HGPｺﾞｼｯｸM"/>
        <family val="0"/>
        <charset val="1"/>
      </rPr>
      <t xml:space="preserve">2026/10/4</t>
    </r>
    <r>
      <rPr>
        <b val="true"/>
        <sz val="14"/>
        <color rgb="FF000000"/>
        <rFont val="WenQuanYi Zen Hei"/>
        <family val="2"/>
      </rPr>
      <t xml:space="preserve">）：</t>
    </r>
    <r>
      <rPr>
        <b val="true"/>
        <sz val="14"/>
        <color rgb="FF000000"/>
        <rFont val="HGPｺﾞｼｯｸM"/>
        <family val="0"/>
        <charset val="1"/>
      </rPr>
      <t xml:space="preserve">2028</t>
    </r>
    <r>
      <rPr>
        <b val="true"/>
        <sz val="14"/>
        <color rgb="FF000000"/>
        <rFont val="WenQuanYi Zen Hei"/>
        <family val="2"/>
      </rPr>
      <t xml:space="preserve">年入学世代（現高</t>
    </r>
    <r>
      <rPr>
        <b val="true"/>
        <sz val="14"/>
        <color rgb="FF000000"/>
        <rFont val="HGPｺﾞｼｯｸM"/>
        <family val="0"/>
        <charset val="1"/>
      </rPr>
      <t xml:space="preserve">2</t>
    </r>
    <r>
      <rPr>
        <b val="true"/>
        <sz val="14"/>
        <color rgb="FF000000"/>
        <rFont val="WenQuanYi Zen Hei"/>
        <family val="2"/>
      </rPr>
      <t xml:space="preserve">）の区間成績</t>
    </r>
  </si>
  <si>
    <r>
      <rPr>
        <sz val="9"/>
        <color rgb="FF000000"/>
        <rFont val="WenQuanYi Zen Hei"/>
        <family val="2"/>
      </rPr>
      <t xml:space="preserve">全出走者のうち、陸マガランキングに名前と高校が一致する選手のみ掲載（成績表に学年の記載がないため）。ランキング圏外の</t>
    </r>
    <r>
      <rPr>
        <sz val="9"/>
        <color rgb="FF000000"/>
        <rFont val="HGPｺﾞｼｯｸM"/>
        <family val="0"/>
        <charset val="1"/>
      </rPr>
      <t xml:space="preserve">2</t>
    </r>
    <r>
      <rPr>
        <sz val="9"/>
        <color rgb="FF000000"/>
        <rFont val="WenQuanYi Zen Hei"/>
        <family val="2"/>
      </rPr>
      <t xml:space="preserve">年生は含まれません。区間順位は全学年での順位、</t>
    </r>
    <r>
      <rPr>
        <sz val="9"/>
        <color rgb="FF000000"/>
        <rFont val="HGPｺﾞｼｯｸM"/>
        <family val="0"/>
        <charset val="1"/>
      </rPr>
      <t xml:space="preserve">2</t>
    </r>
    <r>
      <rPr>
        <sz val="9"/>
        <color rgb="FF000000"/>
        <rFont val="WenQuanYi Zen Hei"/>
        <family val="2"/>
      </rPr>
      <t xml:space="preserve">年生内順位はこの表の中での順位。区間順位の色：濃い緑＝</t>
    </r>
    <r>
      <rPr>
        <sz val="9"/>
        <color rgb="FF000000"/>
        <rFont val="HGPｺﾞｼｯｸM"/>
        <family val="0"/>
        <charset val="1"/>
      </rPr>
      <t xml:space="preserve">3</t>
    </r>
    <r>
      <rPr>
        <sz val="9"/>
        <color rgb="FF000000"/>
        <rFont val="WenQuanYi Zen Hei"/>
        <family val="2"/>
      </rPr>
      <t xml:space="preserve">位以内、緑＝</t>
    </r>
    <r>
      <rPr>
        <sz val="9"/>
        <color rgb="FF000000"/>
        <rFont val="HGPｺﾞｼｯｸM"/>
        <family val="0"/>
        <charset val="1"/>
      </rPr>
      <t xml:space="preserve">10</t>
    </r>
    <r>
      <rPr>
        <sz val="9"/>
        <color rgb="FF000000"/>
        <rFont val="WenQuanYi Zen Hei"/>
        <family val="2"/>
      </rPr>
      <t xml:space="preserve">位以内、薄緑＝</t>
    </r>
    <r>
      <rPr>
        <sz val="9"/>
        <color rgb="FF000000"/>
        <rFont val="HGPｺﾞｼｯｸM"/>
        <family val="0"/>
        <charset val="1"/>
      </rPr>
      <t xml:space="preserve">30</t>
    </r>
    <r>
      <rPr>
        <sz val="9"/>
        <color rgb="FF000000"/>
        <rFont val="WenQuanYi Zen Hei"/>
        <family val="2"/>
      </rPr>
      <t xml:space="preserve">位以内。</t>
    </r>
  </si>
  <si>
    <t xml:space="preserve">区</t>
  </si>
  <si>
    <r>
      <rPr>
        <b val="true"/>
        <sz val="10"/>
        <color rgb="FF000000"/>
        <rFont val="WenQuanYi Zen Hei"/>
        <family val="2"/>
      </rPr>
      <t xml:space="preserve">距離
</t>
    </r>
    <r>
      <rPr>
        <b val="true"/>
        <sz val="10"/>
        <color rgb="FF000000"/>
        <rFont val="HGPｺﾞｼｯｸM"/>
        <family val="0"/>
        <charset val="1"/>
      </rPr>
      <t xml:space="preserve">(km)</t>
    </r>
  </si>
  <si>
    <t xml:space="preserve">区間
順位</t>
  </si>
  <si>
    <r>
      <rPr>
        <b val="true"/>
        <sz val="10"/>
        <color rgb="FF000000"/>
        <rFont val="HGPｺﾞｼｯｸM"/>
        <family val="0"/>
        <charset val="1"/>
      </rPr>
      <t xml:space="preserve">2</t>
    </r>
    <r>
      <rPr>
        <b val="true"/>
        <sz val="10"/>
        <color rgb="FF000000"/>
        <rFont val="WenQuanYi Zen Hei"/>
        <family val="2"/>
      </rPr>
      <t xml:space="preserve">年生内
順位</t>
    </r>
  </si>
  <si>
    <t xml:space="preserve">区間記録</t>
  </si>
  <si>
    <r>
      <rPr>
        <b val="true"/>
        <sz val="10"/>
        <color rgb="FF000000"/>
        <rFont val="HGPｺﾞｼｯｸM"/>
        <family val="0"/>
        <charset val="1"/>
      </rPr>
      <t xml:space="preserve">1km
</t>
    </r>
    <r>
      <rPr>
        <b val="true"/>
        <sz val="10"/>
        <color rgb="FF000000"/>
        <rFont val="WenQuanYi Zen Hei"/>
        <family val="2"/>
      </rPr>
      <t xml:space="preserve">ペース</t>
    </r>
  </si>
  <si>
    <t xml:space="preserve">チーム</t>
  </si>
  <si>
    <t xml:space="preserve">都道府県</t>
  </si>
  <si>
    <t xml:space="preserve">チーム
総合順位</t>
  </si>
  <si>
    <t xml:space="preserve">稲垣 翔馴</t>
  </si>
  <si>
    <r>
      <rPr>
        <sz val="10"/>
        <color rgb="FF000000"/>
        <rFont val="WenQuanYi Zen Hei"/>
        <family val="2"/>
      </rPr>
      <t xml:space="preserve">洛南</t>
    </r>
    <r>
      <rPr>
        <sz val="10"/>
        <color rgb="FF000000"/>
        <rFont val="HGPｺﾞｼｯｸM"/>
        <family val="0"/>
        <charset val="1"/>
      </rPr>
      <t xml:space="preserve">A</t>
    </r>
  </si>
  <si>
    <t xml:space="preserve">京都</t>
  </si>
  <si>
    <t xml:space="preserve">橋本 蒼平</t>
  </si>
  <si>
    <r>
      <rPr>
        <sz val="10"/>
        <color rgb="FF000000"/>
        <rFont val="WenQuanYi Zen Hei"/>
        <family val="2"/>
      </rPr>
      <t xml:space="preserve">佐久長聖</t>
    </r>
    <r>
      <rPr>
        <sz val="10"/>
        <color rgb="FF000000"/>
        <rFont val="HGPｺﾞｼｯｸM"/>
        <family val="0"/>
        <charset val="1"/>
      </rPr>
      <t xml:space="preserve">B</t>
    </r>
  </si>
  <si>
    <t xml:space="preserve">長野</t>
  </si>
  <si>
    <t xml:space="preserve">酒井 琉史</t>
  </si>
  <si>
    <r>
      <rPr>
        <sz val="10"/>
        <color rgb="FF000000"/>
        <rFont val="WenQuanYi Zen Hei"/>
        <family val="2"/>
      </rPr>
      <t xml:space="preserve">佐久長聖</t>
    </r>
    <r>
      <rPr>
        <sz val="10"/>
        <color rgb="FF000000"/>
        <rFont val="HGPｺﾞｼｯｸM"/>
        <family val="0"/>
        <charset val="1"/>
      </rPr>
      <t xml:space="preserve">A</t>
    </r>
  </si>
  <si>
    <t xml:space="preserve">平田 千隼</t>
  </si>
  <si>
    <r>
      <rPr>
        <sz val="10"/>
        <color rgb="FF000000"/>
        <rFont val="WenQuanYi Zen Hei"/>
        <family val="2"/>
      </rPr>
      <t xml:space="preserve">鳥取城北</t>
    </r>
    <r>
      <rPr>
        <sz val="10"/>
        <color rgb="FF000000"/>
        <rFont val="HGPｺﾞｼｯｸM"/>
        <family val="0"/>
        <charset val="1"/>
      </rPr>
      <t xml:space="preserve">B</t>
    </r>
  </si>
  <si>
    <t xml:space="preserve">鳥取</t>
  </si>
  <si>
    <t xml:space="preserve">岸本 周真</t>
  </si>
  <si>
    <r>
      <rPr>
        <sz val="10"/>
        <color rgb="FF000000"/>
        <rFont val="WenQuanYi Zen Hei"/>
        <family val="2"/>
      </rPr>
      <t xml:space="preserve">西脇工</t>
    </r>
    <r>
      <rPr>
        <sz val="10"/>
        <color rgb="FF000000"/>
        <rFont val="HGPｺﾞｼｯｸM"/>
        <family val="0"/>
        <charset val="1"/>
      </rPr>
      <t xml:space="preserve">A</t>
    </r>
  </si>
  <si>
    <t xml:space="preserve">兵庫</t>
  </si>
  <si>
    <t xml:space="preserve">千葉 渚斗</t>
  </si>
  <si>
    <t xml:space="preserve">広島国際学院</t>
  </si>
  <si>
    <t xml:space="preserve">広島</t>
  </si>
  <si>
    <t xml:space="preserve">坂口 太弥</t>
  </si>
  <si>
    <t xml:space="preserve">和歌山北</t>
  </si>
  <si>
    <t xml:space="preserve">和歌山</t>
  </si>
  <si>
    <t xml:space="preserve">朝倉 悠羽</t>
  </si>
  <si>
    <t xml:space="preserve">山梨学院</t>
  </si>
  <si>
    <t xml:space="preserve">山梨</t>
  </si>
  <si>
    <t xml:space="preserve">木村 剛士</t>
  </si>
  <si>
    <t xml:space="preserve">美濃加茂</t>
  </si>
  <si>
    <t xml:space="preserve">岐阜</t>
  </si>
  <si>
    <t xml:space="preserve">前 春馬</t>
  </si>
  <si>
    <r>
      <rPr>
        <sz val="10"/>
        <color rgb="FF000000"/>
        <rFont val="WenQuanYi Zen Hei"/>
        <family val="2"/>
      </rPr>
      <t xml:space="preserve">洛南</t>
    </r>
    <r>
      <rPr>
        <sz val="10"/>
        <color rgb="FF000000"/>
        <rFont val="HGPｺﾞｼｯｸM"/>
        <family val="0"/>
        <charset val="1"/>
      </rPr>
      <t xml:space="preserve">B</t>
    </r>
  </si>
  <si>
    <t xml:space="preserve">楯 冬次</t>
  </si>
  <si>
    <t xml:space="preserve">愛知</t>
  </si>
  <si>
    <t xml:space="preserve">湯浅 紘翔</t>
  </si>
  <si>
    <r>
      <rPr>
        <sz val="10"/>
        <color rgb="FF000000"/>
        <rFont val="WenQuanYi Zen Hei"/>
        <family val="2"/>
      </rPr>
      <t xml:space="preserve">洛北</t>
    </r>
    <r>
      <rPr>
        <sz val="10"/>
        <color rgb="FF000000"/>
        <rFont val="HGPｺﾞｼｯｸM"/>
        <family val="0"/>
        <charset val="1"/>
      </rPr>
      <t xml:space="preserve">B</t>
    </r>
  </si>
  <si>
    <t xml:space="preserve">岩下 幾海</t>
  </si>
  <si>
    <t xml:space="preserve">高知工</t>
  </si>
  <si>
    <t xml:space="preserve">高知</t>
  </si>
  <si>
    <t xml:space="preserve">川人 仁嘉</t>
  </si>
  <si>
    <t xml:space="preserve">倉敷Ｂ</t>
  </si>
  <si>
    <t xml:space="preserve">岡山</t>
  </si>
  <si>
    <t xml:space="preserve">前川 侑大</t>
  </si>
  <si>
    <t xml:space="preserve">今治北</t>
  </si>
  <si>
    <t xml:space="preserve">愛媛</t>
  </si>
  <si>
    <t xml:space="preserve">中島 希</t>
  </si>
  <si>
    <t xml:space="preserve">比叡山</t>
  </si>
  <si>
    <t xml:space="preserve">滋賀</t>
  </si>
  <si>
    <t xml:space="preserve">溝辺 煌心</t>
  </si>
  <si>
    <t xml:space="preserve">九州学院</t>
  </si>
  <si>
    <t xml:space="preserve">熊本</t>
  </si>
  <si>
    <t xml:space="preserve">古川 零唯</t>
  </si>
  <si>
    <t xml:space="preserve">桂</t>
  </si>
  <si>
    <t xml:space="preserve">岡島 稜</t>
  </si>
  <si>
    <t xml:space="preserve">伊賀白鳳</t>
  </si>
  <si>
    <t xml:space="preserve">三重</t>
  </si>
  <si>
    <t xml:space="preserve">山副 昇太郎</t>
  </si>
  <si>
    <t xml:space="preserve">丹後緑風</t>
  </si>
  <si>
    <t xml:space="preserve">杉浦 秀亜</t>
  </si>
  <si>
    <t xml:space="preserve">豊田大谷</t>
  </si>
  <si>
    <t xml:space="preserve">島田 新太</t>
  </si>
  <si>
    <r>
      <rPr>
        <sz val="10"/>
        <color rgb="FF000000"/>
        <rFont val="WenQuanYi Zen Hei"/>
        <family val="2"/>
      </rPr>
      <t xml:space="preserve">美方</t>
    </r>
    <r>
      <rPr>
        <sz val="10"/>
        <color rgb="FF000000"/>
        <rFont val="HGPｺﾞｼｯｸM"/>
        <family val="0"/>
        <charset val="1"/>
      </rPr>
      <t xml:space="preserve">B</t>
    </r>
  </si>
  <si>
    <t xml:space="preserve">福井</t>
  </si>
  <si>
    <t xml:space="preserve">山内 颯真</t>
  </si>
  <si>
    <t xml:space="preserve">乙訓</t>
  </si>
  <si>
    <t xml:space="preserve">川畑 僚大</t>
  </si>
  <si>
    <t xml:space="preserve">敦賀気比</t>
  </si>
  <si>
    <t xml:space="preserve">太田 泰聖</t>
  </si>
  <si>
    <r>
      <rPr>
        <sz val="10"/>
        <color rgb="FF000000"/>
        <rFont val="WenQuanYi Zen Hei"/>
        <family val="2"/>
      </rPr>
      <t xml:space="preserve">西脇工</t>
    </r>
    <r>
      <rPr>
        <sz val="10"/>
        <color rgb="FF000000"/>
        <rFont val="HGPｺﾞｼｯｸM"/>
        <family val="0"/>
        <charset val="1"/>
      </rPr>
      <t xml:space="preserve">B</t>
    </r>
  </si>
  <si>
    <t xml:space="preserve">駒野 恵之</t>
  </si>
  <si>
    <r>
      <rPr>
        <sz val="10"/>
        <color rgb="FF000000"/>
        <rFont val="WenQuanYi Zen Hei"/>
        <family val="2"/>
      </rPr>
      <t xml:space="preserve">京都外大西</t>
    </r>
    <r>
      <rPr>
        <sz val="10"/>
        <color rgb="FF000000"/>
        <rFont val="HGPｺﾞｼｯｸM"/>
        <family val="0"/>
        <charset val="1"/>
      </rPr>
      <t xml:space="preserve">B</t>
    </r>
  </si>
  <si>
    <t xml:space="preserve">小林 一奈</t>
  </si>
  <si>
    <t xml:space="preserve">仙台育英</t>
  </si>
  <si>
    <t xml:space="preserve">宮城</t>
  </si>
  <si>
    <t xml:space="preserve">安部 裕多</t>
  </si>
  <si>
    <t xml:space="preserve">つるぎ</t>
  </si>
  <si>
    <t xml:space="preserve">徳島</t>
  </si>
  <si>
    <t xml:space="preserve">矢野 半蔵</t>
  </si>
  <si>
    <t xml:space="preserve">田辺</t>
  </si>
  <si>
    <t xml:space="preserve">森川 恭丞</t>
  </si>
  <si>
    <t xml:space="preserve">小豆島中央</t>
  </si>
  <si>
    <t xml:space="preserve">香川</t>
  </si>
  <si>
    <t xml:space="preserve">喜多嶋 悠次</t>
  </si>
  <si>
    <t xml:space="preserve">九州国際大付</t>
  </si>
  <si>
    <t xml:space="preserve">福岡</t>
  </si>
  <si>
    <t xml:space="preserve">猪口 琉汰</t>
  </si>
  <si>
    <t xml:space="preserve">鳥取東</t>
  </si>
  <si>
    <t xml:space="preserve">山本 唯翔</t>
  </si>
  <si>
    <t xml:space="preserve">松山商</t>
  </si>
  <si>
    <t xml:space="preserve">大林 凛太郎</t>
  </si>
  <si>
    <t xml:space="preserve">草津東</t>
  </si>
  <si>
    <t xml:space="preserve">喜多 勇貴</t>
  </si>
  <si>
    <t xml:space="preserve">徳島科技</t>
  </si>
  <si>
    <t xml:space="preserve">西崎 諄</t>
  </si>
  <si>
    <t xml:space="preserve">神戸商</t>
  </si>
  <si>
    <t xml:space="preserve">大沢 旅良</t>
  </si>
  <si>
    <t xml:space="preserve">八尾</t>
  </si>
  <si>
    <t xml:space="preserve">大阪</t>
  </si>
  <si>
    <t xml:space="preserve">西村 駿汰</t>
  </si>
  <si>
    <t xml:space="preserve">県岐阜商</t>
  </si>
  <si>
    <t xml:space="preserve">多久和 竜空</t>
  </si>
  <si>
    <t xml:space="preserve">出雲工</t>
  </si>
  <si>
    <t xml:space="preserve">島根</t>
  </si>
  <si>
    <t xml:space="preserve">高木 煌士</t>
  </si>
  <si>
    <t xml:space="preserve">西京</t>
  </si>
  <si>
    <t xml:space="preserve">長岡 佑悟</t>
  </si>
  <si>
    <t xml:space="preserve">宇和島東</t>
  </si>
  <si>
    <t xml:space="preserve">植田 七碧</t>
  </si>
  <si>
    <t xml:space="preserve">宝塚東</t>
  </si>
  <si>
    <t xml:space="preserve">ﾊﾟﾚｲﾖ ｱﾝﾄﾆｰｲﾀ</t>
  </si>
  <si>
    <t xml:space="preserve">福岡第一</t>
  </si>
  <si>
    <t xml:space="preserve">谷口 侑</t>
  </si>
  <si>
    <t xml:space="preserve">大阪桐蔭</t>
  </si>
  <si>
    <t xml:space="preserve">山岸 大智</t>
  </si>
  <si>
    <t xml:space="preserve">亀田 十羽</t>
  </si>
  <si>
    <t xml:space="preserve">興国</t>
  </si>
  <si>
    <t xml:space="preserve">梅野 陽成</t>
  </si>
  <si>
    <r>
      <rPr>
        <sz val="10"/>
        <color rgb="FF000000"/>
        <rFont val="WenQuanYi Zen Hei"/>
        <family val="2"/>
      </rPr>
      <t xml:space="preserve">京都外大西</t>
    </r>
    <r>
      <rPr>
        <sz val="10"/>
        <color rgb="FF000000"/>
        <rFont val="HGPｺﾞｼｯｸM"/>
        <family val="0"/>
        <charset val="1"/>
      </rPr>
      <t xml:space="preserve">A</t>
    </r>
  </si>
  <si>
    <t xml:space="preserve">辻井 智稀</t>
  </si>
  <si>
    <t xml:space="preserve">関大北陽</t>
  </si>
  <si>
    <t xml:space="preserve">二見 樹</t>
  </si>
  <si>
    <t xml:space="preserve">池之端 琉月</t>
  </si>
  <si>
    <t xml:space="preserve">佐伯 空叶</t>
  </si>
  <si>
    <t xml:space="preserve">古川 恵唯</t>
  </si>
  <si>
    <t xml:space="preserve">古沢 崇翔</t>
  </si>
  <si>
    <t xml:space="preserve">山本 希海</t>
  </si>
  <si>
    <t xml:space="preserve">藤枝明誠</t>
  </si>
  <si>
    <t xml:space="preserve">静岡</t>
  </si>
  <si>
    <t xml:space="preserve">金山 仁</t>
  </si>
  <si>
    <t xml:space="preserve">岡崎城西</t>
  </si>
  <si>
    <t xml:space="preserve">京谷 柊汰</t>
  </si>
  <si>
    <t xml:space="preserve">畔柳 圭佑</t>
  </si>
  <si>
    <t xml:space="preserve">大浜 悠生</t>
  </si>
  <si>
    <t xml:space="preserve">宇部鴻城</t>
  </si>
  <si>
    <t xml:space="preserve">山口</t>
  </si>
  <si>
    <t xml:space="preserve">木村 樹</t>
  </si>
  <si>
    <t xml:space="preserve">高川学園</t>
  </si>
  <si>
    <t xml:space="preserve">井口 敬太</t>
  </si>
  <si>
    <t xml:space="preserve">尼崎</t>
  </si>
  <si>
    <t xml:space="preserve">辻 詠太</t>
  </si>
  <si>
    <t xml:space="preserve">布野 央士</t>
  </si>
  <si>
    <t xml:space="preserve">吉田 洸翔</t>
  </si>
  <si>
    <t xml:space="preserve">鳩場 万浬</t>
  </si>
  <si>
    <t xml:space="preserve">東海大仰星</t>
  </si>
  <si>
    <t xml:space="preserve">林 勇斗</t>
  </si>
  <si>
    <t xml:space="preserve">白川 智也</t>
  </si>
  <si>
    <t xml:space="preserve">今田 旺輝</t>
  </si>
  <si>
    <t xml:space="preserve">広島工大</t>
  </si>
  <si>
    <t xml:space="preserve">川辺 昂輝</t>
  </si>
  <si>
    <t xml:space="preserve">市沼田</t>
  </si>
  <si>
    <t xml:space="preserve">中沢 侑己</t>
  </si>
  <si>
    <t xml:space="preserve">長 煌介</t>
  </si>
  <si>
    <t xml:space="preserve">谷崎 大翔</t>
  </si>
  <si>
    <t xml:space="preserve">北川 歩夢</t>
  </si>
  <si>
    <t xml:space="preserve">吉本 健心</t>
  </si>
  <si>
    <t xml:space="preserve">中井 柊駕</t>
  </si>
  <si>
    <t xml:space="preserve">市西宮</t>
  </si>
  <si>
    <t xml:space="preserve">金子 瑛太</t>
  </si>
  <si>
    <t xml:space="preserve">高知農</t>
  </si>
  <si>
    <t xml:space="preserve">小早川 駿也</t>
  </si>
  <si>
    <t xml:space="preserve">星野 駿人</t>
  </si>
  <si>
    <r>
      <rPr>
        <sz val="10"/>
        <color rgb="FF000000"/>
        <rFont val="WenQuanYi Zen Hei"/>
        <family val="2"/>
      </rPr>
      <t xml:space="preserve">稲生</t>
    </r>
    <r>
      <rPr>
        <sz val="10"/>
        <color rgb="FF000000"/>
        <rFont val="HGPｺﾞｼｯｸM"/>
        <family val="0"/>
        <charset val="1"/>
      </rPr>
      <t xml:space="preserve">A</t>
    </r>
  </si>
  <si>
    <t xml:space="preserve">細見 悠雅</t>
  </si>
  <si>
    <t xml:space="preserve">徳田 楓士</t>
  </si>
  <si>
    <r>
      <rPr>
        <sz val="10"/>
        <color rgb="FF000000"/>
        <rFont val="WenQuanYi Zen Hei"/>
        <family val="2"/>
      </rPr>
      <t xml:space="preserve">稲生</t>
    </r>
    <r>
      <rPr>
        <sz val="10"/>
        <color rgb="FF000000"/>
        <rFont val="HGPｺﾞｼｯｸM"/>
        <family val="0"/>
        <charset val="1"/>
      </rPr>
      <t xml:space="preserve">B</t>
    </r>
  </si>
  <si>
    <t xml:space="preserve">北条 航太郎</t>
  </si>
  <si>
    <t xml:space="preserve">篠田 龍之介</t>
  </si>
  <si>
    <t xml:space="preserve">七五三 充綺</t>
  </si>
  <si>
    <t xml:space="preserve">愛知黎明</t>
  </si>
  <si>
    <t xml:space="preserve">河野 莉空</t>
  </si>
  <si>
    <t xml:space="preserve">中京</t>
  </si>
  <si>
    <t xml:space="preserve">山崎 弘陽</t>
  </si>
  <si>
    <t xml:space="preserve">野口 啓介</t>
  </si>
  <si>
    <t xml:space="preserve">鳴門</t>
  </si>
  <si>
    <t xml:space="preserve">岩佐 仁誠</t>
  </si>
  <si>
    <t xml:space="preserve">早川 南人</t>
  </si>
  <si>
    <t xml:space="preserve">薮本 尚士</t>
  </si>
  <si>
    <t xml:space="preserve">名経大高蔵</t>
  </si>
  <si>
    <t xml:space="preserve">小川 翔正</t>
  </si>
  <si>
    <t xml:space="preserve">多胡 圭祐</t>
  </si>
  <si>
    <t xml:space="preserve">吉田 隼也</t>
  </si>
  <si>
    <t xml:space="preserve">鯖江</t>
  </si>
  <si>
    <t xml:space="preserve">吉村 琉翔</t>
  </si>
  <si>
    <t xml:space="preserve">真鍋 龍心</t>
  </si>
  <si>
    <t xml:space="preserve">新居浜東</t>
  </si>
  <si>
    <t xml:space="preserve">吉野 絢信</t>
  </si>
  <si>
    <t xml:space="preserve">四日市工</t>
  </si>
  <si>
    <t xml:space="preserve">奥田 瑛太</t>
  </si>
  <si>
    <t xml:space="preserve">八頭</t>
  </si>
  <si>
    <t xml:space="preserve">中島 海利</t>
  </si>
  <si>
    <t xml:space="preserve">尽誠学園</t>
  </si>
  <si>
    <t xml:space="preserve">山本 悠駕</t>
  </si>
  <si>
    <t xml:space="preserve">千代田</t>
  </si>
  <si>
    <t xml:space="preserve">中松 丈</t>
  </si>
  <si>
    <t xml:space="preserve">河野 宏真</t>
  </si>
  <si>
    <t xml:space="preserve">水口 悠大</t>
  </si>
  <si>
    <t xml:space="preserve">宝塚</t>
  </si>
  <si>
    <t xml:space="preserve">山根 大空</t>
  </si>
  <si>
    <t xml:space="preserve">県西宮</t>
  </si>
  <si>
    <t xml:space="preserve">十河 晴樹</t>
  </si>
  <si>
    <t xml:space="preserve">福知山</t>
  </si>
  <si>
    <t xml:space="preserve">黒川 陽太郎</t>
  </si>
  <si>
    <t xml:space="preserve">米子西</t>
  </si>
  <si>
    <t xml:space="preserve">桑田 凌冴</t>
  </si>
  <si>
    <t xml:space="preserve">伊丹西</t>
  </si>
  <si>
    <t xml:space="preserve">東 海斗</t>
  </si>
  <si>
    <t xml:space="preserve">松下 悠真</t>
  </si>
  <si>
    <t xml:space="preserve">武村 翔月</t>
  </si>
  <si>
    <t xml:space="preserve">岩崎 奏</t>
  </si>
  <si>
    <t xml:space="preserve">小山 颯太</t>
  </si>
  <si>
    <t xml:space="preserve">ｴｾﾞ ﾃﾞｨﾘﾁｭｸ 勇</t>
  </si>
  <si>
    <t xml:space="preserve">倉敷Ａ</t>
  </si>
  <si>
    <t xml:space="preserve">横田 拓実</t>
  </si>
  <si>
    <t xml:space="preserve">湯野 健太</t>
  </si>
  <si>
    <t xml:space="preserve">竹内 蒼</t>
  </si>
  <si>
    <t xml:space="preserve">若嶋 梨公</t>
  </si>
  <si>
    <t xml:space="preserve">加藤 蒼礼</t>
  </si>
  <si>
    <t xml:space="preserve">山下 匠</t>
  </si>
  <si>
    <t xml:space="preserve">水戸葵陵</t>
  </si>
  <si>
    <t xml:space="preserve">茨城</t>
  </si>
  <si>
    <t xml:space="preserve">藤坂 龍仁</t>
  </si>
  <si>
    <t xml:space="preserve">吹春 瞬</t>
  </si>
  <si>
    <t xml:space="preserve">上原 響</t>
  </si>
  <si>
    <t xml:space="preserve">安藤 和真</t>
  </si>
  <si>
    <t xml:space="preserve">渡辺 斗愛</t>
  </si>
  <si>
    <t xml:space="preserve">坂口 大斗</t>
  </si>
  <si>
    <t xml:space="preserve">筈谷 育生</t>
  </si>
  <si>
    <t xml:space="preserve">尾上 倫太郎</t>
  </si>
  <si>
    <t xml:space="preserve">智弁和歌山</t>
  </si>
  <si>
    <t xml:space="preserve">佐藤 駿成</t>
  </si>
  <si>
    <t xml:space="preserve">浅井 遥陽</t>
  </si>
  <si>
    <t xml:space="preserve">豊川Ａ</t>
  </si>
  <si>
    <t xml:space="preserve">武藤 風太</t>
  </si>
  <si>
    <t xml:space="preserve">山口 蓮斗</t>
  </si>
  <si>
    <t xml:space="preserve">大垣日大</t>
  </si>
  <si>
    <t xml:space="preserve">谷 康平</t>
  </si>
  <si>
    <t xml:space="preserve">弘部 和志</t>
  </si>
  <si>
    <t xml:space="preserve">中山 大河</t>
  </si>
  <si>
    <t xml:space="preserve">比嘉 大輔</t>
  </si>
  <si>
    <t xml:space="preserve">平本 悠翔</t>
  </si>
  <si>
    <t xml:space="preserve">奈良育英</t>
  </si>
  <si>
    <t xml:space="preserve">奈良</t>
  </si>
  <si>
    <t xml:space="preserve">加藤 慶弥</t>
  </si>
  <si>
    <t xml:space="preserve">杉町 橙</t>
  </si>
  <si>
    <t xml:space="preserve">京都翔英</t>
  </si>
  <si>
    <t xml:space="preserve">吉本 旭</t>
  </si>
  <si>
    <t xml:space="preserve">畑野 駿亮</t>
  </si>
  <si>
    <t xml:space="preserve">山根 一希</t>
  </si>
  <si>
    <t xml:space="preserve">松尾 健一朗</t>
  </si>
  <si>
    <t xml:space="preserve">西城陽</t>
  </si>
  <si>
    <t xml:space="preserve">中村 優希</t>
  </si>
  <si>
    <t xml:space="preserve">山口 怜士</t>
  </si>
  <si>
    <t xml:space="preserve">中部大第一</t>
  </si>
  <si>
    <t xml:space="preserve">津田野 凌</t>
  </si>
  <si>
    <t xml:space="preserve">井手 健</t>
  </si>
  <si>
    <t xml:space="preserve">代田 真司</t>
  </si>
  <si>
    <t xml:space="preserve">加田 蒼</t>
  </si>
  <si>
    <t xml:space="preserve">鈴木 陸斗</t>
  </si>
  <si>
    <t xml:space="preserve">矢野 快音</t>
  </si>
  <si>
    <t xml:space="preserve">立花 力輝</t>
  </si>
  <si>
    <t xml:space="preserve">玉川 彩人</t>
  </si>
  <si>
    <t xml:space="preserve">木田 優吾</t>
  </si>
  <si>
    <t xml:space="preserve">鈴木 隆斗</t>
  </si>
  <si>
    <t xml:space="preserve">西方路 瑛太</t>
  </si>
  <si>
    <t xml:space="preserve">徳田 湊介</t>
  </si>
  <si>
    <t xml:space="preserve">阿久根 英駿</t>
  </si>
  <si>
    <t xml:space="preserve">服部 大翔</t>
  </si>
  <si>
    <t xml:space="preserve">奥村 瑛斗</t>
  </si>
  <si>
    <t xml:space="preserve">鈴木 秀宙</t>
  </si>
  <si>
    <t xml:space="preserve">霜島 光希</t>
  </si>
  <si>
    <r>
      <rPr>
        <sz val="10"/>
        <color rgb="FF000000"/>
        <rFont val="WenQuanYi Zen Hei"/>
        <family val="2"/>
      </rPr>
      <t xml:space="preserve">美方</t>
    </r>
    <r>
      <rPr>
        <sz val="10"/>
        <color rgb="FF000000"/>
        <rFont val="HGPｺﾞｼｯｸM"/>
        <family val="0"/>
        <charset val="1"/>
      </rPr>
      <t xml:space="preserve">A</t>
    </r>
  </si>
  <si>
    <t xml:space="preserve">泉 幸太郎</t>
  </si>
  <si>
    <t xml:space="preserve">森口 能有</t>
  </si>
  <si>
    <t xml:space="preserve">大崎 次朗</t>
  </si>
  <si>
    <t xml:space="preserve">足立 大翔</t>
  </si>
  <si>
    <t xml:space="preserve">福知山成美</t>
  </si>
  <si>
    <t xml:space="preserve">樫原 凛星</t>
  </si>
  <si>
    <t xml:space="preserve">吉本 拓夢</t>
  </si>
  <si>
    <t xml:space="preserve">高松工芸</t>
  </si>
  <si>
    <t xml:space="preserve">舛谷 夢生</t>
  </si>
  <si>
    <t xml:space="preserve">松本 瑛都</t>
  </si>
  <si>
    <t xml:space="preserve">可児 悠月</t>
  </si>
  <si>
    <t xml:space="preserve">川南 星流</t>
  </si>
  <si>
    <t xml:space="preserve">滋賀学園</t>
  </si>
  <si>
    <t xml:space="preserve">国仲 江空斗</t>
  </si>
  <si>
    <t xml:space="preserve">小坂 将人</t>
  </si>
  <si>
    <t xml:space="preserve">渡辺 裕珂</t>
  </si>
  <si>
    <t xml:space="preserve">福家 佑樹</t>
  </si>
  <si>
    <t xml:space="preserve">橋本 竜樹</t>
  </si>
  <si>
    <t xml:space="preserve">蔵重 椋太</t>
  </si>
  <si>
    <t xml:space="preserve">岡山商科大</t>
  </si>
  <si>
    <t xml:space="preserve">大内 夏樹</t>
  </si>
  <si>
    <t xml:space="preserve">堀之内 悠</t>
  </si>
  <si>
    <t xml:space="preserve">保坂 充樹</t>
  </si>
  <si>
    <t xml:space="preserve">向井 駿</t>
  </si>
  <si>
    <t xml:space="preserve">山本 歩</t>
  </si>
  <si>
    <t xml:space="preserve">神港学園</t>
  </si>
  <si>
    <t xml:space="preserve">小島 隆暉</t>
  </si>
  <si>
    <t xml:space="preserve">鎌田 隼年</t>
  </si>
  <si>
    <t xml:space="preserve">渡辺 朝陽</t>
  </si>
  <si>
    <t xml:space="preserve">原田 悠慎</t>
  </si>
  <si>
    <t xml:space="preserve">和田 征太郎</t>
  </si>
  <si>
    <t xml:space="preserve">川澄 優太</t>
  </si>
  <si>
    <t xml:space="preserve">中薗 賢祐</t>
  </si>
  <si>
    <t xml:space="preserve">羽石 悠希</t>
  </si>
  <si>
    <t xml:space="preserve">三浦 颯斗</t>
  </si>
  <si>
    <t xml:space="preserve">榊原 錬</t>
  </si>
  <si>
    <t xml:space="preserve">京都産大付</t>
  </si>
  <si>
    <t xml:space="preserve">時本 悠生</t>
  </si>
  <si>
    <t xml:space="preserve">阿部 楓士</t>
  </si>
  <si>
    <t xml:space="preserve">松本 弦人</t>
  </si>
  <si>
    <t xml:space="preserve">熊本 珠樹</t>
  </si>
  <si>
    <t xml:space="preserve">生田 和獅</t>
  </si>
  <si>
    <t xml:space="preserve">奥田 光貴</t>
  </si>
  <si>
    <t xml:space="preserve">水篠 春樹</t>
  </si>
  <si>
    <t xml:space="preserve">石原 向規</t>
  </si>
  <si>
    <t xml:space="preserve">榎本 翔馬</t>
  </si>
  <si>
    <t xml:space="preserve">松本 陽樹</t>
  </si>
  <si>
    <r>
      <rPr>
        <sz val="10"/>
        <color rgb="FF000000"/>
        <rFont val="WenQuanYi Zen Hei"/>
        <family val="2"/>
      </rPr>
      <t xml:space="preserve">洛北</t>
    </r>
    <r>
      <rPr>
        <sz val="10"/>
        <color rgb="FF000000"/>
        <rFont val="HGPｺﾞｼｯｸM"/>
        <family val="0"/>
        <charset val="1"/>
      </rPr>
      <t xml:space="preserve">A</t>
    </r>
  </si>
  <si>
    <t xml:space="preserve">松永 惟吹</t>
  </si>
  <si>
    <t xml:space="preserve">松井 蓮</t>
  </si>
  <si>
    <t xml:space="preserve">米村 和真</t>
  </si>
  <si>
    <t xml:space="preserve">中沢 叶翔</t>
  </si>
  <si>
    <t xml:space="preserve">奥村 斗愛</t>
  </si>
  <si>
    <t xml:space="preserve">山本 陸人</t>
  </si>
  <si>
    <t xml:space="preserve">松下 恵丞</t>
  </si>
  <si>
    <t xml:space="preserve">神谷 一希</t>
  </si>
  <si>
    <t xml:space="preserve">高野 疾颯</t>
  </si>
  <si>
    <t xml:space="preserve">鈴木 稜空</t>
  </si>
  <si>
    <t xml:space="preserve">中村 律</t>
  </si>
  <si>
    <t xml:space="preserve">阪口 泰生</t>
  </si>
  <si>
    <t xml:space="preserve">大阪学芸</t>
  </si>
  <si>
    <t xml:space="preserve">伊藤 春弥</t>
  </si>
  <si>
    <t xml:space="preserve">松尾 昴</t>
  </si>
  <si>
    <t xml:space="preserve">東播磨</t>
  </si>
  <si>
    <t xml:space="preserve">山田 琉碧</t>
  </si>
  <si>
    <t xml:space="preserve">山中 悠輔</t>
  </si>
  <si>
    <t xml:space="preserve">伊藤 洸太</t>
  </si>
  <si>
    <t xml:space="preserve">飯田 晴羽</t>
  </si>
  <si>
    <t xml:space="preserve">小桜 奏太</t>
  </si>
  <si>
    <t xml:space="preserve">田坂 涼</t>
  </si>
  <si>
    <t xml:space="preserve">広島皆実</t>
  </si>
  <si>
    <t xml:space="preserve">久野 柑太</t>
  </si>
  <si>
    <t xml:space="preserve">水野 透麻</t>
  </si>
  <si>
    <t xml:space="preserve">黒木 太晴</t>
  </si>
  <si>
    <t xml:space="preserve">大体大浪商</t>
  </si>
  <si>
    <t xml:space="preserve">堀田 友希</t>
  </si>
  <si>
    <t xml:space="preserve">杉田 瑛宥</t>
  </si>
  <si>
    <t xml:space="preserve">山本 碧</t>
  </si>
  <si>
    <r>
      <rPr>
        <b val="true"/>
        <sz val="14"/>
        <color rgb="FF000000"/>
        <rFont val="WenQuanYi Zen Hei"/>
        <family val="2"/>
      </rPr>
      <t xml:space="preserve">第</t>
    </r>
    <r>
      <rPr>
        <b val="true"/>
        <sz val="14"/>
        <color rgb="FF000000"/>
        <rFont val="HGPｺﾞｼｯｸM"/>
        <family val="0"/>
        <charset val="1"/>
      </rPr>
      <t xml:space="preserve">5</t>
    </r>
    <r>
      <rPr>
        <b val="true"/>
        <sz val="14"/>
        <color rgb="FF000000"/>
        <rFont val="WenQuanYi Zen Hei"/>
        <family val="2"/>
      </rPr>
      <t xml:space="preserve">回 奥球磨駅伝 高校の部（</t>
    </r>
    <r>
      <rPr>
        <b val="true"/>
        <sz val="14"/>
        <color rgb="FF000000"/>
        <rFont val="HGPｺﾞｼｯｸM"/>
        <family val="0"/>
        <charset val="1"/>
      </rPr>
      <t xml:space="preserve">2026/10/4</t>
    </r>
    <r>
      <rPr>
        <b val="true"/>
        <sz val="14"/>
        <color rgb="FF000000"/>
        <rFont val="WenQuanYi Zen Hei"/>
        <family val="2"/>
      </rPr>
      <t xml:space="preserve">）：</t>
    </r>
    <r>
      <rPr>
        <b val="true"/>
        <sz val="14"/>
        <color rgb="FF000000"/>
        <rFont val="HGPｺﾞｼｯｸM"/>
        <family val="0"/>
        <charset val="1"/>
      </rPr>
      <t xml:space="preserve">2028</t>
    </r>
    <r>
      <rPr>
        <b val="true"/>
        <sz val="14"/>
        <color rgb="FF000000"/>
        <rFont val="WenQuanYi Zen Hei"/>
        <family val="2"/>
      </rPr>
      <t xml:space="preserve">年入学世代（現高</t>
    </r>
    <r>
      <rPr>
        <b val="true"/>
        <sz val="14"/>
        <color rgb="FF000000"/>
        <rFont val="HGPｺﾞｼｯｸM"/>
        <family val="0"/>
        <charset val="1"/>
      </rPr>
      <t xml:space="preserve">2</t>
    </r>
    <r>
      <rPr>
        <b val="true"/>
        <sz val="14"/>
        <color rgb="FF000000"/>
        <rFont val="WenQuanYi Zen Hei"/>
        <family val="2"/>
      </rPr>
      <t xml:space="preserve">）の区間成績</t>
    </r>
  </si>
  <si>
    <t xml:space="preserve">田尻 清雅</t>
  </si>
  <si>
    <t xml:space="preserve">慶誠高校</t>
  </si>
  <si>
    <t xml:space="preserve">杉平 颯志</t>
  </si>
  <si>
    <r>
      <rPr>
        <sz val="10"/>
        <color rgb="FF000000"/>
        <rFont val="WenQuanYi Zen Hei"/>
        <family val="2"/>
      </rPr>
      <t xml:space="preserve">鳥栖工業高校</t>
    </r>
    <r>
      <rPr>
        <sz val="10"/>
        <color rgb="FF000000"/>
        <rFont val="HGPｺﾞｼｯｸM"/>
        <family val="0"/>
        <charset val="1"/>
      </rPr>
      <t xml:space="preserve">A</t>
    </r>
  </si>
  <si>
    <t xml:space="preserve">富永 永輝愛</t>
  </si>
  <si>
    <r>
      <rPr>
        <sz val="10"/>
        <color rgb="FF000000"/>
        <rFont val="WenQuanYi Zen Hei"/>
        <family val="2"/>
      </rPr>
      <t xml:space="preserve">開新高校</t>
    </r>
    <r>
      <rPr>
        <sz val="10"/>
        <color rgb="FF000000"/>
        <rFont val="HGPｺﾞｼｯｸM"/>
        <family val="0"/>
        <charset val="1"/>
      </rPr>
      <t xml:space="preserve">A</t>
    </r>
  </si>
  <si>
    <t xml:space="preserve">大野 晃誠</t>
  </si>
  <si>
    <r>
      <rPr>
        <sz val="10"/>
        <color rgb="FF000000"/>
        <rFont val="WenQuanYi Zen Hei"/>
        <family val="2"/>
      </rPr>
      <t xml:space="preserve">飯塚高校</t>
    </r>
    <r>
      <rPr>
        <sz val="10"/>
        <color rgb="FF000000"/>
        <rFont val="HGPｺﾞｼｯｸM"/>
        <family val="0"/>
        <charset val="1"/>
      </rPr>
      <t xml:space="preserve">B</t>
    </r>
  </si>
  <si>
    <t xml:space="preserve">河合 琢留</t>
  </si>
  <si>
    <t xml:space="preserve">豊川高校</t>
  </si>
  <si>
    <t xml:space="preserve">松本 優哉</t>
  </si>
  <si>
    <r>
      <rPr>
        <sz val="10"/>
        <color rgb="FF000000"/>
        <rFont val="WenQuanYi Zen Hei"/>
        <family val="2"/>
      </rPr>
      <t xml:space="preserve">西京高校</t>
    </r>
    <r>
      <rPr>
        <sz val="10"/>
        <color rgb="FF000000"/>
        <rFont val="HGPｺﾞｼｯｸM"/>
        <family val="0"/>
        <charset val="1"/>
      </rPr>
      <t xml:space="preserve">B</t>
    </r>
  </si>
  <si>
    <t xml:space="preserve">今西 爽介</t>
  </si>
  <si>
    <r>
      <rPr>
        <sz val="10"/>
        <color rgb="FF000000"/>
        <rFont val="WenQuanYi Zen Hei"/>
        <family val="2"/>
      </rPr>
      <t xml:space="preserve">小林高校</t>
    </r>
    <r>
      <rPr>
        <sz val="10"/>
        <color rgb="FF000000"/>
        <rFont val="HGPｺﾞｼｯｸM"/>
        <family val="0"/>
        <charset val="1"/>
      </rPr>
      <t xml:space="preserve">C</t>
    </r>
  </si>
  <si>
    <t xml:space="preserve">森山 心翔</t>
  </si>
  <si>
    <r>
      <rPr>
        <sz val="10"/>
        <color rgb="FF000000"/>
        <rFont val="WenQuanYi Zen Hei"/>
        <family val="2"/>
      </rPr>
      <t xml:space="preserve">鳥栖工業高校</t>
    </r>
    <r>
      <rPr>
        <sz val="10"/>
        <color rgb="FF000000"/>
        <rFont val="HGPｺﾞｼｯｸM"/>
        <family val="0"/>
        <charset val="1"/>
      </rPr>
      <t xml:space="preserve">C</t>
    </r>
  </si>
  <si>
    <t xml:space="preserve">山口 翔馬</t>
  </si>
  <si>
    <r>
      <rPr>
        <sz val="10"/>
        <color rgb="FF000000"/>
        <rFont val="WenQuanYi Zen Hei"/>
        <family val="2"/>
      </rPr>
      <t xml:space="preserve">鳥取城北高校</t>
    </r>
    <r>
      <rPr>
        <sz val="10"/>
        <color rgb="FF000000"/>
        <rFont val="HGPｺﾞｼｯｸM"/>
        <family val="0"/>
        <charset val="1"/>
      </rPr>
      <t xml:space="preserve">B</t>
    </r>
  </si>
  <si>
    <t xml:space="preserve">成田 光輝</t>
  </si>
  <si>
    <r>
      <rPr>
        <sz val="10"/>
        <color rgb="FF000000"/>
        <rFont val="WenQuanYi Zen Hei"/>
        <family val="2"/>
      </rPr>
      <t xml:space="preserve">鹿児島高校</t>
    </r>
    <r>
      <rPr>
        <sz val="10"/>
        <color rgb="FF000000"/>
        <rFont val="HGPｺﾞｼｯｸM"/>
        <family val="0"/>
        <charset val="1"/>
      </rPr>
      <t xml:space="preserve">A</t>
    </r>
  </si>
  <si>
    <t xml:space="preserve">中島 宝良</t>
  </si>
  <si>
    <r>
      <rPr>
        <sz val="10"/>
        <color rgb="FF000000"/>
        <rFont val="WenQuanYi Zen Hei"/>
        <family val="2"/>
      </rPr>
      <t xml:space="preserve">鎮西学院高校</t>
    </r>
    <r>
      <rPr>
        <sz val="10"/>
        <color rgb="FF000000"/>
        <rFont val="HGPｺﾞｼｯｸM"/>
        <family val="0"/>
        <charset val="1"/>
      </rPr>
      <t xml:space="preserve">B</t>
    </r>
  </si>
  <si>
    <t xml:space="preserve">甲斐 蒼心朗</t>
  </si>
  <si>
    <t xml:space="preserve">小林・延岡工業高校合同</t>
  </si>
  <si>
    <t xml:space="preserve">森 悠豪</t>
  </si>
  <si>
    <r>
      <rPr>
        <sz val="10"/>
        <color rgb="FF000000"/>
        <rFont val="WenQuanYi Zen Hei"/>
        <family val="2"/>
      </rPr>
      <t xml:space="preserve">希望が丘高校</t>
    </r>
    <r>
      <rPr>
        <sz val="10"/>
        <color rgb="FF000000"/>
        <rFont val="HGPｺﾞｼｯｸM"/>
        <family val="0"/>
        <charset val="1"/>
      </rPr>
      <t xml:space="preserve">B</t>
    </r>
  </si>
  <si>
    <t xml:space="preserve">石川 琉斐</t>
  </si>
  <si>
    <r>
      <rPr>
        <sz val="10"/>
        <color rgb="FF000000"/>
        <rFont val="WenQuanYi Zen Hei"/>
        <family val="2"/>
      </rPr>
      <t xml:space="preserve">鹿児島城西高校</t>
    </r>
    <r>
      <rPr>
        <sz val="10"/>
        <color rgb="FF000000"/>
        <rFont val="HGPｺﾞｼｯｸM"/>
        <family val="0"/>
        <charset val="1"/>
      </rPr>
      <t xml:space="preserve">C</t>
    </r>
  </si>
  <si>
    <t xml:space="preserve">宮﨑 康太</t>
  </si>
  <si>
    <t xml:space="preserve">尚志館高校</t>
  </si>
  <si>
    <t xml:space="preserve">荒木 琉偉</t>
  </si>
  <si>
    <r>
      <rPr>
        <sz val="10"/>
        <color rgb="FF000000"/>
        <rFont val="WenQuanYi Zen Hei"/>
        <family val="2"/>
      </rPr>
      <t xml:space="preserve">小林高校</t>
    </r>
    <r>
      <rPr>
        <sz val="10"/>
        <color rgb="FF000000"/>
        <rFont val="HGPｺﾞｼｯｸM"/>
        <family val="0"/>
        <charset val="1"/>
      </rPr>
      <t xml:space="preserve">A</t>
    </r>
  </si>
  <si>
    <t xml:space="preserve">ﾎﾟｰﾙ ﾝｼﾞｮﾛｹﾞ</t>
  </si>
  <si>
    <t xml:space="preserve">東海大福岡高校</t>
  </si>
  <si>
    <t xml:space="preserve">田代 常太郎</t>
  </si>
  <si>
    <r>
      <rPr>
        <sz val="10"/>
        <color rgb="FF000000"/>
        <rFont val="WenQuanYi Zen Hei"/>
        <family val="2"/>
      </rPr>
      <t xml:space="preserve">鳥栖工業高校</t>
    </r>
    <r>
      <rPr>
        <sz val="10"/>
        <color rgb="FF000000"/>
        <rFont val="HGPｺﾞｼｯｸM"/>
        <family val="0"/>
        <charset val="1"/>
      </rPr>
      <t xml:space="preserve">B</t>
    </r>
  </si>
  <si>
    <t xml:space="preserve">髙田 大翔</t>
  </si>
  <si>
    <r>
      <rPr>
        <sz val="10"/>
        <color rgb="FF000000"/>
        <rFont val="WenQuanYi Zen Hei"/>
        <family val="2"/>
      </rPr>
      <t xml:space="preserve">鹿児島城西高校</t>
    </r>
    <r>
      <rPr>
        <sz val="10"/>
        <color rgb="FF000000"/>
        <rFont val="HGPｺﾞｼｯｸM"/>
        <family val="0"/>
        <charset val="1"/>
      </rPr>
      <t xml:space="preserve">A</t>
    </r>
  </si>
  <si>
    <t xml:space="preserve">ｻｲﾓﾝ ﾑｯｿｰﾆ</t>
  </si>
  <si>
    <t xml:space="preserve">佐藤 聡太郎</t>
  </si>
  <si>
    <t xml:space="preserve">九州学院高校</t>
  </si>
  <si>
    <t xml:space="preserve">古子 璃陽翔</t>
  </si>
  <si>
    <r>
      <rPr>
        <sz val="10"/>
        <color rgb="FF000000"/>
        <rFont val="WenQuanYi Zen Hei"/>
        <family val="2"/>
      </rPr>
      <t xml:space="preserve">鎮西学院高校</t>
    </r>
    <r>
      <rPr>
        <sz val="10"/>
        <color rgb="FF000000"/>
        <rFont val="HGPｺﾞｼｯｸM"/>
        <family val="0"/>
        <charset val="1"/>
      </rPr>
      <t xml:space="preserve">C</t>
    </r>
  </si>
  <si>
    <t xml:space="preserve">原田 隼</t>
  </si>
  <si>
    <t xml:space="preserve">自由ケ丘高校</t>
  </si>
  <si>
    <t xml:space="preserve">山中 唯颯</t>
  </si>
  <si>
    <t xml:space="preserve">帖佐 宏哉</t>
  </si>
  <si>
    <r>
      <rPr>
        <sz val="10"/>
        <color rgb="FF000000"/>
        <rFont val="WenQuanYi Zen Hei"/>
        <family val="2"/>
      </rPr>
      <t xml:space="preserve">鹿児島工業高校</t>
    </r>
    <r>
      <rPr>
        <sz val="10"/>
        <color rgb="FF000000"/>
        <rFont val="HGPｺﾞｼｯｸM"/>
        <family val="0"/>
        <charset val="1"/>
      </rPr>
      <t xml:space="preserve">A</t>
    </r>
  </si>
  <si>
    <t xml:space="preserve">塚本 悠己</t>
  </si>
  <si>
    <r>
      <rPr>
        <sz val="10"/>
        <color rgb="FF000000"/>
        <rFont val="WenQuanYi Zen Hei"/>
        <family val="2"/>
      </rPr>
      <t xml:space="preserve">希望が丘高校</t>
    </r>
    <r>
      <rPr>
        <sz val="10"/>
        <color rgb="FF000000"/>
        <rFont val="HGPｺﾞｼｯｸM"/>
        <family val="0"/>
        <charset val="1"/>
      </rPr>
      <t xml:space="preserve">A</t>
    </r>
  </si>
  <si>
    <t xml:space="preserve">山口 陽也</t>
  </si>
  <si>
    <t xml:space="preserve">球磨工業高校</t>
  </si>
  <si>
    <t xml:space="preserve">湯田 幸明</t>
  </si>
  <si>
    <r>
      <rPr>
        <sz val="10"/>
        <color rgb="FF000000"/>
        <rFont val="WenQuanYi Zen Hei"/>
        <family val="2"/>
      </rPr>
      <t xml:space="preserve">鹿児島実業高校</t>
    </r>
    <r>
      <rPr>
        <sz val="10"/>
        <color rgb="FF000000"/>
        <rFont val="HGPｺﾞｼｯｸM"/>
        <family val="0"/>
        <charset val="1"/>
      </rPr>
      <t xml:space="preserve">B</t>
    </r>
  </si>
  <si>
    <t xml:space="preserve">青木 水南</t>
  </si>
  <si>
    <t xml:space="preserve">田村 夷久磨</t>
  </si>
  <si>
    <t xml:space="preserve">河村 翔琉</t>
  </si>
  <si>
    <t xml:space="preserve">並松 和心</t>
  </si>
  <si>
    <t xml:space="preserve">鹿児島商業高校</t>
  </si>
  <si>
    <t xml:space="preserve">藤野 汰一</t>
  </si>
  <si>
    <t xml:space="preserve">藤蔭高校</t>
  </si>
  <si>
    <t xml:space="preserve">隈元 隆太</t>
  </si>
  <si>
    <t xml:space="preserve">竹田 櫂司</t>
  </si>
  <si>
    <t xml:space="preserve">渡邉 志</t>
  </si>
  <si>
    <t xml:space="preserve">西中川 和馬</t>
  </si>
  <si>
    <t xml:space="preserve">髙松 龍星</t>
  </si>
  <si>
    <r>
      <rPr>
        <sz val="10"/>
        <color rgb="FF000000"/>
        <rFont val="WenQuanYi Zen Hei"/>
        <family val="2"/>
      </rPr>
      <t xml:space="preserve">小林高校</t>
    </r>
    <r>
      <rPr>
        <sz val="10"/>
        <color rgb="FF000000"/>
        <rFont val="HGPｺﾞｼｯｸM"/>
        <family val="0"/>
        <charset val="1"/>
      </rPr>
      <t xml:space="preserve">B</t>
    </r>
  </si>
  <si>
    <t xml:space="preserve">吉原 貫太</t>
  </si>
  <si>
    <r>
      <rPr>
        <sz val="10"/>
        <color rgb="FF000000"/>
        <rFont val="WenQuanYi Zen Hei"/>
        <family val="2"/>
      </rPr>
      <t xml:space="preserve">西京高校</t>
    </r>
    <r>
      <rPr>
        <sz val="10"/>
        <color rgb="FF000000"/>
        <rFont val="HGPｺﾞｼｯｸM"/>
        <family val="0"/>
        <charset val="1"/>
      </rPr>
      <t xml:space="preserve">A</t>
    </r>
  </si>
  <si>
    <t xml:space="preserve">小野原 奏</t>
  </si>
  <si>
    <t xml:space="preserve">中島 篤志</t>
  </si>
  <si>
    <t xml:space="preserve">河村 拓真</t>
  </si>
  <si>
    <t xml:space="preserve">大塚 晴翔</t>
  </si>
  <si>
    <t xml:space="preserve">天草工業高校</t>
  </si>
  <si>
    <t xml:space="preserve">要田 芽</t>
  </si>
  <si>
    <r>
      <rPr>
        <sz val="10"/>
        <color rgb="FF000000"/>
        <rFont val="WenQuanYi Zen Hei"/>
        <family val="2"/>
      </rPr>
      <t xml:space="preserve">鹿児島城西高校</t>
    </r>
    <r>
      <rPr>
        <sz val="10"/>
        <color rgb="FF000000"/>
        <rFont val="HGPｺﾞｼｯｸM"/>
        <family val="0"/>
        <charset val="1"/>
      </rPr>
      <t xml:space="preserve">B</t>
    </r>
  </si>
  <si>
    <t xml:space="preserve">南 遼貴</t>
  </si>
  <si>
    <r>
      <rPr>
        <sz val="10"/>
        <color rgb="FF000000"/>
        <rFont val="WenQuanYi Zen Hei"/>
        <family val="2"/>
      </rPr>
      <t xml:space="preserve">飯塚高校</t>
    </r>
    <r>
      <rPr>
        <sz val="10"/>
        <color rgb="FF000000"/>
        <rFont val="HGPｺﾞｼｯｸM"/>
        <family val="0"/>
        <charset val="1"/>
      </rPr>
      <t xml:space="preserve">A</t>
    </r>
  </si>
  <si>
    <t xml:space="preserve">野田 匡人</t>
  </si>
  <si>
    <t xml:space="preserve">岩佐 拓斗</t>
  </si>
  <si>
    <r>
      <rPr>
        <sz val="10"/>
        <color rgb="FF000000"/>
        <rFont val="WenQuanYi Zen Hei"/>
        <family val="2"/>
      </rPr>
      <t xml:space="preserve">開新高校</t>
    </r>
    <r>
      <rPr>
        <sz val="10"/>
        <color rgb="FF000000"/>
        <rFont val="HGPｺﾞｼｯｸM"/>
        <family val="0"/>
        <charset val="1"/>
      </rPr>
      <t xml:space="preserve">B</t>
    </r>
  </si>
  <si>
    <t xml:space="preserve">茶畑 空</t>
  </si>
  <si>
    <r>
      <rPr>
        <sz val="10"/>
        <color rgb="FF000000"/>
        <rFont val="WenQuanYi Zen Hei"/>
        <family val="2"/>
      </rPr>
      <t xml:space="preserve">鹿児島高校</t>
    </r>
    <r>
      <rPr>
        <sz val="10"/>
        <color rgb="FF000000"/>
        <rFont val="HGPｺﾞｼｯｸM"/>
        <family val="0"/>
        <charset val="1"/>
      </rPr>
      <t xml:space="preserve">B</t>
    </r>
  </si>
  <si>
    <t xml:space="preserve">牧川 和真</t>
  </si>
  <si>
    <t xml:space="preserve">八代東高校</t>
  </si>
  <si>
    <t xml:space="preserve">田中 明斗</t>
  </si>
  <si>
    <r>
      <rPr>
        <sz val="10"/>
        <color rgb="FF000000"/>
        <rFont val="WenQuanYi Zen Hei"/>
        <family val="2"/>
      </rPr>
      <t xml:space="preserve">純真高校</t>
    </r>
    <r>
      <rPr>
        <sz val="10"/>
        <color rgb="FF000000"/>
        <rFont val="HGPｺﾞｼｯｸM"/>
        <family val="0"/>
        <charset val="1"/>
      </rPr>
      <t xml:space="preserve">B</t>
    </r>
  </si>
  <si>
    <t xml:space="preserve">田代 悠翔</t>
  </si>
  <si>
    <t xml:space="preserve">藤野 健太</t>
  </si>
  <si>
    <t xml:space="preserve">村上 慎一</t>
  </si>
  <si>
    <t xml:space="preserve">津々木 俊翔</t>
  </si>
  <si>
    <t xml:space="preserve">新坂上 爽</t>
  </si>
  <si>
    <t xml:space="preserve">山元 俊</t>
  </si>
  <si>
    <t xml:space="preserve">三浦 知都</t>
  </si>
  <si>
    <t xml:space="preserve">藤井 洵太</t>
  </si>
  <si>
    <t xml:space="preserve">服部 凉大</t>
  </si>
  <si>
    <t xml:space="preserve">岩本 幸志郎</t>
  </si>
  <si>
    <r>
      <rPr>
        <sz val="10"/>
        <color rgb="FF000000"/>
        <rFont val="WenQuanYi Zen Hei"/>
        <family val="2"/>
      </rPr>
      <t xml:space="preserve">九州文化学園高校</t>
    </r>
    <r>
      <rPr>
        <sz val="10"/>
        <color rgb="FF000000"/>
        <rFont val="HGPｺﾞｼｯｸM"/>
        <family val="0"/>
        <charset val="1"/>
      </rPr>
      <t xml:space="preserve">A</t>
    </r>
  </si>
  <si>
    <t xml:space="preserve">ﾊﾟｳﾃﾞﾙ ｾﾄﾘｳﾏﾝｶﾞ</t>
  </si>
  <si>
    <r>
      <rPr>
        <sz val="10"/>
        <color rgb="FF000000"/>
        <rFont val="WenQuanYi Zen Hei"/>
        <family val="2"/>
      </rPr>
      <t xml:space="preserve">瓊浦高校</t>
    </r>
    <r>
      <rPr>
        <sz val="10"/>
        <color rgb="FF000000"/>
        <rFont val="HGPｺﾞｼｯｸM"/>
        <family val="0"/>
        <charset val="1"/>
      </rPr>
      <t xml:space="preserve">B</t>
    </r>
  </si>
  <si>
    <t xml:space="preserve">片平 佳希</t>
  </si>
  <si>
    <t xml:space="preserve">泊 博聖</t>
  </si>
  <si>
    <t xml:space="preserve">渡邉 悠真</t>
  </si>
  <si>
    <t xml:space="preserve">新井 亮太</t>
  </si>
  <si>
    <r>
      <rPr>
        <sz val="10"/>
        <color rgb="FF000000"/>
        <rFont val="WenQuanYi Zen Hei"/>
        <family val="2"/>
      </rPr>
      <t xml:space="preserve">瓊浦高校</t>
    </r>
    <r>
      <rPr>
        <sz val="10"/>
        <color rgb="FF000000"/>
        <rFont val="HGPｺﾞｼｯｸM"/>
        <family val="0"/>
        <charset val="1"/>
      </rPr>
      <t xml:space="preserve">A</t>
    </r>
  </si>
  <si>
    <t xml:space="preserve">濵島 夏絆</t>
  </si>
  <si>
    <t xml:space="preserve">吉原 優</t>
  </si>
  <si>
    <t xml:space="preserve">上妻 悠哉</t>
  </si>
  <si>
    <t xml:space="preserve">熊本国府高校</t>
  </si>
  <si>
    <t xml:space="preserve">岩田 健志</t>
  </si>
  <si>
    <t xml:space="preserve">小柳津 翔太</t>
  </si>
  <si>
    <t xml:space="preserve">深澤 暖斗</t>
  </si>
  <si>
    <t xml:space="preserve">東京農業大学第二高校</t>
  </si>
  <si>
    <t xml:space="preserve">山川 瑛輔</t>
  </si>
  <si>
    <t xml:space="preserve">浦田 稜誠</t>
  </si>
  <si>
    <t xml:space="preserve">早田 悠希</t>
  </si>
  <si>
    <t xml:space="preserve">重藤 浩太</t>
  </si>
  <si>
    <t xml:space="preserve">福﨑 子竜</t>
  </si>
  <si>
    <t xml:space="preserve">大村 陽斗</t>
  </si>
  <si>
    <t xml:space="preserve">横山 真生</t>
  </si>
  <si>
    <t xml:space="preserve">吉岡 陸翔</t>
  </si>
  <si>
    <r>
      <rPr>
        <sz val="10"/>
        <color rgb="FF000000"/>
        <rFont val="WenQuanYi Zen Hei"/>
        <family val="2"/>
      </rPr>
      <t xml:space="preserve">九州文化学園高校</t>
    </r>
    <r>
      <rPr>
        <sz val="10"/>
        <color rgb="FF000000"/>
        <rFont val="HGPｺﾞｼｯｸM"/>
        <family val="0"/>
        <charset val="1"/>
      </rPr>
      <t xml:space="preserve">B</t>
    </r>
  </si>
  <si>
    <t xml:space="preserve">小林 悠人</t>
  </si>
  <si>
    <t xml:space="preserve">藤田 翔蒼</t>
  </si>
  <si>
    <t xml:space="preserve">江口 優</t>
  </si>
  <si>
    <r>
      <rPr>
        <sz val="10"/>
        <color rgb="FF000000"/>
        <rFont val="WenQuanYi Zen Hei"/>
        <family val="2"/>
      </rPr>
      <t xml:space="preserve">鎮西学院高校</t>
    </r>
    <r>
      <rPr>
        <sz val="10"/>
        <color rgb="FF000000"/>
        <rFont val="HGPｺﾞｼｯｸM"/>
        <family val="0"/>
        <charset val="1"/>
      </rPr>
      <t xml:space="preserve">A</t>
    </r>
  </si>
  <si>
    <t xml:space="preserve">川下 日翔</t>
  </si>
  <si>
    <r>
      <rPr>
        <sz val="10"/>
        <color rgb="FF000000"/>
        <rFont val="WenQuanYi Zen Hei"/>
        <family val="2"/>
      </rPr>
      <t xml:space="preserve">鹿児島実業高校</t>
    </r>
    <r>
      <rPr>
        <sz val="10"/>
        <color rgb="FF000000"/>
        <rFont val="HGPｺﾞｼｯｸM"/>
        <family val="0"/>
        <charset val="1"/>
      </rPr>
      <t xml:space="preserve">A</t>
    </r>
  </si>
  <si>
    <t xml:space="preserve">良永 一馬</t>
  </si>
  <si>
    <t xml:space="preserve">永田 敦士</t>
  </si>
  <si>
    <t xml:space="preserve">内山 翔羽</t>
  </si>
  <si>
    <t xml:space="preserve">林田 雅斗</t>
  </si>
  <si>
    <t xml:space="preserve">下田 悠太</t>
  </si>
  <si>
    <t xml:space="preserve">西田 泰斗</t>
  </si>
  <si>
    <t xml:space="preserve">柴山 英士</t>
  </si>
  <si>
    <t xml:space="preserve">山村 絆斗</t>
  </si>
  <si>
    <t xml:space="preserve">福留 晴</t>
  </si>
  <si>
    <t xml:space="preserve">深水 凰雅</t>
  </si>
  <si>
    <t xml:space="preserve">野口 琉太</t>
  </si>
  <si>
    <t xml:space="preserve">杉山 力斗</t>
  </si>
  <si>
    <t xml:space="preserve">木村 太郎</t>
  </si>
  <si>
    <t xml:space="preserve">池上 颯</t>
  </si>
  <si>
    <t xml:space="preserve">米満 楓馬</t>
  </si>
  <si>
    <t xml:space="preserve">西井 健真</t>
  </si>
  <si>
    <t xml:space="preserve">井上 悠夢</t>
  </si>
  <si>
    <t xml:space="preserve">若松 悠馬</t>
  </si>
  <si>
    <t xml:space="preserve">甲斐 偉知</t>
  </si>
  <si>
    <t xml:space="preserve">千原台高校</t>
  </si>
  <si>
    <t xml:space="preserve">岸本 羽琉</t>
  </si>
  <si>
    <t xml:space="preserve">古田 旬</t>
  </si>
  <si>
    <t xml:space="preserve">庄野 遥人</t>
  </si>
  <si>
    <r>
      <rPr>
        <sz val="10"/>
        <color rgb="FF000000"/>
        <rFont val="WenQuanYi Zen Hei"/>
        <family val="2"/>
      </rPr>
      <t xml:space="preserve">純真高校</t>
    </r>
    <r>
      <rPr>
        <sz val="10"/>
        <color rgb="FF000000"/>
        <rFont val="HGPｺﾞｼｯｸM"/>
        <family val="0"/>
        <charset val="1"/>
      </rPr>
      <t xml:space="preserve">A</t>
    </r>
  </si>
  <si>
    <t xml:space="preserve">横尾 俊介</t>
  </si>
  <si>
    <t xml:space="preserve">津村 輝真</t>
  </si>
  <si>
    <t xml:space="preserve">村島 幸太郎</t>
  </si>
  <si>
    <t xml:space="preserve">森下 大空</t>
  </si>
  <si>
    <t xml:space="preserve">野口 悠稀</t>
  </si>
  <si>
    <t xml:space="preserve">清次 怜桜</t>
  </si>
  <si>
    <r>
      <rPr>
        <b val="true"/>
        <sz val="14"/>
        <color rgb="FF000000"/>
        <rFont val="HGPｺﾞｼｯｸM"/>
        <family val="0"/>
        <charset val="1"/>
      </rPr>
      <t xml:space="preserve">3000mSC </t>
    </r>
    <r>
      <rPr>
        <b val="true"/>
        <sz val="14"/>
        <color rgb="FF000000"/>
        <rFont val="WenQuanYi Zen Hei"/>
        <family val="2"/>
      </rPr>
      <t xml:space="preserve">ランキング（陸マガ掲載順）</t>
    </r>
  </si>
  <si>
    <r>
      <rPr>
        <sz val="9"/>
        <color rgb="FF000000"/>
        <rFont val="WenQuanYi Zen Hei"/>
        <family val="2"/>
      </rPr>
      <t xml:space="preserve">記録・順位は元データのまま（同一人物の二重掲載は上位の記録のみ残したため、その順位は欠番）。</t>
    </r>
    <r>
      <rPr>
        <sz val="9"/>
        <color rgb="FF000000"/>
        <rFont val="HGPｺﾞｼｯｸM"/>
        <family val="0"/>
        <charset val="1"/>
      </rPr>
      <t xml:space="preserve">5000m</t>
    </r>
    <r>
      <rPr>
        <sz val="9"/>
        <color rgb="FF000000"/>
        <rFont val="WenQuanYi Zen Hei"/>
        <family val="2"/>
      </rPr>
      <t xml:space="preserve">・</t>
    </r>
    <r>
      <rPr>
        <sz val="9"/>
        <color rgb="FF000000"/>
        <rFont val="HGPｺﾞｼｯｸM"/>
        <family val="0"/>
        <charset val="1"/>
      </rPr>
      <t xml:space="preserve">1500m</t>
    </r>
    <r>
      <rPr>
        <sz val="9"/>
        <color rgb="FF000000"/>
        <rFont val="WenQuanYi Zen Hei"/>
        <family val="2"/>
      </rPr>
      <t xml:space="preserve">は「選手一覧」から数式で参照（同一人物と判定できた場合のみ）。</t>
    </r>
  </si>
  <si>
    <t xml:space="preserve">順位</t>
  </si>
  <si>
    <t xml:space="preserve">記録</t>
  </si>
  <si>
    <r>
      <rPr>
        <b val="true"/>
        <sz val="10"/>
        <color rgb="FF000000"/>
        <rFont val="WenQuanYi Zen Hei"/>
        <family val="2"/>
      </rPr>
      <t xml:space="preserve">トップ差
</t>
    </r>
    <r>
      <rPr>
        <b val="true"/>
        <sz val="10"/>
        <color rgb="FF000000"/>
        <rFont val="HGPｺﾞｼｯｸM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秒</t>
    </r>
    <r>
      <rPr>
        <b val="true"/>
        <sz val="10"/>
        <color rgb="FF000000"/>
        <rFont val="HGPｺﾞｼｯｸM"/>
        <family val="0"/>
        <charset val="1"/>
      </rPr>
      <t xml:space="preserve">)</t>
    </r>
  </si>
  <si>
    <r>
      <rPr>
        <b val="true"/>
        <sz val="10"/>
        <color rgb="FF000000"/>
        <rFont val="HGPｺﾞｼｯｸM"/>
        <family val="0"/>
        <charset val="1"/>
      </rPr>
      <t xml:space="preserve">5000m
</t>
    </r>
    <r>
      <rPr>
        <b val="true"/>
        <sz val="10"/>
        <color rgb="FF000000"/>
        <rFont val="WenQuanYi Zen Hei"/>
        <family val="2"/>
      </rPr>
      <t xml:space="preserve">記録</t>
    </r>
  </si>
  <si>
    <r>
      <rPr>
        <b val="true"/>
        <sz val="10"/>
        <color rgb="FF000000"/>
        <rFont val="HGPｺﾞｼｯｸM"/>
        <family val="0"/>
        <charset val="1"/>
      </rPr>
      <t xml:space="preserve">5000m
</t>
    </r>
    <r>
      <rPr>
        <b val="true"/>
        <sz val="10"/>
        <color rgb="FF000000"/>
        <rFont val="WenQuanYi Zen Hei"/>
        <family val="2"/>
      </rPr>
      <t xml:space="preserve">順位</t>
    </r>
  </si>
  <si>
    <t xml:space="preserve">智弁学園奈良カレッジ</t>
  </si>
  <si>
    <t xml:space="preserve">阿南高専</t>
  </si>
  <si>
    <t xml:space="preserve">新宿高</t>
  </si>
  <si>
    <r>
      <rPr>
        <b val="true"/>
        <sz val="14"/>
        <color rgb="FF000000"/>
        <rFont val="HGPｺﾞｼｯｸM"/>
        <family val="0"/>
        <charset val="1"/>
      </rPr>
      <t xml:space="preserve">1500m </t>
    </r>
    <r>
      <rPr>
        <b val="true"/>
        <sz val="14"/>
        <color rgb="FF000000"/>
        <rFont val="WenQuanYi Zen Hei"/>
        <family val="2"/>
      </rPr>
      <t xml:space="preserve">ランキング（陸マガ掲載順）</t>
    </r>
  </si>
  <si>
    <r>
      <rPr>
        <sz val="9"/>
        <color rgb="FF000000"/>
        <rFont val="WenQuanYi Zen Hei"/>
        <family val="2"/>
      </rPr>
      <t xml:space="preserve">記録・順位は元データのまま（同一人物の二重掲載は上位の記録のみ残したため、その順位は欠番）。</t>
    </r>
    <r>
      <rPr>
        <sz val="9"/>
        <color rgb="FF000000"/>
        <rFont val="HGPｺﾞｼｯｸM"/>
        <family val="0"/>
        <charset val="1"/>
      </rPr>
      <t xml:space="preserve">5000m</t>
    </r>
    <r>
      <rPr>
        <sz val="9"/>
        <color rgb="FF000000"/>
        <rFont val="WenQuanYi Zen Hei"/>
        <family val="2"/>
      </rPr>
      <t xml:space="preserve">・</t>
    </r>
    <r>
      <rPr>
        <sz val="9"/>
        <color rgb="FF000000"/>
        <rFont val="HGPｺﾞｼｯｸM"/>
        <family val="0"/>
        <charset val="1"/>
      </rPr>
      <t xml:space="preserve">3000mSC</t>
    </r>
    <r>
      <rPr>
        <sz val="9"/>
        <color rgb="FF000000"/>
        <rFont val="WenQuanYi Zen Hei"/>
        <family val="2"/>
      </rPr>
      <t xml:space="preserve">は「選手一覧」から数式で参照（同一人物と判定できた場合のみ）。</t>
    </r>
  </si>
  <si>
    <t xml:space="preserve">川口市陸協</t>
  </si>
  <si>
    <t xml:space="preserve">ＰＡＲＥＩＹＯ　ＡＮＴＯＮＹＩＴＡ</t>
  </si>
  <si>
    <t xml:space="preserve">岡崎北</t>
  </si>
  <si>
    <t xml:space="preserve">神戸大附中等</t>
  </si>
  <si>
    <t xml:space="preserve">宇短附高</t>
  </si>
  <si>
    <t xml:space="preserve">和田征太郎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</si>
</sst>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m]:ss.00"/>
    <numFmt numFmtId="166" formatCode="0"/>
    <numFmt numFmtId="167" formatCode="0\区"/>
    <numFmt numFmtId="168" formatCode="0.0###"/>
    <numFmt numFmtId="169" formatCode="[m]:ss"/>
    <numFmt numFmtId="170" formatCode="\+0.00;\-0.00;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HGPｺﾞｼｯｸM"/>
      <family val="0"/>
      <charset val="1"/>
    </font>
    <font>
      <b val="true"/>
      <sz val="14"/>
      <color rgb="FF000000"/>
      <name val="WenQuanYi Zen Hei"/>
      <family val="2"/>
    </font>
    <font>
      <sz val="9"/>
      <color rgb="FF000000"/>
      <name val="WenQuanYi Zen Hei"/>
      <family val="2"/>
    </font>
    <font>
      <sz val="9"/>
      <color rgb="FF000000"/>
      <name val="HGPｺﾞｼｯｸM"/>
      <family val="0"/>
      <charset val="1"/>
    </font>
    <font>
      <b val="true"/>
      <sz val="10"/>
      <color rgb="FF000000"/>
      <name val="HGPｺﾞｼｯｸM"/>
      <family val="0"/>
      <charset val="1"/>
    </font>
    <font>
      <b val="true"/>
      <sz val="10"/>
      <color rgb="FF000000"/>
      <name val="WenQuanYi Zen Hei"/>
      <family val="2"/>
    </font>
    <font>
      <b val="true"/>
      <sz val="10"/>
      <color rgb="FFFFFFFF"/>
      <name val="HGPｺﾞｼｯｸM"/>
      <family val="0"/>
      <charset val="1"/>
    </font>
    <font>
      <b val="true"/>
      <sz val="10"/>
      <color rgb="FFFFFFFF"/>
      <name val="WenQuanYi Zen Hei"/>
      <family val="2"/>
    </font>
    <font>
      <sz val="10"/>
      <color rgb="FF000000"/>
      <name val="HGPｺﾞｼｯｸM"/>
      <family val="0"/>
      <charset val="1"/>
    </font>
    <font>
      <sz val="10"/>
      <color rgb="FF000000"/>
      <name val="WenQuanYi Zen Hei"/>
      <family val="2"/>
    </font>
  </fonts>
  <fills count="7">
    <fill>
      <patternFill patternType="none"/>
    </fill>
    <fill>
      <patternFill patternType="gray125"/>
    </fill>
    <fill>
      <patternFill patternType="solid">
        <fgColor rgb="FFA9D08E"/>
        <bgColor rgb="FFBFBFBF"/>
      </patternFill>
    </fill>
    <fill>
      <patternFill patternType="solid">
        <fgColor rgb="FF548235"/>
        <bgColor rgb="FF339966"/>
      </patternFill>
    </fill>
    <fill>
      <patternFill patternType="solid">
        <fgColor rgb="FFFFFF99"/>
        <bgColor rgb="FFE2EFDA"/>
      </patternFill>
    </fill>
    <fill>
      <patternFill patternType="solid">
        <fgColor rgb="FFFFC000"/>
        <bgColor rgb="FFFF9900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A9D08E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F99"/>
          <bgColor rgb="FF000000"/>
        </patternFill>
      </fill>
    </dxf>
    <dxf>
      <fill>
        <patternFill>
          <bgColor rgb="FF63BE7B"/>
        </patternFill>
      </fill>
    </dxf>
    <dxf>
      <fill>
        <patternFill>
          <bgColor rgb="FFA9D08E"/>
        </patternFill>
      </fill>
    </dxf>
    <dxf>
      <fill>
        <patternFill>
          <bgColor rgb="FFE2EFDA"/>
        </patternFill>
      </fill>
    </dxf>
    <dxf>
      <fill>
        <patternFill patternType="solid">
          <fgColor rgb="FFF2F2F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A9D08E"/>
      <rgbColor rgb="FFFF99CC"/>
      <rgbColor rgb="FFCC99FF"/>
      <rgbColor rgb="FFFFCC99"/>
      <rgbColor rgb="FF3366FF"/>
      <rgbColor rgb="FF63BE7B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3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8"/>
    <col collapsed="false" customWidth="true" hidden="false" outlineLevel="0" max="11" min="10" style="0" width="18"/>
    <col collapsed="false" customWidth="true" hidden="false" outlineLevel="0" max="12" min="12" style="0" width="40"/>
    <col collapsed="false" customWidth="true" hidden="false" outlineLevel="0" max="13" min="13" style="0" width="30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3.75" hidden="false" customHeight="true" outlineLevel="0" collapsed="false">
      <c r="A4" s="3" t="s">
        <v>2</v>
      </c>
      <c r="B4" s="4" t="s">
        <v>3</v>
      </c>
      <c r="C4" s="4" t="s">
        <v>4</v>
      </c>
      <c r="D4" s="5" t="s">
        <v>5</v>
      </c>
      <c r="E4" s="5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4" t="s">
        <v>11</v>
      </c>
      <c r="K4" s="4" t="s">
        <v>12</v>
      </c>
      <c r="L4" s="4" t="s">
        <v>13</v>
      </c>
      <c r="M4" s="4" t="s">
        <v>14</v>
      </c>
    </row>
    <row r="5" customFormat="false" ht="15" hidden="false" customHeight="false" outlineLevel="0" collapsed="false">
      <c r="A5" s="6" t="n">
        <v>1</v>
      </c>
      <c r="B5" s="7" t="s">
        <v>15</v>
      </c>
      <c r="C5" s="8" t="s">
        <v>16</v>
      </c>
      <c r="D5" s="9" t="n">
        <v>0.00914050925925926</v>
      </c>
      <c r="E5" s="10" t="n">
        <v>1</v>
      </c>
      <c r="F5" s="11"/>
      <c r="G5" s="12"/>
      <c r="H5" s="11" t="n">
        <v>0.00264097222222222</v>
      </c>
      <c r="I5" s="12" t="n">
        <v>3</v>
      </c>
      <c r="J5" s="8"/>
      <c r="K5" s="8"/>
      <c r="L5" s="8"/>
      <c r="M5" s="13"/>
    </row>
    <row r="6" customFormat="false" ht="15" hidden="false" customHeight="false" outlineLevel="0" collapsed="false">
      <c r="A6" s="6" t="n">
        <v>2</v>
      </c>
      <c r="B6" s="7" t="s">
        <v>17</v>
      </c>
      <c r="C6" s="8" t="s">
        <v>18</v>
      </c>
      <c r="D6" s="9" t="n">
        <v>0.00964340277777778</v>
      </c>
      <c r="E6" s="10" t="n">
        <v>2</v>
      </c>
      <c r="F6" s="11" t="n">
        <v>0.00642048611111111</v>
      </c>
      <c r="G6" s="12" t="n">
        <v>19</v>
      </c>
      <c r="H6" s="11" t="n">
        <v>0.00260451388888889</v>
      </c>
      <c r="I6" s="12" t="n">
        <v>1</v>
      </c>
      <c r="J6" s="14" t="s">
        <v>19</v>
      </c>
      <c r="K6" s="14"/>
      <c r="L6" s="14"/>
      <c r="M6" s="13"/>
    </row>
    <row r="7" customFormat="false" ht="15" hidden="false" customHeight="false" outlineLevel="0" collapsed="false">
      <c r="A7" s="6" t="n">
        <v>3</v>
      </c>
      <c r="B7" s="7" t="s">
        <v>20</v>
      </c>
      <c r="C7" s="8" t="s">
        <v>18</v>
      </c>
      <c r="D7" s="9" t="n">
        <v>0.00968773148148148</v>
      </c>
      <c r="E7" s="10" t="n">
        <v>3</v>
      </c>
      <c r="F7" s="11"/>
      <c r="G7" s="12"/>
      <c r="H7" s="11" t="n">
        <v>0.00262800925925926</v>
      </c>
      <c r="I7" s="12" t="n">
        <v>2</v>
      </c>
      <c r="J7" s="14" t="s">
        <v>21</v>
      </c>
      <c r="K7" s="14"/>
      <c r="L7" s="14"/>
      <c r="M7" s="13"/>
    </row>
    <row r="8" customFormat="false" ht="15" hidden="false" customHeight="false" outlineLevel="0" collapsed="false">
      <c r="A8" s="6" t="n">
        <v>4</v>
      </c>
      <c r="B8" s="7" t="s">
        <v>22</v>
      </c>
      <c r="C8" s="8" t="s">
        <v>23</v>
      </c>
      <c r="D8" s="9" t="n">
        <v>0.00971435185185185</v>
      </c>
      <c r="E8" s="10" t="n">
        <v>4</v>
      </c>
      <c r="F8" s="11"/>
      <c r="G8" s="12"/>
      <c r="H8" s="11" t="n">
        <v>0.002721875</v>
      </c>
      <c r="I8" s="12" t="n">
        <v>51</v>
      </c>
      <c r="J8" s="14"/>
      <c r="K8" s="14"/>
      <c r="L8" s="14"/>
      <c r="M8" s="13"/>
    </row>
    <row r="9" customFormat="false" ht="15" hidden="false" customHeight="false" outlineLevel="0" collapsed="false">
      <c r="A9" s="6" t="n">
        <v>5</v>
      </c>
      <c r="B9" s="7" t="s">
        <v>24</v>
      </c>
      <c r="C9" s="8" t="s">
        <v>25</v>
      </c>
      <c r="D9" s="9" t="n">
        <v>0.00974224537037037</v>
      </c>
      <c r="E9" s="10" t="n">
        <v>5</v>
      </c>
      <c r="F9" s="11"/>
      <c r="G9" s="12"/>
      <c r="H9" s="11" t="n">
        <v>0.00267881944444444</v>
      </c>
      <c r="I9" s="12" t="n">
        <v>13</v>
      </c>
      <c r="J9" s="14" t="s">
        <v>26</v>
      </c>
      <c r="K9" s="14"/>
      <c r="L9" s="14"/>
      <c r="M9" s="13"/>
    </row>
    <row r="10" customFormat="false" ht="15" hidden="false" customHeight="false" outlineLevel="0" collapsed="false">
      <c r="A10" s="15" t="n">
        <v>6</v>
      </c>
      <c r="B10" s="16" t="s">
        <v>27</v>
      </c>
      <c r="C10" s="17" t="s">
        <v>28</v>
      </c>
      <c r="D10" s="18" t="n">
        <v>0.00975914351851852</v>
      </c>
      <c r="E10" s="19" t="n">
        <v>6</v>
      </c>
      <c r="F10" s="20" t="n">
        <v>0.00626909722222222</v>
      </c>
      <c r="G10" s="21" t="n">
        <v>2</v>
      </c>
      <c r="H10" s="20" t="n">
        <v>0.00278136574074074</v>
      </c>
      <c r="I10" s="21" t="n">
        <v>209</v>
      </c>
      <c r="J10" s="22" t="s">
        <v>29</v>
      </c>
      <c r="K10" s="22"/>
      <c r="L10" s="22"/>
      <c r="M10" s="13"/>
    </row>
    <row r="11" customFormat="false" ht="15" hidden="false" customHeight="false" outlineLevel="0" collapsed="false">
      <c r="A11" s="6" t="n">
        <v>7</v>
      </c>
      <c r="B11" s="7" t="s">
        <v>30</v>
      </c>
      <c r="C11" s="8" t="s">
        <v>31</v>
      </c>
      <c r="D11" s="9" t="n">
        <v>0.00977974537037037</v>
      </c>
      <c r="E11" s="10" t="n">
        <v>7</v>
      </c>
      <c r="F11" s="11"/>
      <c r="G11" s="12"/>
      <c r="H11" s="11"/>
      <c r="I11" s="12"/>
      <c r="J11" s="14"/>
      <c r="K11" s="14" t="s">
        <v>32</v>
      </c>
      <c r="L11" s="14"/>
      <c r="M11" s="13"/>
    </row>
    <row r="12" customFormat="false" ht="15" hidden="false" customHeight="false" outlineLevel="0" collapsed="false">
      <c r="A12" s="6" t="n">
        <v>8</v>
      </c>
      <c r="B12" s="7" t="s">
        <v>33</v>
      </c>
      <c r="C12" s="8" t="s">
        <v>34</v>
      </c>
      <c r="D12" s="9" t="n">
        <v>0.00981168981481482</v>
      </c>
      <c r="E12" s="10" t="n">
        <v>8</v>
      </c>
      <c r="F12" s="11"/>
      <c r="G12" s="12"/>
      <c r="H12" s="11" t="n">
        <v>0.00269803240740741</v>
      </c>
      <c r="I12" s="12" t="n">
        <v>24</v>
      </c>
      <c r="J12" s="14"/>
      <c r="K12" s="14" t="s">
        <v>35</v>
      </c>
      <c r="L12" s="14"/>
      <c r="M12" s="13"/>
    </row>
    <row r="13" customFormat="false" ht="15" hidden="false" customHeight="false" outlineLevel="0" collapsed="false">
      <c r="A13" s="6" t="n">
        <v>9</v>
      </c>
      <c r="B13" s="7" t="s">
        <v>36</v>
      </c>
      <c r="C13" s="8" t="s">
        <v>23</v>
      </c>
      <c r="D13" s="9" t="n">
        <v>0.00981481481481481</v>
      </c>
      <c r="E13" s="10" t="n">
        <v>9</v>
      </c>
      <c r="F13" s="11"/>
      <c r="G13" s="12"/>
      <c r="H13" s="11" t="n">
        <v>0.00277962962962963</v>
      </c>
      <c r="I13" s="12" t="n">
        <v>200</v>
      </c>
      <c r="J13" s="14"/>
      <c r="K13" s="14"/>
      <c r="L13" s="14"/>
      <c r="M13" s="13"/>
    </row>
    <row r="14" customFormat="false" ht="15" hidden="false" customHeight="false" outlineLevel="0" collapsed="false">
      <c r="A14" s="15" t="n">
        <v>10</v>
      </c>
      <c r="B14" s="16" t="s">
        <v>37</v>
      </c>
      <c r="C14" s="17" t="s">
        <v>28</v>
      </c>
      <c r="D14" s="18" t="n">
        <v>0.00986527777777778</v>
      </c>
      <c r="E14" s="19" t="n">
        <v>10</v>
      </c>
      <c r="F14" s="20"/>
      <c r="G14" s="21"/>
      <c r="H14" s="20" t="n">
        <v>0.00282071759259259</v>
      </c>
      <c r="I14" s="21" t="n">
        <v>367</v>
      </c>
      <c r="J14" s="22"/>
      <c r="K14" s="22"/>
      <c r="L14" s="22"/>
      <c r="M14" s="13"/>
    </row>
    <row r="15" customFormat="false" ht="15" hidden="false" customHeight="false" outlineLevel="0" collapsed="false">
      <c r="A15" s="15" t="n">
        <v>11</v>
      </c>
      <c r="B15" s="16" t="s">
        <v>38</v>
      </c>
      <c r="C15" s="17" t="s">
        <v>28</v>
      </c>
      <c r="D15" s="18" t="n">
        <v>0.00987071759259259</v>
      </c>
      <c r="E15" s="19" t="n">
        <v>11</v>
      </c>
      <c r="F15" s="20"/>
      <c r="G15" s="21"/>
      <c r="H15" s="20" t="n">
        <v>0.00275902777777778</v>
      </c>
      <c r="I15" s="21" t="n">
        <v>132</v>
      </c>
      <c r="J15" s="22" t="s">
        <v>39</v>
      </c>
      <c r="K15" s="22"/>
      <c r="L15" s="22"/>
      <c r="M15" s="13"/>
    </row>
    <row r="16" customFormat="false" ht="15" hidden="false" customHeight="false" outlineLevel="0" collapsed="false">
      <c r="A16" s="6" t="n">
        <v>12</v>
      </c>
      <c r="B16" s="7" t="s">
        <v>40</v>
      </c>
      <c r="C16" s="8" t="s">
        <v>41</v>
      </c>
      <c r="D16" s="9" t="n">
        <v>0.00987303240740741</v>
      </c>
      <c r="E16" s="10" t="n">
        <v>12</v>
      </c>
      <c r="F16" s="11"/>
      <c r="G16" s="12"/>
      <c r="H16" s="11" t="n">
        <v>0.00267592592592593</v>
      </c>
      <c r="I16" s="12" t="n">
        <v>8</v>
      </c>
      <c r="J16" s="14"/>
      <c r="K16" s="14" t="s">
        <v>42</v>
      </c>
      <c r="L16" s="14"/>
      <c r="M16" s="13"/>
    </row>
    <row r="17" customFormat="false" ht="15" hidden="false" customHeight="false" outlineLevel="0" collapsed="false">
      <c r="A17" s="6" t="n">
        <v>13</v>
      </c>
      <c r="B17" s="7" t="s">
        <v>43</v>
      </c>
      <c r="C17" s="8" t="s">
        <v>44</v>
      </c>
      <c r="D17" s="9" t="n">
        <v>0.00990069444444445</v>
      </c>
      <c r="E17" s="10" t="n">
        <v>14</v>
      </c>
      <c r="F17" s="11"/>
      <c r="G17" s="12"/>
      <c r="H17" s="11" t="n">
        <v>0.00268946759259259</v>
      </c>
      <c r="I17" s="12" t="n">
        <v>18</v>
      </c>
      <c r="J17" s="14" t="s">
        <v>45</v>
      </c>
      <c r="K17" s="14"/>
      <c r="L17" s="14"/>
      <c r="M17" s="13"/>
    </row>
    <row r="18" customFormat="false" ht="15" hidden="false" customHeight="false" outlineLevel="0" collapsed="false">
      <c r="A18" s="15" t="n">
        <v>14</v>
      </c>
      <c r="B18" s="16" t="s">
        <v>46</v>
      </c>
      <c r="C18" s="17" t="s">
        <v>41</v>
      </c>
      <c r="D18" s="18" t="n">
        <v>0.00990787037037037</v>
      </c>
      <c r="E18" s="19" t="n">
        <v>15</v>
      </c>
      <c r="F18" s="20"/>
      <c r="G18" s="21"/>
      <c r="H18" s="20" t="n">
        <v>0.00283935185185185</v>
      </c>
      <c r="I18" s="21" t="n">
        <v>491</v>
      </c>
      <c r="J18" s="22"/>
      <c r="K18" s="22" t="s">
        <v>47</v>
      </c>
      <c r="L18" s="22"/>
      <c r="M18" s="13"/>
    </row>
    <row r="19" customFormat="false" ht="15" hidden="false" customHeight="false" outlineLevel="0" collapsed="false">
      <c r="A19" s="6" t="n">
        <v>15</v>
      </c>
      <c r="B19" s="7" t="s">
        <v>48</v>
      </c>
      <c r="C19" s="8" t="s">
        <v>49</v>
      </c>
      <c r="D19" s="9" t="n">
        <v>0.00992893518518519</v>
      </c>
      <c r="E19" s="10" t="n">
        <v>16</v>
      </c>
      <c r="F19" s="11"/>
      <c r="G19" s="12"/>
      <c r="H19" s="11" t="n">
        <v>0.00270949074074074</v>
      </c>
      <c r="I19" s="12" t="n">
        <v>34</v>
      </c>
      <c r="J19" s="14"/>
      <c r="K19" s="14"/>
      <c r="L19" s="14"/>
      <c r="M19" s="23" t="s">
        <v>50</v>
      </c>
    </row>
    <row r="20" customFormat="false" ht="15" hidden="false" customHeight="false" outlineLevel="0" collapsed="false">
      <c r="A20" s="15" t="n">
        <v>16</v>
      </c>
      <c r="B20" s="16" t="s">
        <v>51</v>
      </c>
      <c r="C20" s="17" t="s">
        <v>52</v>
      </c>
      <c r="D20" s="18" t="n">
        <v>0.00994131944444444</v>
      </c>
      <c r="E20" s="19" t="n">
        <v>17</v>
      </c>
      <c r="F20" s="20"/>
      <c r="G20" s="21"/>
      <c r="H20" s="20" t="n">
        <v>0.0028630787037037</v>
      </c>
      <c r="I20" s="21" t="n">
        <v>656</v>
      </c>
      <c r="J20" s="22"/>
      <c r="K20" s="22"/>
      <c r="L20" s="22"/>
      <c r="M20" s="13"/>
    </row>
    <row r="21" customFormat="false" ht="15" hidden="false" customHeight="false" outlineLevel="0" collapsed="false">
      <c r="A21" s="6" t="n">
        <v>17</v>
      </c>
      <c r="B21" s="7" t="s">
        <v>53</v>
      </c>
      <c r="C21" s="8" t="s">
        <v>54</v>
      </c>
      <c r="D21" s="9" t="n">
        <v>0.0099462962962963</v>
      </c>
      <c r="E21" s="10" t="n">
        <v>18</v>
      </c>
      <c r="F21" s="11"/>
      <c r="G21" s="12"/>
      <c r="H21" s="11" t="n">
        <v>0.00272430555555556</v>
      </c>
      <c r="I21" s="12" t="n">
        <v>55</v>
      </c>
      <c r="J21" s="14"/>
      <c r="K21" s="14"/>
      <c r="L21" s="14"/>
      <c r="M21" s="13"/>
    </row>
    <row r="22" customFormat="false" ht="15" hidden="false" customHeight="false" outlineLevel="0" collapsed="false">
      <c r="A22" s="15" t="n">
        <v>18</v>
      </c>
      <c r="B22" s="16" t="s">
        <v>55</v>
      </c>
      <c r="C22" s="17" t="s">
        <v>56</v>
      </c>
      <c r="D22" s="18" t="n">
        <v>0.00997210648148148</v>
      </c>
      <c r="E22" s="19" t="n">
        <v>19</v>
      </c>
      <c r="F22" s="20"/>
      <c r="G22" s="21"/>
      <c r="H22" s="20" t="n">
        <v>0.00273252314814815</v>
      </c>
      <c r="I22" s="21" t="n">
        <v>70</v>
      </c>
      <c r="J22" s="22"/>
      <c r="K22" s="22"/>
      <c r="L22" s="22"/>
      <c r="M22" s="13"/>
    </row>
    <row r="23" customFormat="false" ht="15" hidden="false" customHeight="false" outlineLevel="0" collapsed="false">
      <c r="A23" s="6" t="n">
        <v>19</v>
      </c>
      <c r="B23" s="7" t="s">
        <v>57</v>
      </c>
      <c r="C23" s="8" t="s">
        <v>58</v>
      </c>
      <c r="D23" s="9" t="n">
        <v>0.00997581018518519</v>
      </c>
      <c r="E23" s="10" t="n">
        <v>20</v>
      </c>
      <c r="F23" s="11"/>
      <c r="G23" s="12"/>
      <c r="H23" s="11" t="n">
        <v>0.00273564814814815</v>
      </c>
      <c r="I23" s="12" t="n">
        <v>74</v>
      </c>
      <c r="J23" s="14"/>
      <c r="K23" s="14"/>
      <c r="L23" s="14"/>
      <c r="M23" s="23" t="s">
        <v>59</v>
      </c>
    </row>
    <row r="24" customFormat="false" ht="15" hidden="false" customHeight="false" outlineLevel="0" collapsed="false">
      <c r="A24" s="6" t="n">
        <v>20</v>
      </c>
      <c r="B24" s="7" t="s">
        <v>60</v>
      </c>
      <c r="C24" s="8" t="s">
        <v>61</v>
      </c>
      <c r="D24" s="9" t="n">
        <v>0.00997708333333333</v>
      </c>
      <c r="E24" s="10" t="n">
        <v>21</v>
      </c>
      <c r="F24" s="11"/>
      <c r="G24" s="12"/>
      <c r="H24" s="11" t="n">
        <v>0.0027244212962963</v>
      </c>
      <c r="I24" s="12" t="n">
        <v>56</v>
      </c>
      <c r="J24" s="14"/>
      <c r="K24" s="14"/>
      <c r="L24" s="14"/>
      <c r="M24" s="23" t="s">
        <v>62</v>
      </c>
    </row>
    <row r="25" customFormat="false" ht="15" hidden="false" customHeight="false" outlineLevel="0" collapsed="false">
      <c r="A25" s="15" t="n">
        <v>21</v>
      </c>
      <c r="B25" s="16" t="s">
        <v>63</v>
      </c>
      <c r="C25" s="17" t="s">
        <v>64</v>
      </c>
      <c r="D25" s="18" t="n">
        <v>0.0100024305555556</v>
      </c>
      <c r="E25" s="19" t="n">
        <v>22</v>
      </c>
      <c r="F25" s="20"/>
      <c r="G25" s="21"/>
      <c r="H25" s="20" t="n">
        <v>0.00293900462962963</v>
      </c>
      <c r="I25" s="21" t="n">
        <v>1197</v>
      </c>
      <c r="J25" s="22"/>
      <c r="K25" s="22"/>
      <c r="L25" s="22"/>
      <c r="M25" s="13"/>
    </row>
    <row r="26" customFormat="false" ht="15" hidden="false" customHeight="false" outlineLevel="0" collapsed="false">
      <c r="A26" s="6" t="n">
        <v>22</v>
      </c>
      <c r="B26" s="7" t="s">
        <v>65</v>
      </c>
      <c r="C26" s="8" t="s">
        <v>66</v>
      </c>
      <c r="D26" s="9" t="n">
        <v>0.0100109953703704</v>
      </c>
      <c r="E26" s="10" t="n">
        <v>23</v>
      </c>
      <c r="F26" s="11"/>
      <c r="G26" s="12"/>
      <c r="H26" s="11"/>
      <c r="I26" s="12"/>
      <c r="J26" s="14"/>
      <c r="K26" s="14"/>
      <c r="L26" s="14"/>
      <c r="M26" s="13"/>
    </row>
    <row r="27" customFormat="false" ht="15" hidden="false" customHeight="false" outlineLevel="0" collapsed="false">
      <c r="A27" s="6" t="n">
        <v>23</v>
      </c>
      <c r="B27" s="7" t="s">
        <v>67</v>
      </c>
      <c r="C27" s="8" t="s">
        <v>28</v>
      </c>
      <c r="D27" s="9" t="n">
        <v>0.0100170138888889</v>
      </c>
      <c r="E27" s="10" t="n">
        <v>24</v>
      </c>
      <c r="F27" s="11" t="n">
        <v>0.00636747685185185</v>
      </c>
      <c r="G27" s="12" t="n">
        <v>11</v>
      </c>
      <c r="H27" s="11" t="n">
        <v>0.00280856481481482</v>
      </c>
      <c r="I27" s="12" t="n">
        <v>320</v>
      </c>
      <c r="J27" s="14" t="s">
        <v>68</v>
      </c>
      <c r="K27" s="14"/>
      <c r="L27" s="14"/>
      <c r="M27" s="13"/>
    </row>
    <row r="28" customFormat="false" ht="15" hidden="false" customHeight="false" outlineLevel="0" collapsed="false">
      <c r="A28" s="6" t="n">
        <v>24</v>
      </c>
      <c r="B28" s="7" t="s">
        <v>69</v>
      </c>
      <c r="C28" s="8" t="s">
        <v>70</v>
      </c>
      <c r="D28" s="9" t="n">
        <v>0.0100194444444444</v>
      </c>
      <c r="E28" s="10" t="n">
        <v>25</v>
      </c>
      <c r="F28" s="11"/>
      <c r="G28" s="12"/>
      <c r="H28" s="11" t="n">
        <v>0.00267650462962963</v>
      </c>
      <c r="I28" s="12" t="n">
        <v>9</v>
      </c>
      <c r="J28" s="14"/>
      <c r="K28" s="14" t="s">
        <v>71</v>
      </c>
      <c r="L28" s="14"/>
      <c r="M28" s="13"/>
    </row>
    <row r="29" customFormat="false" ht="15" hidden="false" customHeight="false" outlineLevel="0" collapsed="false">
      <c r="A29" s="6" t="n">
        <v>25</v>
      </c>
      <c r="B29" s="7" t="s">
        <v>72</v>
      </c>
      <c r="C29" s="8" t="s">
        <v>73</v>
      </c>
      <c r="D29" s="9" t="n">
        <v>0.010022337962963</v>
      </c>
      <c r="E29" s="10" t="n">
        <v>26</v>
      </c>
      <c r="F29" s="11"/>
      <c r="G29" s="12"/>
      <c r="H29" s="11" t="n">
        <v>0.00267071759259259</v>
      </c>
      <c r="I29" s="12" t="n">
        <v>7</v>
      </c>
      <c r="J29" s="14"/>
      <c r="K29" s="14"/>
      <c r="L29" s="14"/>
      <c r="M29" s="13"/>
    </row>
    <row r="30" customFormat="false" ht="15" hidden="false" customHeight="false" outlineLevel="0" collapsed="false">
      <c r="A30" s="6" t="n">
        <v>26</v>
      </c>
      <c r="B30" s="7" t="s">
        <v>74</v>
      </c>
      <c r="C30" s="8" t="s">
        <v>54</v>
      </c>
      <c r="D30" s="9" t="n">
        <v>0.0100325231481482</v>
      </c>
      <c r="E30" s="10" t="n">
        <v>27</v>
      </c>
      <c r="F30" s="11"/>
      <c r="G30" s="12"/>
      <c r="H30" s="11"/>
      <c r="I30" s="12"/>
      <c r="J30" s="14"/>
      <c r="K30" s="14"/>
      <c r="L30" s="14"/>
      <c r="M30" s="13"/>
    </row>
    <row r="31" customFormat="false" ht="15" hidden="false" customHeight="false" outlineLevel="0" collapsed="false">
      <c r="A31" s="15" t="n">
        <v>27</v>
      </c>
      <c r="B31" s="16" t="s">
        <v>75</v>
      </c>
      <c r="C31" s="17" t="s">
        <v>76</v>
      </c>
      <c r="D31" s="18" t="n">
        <v>0.0100331018518519</v>
      </c>
      <c r="E31" s="19" t="n">
        <v>28</v>
      </c>
      <c r="F31" s="20"/>
      <c r="G31" s="21"/>
      <c r="H31" s="20" t="n">
        <v>0.00271909722222222</v>
      </c>
      <c r="I31" s="21" t="n">
        <v>48</v>
      </c>
      <c r="J31" s="22"/>
      <c r="K31" s="22"/>
      <c r="L31" s="22"/>
      <c r="M31" s="13"/>
    </row>
    <row r="32" customFormat="false" ht="15" hidden="false" customHeight="false" outlineLevel="0" collapsed="false">
      <c r="A32" s="6" t="n">
        <v>28</v>
      </c>
      <c r="B32" s="7" t="s">
        <v>77</v>
      </c>
      <c r="C32" s="8" t="s">
        <v>70</v>
      </c>
      <c r="D32" s="9" t="n">
        <v>0.0100400462962963</v>
      </c>
      <c r="E32" s="10" t="n">
        <v>29</v>
      </c>
      <c r="F32" s="11" t="n">
        <v>0.00702037037037037</v>
      </c>
      <c r="G32" s="12" t="n">
        <v>355</v>
      </c>
      <c r="H32" s="11" t="n">
        <v>0.00270590277777778</v>
      </c>
      <c r="I32" s="12" t="n">
        <v>29</v>
      </c>
      <c r="J32" s="14"/>
      <c r="K32" s="14" t="s">
        <v>78</v>
      </c>
      <c r="L32" s="14"/>
      <c r="M32" s="13"/>
    </row>
    <row r="33" customFormat="false" ht="15" hidden="false" customHeight="false" outlineLevel="0" collapsed="false">
      <c r="A33" s="6" t="n">
        <v>29</v>
      </c>
      <c r="B33" s="7" t="s">
        <v>79</v>
      </c>
      <c r="C33" s="8" t="s">
        <v>80</v>
      </c>
      <c r="D33" s="9" t="n">
        <v>0.010040162037037</v>
      </c>
      <c r="E33" s="10" t="n">
        <v>30</v>
      </c>
      <c r="F33" s="11"/>
      <c r="G33" s="12"/>
      <c r="H33" s="11" t="n">
        <v>0.00284363425925926</v>
      </c>
      <c r="I33" s="12" t="n">
        <v>520</v>
      </c>
      <c r="J33" s="14"/>
      <c r="K33" s="14"/>
      <c r="L33" s="14"/>
      <c r="M33" s="13"/>
    </row>
    <row r="34" customFormat="false" ht="15" hidden="false" customHeight="false" outlineLevel="0" collapsed="false">
      <c r="A34" s="15" t="n">
        <v>30</v>
      </c>
      <c r="B34" s="16" t="s">
        <v>81</v>
      </c>
      <c r="C34" s="17" t="s">
        <v>52</v>
      </c>
      <c r="D34" s="18" t="n">
        <v>0.0100422453703704</v>
      </c>
      <c r="E34" s="19" t="n">
        <v>31</v>
      </c>
      <c r="F34" s="20"/>
      <c r="G34" s="21"/>
      <c r="H34" s="20"/>
      <c r="I34" s="21"/>
      <c r="J34" s="22"/>
      <c r="K34" s="22"/>
      <c r="L34" s="22"/>
      <c r="M34" s="13"/>
    </row>
    <row r="35" customFormat="false" ht="15" hidden="false" customHeight="false" outlineLevel="0" collapsed="false">
      <c r="A35" s="15" t="n">
        <v>31</v>
      </c>
      <c r="B35" s="16" t="s">
        <v>82</v>
      </c>
      <c r="C35" s="17" t="s">
        <v>83</v>
      </c>
      <c r="D35" s="18" t="n">
        <v>0.0100430555555556</v>
      </c>
      <c r="E35" s="19" t="n">
        <v>32</v>
      </c>
      <c r="F35" s="20"/>
      <c r="G35" s="21"/>
      <c r="H35" s="20" t="n">
        <v>0.00272511574074074</v>
      </c>
      <c r="I35" s="21" t="n">
        <v>58</v>
      </c>
      <c r="J35" s="22"/>
      <c r="K35" s="22"/>
      <c r="L35" s="22"/>
      <c r="M35" s="13"/>
    </row>
    <row r="36" customFormat="false" ht="15" hidden="false" customHeight="false" outlineLevel="0" collapsed="false">
      <c r="A36" s="15" t="n">
        <v>32</v>
      </c>
      <c r="B36" s="16" t="s">
        <v>84</v>
      </c>
      <c r="C36" s="17" t="s">
        <v>28</v>
      </c>
      <c r="D36" s="18" t="n">
        <v>0.0100454861111111</v>
      </c>
      <c r="E36" s="19" t="n">
        <v>33</v>
      </c>
      <c r="F36" s="20"/>
      <c r="G36" s="21"/>
      <c r="H36" s="20" t="n">
        <v>0.00273946759259259</v>
      </c>
      <c r="I36" s="21" t="n">
        <v>84</v>
      </c>
      <c r="J36" s="22" t="s">
        <v>85</v>
      </c>
      <c r="K36" s="22"/>
      <c r="L36" s="22"/>
      <c r="M36" s="13"/>
    </row>
    <row r="37" customFormat="false" ht="15" hidden="false" customHeight="false" outlineLevel="0" collapsed="false">
      <c r="A37" s="6" t="n">
        <v>33</v>
      </c>
      <c r="B37" s="7" t="s">
        <v>86</v>
      </c>
      <c r="C37" s="8" t="s">
        <v>87</v>
      </c>
      <c r="D37" s="9" t="n">
        <v>0.0100482638888889</v>
      </c>
      <c r="E37" s="10" t="n">
        <v>34</v>
      </c>
      <c r="F37" s="11"/>
      <c r="G37" s="12"/>
      <c r="H37" s="11"/>
      <c r="I37" s="12"/>
      <c r="J37" s="14"/>
      <c r="K37" s="14"/>
      <c r="L37" s="14"/>
      <c r="M37" s="13"/>
    </row>
    <row r="38" customFormat="false" ht="15" hidden="false" customHeight="false" outlineLevel="0" collapsed="false">
      <c r="A38" s="15" t="n">
        <v>34</v>
      </c>
      <c r="B38" s="16" t="s">
        <v>88</v>
      </c>
      <c r="C38" s="17" t="s">
        <v>89</v>
      </c>
      <c r="D38" s="18" t="n">
        <v>0.0100494212962963</v>
      </c>
      <c r="E38" s="19" t="n">
        <v>35</v>
      </c>
      <c r="F38" s="20"/>
      <c r="G38" s="21"/>
      <c r="H38" s="20" t="n">
        <v>0.00274490740740741</v>
      </c>
      <c r="I38" s="21" t="n">
        <v>90</v>
      </c>
      <c r="J38" s="22" t="s">
        <v>90</v>
      </c>
      <c r="K38" s="22"/>
      <c r="L38" s="22"/>
      <c r="M38" s="13"/>
    </row>
    <row r="39" customFormat="false" ht="15" hidden="false" customHeight="false" outlineLevel="0" collapsed="false">
      <c r="A39" s="6" t="n">
        <v>35</v>
      </c>
      <c r="B39" s="7" t="s">
        <v>91</v>
      </c>
      <c r="C39" s="8" t="s">
        <v>92</v>
      </c>
      <c r="D39" s="9" t="n">
        <v>0.0100496527777778</v>
      </c>
      <c r="E39" s="10" t="n">
        <v>36</v>
      </c>
      <c r="F39" s="11"/>
      <c r="G39" s="12"/>
      <c r="H39" s="11" t="n">
        <v>0.00277361111111111</v>
      </c>
      <c r="I39" s="12" t="n">
        <v>171</v>
      </c>
      <c r="J39" s="14"/>
      <c r="K39" s="14"/>
      <c r="L39" s="14"/>
      <c r="M39" s="13"/>
    </row>
    <row r="40" customFormat="false" ht="15" hidden="false" customHeight="false" outlineLevel="0" collapsed="false">
      <c r="A40" s="6" t="n">
        <v>36</v>
      </c>
      <c r="B40" s="7" t="s">
        <v>93</v>
      </c>
      <c r="C40" s="8" t="s">
        <v>94</v>
      </c>
      <c r="D40" s="9" t="n">
        <v>0.0100549768518519</v>
      </c>
      <c r="E40" s="10" t="n">
        <v>37</v>
      </c>
      <c r="F40" s="11"/>
      <c r="G40" s="12"/>
      <c r="H40" s="11" t="n">
        <v>0.00277592592592593</v>
      </c>
      <c r="I40" s="12" t="n">
        <v>182</v>
      </c>
      <c r="J40" s="14"/>
      <c r="K40" s="14"/>
      <c r="L40" s="14"/>
      <c r="M40" s="13"/>
    </row>
    <row r="41" customFormat="false" ht="15" hidden="false" customHeight="false" outlineLevel="0" collapsed="false">
      <c r="A41" s="15" t="n">
        <v>37</v>
      </c>
      <c r="B41" s="16" t="s">
        <v>95</v>
      </c>
      <c r="C41" s="17" t="s">
        <v>96</v>
      </c>
      <c r="D41" s="18" t="n">
        <v>0.0100549768518519</v>
      </c>
      <c r="E41" s="19" t="n">
        <v>38</v>
      </c>
      <c r="F41" s="20"/>
      <c r="G41" s="21"/>
      <c r="H41" s="20" t="n">
        <v>0.00271759259259259</v>
      </c>
      <c r="I41" s="21" t="n">
        <v>46</v>
      </c>
      <c r="J41" s="22"/>
      <c r="K41" s="22"/>
      <c r="L41" s="22"/>
      <c r="M41" s="13"/>
    </row>
    <row r="42" customFormat="false" ht="15" hidden="false" customHeight="false" outlineLevel="0" collapsed="false">
      <c r="A42" s="6" t="n">
        <v>38</v>
      </c>
      <c r="B42" s="7" t="s">
        <v>97</v>
      </c>
      <c r="C42" s="8" t="s">
        <v>16</v>
      </c>
      <c r="D42" s="9" t="n">
        <v>0.010055787037037</v>
      </c>
      <c r="E42" s="10" t="n">
        <v>39</v>
      </c>
      <c r="F42" s="11"/>
      <c r="G42" s="12"/>
      <c r="H42" s="11" t="n">
        <v>0.00295462962962963</v>
      </c>
      <c r="I42" s="12" t="n">
        <v>1252</v>
      </c>
      <c r="J42" s="14"/>
      <c r="K42" s="14"/>
      <c r="L42" s="14"/>
      <c r="M42" s="13"/>
    </row>
    <row r="43" customFormat="false" ht="15" hidden="false" customHeight="false" outlineLevel="0" collapsed="false">
      <c r="A43" s="6" t="n">
        <v>39</v>
      </c>
      <c r="B43" s="7" t="s">
        <v>98</v>
      </c>
      <c r="C43" s="8" t="s">
        <v>54</v>
      </c>
      <c r="D43" s="9" t="n">
        <v>0.0100653935185185</v>
      </c>
      <c r="E43" s="10" t="n">
        <v>40</v>
      </c>
      <c r="F43" s="11"/>
      <c r="G43" s="12"/>
      <c r="H43" s="11"/>
      <c r="I43" s="12"/>
      <c r="J43" s="14"/>
      <c r="K43" s="14"/>
      <c r="L43" s="14"/>
      <c r="M43" s="13"/>
    </row>
    <row r="44" customFormat="false" ht="15" hidden="false" customHeight="false" outlineLevel="0" collapsed="false">
      <c r="A44" s="6" t="n">
        <v>40</v>
      </c>
      <c r="B44" s="7" t="s">
        <v>99</v>
      </c>
      <c r="C44" s="8" t="s">
        <v>100</v>
      </c>
      <c r="D44" s="9" t="n">
        <v>0.0100755787037037</v>
      </c>
      <c r="E44" s="10" t="n">
        <v>41</v>
      </c>
      <c r="F44" s="11"/>
      <c r="G44" s="12"/>
      <c r="H44" s="11" t="n">
        <v>0.00276655092592593</v>
      </c>
      <c r="I44" s="12" t="n">
        <v>153</v>
      </c>
      <c r="J44" s="14"/>
      <c r="K44" s="14" t="s">
        <v>101</v>
      </c>
      <c r="L44" s="14"/>
      <c r="M44" s="13"/>
    </row>
    <row r="45" customFormat="false" ht="15" hidden="false" customHeight="false" outlineLevel="0" collapsed="false">
      <c r="A45" s="6" t="n">
        <v>41</v>
      </c>
      <c r="B45" s="7" t="s">
        <v>102</v>
      </c>
      <c r="C45" s="8" t="s">
        <v>28</v>
      </c>
      <c r="D45" s="9" t="n">
        <v>0.0100759259259259</v>
      </c>
      <c r="E45" s="10" t="n">
        <v>42</v>
      </c>
      <c r="F45" s="11"/>
      <c r="G45" s="12"/>
      <c r="H45" s="11" t="n">
        <v>0.00279201388888889</v>
      </c>
      <c r="I45" s="12" t="n">
        <v>249</v>
      </c>
      <c r="J45" s="14" t="s">
        <v>103</v>
      </c>
      <c r="K45" s="14"/>
      <c r="L45" s="14"/>
      <c r="M45" s="13"/>
    </row>
    <row r="46" customFormat="false" ht="15" hidden="false" customHeight="false" outlineLevel="0" collapsed="false">
      <c r="A46" s="6" t="n">
        <v>42</v>
      </c>
      <c r="B46" s="7" t="s">
        <v>104</v>
      </c>
      <c r="C46" s="8" t="s">
        <v>16</v>
      </c>
      <c r="D46" s="9" t="n">
        <v>0.0100761574074074</v>
      </c>
      <c r="E46" s="10" t="n">
        <v>43</v>
      </c>
      <c r="F46" s="11"/>
      <c r="G46" s="12"/>
      <c r="H46" s="11" t="n">
        <v>0.00275925925925926</v>
      </c>
      <c r="I46" s="12" t="n">
        <v>133</v>
      </c>
      <c r="J46" s="14"/>
      <c r="K46" s="14"/>
      <c r="L46" s="14"/>
      <c r="M46" s="13"/>
    </row>
    <row r="47" customFormat="false" ht="15" hidden="false" customHeight="false" outlineLevel="0" collapsed="false">
      <c r="A47" s="15" t="n">
        <v>43</v>
      </c>
      <c r="B47" s="16" t="s">
        <v>105</v>
      </c>
      <c r="C47" s="17" t="s">
        <v>89</v>
      </c>
      <c r="D47" s="18" t="n">
        <v>0.010080787037037</v>
      </c>
      <c r="E47" s="19" t="n">
        <v>44</v>
      </c>
      <c r="F47" s="20"/>
      <c r="G47" s="21"/>
      <c r="H47" s="20" t="n">
        <v>0.00285601851851852</v>
      </c>
      <c r="I47" s="21" t="n">
        <v>608</v>
      </c>
      <c r="J47" s="22" t="s">
        <v>106</v>
      </c>
      <c r="K47" s="22"/>
      <c r="L47" s="22"/>
      <c r="M47" s="13"/>
    </row>
    <row r="48" customFormat="false" ht="15" hidden="false" customHeight="false" outlineLevel="0" collapsed="false">
      <c r="A48" s="6" t="n">
        <v>44</v>
      </c>
      <c r="B48" s="7" t="s">
        <v>107</v>
      </c>
      <c r="C48" s="8" t="s">
        <v>108</v>
      </c>
      <c r="D48" s="9" t="n">
        <v>0.0100890046296296</v>
      </c>
      <c r="E48" s="10" t="n">
        <v>45</v>
      </c>
      <c r="F48" s="11"/>
      <c r="G48" s="12"/>
      <c r="H48" s="11" t="n">
        <v>0.00272962962962963</v>
      </c>
      <c r="I48" s="12" t="n">
        <v>65</v>
      </c>
      <c r="J48" s="14"/>
      <c r="K48" s="14"/>
      <c r="L48" s="14"/>
      <c r="M48" s="13"/>
    </row>
    <row r="49" customFormat="false" ht="15" hidden="false" customHeight="false" outlineLevel="0" collapsed="false">
      <c r="A49" s="15" t="n">
        <v>45</v>
      </c>
      <c r="B49" s="16" t="s">
        <v>109</v>
      </c>
      <c r="C49" s="17" t="s">
        <v>41</v>
      </c>
      <c r="D49" s="18" t="n">
        <v>0.0100895833333333</v>
      </c>
      <c r="E49" s="19" t="n">
        <v>46</v>
      </c>
      <c r="F49" s="20"/>
      <c r="G49" s="21"/>
      <c r="H49" s="20" t="n">
        <v>0.00271238425925926</v>
      </c>
      <c r="I49" s="21" t="n">
        <v>38</v>
      </c>
      <c r="J49" s="22"/>
      <c r="K49" s="22" t="s">
        <v>110</v>
      </c>
      <c r="L49" s="22"/>
      <c r="M49" s="13"/>
    </row>
    <row r="50" customFormat="false" ht="15" hidden="false" customHeight="false" outlineLevel="0" collapsed="false">
      <c r="A50" s="6" t="n">
        <v>46</v>
      </c>
      <c r="B50" s="7" t="s">
        <v>111</v>
      </c>
      <c r="C50" s="8" t="s">
        <v>23</v>
      </c>
      <c r="D50" s="9" t="n">
        <v>0.0100917824074074</v>
      </c>
      <c r="E50" s="10" t="n">
        <v>47</v>
      </c>
      <c r="F50" s="11"/>
      <c r="G50" s="12"/>
      <c r="H50" s="11" t="n">
        <v>0.00271898148148148</v>
      </c>
      <c r="I50" s="12" t="n">
        <v>47</v>
      </c>
      <c r="J50" s="14"/>
      <c r="K50" s="14"/>
      <c r="L50" s="14"/>
      <c r="M50" s="13"/>
    </row>
    <row r="51" customFormat="false" ht="15" hidden="false" customHeight="false" outlineLevel="0" collapsed="false">
      <c r="A51" s="6" t="n">
        <v>47</v>
      </c>
      <c r="B51" s="7" t="s">
        <v>112</v>
      </c>
      <c r="C51" s="8" t="s">
        <v>113</v>
      </c>
      <c r="D51" s="9" t="n">
        <v>0.0100947916666667</v>
      </c>
      <c r="E51" s="10" t="n">
        <v>48</v>
      </c>
      <c r="F51" s="11"/>
      <c r="G51" s="12"/>
      <c r="H51" s="11" t="n">
        <v>0.00276203703703704</v>
      </c>
      <c r="I51" s="12" t="n">
        <v>139</v>
      </c>
      <c r="J51" s="14" t="s">
        <v>114</v>
      </c>
      <c r="K51" s="14"/>
      <c r="L51" s="14"/>
      <c r="M51" s="13"/>
    </row>
    <row r="52" customFormat="false" ht="15" hidden="false" customHeight="false" outlineLevel="0" collapsed="false">
      <c r="A52" s="6" t="n">
        <v>48</v>
      </c>
      <c r="B52" s="7" t="s">
        <v>115</v>
      </c>
      <c r="C52" s="8" t="s">
        <v>116</v>
      </c>
      <c r="D52" s="9" t="n">
        <v>0.0100954861111111</v>
      </c>
      <c r="E52" s="10" t="n">
        <v>49</v>
      </c>
      <c r="F52" s="11"/>
      <c r="G52" s="12"/>
      <c r="H52" s="11" t="n">
        <v>0.00272893518518519</v>
      </c>
      <c r="I52" s="12" t="n">
        <v>62</v>
      </c>
      <c r="J52" s="14"/>
      <c r="K52" s="14"/>
      <c r="L52" s="14"/>
      <c r="M52" s="13"/>
    </row>
    <row r="53" customFormat="false" ht="15" hidden="false" customHeight="false" outlineLevel="0" collapsed="false">
      <c r="A53" s="15" t="n">
        <v>49</v>
      </c>
      <c r="B53" s="16" t="s">
        <v>117</v>
      </c>
      <c r="C53" s="17" t="s">
        <v>118</v>
      </c>
      <c r="D53" s="18" t="n">
        <v>0.0100962962962963</v>
      </c>
      <c r="E53" s="19" t="n">
        <v>50</v>
      </c>
      <c r="F53" s="20"/>
      <c r="G53" s="21"/>
      <c r="H53" s="20" t="n">
        <v>0.0026931712962963</v>
      </c>
      <c r="I53" s="21" t="n">
        <v>22</v>
      </c>
      <c r="J53" s="22"/>
      <c r="K53" s="22"/>
      <c r="L53" s="22"/>
      <c r="M53" s="13"/>
    </row>
    <row r="54" customFormat="false" ht="15" hidden="false" customHeight="false" outlineLevel="0" collapsed="false">
      <c r="A54" s="6" t="n">
        <v>50</v>
      </c>
      <c r="B54" s="7" t="s">
        <v>119</v>
      </c>
      <c r="C54" s="8" t="s">
        <v>120</v>
      </c>
      <c r="D54" s="9" t="n">
        <v>0.0100986111111111</v>
      </c>
      <c r="E54" s="10" t="n">
        <v>51</v>
      </c>
      <c r="F54" s="11"/>
      <c r="G54" s="12"/>
      <c r="H54" s="11"/>
      <c r="I54" s="12"/>
      <c r="J54" s="14" t="s">
        <v>68</v>
      </c>
      <c r="K54" s="14"/>
      <c r="L54" s="14"/>
      <c r="M54" s="13"/>
    </row>
    <row r="55" customFormat="false" ht="15" hidden="false" customHeight="false" outlineLevel="0" collapsed="false">
      <c r="A55" s="6" t="n">
        <v>51</v>
      </c>
      <c r="B55" s="7" t="s">
        <v>121</v>
      </c>
      <c r="C55" s="8" t="s">
        <v>122</v>
      </c>
      <c r="D55" s="9" t="n">
        <v>0.0101003472222222</v>
      </c>
      <c r="E55" s="10" t="n">
        <v>52</v>
      </c>
      <c r="F55" s="11"/>
      <c r="G55" s="12"/>
      <c r="H55" s="11" t="n">
        <v>0.00271296296296296</v>
      </c>
      <c r="I55" s="12" t="n">
        <v>39</v>
      </c>
      <c r="J55" s="14"/>
      <c r="K55" s="14" t="s">
        <v>123</v>
      </c>
      <c r="L55" s="14"/>
      <c r="M55" s="13"/>
    </row>
    <row r="56" customFormat="false" ht="15" hidden="false" customHeight="false" outlineLevel="0" collapsed="false">
      <c r="A56" s="6" t="n">
        <v>52</v>
      </c>
      <c r="B56" s="7" t="s">
        <v>124</v>
      </c>
      <c r="C56" s="8" t="s">
        <v>58</v>
      </c>
      <c r="D56" s="9" t="n">
        <v>0.0101015046296296</v>
      </c>
      <c r="E56" s="10" t="n">
        <v>53</v>
      </c>
      <c r="F56" s="11"/>
      <c r="G56" s="12"/>
      <c r="H56" s="11" t="n">
        <v>0.00281412037037037</v>
      </c>
      <c r="I56" s="12" t="n">
        <v>340</v>
      </c>
      <c r="J56" s="14"/>
      <c r="K56" s="14"/>
      <c r="L56" s="14"/>
      <c r="M56" s="13"/>
    </row>
    <row r="57" customFormat="false" ht="15" hidden="false" customHeight="false" outlineLevel="0" collapsed="false">
      <c r="A57" s="6" t="n">
        <v>53</v>
      </c>
      <c r="B57" s="7" t="s">
        <v>125</v>
      </c>
      <c r="C57" s="8" t="s">
        <v>120</v>
      </c>
      <c r="D57" s="9" t="n">
        <v>0.0101061342592593</v>
      </c>
      <c r="E57" s="10" t="n">
        <v>54</v>
      </c>
      <c r="F57" s="11"/>
      <c r="G57" s="12"/>
      <c r="H57" s="11" t="n">
        <v>0.00276990740740741</v>
      </c>
      <c r="I57" s="12" t="n">
        <v>161</v>
      </c>
      <c r="J57" s="14" t="s">
        <v>126</v>
      </c>
      <c r="K57" s="14"/>
      <c r="L57" s="14"/>
      <c r="M57" s="13"/>
    </row>
    <row r="58" customFormat="false" ht="15" hidden="false" customHeight="false" outlineLevel="0" collapsed="false">
      <c r="A58" s="6" t="n">
        <v>54</v>
      </c>
      <c r="B58" s="7" t="s">
        <v>127</v>
      </c>
      <c r="C58" s="8" t="s">
        <v>128</v>
      </c>
      <c r="D58" s="9" t="n">
        <v>0.01010625</v>
      </c>
      <c r="E58" s="10" t="n">
        <v>55</v>
      </c>
      <c r="F58" s="11"/>
      <c r="G58" s="12"/>
      <c r="H58" s="11" t="n">
        <v>0.00283935185185185</v>
      </c>
      <c r="I58" s="12" t="n">
        <v>492</v>
      </c>
      <c r="J58" s="14"/>
      <c r="K58" s="14"/>
      <c r="L58" s="14"/>
      <c r="M58" s="13"/>
    </row>
    <row r="59" customFormat="false" ht="15" hidden="false" customHeight="false" outlineLevel="0" collapsed="false">
      <c r="A59" s="6" t="n">
        <v>55</v>
      </c>
      <c r="B59" s="7" t="s">
        <v>129</v>
      </c>
      <c r="C59" s="8" t="s">
        <v>130</v>
      </c>
      <c r="D59" s="9" t="n">
        <v>0.0101087962962963</v>
      </c>
      <c r="E59" s="10" t="n">
        <v>56</v>
      </c>
      <c r="F59" s="11"/>
      <c r="G59" s="12"/>
      <c r="H59" s="11"/>
      <c r="I59" s="12"/>
      <c r="J59" s="14"/>
      <c r="K59" s="14"/>
      <c r="L59" s="14"/>
      <c r="M59" s="13"/>
    </row>
    <row r="60" customFormat="false" ht="15" hidden="false" customHeight="false" outlineLevel="0" collapsed="false">
      <c r="A60" s="6" t="n">
        <v>56</v>
      </c>
      <c r="B60" s="7" t="s">
        <v>131</v>
      </c>
      <c r="C60" s="8" t="s">
        <v>64</v>
      </c>
      <c r="D60" s="9" t="n">
        <v>0.0101109953703704</v>
      </c>
      <c r="E60" s="10" t="n">
        <v>57</v>
      </c>
      <c r="F60" s="11"/>
      <c r="G60" s="12"/>
      <c r="H60" s="11"/>
      <c r="I60" s="12"/>
      <c r="J60" s="14"/>
      <c r="K60" s="14"/>
      <c r="L60" s="14"/>
      <c r="M60" s="13"/>
    </row>
    <row r="61" customFormat="false" ht="15" hidden="false" customHeight="false" outlineLevel="0" collapsed="false">
      <c r="A61" s="6" t="n">
        <v>57</v>
      </c>
      <c r="B61" s="7" t="s">
        <v>132</v>
      </c>
      <c r="C61" s="8" t="s">
        <v>122</v>
      </c>
      <c r="D61" s="9" t="n">
        <v>0.0101146990740741</v>
      </c>
      <c r="E61" s="10" t="n">
        <v>58</v>
      </c>
      <c r="F61" s="11"/>
      <c r="G61" s="12"/>
      <c r="H61" s="11" t="n">
        <v>0.00268472222222222</v>
      </c>
      <c r="I61" s="12" t="n">
        <v>16</v>
      </c>
      <c r="J61" s="14"/>
      <c r="K61" s="14"/>
      <c r="L61" s="14"/>
      <c r="M61" s="13"/>
    </row>
    <row r="62" customFormat="false" ht="15" hidden="false" customHeight="false" outlineLevel="0" collapsed="false">
      <c r="A62" s="6" t="n">
        <v>58</v>
      </c>
      <c r="B62" s="7" t="s">
        <v>133</v>
      </c>
      <c r="C62" s="8" t="s">
        <v>134</v>
      </c>
      <c r="D62" s="9" t="n">
        <v>0.010127662037037</v>
      </c>
      <c r="E62" s="10" t="n">
        <v>59</v>
      </c>
      <c r="F62" s="11"/>
      <c r="G62" s="12"/>
      <c r="H62" s="11" t="n">
        <v>0.00271319444444444</v>
      </c>
      <c r="I62" s="12" t="n">
        <v>41</v>
      </c>
      <c r="J62" s="14"/>
      <c r="K62" s="14"/>
      <c r="L62" s="14"/>
      <c r="M62" s="13"/>
    </row>
    <row r="63" customFormat="false" ht="15" hidden="false" customHeight="false" outlineLevel="0" collapsed="false">
      <c r="A63" s="6" t="n">
        <v>59</v>
      </c>
      <c r="B63" s="7" t="s">
        <v>135</v>
      </c>
      <c r="C63" s="8" t="s">
        <v>136</v>
      </c>
      <c r="D63" s="9" t="n">
        <v>0.0101305555555556</v>
      </c>
      <c r="E63" s="10" t="n">
        <v>60</v>
      </c>
      <c r="F63" s="11"/>
      <c r="G63" s="12"/>
      <c r="H63" s="11" t="n">
        <v>0.00274467592592593</v>
      </c>
      <c r="I63" s="12" t="n">
        <v>88</v>
      </c>
      <c r="J63" s="14"/>
      <c r="K63" s="14"/>
      <c r="L63" s="14"/>
      <c r="M63" s="13"/>
    </row>
    <row r="64" customFormat="false" ht="15" hidden="false" customHeight="false" outlineLevel="0" collapsed="false">
      <c r="A64" s="6" t="n">
        <v>60</v>
      </c>
      <c r="B64" s="7" t="s">
        <v>137</v>
      </c>
      <c r="C64" s="8" t="s">
        <v>138</v>
      </c>
      <c r="D64" s="9" t="n">
        <v>0.0101342592592593</v>
      </c>
      <c r="E64" s="10" t="n">
        <v>61</v>
      </c>
      <c r="F64" s="11"/>
      <c r="G64" s="12"/>
      <c r="H64" s="11"/>
      <c r="I64" s="12"/>
      <c r="J64" s="14"/>
      <c r="K64" s="14"/>
      <c r="L64" s="14"/>
      <c r="M64" s="13"/>
    </row>
    <row r="65" customFormat="false" ht="15" hidden="false" customHeight="false" outlineLevel="0" collapsed="false">
      <c r="A65" s="6" t="n">
        <v>61</v>
      </c>
      <c r="B65" s="7" t="s">
        <v>139</v>
      </c>
      <c r="C65" s="8" t="s">
        <v>108</v>
      </c>
      <c r="D65" s="9" t="n">
        <v>0.0101347222222222</v>
      </c>
      <c r="E65" s="10" t="n">
        <v>62</v>
      </c>
      <c r="F65" s="11"/>
      <c r="G65" s="12"/>
      <c r="H65" s="11" t="n">
        <v>0.00273715277777778</v>
      </c>
      <c r="I65" s="12" t="n">
        <v>80</v>
      </c>
      <c r="J65" s="14"/>
      <c r="K65" s="14"/>
      <c r="L65" s="14"/>
      <c r="M65" s="13"/>
    </row>
    <row r="66" customFormat="false" ht="15" hidden="false" customHeight="false" outlineLevel="0" collapsed="false">
      <c r="A66" s="15" t="n">
        <v>62</v>
      </c>
      <c r="B66" s="16" t="s">
        <v>140</v>
      </c>
      <c r="C66" s="17" t="s">
        <v>89</v>
      </c>
      <c r="D66" s="18" t="n">
        <v>0.0101351851851852</v>
      </c>
      <c r="E66" s="19" t="n">
        <v>63</v>
      </c>
      <c r="F66" s="20"/>
      <c r="G66" s="21"/>
      <c r="H66" s="20" t="n">
        <v>0.0028431712962963</v>
      </c>
      <c r="I66" s="21" t="n">
        <v>517</v>
      </c>
      <c r="J66" s="22" t="s">
        <v>141</v>
      </c>
      <c r="K66" s="22"/>
      <c r="L66" s="22"/>
      <c r="M66" s="13"/>
    </row>
    <row r="67" customFormat="false" ht="15" hidden="false" customHeight="false" outlineLevel="0" collapsed="false">
      <c r="A67" s="6" t="n">
        <v>63</v>
      </c>
      <c r="B67" s="7" t="s">
        <v>142</v>
      </c>
      <c r="C67" s="8" t="s">
        <v>143</v>
      </c>
      <c r="D67" s="9" t="n">
        <v>0.0101362268518519</v>
      </c>
      <c r="E67" s="10" t="n">
        <v>64</v>
      </c>
      <c r="F67" s="11" t="n">
        <v>0.00668483796296296</v>
      </c>
      <c r="G67" s="12" t="n">
        <v>102</v>
      </c>
      <c r="H67" s="11" t="n">
        <v>0.0028724537037037</v>
      </c>
      <c r="I67" s="12" t="n">
        <v>718</v>
      </c>
      <c r="J67" s="14"/>
      <c r="K67" s="14"/>
      <c r="L67" s="14"/>
      <c r="M67" s="13"/>
    </row>
    <row r="68" customFormat="false" ht="15" hidden="false" customHeight="false" outlineLevel="0" collapsed="false">
      <c r="A68" s="6" t="n">
        <v>64</v>
      </c>
      <c r="B68" s="7" t="s">
        <v>144</v>
      </c>
      <c r="C68" s="8" t="s">
        <v>145</v>
      </c>
      <c r="D68" s="9" t="n">
        <v>0.0101371527777778</v>
      </c>
      <c r="E68" s="10" t="n">
        <v>65</v>
      </c>
      <c r="F68" s="11"/>
      <c r="G68" s="12"/>
      <c r="H68" s="11" t="n">
        <v>0.00269143518518519</v>
      </c>
      <c r="I68" s="12" t="n">
        <v>19</v>
      </c>
      <c r="J68" s="14" t="s">
        <v>146</v>
      </c>
      <c r="K68" s="14"/>
      <c r="L68" s="14"/>
      <c r="M68" s="13"/>
    </row>
    <row r="69" customFormat="false" ht="15" hidden="false" customHeight="false" outlineLevel="0" collapsed="false">
      <c r="A69" s="6" t="n">
        <v>65</v>
      </c>
      <c r="B69" s="7" t="s">
        <v>147</v>
      </c>
      <c r="C69" s="8" t="s">
        <v>148</v>
      </c>
      <c r="D69" s="9" t="n">
        <v>0.0101373842592593</v>
      </c>
      <c r="E69" s="10" t="n">
        <v>66</v>
      </c>
      <c r="F69" s="11"/>
      <c r="G69" s="12"/>
      <c r="H69" s="11" t="n">
        <v>0.00271736111111111</v>
      </c>
      <c r="I69" s="12" t="n">
        <v>45</v>
      </c>
      <c r="J69" s="14"/>
      <c r="K69" s="14"/>
      <c r="L69" s="14"/>
      <c r="M69" s="13"/>
    </row>
    <row r="70" customFormat="false" ht="15" hidden="false" customHeight="false" outlineLevel="0" collapsed="false">
      <c r="A70" s="15" t="n">
        <v>66</v>
      </c>
      <c r="B70" s="16" t="s">
        <v>149</v>
      </c>
      <c r="C70" s="17" t="s">
        <v>150</v>
      </c>
      <c r="D70" s="18" t="n">
        <v>0.0101377314814815</v>
      </c>
      <c r="E70" s="19" t="n">
        <v>67</v>
      </c>
      <c r="F70" s="20" t="n">
        <v>0.00634039351851852</v>
      </c>
      <c r="G70" s="21" t="n">
        <v>7</v>
      </c>
      <c r="H70" s="20" t="n">
        <v>0.0028818287037037</v>
      </c>
      <c r="I70" s="21" t="n">
        <v>787</v>
      </c>
      <c r="J70" s="22"/>
      <c r="K70" s="22"/>
      <c r="L70" s="22"/>
      <c r="M70" s="13"/>
    </row>
    <row r="71" customFormat="false" ht="15" hidden="false" customHeight="false" outlineLevel="0" collapsed="false">
      <c r="A71" s="6" t="n">
        <v>67</v>
      </c>
      <c r="B71" s="7" t="s">
        <v>151</v>
      </c>
      <c r="C71" s="8" t="s">
        <v>152</v>
      </c>
      <c r="D71" s="9" t="n">
        <v>0.0101380787037037</v>
      </c>
      <c r="E71" s="10" t="n">
        <v>68</v>
      </c>
      <c r="F71" s="11"/>
      <c r="G71" s="12"/>
      <c r="H71" s="11" t="n">
        <v>0.0027568287037037</v>
      </c>
      <c r="I71" s="12" t="n">
        <v>127</v>
      </c>
      <c r="J71" s="14"/>
      <c r="K71" s="14"/>
      <c r="L71" s="14"/>
      <c r="M71" s="13"/>
    </row>
    <row r="72" customFormat="false" ht="15" hidden="false" customHeight="false" outlineLevel="0" collapsed="false">
      <c r="A72" s="15" t="n">
        <v>68</v>
      </c>
      <c r="B72" s="16" t="s">
        <v>153</v>
      </c>
      <c r="C72" s="17" t="s">
        <v>154</v>
      </c>
      <c r="D72" s="18" t="n">
        <v>0.0101414351851852</v>
      </c>
      <c r="E72" s="19" t="n">
        <v>69</v>
      </c>
      <c r="F72" s="20"/>
      <c r="G72" s="21"/>
      <c r="H72" s="20" t="n">
        <v>0.00285590277777778</v>
      </c>
      <c r="I72" s="21" t="n">
        <v>607</v>
      </c>
      <c r="J72" s="22" t="s">
        <v>155</v>
      </c>
      <c r="K72" s="22"/>
      <c r="L72" s="22"/>
      <c r="M72" s="13"/>
    </row>
    <row r="73" customFormat="false" ht="15" hidden="false" customHeight="false" outlineLevel="0" collapsed="false">
      <c r="A73" s="6" t="n">
        <v>69</v>
      </c>
      <c r="B73" s="7" t="s">
        <v>156</v>
      </c>
      <c r="C73" s="8" t="s">
        <v>54</v>
      </c>
      <c r="D73" s="9" t="n">
        <v>0.0101446759259259</v>
      </c>
      <c r="E73" s="10" t="n">
        <v>70</v>
      </c>
      <c r="F73" s="11"/>
      <c r="G73" s="12"/>
      <c r="H73" s="11"/>
      <c r="I73" s="12"/>
      <c r="J73" s="14"/>
      <c r="K73" s="14"/>
      <c r="L73" s="14"/>
      <c r="M73" s="13"/>
    </row>
    <row r="74" customFormat="false" ht="15" hidden="false" customHeight="false" outlineLevel="0" collapsed="false">
      <c r="A74" s="6" t="n">
        <v>70</v>
      </c>
      <c r="B74" s="7" t="s">
        <v>157</v>
      </c>
      <c r="C74" s="8" t="s">
        <v>158</v>
      </c>
      <c r="D74" s="9" t="n">
        <v>0.0101478009259259</v>
      </c>
      <c r="E74" s="10" t="n">
        <v>71</v>
      </c>
      <c r="F74" s="11" t="n">
        <v>0.00698865740740741</v>
      </c>
      <c r="G74" s="12" t="n">
        <v>323</v>
      </c>
      <c r="H74" s="11" t="n">
        <v>0.00275729166666667</v>
      </c>
      <c r="I74" s="12" t="n">
        <v>128</v>
      </c>
      <c r="J74" s="14"/>
      <c r="K74" s="14"/>
      <c r="L74" s="14"/>
      <c r="M74" s="13"/>
    </row>
    <row r="75" customFormat="false" ht="15" hidden="false" customHeight="false" outlineLevel="0" collapsed="false">
      <c r="A75" s="6" t="n">
        <v>71</v>
      </c>
      <c r="B75" s="7" t="s">
        <v>159</v>
      </c>
      <c r="C75" s="8" t="s">
        <v>160</v>
      </c>
      <c r="D75" s="9" t="n">
        <v>0.0101538194444444</v>
      </c>
      <c r="E75" s="10" t="n">
        <v>72</v>
      </c>
      <c r="F75" s="11"/>
      <c r="G75" s="12"/>
      <c r="H75" s="11" t="n">
        <v>0.00274097222222222</v>
      </c>
      <c r="I75" s="12" t="n">
        <v>86</v>
      </c>
      <c r="J75" s="14"/>
      <c r="K75" s="14" t="s">
        <v>161</v>
      </c>
      <c r="L75" s="14"/>
      <c r="M75" s="13"/>
    </row>
    <row r="76" customFormat="false" ht="15" hidden="false" customHeight="false" outlineLevel="0" collapsed="false">
      <c r="A76" s="6" t="n">
        <v>72</v>
      </c>
      <c r="B76" s="7" t="s">
        <v>162</v>
      </c>
      <c r="C76" s="8" t="s">
        <v>145</v>
      </c>
      <c r="D76" s="9" t="n">
        <v>0.0101539351851852</v>
      </c>
      <c r="E76" s="10" t="n">
        <v>73</v>
      </c>
      <c r="F76" s="11"/>
      <c r="G76" s="12"/>
      <c r="H76" s="11"/>
      <c r="I76" s="12"/>
      <c r="J76" s="14" t="s">
        <v>163</v>
      </c>
      <c r="K76" s="14"/>
      <c r="L76" s="14"/>
      <c r="M76" s="13"/>
    </row>
    <row r="77" customFormat="false" ht="15" hidden="false" customHeight="false" outlineLevel="0" collapsed="false">
      <c r="A77" s="6" t="n">
        <v>73</v>
      </c>
      <c r="B77" s="7" t="s">
        <v>164</v>
      </c>
      <c r="C77" s="8" t="s">
        <v>145</v>
      </c>
      <c r="D77" s="9" t="n">
        <v>0.0101585648148148</v>
      </c>
      <c r="E77" s="10" t="n">
        <v>74</v>
      </c>
      <c r="F77" s="11" t="n">
        <v>0.00647060185185185</v>
      </c>
      <c r="G77" s="12" t="n">
        <v>29</v>
      </c>
      <c r="H77" s="11"/>
      <c r="I77" s="12"/>
      <c r="J77" s="14" t="s">
        <v>165</v>
      </c>
      <c r="K77" s="14"/>
      <c r="L77" s="14"/>
      <c r="M77" s="13"/>
    </row>
    <row r="78" customFormat="false" ht="15" hidden="false" customHeight="false" outlineLevel="0" collapsed="false">
      <c r="A78" s="6" t="n">
        <v>74</v>
      </c>
      <c r="B78" s="7" t="s">
        <v>166</v>
      </c>
      <c r="C78" s="8" t="s">
        <v>143</v>
      </c>
      <c r="D78" s="9" t="n">
        <v>0.010158912037037</v>
      </c>
      <c r="E78" s="10" t="n">
        <v>75</v>
      </c>
      <c r="F78" s="11"/>
      <c r="G78" s="12"/>
      <c r="H78" s="11" t="n">
        <v>0.00270787037037037</v>
      </c>
      <c r="I78" s="12" t="n">
        <v>32</v>
      </c>
      <c r="J78" s="14"/>
      <c r="K78" s="14"/>
      <c r="L78" s="14"/>
      <c r="M78" s="13"/>
    </row>
    <row r="79" customFormat="false" ht="15" hidden="false" customHeight="false" outlineLevel="0" collapsed="false">
      <c r="A79" s="6" t="n">
        <v>75</v>
      </c>
      <c r="B79" s="7" t="s">
        <v>167</v>
      </c>
      <c r="C79" s="8" t="s">
        <v>158</v>
      </c>
      <c r="D79" s="9" t="n">
        <v>0.010159837962963</v>
      </c>
      <c r="E79" s="10" t="n">
        <v>76</v>
      </c>
      <c r="F79" s="11"/>
      <c r="G79" s="12"/>
      <c r="H79" s="11" t="n">
        <v>0.00273576388888889</v>
      </c>
      <c r="I79" s="12" t="n">
        <v>75</v>
      </c>
      <c r="J79" s="14"/>
      <c r="K79" s="14"/>
      <c r="L79" s="14"/>
      <c r="M79" s="13"/>
    </row>
    <row r="80" customFormat="false" ht="15" hidden="false" customHeight="false" outlineLevel="0" collapsed="false">
      <c r="A80" s="6" t="n">
        <v>76</v>
      </c>
      <c r="B80" s="7" t="s">
        <v>168</v>
      </c>
      <c r="C80" s="8" t="s">
        <v>16</v>
      </c>
      <c r="D80" s="9" t="n">
        <v>0.0101636574074074</v>
      </c>
      <c r="E80" s="10" t="n">
        <v>77</v>
      </c>
      <c r="F80" s="11" t="n">
        <v>0.00668576388888889</v>
      </c>
      <c r="G80" s="12" t="n">
        <v>103</v>
      </c>
      <c r="H80" s="11" t="n">
        <v>0.00296979166666667</v>
      </c>
      <c r="I80" s="12" t="n">
        <v>1310</v>
      </c>
      <c r="J80" s="14"/>
      <c r="K80" s="14"/>
      <c r="L80" s="14"/>
      <c r="M80" s="13"/>
    </row>
    <row r="81" customFormat="false" ht="15" hidden="false" customHeight="false" outlineLevel="0" collapsed="false">
      <c r="A81" s="6" t="n">
        <v>77</v>
      </c>
      <c r="B81" s="7" t="s">
        <v>169</v>
      </c>
      <c r="C81" s="8" t="s">
        <v>28</v>
      </c>
      <c r="D81" s="9" t="n">
        <v>0.0101642361111111</v>
      </c>
      <c r="E81" s="10" t="n">
        <v>78</v>
      </c>
      <c r="F81" s="11" t="n">
        <v>0.00702662037037037</v>
      </c>
      <c r="G81" s="12" t="n">
        <v>360</v>
      </c>
      <c r="H81" s="11" t="n">
        <v>0.00284363425925926</v>
      </c>
      <c r="I81" s="12" t="n">
        <v>522</v>
      </c>
      <c r="J81" s="14" t="s">
        <v>170</v>
      </c>
      <c r="K81" s="14"/>
      <c r="L81" s="14"/>
      <c r="M81" s="13"/>
    </row>
    <row r="82" customFormat="false" ht="15" hidden="false" customHeight="false" outlineLevel="0" collapsed="false">
      <c r="A82" s="6" t="n">
        <v>78</v>
      </c>
      <c r="B82" s="7" t="s">
        <v>171</v>
      </c>
      <c r="C82" s="8" t="s">
        <v>172</v>
      </c>
      <c r="D82" s="9" t="n">
        <v>0.0101675925925926</v>
      </c>
      <c r="E82" s="10" t="n">
        <v>79</v>
      </c>
      <c r="F82" s="11"/>
      <c r="G82" s="12"/>
      <c r="H82" s="11" t="n">
        <v>0.00288171296296296</v>
      </c>
      <c r="I82" s="12" t="n">
        <v>785</v>
      </c>
      <c r="J82" s="14" t="s">
        <v>173</v>
      </c>
      <c r="K82" s="14"/>
      <c r="L82" s="14"/>
      <c r="M82" s="13"/>
    </row>
    <row r="83" customFormat="false" ht="15" hidden="false" customHeight="false" outlineLevel="0" collapsed="false">
      <c r="A83" s="15" t="n">
        <v>79</v>
      </c>
      <c r="B83" s="16" t="s">
        <v>174</v>
      </c>
      <c r="C83" s="17" t="s">
        <v>18</v>
      </c>
      <c r="D83" s="18" t="n">
        <v>0.0101733796296296</v>
      </c>
      <c r="E83" s="19" t="n">
        <v>80</v>
      </c>
      <c r="F83" s="20"/>
      <c r="G83" s="21"/>
      <c r="H83" s="20"/>
      <c r="I83" s="21"/>
      <c r="J83" s="22" t="s">
        <v>175</v>
      </c>
      <c r="K83" s="22"/>
      <c r="L83" s="22"/>
      <c r="M83" s="13"/>
    </row>
    <row r="84" customFormat="false" ht="15" hidden="false" customHeight="false" outlineLevel="0" collapsed="false">
      <c r="A84" s="6" t="n">
        <v>80</v>
      </c>
      <c r="B84" s="7" t="s">
        <v>176</v>
      </c>
      <c r="C84" s="8" t="s">
        <v>122</v>
      </c>
      <c r="D84" s="9" t="n">
        <v>0.0101733796296296</v>
      </c>
      <c r="E84" s="10" t="n">
        <v>81</v>
      </c>
      <c r="F84" s="11"/>
      <c r="G84" s="12"/>
      <c r="H84" s="11" t="n">
        <v>0.00274398148148148</v>
      </c>
      <c r="I84" s="12" t="n">
        <v>87</v>
      </c>
      <c r="J84" s="14"/>
      <c r="K84" s="14" t="s">
        <v>177</v>
      </c>
      <c r="L84" s="14"/>
      <c r="M84" s="13"/>
    </row>
    <row r="85" customFormat="false" ht="15" hidden="false" customHeight="false" outlineLevel="0" collapsed="false">
      <c r="A85" s="6" t="n">
        <v>81</v>
      </c>
      <c r="B85" s="7" t="s">
        <v>178</v>
      </c>
      <c r="C85" s="8" t="s">
        <v>179</v>
      </c>
      <c r="D85" s="9" t="n">
        <v>0.0101737268518519</v>
      </c>
      <c r="E85" s="10" t="n">
        <v>82</v>
      </c>
      <c r="F85" s="11"/>
      <c r="G85" s="12"/>
      <c r="H85" s="11" t="n">
        <v>0.00268391203703704</v>
      </c>
      <c r="I85" s="12" t="n">
        <v>15</v>
      </c>
      <c r="J85" s="14" t="s">
        <v>180</v>
      </c>
      <c r="K85" s="14"/>
      <c r="L85" s="14"/>
      <c r="M85" s="13"/>
    </row>
    <row r="86" customFormat="false" ht="15" hidden="false" customHeight="false" outlineLevel="0" collapsed="false">
      <c r="A86" s="6" t="n">
        <v>82</v>
      </c>
      <c r="B86" s="7" t="s">
        <v>181</v>
      </c>
      <c r="C86" s="8" t="s">
        <v>143</v>
      </c>
      <c r="D86" s="9" t="n">
        <v>0.0101766203703704</v>
      </c>
      <c r="E86" s="10" t="n">
        <v>83</v>
      </c>
      <c r="F86" s="11"/>
      <c r="G86" s="12"/>
      <c r="H86" s="11" t="n">
        <v>0.00272847222222222</v>
      </c>
      <c r="I86" s="12" t="n">
        <v>60</v>
      </c>
      <c r="J86" s="14"/>
      <c r="K86" s="14"/>
      <c r="L86" s="14"/>
      <c r="M86" s="13"/>
    </row>
    <row r="87" customFormat="false" ht="15" hidden="false" customHeight="false" outlineLevel="0" collapsed="false">
      <c r="A87" s="6" t="n">
        <v>83</v>
      </c>
      <c r="B87" s="7" t="s">
        <v>182</v>
      </c>
      <c r="C87" s="8" t="s">
        <v>18</v>
      </c>
      <c r="D87" s="9" t="n">
        <v>0.0101787037037037</v>
      </c>
      <c r="E87" s="10" t="n">
        <v>84</v>
      </c>
      <c r="F87" s="11" t="n">
        <v>0.00635891203703704</v>
      </c>
      <c r="G87" s="12" t="n">
        <v>10</v>
      </c>
      <c r="H87" s="11"/>
      <c r="I87" s="12"/>
      <c r="J87" s="14" t="s">
        <v>173</v>
      </c>
      <c r="K87" s="14"/>
      <c r="L87" s="14"/>
      <c r="M87" s="13"/>
    </row>
    <row r="88" customFormat="false" ht="15" hidden="false" customHeight="false" outlineLevel="0" collapsed="false">
      <c r="A88" s="6" t="n">
        <v>84</v>
      </c>
      <c r="B88" s="7" t="s">
        <v>183</v>
      </c>
      <c r="C88" s="8" t="s">
        <v>25</v>
      </c>
      <c r="D88" s="9" t="n">
        <v>0.0101798611111111</v>
      </c>
      <c r="E88" s="10" t="n">
        <v>85</v>
      </c>
      <c r="F88" s="11"/>
      <c r="G88" s="12"/>
      <c r="H88" s="11" t="n">
        <v>0.002865625</v>
      </c>
      <c r="I88" s="12" t="n">
        <v>668</v>
      </c>
      <c r="J88" s="14" t="s">
        <v>184</v>
      </c>
      <c r="K88" s="14"/>
      <c r="L88" s="14"/>
      <c r="M88" s="13"/>
    </row>
    <row r="89" customFormat="false" ht="15" hidden="false" customHeight="false" outlineLevel="0" collapsed="false">
      <c r="A89" s="6" t="n">
        <v>85</v>
      </c>
      <c r="B89" s="7" t="s">
        <v>185</v>
      </c>
      <c r="C89" s="8" t="s">
        <v>186</v>
      </c>
      <c r="D89" s="9" t="n">
        <v>0.0101837962962963</v>
      </c>
      <c r="E89" s="10" t="n">
        <v>86</v>
      </c>
      <c r="F89" s="11"/>
      <c r="G89" s="12"/>
      <c r="H89" s="11" t="n">
        <v>0.00292476851851852</v>
      </c>
      <c r="I89" s="12" t="n">
        <v>1142</v>
      </c>
      <c r="J89" s="14"/>
      <c r="K89" s="14"/>
      <c r="L89" s="14"/>
      <c r="M89" s="13"/>
    </row>
    <row r="90" customFormat="false" ht="15" hidden="false" customHeight="false" outlineLevel="0" collapsed="false">
      <c r="A90" s="6" t="n">
        <v>86</v>
      </c>
      <c r="B90" s="7" t="s">
        <v>187</v>
      </c>
      <c r="C90" s="8" t="s">
        <v>188</v>
      </c>
      <c r="D90" s="9" t="n">
        <v>0.0101858796296296</v>
      </c>
      <c r="E90" s="10" t="n">
        <v>87</v>
      </c>
      <c r="F90" s="11"/>
      <c r="G90" s="12"/>
      <c r="H90" s="11" t="n">
        <v>0.00276203703703704</v>
      </c>
      <c r="I90" s="12" t="n">
        <v>140</v>
      </c>
      <c r="J90" s="14"/>
      <c r="K90" s="14"/>
      <c r="L90" s="14"/>
      <c r="M90" s="13"/>
    </row>
    <row r="91" customFormat="false" ht="15" hidden="false" customHeight="false" outlineLevel="0" collapsed="false">
      <c r="A91" s="6" t="n">
        <v>87</v>
      </c>
      <c r="B91" s="7" t="s">
        <v>189</v>
      </c>
      <c r="C91" s="8" t="s">
        <v>58</v>
      </c>
      <c r="D91" s="9" t="n">
        <v>0.0101863425925926</v>
      </c>
      <c r="E91" s="10" t="n">
        <v>88</v>
      </c>
      <c r="F91" s="11"/>
      <c r="G91" s="12"/>
      <c r="H91" s="11" t="n">
        <v>0.00270231481481482</v>
      </c>
      <c r="I91" s="12" t="n">
        <v>27</v>
      </c>
      <c r="J91" s="14" t="s">
        <v>190</v>
      </c>
      <c r="K91" s="14"/>
      <c r="L91" s="14"/>
      <c r="M91" s="13"/>
    </row>
    <row r="92" customFormat="false" ht="15" hidden="false" customHeight="false" outlineLevel="0" collapsed="false">
      <c r="A92" s="6" t="n">
        <v>88</v>
      </c>
      <c r="B92" s="7" t="s">
        <v>191</v>
      </c>
      <c r="C92" s="8" t="s">
        <v>192</v>
      </c>
      <c r="D92" s="9" t="n">
        <v>0.0101872685185185</v>
      </c>
      <c r="E92" s="10" t="n">
        <v>89</v>
      </c>
      <c r="F92" s="11"/>
      <c r="G92" s="12"/>
      <c r="H92" s="11" t="n">
        <v>0.00286180555555556</v>
      </c>
      <c r="I92" s="12" t="n">
        <v>643</v>
      </c>
      <c r="J92" s="14"/>
      <c r="K92" s="14"/>
      <c r="L92" s="14"/>
      <c r="M92" s="13"/>
    </row>
    <row r="93" customFormat="false" ht="15" hidden="false" customHeight="false" outlineLevel="0" collapsed="false">
      <c r="A93" s="6" t="n">
        <v>89</v>
      </c>
      <c r="B93" s="7" t="s">
        <v>193</v>
      </c>
      <c r="C93" s="8" t="s">
        <v>148</v>
      </c>
      <c r="D93" s="9" t="n">
        <v>0.0101877314814815</v>
      </c>
      <c r="E93" s="10" t="n">
        <v>90</v>
      </c>
      <c r="F93" s="11"/>
      <c r="G93" s="12"/>
      <c r="H93" s="11" t="n">
        <v>0.00289039351851852</v>
      </c>
      <c r="I93" s="12" t="n">
        <v>871</v>
      </c>
      <c r="J93" s="14"/>
      <c r="K93" s="14"/>
      <c r="L93" s="14"/>
      <c r="M93" s="13"/>
    </row>
    <row r="94" customFormat="false" ht="15" hidden="false" customHeight="false" outlineLevel="0" collapsed="false">
      <c r="A94" s="6" t="n">
        <v>90</v>
      </c>
      <c r="B94" s="7" t="s">
        <v>194</v>
      </c>
      <c r="C94" s="8" t="s">
        <v>192</v>
      </c>
      <c r="D94" s="9" t="n">
        <v>0.0101881944444444</v>
      </c>
      <c r="E94" s="10" t="n">
        <v>91</v>
      </c>
      <c r="F94" s="11" t="n">
        <v>0.00665277777777778</v>
      </c>
      <c r="G94" s="12" t="n">
        <v>84</v>
      </c>
      <c r="H94" s="11" t="n">
        <v>0.00280810185185185</v>
      </c>
      <c r="I94" s="12" t="n">
        <v>317</v>
      </c>
      <c r="J94" s="14"/>
      <c r="K94" s="14"/>
      <c r="L94" s="14"/>
      <c r="M94" s="13"/>
    </row>
    <row r="95" customFormat="false" ht="15" hidden="false" customHeight="false" outlineLevel="0" collapsed="false">
      <c r="A95" s="6" t="n">
        <v>91</v>
      </c>
      <c r="B95" s="7" t="s">
        <v>195</v>
      </c>
      <c r="C95" s="8" t="s">
        <v>192</v>
      </c>
      <c r="D95" s="9" t="n">
        <v>0.0101917824074074</v>
      </c>
      <c r="E95" s="10" t="n">
        <v>92</v>
      </c>
      <c r="F95" s="11"/>
      <c r="G95" s="12"/>
      <c r="H95" s="11" t="n">
        <v>0.0028181712962963</v>
      </c>
      <c r="I95" s="12" t="n">
        <v>355</v>
      </c>
      <c r="J95" s="14"/>
      <c r="K95" s="14"/>
      <c r="L95" s="14"/>
      <c r="M95" s="13"/>
    </row>
    <row r="96" customFormat="false" ht="15" hidden="false" customHeight="false" outlineLevel="0" collapsed="false">
      <c r="A96" s="6" t="n">
        <v>92</v>
      </c>
      <c r="B96" s="7" t="s">
        <v>196</v>
      </c>
      <c r="C96" s="8" t="s">
        <v>197</v>
      </c>
      <c r="D96" s="9" t="n">
        <v>0.0101918981481482</v>
      </c>
      <c r="E96" s="10" t="n">
        <v>93</v>
      </c>
      <c r="F96" s="11"/>
      <c r="G96" s="12"/>
      <c r="H96" s="11" t="n">
        <v>0.00282222222222222</v>
      </c>
      <c r="I96" s="12" t="n">
        <v>375</v>
      </c>
      <c r="J96" s="14" t="s">
        <v>198</v>
      </c>
      <c r="K96" s="14"/>
      <c r="L96" s="14"/>
      <c r="M96" s="13"/>
    </row>
    <row r="97" customFormat="false" ht="15" hidden="false" customHeight="false" outlineLevel="0" collapsed="false">
      <c r="A97" s="6" t="n">
        <v>93</v>
      </c>
      <c r="B97" s="7" t="s">
        <v>199</v>
      </c>
      <c r="C97" s="8" t="s">
        <v>200</v>
      </c>
      <c r="D97" s="9" t="n">
        <v>0.0101935185185185</v>
      </c>
      <c r="E97" s="10" t="n">
        <v>94</v>
      </c>
      <c r="F97" s="11"/>
      <c r="G97" s="12"/>
      <c r="H97" s="11" t="n">
        <v>0.00275324074074074</v>
      </c>
      <c r="I97" s="12" t="n">
        <v>111</v>
      </c>
      <c r="J97" s="14"/>
      <c r="K97" s="14"/>
      <c r="L97" s="14"/>
      <c r="M97" s="13"/>
    </row>
    <row r="98" customFormat="false" ht="15" hidden="false" customHeight="false" outlineLevel="0" collapsed="false">
      <c r="A98" s="6" t="n">
        <v>94</v>
      </c>
      <c r="B98" s="7" t="s">
        <v>201</v>
      </c>
      <c r="C98" s="8" t="s">
        <v>202</v>
      </c>
      <c r="D98" s="9" t="n">
        <v>0.0101960648148148</v>
      </c>
      <c r="E98" s="10" t="n">
        <v>95</v>
      </c>
      <c r="F98" s="11"/>
      <c r="G98" s="12"/>
      <c r="H98" s="11" t="n">
        <v>0.00269340277777778</v>
      </c>
      <c r="I98" s="12" t="n">
        <v>23</v>
      </c>
      <c r="J98" s="14"/>
      <c r="K98" s="14"/>
      <c r="L98" s="14"/>
      <c r="M98" s="13"/>
    </row>
    <row r="99" customFormat="false" ht="15" hidden="false" customHeight="false" outlineLevel="0" collapsed="false">
      <c r="A99" s="6" t="n">
        <v>95</v>
      </c>
      <c r="B99" s="7" t="s">
        <v>203</v>
      </c>
      <c r="C99" s="8" t="s">
        <v>80</v>
      </c>
      <c r="D99" s="9" t="n">
        <v>0.0101975694444444</v>
      </c>
      <c r="E99" s="10" t="n">
        <v>96</v>
      </c>
      <c r="F99" s="11"/>
      <c r="G99" s="12"/>
      <c r="H99" s="11" t="n">
        <v>0.00275451388888889</v>
      </c>
      <c r="I99" s="12" t="n">
        <v>119</v>
      </c>
      <c r="J99" s="14"/>
      <c r="K99" s="14"/>
      <c r="L99" s="14"/>
      <c r="M99" s="13"/>
    </row>
    <row r="100" customFormat="false" ht="15" hidden="false" customHeight="false" outlineLevel="0" collapsed="false">
      <c r="A100" s="6" t="n">
        <v>96</v>
      </c>
      <c r="B100" s="7" t="s">
        <v>204</v>
      </c>
      <c r="C100" s="8" t="s">
        <v>205</v>
      </c>
      <c r="D100" s="9" t="n">
        <v>0.0102012731481482</v>
      </c>
      <c r="E100" s="10" t="n">
        <v>97</v>
      </c>
      <c r="F100" s="11" t="n">
        <v>0.00648483796296296</v>
      </c>
      <c r="G100" s="12" t="n">
        <v>31</v>
      </c>
      <c r="H100" s="11" t="n">
        <v>0.00275451388888889</v>
      </c>
      <c r="I100" s="12" t="n">
        <v>120</v>
      </c>
      <c r="J100" s="14"/>
      <c r="K100" s="14"/>
      <c r="L100" s="14"/>
      <c r="M100" s="13"/>
    </row>
    <row r="101" customFormat="false" ht="15" hidden="false" customHeight="false" outlineLevel="0" collapsed="false">
      <c r="A101" s="6" t="n">
        <v>97</v>
      </c>
      <c r="B101" s="7" t="s">
        <v>206</v>
      </c>
      <c r="C101" s="8" t="s">
        <v>207</v>
      </c>
      <c r="D101" s="9" t="n">
        <v>0.0102041666666667</v>
      </c>
      <c r="E101" s="10" t="n">
        <v>98</v>
      </c>
      <c r="F101" s="11"/>
      <c r="G101" s="12"/>
      <c r="H101" s="11" t="n">
        <v>0.00267743055555556</v>
      </c>
      <c r="I101" s="12" t="n">
        <v>11</v>
      </c>
      <c r="J101" s="14" t="s">
        <v>208</v>
      </c>
      <c r="K101" s="14"/>
      <c r="L101" s="14"/>
      <c r="M101" s="13"/>
    </row>
    <row r="102" customFormat="false" ht="15" hidden="false" customHeight="false" outlineLevel="0" collapsed="false">
      <c r="A102" s="6" t="n">
        <v>98</v>
      </c>
      <c r="B102" s="7" t="s">
        <v>209</v>
      </c>
      <c r="C102" s="8" t="s">
        <v>210</v>
      </c>
      <c r="D102" s="9" t="n">
        <v>0.0102086805555556</v>
      </c>
      <c r="E102" s="10" t="n">
        <v>99</v>
      </c>
      <c r="F102" s="11"/>
      <c r="G102" s="12"/>
      <c r="H102" s="11"/>
      <c r="I102" s="12"/>
      <c r="J102" s="14"/>
      <c r="K102" s="14"/>
      <c r="L102" s="14"/>
      <c r="M102" s="13"/>
    </row>
    <row r="103" customFormat="false" ht="15" hidden="false" customHeight="false" outlineLevel="0" collapsed="false">
      <c r="A103" s="6" t="n">
        <v>99</v>
      </c>
      <c r="B103" s="7" t="s">
        <v>211</v>
      </c>
      <c r="C103" s="8" t="s">
        <v>212</v>
      </c>
      <c r="D103" s="9" t="n">
        <v>0.0102087962962963</v>
      </c>
      <c r="E103" s="10" t="n">
        <v>100</v>
      </c>
      <c r="F103" s="11"/>
      <c r="G103" s="12"/>
      <c r="H103" s="11"/>
      <c r="I103" s="12"/>
      <c r="J103" s="14"/>
      <c r="K103" s="14"/>
      <c r="L103" s="14"/>
      <c r="M103" s="13"/>
    </row>
    <row r="104" customFormat="false" ht="15" hidden="false" customHeight="false" outlineLevel="0" collapsed="false">
      <c r="A104" s="6" t="n">
        <v>100</v>
      </c>
      <c r="B104" s="7" t="s">
        <v>213</v>
      </c>
      <c r="C104" s="8" t="s">
        <v>64</v>
      </c>
      <c r="D104" s="9" t="n">
        <v>0.0102111111111111</v>
      </c>
      <c r="E104" s="10" t="n">
        <v>101</v>
      </c>
      <c r="F104" s="11"/>
      <c r="G104" s="12"/>
      <c r="H104" s="11" t="n">
        <v>0.00277835648148148</v>
      </c>
      <c r="I104" s="12" t="n">
        <v>194</v>
      </c>
      <c r="J104" s="14"/>
      <c r="K104" s="14"/>
      <c r="L104" s="14"/>
      <c r="M104" s="13"/>
    </row>
    <row r="105" customFormat="false" ht="15" hidden="false" customHeight="false" outlineLevel="0" collapsed="false">
      <c r="A105" s="6" t="n">
        <v>101</v>
      </c>
      <c r="B105" s="7" t="s">
        <v>214</v>
      </c>
      <c r="C105" s="8" t="s">
        <v>154</v>
      </c>
      <c r="D105" s="9" t="n">
        <v>0.0102140046296296</v>
      </c>
      <c r="E105" s="10" t="n">
        <v>102</v>
      </c>
      <c r="F105" s="11" t="n">
        <v>0.00633553240740741</v>
      </c>
      <c r="G105" s="12" t="n">
        <v>6</v>
      </c>
      <c r="H105" s="11" t="n">
        <v>0.00285925925925926</v>
      </c>
      <c r="I105" s="12" t="n">
        <v>630</v>
      </c>
      <c r="J105" s="14" t="s">
        <v>215</v>
      </c>
      <c r="K105" s="14"/>
      <c r="L105" s="14"/>
      <c r="M105" s="13"/>
    </row>
    <row r="106" customFormat="false" ht="15" hidden="false" customHeight="false" outlineLevel="0" collapsed="false">
      <c r="A106" s="6" t="n">
        <v>102</v>
      </c>
      <c r="B106" s="7" t="s">
        <v>216</v>
      </c>
      <c r="C106" s="8" t="s">
        <v>134</v>
      </c>
      <c r="D106" s="9" t="n">
        <v>0.0102142361111111</v>
      </c>
      <c r="E106" s="10" t="n">
        <v>103</v>
      </c>
      <c r="F106" s="11"/>
      <c r="G106" s="12"/>
      <c r="H106" s="11" t="n">
        <v>0.00272511574074074</v>
      </c>
      <c r="I106" s="12" t="n">
        <v>57</v>
      </c>
      <c r="J106" s="14"/>
      <c r="K106" s="14"/>
      <c r="L106" s="14"/>
      <c r="M106" s="13"/>
    </row>
    <row r="107" customFormat="false" ht="15" hidden="false" customHeight="false" outlineLevel="0" collapsed="false">
      <c r="A107" s="6" t="n">
        <v>103</v>
      </c>
      <c r="B107" s="7" t="s">
        <v>217</v>
      </c>
      <c r="C107" s="8" t="s">
        <v>52</v>
      </c>
      <c r="D107" s="9" t="n">
        <v>0.0102148148148148</v>
      </c>
      <c r="E107" s="10" t="n">
        <v>104</v>
      </c>
      <c r="F107" s="11" t="n">
        <v>0.00623865740740741</v>
      </c>
      <c r="G107" s="12" t="n">
        <v>1</v>
      </c>
      <c r="H107" s="11" t="n">
        <v>0.00286273148148148</v>
      </c>
      <c r="I107" s="12" t="n">
        <v>654</v>
      </c>
      <c r="J107" s="14"/>
      <c r="K107" s="14"/>
      <c r="L107" s="14"/>
      <c r="M107" s="13"/>
    </row>
    <row r="108" customFormat="false" ht="15" hidden="false" customHeight="false" outlineLevel="0" collapsed="false">
      <c r="A108" s="6" t="n">
        <v>104</v>
      </c>
      <c r="B108" s="7" t="s">
        <v>218</v>
      </c>
      <c r="C108" s="8" t="s">
        <v>52</v>
      </c>
      <c r="D108" s="9" t="n">
        <v>0.010215625</v>
      </c>
      <c r="E108" s="10" t="n">
        <v>105</v>
      </c>
      <c r="F108" s="11"/>
      <c r="G108" s="12"/>
      <c r="H108" s="11" t="n">
        <v>0.00285358796296296</v>
      </c>
      <c r="I108" s="12" t="n">
        <v>590</v>
      </c>
      <c r="J108" s="14"/>
      <c r="K108" s="14"/>
      <c r="L108" s="14"/>
      <c r="M108" s="13"/>
    </row>
    <row r="109" customFormat="false" ht="15" hidden="false" customHeight="false" outlineLevel="0" collapsed="false">
      <c r="A109" s="6" t="n">
        <v>105</v>
      </c>
      <c r="B109" s="7" t="s">
        <v>219</v>
      </c>
      <c r="C109" s="8" t="s">
        <v>192</v>
      </c>
      <c r="D109" s="9" t="n">
        <v>0.0102157407407407</v>
      </c>
      <c r="E109" s="10" t="n">
        <v>106</v>
      </c>
      <c r="F109" s="11" t="n">
        <v>0.00668009259259259</v>
      </c>
      <c r="G109" s="12" t="n">
        <v>98</v>
      </c>
      <c r="H109" s="11"/>
      <c r="I109" s="12"/>
      <c r="J109" s="14"/>
      <c r="K109" s="14"/>
      <c r="L109" s="14"/>
      <c r="M109" s="13"/>
    </row>
    <row r="110" customFormat="false" ht="15" hidden="false" customHeight="false" outlineLevel="0" collapsed="false">
      <c r="A110" s="6" t="n">
        <v>106</v>
      </c>
      <c r="B110" s="7" t="s">
        <v>220</v>
      </c>
      <c r="C110" s="8" t="s">
        <v>221</v>
      </c>
      <c r="D110" s="9" t="n">
        <v>0.0102170138888889</v>
      </c>
      <c r="E110" s="10" t="n">
        <v>107</v>
      </c>
      <c r="F110" s="11"/>
      <c r="G110" s="12"/>
      <c r="H110" s="11" t="n">
        <v>0.00274849537037037</v>
      </c>
      <c r="I110" s="12" t="n">
        <v>97</v>
      </c>
      <c r="J110" s="14"/>
      <c r="K110" s="14" t="s">
        <v>222</v>
      </c>
      <c r="L110" s="14"/>
      <c r="M110" s="13"/>
    </row>
    <row r="111" customFormat="false" ht="15" hidden="false" customHeight="false" outlineLevel="0" collapsed="false">
      <c r="A111" s="6" t="n">
        <v>107</v>
      </c>
      <c r="B111" s="7" t="s">
        <v>223</v>
      </c>
      <c r="C111" s="8" t="s">
        <v>160</v>
      </c>
      <c r="D111" s="9" t="n">
        <v>0.0102188657407407</v>
      </c>
      <c r="E111" s="10" t="n">
        <v>108</v>
      </c>
      <c r="F111" s="11"/>
      <c r="G111" s="12"/>
      <c r="H111" s="11" t="n">
        <v>0.00279363425925926</v>
      </c>
      <c r="I111" s="12" t="n">
        <v>252</v>
      </c>
      <c r="J111" s="14"/>
      <c r="K111" s="14"/>
      <c r="L111" s="14"/>
      <c r="M111" s="13"/>
    </row>
    <row r="112" customFormat="false" ht="15" hidden="false" customHeight="false" outlineLevel="0" collapsed="false">
      <c r="A112" s="6" t="n">
        <v>108</v>
      </c>
      <c r="B112" s="7" t="s">
        <v>224</v>
      </c>
      <c r="C112" s="8" t="s">
        <v>23</v>
      </c>
      <c r="D112" s="9" t="n">
        <v>0.0102216435185185</v>
      </c>
      <c r="E112" s="10" t="n">
        <v>109</v>
      </c>
      <c r="F112" s="11"/>
      <c r="G112" s="12"/>
      <c r="H112" s="11" t="n">
        <v>0.00285625</v>
      </c>
      <c r="I112" s="12" t="n">
        <v>610</v>
      </c>
      <c r="J112" s="14"/>
      <c r="K112" s="14"/>
      <c r="L112" s="14"/>
      <c r="M112" s="13"/>
    </row>
    <row r="113" customFormat="false" ht="15" hidden="false" customHeight="false" outlineLevel="0" collapsed="false">
      <c r="A113" s="6" t="n">
        <v>109</v>
      </c>
      <c r="B113" s="7" t="s">
        <v>225</v>
      </c>
      <c r="C113" s="8" t="s">
        <v>148</v>
      </c>
      <c r="D113" s="9" t="n">
        <v>0.0102280092592593</v>
      </c>
      <c r="E113" s="10" t="n">
        <v>110</v>
      </c>
      <c r="F113" s="11"/>
      <c r="G113" s="12"/>
      <c r="H113" s="11" t="n">
        <v>0.00285231481481482</v>
      </c>
      <c r="I113" s="12" t="n">
        <v>581</v>
      </c>
      <c r="J113" s="14"/>
      <c r="K113" s="14"/>
      <c r="L113" s="14"/>
      <c r="M113" s="13"/>
    </row>
    <row r="114" customFormat="false" ht="15" hidden="false" customHeight="false" outlineLevel="0" collapsed="false">
      <c r="A114" s="15" t="n">
        <v>110</v>
      </c>
      <c r="B114" s="16" t="s">
        <v>226</v>
      </c>
      <c r="C114" s="17" t="s">
        <v>116</v>
      </c>
      <c r="D114" s="18" t="n">
        <v>0.0102291666666667</v>
      </c>
      <c r="E114" s="19" t="n">
        <v>111</v>
      </c>
      <c r="F114" s="20"/>
      <c r="G114" s="21"/>
      <c r="H114" s="20" t="n">
        <v>0.00281643518518519</v>
      </c>
      <c r="I114" s="21" t="n">
        <v>346</v>
      </c>
      <c r="J114" s="22" t="s">
        <v>227</v>
      </c>
      <c r="K114" s="22"/>
      <c r="L114" s="22"/>
      <c r="M114" s="13"/>
    </row>
    <row r="115" customFormat="false" ht="15" hidden="false" customHeight="false" outlineLevel="0" collapsed="false">
      <c r="A115" s="15" t="n">
        <v>111</v>
      </c>
      <c r="B115" s="16" t="s">
        <v>228</v>
      </c>
      <c r="C115" s="17" t="s">
        <v>229</v>
      </c>
      <c r="D115" s="18" t="n">
        <v>0.0102315972222222</v>
      </c>
      <c r="E115" s="19" t="n">
        <v>112</v>
      </c>
      <c r="F115" s="20"/>
      <c r="G115" s="21"/>
      <c r="H115" s="20" t="n">
        <v>0.00273877314814815</v>
      </c>
      <c r="I115" s="21" t="n">
        <v>83</v>
      </c>
      <c r="J115" s="22"/>
      <c r="K115" s="22"/>
      <c r="L115" s="22"/>
      <c r="M115" s="13"/>
    </row>
    <row r="116" customFormat="false" ht="15" hidden="false" customHeight="false" outlineLevel="0" collapsed="false">
      <c r="A116" s="6" t="n">
        <v>112</v>
      </c>
      <c r="B116" s="7" t="s">
        <v>230</v>
      </c>
      <c r="C116" s="8" t="s">
        <v>28</v>
      </c>
      <c r="D116" s="9" t="n">
        <v>0.010234837962963</v>
      </c>
      <c r="E116" s="10" t="n">
        <v>113</v>
      </c>
      <c r="F116" s="11"/>
      <c r="G116" s="12"/>
      <c r="H116" s="11"/>
      <c r="I116" s="12"/>
      <c r="J116" s="14"/>
      <c r="K116" s="14"/>
      <c r="L116" s="14"/>
      <c r="M116" s="13"/>
    </row>
    <row r="117" customFormat="false" ht="15" hidden="false" customHeight="false" outlineLevel="0" collapsed="false">
      <c r="A117" s="6" t="n">
        <v>113</v>
      </c>
      <c r="B117" s="7" t="s">
        <v>231</v>
      </c>
      <c r="C117" s="8" t="s">
        <v>148</v>
      </c>
      <c r="D117" s="9" t="n">
        <v>0.0102357638888889</v>
      </c>
      <c r="E117" s="10" t="n">
        <v>114</v>
      </c>
      <c r="F117" s="11" t="n">
        <v>0.00656354166666667</v>
      </c>
      <c r="G117" s="12" t="n">
        <v>50</v>
      </c>
      <c r="H117" s="11" t="n">
        <v>0.00269826388888889</v>
      </c>
      <c r="I117" s="12" t="n">
        <v>25</v>
      </c>
      <c r="J117" s="14"/>
      <c r="K117" s="14"/>
      <c r="L117" s="14"/>
      <c r="M117" s="13"/>
    </row>
    <row r="118" customFormat="false" ht="15" hidden="false" customHeight="false" outlineLevel="0" collapsed="false">
      <c r="A118" s="15" t="n">
        <v>114</v>
      </c>
      <c r="B118" s="16" t="s">
        <v>232</v>
      </c>
      <c r="C118" s="17" t="s">
        <v>233</v>
      </c>
      <c r="D118" s="18" t="n">
        <v>0.0102358796296296</v>
      </c>
      <c r="E118" s="19" t="n">
        <v>115</v>
      </c>
      <c r="F118" s="20"/>
      <c r="G118" s="21"/>
      <c r="H118" s="20" t="n">
        <v>0.0029318287037037</v>
      </c>
      <c r="I118" s="21" t="n">
        <v>1177</v>
      </c>
      <c r="J118" s="22" t="s">
        <v>234</v>
      </c>
      <c r="K118" s="22"/>
      <c r="L118" s="22"/>
      <c r="M118" s="13"/>
    </row>
    <row r="119" customFormat="false" ht="15" hidden="false" customHeight="false" outlineLevel="0" collapsed="false">
      <c r="A119" s="6" t="n">
        <v>115</v>
      </c>
      <c r="B119" s="7" t="s">
        <v>235</v>
      </c>
      <c r="C119" s="8" t="s">
        <v>236</v>
      </c>
      <c r="D119" s="9" t="n">
        <v>0.0102368055555556</v>
      </c>
      <c r="E119" s="10" t="n">
        <v>116</v>
      </c>
      <c r="F119" s="11"/>
      <c r="G119" s="12"/>
      <c r="H119" s="11"/>
      <c r="I119" s="12"/>
      <c r="J119" s="14"/>
      <c r="K119" s="14"/>
      <c r="L119" s="14"/>
      <c r="M119" s="13"/>
    </row>
    <row r="120" customFormat="false" ht="15" hidden="false" customHeight="false" outlineLevel="0" collapsed="false">
      <c r="A120" s="6" t="n">
        <v>116</v>
      </c>
      <c r="B120" s="7" t="s">
        <v>237</v>
      </c>
      <c r="C120" s="8" t="s">
        <v>238</v>
      </c>
      <c r="D120" s="9" t="n">
        <v>0.0102376157407407</v>
      </c>
      <c r="E120" s="10" t="n">
        <v>117</v>
      </c>
      <c r="F120" s="11"/>
      <c r="G120" s="12"/>
      <c r="H120" s="11" t="n">
        <v>0.00285590277777778</v>
      </c>
      <c r="I120" s="12" t="n">
        <v>605</v>
      </c>
      <c r="J120" s="14"/>
      <c r="K120" s="14" t="s">
        <v>239</v>
      </c>
      <c r="L120" s="14"/>
      <c r="M120" s="13"/>
    </row>
    <row r="121" customFormat="false" ht="15" hidden="false" customHeight="false" outlineLevel="0" collapsed="false">
      <c r="A121" s="6" t="n">
        <v>117</v>
      </c>
      <c r="B121" s="7" t="s">
        <v>240</v>
      </c>
      <c r="C121" s="8" t="s">
        <v>241</v>
      </c>
      <c r="D121" s="9" t="n">
        <v>0.0102384259259259</v>
      </c>
      <c r="E121" s="10" t="n">
        <v>118</v>
      </c>
      <c r="F121" s="11"/>
      <c r="G121" s="12"/>
      <c r="H121" s="11" t="n">
        <v>0.00276053240740741</v>
      </c>
      <c r="I121" s="12" t="n">
        <v>137</v>
      </c>
      <c r="J121" s="14"/>
      <c r="K121" s="14"/>
      <c r="L121" s="14"/>
      <c r="M121" s="13"/>
    </row>
    <row r="122" customFormat="false" ht="15" hidden="false" customHeight="false" outlineLevel="0" collapsed="false">
      <c r="A122" s="6" t="n">
        <v>118</v>
      </c>
      <c r="B122" s="7" t="s">
        <v>242</v>
      </c>
      <c r="C122" s="8" t="s">
        <v>243</v>
      </c>
      <c r="D122" s="9" t="n">
        <v>0.0102386574074074</v>
      </c>
      <c r="E122" s="10" t="n">
        <v>119</v>
      </c>
      <c r="F122" s="11"/>
      <c r="G122" s="12"/>
      <c r="H122" s="11" t="n">
        <v>0.00282083333333333</v>
      </c>
      <c r="I122" s="12" t="n">
        <v>368</v>
      </c>
      <c r="J122" s="14"/>
      <c r="K122" s="14"/>
      <c r="L122" s="8" t="s">
        <v>244</v>
      </c>
      <c r="M122" s="13"/>
    </row>
    <row r="123" customFormat="false" ht="15" hidden="false" customHeight="false" outlineLevel="0" collapsed="false">
      <c r="A123" s="6" t="n">
        <v>119</v>
      </c>
      <c r="B123" s="7" t="s">
        <v>245</v>
      </c>
      <c r="C123" s="8" t="s">
        <v>246</v>
      </c>
      <c r="D123" s="9" t="n">
        <v>0.0102403935185185</v>
      </c>
      <c r="E123" s="10" t="n">
        <v>120</v>
      </c>
      <c r="F123" s="11"/>
      <c r="G123" s="12"/>
      <c r="H123" s="11" t="n">
        <v>0.00279675925925926</v>
      </c>
      <c r="I123" s="12" t="n">
        <v>268</v>
      </c>
      <c r="J123" s="14" t="s">
        <v>247</v>
      </c>
      <c r="K123" s="14"/>
      <c r="L123" s="14"/>
      <c r="M123" s="13"/>
    </row>
    <row r="124" customFormat="false" ht="15" hidden="false" customHeight="false" outlineLevel="0" collapsed="false">
      <c r="A124" s="6" t="n">
        <v>120</v>
      </c>
      <c r="B124" s="7" t="s">
        <v>248</v>
      </c>
      <c r="C124" s="8" t="s">
        <v>249</v>
      </c>
      <c r="D124" s="9" t="n">
        <v>0.0102405092592593</v>
      </c>
      <c r="E124" s="10" t="n">
        <v>121</v>
      </c>
      <c r="F124" s="11"/>
      <c r="G124" s="12"/>
      <c r="H124" s="11" t="n">
        <v>0.00284490740740741</v>
      </c>
      <c r="I124" s="12" t="n">
        <v>535</v>
      </c>
      <c r="J124" s="14"/>
      <c r="K124" s="14"/>
      <c r="L124" s="14"/>
      <c r="M124" s="13"/>
    </row>
    <row r="125" customFormat="false" ht="15" hidden="false" customHeight="false" outlineLevel="0" collapsed="false">
      <c r="A125" s="6" t="n">
        <v>121</v>
      </c>
      <c r="B125" s="7" t="s">
        <v>250</v>
      </c>
      <c r="C125" s="8" t="s">
        <v>28</v>
      </c>
      <c r="D125" s="9" t="n">
        <v>0.0102427083333333</v>
      </c>
      <c r="E125" s="10" t="n">
        <v>122</v>
      </c>
      <c r="F125" s="11"/>
      <c r="G125" s="12"/>
      <c r="H125" s="11" t="n">
        <v>0.00289537037037037</v>
      </c>
      <c r="I125" s="12" t="n">
        <v>913</v>
      </c>
      <c r="J125" s="14"/>
      <c r="K125" s="14"/>
      <c r="L125" s="14"/>
      <c r="M125" s="13"/>
    </row>
    <row r="126" customFormat="false" ht="15" hidden="false" customHeight="false" outlineLevel="0" collapsed="false">
      <c r="A126" s="6" t="n">
        <v>122</v>
      </c>
      <c r="B126" s="7" t="s">
        <v>251</v>
      </c>
      <c r="C126" s="8" t="s">
        <v>252</v>
      </c>
      <c r="D126" s="9" t="n">
        <v>0.0102435185185185</v>
      </c>
      <c r="E126" s="10" t="n">
        <v>123</v>
      </c>
      <c r="F126" s="11"/>
      <c r="G126" s="12"/>
      <c r="H126" s="11" t="n">
        <v>0.00274872685185185</v>
      </c>
      <c r="I126" s="12" t="n">
        <v>99</v>
      </c>
      <c r="J126" s="14"/>
      <c r="K126" s="14" t="s">
        <v>253</v>
      </c>
      <c r="L126" s="14"/>
      <c r="M126" s="13"/>
    </row>
    <row r="127" customFormat="false" ht="15" hidden="false" customHeight="false" outlineLevel="0" collapsed="false">
      <c r="A127" s="6" t="n">
        <v>123</v>
      </c>
      <c r="B127" s="7" t="s">
        <v>254</v>
      </c>
      <c r="C127" s="8" t="s">
        <v>255</v>
      </c>
      <c r="D127" s="9" t="n">
        <v>0.0102439814814815</v>
      </c>
      <c r="E127" s="10" t="n">
        <v>124</v>
      </c>
      <c r="F127" s="11"/>
      <c r="G127" s="12"/>
      <c r="H127" s="11" t="n">
        <v>0.00282534722222222</v>
      </c>
      <c r="I127" s="12" t="n">
        <v>395</v>
      </c>
      <c r="J127" s="14"/>
      <c r="K127" s="14"/>
      <c r="L127" s="14"/>
      <c r="M127" s="13"/>
    </row>
    <row r="128" customFormat="false" ht="15" hidden="false" customHeight="false" outlineLevel="0" collapsed="false">
      <c r="A128" s="6" t="n">
        <v>124</v>
      </c>
      <c r="B128" s="7" t="s">
        <v>256</v>
      </c>
      <c r="C128" s="8" t="s">
        <v>41</v>
      </c>
      <c r="D128" s="9" t="n">
        <v>0.0102445601851852</v>
      </c>
      <c r="E128" s="10" t="n">
        <v>125</v>
      </c>
      <c r="F128" s="11"/>
      <c r="G128" s="12"/>
      <c r="H128" s="11" t="n">
        <v>0.00285393518518519</v>
      </c>
      <c r="I128" s="12" t="n">
        <v>593</v>
      </c>
      <c r="J128" s="14"/>
      <c r="K128" s="14" t="s">
        <v>257</v>
      </c>
      <c r="L128" s="14"/>
      <c r="M128" s="13"/>
    </row>
    <row r="129" customFormat="false" ht="15" hidden="false" customHeight="false" outlineLevel="0" collapsed="false">
      <c r="A129" s="6" t="n">
        <v>125</v>
      </c>
      <c r="B129" s="7" t="s">
        <v>258</v>
      </c>
      <c r="C129" s="8" t="s">
        <v>259</v>
      </c>
      <c r="D129" s="9" t="n">
        <v>0.0102458333333333</v>
      </c>
      <c r="E129" s="10" t="n">
        <v>126</v>
      </c>
      <c r="F129" s="11" t="n">
        <v>0.00804594907407407</v>
      </c>
      <c r="G129" s="12" t="n">
        <v>1199</v>
      </c>
      <c r="H129" s="11" t="n">
        <v>0.00271724537037037</v>
      </c>
      <c r="I129" s="12" t="n">
        <v>44</v>
      </c>
      <c r="J129" s="14" t="s">
        <v>260</v>
      </c>
      <c r="K129" s="14"/>
      <c r="L129" s="14"/>
      <c r="M129" s="13"/>
    </row>
    <row r="130" customFormat="false" ht="15" hidden="false" customHeight="false" outlineLevel="0" collapsed="false">
      <c r="A130" s="6" t="n">
        <v>126</v>
      </c>
      <c r="B130" s="7" t="s">
        <v>261</v>
      </c>
      <c r="C130" s="8" t="s">
        <v>262</v>
      </c>
      <c r="D130" s="9" t="n">
        <v>0.0102467592592593</v>
      </c>
      <c r="E130" s="10" t="n">
        <v>127</v>
      </c>
      <c r="F130" s="11"/>
      <c r="G130" s="12"/>
      <c r="H130" s="11" t="n">
        <v>0.00287627314814815</v>
      </c>
      <c r="I130" s="12" t="n">
        <v>741</v>
      </c>
      <c r="J130" s="14"/>
      <c r="K130" s="14"/>
      <c r="L130" s="14"/>
      <c r="M130" s="13"/>
    </row>
    <row r="131" customFormat="false" ht="15" hidden="false" customHeight="false" outlineLevel="0" collapsed="false">
      <c r="A131" s="6" t="n">
        <v>127</v>
      </c>
      <c r="B131" s="7" t="s">
        <v>263</v>
      </c>
      <c r="C131" s="8" t="s">
        <v>160</v>
      </c>
      <c r="D131" s="9" t="n">
        <v>0.0102480324074074</v>
      </c>
      <c r="E131" s="10" t="n">
        <v>128</v>
      </c>
      <c r="F131" s="11"/>
      <c r="G131" s="12"/>
      <c r="H131" s="11" t="n">
        <v>0.00277349537037037</v>
      </c>
      <c r="I131" s="12" t="n">
        <v>170</v>
      </c>
      <c r="J131" s="14"/>
      <c r="K131" s="14" t="s">
        <v>264</v>
      </c>
      <c r="L131" s="14"/>
      <c r="M131" s="13"/>
    </row>
    <row r="132" customFormat="false" ht="15" hidden="false" customHeight="false" outlineLevel="0" collapsed="false">
      <c r="A132" s="6" t="n">
        <v>128</v>
      </c>
      <c r="B132" s="7" t="s">
        <v>265</v>
      </c>
      <c r="C132" s="8" t="s">
        <v>266</v>
      </c>
      <c r="D132" s="9" t="n">
        <v>0.0102574074074074</v>
      </c>
      <c r="E132" s="10" t="n">
        <v>129</v>
      </c>
      <c r="F132" s="11"/>
      <c r="G132" s="12"/>
      <c r="H132" s="11" t="n">
        <v>0.00276655092592593</v>
      </c>
      <c r="I132" s="12" t="n">
        <v>152</v>
      </c>
      <c r="J132" s="14"/>
      <c r="K132" s="14"/>
      <c r="L132" s="14"/>
      <c r="M132" s="13"/>
    </row>
    <row r="133" customFormat="false" ht="15" hidden="false" customHeight="false" outlineLevel="0" collapsed="false">
      <c r="A133" s="6" t="n">
        <v>129</v>
      </c>
      <c r="B133" s="7" t="s">
        <v>267</v>
      </c>
      <c r="C133" s="8" t="s">
        <v>268</v>
      </c>
      <c r="D133" s="9" t="n">
        <v>0.0102626157407407</v>
      </c>
      <c r="E133" s="10" t="n">
        <v>130</v>
      </c>
      <c r="F133" s="11"/>
      <c r="G133" s="12"/>
      <c r="H133" s="11" t="n">
        <v>0.0027681712962963</v>
      </c>
      <c r="I133" s="12" t="n">
        <v>158</v>
      </c>
      <c r="J133" s="14"/>
      <c r="K133" s="14"/>
      <c r="L133" s="8" t="s">
        <v>269</v>
      </c>
      <c r="M133" s="13"/>
    </row>
    <row r="134" customFormat="false" ht="15" hidden="false" customHeight="false" outlineLevel="0" collapsed="false">
      <c r="A134" s="6" t="n">
        <v>130</v>
      </c>
      <c r="B134" s="7" t="s">
        <v>270</v>
      </c>
      <c r="C134" s="8" t="s">
        <v>87</v>
      </c>
      <c r="D134" s="9" t="n">
        <v>0.0102633101851852</v>
      </c>
      <c r="E134" s="10" t="n">
        <v>131</v>
      </c>
      <c r="F134" s="11"/>
      <c r="G134" s="12"/>
      <c r="H134" s="11"/>
      <c r="I134" s="12"/>
      <c r="J134" s="14"/>
      <c r="K134" s="14"/>
      <c r="L134" s="14"/>
      <c r="M134" s="13"/>
    </row>
    <row r="135" customFormat="false" ht="15" hidden="false" customHeight="false" outlineLevel="0" collapsed="false">
      <c r="A135" s="6" t="n">
        <v>131</v>
      </c>
      <c r="B135" s="7" t="s">
        <v>271</v>
      </c>
      <c r="C135" s="8" t="s">
        <v>221</v>
      </c>
      <c r="D135" s="9" t="n">
        <v>0.0102657407407407</v>
      </c>
      <c r="E135" s="10" t="n">
        <v>132</v>
      </c>
      <c r="F135" s="11" t="n">
        <v>0.00676458333333333</v>
      </c>
      <c r="G135" s="12" t="n">
        <v>141</v>
      </c>
      <c r="H135" s="11" t="n">
        <v>0.00273703703703704</v>
      </c>
      <c r="I135" s="12" t="n">
        <v>79</v>
      </c>
      <c r="J135" s="14"/>
      <c r="K135" s="14"/>
      <c r="L135" s="14"/>
      <c r="M135" s="13"/>
    </row>
    <row r="136" customFormat="false" ht="15" hidden="false" customHeight="false" outlineLevel="0" collapsed="false">
      <c r="A136" s="6" t="n">
        <v>132</v>
      </c>
      <c r="B136" s="7" t="s">
        <v>272</v>
      </c>
      <c r="C136" s="8" t="s">
        <v>192</v>
      </c>
      <c r="D136" s="9" t="n">
        <v>0.0102665509259259</v>
      </c>
      <c r="E136" s="10" t="n">
        <v>133</v>
      </c>
      <c r="F136" s="11"/>
      <c r="G136" s="12"/>
      <c r="H136" s="11"/>
      <c r="I136" s="12"/>
      <c r="J136" s="14"/>
      <c r="K136" s="14"/>
      <c r="L136" s="14"/>
      <c r="M136" s="13"/>
    </row>
    <row r="137" customFormat="false" ht="15" hidden="false" customHeight="false" outlineLevel="0" collapsed="false">
      <c r="A137" s="6" t="n">
        <v>133</v>
      </c>
      <c r="B137" s="7" t="s">
        <v>273</v>
      </c>
      <c r="C137" s="8" t="s">
        <v>274</v>
      </c>
      <c r="D137" s="9" t="n">
        <v>0.0102667824074074</v>
      </c>
      <c r="E137" s="10" t="n">
        <v>134</v>
      </c>
      <c r="F137" s="11"/>
      <c r="G137" s="12"/>
      <c r="H137" s="11"/>
      <c r="I137" s="12"/>
      <c r="J137" s="14"/>
      <c r="K137" s="14" t="s">
        <v>275</v>
      </c>
      <c r="L137" s="14"/>
      <c r="M137" s="13"/>
    </row>
    <row r="138" customFormat="false" ht="15" hidden="false" customHeight="false" outlineLevel="0" collapsed="false">
      <c r="A138" s="6" t="n">
        <v>134</v>
      </c>
      <c r="B138" s="7" t="s">
        <v>276</v>
      </c>
      <c r="C138" s="8" t="s">
        <v>128</v>
      </c>
      <c r="D138" s="9" t="n">
        <v>0.0102670138888889</v>
      </c>
      <c r="E138" s="10" t="n">
        <v>135</v>
      </c>
      <c r="F138" s="11" t="n">
        <v>0.00697407407407407</v>
      </c>
      <c r="G138" s="12" t="n">
        <v>308</v>
      </c>
      <c r="H138" s="11" t="n">
        <v>0.00291087962962963</v>
      </c>
      <c r="I138" s="12" t="n">
        <v>1028</v>
      </c>
      <c r="J138" s="14"/>
      <c r="K138" s="14"/>
      <c r="L138" s="14"/>
      <c r="M138" s="13"/>
    </row>
    <row r="139" customFormat="false" ht="15" hidden="false" customHeight="false" outlineLevel="0" collapsed="false">
      <c r="A139" s="6" t="n">
        <v>135</v>
      </c>
      <c r="B139" s="7" t="s">
        <v>277</v>
      </c>
      <c r="C139" s="8" t="s">
        <v>278</v>
      </c>
      <c r="D139" s="9" t="n">
        <v>0.0102678240740741</v>
      </c>
      <c r="E139" s="10" t="n">
        <v>136</v>
      </c>
      <c r="F139" s="11"/>
      <c r="G139" s="12"/>
      <c r="H139" s="11"/>
      <c r="I139" s="12"/>
      <c r="J139" s="14"/>
      <c r="K139" s="14" t="s">
        <v>279</v>
      </c>
      <c r="L139" s="14"/>
      <c r="M139" s="13"/>
    </row>
    <row r="140" customFormat="false" ht="15" hidden="false" customHeight="false" outlineLevel="0" collapsed="false">
      <c r="A140" s="6" t="n">
        <v>136</v>
      </c>
      <c r="B140" s="7" t="s">
        <v>280</v>
      </c>
      <c r="C140" s="8" t="s">
        <v>281</v>
      </c>
      <c r="D140" s="9" t="n">
        <v>0.01026875</v>
      </c>
      <c r="E140" s="10" t="n">
        <v>137</v>
      </c>
      <c r="F140" s="11"/>
      <c r="G140" s="12"/>
      <c r="H140" s="11" t="n">
        <v>0.00279618055555556</v>
      </c>
      <c r="I140" s="12" t="n">
        <v>266</v>
      </c>
      <c r="J140" s="14"/>
      <c r="K140" s="14"/>
      <c r="L140" s="14"/>
      <c r="M140" s="13"/>
    </row>
    <row r="141" customFormat="false" ht="15" hidden="false" customHeight="false" outlineLevel="0" collapsed="false">
      <c r="A141" s="6" t="n">
        <v>137</v>
      </c>
      <c r="B141" s="7" t="s">
        <v>282</v>
      </c>
      <c r="C141" s="8" t="s">
        <v>283</v>
      </c>
      <c r="D141" s="9" t="n">
        <v>0.010269212962963</v>
      </c>
      <c r="E141" s="10" t="n">
        <v>138</v>
      </c>
      <c r="F141" s="11"/>
      <c r="G141" s="12"/>
      <c r="H141" s="11" t="n">
        <v>0.0027837962962963</v>
      </c>
      <c r="I141" s="12" t="n">
        <v>215</v>
      </c>
      <c r="J141" s="14"/>
      <c r="K141" s="14"/>
      <c r="L141" s="14"/>
      <c r="M141" s="13"/>
    </row>
    <row r="142" customFormat="false" ht="15" hidden="false" customHeight="false" outlineLevel="0" collapsed="false">
      <c r="A142" s="6" t="n">
        <v>138</v>
      </c>
      <c r="B142" s="7" t="s">
        <v>284</v>
      </c>
      <c r="C142" s="8" t="s">
        <v>18</v>
      </c>
      <c r="D142" s="9" t="n">
        <v>0.0102702546296296</v>
      </c>
      <c r="E142" s="10" t="n">
        <v>139</v>
      </c>
      <c r="F142" s="11"/>
      <c r="G142" s="12"/>
      <c r="H142" s="11" t="n">
        <v>0.00287025462962963</v>
      </c>
      <c r="I142" s="12" t="n">
        <v>697</v>
      </c>
      <c r="J142" s="14"/>
      <c r="K142" s="14"/>
      <c r="L142" s="14"/>
      <c r="M142" s="13"/>
    </row>
    <row r="143" customFormat="false" ht="15" hidden="false" customHeight="false" outlineLevel="0" collapsed="false">
      <c r="A143" s="6" t="n">
        <v>139</v>
      </c>
      <c r="B143" s="7" t="s">
        <v>285</v>
      </c>
      <c r="C143" s="8" t="s">
        <v>221</v>
      </c>
      <c r="D143" s="9" t="n">
        <v>0.0102734953703704</v>
      </c>
      <c r="E143" s="10" t="n">
        <v>140</v>
      </c>
      <c r="F143" s="11"/>
      <c r="G143" s="12"/>
      <c r="H143" s="11" t="n">
        <v>0.00287731481481482</v>
      </c>
      <c r="I143" s="12" t="n">
        <v>749</v>
      </c>
      <c r="J143" s="14"/>
      <c r="K143" s="14" t="s">
        <v>286</v>
      </c>
      <c r="L143" s="14"/>
      <c r="M143" s="13"/>
    </row>
    <row r="144" customFormat="false" ht="15" hidden="false" customHeight="false" outlineLevel="0" collapsed="false">
      <c r="A144" s="6" t="n">
        <v>140</v>
      </c>
      <c r="B144" s="7" t="s">
        <v>287</v>
      </c>
      <c r="C144" s="8" t="s">
        <v>31</v>
      </c>
      <c r="D144" s="9" t="n">
        <v>0.010275462962963</v>
      </c>
      <c r="E144" s="10" t="n">
        <v>141</v>
      </c>
      <c r="F144" s="11"/>
      <c r="G144" s="12"/>
      <c r="H144" s="11" t="n">
        <v>0.00270763888888889</v>
      </c>
      <c r="I144" s="12" t="n">
        <v>31</v>
      </c>
      <c r="J144" s="14"/>
      <c r="K144" s="14" t="s">
        <v>288</v>
      </c>
      <c r="L144" s="14"/>
      <c r="M144" s="13"/>
    </row>
    <row r="145" customFormat="false" ht="15" hidden="false" customHeight="false" outlineLevel="0" collapsed="false">
      <c r="A145" s="6" t="n">
        <v>141</v>
      </c>
      <c r="B145" s="7" t="s">
        <v>289</v>
      </c>
      <c r="C145" s="8" t="s">
        <v>290</v>
      </c>
      <c r="D145" s="9" t="n">
        <v>0.0102767361111111</v>
      </c>
      <c r="E145" s="10" t="n">
        <v>142</v>
      </c>
      <c r="F145" s="11"/>
      <c r="G145" s="12"/>
      <c r="H145" s="11" t="n">
        <v>0.00282476851851852</v>
      </c>
      <c r="I145" s="12" t="n">
        <v>391</v>
      </c>
      <c r="J145" s="14" t="s">
        <v>291</v>
      </c>
      <c r="K145" s="14"/>
      <c r="L145" s="14"/>
      <c r="M145" s="13"/>
    </row>
    <row r="146" customFormat="false" ht="15" hidden="false" customHeight="false" outlineLevel="0" collapsed="false">
      <c r="A146" s="6" t="n">
        <v>142</v>
      </c>
      <c r="B146" s="7" t="s">
        <v>292</v>
      </c>
      <c r="C146" s="8" t="s">
        <v>44</v>
      </c>
      <c r="D146" s="9" t="n">
        <v>0.0102770833333333</v>
      </c>
      <c r="E146" s="10" t="n">
        <v>143</v>
      </c>
      <c r="F146" s="11"/>
      <c r="G146" s="12"/>
      <c r="H146" s="11" t="n">
        <v>0.00292951388888889</v>
      </c>
      <c r="I146" s="12" t="n">
        <v>1173</v>
      </c>
      <c r="J146" s="14" t="s">
        <v>68</v>
      </c>
      <c r="K146" s="14"/>
      <c r="L146" s="14"/>
      <c r="M146" s="13"/>
    </row>
    <row r="147" customFormat="false" ht="15" hidden="false" customHeight="false" outlineLevel="0" collapsed="false">
      <c r="A147" s="6" t="n">
        <v>143</v>
      </c>
      <c r="B147" s="7" t="s">
        <v>293</v>
      </c>
      <c r="C147" s="8" t="s">
        <v>294</v>
      </c>
      <c r="D147" s="9" t="n">
        <v>0.010277662037037</v>
      </c>
      <c r="E147" s="10" t="n">
        <v>144</v>
      </c>
      <c r="F147" s="11"/>
      <c r="G147" s="12"/>
      <c r="H147" s="11" t="n">
        <v>0.00274710648148148</v>
      </c>
      <c r="I147" s="12" t="n">
        <v>94</v>
      </c>
      <c r="J147" s="14"/>
      <c r="K147" s="14"/>
      <c r="L147" s="14"/>
      <c r="M147" s="13"/>
    </row>
    <row r="148" customFormat="false" ht="15" hidden="false" customHeight="false" outlineLevel="0" collapsed="false">
      <c r="A148" s="6" t="n">
        <v>144</v>
      </c>
      <c r="B148" s="7" t="s">
        <v>295</v>
      </c>
      <c r="C148" s="8" t="s">
        <v>296</v>
      </c>
      <c r="D148" s="9" t="n">
        <v>0.0102777777777778</v>
      </c>
      <c r="E148" s="10" t="n">
        <v>145</v>
      </c>
      <c r="F148" s="11"/>
      <c r="G148" s="12"/>
      <c r="H148" s="11" t="n">
        <v>0.00275451388888889</v>
      </c>
      <c r="I148" s="12" t="n">
        <v>118</v>
      </c>
      <c r="J148" s="14"/>
      <c r="K148" s="14"/>
      <c r="L148" s="14"/>
      <c r="M148" s="13"/>
    </row>
    <row r="149" customFormat="false" ht="15" hidden="false" customHeight="false" outlineLevel="0" collapsed="false">
      <c r="A149" s="6" t="n">
        <v>145</v>
      </c>
      <c r="B149" s="7" t="s">
        <v>297</v>
      </c>
      <c r="C149" s="8" t="s">
        <v>212</v>
      </c>
      <c r="D149" s="9" t="n">
        <v>0.0102784722222222</v>
      </c>
      <c r="E149" s="10" t="n">
        <v>146</v>
      </c>
      <c r="F149" s="11" t="n">
        <v>0.00627025462962963</v>
      </c>
      <c r="G149" s="12" t="n">
        <v>3</v>
      </c>
      <c r="H149" s="11" t="n">
        <v>0.0029193287037037</v>
      </c>
      <c r="I149" s="12" t="n">
        <v>1088</v>
      </c>
      <c r="J149" s="14"/>
      <c r="K149" s="14"/>
      <c r="L149" s="14"/>
      <c r="M149" s="13"/>
    </row>
    <row r="150" customFormat="false" ht="15" hidden="false" customHeight="false" outlineLevel="0" collapsed="false">
      <c r="A150" s="6" t="n">
        <v>146</v>
      </c>
      <c r="B150" s="7" t="s">
        <v>298</v>
      </c>
      <c r="C150" s="8" t="s">
        <v>41</v>
      </c>
      <c r="D150" s="9" t="n">
        <v>0.0102784722222222</v>
      </c>
      <c r="E150" s="10" t="n">
        <v>147</v>
      </c>
      <c r="F150" s="11" t="n">
        <v>0.00638402777777778</v>
      </c>
      <c r="G150" s="12" t="n">
        <v>12</v>
      </c>
      <c r="H150" s="11" t="n">
        <v>0.0027630787037037</v>
      </c>
      <c r="I150" s="12" t="n">
        <v>142</v>
      </c>
      <c r="J150" s="14"/>
      <c r="K150" s="14" t="s">
        <v>299</v>
      </c>
      <c r="L150" s="14"/>
      <c r="M150" s="13"/>
    </row>
    <row r="151" customFormat="false" ht="15" hidden="false" customHeight="false" outlineLevel="0" collapsed="false">
      <c r="A151" s="6" t="n">
        <v>147</v>
      </c>
      <c r="B151" s="7" t="s">
        <v>300</v>
      </c>
      <c r="C151" s="8" t="s">
        <v>238</v>
      </c>
      <c r="D151" s="9" t="n">
        <v>0.0102799768518519</v>
      </c>
      <c r="E151" s="10" t="n">
        <v>148</v>
      </c>
      <c r="F151" s="11"/>
      <c r="G151" s="12"/>
      <c r="H151" s="11" t="n">
        <v>0.00274988425925926</v>
      </c>
      <c r="I151" s="12" t="n">
        <v>104</v>
      </c>
      <c r="J151" s="14"/>
      <c r="K151" s="14" t="s">
        <v>301</v>
      </c>
      <c r="L151" s="14"/>
      <c r="M151" s="13"/>
    </row>
    <row r="152" customFormat="false" ht="15" hidden="false" customHeight="false" outlineLevel="0" collapsed="false">
      <c r="A152" s="6" t="n">
        <v>148</v>
      </c>
      <c r="B152" s="7" t="s">
        <v>302</v>
      </c>
      <c r="C152" s="8" t="s">
        <v>200</v>
      </c>
      <c r="D152" s="9" t="n">
        <v>0.0102820601851852</v>
      </c>
      <c r="E152" s="10" t="n">
        <v>149</v>
      </c>
      <c r="F152" s="11" t="n">
        <v>0.00693680555555556</v>
      </c>
      <c r="G152" s="12" t="n">
        <v>280</v>
      </c>
      <c r="H152" s="11" t="n">
        <v>0.00288113425925926</v>
      </c>
      <c r="I152" s="12" t="n">
        <v>778</v>
      </c>
      <c r="J152" s="14"/>
      <c r="K152" s="14"/>
      <c r="L152" s="14"/>
      <c r="M152" s="13"/>
    </row>
    <row r="153" customFormat="false" ht="15" hidden="false" customHeight="false" outlineLevel="0" collapsed="false">
      <c r="A153" s="6" t="n">
        <v>149</v>
      </c>
      <c r="B153" s="7" t="s">
        <v>303</v>
      </c>
      <c r="C153" s="8" t="s">
        <v>304</v>
      </c>
      <c r="D153" s="9" t="n">
        <v>0.0102821759259259</v>
      </c>
      <c r="E153" s="10" t="n">
        <v>150</v>
      </c>
      <c r="F153" s="11"/>
      <c r="G153" s="12"/>
      <c r="H153" s="11" t="n">
        <v>0.00280266203703704</v>
      </c>
      <c r="I153" s="12" t="n">
        <v>294</v>
      </c>
      <c r="J153" s="14"/>
      <c r="K153" s="14"/>
      <c r="L153" s="14"/>
      <c r="M153" s="13"/>
    </row>
    <row r="154" customFormat="false" ht="15" hidden="false" customHeight="false" outlineLevel="0" collapsed="false">
      <c r="A154" s="6" t="n">
        <v>150</v>
      </c>
      <c r="B154" s="7" t="s">
        <v>305</v>
      </c>
      <c r="C154" s="8" t="s">
        <v>306</v>
      </c>
      <c r="D154" s="9" t="n">
        <v>0.0102822916666667</v>
      </c>
      <c r="E154" s="10" t="n">
        <v>151</v>
      </c>
      <c r="F154" s="11"/>
      <c r="G154" s="12"/>
      <c r="H154" s="11" t="n">
        <v>0.00278773148148148</v>
      </c>
      <c r="I154" s="12" t="n">
        <v>233</v>
      </c>
      <c r="J154" s="14" t="s">
        <v>307</v>
      </c>
      <c r="K154" s="14"/>
      <c r="L154" s="14"/>
      <c r="M154" s="13"/>
    </row>
    <row r="155" customFormat="false" ht="15" hidden="false" customHeight="false" outlineLevel="0" collapsed="false">
      <c r="A155" s="6" t="n">
        <v>151</v>
      </c>
      <c r="B155" s="7" t="s">
        <v>308</v>
      </c>
      <c r="C155" s="8" t="s">
        <v>309</v>
      </c>
      <c r="D155" s="9" t="n">
        <v>0.0102828703703704</v>
      </c>
      <c r="E155" s="10" t="n">
        <v>152</v>
      </c>
      <c r="F155" s="11" t="n">
        <v>0.00644189814814815</v>
      </c>
      <c r="G155" s="12" t="n">
        <v>22</v>
      </c>
      <c r="H155" s="11" t="n">
        <v>0.00278020833333333</v>
      </c>
      <c r="I155" s="12" t="n">
        <v>201</v>
      </c>
      <c r="J155" s="14"/>
      <c r="K155" s="14"/>
      <c r="L155" s="14"/>
      <c r="M155" s="13"/>
    </row>
    <row r="156" customFormat="false" ht="15" hidden="false" customHeight="false" outlineLevel="0" collapsed="false">
      <c r="A156" s="6" t="n">
        <v>152</v>
      </c>
      <c r="B156" s="7" t="s">
        <v>310</v>
      </c>
      <c r="C156" s="8" t="s">
        <v>311</v>
      </c>
      <c r="D156" s="9" t="n">
        <v>0.010284837962963</v>
      </c>
      <c r="E156" s="10" t="n">
        <v>153</v>
      </c>
      <c r="F156" s="11"/>
      <c r="G156" s="12"/>
      <c r="H156" s="11" t="n">
        <v>0.00269259259259259</v>
      </c>
      <c r="I156" s="12" t="n">
        <v>21</v>
      </c>
      <c r="J156" s="14"/>
      <c r="K156" s="14"/>
      <c r="L156" s="14"/>
      <c r="M156" s="13"/>
    </row>
    <row r="157" customFormat="false" ht="15" hidden="false" customHeight="false" outlineLevel="0" collapsed="false">
      <c r="A157" s="6" t="n">
        <v>153</v>
      </c>
      <c r="B157" s="7" t="s">
        <v>312</v>
      </c>
      <c r="C157" s="8" t="s">
        <v>313</v>
      </c>
      <c r="D157" s="9" t="n">
        <v>0.0102885416666667</v>
      </c>
      <c r="E157" s="10" t="n">
        <v>154</v>
      </c>
      <c r="F157" s="11"/>
      <c r="G157" s="12"/>
      <c r="H157" s="11" t="n">
        <v>0.00280694444444444</v>
      </c>
      <c r="I157" s="12" t="n">
        <v>313</v>
      </c>
      <c r="J157" s="14"/>
      <c r="K157" s="14" t="s">
        <v>314</v>
      </c>
      <c r="L157" s="14"/>
      <c r="M157" s="13"/>
    </row>
    <row r="158" customFormat="false" ht="15" hidden="false" customHeight="false" outlineLevel="0" collapsed="false">
      <c r="A158" s="6" t="n">
        <v>154</v>
      </c>
      <c r="B158" s="7" t="s">
        <v>315</v>
      </c>
      <c r="C158" s="8" t="s">
        <v>316</v>
      </c>
      <c r="D158" s="9" t="n">
        <v>0.0102916666666667</v>
      </c>
      <c r="E158" s="10" t="n">
        <v>155</v>
      </c>
      <c r="F158" s="11" t="n">
        <v>0.00632650462962963</v>
      </c>
      <c r="G158" s="12" t="n">
        <v>5</v>
      </c>
      <c r="H158" s="11" t="n">
        <v>0.00284988425925926</v>
      </c>
      <c r="I158" s="12" t="n">
        <v>569</v>
      </c>
      <c r="J158" s="14"/>
      <c r="K158" s="14"/>
      <c r="L158" s="14"/>
      <c r="M158" s="13"/>
    </row>
    <row r="159" customFormat="false" ht="15" hidden="false" customHeight="false" outlineLevel="0" collapsed="false">
      <c r="A159" s="6" t="n">
        <v>155</v>
      </c>
      <c r="B159" s="7" t="s">
        <v>317</v>
      </c>
      <c r="C159" s="8" t="s">
        <v>313</v>
      </c>
      <c r="D159" s="9" t="n">
        <v>0.0102929398148148</v>
      </c>
      <c r="E159" s="10" t="n">
        <v>156</v>
      </c>
      <c r="F159" s="11" t="n">
        <v>0.00667303240740741</v>
      </c>
      <c r="G159" s="12" t="n">
        <v>92</v>
      </c>
      <c r="H159" s="11" t="n">
        <v>0.00289953703703704</v>
      </c>
      <c r="I159" s="12" t="n">
        <v>941</v>
      </c>
      <c r="J159" s="14"/>
      <c r="K159" s="14" t="s">
        <v>318</v>
      </c>
      <c r="L159" s="14"/>
      <c r="M159" s="13"/>
    </row>
    <row r="160" customFormat="false" ht="15" hidden="false" customHeight="false" outlineLevel="0" collapsed="false">
      <c r="A160" s="15" t="n">
        <v>156</v>
      </c>
      <c r="B160" s="16" t="s">
        <v>319</v>
      </c>
      <c r="C160" s="17" t="s">
        <v>306</v>
      </c>
      <c r="D160" s="18" t="n">
        <v>0.0102939814814815</v>
      </c>
      <c r="E160" s="19" t="n">
        <v>157</v>
      </c>
      <c r="F160" s="20"/>
      <c r="G160" s="21"/>
      <c r="H160" s="20" t="n">
        <v>0.00268113425925926</v>
      </c>
      <c r="I160" s="21" t="n">
        <v>14</v>
      </c>
      <c r="J160" s="22" t="s">
        <v>320</v>
      </c>
      <c r="K160" s="22"/>
      <c r="L160" s="22"/>
      <c r="M160" s="13"/>
    </row>
    <row r="161" customFormat="false" ht="15" hidden="false" customHeight="false" outlineLevel="0" collapsed="false">
      <c r="A161" s="6" t="n">
        <v>157</v>
      </c>
      <c r="B161" s="7" t="s">
        <v>321</v>
      </c>
      <c r="C161" s="8" t="s">
        <v>143</v>
      </c>
      <c r="D161" s="9" t="n">
        <v>0.0102986111111111</v>
      </c>
      <c r="E161" s="10" t="n">
        <v>158</v>
      </c>
      <c r="F161" s="11"/>
      <c r="G161" s="12"/>
      <c r="H161" s="11" t="n">
        <v>0.00277789351851852</v>
      </c>
      <c r="I161" s="12" t="n">
        <v>190</v>
      </c>
      <c r="J161" s="14"/>
      <c r="K161" s="14"/>
      <c r="L161" s="14"/>
      <c r="M161" s="13"/>
    </row>
    <row r="162" customFormat="false" ht="15" hidden="false" customHeight="false" outlineLevel="0" collapsed="false">
      <c r="A162" s="6" t="n">
        <v>158</v>
      </c>
      <c r="B162" s="7" t="s">
        <v>322</v>
      </c>
      <c r="C162" s="8" t="s">
        <v>143</v>
      </c>
      <c r="D162" s="9" t="n">
        <v>0.0102987268518519</v>
      </c>
      <c r="E162" s="10" t="n">
        <v>159</v>
      </c>
      <c r="F162" s="11"/>
      <c r="G162" s="12"/>
      <c r="H162" s="11" t="n">
        <v>0.00275208333333333</v>
      </c>
      <c r="I162" s="12" t="n">
        <v>108</v>
      </c>
      <c r="J162" s="14"/>
      <c r="K162" s="14"/>
      <c r="L162" s="14"/>
      <c r="M162" s="13"/>
    </row>
    <row r="163" customFormat="false" ht="15" hidden="false" customHeight="false" outlineLevel="0" collapsed="false">
      <c r="A163" s="6" t="n">
        <v>159</v>
      </c>
      <c r="B163" s="7" t="s">
        <v>323</v>
      </c>
      <c r="C163" s="8" t="s">
        <v>238</v>
      </c>
      <c r="D163" s="9" t="n">
        <v>0.0103002314814815</v>
      </c>
      <c r="E163" s="10" t="n">
        <v>160</v>
      </c>
      <c r="F163" s="11" t="n">
        <v>0.00701736111111111</v>
      </c>
      <c r="G163" s="12" t="n">
        <v>354</v>
      </c>
      <c r="H163" s="11" t="n">
        <v>0.0028443287037037</v>
      </c>
      <c r="I163" s="12" t="n">
        <v>529</v>
      </c>
      <c r="J163" s="14" t="s">
        <v>324</v>
      </c>
      <c r="K163" s="14"/>
      <c r="L163" s="14"/>
      <c r="M163" s="13"/>
    </row>
    <row r="164" customFormat="false" ht="15" hidden="false" customHeight="false" outlineLevel="0" collapsed="false">
      <c r="A164" s="6" t="n">
        <v>160</v>
      </c>
      <c r="B164" s="7" t="s">
        <v>325</v>
      </c>
      <c r="C164" s="8" t="s">
        <v>326</v>
      </c>
      <c r="D164" s="9" t="n">
        <v>0.0103003472222222</v>
      </c>
      <c r="E164" s="10" t="n">
        <v>161</v>
      </c>
      <c r="F164" s="11" t="n">
        <v>0.0070880787037037</v>
      </c>
      <c r="G164" s="12" t="n">
        <v>437</v>
      </c>
      <c r="H164" s="11" t="n">
        <v>0.00275381944444445</v>
      </c>
      <c r="I164" s="12" t="n">
        <v>113</v>
      </c>
      <c r="J164" s="14" t="s">
        <v>327</v>
      </c>
      <c r="K164" s="14"/>
      <c r="L164" s="14"/>
      <c r="M164" s="13"/>
    </row>
    <row r="165" customFormat="false" ht="15" hidden="false" customHeight="false" outlineLevel="0" collapsed="false">
      <c r="A165" s="6" t="n">
        <v>161</v>
      </c>
      <c r="B165" s="7" t="s">
        <v>328</v>
      </c>
      <c r="C165" s="8" t="s">
        <v>70</v>
      </c>
      <c r="D165" s="9" t="n">
        <v>0.0103006944444444</v>
      </c>
      <c r="E165" s="10" t="n">
        <v>162</v>
      </c>
      <c r="F165" s="11"/>
      <c r="G165" s="12"/>
      <c r="H165" s="11" t="n">
        <v>0.00268900462962963</v>
      </c>
      <c r="I165" s="12" t="n">
        <v>17</v>
      </c>
      <c r="J165" s="14"/>
      <c r="K165" s="14" t="s">
        <v>329</v>
      </c>
      <c r="L165" s="14"/>
      <c r="M165" s="13"/>
    </row>
    <row r="166" customFormat="false" ht="15" hidden="false" customHeight="false" outlineLevel="0" collapsed="false">
      <c r="A166" s="6" t="n">
        <v>162</v>
      </c>
      <c r="B166" s="7" t="s">
        <v>330</v>
      </c>
      <c r="C166" s="8" t="s">
        <v>160</v>
      </c>
      <c r="D166" s="9" t="n">
        <v>0.0103019675925926</v>
      </c>
      <c r="E166" s="10" t="n">
        <v>163</v>
      </c>
      <c r="F166" s="11" t="n">
        <v>0.00693576388888889</v>
      </c>
      <c r="G166" s="12" t="n">
        <v>278</v>
      </c>
      <c r="H166" s="11" t="n">
        <v>0.00278275462962963</v>
      </c>
      <c r="I166" s="12" t="n">
        <v>212</v>
      </c>
      <c r="J166" s="14"/>
      <c r="K166" s="14" t="s">
        <v>331</v>
      </c>
      <c r="L166" s="14"/>
      <c r="M166" s="13"/>
    </row>
    <row r="167" customFormat="false" ht="15" hidden="false" customHeight="false" outlineLevel="0" collapsed="false">
      <c r="A167" s="6" t="n">
        <v>163</v>
      </c>
      <c r="B167" s="7" t="s">
        <v>332</v>
      </c>
      <c r="C167" s="8" t="s">
        <v>333</v>
      </c>
      <c r="D167" s="9" t="n">
        <v>0.0103054398148148</v>
      </c>
      <c r="E167" s="10" t="n">
        <v>164</v>
      </c>
      <c r="F167" s="11"/>
      <c r="G167" s="12"/>
      <c r="H167" s="11" t="n">
        <v>0.00280335648148148</v>
      </c>
      <c r="I167" s="12" t="n">
        <v>297</v>
      </c>
      <c r="J167" s="14"/>
      <c r="K167" s="14"/>
      <c r="L167" s="14"/>
      <c r="M167" s="13"/>
    </row>
    <row r="168" customFormat="false" ht="15" hidden="false" customHeight="false" outlineLevel="0" collapsed="false">
      <c r="A168" s="6" t="n">
        <v>164</v>
      </c>
      <c r="B168" s="7" t="s">
        <v>334</v>
      </c>
      <c r="C168" s="8" t="s">
        <v>138</v>
      </c>
      <c r="D168" s="9" t="n">
        <v>0.0103106481481482</v>
      </c>
      <c r="E168" s="10" t="n">
        <v>165</v>
      </c>
      <c r="F168" s="11"/>
      <c r="G168" s="12"/>
      <c r="H168" s="11"/>
      <c r="I168" s="12"/>
      <c r="J168" s="14"/>
      <c r="K168" s="14"/>
      <c r="L168" s="14"/>
      <c r="M168" s="13"/>
    </row>
    <row r="169" customFormat="false" ht="15" hidden="false" customHeight="false" outlineLevel="0" collapsed="false">
      <c r="A169" s="6" t="n">
        <v>165</v>
      </c>
      <c r="B169" s="7" t="s">
        <v>335</v>
      </c>
      <c r="C169" s="8" t="s">
        <v>76</v>
      </c>
      <c r="D169" s="9" t="n">
        <v>0.0103112268518519</v>
      </c>
      <c r="E169" s="10" t="n">
        <v>166</v>
      </c>
      <c r="F169" s="11"/>
      <c r="G169" s="12"/>
      <c r="H169" s="11" t="n">
        <v>0.00283043981481482</v>
      </c>
      <c r="I169" s="12" t="n">
        <v>429</v>
      </c>
      <c r="J169" s="14" t="s">
        <v>336</v>
      </c>
      <c r="K169" s="14"/>
      <c r="L169" s="14"/>
      <c r="M169" s="13"/>
    </row>
    <row r="170" customFormat="false" ht="15" hidden="false" customHeight="false" outlineLevel="0" collapsed="false">
      <c r="A170" s="6" t="n">
        <v>166</v>
      </c>
      <c r="B170" s="7" t="s">
        <v>337</v>
      </c>
      <c r="C170" s="8" t="s">
        <v>207</v>
      </c>
      <c r="D170" s="9" t="n">
        <v>0.0103144675925926</v>
      </c>
      <c r="E170" s="10" t="n">
        <v>167</v>
      </c>
      <c r="F170" s="11" t="n">
        <v>0.00674305555555556</v>
      </c>
      <c r="G170" s="12" t="n">
        <v>123</v>
      </c>
      <c r="H170" s="11" t="n">
        <v>0.00277951388888889</v>
      </c>
      <c r="I170" s="12" t="n">
        <v>199</v>
      </c>
      <c r="J170" s="14" t="s">
        <v>338</v>
      </c>
      <c r="K170" s="14"/>
      <c r="L170" s="14"/>
      <c r="M170" s="13"/>
    </row>
    <row r="171" customFormat="false" ht="15" hidden="false" customHeight="false" outlineLevel="0" collapsed="false">
      <c r="A171" s="6" t="n">
        <v>167</v>
      </c>
      <c r="B171" s="7" t="s">
        <v>339</v>
      </c>
      <c r="C171" s="8" t="s">
        <v>160</v>
      </c>
      <c r="D171" s="9" t="n">
        <v>0.010315625</v>
      </c>
      <c r="E171" s="10" t="n">
        <v>168</v>
      </c>
      <c r="F171" s="11"/>
      <c r="G171" s="12"/>
      <c r="H171" s="11"/>
      <c r="I171" s="12"/>
      <c r="J171" s="14"/>
      <c r="K171" s="14"/>
      <c r="L171" s="14"/>
      <c r="M171" s="13"/>
    </row>
    <row r="172" customFormat="false" ht="15" hidden="false" customHeight="false" outlineLevel="0" collapsed="false">
      <c r="A172" s="6" t="n">
        <v>168</v>
      </c>
      <c r="B172" s="7" t="s">
        <v>340</v>
      </c>
      <c r="C172" s="8" t="s">
        <v>341</v>
      </c>
      <c r="D172" s="9" t="n">
        <v>0.0103164351851852</v>
      </c>
      <c r="E172" s="10" t="n">
        <v>169</v>
      </c>
      <c r="F172" s="11"/>
      <c r="G172" s="12"/>
      <c r="H172" s="11" t="n">
        <v>0.00283576388888889</v>
      </c>
      <c r="I172" s="12" t="n">
        <v>468</v>
      </c>
      <c r="J172" s="14" t="s">
        <v>342</v>
      </c>
      <c r="K172" s="14"/>
      <c r="L172" s="14"/>
      <c r="M172" s="13"/>
    </row>
    <row r="173" customFormat="false" ht="15" hidden="false" customHeight="false" outlineLevel="0" collapsed="false">
      <c r="A173" s="6" t="n">
        <v>169</v>
      </c>
      <c r="B173" s="7" t="s">
        <v>343</v>
      </c>
      <c r="C173" s="8" t="s">
        <v>344</v>
      </c>
      <c r="D173" s="9" t="n">
        <v>0.0103172453703704</v>
      </c>
      <c r="E173" s="10" t="n">
        <v>170</v>
      </c>
      <c r="F173" s="11" t="n">
        <v>0.00654826388888889</v>
      </c>
      <c r="G173" s="12" t="n">
        <v>45</v>
      </c>
      <c r="H173" s="11" t="n">
        <v>0.00278391203703704</v>
      </c>
      <c r="I173" s="12" t="n">
        <v>216</v>
      </c>
      <c r="J173" s="14"/>
      <c r="K173" s="14" t="s">
        <v>345</v>
      </c>
      <c r="L173" s="14"/>
      <c r="M173" s="13"/>
    </row>
    <row r="174" customFormat="false" ht="15" hidden="false" customHeight="false" outlineLevel="0" collapsed="false">
      <c r="A174" s="6" t="n">
        <v>170</v>
      </c>
      <c r="B174" s="7" t="s">
        <v>346</v>
      </c>
      <c r="C174" s="8" t="s">
        <v>18</v>
      </c>
      <c r="D174" s="9" t="n">
        <v>0.0103173611111111</v>
      </c>
      <c r="E174" s="10" t="n">
        <v>171</v>
      </c>
      <c r="F174" s="11"/>
      <c r="G174" s="12"/>
      <c r="H174" s="11" t="n">
        <v>0.0028712962962963</v>
      </c>
      <c r="I174" s="12" t="n">
        <v>709</v>
      </c>
      <c r="J174" s="14"/>
      <c r="K174" s="14"/>
      <c r="L174" s="14"/>
      <c r="M174" s="13"/>
    </row>
    <row r="175" customFormat="false" ht="15" hidden="false" customHeight="false" outlineLevel="0" collapsed="false">
      <c r="A175" s="6" t="n">
        <v>171</v>
      </c>
      <c r="B175" s="7" t="s">
        <v>347</v>
      </c>
      <c r="C175" s="8" t="s">
        <v>296</v>
      </c>
      <c r="D175" s="9" t="n">
        <v>0.0103181712962963</v>
      </c>
      <c r="E175" s="10" t="n">
        <v>172</v>
      </c>
      <c r="F175" s="11" t="n">
        <v>0.006540625</v>
      </c>
      <c r="G175" s="12" t="n">
        <v>43</v>
      </c>
      <c r="H175" s="11" t="n">
        <v>0.00277326388888889</v>
      </c>
      <c r="I175" s="12" t="n">
        <v>168</v>
      </c>
      <c r="J175" s="14"/>
      <c r="K175" s="14"/>
      <c r="L175" s="14"/>
      <c r="M175" s="13"/>
    </row>
    <row r="176" customFormat="false" ht="15" hidden="false" customHeight="false" outlineLevel="0" collapsed="false">
      <c r="A176" s="6" t="n">
        <v>172</v>
      </c>
      <c r="B176" s="7" t="s">
        <v>348</v>
      </c>
      <c r="C176" s="8" t="s">
        <v>179</v>
      </c>
      <c r="D176" s="9" t="n">
        <v>0.01031875</v>
      </c>
      <c r="E176" s="10" t="n">
        <v>173</v>
      </c>
      <c r="F176" s="11"/>
      <c r="G176" s="12"/>
      <c r="H176" s="11" t="n">
        <v>0.00285532407407407</v>
      </c>
      <c r="I176" s="12" t="n">
        <v>598</v>
      </c>
      <c r="J176" s="14"/>
      <c r="K176" s="14"/>
      <c r="L176" s="14"/>
      <c r="M176" s="13"/>
    </row>
    <row r="177" customFormat="false" ht="15" hidden="false" customHeight="false" outlineLevel="0" collapsed="false">
      <c r="A177" s="6" t="n">
        <v>173</v>
      </c>
      <c r="B177" s="7" t="s">
        <v>349</v>
      </c>
      <c r="C177" s="8" t="s">
        <v>172</v>
      </c>
      <c r="D177" s="9" t="n">
        <v>0.0103224537037037</v>
      </c>
      <c r="E177" s="10" t="n">
        <v>174</v>
      </c>
      <c r="F177" s="11"/>
      <c r="G177" s="12"/>
      <c r="H177" s="11" t="n">
        <v>0.00290902777777778</v>
      </c>
      <c r="I177" s="12" t="n">
        <v>1009</v>
      </c>
      <c r="J177" s="14" t="s">
        <v>350</v>
      </c>
      <c r="K177" s="14"/>
      <c r="L177" s="14"/>
      <c r="M177" s="13"/>
    </row>
    <row r="178" customFormat="false" ht="15" hidden="false" customHeight="false" outlineLevel="0" collapsed="false">
      <c r="A178" s="6" t="n">
        <v>174</v>
      </c>
      <c r="B178" s="7" t="s">
        <v>351</v>
      </c>
      <c r="C178" s="8" t="s">
        <v>316</v>
      </c>
      <c r="D178" s="9" t="n">
        <v>0.0103246527777778</v>
      </c>
      <c r="E178" s="10" t="n">
        <v>175</v>
      </c>
      <c r="F178" s="11" t="n">
        <v>0.00648136574074074</v>
      </c>
      <c r="G178" s="12" t="n">
        <v>30</v>
      </c>
      <c r="H178" s="11" t="n">
        <v>0.00279930555555556</v>
      </c>
      <c r="I178" s="12" t="n">
        <v>279</v>
      </c>
      <c r="J178" s="14"/>
      <c r="K178" s="14"/>
      <c r="L178" s="14"/>
      <c r="M178" s="13"/>
    </row>
    <row r="179" customFormat="false" ht="15" hidden="false" customHeight="false" outlineLevel="0" collapsed="false">
      <c r="A179" s="6" t="n">
        <v>175</v>
      </c>
      <c r="B179" s="7" t="s">
        <v>352</v>
      </c>
      <c r="C179" s="8" t="s">
        <v>353</v>
      </c>
      <c r="D179" s="9" t="n">
        <v>0.0103251157407407</v>
      </c>
      <c r="E179" s="10" t="n">
        <v>176</v>
      </c>
      <c r="F179" s="11"/>
      <c r="G179" s="12"/>
      <c r="H179" s="11" t="n">
        <v>0.00282268518518519</v>
      </c>
      <c r="I179" s="12" t="n">
        <v>379</v>
      </c>
      <c r="J179" s="14" t="s">
        <v>354</v>
      </c>
      <c r="K179" s="14"/>
      <c r="L179" s="14"/>
      <c r="M179" s="13"/>
    </row>
    <row r="180" customFormat="false" ht="15" hidden="false" customHeight="false" outlineLevel="0" collapsed="false">
      <c r="A180" s="6" t="n">
        <v>176</v>
      </c>
      <c r="B180" s="7" t="s">
        <v>355</v>
      </c>
      <c r="C180" s="8" t="s">
        <v>304</v>
      </c>
      <c r="D180" s="9" t="n">
        <v>0.0103259259259259</v>
      </c>
      <c r="E180" s="10" t="n">
        <v>177</v>
      </c>
      <c r="F180" s="11"/>
      <c r="G180" s="12"/>
      <c r="H180" s="11" t="n">
        <v>0.00296030092592593</v>
      </c>
      <c r="I180" s="12" t="n">
        <v>1273</v>
      </c>
      <c r="J180" s="14"/>
      <c r="K180" s="14"/>
      <c r="L180" s="14"/>
      <c r="M180" s="13"/>
    </row>
    <row r="181" customFormat="false" ht="15" hidden="false" customHeight="false" outlineLevel="0" collapsed="false">
      <c r="A181" s="6" t="n">
        <v>177</v>
      </c>
      <c r="B181" s="7" t="s">
        <v>356</v>
      </c>
      <c r="C181" s="8" t="s">
        <v>120</v>
      </c>
      <c r="D181" s="9" t="n">
        <v>0.0103260416666667</v>
      </c>
      <c r="E181" s="10" t="n">
        <v>178</v>
      </c>
      <c r="F181" s="11"/>
      <c r="G181" s="12"/>
      <c r="H181" s="11" t="n">
        <v>0.00282430555555556</v>
      </c>
      <c r="I181" s="12" t="n">
        <v>389</v>
      </c>
      <c r="J181" s="14" t="s">
        <v>357</v>
      </c>
      <c r="K181" s="14"/>
      <c r="L181" s="14"/>
      <c r="M181" s="13"/>
    </row>
    <row r="182" customFormat="false" ht="15" hidden="false" customHeight="false" outlineLevel="0" collapsed="false">
      <c r="A182" s="6" t="n">
        <v>178</v>
      </c>
      <c r="B182" s="7" t="s">
        <v>358</v>
      </c>
      <c r="C182" s="8" t="s">
        <v>44</v>
      </c>
      <c r="D182" s="9" t="n">
        <v>0.0103261574074074</v>
      </c>
      <c r="E182" s="10" t="n">
        <v>179</v>
      </c>
      <c r="F182" s="11"/>
      <c r="G182" s="12"/>
      <c r="H182" s="11" t="n">
        <v>0.00288576388888889</v>
      </c>
      <c r="I182" s="12" t="n">
        <v>822</v>
      </c>
      <c r="J182" s="14"/>
      <c r="K182" s="14"/>
      <c r="L182" s="14"/>
      <c r="M182" s="13"/>
    </row>
    <row r="183" customFormat="false" ht="15" hidden="false" customHeight="false" outlineLevel="0" collapsed="false">
      <c r="A183" s="6" t="n">
        <v>179</v>
      </c>
      <c r="B183" s="7" t="s">
        <v>359</v>
      </c>
      <c r="C183" s="8" t="s">
        <v>70</v>
      </c>
      <c r="D183" s="9" t="n">
        <v>0.0103270833333333</v>
      </c>
      <c r="E183" s="10" t="n">
        <v>180</v>
      </c>
      <c r="F183" s="11" t="n">
        <v>0.00692604166666667</v>
      </c>
      <c r="G183" s="12" t="n">
        <v>266</v>
      </c>
      <c r="H183" s="11" t="n">
        <v>0.00286608796296296</v>
      </c>
      <c r="I183" s="12" t="n">
        <v>670</v>
      </c>
      <c r="J183" s="14"/>
      <c r="K183" s="14" t="s">
        <v>360</v>
      </c>
      <c r="L183" s="14"/>
      <c r="M183" s="13"/>
    </row>
    <row r="184" customFormat="false" ht="15" hidden="false" customHeight="false" outlineLevel="0" collapsed="false">
      <c r="A184" s="6" t="n">
        <v>180</v>
      </c>
      <c r="B184" s="7" t="s">
        <v>361</v>
      </c>
      <c r="C184" s="8" t="s">
        <v>150</v>
      </c>
      <c r="D184" s="9" t="n">
        <v>0.0103275462962963</v>
      </c>
      <c r="E184" s="10" t="n">
        <v>181</v>
      </c>
      <c r="F184" s="11"/>
      <c r="G184" s="12"/>
      <c r="H184" s="11"/>
      <c r="I184" s="12"/>
      <c r="J184" s="14"/>
      <c r="K184" s="14"/>
      <c r="L184" s="14"/>
      <c r="M184" s="13"/>
    </row>
    <row r="185" customFormat="false" ht="15" hidden="false" customHeight="false" outlineLevel="0" collapsed="false">
      <c r="A185" s="6" t="n">
        <v>181</v>
      </c>
      <c r="B185" s="7" t="s">
        <v>362</v>
      </c>
      <c r="C185" s="8" t="s">
        <v>363</v>
      </c>
      <c r="D185" s="9" t="n">
        <v>0.0103303240740741</v>
      </c>
      <c r="E185" s="10" t="n">
        <v>182</v>
      </c>
      <c r="F185" s="11" t="n">
        <v>0.00704131944444445</v>
      </c>
      <c r="G185" s="12" t="n">
        <v>378</v>
      </c>
      <c r="H185" s="11" t="n">
        <v>0.00277731481481482</v>
      </c>
      <c r="I185" s="12" t="n">
        <v>187</v>
      </c>
      <c r="J185" s="14"/>
      <c r="K185" s="14"/>
      <c r="L185" s="14"/>
      <c r="M185" s="13"/>
    </row>
    <row r="186" customFormat="false" ht="15" hidden="false" customHeight="false" outlineLevel="0" collapsed="false">
      <c r="A186" s="6" t="n">
        <v>182</v>
      </c>
      <c r="B186" s="7" t="s">
        <v>364</v>
      </c>
      <c r="C186" s="8" t="s">
        <v>136</v>
      </c>
      <c r="D186" s="9" t="n">
        <v>0.0103304398148148</v>
      </c>
      <c r="E186" s="10" t="n">
        <v>183</v>
      </c>
      <c r="F186" s="11"/>
      <c r="G186" s="12"/>
      <c r="H186" s="11" t="n">
        <v>0.00295821759259259</v>
      </c>
      <c r="I186" s="12" t="n">
        <v>1262</v>
      </c>
      <c r="J186" s="14"/>
      <c r="K186" s="14"/>
      <c r="L186" s="14"/>
      <c r="M186" s="13"/>
    </row>
    <row r="187" customFormat="false" ht="15" hidden="false" customHeight="false" outlineLevel="0" collapsed="false">
      <c r="A187" s="6" t="n">
        <v>183</v>
      </c>
      <c r="B187" s="7" t="s">
        <v>365</v>
      </c>
      <c r="C187" s="8" t="s">
        <v>70</v>
      </c>
      <c r="D187" s="9" t="n">
        <v>0.0103328703703704</v>
      </c>
      <c r="E187" s="10" t="n">
        <v>184</v>
      </c>
      <c r="F187" s="11"/>
      <c r="G187" s="12"/>
      <c r="H187" s="11" t="n">
        <v>0.00282314814814815</v>
      </c>
      <c r="I187" s="12" t="n">
        <v>382</v>
      </c>
      <c r="J187" s="14"/>
      <c r="K187" s="14" t="s">
        <v>366</v>
      </c>
      <c r="L187" s="14"/>
      <c r="M187" s="13"/>
    </row>
    <row r="188" customFormat="false" ht="15" hidden="false" customHeight="false" outlineLevel="0" collapsed="false">
      <c r="A188" s="6" t="n">
        <v>184</v>
      </c>
      <c r="B188" s="7" t="s">
        <v>367</v>
      </c>
      <c r="C188" s="8" t="s">
        <v>368</v>
      </c>
      <c r="D188" s="9" t="n">
        <v>0.0103357638888889</v>
      </c>
      <c r="E188" s="10" t="n">
        <v>185</v>
      </c>
      <c r="F188" s="11"/>
      <c r="G188" s="12"/>
      <c r="H188" s="11"/>
      <c r="I188" s="12"/>
      <c r="J188" s="14"/>
      <c r="K188" s="14"/>
      <c r="L188" s="14"/>
      <c r="M188" s="13"/>
    </row>
    <row r="189" customFormat="false" ht="15" hidden="false" customHeight="false" outlineLevel="0" collapsed="false">
      <c r="A189" s="6" t="n">
        <v>185</v>
      </c>
      <c r="B189" s="7" t="s">
        <v>369</v>
      </c>
      <c r="C189" s="8" t="s">
        <v>370</v>
      </c>
      <c r="D189" s="9" t="n">
        <v>0.0103365740740741</v>
      </c>
      <c r="E189" s="10" t="n">
        <v>186</v>
      </c>
      <c r="F189" s="11" t="n">
        <v>0.00739351851851852</v>
      </c>
      <c r="G189" s="12" t="n">
        <v>765</v>
      </c>
      <c r="H189" s="11" t="n">
        <v>0.002790625</v>
      </c>
      <c r="I189" s="12" t="n">
        <v>243</v>
      </c>
      <c r="J189" s="14"/>
      <c r="K189" s="14"/>
      <c r="L189" s="8" t="s">
        <v>371</v>
      </c>
      <c r="M189" s="13"/>
    </row>
    <row r="190" customFormat="false" ht="15" hidden="false" customHeight="false" outlineLevel="0" collapsed="false">
      <c r="A190" s="6" t="n">
        <v>186</v>
      </c>
      <c r="B190" s="7" t="s">
        <v>372</v>
      </c>
      <c r="C190" s="8" t="s">
        <v>373</v>
      </c>
      <c r="D190" s="9" t="n">
        <v>0.0103375</v>
      </c>
      <c r="E190" s="10" t="n">
        <v>187</v>
      </c>
      <c r="F190" s="11" t="n">
        <v>0.00693090277777778</v>
      </c>
      <c r="G190" s="12" t="n">
        <v>274</v>
      </c>
      <c r="H190" s="11" t="n">
        <v>0.00290196759259259</v>
      </c>
      <c r="I190" s="12" t="n">
        <v>964</v>
      </c>
      <c r="J190" s="14"/>
      <c r="K190" s="14"/>
      <c r="L190" s="14"/>
      <c r="M190" s="13"/>
    </row>
    <row r="191" customFormat="false" ht="15" hidden="false" customHeight="false" outlineLevel="0" collapsed="false">
      <c r="A191" s="6" t="n">
        <v>187</v>
      </c>
      <c r="B191" s="7" t="s">
        <v>374</v>
      </c>
      <c r="C191" s="8" t="s">
        <v>375</v>
      </c>
      <c r="D191" s="9" t="n">
        <v>0.010337962962963</v>
      </c>
      <c r="E191" s="10" t="n">
        <v>188</v>
      </c>
      <c r="F191" s="11"/>
      <c r="G191" s="12"/>
      <c r="H191" s="11"/>
      <c r="I191" s="12"/>
      <c r="J191" s="14"/>
      <c r="K191" s="14"/>
      <c r="L191" s="14"/>
      <c r="M191" s="13"/>
    </row>
    <row r="192" customFormat="false" ht="15" hidden="false" customHeight="false" outlineLevel="0" collapsed="false">
      <c r="A192" s="6" t="n">
        <v>188</v>
      </c>
      <c r="B192" s="7" t="s">
        <v>376</v>
      </c>
      <c r="C192" s="8" t="s">
        <v>28</v>
      </c>
      <c r="D192" s="9" t="n">
        <v>0.0103387731481482</v>
      </c>
      <c r="E192" s="10" t="n">
        <v>189</v>
      </c>
      <c r="F192" s="11"/>
      <c r="G192" s="12"/>
      <c r="H192" s="11" t="n">
        <v>0.00288298611111111</v>
      </c>
      <c r="I192" s="12" t="n">
        <v>802</v>
      </c>
      <c r="J192" s="14"/>
      <c r="K192" s="14"/>
      <c r="L192" s="14"/>
      <c r="M192" s="13"/>
    </row>
    <row r="193" customFormat="false" ht="15" hidden="false" customHeight="false" outlineLevel="0" collapsed="false">
      <c r="A193" s="6" t="n">
        <v>189</v>
      </c>
      <c r="B193" s="7" t="s">
        <v>377</v>
      </c>
      <c r="C193" s="8" t="s">
        <v>92</v>
      </c>
      <c r="D193" s="9" t="n">
        <v>0.0103393518518519</v>
      </c>
      <c r="E193" s="10" t="n">
        <v>190</v>
      </c>
      <c r="F193" s="11" t="n">
        <v>0.00682673611111111</v>
      </c>
      <c r="G193" s="12" t="n">
        <v>190</v>
      </c>
      <c r="H193" s="11" t="n">
        <v>0.0028119212962963</v>
      </c>
      <c r="I193" s="12" t="n">
        <v>329</v>
      </c>
      <c r="J193" s="14"/>
      <c r="K193" s="14"/>
      <c r="L193" s="14"/>
      <c r="M193" s="13"/>
    </row>
    <row r="194" customFormat="false" ht="15" hidden="false" customHeight="false" outlineLevel="0" collapsed="false">
      <c r="A194" s="6" t="n">
        <v>190</v>
      </c>
      <c r="B194" s="7" t="s">
        <v>378</v>
      </c>
      <c r="C194" s="8" t="s">
        <v>368</v>
      </c>
      <c r="D194" s="9" t="n">
        <v>0.0103395833333333</v>
      </c>
      <c r="E194" s="10" t="n">
        <v>191</v>
      </c>
      <c r="F194" s="11"/>
      <c r="G194" s="12"/>
      <c r="H194" s="11"/>
      <c r="I194" s="12"/>
      <c r="J194" s="14"/>
      <c r="K194" s="14"/>
      <c r="L194" s="14"/>
      <c r="M194" s="13"/>
    </row>
    <row r="195" customFormat="false" ht="15" hidden="false" customHeight="false" outlineLevel="0" collapsed="false">
      <c r="A195" s="6" t="n">
        <v>191</v>
      </c>
      <c r="B195" s="7" t="s">
        <v>379</v>
      </c>
      <c r="C195" s="8" t="s">
        <v>150</v>
      </c>
      <c r="D195" s="9" t="n">
        <v>0.010340162037037</v>
      </c>
      <c r="E195" s="10" t="n">
        <v>192</v>
      </c>
      <c r="F195" s="11"/>
      <c r="G195" s="12"/>
      <c r="H195" s="11" t="n">
        <v>0.00288611111111111</v>
      </c>
      <c r="I195" s="12" t="n">
        <v>826</v>
      </c>
      <c r="J195" s="14"/>
      <c r="K195" s="14"/>
      <c r="L195" s="14"/>
      <c r="M195" s="13"/>
    </row>
    <row r="196" customFormat="false" ht="15" hidden="false" customHeight="false" outlineLevel="0" collapsed="false">
      <c r="A196" s="6" t="n">
        <v>192</v>
      </c>
      <c r="B196" s="7" t="s">
        <v>380</v>
      </c>
      <c r="C196" s="8" t="s">
        <v>344</v>
      </c>
      <c r="D196" s="9" t="n">
        <v>0.0103403935185185</v>
      </c>
      <c r="E196" s="10" t="n">
        <v>193</v>
      </c>
      <c r="F196" s="11"/>
      <c r="G196" s="12"/>
      <c r="H196" s="11" t="n">
        <v>0.00271400462962963</v>
      </c>
      <c r="I196" s="12" t="n">
        <v>42</v>
      </c>
      <c r="J196" s="14"/>
      <c r="K196" s="14"/>
      <c r="L196" s="14"/>
      <c r="M196" s="13"/>
    </row>
    <row r="197" customFormat="false" ht="15" hidden="false" customHeight="false" outlineLevel="0" collapsed="false">
      <c r="A197" s="6" t="n">
        <v>193</v>
      </c>
      <c r="B197" s="7" t="s">
        <v>381</v>
      </c>
      <c r="C197" s="8" t="s">
        <v>382</v>
      </c>
      <c r="D197" s="9" t="n">
        <v>0.010341087962963</v>
      </c>
      <c r="E197" s="10" t="n">
        <v>194</v>
      </c>
      <c r="F197" s="11"/>
      <c r="G197" s="12"/>
      <c r="H197" s="11"/>
      <c r="I197" s="12"/>
      <c r="J197" s="14" t="s">
        <v>383</v>
      </c>
      <c r="K197" s="14"/>
      <c r="L197" s="14"/>
      <c r="M197" s="13"/>
    </row>
    <row r="198" customFormat="false" ht="15" hidden="false" customHeight="false" outlineLevel="0" collapsed="false">
      <c r="A198" s="6" t="n">
        <v>194</v>
      </c>
      <c r="B198" s="7" t="s">
        <v>384</v>
      </c>
      <c r="C198" s="8" t="s">
        <v>238</v>
      </c>
      <c r="D198" s="9" t="n">
        <v>0.0103414351851852</v>
      </c>
      <c r="E198" s="10" t="n">
        <v>195</v>
      </c>
      <c r="F198" s="11"/>
      <c r="G198" s="12"/>
      <c r="H198" s="11" t="n">
        <v>0.00285347222222222</v>
      </c>
      <c r="I198" s="12" t="n">
        <v>588</v>
      </c>
      <c r="J198" s="14" t="s">
        <v>385</v>
      </c>
      <c r="K198" s="14"/>
      <c r="L198" s="14"/>
      <c r="M198" s="13"/>
    </row>
    <row r="199" customFormat="false" ht="15" hidden="false" customHeight="false" outlineLevel="0" collapsed="false">
      <c r="A199" s="6" t="n">
        <v>195</v>
      </c>
      <c r="B199" s="7" t="s">
        <v>386</v>
      </c>
      <c r="C199" s="8" t="s">
        <v>120</v>
      </c>
      <c r="D199" s="9" t="n">
        <v>0.0103417824074074</v>
      </c>
      <c r="E199" s="10" t="n">
        <v>196</v>
      </c>
      <c r="F199" s="11"/>
      <c r="G199" s="12"/>
      <c r="H199" s="11" t="n">
        <v>0.00290543981481482</v>
      </c>
      <c r="I199" s="12" t="n">
        <v>986</v>
      </c>
      <c r="J199" s="14" t="s">
        <v>387</v>
      </c>
      <c r="K199" s="14"/>
      <c r="L199" s="14"/>
      <c r="M199" s="13"/>
    </row>
    <row r="200" customFormat="false" ht="15" hidden="false" customHeight="false" outlineLevel="0" collapsed="false">
      <c r="A200" s="6" t="n">
        <v>196</v>
      </c>
      <c r="B200" s="7" t="s">
        <v>388</v>
      </c>
      <c r="C200" s="8" t="s">
        <v>373</v>
      </c>
      <c r="D200" s="9" t="n">
        <v>0.0103466435185185</v>
      </c>
      <c r="E200" s="10" t="n">
        <v>197</v>
      </c>
      <c r="F200" s="11"/>
      <c r="G200" s="12"/>
      <c r="H200" s="11" t="n">
        <v>0.00286898148148148</v>
      </c>
      <c r="I200" s="12" t="n">
        <v>687</v>
      </c>
      <c r="J200" s="14"/>
      <c r="K200" s="14"/>
      <c r="L200" s="14"/>
      <c r="M200" s="13"/>
    </row>
    <row r="201" customFormat="false" ht="15" hidden="false" customHeight="false" outlineLevel="0" collapsed="false">
      <c r="A201" s="6" t="n">
        <v>197</v>
      </c>
      <c r="B201" s="7" t="s">
        <v>389</v>
      </c>
      <c r="C201" s="8" t="s">
        <v>390</v>
      </c>
      <c r="D201" s="9" t="n">
        <v>0.0103467592592593</v>
      </c>
      <c r="E201" s="10" t="n">
        <v>198</v>
      </c>
      <c r="F201" s="11"/>
      <c r="G201" s="12"/>
      <c r="H201" s="11" t="n">
        <v>0.00278680555555556</v>
      </c>
      <c r="I201" s="12" t="n">
        <v>227</v>
      </c>
      <c r="J201" s="14"/>
      <c r="K201" s="14"/>
      <c r="L201" s="14"/>
      <c r="M201" s="13"/>
    </row>
    <row r="202" customFormat="false" ht="15" hidden="false" customHeight="false" outlineLevel="0" collapsed="false">
      <c r="A202" s="6" t="n">
        <v>198</v>
      </c>
      <c r="B202" s="7" t="s">
        <v>391</v>
      </c>
      <c r="C202" s="8" t="s">
        <v>249</v>
      </c>
      <c r="D202" s="9" t="n">
        <v>0.010347337962963</v>
      </c>
      <c r="E202" s="10" t="n">
        <v>199</v>
      </c>
      <c r="F202" s="11"/>
      <c r="G202" s="12"/>
      <c r="H202" s="11" t="n">
        <v>0.00289305555555556</v>
      </c>
      <c r="I202" s="12" t="n">
        <v>898</v>
      </c>
      <c r="J202" s="14"/>
      <c r="K202" s="14"/>
      <c r="L202" s="14"/>
      <c r="M202" s="13"/>
    </row>
    <row r="203" customFormat="false" ht="15" hidden="false" customHeight="false" outlineLevel="0" collapsed="false">
      <c r="A203" s="6" t="n">
        <v>199</v>
      </c>
      <c r="B203" s="7" t="s">
        <v>392</v>
      </c>
      <c r="C203" s="8" t="s">
        <v>207</v>
      </c>
      <c r="D203" s="9" t="n">
        <v>0.0103476851851852</v>
      </c>
      <c r="E203" s="10" t="n">
        <v>200</v>
      </c>
      <c r="F203" s="11"/>
      <c r="G203" s="12"/>
      <c r="H203" s="11" t="n">
        <v>0.00298055555555556</v>
      </c>
      <c r="I203" s="12" t="n">
        <v>1355</v>
      </c>
      <c r="J203" s="14"/>
      <c r="K203" s="14"/>
      <c r="L203" s="14"/>
      <c r="M203" s="13"/>
    </row>
    <row r="204" customFormat="false" ht="15" hidden="false" customHeight="false" outlineLevel="0" collapsed="false">
      <c r="A204" s="6" t="n">
        <v>200</v>
      </c>
      <c r="B204" s="7" t="s">
        <v>393</v>
      </c>
      <c r="C204" s="8" t="s">
        <v>394</v>
      </c>
      <c r="D204" s="9" t="n">
        <v>0.0103481481481482</v>
      </c>
      <c r="E204" s="10" t="n">
        <v>201</v>
      </c>
      <c r="F204" s="11" t="n">
        <v>0.00630729166666667</v>
      </c>
      <c r="G204" s="12" t="n">
        <v>4</v>
      </c>
      <c r="H204" s="11" t="n">
        <v>0.00273877314814815</v>
      </c>
      <c r="I204" s="12" t="n">
        <v>82</v>
      </c>
      <c r="J204" s="14"/>
      <c r="K204" s="14"/>
      <c r="L204" s="14"/>
      <c r="M204" s="13"/>
    </row>
    <row r="205" customFormat="false" ht="15" hidden="false" customHeight="false" outlineLevel="0" collapsed="false">
      <c r="A205" s="6" t="n">
        <v>201</v>
      </c>
      <c r="B205" s="7" t="s">
        <v>395</v>
      </c>
      <c r="C205" s="8" t="s">
        <v>23</v>
      </c>
      <c r="D205" s="9" t="n">
        <v>0.0103487268518519</v>
      </c>
      <c r="E205" s="10" t="n">
        <v>202</v>
      </c>
      <c r="F205" s="11" t="n">
        <v>0.00709699074074074</v>
      </c>
      <c r="G205" s="12" t="n">
        <v>444</v>
      </c>
      <c r="H205" s="11" t="n">
        <v>0.0028431712962963</v>
      </c>
      <c r="I205" s="12" t="n">
        <v>518</v>
      </c>
      <c r="J205" s="14"/>
      <c r="K205" s="14"/>
      <c r="L205" s="14"/>
      <c r="M205" s="13"/>
    </row>
    <row r="206" customFormat="false" ht="15" hidden="false" customHeight="false" outlineLevel="0" collapsed="false">
      <c r="A206" s="6" t="n">
        <v>202</v>
      </c>
      <c r="B206" s="7" t="s">
        <v>396</v>
      </c>
      <c r="C206" s="8" t="s">
        <v>283</v>
      </c>
      <c r="D206" s="9" t="n">
        <v>0.0103505787037037</v>
      </c>
      <c r="E206" s="10" t="n">
        <v>203</v>
      </c>
      <c r="F206" s="11" t="n">
        <v>0.00669953703703704</v>
      </c>
      <c r="G206" s="12" t="n">
        <v>107</v>
      </c>
      <c r="H206" s="11" t="n">
        <v>0.00276481481481482</v>
      </c>
      <c r="I206" s="12" t="n">
        <v>149</v>
      </c>
      <c r="J206" s="14" t="s">
        <v>397</v>
      </c>
      <c r="K206" s="14"/>
      <c r="L206" s="14"/>
      <c r="M206" s="13"/>
    </row>
    <row r="207" customFormat="false" ht="15" hidden="false" customHeight="false" outlineLevel="0" collapsed="false">
      <c r="A207" s="6" t="n">
        <v>203</v>
      </c>
      <c r="B207" s="7" t="s">
        <v>398</v>
      </c>
      <c r="C207" s="8" t="s">
        <v>399</v>
      </c>
      <c r="D207" s="9" t="n">
        <v>0.0103506944444444</v>
      </c>
      <c r="E207" s="10" t="n">
        <v>204</v>
      </c>
      <c r="F207" s="11"/>
      <c r="G207" s="12"/>
      <c r="H207" s="11" t="n">
        <v>0.0028349537037037</v>
      </c>
      <c r="I207" s="12" t="n">
        <v>461</v>
      </c>
      <c r="J207" s="14" t="s">
        <v>400</v>
      </c>
      <c r="K207" s="14"/>
      <c r="L207" s="14"/>
      <c r="M207" s="13"/>
    </row>
    <row r="208" customFormat="false" ht="15" hidden="false" customHeight="false" outlineLevel="0" collapsed="false">
      <c r="A208" s="6" t="n">
        <v>204</v>
      </c>
      <c r="B208" s="7" t="s">
        <v>401</v>
      </c>
      <c r="C208" s="8" t="s">
        <v>402</v>
      </c>
      <c r="D208" s="9" t="n">
        <v>0.0103510416666667</v>
      </c>
      <c r="E208" s="10" t="n">
        <v>205</v>
      </c>
      <c r="F208" s="11"/>
      <c r="G208" s="12"/>
      <c r="H208" s="11" t="n">
        <v>0.00279907407407407</v>
      </c>
      <c r="I208" s="12" t="n">
        <v>277</v>
      </c>
      <c r="J208" s="14"/>
      <c r="K208" s="14"/>
      <c r="L208" s="14"/>
      <c r="M208" s="13"/>
    </row>
    <row r="209" customFormat="false" ht="15" hidden="false" customHeight="false" outlineLevel="0" collapsed="false">
      <c r="A209" s="15" t="n">
        <v>205</v>
      </c>
      <c r="B209" s="16" t="s">
        <v>403</v>
      </c>
      <c r="C209" s="17" t="s">
        <v>221</v>
      </c>
      <c r="D209" s="18" t="n">
        <v>0.0103516203703704</v>
      </c>
      <c r="E209" s="19" t="n">
        <v>206</v>
      </c>
      <c r="F209" s="20"/>
      <c r="G209" s="21"/>
      <c r="H209" s="20" t="n">
        <v>0.00282152777777778</v>
      </c>
      <c r="I209" s="21" t="n">
        <v>372</v>
      </c>
      <c r="J209" s="22"/>
      <c r="K209" s="22" t="s">
        <v>404</v>
      </c>
      <c r="L209" s="22"/>
      <c r="M209" s="13"/>
    </row>
    <row r="210" customFormat="false" ht="15" hidden="false" customHeight="false" outlineLevel="0" collapsed="false">
      <c r="A210" s="6" t="n">
        <v>206</v>
      </c>
      <c r="B210" s="7" t="s">
        <v>405</v>
      </c>
      <c r="C210" s="8" t="s">
        <v>28</v>
      </c>
      <c r="D210" s="9" t="n">
        <v>0.0103527777777778</v>
      </c>
      <c r="E210" s="10" t="n">
        <v>207</v>
      </c>
      <c r="F210" s="11"/>
      <c r="G210" s="12"/>
      <c r="H210" s="11" t="n">
        <v>0.00286099537037037</v>
      </c>
      <c r="I210" s="12" t="n">
        <v>640</v>
      </c>
      <c r="J210" s="14"/>
      <c r="K210" s="14"/>
      <c r="L210" s="14"/>
      <c r="M210" s="13"/>
    </row>
    <row r="211" customFormat="false" ht="15" hidden="false" customHeight="false" outlineLevel="0" collapsed="false">
      <c r="A211" s="6" t="n">
        <v>207</v>
      </c>
      <c r="B211" s="7" t="s">
        <v>406</v>
      </c>
      <c r="C211" s="8" t="s">
        <v>145</v>
      </c>
      <c r="D211" s="9" t="n">
        <v>0.0103532407407407</v>
      </c>
      <c r="E211" s="10" t="n">
        <v>208</v>
      </c>
      <c r="F211" s="11"/>
      <c r="G211" s="12"/>
      <c r="H211" s="11"/>
      <c r="I211" s="12"/>
      <c r="J211" s="14"/>
      <c r="K211" s="14"/>
      <c r="L211" s="14"/>
      <c r="M211" s="13"/>
    </row>
    <row r="212" customFormat="false" ht="15" hidden="false" customHeight="false" outlineLevel="0" collapsed="false">
      <c r="A212" s="6" t="n">
        <v>208</v>
      </c>
      <c r="B212" s="7" t="s">
        <v>407</v>
      </c>
      <c r="C212" s="8" t="s">
        <v>408</v>
      </c>
      <c r="D212" s="9" t="n">
        <v>0.0103547453703704</v>
      </c>
      <c r="E212" s="10" t="n">
        <v>209</v>
      </c>
      <c r="F212" s="11" t="n">
        <v>0.0066412037037037</v>
      </c>
      <c r="G212" s="12" t="n">
        <v>79</v>
      </c>
      <c r="H212" s="11" t="n">
        <v>0.00275543981481482</v>
      </c>
      <c r="I212" s="12" t="n">
        <v>121</v>
      </c>
      <c r="J212" s="14"/>
      <c r="K212" s="14"/>
      <c r="L212" s="14"/>
      <c r="M212" s="13"/>
    </row>
    <row r="213" customFormat="false" ht="15" hidden="false" customHeight="false" outlineLevel="0" collapsed="false">
      <c r="A213" s="6" t="n">
        <v>209</v>
      </c>
      <c r="B213" s="7" t="s">
        <v>409</v>
      </c>
      <c r="C213" s="8" t="s">
        <v>410</v>
      </c>
      <c r="D213" s="9" t="n">
        <v>0.0103554398148148</v>
      </c>
      <c r="E213" s="10" t="n">
        <v>210</v>
      </c>
      <c r="F213" s="11"/>
      <c r="G213" s="12"/>
      <c r="H213" s="11" t="n">
        <v>0.00280162037037037</v>
      </c>
      <c r="I213" s="12" t="n">
        <v>289</v>
      </c>
      <c r="J213" s="14"/>
      <c r="K213" s="14"/>
      <c r="L213" s="14"/>
      <c r="M213" s="13"/>
    </row>
    <row r="214" customFormat="false" ht="15" hidden="false" customHeight="false" outlineLevel="0" collapsed="false">
      <c r="A214" s="6" t="n">
        <v>210</v>
      </c>
      <c r="B214" s="7" t="s">
        <v>411</v>
      </c>
      <c r="C214" s="8" t="s">
        <v>28</v>
      </c>
      <c r="D214" s="9" t="n">
        <v>0.0103571759259259</v>
      </c>
      <c r="E214" s="10" t="n">
        <v>211</v>
      </c>
      <c r="F214" s="11"/>
      <c r="G214" s="12"/>
      <c r="H214" s="11" t="n">
        <v>0.00285416666666667</v>
      </c>
      <c r="I214" s="12" t="n">
        <v>596</v>
      </c>
      <c r="J214" s="14"/>
      <c r="K214" s="14"/>
      <c r="L214" s="14"/>
      <c r="M214" s="13"/>
    </row>
    <row r="215" customFormat="false" ht="15" hidden="false" customHeight="false" outlineLevel="0" collapsed="false">
      <c r="A215" s="6" t="n">
        <v>211</v>
      </c>
      <c r="B215" s="7" t="s">
        <v>412</v>
      </c>
      <c r="C215" s="8" t="s">
        <v>136</v>
      </c>
      <c r="D215" s="9" t="n">
        <v>0.0103578703703704</v>
      </c>
      <c r="E215" s="10" t="n">
        <v>212</v>
      </c>
      <c r="F215" s="11"/>
      <c r="G215" s="12"/>
      <c r="H215" s="11" t="n">
        <v>0.00296122685185185</v>
      </c>
      <c r="I215" s="12" t="n">
        <v>1277</v>
      </c>
      <c r="J215" s="14"/>
      <c r="K215" s="14"/>
      <c r="L215" s="14"/>
      <c r="M215" s="13"/>
    </row>
    <row r="216" customFormat="false" ht="15" hidden="false" customHeight="false" outlineLevel="0" collapsed="false">
      <c r="A216" s="6" t="n">
        <v>212</v>
      </c>
      <c r="B216" s="7" t="s">
        <v>413</v>
      </c>
      <c r="C216" s="8" t="s">
        <v>150</v>
      </c>
      <c r="D216" s="9" t="n">
        <v>0.0103584490740741</v>
      </c>
      <c r="E216" s="10" t="n">
        <v>213</v>
      </c>
      <c r="F216" s="11"/>
      <c r="G216" s="12"/>
      <c r="H216" s="11"/>
      <c r="I216" s="12"/>
      <c r="J216" s="14"/>
      <c r="K216" s="14"/>
      <c r="L216" s="14"/>
      <c r="M216" s="13"/>
    </row>
    <row r="217" customFormat="false" ht="15" hidden="false" customHeight="false" outlineLevel="0" collapsed="false">
      <c r="A217" s="6" t="n">
        <v>213</v>
      </c>
      <c r="B217" s="7" t="s">
        <v>414</v>
      </c>
      <c r="C217" s="8" t="s">
        <v>160</v>
      </c>
      <c r="D217" s="9" t="n">
        <v>0.0103591435185185</v>
      </c>
      <c r="E217" s="10" t="n">
        <v>214</v>
      </c>
      <c r="F217" s="11"/>
      <c r="G217" s="12"/>
      <c r="H217" s="11" t="n">
        <v>0.00284479166666667</v>
      </c>
      <c r="I217" s="12" t="n">
        <v>533</v>
      </c>
      <c r="J217" s="14"/>
      <c r="K217" s="14" t="s">
        <v>415</v>
      </c>
      <c r="L217" s="14"/>
      <c r="M217" s="13"/>
    </row>
    <row r="218" customFormat="false" ht="15" hidden="false" customHeight="false" outlineLevel="0" collapsed="false">
      <c r="A218" s="6" t="n">
        <v>214</v>
      </c>
      <c r="B218" s="7" t="s">
        <v>416</v>
      </c>
      <c r="C218" s="8" t="s">
        <v>52</v>
      </c>
      <c r="D218" s="9" t="n">
        <v>0.010359375</v>
      </c>
      <c r="E218" s="10" t="n">
        <v>215</v>
      </c>
      <c r="F218" s="11"/>
      <c r="G218" s="12"/>
      <c r="H218" s="11" t="n">
        <v>0.00296354166666667</v>
      </c>
      <c r="I218" s="12" t="n">
        <v>1286</v>
      </c>
      <c r="J218" s="14"/>
      <c r="K218" s="14"/>
      <c r="L218" s="14"/>
      <c r="M218" s="13"/>
    </row>
    <row r="219" customFormat="false" ht="15" hidden="false" customHeight="false" outlineLevel="0" collapsed="false">
      <c r="A219" s="6" t="n">
        <v>215</v>
      </c>
      <c r="B219" s="7" t="s">
        <v>417</v>
      </c>
      <c r="C219" s="8" t="s">
        <v>54</v>
      </c>
      <c r="D219" s="9" t="n">
        <v>0.0103594907407407</v>
      </c>
      <c r="E219" s="10" t="n">
        <v>216</v>
      </c>
      <c r="F219" s="11"/>
      <c r="G219" s="12"/>
      <c r="H219" s="11"/>
      <c r="I219" s="12"/>
      <c r="J219" s="14"/>
      <c r="K219" s="14"/>
      <c r="L219" s="14"/>
      <c r="M219" s="13"/>
    </row>
    <row r="220" customFormat="false" ht="15" hidden="false" customHeight="false" outlineLevel="0" collapsed="false">
      <c r="A220" s="6" t="n">
        <v>216</v>
      </c>
      <c r="B220" s="7" t="s">
        <v>418</v>
      </c>
      <c r="C220" s="8" t="s">
        <v>150</v>
      </c>
      <c r="D220" s="9" t="n">
        <v>0.0103599537037037</v>
      </c>
      <c r="E220" s="10" t="n">
        <v>217</v>
      </c>
      <c r="F220" s="11"/>
      <c r="G220" s="12"/>
      <c r="H220" s="11" t="n">
        <v>0.00276469907407407</v>
      </c>
      <c r="I220" s="12" t="n">
        <v>147</v>
      </c>
      <c r="J220" s="14"/>
      <c r="K220" s="14"/>
      <c r="L220" s="14"/>
      <c r="M220" s="13"/>
    </row>
    <row r="221" customFormat="false" ht="15" hidden="false" customHeight="false" outlineLevel="0" collapsed="false">
      <c r="A221" s="6" t="n">
        <v>217</v>
      </c>
      <c r="B221" s="7" t="s">
        <v>419</v>
      </c>
      <c r="C221" s="8" t="s">
        <v>120</v>
      </c>
      <c r="D221" s="9" t="n">
        <v>0.0103613425925926</v>
      </c>
      <c r="E221" s="10" t="n">
        <v>218</v>
      </c>
      <c r="F221" s="11"/>
      <c r="G221" s="12"/>
      <c r="H221" s="11"/>
      <c r="I221" s="12"/>
      <c r="J221" s="14"/>
      <c r="K221" s="14"/>
      <c r="L221" s="14"/>
      <c r="M221" s="13"/>
    </row>
    <row r="222" customFormat="false" ht="15" hidden="false" customHeight="false" outlineLevel="0" collapsed="false">
      <c r="A222" s="6" t="n">
        <v>218</v>
      </c>
      <c r="B222" s="7" t="s">
        <v>420</v>
      </c>
      <c r="C222" s="8" t="s">
        <v>192</v>
      </c>
      <c r="D222" s="9" t="n">
        <v>0.0103614583333333</v>
      </c>
      <c r="E222" s="10" t="n">
        <v>219</v>
      </c>
      <c r="F222" s="11"/>
      <c r="G222" s="12"/>
      <c r="H222" s="11" t="n">
        <v>0.00281921296296296</v>
      </c>
      <c r="I222" s="12" t="n">
        <v>360</v>
      </c>
      <c r="J222" s="14"/>
      <c r="K222" s="14"/>
      <c r="L222" s="14"/>
      <c r="M222" s="13"/>
    </row>
    <row r="223" customFormat="false" ht="15" hidden="false" customHeight="false" outlineLevel="0" collapsed="false">
      <c r="A223" s="6" t="n">
        <v>219</v>
      </c>
      <c r="B223" s="7" t="s">
        <v>421</v>
      </c>
      <c r="C223" s="8" t="s">
        <v>281</v>
      </c>
      <c r="D223" s="9" t="n">
        <v>0.0103640046296296</v>
      </c>
      <c r="E223" s="10" t="n">
        <v>220</v>
      </c>
      <c r="F223" s="11" t="n">
        <v>0.00634456018518519</v>
      </c>
      <c r="G223" s="12" t="n">
        <v>8</v>
      </c>
      <c r="H223" s="11"/>
      <c r="I223" s="12"/>
      <c r="J223" s="14"/>
      <c r="K223" s="14"/>
      <c r="L223" s="14"/>
      <c r="M223" s="13"/>
    </row>
    <row r="224" customFormat="false" ht="15" hidden="false" customHeight="false" outlineLevel="0" collapsed="false">
      <c r="A224" s="6" t="n">
        <v>220</v>
      </c>
      <c r="B224" s="7" t="s">
        <v>422</v>
      </c>
      <c r="C224" s="8" t="s">
        <v>423</v>
      </c>
      <c r="D224" s="9" t="n">
        <v>0.0103642361111111</v>
      </c>
      <c r="E224" s="10" t="n">
        <v>221</v>
      </c>
      <c r="F224" s="11"/>
      <c r="G224" s="12"/>
      <c r="H224" s="11" t="n">
        <v>0.00280520833333333</v>
      </c>
      <c r="I224" s="12" t="n">
        <v>303</v>
      </c>
      <c r="J224" s="14"/>
      <c r="K224" s="14"/>
      <c r="L224" s="14"/>
      <c r="M224" s="13"/>
    </row>
    <row r="225" customFormat="false" ht="15" hidden="false" customHeight="false" outlineLevel="0" collapsed="false">
      <c r="A225" s="6" t="n">
        <v>221</v>
      </c>
      <c r="B225" s="7" t="s">
        <v>424</v>
      </c>
      <c r="C225" s="8" t="s">
        <v>179</v>
      </c>
      <c r="D225" s="9" t="n">
        <v>0.0103675925925926</v>
      </c>
      <c r="E225" s="10" t="n">
        <v>222</v>
      </c>
      <c r="F225" s="11" t="n">
        <v>0.0064625</v>
      </c>
      <c r="G225" s="12" t="n">
        <v>26</v>
      </c>
      <c r="H225" s="11" t="n">
        <v>0.00275833333333333</v>
      </c>
      <c r="I225" s="12" t="n">
        <v>130</v>
      </c>
      <c r="J225" s="14" t="s">
        <v>425</v>
      </c>
      <c r="K225" s="14"/>
      <c r="L225" s="14"/>
      <c r="M225" s="13"/>
    </row>
    <row r="226" customFormat="false" ht="15" hidden="false" customHeight="false" outlineLevel="0" collapsed="false">
      <c r="A226" s="6" t="n">
        <v>222</v>
      </c>
      <c r="B226" s="7" t="s">
        <v>426</v>
      </c>
      <c r="C226" s="8" t="s">
        <v>427</v>
      </c>
      <c r="D226" s="9" t="n">
        <v>0.0103679398148148</v>
      </c>
      <c r="E226" s="10" t="n">
        <v>223</v>
      </c>
      <c r="F226" s="11"/>
      <c r="G226" s="12"/>
      <c r="H226" s="11" t="n">
        <v>0.00287696759259259</v>
      </c>
      <c r="I226" s="12" t="n">
        <v>747</v>
      </c>
      <c r="J226" s="14" t="s">
        <v>428</v>
      </c>
      <c r="K226" s="14"/>
      <c r="L226" s="14"/>
      <c r="M226" s="13"/>
    </row>
    <row r="227" customFormat="false" ht="15" hidden="false" customHeight="false" outlineLevel="0" collapsed="false">
      <c r="A227" s="6" t="n">
        <v>223</v>
      </c>
      <c r="B227" s="7" t="s">
        <v>429</v>
      </c>
      <c r="C227" s="8" t="s">
        <v>108</v>
      </c>
      <c r="D227" s="9" t="n">
        <v>0.010369212962963</v>
      </c>
      <c r="E227" s="10" t="n">
        <v>224</v>
      </c>
      <c r="F227" s="11"/>
      <c r="G227" s="12"/>
      <c r="H227" s="11" t="n">
        <v>0.00282905092592593</v>
      </c>
      <c r="I227" s="12" t="n">
        <v>420</v>
      </c>
      <c r="J227" s="14"/>
      <c r="K227" s="14"/>
      <c r="L227" s="14"/>
      <c r="M227" s="13"/>
    </row>
    <row r="228" customFormat="false" ht="15" hidden="false" customHeight="false" outlineLevel="0" collapsed="false">
      <c r="A228" s="6" t="n">
        <v>224</v>
      </c>
      <c r="B228" s="7" t="s">
        <v>430</v>
      </c>
      <c r="C228" s="8" t="s">
        <v>431</v>
      </c>
      <c r="D228" s="9" t="n">
        <v>0.0103697916666667</v>
      </c>
      <c r="E228" s="10" t="n">
        <v>225</v>
      </c>
      <c r="F228" s="11"/>
      <c r="G228" s="12"/>
      <c r="H228" s="11" t="n">
        <v>0.00284270833333333</v>
      </c>
      <c r="I228" s="12" t="n">
        <v>515</v>
      </c>
      <c r="J228" s="14"/>
      <c r="K228" s="14"/>
      <c r="L228" s="14"/>
      <c r="M228" s="13"/>
    </row>
    <row r="229" customFormat="false" ht="15" hidden="false" customHeight="false" outlineLevel="0" collapsed="false">
      <c r="A229" s="6" t="n">
        <v>225</v>
      </c>
      <c r="B229" s="7" t="s">
        <v>432</v>
      </c>
      <c r="C229" s="8" t="s">
        <v>433</v>
      </c>
      <c r="D229" s="9" t="n">
        <v>0.0103711805555556</v>
      </c>
      <c r="E229" s="10" t="n">
        <v>226</v>
      </c>
      <c r="F229" s="11"/>
      <c r="G229" s="12"/>
      <c r="H229" s="11" t="n">
        <v>0.0026662037037037</v>
      </c>
      <c r="I229" s="12" t="n">
        <v>6</v>
      </c>
      <c r="J229" s="14" t="s">
        <v>434</v>
      </c>
      <c r="K229" s="14"/>
      <c r="L229" s="14"/>
      <c r="M229" s="13"/>
    </row>
    <row r="230" customFormat="false" ht="15" hidden="false" customHeight="false" outlineLevel="0" collapsed="false">
      <c r="A230" s="6" t="n">
        <v>226</v>
      </c>
      <c r="B230" s="7" t="s">
        <v>435</v>
      </c>
      <c r="C230" s="8" t="s">
        <v>186</v>
      </c>
      <c r="D230" s="9" t="n">
        <v>0.0103731481481482</v>
      </c>
      <c r="E230" s="10" t="n">
        <v>227</v>
      </c>
      <c r="F230" s="11"/>
      <c r="G230" s="12"/>
      <c r="H230" s="11" t="n">
        <v>0.00271180555555556</v>
      </c>
      <c r="I230" s="12" t="n">
        <v>37</v>
      </c>
      <c r="J230" s="14"/>
      <c r="K230" s="14"/>
      <c r="L230" s="14"/>
      <c r="M230" s="13"/>
    </row>
    <row r="231" customFormat="false" ht="15" hidden="false" customHeight="false" outlineLevel="0" collapsed="false">
      <c r="A231" s="6" t="n">
        <v>227</v>
      </c>
      <c r="B231" s="7" t="s">
        <v>436</v>
      </c>
      <c r="C231" s="8" t="s">
        <v>437</v>
      </c>
      <c r="D231" s="9" t="n">
        <v>0.0103738425925926</v>
      </c>
      <c r="E231" s="10" t="n">
        <v>228</v>
      </c>
      <c r="F231" s="11"/>
      <c r="G231" s="12"/>
      <c r="H231" s="11" t="n">
        <v>0.00296898148148148</v>
      </c>
      <c r="I231" s="12" t="n">
        <v>1305</v>
      </c>
      <c r="J231" s="14" t="s">
        <v>438</v>
      </c>
      <c r="K231" s="14"/>
      <c r="L231" s="14"/>
      <c r="M231" s="13"/>
    </row>
    <row r="232" customFormat="false" ht="15" hidden="false" customHeight="false" outlineLevel="0" collapsed="false">
      <c r="A232" s="6" t="n">
        <v>228</v>
      </c>
      <c r="B232" s="7" t="s">
        <v>439</v>
      </c>
      <c r="C232" s="8" t="s">
        <v>440</v>
      </c>
      <c r="D232" s="9" t="n">
        <v>0.0103741898148148</v>
      </c>
      <c r="E232" s="10" t="n">
        <v>229</v>
      </c>
      <c r="F232" s="11" t="n">
        <v>0.00650520833333333</v>
      </c>
      <c r="G232" s="12" t="n">
        <v>37</v>
      </c>
      <c r="H232" s="11" t="n">
        <v>0.00288148148148148</v>
      </c>
      <c r="I232" s="12" t="n">
        <v>784</v>
      </c>
      <c r="J232" s="14"/>
      <c r="K232" s="14"/>
      <c r="L232" s="14"/>
      <c r="M232" s="13"/>
    </row>
    <row r="233" customFormat="false" ht="15" hidden="false" customHeight="false" outlineLevel="0" collapsed="false">
      <c r="A233" s="6" t="n">
        <v>229</v>
      </c>
      <c r="B233" s="7" t="s">
        <v>441</v>
      </c>
      <c r="C233" s="8" t="s">
        <v>442</v>
      </c>
      <c r="D233" s="9" t="n">
        <v>0.0103746527777778</v>
      </c>
      <c r="E233" s="10" t="n">
        <v>230</v>
      </c>
      <c r="F233" s="11"/>
      <c r="G233" s="12"/>
      <c r="H233" s="11" t="n">
        <v>0.00280636574074074</v>
      </c>
      <c r="I233" s="12" t="n">
        <v>308</v>
      </c>
      <c r="J233" s="14" t="s">
        <v>443</v>
      </c>
      <c r="K233" s="14"/>
      <c r="L233" s="14"/>
      <c r="M233" s="13"/>
    </row>
    <row r="234" customFormat="false" ht="15" hidden="false" customHeight="false" outlineLevel="0" collapsed="false">
      <c r="A234" s="6" t="n">
        <v>230</v>
      </c>
      <c r="B234" s="7" t="s">
        <v>444</v>
      </c>
      <c r="C234" s="8" t="s">
        <v>160</v>
      </c>
      <c r="D234" s="9" t="n">
        <v>0.0103753472222222</v>
      </c>
      <c r="E234" s="10" t="n">
        <v>231</v>
      </c>
      <c r="F234" s="11"/>
      <c r="G234" s="12"/>
      <c r="H234" s="11" t="n">
        <v>0.0027912037037037</v>
      </c>
      <c r="I234" s="12" t="n">
        <v>246</v>
      </c>
      <c r="J234" s="14"/>
      <c r="K234" s="14" t="s">
        <v>445</v>
      </c>
      <c r="L234" s="14"/>
      <c r="M234" s="13"/>
    </row>
    <row r="235" customFormat="false" ht="15" hidden="false" customHeight="false" outlineLevel="0" collapsed="false">
      <c r="A235" s="6" t="n">
        <v>231</v>
      </c>
      <c r="B235" s="7" t="s">
        <v>446</v>
      </c>
      <c r="C235" s="8" t="s">
        <v>447</v>
      </c>
      <c r="D235" s="9" t="n">
        <v>0.0103755787037037</v>
      </c>
      <c r="E235" s="10" t="n">
        <v>232</v>
      </c>
      <c r="F235" s="11"/>
      <c r="G235" s="12"/>
      <c r="H235" s="11" t="n">
        <v>0.00278877314814815</v>
      </c>
      <c r="I235" s="12" t="n">
        <v>236</v>
      </c>
      <c r="J235" s="14"/>
      <c r="K235" s="14"/>
      <c r="L235" s="14"/>
      <c r="M235" s="13"/>
    </row>
    <row r="236" customFormat="false" ht="15" hidden="false" customHeight="false" outlineLevel="0" collapsed="false">
      <c r="A236" s="6" t="n">
        <v>232</v>
      </c>
      <c r="B236" s="7" t="s">
        <v>448</v>
      </c>
      <c r="C236" s="8" t="s">
        <v>148</v>
      </c>
      <c r="D236" s="9" t="n">
        <v>0.0103755787037037</v>
      </c>
      <c r="E236" s="10" t="n">
        <v>233</v>
      </c>
      <c r="F236" s="11"/>
      <c r="G236" s="12"/>
      <c r="H236" s="11" t="n">
        <v>0.00277407407407407</v>
      </c>
      <c r="I236" s="12" t="n">
        <v>172</v>
      </c>
      <c r="J236" s="14"/>
      <c r="K236" s="14"/>
      <c r="L236" s="14"/>
      <c r="M236" s="13"/>
    </row>
    <row r="237" customFormat="false" ht="15" hidden="false" customHeight="false" outlineLevel="0" collapsed="false">
      <c r="A237" s="6" t="n">
        <v>233</v>
      </c>
      <c r="B237" s="7" t="s">
        <v>449</v>
      </c>
      <c r="C237" s="8" t="s">
        <v>450</v>
      </c>
      <c r="D237" s="9" t="n">
        <v>0.0103759259259259</v>
      </c>
      <c r="E237" s="10" t="n">
        <v>234</v>
      </c>
      <c r="F237" s="11"/>
      <c r="G237" s="12"/>
      <c r="H237" s="11" t="n">
        <v>0.00285034722222222</v>
      </c>
      <c r="I237" s="12" t="n">
        <v>571</v>
      </c>
      <c r="J237" s="14"/>
      <c r="K237" s="14"/>
      <c r="L237" s="14"/>
      <c r="M237" s="13"/>
    </row>
    <row r="238" customFormat="false" ht="15" hidden="false" customHeight="false" outlineLevel="0" collapsed="false">
      <c r="A238" s="6" t="n">
        <v>234</v>
      </c>
      <c r="B238" s="7" t="s">
        <v>451</v>
      </c>
      <c r="C238" s="8" t="s">
        <v>16</v>
      </c>
      <c r="D238" s="9" t="n">
        <v>0.0103759259259259</v>
      </c>
      <c r="E238" s="10" t="n">
        <v>235</v>
      </c>
      <c r="F238" s="11"/>
      <c r="G238" s="12"/>
      <c r="H238" s="11"/>
      <c r="I238" s="12"/>
      <c r="J238" s="14"/>
      <c r="K238" s="14"/>
      <c r="L238" s="14"/>
      <c r="M238" s="13"/>
    </row>
    <row r="239" customFormat="false" ht="15" hidden="false" customHeight="false" outlineLevel="0" collapsed="false">
      <c r="A239" s="6" t="n">
        <v>235</v>
      </c>
      <c r="B239" s="7" t="s">
        <v>452</v>
      </c>
      <c r="C239" s="8" t="s">
        <v>453</v>
      </c>
      <c r="D239" s="9" t="n">
        <v>0.0103765046296296</v>
      </c>
      <c r="E239" s="10" t="n">
        <v>236</v>
      </c>
      <c r="F239" s="11"/>
      <c r="G239" s="12"/>
      <c r="H239" s="11" t="n">
        <v>0.00267881944444444</v>
      </c>
      <c r="I239" s="12" t="n">
        <v>12</v>
      </c>
      <c r="J239" s="14"/>
      <c r="K239" s="14"/>
      <c r="L239" s="8" t="s">
        <v>454</v>
      </c>
      <c r="M239" s="13"/>
    </row>
    <row r="240" customFormat="false" ht="15" hidden="false" customHeight="false" outlineLevel="0" collapsed="false">
      <c r="A240" s="6" t="n">
        <v>236</v>
      </c>
      <c r="B240" s="7" t="s">
        <v>455</v>
      </c>
      <c r="C240" s="8" t="s">
        <v>456</v>
      </c>
      <c r="D240" s="9" t="n">
        <v>0.0103766203703704</v>
      </c>
      <c r="E240" s="10" t="n">
        <v>237</v>
      </c>
      <c r="F240" s="11"/>
      <c r="G240" s="12"/>
      <c r="H240" s="11" t="n">
        <v>0.00276319444444444</v>
      </c>
      <c r="I240" s="12" t="n">
        <v>143</v>
      </c>
      <c r="J240" s="14"/>
      <c r="K240" s="14" t="s">
        <v>457</v>
      </c>
      <c r="L240" s="14"/>
      <c r="M240" s="13"/>
    </row>
    <row r="241" customFormat="false" ht="15" hidden="false" customHeight="false" outlineLevel="0" collapsed="false">
      <c r="A241" s="6" t="n">
        <v>237</v>
      </c>
      <c r="B241" s="7" t="s">
        <v>458</v>
      </c>
      <c r="C241" s="8" t="s">
        <v>120</v>
      </c>
      <c r="D241" s="9" t="n">
        <v>0.0103774305555556</v>
      </c>
      <c r="E241" s="10" t="n">
        <v>238</v>
      </c>
      <c r="F241" s="11" t="n">
        <v>0.006659375</v>
      </c>
      <c r="G241" s="12" t="n">
        <v>88</v>
      </c>
      <c r="H241" s="11" t="n">
        <v>0.00296747685185185</v>
      </c>
      <c r="I241" s="12" t="n">
        <v>1300</v>
      </c>
      <c r="J241" s="14" t="s">
        <v>459</v>
      </c>
      <c r="K241" s="14"/>
      <c r="L241" s="14"/>
      <c r="M241" s="13"/>
    </row>
    <row r="242" customFormat="false" ht="15" hidden="false" customHeight="false" outlineLevel="0" collapsed="false">
      <c r="A242" s="6" t="n">
        <v>238</v>
      </c>
      <c r="B242" s="7" t="s">
        <v>460</v>
      </c>
      <c r="C242" s="8" t="s">
        <v>143</v>
      </c>
      <c r="D242" s="9" t="n">
        <v>0.0103777777777778</v>
      </c>
      <c r="E242" s="10" t="n">
        <v>239</v>
      </c>
      <c r="F242" s="11"/>
      <c r="G242" s="12"/>
      <c r="H242" s="11" t="n">
        <v>0.00282164351851852</v>
      </c>
      <c r="I242" s="12" t="n">
        <v>373</v>
      </c>
      <c r="J242" s="14"/>
      <c r="K242" s="14"/>
      <c r="L242" s="14"/>
      <c r="M242" s="13"/>
    </row>
    <row r="243" customFormat="false" ht="15" hidden="false" customHeight="false" outlineLevel="0" collapsed="false">
      <c r="A243" s="6" t="n">
        <v>239</v>
      </c>
      <c r="B243" s="7" t="s">
        <v>461</v>
      </c>
      <c r="C243" s="8" t="s">
        <v>462</v>
      </c>
      <c r="D243" s="9" t="n">
        <v>0.0103777777777778</v>
      </c>
      <c r="E243" s="10" t="n">
        <v>240</v>
      </c>
      <c r="F243" s="11"/>
      <c r="G243" s="12"/>
      <c r="H243" s="11" t="n">
        <v>0.0028369212962963</v>
      </c>
      <c r="I243" s="12" t="n">
        <v>479</v>
      </c>
      <c r="J243" s="14"/>
      <c r="K243" s="14"/>
      <c r="L243" s="14"/>
      <c r="M243" s="13"/>
    </row>
    <row r="244" customFormat="false" ht="15" hidden="false" customHeight="false" outlineLevel="0" collapsed="false">
      <c r="A244" s="6" t="n">
        <v>240</v>
      </c>
      <c r="B244" s="7" t="s">
        <v>463</v>
      </c>
      <c r="C244" s="8" t="s">
        <v>136</v>
      </c>
      <c r="D244" s="9" t="n">
        <v>0.010378125</v>
      </c>
      <c r="E244" s="10" t="n">
        <v>241</v>
      </c>
      <c r="F244" s="11"/>
      <c r="G244" s="12"/>
      <c r="H244" s="11"/>
      <c r="I244" s="12"/>
      <c r="J244" s="14"/>
      <c r="K244" s="14"/>
      <c r="L244" s="14"/>
      <c r="M244" s="13"/>
    </row>
    <row r="245" customFormat="false" ht="15" hidden="false" customHeight="false" outlineLevel="0" collapsed="false">
      <c r="A245" s="6" t="n">
        <v>241</v>
      </c>
      <c r="B245" s="7" t="s">
        <v>464</v>
      </c>
      <c r="C245" s="8" t="s">
        <v>241</v>
      </c>
      <c r="D245" s="9" t="n">
        <v>0.0103782407407407</v>
      </c>
      <c r="E245" s="10" t="n">
        <v>242</v>
      </c>
      <c r="F245" s="11"/>
      <c r="G245" s="12"/>
      <c r="H245" s="11" t="n">
        <v>0.00277592592592593</v>
      </c>
      <c r="I245" s="12" t="n">
        <v>181</v>
      </c>
      <c r="J245" s="14"/>
      <c r="K245" s="14"/>
      <c r="L245" s="14"/>
      <c r="M245" s="13"/>
    </row>
    <row r="246" customFormat="false" ht="15" hidden="false" customHeight="false" outlineLevel="0" collapsed="false">
      <c r="A246" s="6" t="n">
        <v>242</v>
      </c>
      <c r="B246" s="7" t="s">
        <v>465</v>
      </c>
      <c r="C246" s="8" t="s">
        <v>145</v>
      </c>
      <c r="D246" s="9" t="n">
        <v>0.0103790509259259</v>
      </c>
      <c r="E246" s="10" t="n">
        <v>243</v>
      </c>
      <c r="F246" s="11"/>
      <c r="G246" s="12"/>
      <c r="H246" s="11"/>
      <c r="I246" s="12"/>
      <c r="J246" s="14"/>
      <c r="K246" s="14"/>
      <c r="L246" s="14"/>
      <c r="M246" s="13"/>
    </row>
    <row r="247" customFormat="false" ht="15" hidden="false" customHeight="false" outlineLevel="0" collapsed="false">
      <c r="A247" s="6" t="n">
        <v>243</v>
      </c>
      <c r="B247" s="7" t="s">
        <v>466</v>
      </c>
      <c r="C247" s="8" t="s">
        <v>18</v>
      </c>
      <c r="D247" s="9" t="n">
        <v>0.0103798611111111</v>
      </c>
      <c r="E247" s="10" t="n">
        <v>244</v>
      </c>
      <c r="F247" s="11"/>
      <c r="G247" s="12"/>
      <c r="H247" s="11"/>
      <c r="I247" s="12"/>
      <c r="J247" s="14"/>
      <c r="K247" s="14"/>
      <c r="L247" s="14"/>
      <c r="M247" s="13"/>
    </row>
    <row r="248" customFormat="false" ht="15" hidden="false" customHeight="false" outlineLevel="0" collapsed="false">
      <c r="A248" s="6" t="n">
        <v>244</v>
      </c>
      <c r="B248" s="7" t="s">
        <v>467</v>
      </c>
      <c r="C248" s="8" t="s">
        <v>427</v>
      </c>
      <c r="D248" s="9" t="n">
        <v>0.0103844907407407</v>
      </c>
      <c r="E248" s="10" t="n">
        <v>245</v>
      </c>
      <c r="F248" s="11" t="n">
        <v>0.0072037037037037</v>
      </c>
      <c r="G248" s="12" t="n">
        <v>541</v>
      </c>
      <c r="H248" s="11" t="n">
        <v>0.00296643518518519</v>
      </c>
      <c r="I248" s="12" t="n">
        <v>1297</v>
      </c>
      <c r="J248" s="14" t="s">
        <v>468</v>
      </c>
      <c r="K248" s="14"/>
      <c r="L248" s="14"/>
      <c r="M248" s="13"/>
    </row>
    <row r="249" customFormat="false" ht="15" hidden="false" customHeight="false" outlineLevel="0" collapsed="false">
      <c r="A249" s="6" t="n">
        <v>245</v>
      </c>
      <c r="B249" s="7" t="s">
        <v>469</v>
      </c>
      <c r="C249" s="8" t="s">
        <v>18</v>
      </c>
      <c r="D249" s="9" t="n">
        <v>0.0103846064814815</v>
      </c>
      <c r="E249" s="10" t="n">
        <v>246</v>
      </c>
      <c r="F249" s="11"/>
      <c r="G249" s="12"/>
      <c r="H249" s="11"/>
      <c r="I249" s="12"/>
      <c r="J249" s="14"/>
      <c r="K249" s="14"/>
      <c r="L249" s="14"/>
      <c r="M249" s="13"/>
    </row>
    <row r="250" customFormat="false" ht="15" hidden="false" customHeight="false" outlineLevel="0" collapsed="false">
      <c r="A250" s="6" t="n">
        <v>246</v>
      </c>
      <c r="B250" s="7" t="s">
        <v>470</v>
      </c>
      <c r="C250" s="8" t="s">
        <v>471</v>
      </c>
      <c r="D250" s="9" t="n">
        <v>0.0103861111111111</v>
      </c>
      <c r="E250" s="10" t="n">
        <v>247</v>
      </c>
      <c r="F250" s="11"/>
      <c r="G250" s="12"/>
      <c r="H250" s="11" t="n">
        <v>0.00282662037037037</v>
      </c>
      <c r="I250" s="12" t="n">
        <v>403</v>
      </c>
      <c r="J250" s="14"/>
      <c r="K250" s="14"/>
      <c r="L250" s="14"/>
      <c r="M250" s="13"/>
    </row>
    <row r="251" customFormat="false" ht="15" hidden="false" customHeight="false" outlineLevel="0" collapsed="false">
      <c r="A251" s="6" t="n">
        <v>247</v>
      </c>
      <c r="B251" s="7" t="s">
        <v>472</v>
      </c>
      <c r="C251" s="8" t="s">
        <v>154</v>
      </c>
      <c r="D251" s="9" t="n">
        <v>0.010387962962963</v>
      </c>
      <c r="E251" s="10" t="n">
        <v>248</v>
      </c>
      <c r="F251" s="11" t="n">
        <v>0.00696041666666667</v>
      </c>
      <c r="G251" s="12" t="n">
        <v>294</v>
      </c>
      <c r="H251" s="11" t="n">
        <v>0.00292326388888889</v>
      </c>
      <c r="I251" s="12" t="n">
        <v>1129</v>
      </c>
      <c r="J251" s="14" t="s">
        <v>473</v>
      </c>
      <c r="K251" s="14"/>
      <c r="L251" s="14"/>
      <c r="M251" s="13"/>
    </row>
    <row r="252" customFormat="false" ht="15" hidden="false" customHeight="false" outlineLevel="0" collapsed="false">
      <c r="A252" s="6" t="n">
        <v>248</v>
      </c>
      <c r="B252" s="7" t="s">
        <v>474</v>
      </c>
      <c r="C252" s="8" t="s">
        <v>120</v>
      </c>
      <c r="D252" s="9" t="n">
        <v>0.0103880787037037</v>
      </c>
      <c r="E252" s="10" t="n">
        <v>249</v>
      </c>
      <c r="F252" s="11"/>
      <c r="G252" s="12"/>
      <c r="H252" s="11" t="n">
        <v>0.00288842592592593</v>
      </c>
      <c r="I252" s="12" t="n">
        <v>852</v>
      </c>
      <c r="J252" s="14" t="s">
        <v>475</v>
      </c>
      <c r="K252" s="14"/>
      <c r="L252" s="14"/>
      <c r="M252" s="13"/>
    </row>
    <row r="253" customFormat="false" ht="15" hidden="false" customHeight="false" outlineLevel="0" collapsed="false">
      <c r="A253" s="6" t="n">
        <v>249</v>
      </c>
      <c r="B253" s="7" t="s">
        <v>476</v>
      </c>
      <c r="C253" s="8" t="s">
        <v>477</v>
      </c>
      <c r="D253" s="9" t="n">
        <v>0.0103887731481482</v>
      </c>
      <c r="E253" s="10" t="n">
        <v>250</v>
      </c>
      <c r="F253" s="11"/>
      <c r="G253" s="12"/>
      <c r="H253" s="11" t="n">
        <v>0.00282719907407407</v>
      </c>
      <c r="I253" s="12" t="n">
        <v>406</v>
      </c>
      <c r="J253" s="14"/>
      <c r="K253" s="14"/>
      <c r="L253" s="14"/>
      <c r="M253" s="13"/>
    </row>
    <row r="254" customFormat="false" ht="15" hidden="false" customHeight="false" outlineLevel="0" collapsed="false">
      <c r="A254" s="6" t="n">
        <v>250</v>
      </c>
      <c r="B254" s="7" t="s">
        <v>478</v>
      </c>
      <c r="C254" s="8" t="s">
        <v>479</v>
      </c>
      <c r="D254" s="9" t="n">
        <v>0.0103915509259259</v>
      </c>
      <c r="E254" s="10" t="n">
        <v>251</v>
      </c>
      <c r="F254" s="11"/>
      <c r="G254" s="12"/>
      <c r="H254" s="11" t="n">
        <v>0.00280694444444444</v>
      </c>
      <c r="I254" s="12" t="n">
        <v>314</v>
      </c>
      <c r="J254" s="14"/>
      <c r="K254" s="14"/>
      <c r="L254" s="14"/>
      <c r="M254" s="13"/>
    </row>
    <row r="255" customFormat="false" ht="15" hidden="false" customHeight="false" outlineLevel="0" collapsed="false">
      <c r="A255" s="6" t="n">
        <v>251</v>
      </c>
      <c r="B255" s="7" t="s">
        <v>480</v>
      </c>
      <c r="C255" s="8" t="s">
        <v>481</v>
      </c>
      <c r="D255" s="9" t="n">
        <v>0.0103917824074074</v>
      </c>
      <c r="E255" s="10" t="n">
        <v>252</v>
      </c>
      <c r="F255" s="11" t="n">
        <v>0.00646053240740741</v>
      </c>
      <c r="G255" s="12" t="n">
        <v>25</v>
      </c>
      <c r="H255" s="11" t="n">
        <v>0.00286458333333333</v>
      </c>
      <c r="I255" s="12" t="n">
        <v>663</v>
      </c>
      <c r="J255" s="14"/>
      <c r="K255" s="14"/>
      <c r="L255" s="14"/>
      <c r="M255" s="13"/>
    </row>
    <row r="256" customFormat="false" ht="15" hidden="false" customHeight="false" outlineLevel="0" collapsed="false">
      <c r="A256" s="6" t="n">
        <v>252</v>
      </c>
      <c r="B256" s="7" t="s">
        <v>482</v>
      </c>
      <c r="C256" s="8" t="s">
        <v>66</v>
      </c>
      <c r="D256" s="9" t="n">
        <v>0.0103930555555556</v>
      </c>
      <c r="E256" s="10" t="n">
        <v>253</v>
      </c>
      <c r="F256" s="11"/>
      <c r="G256" s="12"/>
      <c r="H256" s="11"/>
      <c r="I256" s="12"/>
      <c r="J256" s="14"/>
      <c r="K256" s="14"/>
      <c r="L256" s="14"/>
      <c r="M256" s="13"/>
    </row>
    <row r="257" customFormat="false" ht="15" hidden="false" customHeight="false" outlineLevel="0" collapsed="false">
      <c r="A257" s="6" t="n">
        <v>253</v>
      </c>
      <c r="B257" s="7" t="s">
        <v>483</v>
      </c>
      <c r="C257" s="8" t="s">
        <v>484</v>
      </c>
      <c r="D257" s="9" t="n">
        <v>0.0103950231481482</v>
      </c>
      <c r="E257" s="10" t="n">
        <v>254</v>
      </c>
      <c r="F257" s="11"/>
      <c r="G257" s="12"/>
      <c r="H257" s="11"/>
      <c r="I257" s="12"/>
      <c r="J257" s="14"/>
      <c r="K257" s="14"/>
      <c r="L257" s="14"/>
      <c r="M257" s="13"/>
    </row>
    <row r="258" customFormat="false" ht="15" hidden="false" customHeight="false" outlineLevel="0" collapsed="false">
      <c r="A258" s="6" t="n">
        <v>254</v>
      </c>
      <c r="B258" s="7" t="s">
        <v>485</v>
      </c>
      <c r="C258" s="8" t="s">
        <v>70</v>
      </c>
      <c r="D258" s="9" t="n">
        <v>0.0103954861111111</v>
      </c>
      <c r="E258" s="10" t="n">
        <v>255</v>
      </c>
      <c r="F258" s="11"/>
      <c r="G258" s="12"/>
      <c r="H258" s="11" t="n">
        <v>0.00294351851851852</v>
      </c>
      <c r="I258" s="12" t="n">
        <v>1214</v>
      </c>
      <c r="J258" s="14"/>
      <c r="K258" s="14"/>
      <c r="L258" s="14"/>
      <c r="M258" s="13"/>
    </row>
    <row r="259" customFormat="false" ht="15" hidden="false" customHeight="false" outlineLevel="0" collapsed="false">
      <c r="A259" s="6" t="n">
        <v>255</v>
      </c>
      <c r="B259" s="7" t="s">
        <v>486</v>
      </c>
      <c r="C259" s="8" t="s">
        <v>207</v>
      </c>
      <c r="D259" s="9" t="n">
        <v>0.010396412037037</v>
      </c>
      <c r="E259" s="10" t="n">
        <v>256</v>
      </c>
      <c r="F259" s="11" t="n">
        <v>0.00652337962962963</v>
      </c>
      <c r="G259" s="12" t="n">
        <v>39</v>
      </c>
      <c r="H259" s="11" t="n">
        <v>0.00278912037037037</v>
      </c>
      <c r="I259" s="12" t="n">
        <v>237</v>
      </c>
      <c r="J259" s="14"/>
      <c r="K259" s="14"/>
      <c r="L259" s="14"/>
      <c r="M259" s="13"/>
    </row>
    <row r="260" customFormat="false" ht="15" hidden="false" customHeight="false" outlineLevel="0" collapsed="false">
      <c r="A260" s="6" t="n">
        <v>256</v>
      </c>
      <c r="B260" s="7" t="s">
        <v>487</v>
      </c>
      <c r="C260" s="8" t="s">
        <v>52</v>
      </c>
      <c r="D260" s="9" t="n">
        <v>0.0103967592592593</v>
      </c>
      <c r="E260" s="10" t="n">
        <v>257</v>
      </c>
      <c r="F260" s="11"/>
      <c r="G260" s="12"/>
      <c r="H260" s="11" t="n">
        <v>0.00284085648148148</v>
      </c>
      <c r="I260" s="12" t="n">
        <v>503</v>
      </c>
      <c r="J260" s="14"/>
      <c r="K260" s="14"/>
      <c r="L260" s="14"/>
      <c r="M260" s="13"/>
    </row>
    <row r="261" customFormat="false" ht="15" hidden="false" customHeight="false" outlineLevel="0" collapsed="false">
      <c r="A261" s="6" t="n">
        <v>257</v>
      </c>
      <c r="B261" s="7" t="s">
        <v>488</v>
      </c>
      <c r="C261" s="8" t="s">
        <v>54</v>
      </c>
      <c r="D261" s="9" t="n">
        <v>0.010396875</v>
      </c>
      <c r="E261" s="10" t="n">
        <v>258</v>
      </c>
      <c r="F261" s="11"/>
      <c r="G261" s="12"/>
      <c r="H261" s="11" t="n">
        <v>0.00292951388888889</v>
      </c>
      <c r="I261" s="12" t="n">
        <v>1171</v>
      </c>
      <c r="J261" s="14"/>
      <c r="K261" s="14"/>
      <c r="L261" s="14"/>
      <c r="M261" s="13"/>
    </row>
    <row r="262" customFormat="false" ht="15" hidden="false" customHeight="false" outlineLevel="0" collapsed="false">
      <c r="A262" s="6" t="n">
        <v>258</v>
      </c>
      <c r="B262" s="7" t="s">
        <v>489</v>
      </c>
      <c r="C262" s="8" t="s">
        <v>363</v>
      </c>
      <c r="D262" s="9" t="n">
        <v>0.0103971064814815</v>
      </c>
      <c r="E262" s="10" t="n">
        <v>259</v>
      </c>
      <c r="F262" s="11"/>
      <c r="G262" s="12"/>
      <c r="H262" s="11" t="n">
        <v>0.00274768518518519</v>
      </c>
      <c r="I262" s="12" t="n">
        <v>95</v>
      </c>
      <c r="J262" s="14"/>
      <c r="K262" s="14"/>
      <c r="L262" s="14"/>
      <c r="M262" s="13"/>
    </row>
    <row r="263" customFormat="false" ht="15" hidden="false" customHeight="false" outlineLevel="0" collapsed="false">
      <c r="A263" s="6" t="n">
        <v>259</v>
      </c>
      <c r="B263" s="7" t="s">
        <v>490</v>
      </c>
      <c r="C263" s="8" t="s">
        <v>238</v>
      </c>
      <c r="D263" s="9" t="n">
        <v>0.0103972222222222</v>
      </c>
      <c r="E263" s="10" t="n">
        <v>260</v>
      </c>
      <c r="F263" s="11"/>
      <c r="G263" s="12"/>
      <c r="H263" s="11" t="n">
        <v>0.0028130787037037</v>
      </c>
      <c r="I263" s="12" t="n">
        <v>334</v>
      </c>
      <c r="J263" s="14" t="s">
        <v>491</v>
      </c>
      <c r="K263" s="14"/>
      <c r="L263" s="14"/>
      <c r="M263" s="13"/>
    </row>
    <row r="264" customFormat="false" ht="15" hidden="false" customHeight="false" outlineLevel="0" collapsed="false">
      <c r="A264" s="6" t="n">
        <v>260</v>
      </c>
      <c r="B264" s="7" t="s">
        <v>492</v>
      </c>
      <c r="C264" s="8" t="s">
        <v>233</v>
      </c>
      <c r="D264" s="9" t="n">
        <v>0.0103976851851852</v>
      </c>
      <c r="E264" s="10" t="n">
        <v>261</v>
      </c>
      <c r="F264" s="11"/>
      <c r="G264" s="12"/>
      <c r="H264" s="11" t="n">
        <v>0.00282592592592593</v>
      </c>
      <c r="I264" s="12" t="n">
        <v>398</v>
      </c>
      <c r="J264" s="14" t="s">
        <v>493</v>
      </c>
      <c r="K264" s="14"/>
      <c r="L264" s="14"/>
      <c r="M264" s="13"/>
    </row>
    <row r="265" customFormat="false" ht="15" hidden="false" customHeight="false" outlineLevel="0" collapsed="false">
      <c r="A265" s="6" t="n">
        <v>261</v>
      </c>
      <c r="B265" s="7" t="s">
        <v>494</v>
      </c>
      <c r="C265" s="8" t="s">
        <v>136</v>
      </c>
      <c r="D265" s="9" t="n">
        <v>0.0103980324074074</v>
      </c>
      <c r="E265" s="10" t="n">
        <v>262</v>
      </c>
      <c r="F265" s="11"/>
      <c r="G265" s="12"/>
      <c r="H265" s="11" t="n">
        <v>0.00291655092592593</v>
      </c>
      <c r="I265" s="12" t="n">
        <v>1063</v>
      </c>
      <c r="J265" s="14"/>
      <c r="K265" s="14"/>
      <c r="L265" s="14"/>
      <c r="M265" s="13"/>
    </row>
    <row r="266" customFormat="false" ht="15" hidden="false" customHeight="false" outlineLevel="0" collapsed="false">
      <c r="A266" s="6" t="n">
        <v>262</v>
      </c>
      <c r="B266" s="7" t="s">
        <v>495</v>
      </c>
      <c r="C266" s="8" t="s">
        <v>496</v>
      </c>
      <c r="D266" s="9" t="n">
        <v>0.0103997685185185</v>
      </c>
      <c r="E266" s="10" t="n">
        <v>263</v>
      </c>
      <c r="F266" s="11"/>
      <c r="G266" s="12"/>
      <c r="H266" s="11"/>
      <c r="I266" s="12"/>
      <c r="J266" s="14"/>
      <c r="K266" s="14"/>
      <c r="L266" s="14"/>
      <c r="M266" s="13"/>
    </row>
    <row r="267" customFormat="false" ht="15" hidden="false" customHeight="false" outlineLevel="0" collapsed="false">
      <c r="A267" s="6" t="n">
        <v>263</v>
      </c>
      <c r="B267" s="7" t="s">
        <v>497</v>
      </c>
      <c r="C267" s="8" t="s">
        <v>52</v>
      </c>
      <c r="D267" s="9" t="n">
        <v>0.0104</v>
      </c>
      <c r="E267" s="10" t="n">
        <v>264</v>
      </c>
      <c r="F267" s="11"/>
      <c r="G267" s="12"/>
      <c r="H267" s="11" t="n">
        <v>0.00277476851851852</v>
      </c>
      <c r="I267" s="12" t="n">
        <v>175</v>
      </c>
      <c r="J267" s="14"/>
      <c r="K267" s="14"/>
      <c r="L267" s="14"/>
      <c r="M267" s="13"/>
    </row>
    <row r="268" customFormat="false" ht="15" hidden="false" customHeight="false" outlineLevel="0" collapsed="false">
      <c r="A268" s="6" t="n">
        <v>264</v>
      </c>
      <c r="B268" s="7" t="s">
        <v>498</v>
      </c>
      <c r="C268" s="8" t="s">
        <v>236</v>
      </c>
      <c r="D268" s="9" t="n">
        <v>0.0104001157407407</v>
      </c>
      <c r="E268" s="10" t="n">
        <v>265</v>
      </c>
      <c r="F268" s="11"/>
      <c r="G268" s="12"/>
      <c r="H268" s="11"/>
      <c r="I268" s="12"/>
      <c r="J268" s="14"/>
      <c r="K268" s="14"/>
      <c r="L268" s="14"/>
      <c r="M268" s="13"/>
    </row>
    <row r="269" customFormat="false" ht="15" hidden="false" customHeight="false" outlineLevel="0" collapsed="false">
      <c r="A269" s="6" t="n">
        <v>265</v>
      </c>
      <c r="B269" s="7" t="s">
        <v>499</v>
      </c>
      <c r="C269" s="8" t="s">
        <v>500</v>
      </c>
      <c r="D269" s="9" t="n">
        <v>0.0104003472222222</v>
      </c>
      <c r="E269" s="10" t="n">
        <v>266</v>
      </c>
      <c r="F269" s="11"/>
      <c r="G269" s="12"/>
      <c r="H269" s="11" t="n">
        <v>0.00294560185185185</v>
      </c>
      <c r="I269" s="12" t="n">
        <v>1218</v>
      </c>
      <c r="J269" s="14"/>
      <c r="K269" s="14"/>
      <c r="L269" s="14"/>
      <c r="M269" s="13"/>
    </row>
    <row r="270" customFormat="false" ht="15" hidden="false" customHeight="false" outlineLevel="0" collapsed="false">
      <c r="A270" s="6" t="n">
        <v>266</v>
      </c>
      <c r="B270" s="7" t="s">
        <v>501</v>
      </c>
      <c r="C270" s="8" t="s">
        <v>238</v>
      </c>
      <c r="D270" s="9" t="n">
        <v>0.0104005787037037</v>
      </c>
      <c r="E270" s="10" t="n">
        <v>267</v>
      </c>
      <c r="F270" s="11" t="n">
        <v>0.00673564814814815</v>
      </c>
      <c r="G270" s="12" t="n">
        <v>122</v>
      </c>
      <c r="H270" s="11" t="n">
        <v>0.00283460648148148</v>
      </c>
      <c r="I270" s="12" t="n">
        <v>456</v>
      </c>
      <c r="J270" s="14"/>
      <c r="K270" s="14"/>
      <c r="L270" s="14"/>
      <c r="M270" s="13"/>
    </row>
    <row r="271" customFormat="false" ht="15" hidden="false" customHeight="false" outlineLevel="0" collapsed="false">
      <c r="A271" s="6" t="n">
        <v>267</v>
      </c>
      <c r="B271" s="7" t="s">
        <v>502</v>
      </c>
      <c r="C271" s="8" t="s">
        <v>18</v>
      </c>
      <c r="D271" s="9" t="n">
        <v>0.0104017361111111</v>
      </c>
      <c r="E271" s="10" t="n">
        <v>268</v>
      </c>
      <c r="F271" s="11" t="n">
        <v>0.00663773148148148</v>
      </c>
      <c r="G271" s="12" t="n">
        <v>77</v>
      </c>
      <c r="H271" s="11"/>
      <c r="I271" s="12"/>
      <c r="J271" s="14" t="s">
        <v>503</v>
      </c>
      <c r="K271" s="14"/>
      <c r="L271" s="14"/>
      <c r="M271" s="13"/>
    </row>
    <row r="272" customFormat="false" ht="15" hidden="false" customHeight="false" outlineLevel="0" collapsed="false">
      <c r="A272" s="6" t="n">
        <v>268</v>
      </c>
      <c r="B272" s="7" t="s">
        <v>504</v>
      </c>
      <c r="C272" s="8" t="s">
        <v>145</v>
      </c>
      <c r="D272" s="9" t="n">
        <v>0.0104037037037037</v>
      </c>
      <c r="E272" s="10" t="n">
        <v>269</v>
      </c>
      <c r="F272" s="11"/>
      <c r="G272" s="12"/>
      <c r="H272" s="11" t="n">
        <v>0.002796875</v>
      </c>
      <c r="I272" s="12" t="n">
        <v>269</v>
      </c>
      <c r="J272" s="14" t="s">
        <v>505</v>
      </c>
      <c r="K272" s="14"/>
      <c r="L272" s="14"/>
      <c r="M272" s="13"/>
    </row>
    <row r="273" customFormat="false" ht="15" hidden="false" customHeight="false" outlineLevel="0" collapsed="false">
      <c r="A273" s="6" t="n">
        <v>269</v>
      </c>
      <c r="B273" s="7" t="s">
        <v>506</v>
      </c>
      <c r="C273" s="8" t="s">
        <v>16</v>
      </c>
      <c r="D273" s="9" t="n">
        <v>0.01040625</v>
      </c>
      <c r="E273" s="10" t="n">
        <v>270</v>
      </c>
      <c r="F273" s="11" t="n">
        <v>0.00686087962962963</v>
      </c>
      <c r="G273" s="12" t="n">
        <v>211</v>
      </c>
      <c r="H273" s="11" t="n">
        <v>0.00291875</v>
      </c>
      <c r="I273" s="12" t="n">
        <v>1080</v>
      </c>
      <c r="J273" s="14"/>
      <c r="K273" s="14"/>
      <c r="L273" s="14"/>
      <c r="M273" s="13"/>
    </row>
    <row r="274" customFormat="false" ht="15" hidden="false" customHeight="false" outlineLevel="0" collapsed="false">
      <c r="A274" s="6" t="n">
        <v>270</v>
      </c>
      <c r="B274" s="7" t="s">
        <v>507</v>
      </c>
      <c r="C274" s="8" t="s">
        <v>508</v>
      </c>
      <c r="D274" s="9" t="n">
        <v>0.0104074074074074</v>
      </c>
      <c r="E274" s="10" t="n">
        <v>271</v>
      </c>
      <c r="F274" s="11"/>
      <c r="G274" s="12"/>
      <c r="H274" s="11" t="n">
        <v>0.00280208333333333</v>
      </c>
      <c r="I274" s="12" t="n">
        <v>290</v>
      </c>
      <c r="J274" s="14"/>
      <c r="K274" s="14"/>
      <c r="L274" s="14"/>
      <c r="M274" s="13"/>
    </row>
    <row r="275" customFormat="false" ht="15" hidden="false" customHeight="false" outlineLevel="0" collapsed="false">
      <c r="A275" s="6" t="n">
        <v>271</v>
      </c>
      <c r="B275" s="7" t="s">
        <v>509</v>
      </c>
      <c r="C275" s="8" t="s">
        <v>44</v>
      </c>
      <c r="D275" s="9" t="n">
        <v>0.0104083333333333</v>
      </c>
      <c r="E275" s="10" t="n">
        <v>272</v>
      </c>
      <c r="F275" s="11"/>
      <c r="G275" s="12"/>
      <c r="H275" s="11" t="n">
        <v>0.00276331018518519</v>
      </c>
      <c r="I275" s="12" t="n">
        <v>144</v>
      </c>
      <c r="J275" s="14"/>
      <c r="K275" s="14"/>
      <c r="L275" s="14"/>
      <c r="M275" s="13"/>
    </row>
    <row r="276" customFormat="false" ht="15" hidden="false" customHeight="false" outlineLevel="0" collapsed="false">
      <c r="A276" s="6" t="n">
        <v>272</v>
      </c>
      <c r="B276" s="7" t="s">
        <v>510</v>
      </c>
      <c r="C276" s="8" t="s">
        <v>309</v>
      </c>
      <c r="D276" s="9" t="n">
        <v>0.0104087962962963</v>
      </c>
      <c r="E276" s="10" t="n">
        <v>273</v>
      </c>
      <c r="F276" s="11"/>
      <c r="G276" s="12"/>
      <c r="H276" s="11" t="n">
        <v>0.00278125</v>
      </c>
      <c r="I276" s="12" t="n">
        <v>208</v>
      </c>
      <c r="J276" s="14"/>
      <c r="K276" s="14"/>
      <c r="L276" s="14"/>
      <c r="M276" s="13"/>
    </row>
    <row r="277" customFormat="false" ht="15" hidden="false" customHeight="false" outlineLevel="0" collapsed="false">
      <c r="A277" s="6" t="n">
        <v>273</v>
      </c>
      <c r="B277" s="7" t="s">
        <v>511</v>
      </c>
      <c r="C277" s="8" t="s">
        <v>34</v>
      </c>
      <c r="D277" s="9" t="n">
        <v>0.010409375</v>
      </c>
      <c r="E277" s="10" t="n">
        <v>274</v>
      </c>
      <c r="F277" s="11"/>
      <c r="G277" s="12"/>
      <c r="H277" s="11" t="n">
        <v>0.0028974537037037</v>
      </c>
      <c r="I277" s="12" t="n">
        <v>932</v>
      </c>
      <c r="J277" s="14"/>
      <c r="K277" s="14" t="s">
        <v>512</v>
      </c>
      <c r="L277" s="14"/>
      <c r="M277" s="13"/>
    </row>
    <row r="278" customFormat="false" ht="15" hidden="false" customHeight="false" outlineLevel="0" collapsed="false">
      <c r="A278" s="6" t="n">
        <v>274</v>
      </c>
      <c r="B278" s="7" t="s">
        <v>513</v>
      </c>
      <c r="C278" s="8" t="s">
        <v>87</v>
      </c>
      <c r="D278" s="9" t="n">
        <v>0.0104099537037037</v>
      </c>
      <c r="E278" s="10" t="n">
        <v>275</v>
      </c>
      <c r="F278" s="11"/>
      <c r="G278" s="12"/>
      <c r="H278" s="11" t="n">
        <v>0.00276446759259259</v>
      </c>
      <c r="I278" s="12" t="n">
        <v>146</v>
      </c>
      <c r="J278" s="14"/>
      <c r="K278" s="14"/>
      <c r="L278" s="14"/>
      <c r="M278" s="13"/>
    </row>
    <row r="279" customFormat="false" ht="15" hidden="false" customHeight="false" outlineLevel="0" collapsed="false">
      <c r="A279" s="6" t="n">
        <v>275</v>
      </c>
      <c r="B279" s="7" t="s">
        <v>514</v>
      </c>
      <c r="C279" s="8" t="s">
        <v>515</v>
      </c>
      <c r="D279" s="9" t="n">
        <v>0.0104104166666667</v>
      </c>
      <c r="E279" s="10" t="n">
        <v>276</v>
      </c>
      <c r="F279" s="11"/>
      <c r="G279" s="12"/>
      <c r="H279" s="11" t="n">
        <v>0.00286875</v>
      </c>
      <c r="I279" s="12" t="n">
        <v>685</v>
      </c>
      <c r="J279" s="14"/>
      <c r="K279" s="14"/>
      <c r="L279" s="14"/>
      <c r="M279" s="13"/>
    </row>
    <row r="280" customFormat="false" ht="15" hidden="false" customHeight="false" outlineLevel="0" collapsed="false">
      <c r="A280" s="6" t="n">
        <v>276</v>
      </c>
      <c r="B280" s="7" t="s">
        <v>516</v>
      </c>
      <c r="C280" s="8" t="s">
        <v>143</v>
      </c>
      <c r="D280" s="9" t="n">
        <v>0.0104115740740741</v>
      </c>
      <c r="E280" s="10" t="n">
        <v>277</v>
      </c>
      <c r="F280" s="11"/>
      <c r="G280" s="12"/>
      <c r="H280" s="11"/>
      <c r="I280" s="12"/>
      <c r="J280" s="14"/>
      <c r="K280" s="14"/>
      <c r="L280" s="14"/>
      <c r="M280" s="13"/>
    </row>
    <row r="281" customFormat="false" ht="15" hidden="false" customHeight="false" outlineLevel="0" collapsed="false">
      <c r="A281" s="6" t="n">
        <v>277</v>
      </c>
      <c r="B281" s="7" t="s">
        <v>517</v>
      </c>
      <c r="C281" s="8" t="s">
        <v>518</v>
      </c>
      <c r="D281" s="9" t="n">
        <v>0.0104116898148148</v>
      </c>
      <c r="E281" s="10" t="n">
        <v>278</v>
      </c>
      <c r="F281" s="11"/>
      <c r="G281" s="12"/>
      <c r="H281" s="11" t="n">
        <v>0.00276064814814815</v>
      </c>
      <c r="I281" s="12" t="n">
        <v>138</v>
      </c>
      <c r="J281" s="14" t="s">
        <v>519</v>
      </c>
      <c r="K281" s="14"/>
      <c r="L281" s="14"/>
      <c r="M281" s="13"/>
    </row>
    <row r="282" customFormat="false" ht="15" hidden="false" customHeight="false" outlineLevel="0" collapsed="false">
      <c r="A282" s="6" t="n">
        <v>278</v>
      </c>
      <c r="B282" s="7" t="s">
        <v>520</v>
      </c>
      <c r="C282" s="8" t="s">
        <v>341</v>
      </c>
      <c r="D282" s="9" t="n">
        <v>0.0104118055555556</v>
      </c>
      <c r="E282" s="10" t="n">
        <v>279</v>
      </c>
      <c r="F282" s="11" t="n">
        <v>0.00650740740740741</v>
      </c>
      <c r="G282" s="12" t="n">
        <v>38</v>
      </c>
      <c r="H282" s="11" t="n">
        <v>0.00278425925925926</v>
      </c>
      <c r="I282" s="12" t="n">
        <v>217</v>
      </c>
      <c r="J282" s="14" t="s">
        <v>521</v>
      </c>
      <c r="K282" s="14"/>
      <c r="L282" s="14"/>
      <c r="M282" s="13"/>
    </row>
    <row r="283" customFormat="false" ht="15" hidden="false" customHeight="false" outlineLevel="0" collapsed="false">
      <c r="A283" s="6" t="n">
        <v>279</v>
      </c>
      <c r="B283" s="7" t="s">
        <v>522</v>
      </c>
      <c r="C283" s="8" t="s">
        <v>523</v>
      </c>
      <c r="D283" s="9" t="n">
        <v>0.0104148148148148</v>
      </c>
      <c r="E283" s="10" t="n">
        <v>280</v>
      </c>
      <c r="F283" s="11"/>
      <c r="G283" s="12"/>
      <c r="H283" s="11" t="n">
        <v>0.00282395833333333</v>
      </c>
      <c r="I283" s="12" t="n">
        <v>387</v>
      </c>
      <c r="J283" s="14"/>
      <c r="K283" s="14"/>
      <c r="L283" s="14"/>
      <c r="M283" s="13"/>
    </row>
    <row r="284" customFormat="false" ht="15" hidden="false" customHeight="false" outlineLevel="0" collapsed="false">
      <c r="A284" s="6" t="n">
        <v>280</v>
      </c>
      <c r="B284" s="7" t="s">
        <v>524</v>
      </c>
      <c r="C284" s="8" t="s">
        <v>525</v>
      </c>
      <c r="D284" s="9" t="n">
        <v>0.0104148148148148</v>
      </c>
      <c r="E284" s="10" t="n">
        <v>281</v>
      </c>
      <c r="F284" s="11" t="n">
        <v>0.00688854166666667</v>
      </c>
      <c r="G284" s="12" t="n">
        <v>230</v>
      </c>
      <c r="H284" s="11" t="n">
        <v>0.00287662037037037</v>
      </c>
      <c r="I284" s="12" t="n">
        <v>743</v>
      </c>
      <c r="J284" s="14"/>
      <c r="K284" s="14"/>
      <c r="L284" s="14"/>
      <c r="M284" s="13"/>
    </row>
    <row r="285" customFormat="false" ht="15" hidden="false" customHeight="false" outlineLevel="0" collapsed="false">
      <c r="A285" s="6" t="n">
        <v>281</v>
      </c>
      <c r="B285" s="7" t="s">
        <v>526</v>
      </c>
      <c r="C285" s="8" t="s">
        <v>130</v>
      </c>
      <c r="D285" s="9" t="n">
        <v>0.010418287037037</v>
      </c>
      <c r="E285" s="10" t="n">
        <v>282</v>
      </c>
      <c r="F285" s="11"/>
      <c r="G285" s="12"/>
      <c r="H285" s="11" t="n">
        <v>0.0028650462962963</v>
      </c>
      <c r="I285" s="12" t="n">
        <v>666</v>
      </c>
      <c r="J285" s="14"/>
      <c r="K285" s="14"/>
      <c r="L285" s="14"/>
      <c r="M285" s="13"/>
    </row>
    <row r="286" customFormat="false" ht="15" hidden="false" customHeight="false" outlineLevel="0" collapsed="false">
      <c r="A286" s="6" t="n">
        <v>282</v>
      </c>
      <c r="B286" s="7" t="s">
        <v>527</v>
      </c>
      <c r="C286" s="8" t="s">
        <v>100</v>
      </c>
      <c r="D286" s="9" t="n">
        <v>0.0104184027777778</v>
      </c>
      <c r="E286" s="10" t="n">
        <v>283</v>
      </c>
      <c r="F286" s="11" t="n">
        <v>0.00663900462962963</v>
      </c>
      <c r="G286" s="12" t="n">
        <v>78</v>
      </c>
      <c r="H286" s="11" t="n">
        <v>0.00285671296296296</v>
      </c>
      <c r="I286" s="12" t="n">
        <v>612</v>
      </c>
      <c r="J286" s="14"/>
      <c r="K286" s="14" t="s">
        <v>528</v>
      </c>
      <c r="L286" s="14"/>
      <c r="M286" s="13"/>
    </row>
    <row r="287" customFormat="false" ht="15" hidden="false" customHeight="false" outlineLevel="0" collapsed="false">
      <c r="A287" s="6" t="n">
        <v>283</v>
      </c>
      <c r="B287" s="7" t="s">
        <v>529</v>
      </c>
      <c r="C287" s="8" t="s">
        <v>530</v>
      </c>
      <c r="D287" s="9" t="n">
        <v>0.0104189814814815</v>
      </c>
      <c r="E287" s="10" t="n">
        <v>284</v>
      </c>
      <c r="F287" s="11"/>
      <c r="G287" s="12"/>
      <c r="H287" s="11" t="n">
        <v>0.00278032407407407</v>
      </c>
      <c r="I287" s="12" t="n">
        <v>202</v>
      </c>
      <c r="J287" s="14"/>
      <c r="K287" s="14"/>
      <c r="L287" s="14"/>
      <c r="M287" s="13"/>
    </row>
    <row r="288" customFormat="false" ht="15" hidden="false" customHeight="false" outlineLevel="0" collapsed="false">
      <c r="A288" s="6" t="n">
        <v>284</v>
      </c>
      <c r="B288" s="7" t="s">
        <v>531</v>
      </c>
      <c r="C288" s="8" t="s">
        <v>23</v>
      </c>
      <c r="D288" s="9" t="n">
        <v>0.0104209490740741</v>
      </c>
      <c r="E288" s="10" t="n">
        <v>285</v>
      </c>
      <c r="F288" s="11"/>
      <c r="G288" s="12"/>
      <c r="H288" s="11" t="n">
        <v>0.00282280092592593</v>
      </c>
      <c r="I288" s="12" t="n">
        <v>381</v>
      </c>
      <c r="J288" s="14"/>
      <c r="K288" s="14"/>
      <c r="L288" s="14"/>
      <c r="M288" s="13"/>
    </row>
    <row r="289" customFormat="false" ht="15" hidden="false" customHeight="false" outlineLevel="0" collapsed="false">
      <c r="A289" s="6" t="n">
        <v>285</v>
      </c>
      <c r="B289" s="7" t="s">
        <v>532</v>
      </c>
      <c r="C289" s="8" t="s">
        <v>408</v>
      </c>
      <c r="D289" s="9" t="n">
        <v>0.0104215277777778</v>
      </c>
      <c r="E289" s="10" t="n">
        <v>286</v>
      </c>
      <c r="F289" s="11"/>
      <c r="G289" s="12"/>
      <c r="H289" s="11" t="n">
        <v>0.00270625</v>
      </c>
      <c r="I289" s="12" t="n">
        <v>30</v>
      </c>
      <c r="J289" s="14"/>
      <c r="K289" s="14"/>
      <c r="L289" s="14"/>
      <c r="M289" s="13"/>
    </row>
    <row r="290" customFormat="false" ht="15" hidden="false" customHeight="false" outlineLevel="0" collapsed="false">
      <c r="A290" s="6" t="n">
        <v>286</v>
      </c>
      <c r="B290" s="7" t="s">
        <v>533</v>
      </c>
      <c r="C290" s="8" t="s">
        <v>138</v>
      </c>
      <c r="D290" s="9" t="n">
        <v>0.0104221064814815</v>
      </c>
      <c r="E290" s="10" t="n">
        <v>287</v>
      </c>
      <c r="F290" s="11"/>
      <c r="G290" s="12"/>
      <c r="H290" s="11" t="n">
        <v>0.00280300925925926</v>
      </c>
      <c r="I290" s="12" t="n">
        <v>295</v>
      </c>
      <c r="J290" s="14"/>
      <c r="K290" s="14"/>
      <c r="L290" s="14"/>
      <c r="M290" s="13"/>
    </row>
    <row r="291" customFormat="false" ht="15" hidden="false" customHeight="false" outlineLevel="0" collapsed="false">
      <c r="A291" s="6" t="n">
        <v>287</v>
      </c>
      <c r="B291" s="7" t="s">
        <v>534</v>
      </c>
      <c r="C291" s="8" t="s">
        <v>54</v>
      </c>
      <c r="D291" s="9" t="n">
        <v>0.0104231481481482</v>
      </c>
      <c r="E291" s="10" t="n">
        <v>288</v>
      </c>
      <c r="F291" s="11"/>
      <c r="G291" s="12"/>
      <c r="H291" s="11" t="n">
        <v>0.00292418981481482</v>
      </c>
      <c r="I291" s="12" t="n">
        <v>1138</v>
      </c>
      <c r="J291" s="14"/>
      <c r="K291" s="14"/>
      <c r="L291" s="14"/>
      <c r="M291" s="13"/>
    </row>
    <row r="292" customFormat="false" ht="15" hidden="false" customHeight="false" outlineLevel="0" collapsed="false">
      <c r="A292" s="6" t="n">
        <v>288</v>
      </c>
      <c r="B292" s="7" t="s">
        <v>535</v>
      </c>
      <c r="C292" s="8" t="s">
        <v>61</v>
      </c>
      <c r="D292" s="9" t="n">
        <v>0.0104248842592593</v>
      </c>
      <c r="E292" s="10" t="n">
        <v>289</v>
      </c>
      <c r="F292" s="11"/>
      <c r="G292" s="12"/>
      <c r="H292" s="11" t="n">
        <v>0.0029224537037037</v>
      </c>
      <c r="I292" s="12" t="n">
        <v>1119</v>
      </c>
      <c r="J292" s="14"/>
      <c r="K292" s="14"/>
      <c r="L292" s="14"/>
      <c r="M292" s="13"/>
    </row>
    <row r="293" customFormat="false" ht="15" hidden="false" customHeight="false" outlineLevel="0" collapsed="false">
      <c r="A293" s="6" t="n">
        <v>289</v>
      </c>
      <c r="B293" s="7" t="s">
        <v>536</v>
      </c>
      <c r="C293" s="8" t="s">
        <v>537</v>
      </c>
      <c r="D293" s="9" t="n">
        <v>0.0104258101851852</v>
      </c>
      <c r="E293" s="10" t="n">
        <v>290</v>
      </c>
      <c r="F293" s="11"/>
      <c r="G293" s="12"/>
      <c r="H293" s="11"/>
      <c r="I293" s="12"/>
      <c r="J293" s="14" t="s">
        <v>538</v>
      </c>
      <c r="K293" s="14"/>
      <c r="L293" s="14"/>
      <c r="M293" s="13"/>
    </row>
    <row r="294" customFormat="false" ht="15" hidden="false" customHeight="false" outlineLevel="0" collapsed="false">
      <c r="A294" s="6" t="n">
        <v>290</v>
      </c>
      <c r="B294" s="7" t="s">
        <v>539</v>
      </c>
      <c r="C294" s="8" t="s">
        <v>138</v>
      </c>
      <c r="D294" s="9" t="n">
        <v>0.0104261574074074</v>
      </c>
      <c r="E294" s="10" t="n">
        <v>291</v>
      </c>
      <c r="F294" s="11"/>
      <c r="G294" s="12"/>
      <c r="H294" s="11" t="n">
        <v>0.00276944444444445</v>
      </c>
      <c r="I294" s="12" t="n">
        <v>159</v>
      </c>
      <c r="J294" s="14"/>
      <c r="K294" s="14"/>
      <c r="L294" s="14"/>
      <c r="M294" s="13"/>
    </row>
    <row r="295" customFormat="false" ht="15" hidden="false" customHeight="false" outlineLevel="0" collapsed="false">
      <c r="A295" s="6" t="n">
        <v>291</v>
      </c>
      <c r="B295" s="7" t="s">
        <v>540</v>
      </c>
      <c r="C295" s="8" t="s">
        <v>541</v>
      </c>
      <c r="D295" s="9" t="n">
        <v>0.0104265046296296</v>
      </c>
      <c r="E295" s="10" t="n">
        <v>292</v>
      </c>
      <c r="F295" s="11"/>
      <c r="G295" s="12"/>
      <c r="H295" s="11" t="n">
        <v>0.00276736111111111</v>
      </c>
      <c r="I295" s="12" t="n">
        <v>156</v>
      </c>
      <c r="J295" s="14" t="s">
        <v>542</v>
      </c>
      <c r="K295" s="14"/>
      <c r="L295" s="14"/>
      <c r="M295" s="13"/>
    </row>
    <row r="296" customFormat="false" ht="15" hidden="false" customHeight="false" outlineLevel="0" collapsed="false">
      <c r="A296" s="6" t="n">
        <v>292</v>
      </c>
      <c r="B296" s="7" t="s">
        <v>543</v>
      </c>
      <c r="C296" s="8" t="s">
        <v>544</v>
      </c>
      <c r="D296" s="9" t="n">
        <v>0.0104300925925926</v>
      </c>
      <c r="E296" s="10" t="n">
        <v>293</v>
      </c>
      <c r="F296" s="11"/>
      <c r="G296" s="12"/>
      <c r="H296" s="11" t="n">
        <v>0.00291111111111111</v>
      </c>
      <c r="I296" s="12" t="n">
        <v>1029</v>
      </c>
      <c r="J296" s="14"/>
      <c r="K296" s="14"/>
      <c r="L296" s="14"/>
      <c r="M296" s="13"/>
    </row>
    <row r="297" customFormat="false" ht="15" hidden="false" customHeight="false" outlineLevel="0" collapsed="false">
      <c r="A297" s="6" t="n">
        <v>293</v>
      </c>
      <c r="B297" s="7" t="s">
        <v>545</v>
      </c>
      <c r="C297" s="8" t="s">
        <v>92</v>
      </c>
      <c r="D297" s="9" t="n">
        <v>0.0104302083333333</v>
      </c>
      <c r="E297" s="10" t="n">
        <v>294</v>
      </c>
      <c r="F297" s="11"/>
      <c r="G297" s="12"/>
      <c r="H297" s="11" t="n">
        <v>0.00273530092592593</v>
      </c>
      <c r="I297" s="12" t="n">
        <v>73</v>
      </c>
      <c r="J297" s="14"/>
      <c r="K297" s="14"/>
      <c r="L297" s="14"/>
      <c r="M297" s="13"/>
    </row>
    <row r="298" customFormat="false" ht="15" hidden="false" customHeight="false" outlineLevel="0" collapsed="false">
      <c r="A298" s="6" t="n">
        <v>294</v>
      </c>
      <c r="B298" s="7" t="s">
        <v>546</v>
      </c>
      <c r="C298" s="8" t="s">
        <v>431</v>
      </c>
      <c r="D298" s="9" t="n">
        <v>0.0104319444444445</v>
      </c>
      <c r="E298" s="10" t="n">
        <v>295</v>
      </c>
      <c r="F298" s="11" t="n">
        <v>0.00650046296296296</v>
      </c>
      <c r="G298" s="12" t="n">
        <v>36</v>
      </c>
      <c r="H298" s="11" t="n">
        <v>0.00285821759259259</v>
      </c>
      <c r="I298" s="12" t="n">
        <v>623</v>
      </c>
      <c r="J298" s="14"/>
      <c r="K298" s="14"/>
      <c r="L298" s="14"/>
      <c r="M298" s="13"/>
    </row>
    <row r="299" customFormat="false" ht="15" hidden="false" customHeight="false" outlineLevel="0" collapsed="false">
      <c r="A299" s="6" t="n">
        <v>295</v>
      </c>
      <c r="B299" s="7" t="s">
        <v>547</v>
      </c>
      <c r="C299" s="8" t="s">
        <v>64</v>
      </c>
      <c r="D299" s="9" t="n">
        <v>0.0104322916666667</v>
      </c>
      <c r="E299" s="10" t="n">
        <v>296</v>
      </c>
      <c r="F299" s="11"/>
      <c r="G299" s="12"/>
      <c r="H299" s="11" t="n">
        <v>0.00278194444444445</v>
      </c>
      <c r="I299" s="12" t="n">
        <v>210</v>
      </c>
      <c r="J299" s="14"/>
      <c r="K299" s="14"/>
      <c r="L299" s="14"/>
      <c r="M299" s="13"/>
    </row>
    <row r="300" customFormat="false" ht="15" hidden="false" customHeight="false" outlineLevel="0" collapsed="false">
      <c r="A300" s="6" t="n">
        <v>296</v>
      </c>
      <c r="B300" s="7" t="s">
        <v>548</v>
      </c>
      <c r="C300" s="8" t="s">
        <v>549</v>
      </c>
      <c r="D300" s="9" t="n">
        <v>0.0104341435185185</v>
      </c>
      <c r="E300" s="10" t="n">
        <v>297</v>
      </c>
      <c r="F300" s="11"/>
      <c r="G300" s="12"/>
      <c r="H300" s="11"/>
      <c r="I300" s="12"/>
      <c r="J300" s="14"/>
      <c r="K300" s="14"/>
      <c r="L300" s="14"/>
      <c r="M300" s="13"/>
    </row>
    <row r="301" customFormat="false" ht="15" hidden="false" customHeight="false" outlineLevel="0" collapsed="false">
      <c r="A301" s="6" t="n">
        <v>297</v>
      </c>
      <c r="B301" s="7" t="s">
        <v>550</v>
      </c>
      <c r="C301" s="8" t="s">
        <v>390</v>
      </c>
      <c r="D301" s="9" t="n">
        <v>0.0104372685185185</v>
      </c>
      <c r="E301" s="10" t="n">
        <v>298</v>
      </c>
      <c r="F301" s="11"/>
      <c r="G301" s="12"/>
      <c r="H301" s="11" t="n">
        <v>0.00284768518518519</v>
      </c>
      <c r="I301" s="12" t="n">
        <v>555</v>
      </c>
      <c r="J301" s="14"/>
      <c r="K301" s="14"/>
      <c r="L301" s="14"/>
      <c r="M301" s="13"/>
    </row>
    <row r="302" customFormat="false" ht="15" hidden="false" customHeight="false" outlineLevel="0" collapsed="false">
      <c r="A302" s="6" t="n">
        <v>298</v>
      </c>
      <c r="B302" s="7" t="s">
        <v>551</v>
      </c>
      <c r="C302" s="8" t="s">
        <v>552</v>
      </c>
      <c r="D302" s="9" t="n">
        <v>0.010437962962963</v>
      </c>
      <c r="E302" s="10" t="n">
        <v>299</v>
      </c>
      <c r="F302" s="11"/>
      <c r="G302" s="12"/>
      <c r="H302" s="11" t="n">
        <v>0.0027755787037037</v>
      </c>
      <c r="I302" s="12" t="n">
        <v>176</v>
      </c>
      <c r="J302" s="14"/>
      <c r="K302" s="14"/>
      <c r="L302" s="14"/>
      <c r="M302" s="13"/>
    </row>
    <row r="303" customFormat="false" ht="15" hidden="false" customHeight="false" outlineLevel="0" collapsed="false">
      <c r="A303" s="6" t="n">
        <v>299</v>
      </c>
      <c r="B303" s="7" t="s">
        <v>553</v>
      </c>
      <c r="C303" s="8" t="s">
        <v>554</v>
      </c>
      <c r="D303" s="9" t="n">
        <v>0.0104451388888889</v>
      </c>
      <c r="E303" s="10" t="n">
        <v>300</v>
      </c>
      <c r="F303" s="11"/>
      <c r="G303" s="12"/>
      <c r="H303" s="11" t="n">
        <v>0.00283518518518519</v>
      </c>
      <c r="I303" s="12" t="n">
        <v>462</v>
      </c>
      <c r="J303" s="14" t="s">
        <v>555</v>
      </c>
      <c r="K303" s="14"/>
      <c r="L303" s="14"/>
      <c r="M303" s="13"/>
    </row>
    <row r="304" customFormat="false" ht="15" hidden="false" customHeight="false" outlineLevel="0" collapsed="false">
      <c r="A304" s="6" t="n">
        <v>300</v>
      </c>
      <c r="B304" s="7" t="s">
        <v>556</v>
      </c>
      <c r="C304" s="8" t="s">
        <v>118</v>
      </c>
      <c r="D304" s="9" t="n">
        <v>0.0104480324074074</v>
      </c>
      <c r="E304" s="10" t="n">
        <v>301</v>
      </c>
      <c r="F304" s="11" t="n">
        <v>0.00657083333333333</v>
      </c>
      <c r="G304" s="12" t="n">
        <v>59</v>
      </c>
      <c r="H304" s="11" t="n">
        <v>0.00284861111111111</v>
      </c>
      <c r="I304" s="12" t="n">
        <v>559</v>
      </c>
      <c r="J304" s="14"/>
      <c r="K304" s="14"/>
      <c r="L304" s="14"/>
      <c r="M304" s="13"/>
    </row>
    <row r="305" customFormat="false" ht="15" hidden="false" customHeight="false" outlineLevel="0" collapsed="false">
      <c r="A305" s="6" t="n">
        <v>301</v>
      </c>
      <c r="B305" s="7" t="s">
        <v>557</v>
      </c>
      <c r="C305" s="8" t="s">
        <v>558</v>
      </c>
      <c r="D305" s="9" t="n">
        <v>0.0104483796296296</v>
      </c>
      <c r="E305" s="10" t="n">
        <v>302</v>
      </c>
      <c r="F305" s="11" t="n">
        <v>0.00723009259259259</v>
      </c>
      <c r="G305" s="12" t="n">
        <v>574</v>
      </c>
      <c r="H305" s="11" t="n">
        <v>0.00286956018518519</v>
      </c>
      <c r="I305" s="12" t="n">
        <v>691</v>
      </c>
      <c r="J305" s="14"/>
      <c r="K305" s="14"/>
      <c r="L305" s="14"/>
      <c r="M305" s="13"/>
    </row>
    <row r="306" customFormat="false" ht="15" hidden="false" customHeight="false" outlineLevel="0" collapsed="false">
      <c r="A306" s="6" t="n">
        <v>302</v>
      </c>
      <c r="B306" s="7" t="s">
        <v>559</v>
      </c>
      <c r="C306" s="8" t="s">
        <v>278</v>
      </c>
      <c r="D306" s="9" t="n">
        <v>0.0104486111111111</v>
      </c>
      <c r="E306" s="10" t="n">
        <v>303</v>
      </c>
      <c r="F306" s="11" t="n">
        <v>0.00772731481481481</v>
      </c>
      <c r="G306" s="12" t="n">
        <v>1094</v>
      </c>
      <c r="H306" s="11" t="n">
        <v>0.00287083333333333</v>
      </c>
      <c r="I306" s="12" t="n">
        <v>703</v>
      </c>
      <c r="J306" s="14"/>
      <c r="K306" s="14" t="s">
        <v>560</v>
      </c>
      <c r="L306" s="14"/>
      <c r="M306" s="13"/>
    </row>
    <row r="307" customFormat="false" ht="15" hidden="false" customHeight="false" outlineLevel="0" collapsed="false">
      <c r="A307" s="6" t="n">
        <v>303</v>
      </c>
      <c r="B307" s="7" t="s">
        <v>561</v>
      </c>
      <c r="C307" s="8" t="s">
        <v>562</v>
      </c>
      <c r="D307" s="9" t="n">
        <v>0.0104509259259259</v>
      </c>
      <c r="E307" s="10" t="n">
        <v>304</v>
      </c>
      <c r="F307" s="11"/>
      <c r="G307" s="12"/>
      <c r="H307" s="11" t="n">
        <v>0.00272256944444444</v>
      </c>
      <c r="I307" s="12" t="n">
        <v>52</v>
      </c>
      <c r="J307" s="14"/>
      <c r="K307" s="14"/>
      <c r="L307" s="14"/>
      <c r="M307" s="13"/>
    </row>
    <row r="308" customFormat="false" ht="15" hidden="false" customHeight="false" outlineLevel="0" collapsed="false">
      <c r="A308" s="6" t="n">
        <v>304</v>
      </c>
      <c r="B308" s="7" t="s">
        <v>563</v>
      </c>
      <c r="C308" s="8" t="s">
        <v>134</v>
      </c>
      <c r="D308" s="9" t="n">
        <v>0.0104532407407407</v>
      </c>
      <c r="E308" s="10" t="n">
        <v>305</v>
      </c>
      <c r="F308" s="11"/>
      <c r="G308" s="12"/>
      <c r="H308" s="11" t="n">
        <v>0.00279988425925926</v>
      </c>
      <c r="I308" s="12" t="n">
        <v>284</v>
      </c>
      <c r="J308" s="14"/>
      <c r="K308" s="14"/>
      <c r="L308" s="8" t="s">
        <v>564</v>
      </c>
      <c r="M308" s="13"/>
    </row>
    <row r="309" customFormat="false" ht="15" hidden="false" customHeight="false" outlineLevel="0" collapsed="false">
      <c r="A309" s="6" t="n">
        <v>305</v>
      </c>
      <c r="B309" s="7" t="s">
        <v>565</v>
      </c>
      <c r="C309" s="8" t="s">
        <v>566</v>
      </c>
      <c r="D309" s="9" t="n">
        <v>0.0104540509259259</v>
      </c>
      <c r="E309" s="10" t="n">
        <v>306</v>
      </c>
      <c r="F309" s="11"/>
      <c r="G309" s="12"/>
      <c r="H309" s="11" t="n">
        <v>0.002840625</v>
      </c>
      <c r="I309" s="12" t="n">
        <v>501</v>
      </c>
      <c r="J309" s="14"/>
      <c r="K309" s="14"/>
      <c r="L309" s="14"/>
      <c r="M309" s="13"/>
    </row>
    <row r="310" customFormat="false" ht="15" hidden="false" customHeight="false" outlineLevel="0" collapsed="false">
      <c r="A310" s="6" t="n">
        <v>306</v>
      </c>
      <c r="B310" s="7" t="s">
        <v>567</v>
      </c>
      <c r="C310" s="8" t="s">
        <v>568</v>
      </c>
      <c r="D310" s="9" t="n">
        <v>0.0104564814814815</v>
      </c>
      <c r="E310" s="10" t="n">
        <v>307</v>
      </c>
      <c r="F310" s="11"/>
      <c r="G310" s="12"/>
      <c r="H310" s="11" t="n">
        <v>0.00282835648148148</v>
      </c>
      <c r="I310" s="12" t="n">
        <v>414</v>
      </c>
      <c r="J310" s="14"/>
      <c r="K310" s="14"/>
      <c r="L310" s="14"/>
      <c r="M310" s="13"/>
    </row>
    <row r="311" customFormat="false" ht="15" hidden="false" customHeight="false" outlineLevel="0" collapsed="false">
      <c r="A311" s="6" t="n">
        <v>307</v>
      </c>
      <c r="B311" s="7" t="s">
        <v>569</v>
      </c>
      <c r="C311" s="8" t="s">
        <v>570</v>
      </c>
      <c r="D311" s="9" t="n">
        <v>0.0104578703703704</v>
      </c>
      <c r="E311" s="10" t="n">
        <v>308</v>
      </c>
      <c r="F311" s="11"/>
      <c r="G311" s="12"/>
      <c r="H311" s="11" t="n">
        <v>0.00274791666666667</v>
      </c>
      <c r="I311" s="12" t="n">
        <v>96</v>
      </c>
      <c r="J311" s="14"/>
      <c r="K311" s="14"/>
      <c r="L311" s="14"/>
      <c r="M311" s="13"/>
    </row>
    <row r="312" customFormat="false" ht="15" hidden="false" customHeight="false" outlineLevel="0" collapsed="false">
      <c r="A312" s="6" t="n">
        <v>308</v>
      </c>
      <c r="B312" s="7" t="s">
        <v>571</v>
      </c>
      <c r="C312" s="8" t="s">
        <v>145</v>
      </c>
      <c r="D312" s="9" t="n">
        <v>0.0104579861111111</v>
      </c>
      <c r="E312" s="10" t="n">
        <v>309</v>
      </c>
      <c r="F312" s="11"/>
      <c r="G312" s="12"/>
      <c r="H312" s="11"/>
      <c r="I312" s="12"/>
      <c r="J312" s="14"/>
      <c r="K312" s="14"/>
      <c r="L312" s="14"/>
      <c r="M312" s="13"/>
    </row>
    <row r="313" customFormat="false" ht="15" hidden="false" customHeight="false" outlineLevel="0" collapsed="false">
      <c r="A313" s="6" t="n">
        <v>309</v>
      </c>
      <c r="B313" s="7" t="s">
        <v>572</v>
      </c>
      <c r="C313" s="8" t="s">
        <v>122</v>
      </c>
      <c r="D313" s="9" t="n">
        <v>0.010459375</v>
      </c>
      <c r="E313" s="10" t="n">
        <v>310</v>
      </c>
      <c r="F313" s="11"/>
      <c r="G313" s="12"/>
      <c r="H313" s="11"/>
      <c r="I313" s="12"/>
      <c r="J313" s="14"/>
      <c r="K313" s="14" t="s">
        <v>573</v>
      </c>
      <c r="L313" s="14"/>
      <c r="M313" s="13"/>
    </row>
    <row r="314" customFormat="false" ht="15" hidden="false" customHeight="false" outlineLevel="0" collapsed="false">
      <c r="A314" s="6" t="n">
        <v>310</v>
      </c>
      <c r="B314" s="7" t="s">
        <v>574</v>
      </c>
      <c r="C314" s="8" t="s">
        <v>64</v>
      </c>
      <c r="D314" s="9" t="n">
        <v>0.0104604166666667</v>
      </c>
      <c r="E314" s="10" t="n">
        <v>311</v>
      </c>
      <c r="F314" s="11"/>
      <c r="G314" s="12"/>
      <c r="H314" s="11" t="n">
        <v>0.00297962962962963</v>
      </c>
      <c r="I314" s="12" t="n">
        <v>1350</v>
      </c>
      <c r="J314" s="14"/>
      <c r="K314" s="14"/>
      <c r="L314" s="14"/>
      <c r="M314" s="13"/>
    </row>
    <row r="315" customFormat="false" ht="15" hidden="false" customHeight="false" outlineLevel="0" collapsed="false">
      <c r="A315" s="6" t="n">
        <v>311</v>
      </c>
      <c r="B315" s="7" t="s">
        <v>575</v>
      </c>
      <c r="C315" s="8" t="s">
        <v>70</v>
      </c>
      <c r="D315" s="9" t="n">
        <v>0.0104619212962963</v>
      </c>
      <c r="E315" s="10" t="n">
        <v>312</v>
      </c>
      <c r="F315" s="11"/>
      <c r="G315" s="12"/>
      <c r="H315" s="11" t="n">
        <v>0.00289143518518519</v>
      </c>
      <c r="I315" s="12" t="n">
        <v>881</v>
      </c>
      <c r="J315" s="14"/>
      <c r="K315" s="14"/>
      <c r="L315" s="14"/>
      <c r="M315" s="13"/>
    </row>
    <row r="316" customFormat="false" ht="15" hidden="false" customHeight="false" outlineLevel="0" collapsed="false">
      <c r="A316" s="6" t="n">
        <v>312</v>
      </c>
      <c r="B316" s="7" t="s">
        <v>576</v>
      </c>
      <c r="C316" s="8" t="s">
        <v>207</v>
      </c>
      <c r="D316" s="9" t="n">
        <v>0.010462962962963</v>
      </c>
      <c r="E316" s="10" t="n">
        <v>313</v>
      </c>
      <c r="F316" s="11"/>
      <c r="G316" s="12"/>
      <c r="H316" s="11" t="n">
        <v>0.00291898148148148</v>
      </c>
      <c r="I316" s="12" t="n">
        <v>1083</v>
      </c>
      <c r="J316" s="14"/>
      <c r="K316" s="14"/>
      <c r="L316" s="14"/>
      <c r="M316" s="13"/>
    </row>
    <row r="317" customFormat="false" ht="15" hidden="false" customHeight="false" outlineLevel="0" collapsed="false">
      <c r="A317" s="6" t="n">
        <v>313</v>
      </c>
      <c r="B317" s="7" t="s">
        <v>577</v>
      </c>
      <c r="C317" s="8" t="s">
        <v>578</v>
      </c>
      <c r="D317" s="9" t="n">
        <v>0.0104634259259259</v>
      </c>
      <c r="E317" s="10" t="n">
        <v>314</v>
      </c>
      <c r="F317" s="11"/>
      <c r="G317" s="12"/>
      <c r="H317" s="11"/>
      <c r="I317" s="12"/>
      <c r="J317" s="14"/>
      <c r="K317" s="14"/>
      <c r="L317" s="8" t="s">
        <v>579</v>
      </c>
      <c r="M317" s="13"/>
    </row>
    <row r="318" customFormat="false" ht="15" hidden="false" customHeight="false" outlineLevel="0" collapsed="false">
      <c r="A318" s="6" t="n">
        <v>314</v>
      </c>
      <c r="B318" s="7" t="s">
        <v>580</v>
      </c>
      <c r="C318" s="8" t="s">
        <v>134</v>
      </c>
      <c r="D318" s="9" t="n">
        <v>0.010465162037037</v>
      </c>
      <c r="E318" s="10" t="n">
        <v>315</v>
      </c>
      <c r="F318" s="11" t="n">
        <v>0.00664930555555556</v>
      </c>
      <c r="G318" s="12" t="n">
        <v>82</v>
      </c>
      <c r="H318" s="11" t="n">
        <v>0.00282824074074074</v>
      </c>
      <c r="I318" s="12" t="n">
        <v>413</v>
      </c>
      <c r="J318" s="14"/>
      <c r="K318" s="14"/>
      <c r="L318" s="8" t="s">
        <v>564</v>
      </c>
      <c r="M318" s="13"/>
    </row>
    <row r="319" customFormat="false" ht="15" hidden="false" customHeight="false" outlineLevel="0" collapsed="false">
      <c r="A319" s="6" t="n">
        <v>315</v>
      </c>
      <c r="B319" s="7" t="s">
        <v>581</v>
      </c>
      <c r="C319" s="8" t="s">
        <v>582</v>
      </c>
      <c r="D319" s="9" t="n">
        <v>0.0104655092592593</v>
      </c>
      <c r="E319" s="10" t="n">
        <v>316</v>
      </c>
      <c r="F319" s="11" t="n">
        <v>0.00672824074074074</v>
      </c>
      <c r="G319" s="12" t="n">
        <v>119</v>
      </c>
      <c r="H319" s="11" t="n">
        <v>0.00280833333333333</v>
      </c>
      <c r="I319" s="12" t="n">
        <v>318</v>
      </c>
      <c r="J319" s="14"/>
      <c r="K319" s="14"/>
      <c r="L319" s="14"/>
      <c r="M319" s="13"/>
    </row>
    <row r="320" customFormat="false" ht="15" hidden="false" customHeight="false" outlineLevel="0" collapsed="false">
      <c r="A320" s="6" t="n">
        <v>316</v>
      </c>
      <c r="B320" s="7" t="s">
        <v>583</v>
      </c>
      <c r="C320" s="8" t="s">
        <v>584</v>
      </c>
      <c r="D320" s="9" t="n">
        <v>0.0104688657407407</v>
      </c>
      <c r="E320" s="10" t="n">
        <v>317</v>
      </c>
      <c r="F320" s="11"/>
      <c r="G320" s="12"/>
      <c r="H320" s="11" t="n">
        <v>0.00282638888888889</v>
      </c>
      <c r="I320" s="12" t="n">
        <v>401</v>
      </c>
      <c r="J320" s="14" t="s">
        <v>585</v>
      </c>
      <c r="K320" s="14"/>
      <c r="L320" s="14"/>
      <c r="M320" s="13"/>
    </row>
    <row r="321" customFormat="false" ht="15" hidden="false" customHeight="false" outlineLevel="0" collapsed="false">
      <c r="A321" s="6" t="n">
        <v>317</v>
      </c>
      <c r="B321" s="7" t="s">
        <v>586</v>
      </c>
      <c r="C321" s="8" t="s">
        <v>525</v>
      </c>
      <c r="D321" s="9" t="n">
        <v>0.0104730324074074</v>
      </c>
      <c r="E321" s="10" t="n">
        <v>318</v>
      </c>
      <c r="F321" s="11" t="n">
        <v>0.00656898148148148</v>
      </c>
      <c r="G321" s="12" t="n">
        <v>57</v>
      </c>
      <c r="H321" s="11" t="n">
        <v>0.00279351851851852</v>
      </c>
      <c r="I321" s="12" t="n">
        <v>251</v>
      </c>
      <c r="J321" s="14"/>
      <c r="K321" s="14"/>
      <c r="L321" s="14"/>
      <c r="M321" s="13"/>
    </row>
    <row r="322" customFormat="false" ht="15" hidden="false" customHeight="false" outlineLevel="0" collapsed="false">
      <c r="A322" s="6" t="n">
        <v>318</v>
      </c>
      <c r="B322" s="7" t="s">
        <v>587</v>
      </c>
      <c r="C322" s="8" t="s">
        <v>588</v>
      </c>
      <c r="D322" s="9" t="n">
        <v>0.0104733796296296</v>
      </c>
      <c r="E322" s="10" t="n">
        <v>319</v>
      </c>
      <c r="F322" s="11"/>
      <c r="G322" s="12"/>
      <c r="H322" s="11" t="n">
        <v>0.00274976851851852</v>
      </c>
      <c r="I322" s="12" t="n">
        <v>103</v>
      </c>
      <c r="J322" s="14" t="s">
        <v>589</v>
      </c>
      <c r="K322" s="14"/>
      <c r="L322" s="14"/>
      <c r="M322" s="13"/>
    </row>
    <row r="323" customFormat="false" ht="15" hidden="false" customHeight="false" outlineLevel="0" collapsed="false">
      <c r="A323" s="6" t="n">
        <v>319</v>
      </c>
      <c r="B323" s="7" t="s">
        <v>590</v>
      </c>
      <c r="C323" s="8" t="s">
        <v>136</v>
      </c>
      <c r="D323" s="9" t="n">
        <v>0.0104740740740741</v>
      </c>
      <c r="E323" s="10" t="n">
        <v>320</v>
      </c>
      <c r="F323" s="11"/>
      <c r="G323" s="12"/>
      <c r="H323" s="11" t="n">
        <v>0.00270844907407407</v>
      </c>
      <c r="I323" s="12" t="n">
        <v>33</v>
      </c>
      <c r="J323" s="14"/>
      <c r="K323" s="14"/>
      <c r="L323" s="14"/>
      <c r="M323" s="13"/>
    </row>
    <row r="324" customFormat="false" ht="15" hidden="false" customHeight="false" outlineLevel="0" collapsed="false">
      <c r="A324" s="6" t="n">
        <v>320</v>
      </c>
      <c r="B324" s="7" t="s">
        <v>591</v>
      </c>
      <c r="C324" s="8" t="s">
        <v>592</v>
      </c>
      <c r="D324" s="9" t="n">
        <v>0.0104758101851852</v>
      </c>
      <c r="E324" s="10" t="n">
        <v>321</v>
      </c>
      <c r="F324" s="11" t="n">
        <v>0.0064306712962963</v>
      </c>
      <c r="G324" s="12" t="n">
        <v>21</v>
      </c>
      <c r="H324" s="11" t="n">
        <v>0.00282106481481482</v>
      </c>
      <c r="I324" s="12" t="n">
        <v>369</v>
      </c>
      <c r="J324" s="14"/>
      <c r="K324" s="14"/>
      <c r="L324" s="14"/>
      <c r="M324" s="13"/>
    </row>
    <row r="325" customFormat="false" ht="15" hidden="false" customHeight="false" outlineLevel="0" collapsed="false">
      <c r="A325" s="6" t="n">
        <v>321</v>
      </c>
      <c r="B325" s="7" t="s">
        <v>593</v>
      </c>
      <c r="C325" s="8" t="s">
        <v>594</v>
      </c>
      <c r="D325" s="9" t="n">
        <v>0.0104766203703704</v>
      </c>
      <c r="E325" s="10" t="n">
        <v>322</v>
      </c>
      <c r="F325" s="11"/>
      <c r="G325" s="12"/>
      <c r="H325" s="11" t="n">
        <v>0.00297835648148148</v>
      </c>
      <c r="I325" s="12" t="n">
        <v>1346</v>
      </c>
      <c r="J325" s="14"/>
      <c r="K325" s="14"/>
      <c r="L325" s="14"/>
      <c r="M325" s="13"/>
    </row>
    <row r="326" customFormat="false" ht="15" hidden="false" customHeight="false" outlineLevel="0" collapsed="false">
      <c r="A326" s="6" t="n">
        <v>322</v>
      </c>
      <c r="B326" s="7" t="s">
        <v>595</v>
      </c>
      <c r="C326" s="8" t="s">
        <v>423</v>
      </c>
      <c r="D326" s="9" t="n">
        <v>0.0104782407407407</v>
      </c>
      <c r="E326" s="10" t="n">
        <v>323</v>
      </c>
      <c r="F326" s="11" t="n">
        <v>0.00652893518518519</v>
      </c>
      <c r="G326" s="12" t="n">
        <v>40</v>
      </c>
      <c r="H326" s="11"/>
      <c r="I326" s="12"/>
      <c r="J326" s="14"/>
      <c r="K326" s="14"/>
      <c r="L326" s="14"/>
      <c r="M326" s="13"/>
    </row>
    <row r="327" customFormat="false" ht="15" hidden="false" customHeight="false" outlineLevel="0" collapsed="false">
      <c r="A327" s="6" t="n">
        <v>323</v>
      </c>
      <c r="B327" s="7" t="s">
        <v>596</v>
      </c>
      <c r="C327" s="8" t="s">
        <v>122</v>
      </c>
      <c r="D327" s="9" t="n">
        <v>0.0104804398148148</v>
      </c>
      <c r="E327" s="10" t="n">
        <v>324</v>
      </c>
      <c r="F327" s="11"/>
      <c r="G327" s="12"/>
      <c r="H327" s="11" t="n">
        <v>0.00280532407407407</v>
      </c>
      <c r="I327" s="12" t="n">
        <v>304</v>
      </c>
      <c r="J327" s="14"/>
      <c r="K327" s="14" t="s">
        <v>597</v>
      </c>
      <c r="L327" s="14"/>
      <c r="M327" s="13"/>
    </row>
    <row r="328" customFormat="false" ht="15" hidden="false" customHeight="false" outlineLevel="0" collapsed="false">
      <c r="A328" s="6" t="n">
        <v>324</v>
      </c>
      <c r="B328" s="7" t="s">
        <v>598</v>
      </c>
      <c r="C328" s="8" t="s">
        <v>52</v>
      </c>
      <c r="D328" s="9" t="n">
        <v>0.01048125</v>
      </c>
      <c r="E328" s="10" t="n">
        <v>325</v>
      </c>
      <c r="F328" s="11"/>
      <c r="G328" s="12"/>
      <c r="H328" s="11" t="n">
        <v>0.00284537037037037</v>
      </c>
      <c r="I328" s="12" t="n">
        <v>539</v>
      </c>
      <c r="J328" s="14"/>
      <c r="K328" s="14"/>
      <c r="L328" s="14"/>
      <c r="M328" s="13"/>
    </row>
    <row r="329" customFormat="false" ht="15" hidden="false" customHeight="false" outlineLevel="0" collapsed="false">
      <c r="A329" s="6" t="n">
        <v>325</v>
      </c>
      <c r="B329" s="7" t="s">
        <v>599</v>
      </c>
      <c r="C329" s="8" t="s">
        <v>150</v>
      </c>
      <c r="D329" s="9" t="n">
        <v>0.0104841435185185</v>
      </c>
      <c r="E329" s="10" t="n">
        <v>326</v>
      </c>
      <c r="F329" s="11" t="n">
        <v>0.00640497685185185</v>
      </c>
      <c r="G329" s="12" t="n">
        <v>15</v>
      </c>
      <c r="H329" s="11"/>
      <c r="I329" s="12"/>
      <c r="J329" s="14"/>
      <c r="K329" s="14"/>
      <c r="L329" s="14"/>
      <c r="M329" s="13"/>
    </row>
    <row r="330" customFormat="false" ht="15" hidden="false" customHeight="false" outlineLevel="0" collapsed="false">
      <c r="A330" s="6" t="n">
        <v>326</v>
      </c>
      <c r="B330" s="7" t="s">
        <v>600</v>
      </c>
      <c r="C330" s="8" t="s">
        <v>134</v>
      </c>
      <c r="D330" s="9" t="n">
        <v>0.0104842592592593</v>
      </c>
      <c r="E330" s="10" t="n">
        <v>327</v>
      </c>
      <c r="F330" s="11"/>
      <c r="G330" s="12"/>
      <c r="H330" s="11" t="n">
        <v>0.00279872685185185</v>
      </c>
      <c r="I330" s="12" t="n">
        <v>276</v>
      </c>
      <c r="J330" s="14"/>
      <c r="K330" s="14"/>
      <c r="L330" s="8" t="s">
        <v>564</v>
      </c>
      <c r="M330" s="13"/>
    </row>
    <row r="331" customFormat="false" ht="15" hidden="false" customHeight="false" outlineLevel="0" collapsed="false">
      <c r="A331" s="6" t="n">
        <v>327</v>
      </c>
      <c r="B331" s="7" t="s">
        <v>601</v>
      </c>
      <c r="C331" s="8" t="s">
        <v>602</v>
      </c>
      <c r="D331" s="9" t="n">
        <v>0.0104847222222222</v>
      </c>
      <c r="E331" s="10" t="n">
        <v>328</v>
      </c>
      <c r="F331" s="11" t="n">
        <v>0.00649502314814815</v>
      </c>
      <c r="G331" s="12" t="n">
        <v>34</v>
      </c>
      <c r="H331" s="11" t="n">
        <v>0.00281458333333333</v>
      </c>
      <c r="I331" s="12" t="n">
        <v>342</v>
      </c>
      <c r="J331" s="14"/>
      <c r="K331" s="14"/>
      <c r="L331" s="14"/>
      <c r="M331" s="13"/>
    </row>
    <row r="332" customFormat="false" ht="15" hidden="false" customHeight="false" outlineLevel="0" collapsed="false">
      <c r="A332" s="6" t="n">
        <v>328</v>
      </c>
      <c r="B332" s="7" t="s">
        <v>603</v>
      </c>
      <c r="C332" s="8" t="s">
        <v>136</v>
      </c>
      <c r="D332" s="9" t="n">
        <v>0.0104857638888889</v>
      </c>
      <c r="E332" s="10" t="n">
        <v>329</v>
      </c>
      <c r="F332" s="11" t="n">
        <v>0.00780393518518519</v>
      </c>
      <c r="G332" s="12" t="n">
        <v>1136</v>
      </c>
      <c r="H332" s="11"/>
      <c r="I332" s="12"/>
      <c r="J332" s="14"/>
      <c r="K332" s="14"/>
      <c r="L332" s="14"/>
      <c r="M332" s="13"/>
    </row>
    <row r="333" customFormat="false" ht="15" hidden="false" customHeight="false" outlineLevel="0" collapsed="false">
      <c r="A333" s="6" t="n">
        <v>329</v>
      </c>
      <c r="B333" s="7" t="s">
        <v>604</v>
      </c>
      <c r="C333" s="8" t="s">
        <v>120</v>
      </c>
      <c r="D333" s="9" t="n">
        <v>0.0104890046296296</v>
      </c>
      <c r="E333" s="10" t="n">
        <v>330</v>
      </c>
      <c r="F333" s="11"/>
      <c r="G333" s="12"/>
      <c r="H333" s="11" t="n">
        <v>0.00284398148148148</v>
      </c>
      <c r="I333" s="12" t="n">
        <v>526</v>
      </c>
      <c r="J333" s="14"/>
      <c r="K333" s="14"/>
      <c r="L333" s="14"/>
      <c r="M333" s="13"/>
    </row>
    <row r="334" customFormat="false" ht="15" hidden="false" customHeight="false" outlineLevel="0" collapsed="false">
      <c r="A334" s="6" t="n">
        <v>330</v>
      </c>
      <c r="B334" s="7" t="s">
        <v>605</v>
      </c>
      <c r="C334" s="8" t="s">
        <v>606</v>
      </c>
      <c r="D334" s="9" t="n">
        <v>0.0104891203703704</v>
      </c>
      <c r="E334" s="10" t="n">
        <v>331</v>
      </c>
      <c r="F334" s="11"/>
      <c r="G334" s="12"/>
      <c r="H334" s="11" t="n">
        <v>0.00279965277777778</v>
      </c>
      <c r="I334" s="12" t="n">
        <v>282</v>
      </c>
      <c r="J334" s="14"/>
      <c r="K334" s="14"/>
      <c r="L334" s="14"/>
      <c r="M334" s="13"/>
    </row>
    <row r="335" customFormat="false" ht="15" hidden="false" customHeight="false" outlineLevel="0" collapsed="false">
      <c r="A335" s="6" t="n">
        <v>331</v>
      </c>
      <c r="B335" s="7" t="s">
        <v>607</v>
      </c>
      <c r="C335" s="8" t="s">
        <v>608</v>
      </c>
      <c r="D335" s="9" t="n">
        <v>0.0104902777777778</v>
      </c>
      <c r="E335" s="10" t="n">
        <v>332</v>
      </c>
      <c r="F335" s="11"/>
      <c r="G335" s="12"/>
      <c r="H335" s="11"/>
      <c r="I335" s="12"/>
      <c r="J335" s="14"/>
      <c r="K335" s="14"/>
      <c r="L335" s="14"/>
      <c r="M335" s="13"/>
    </row>
    <row r="336" customFormat="false" ht="15" hidden="false" customHeight="false" outlineLevel="0" collapsed="false">
      <c r="A336" s="6" t="n">
        <v>332</v>
      </c>
      <c r="B336" s="7" t="s">
        <v>609</v>
      </c>
      <c r="C336" s="8" t="s">
        <v>558</v>
      </c>
      <c r="D336" s="9" t="n">
        <v>0.0104903935185185</v>
      </c>
      <c r="E336" s="10" t="n">
        <v>333</v>
      </c>
      <c r="F336" s="11" t="n">
        <v>0.00670543981481482</v>
      </c>
      <c r="G336" s="12" t="n">
        <v>111</v>
      </c>
      <c r="H336" s="11" t="n">
        <v>0.00282905092592593</v>
      </c>
      <c r="I336" s="12" t="n">
        <v>419</v>
      </c>
      <c r="J336" s="14"/>
      <c r="K336" s="14"/>
      <c r="L336" s="14"/>
      <c r="M336" s="13"/>
    </row>
    <row r="337" customFormat="false" ht="15" hidden="false" customHeight="false" outlineLevel="0" collapsed="false">
      <c r="A337" s="6" t="n">
        <v>333</v>
      </c>
      <c r="B337" s="7" t="s">
        <v>610</v>
      </c>
      <c r="C337" s="8" t="s">
        <v>592</v>
      </c>
      <c r="D337" s="9" t="n">
        <v>0.0104907407407407</v>
      </c>
      <c r="E337" s="10" t="n">
        <v>334</v>
      </c>
      <c r="F337" s="11" t="n">
        <v>0.00690219907407407</v>
      </c>
      <c r="G337" s="12" t="n">
        <v>245</v>
      </c>
      <c r="H337" s="11" t="n">
        <v>0.00289733796296296</v>
      </c>
      <c r="I337" s="12" t="n">
        <v>928</v>
      </c>
      <c r="J337" s="14"/>
      <c r="K337" s="14"/>
      <c r="L337" s="14"/>
      <c r="M337" s="13"/>
    </row>
    <row r="338" customFormat="false" ht="15" hidden="false" customHeight="false" outlineLevel="0" collapsed="false">
      <c r="A338" s="6" t="n">
        <v>334</v>
      </c>
      <c r="B338" s="7" t="s">
        <v>611</v>
      </c>
      <c r="C338" s="8" t="s">
        <v>612</v>
      </c>
      <c r="D338" s="9" t="n">
        <v>0.0104908564814815</v>
      </c>
      <c r="E338" s="10" t="n">
        <v>335</v>
      </c>
      <c r="F338" s="11"/>
      <c r="G338" s="12"/>
      <c r="H338" s="11" t="n">
        <v>0.00284085648148148</v>
      </c>
      <c r="I338" s="12" t="n">
        <v>505</v>
      </c>
      <c r="J338" s="14" t="s">
        <v>613</v>
      </c>
      <c r="K338" s="14"/>
      <c r="L338" s="14"/>
      <c r="M338" s="13"/>
    </row>
    <row r="339" customFormat="false" ht="15" hidden="false" customHeight="false" outlineLevel="0" collapsed="false">
      <c r="A339" s="6" t="n">
        <v>335</v>
      </c>
      <c r="B339" s="7" t="s">
        <v>614</v>
      </c>
      <c r="C339" s="8" t="s">
        <v>238</v>
      </c>
      <c r="D339" s="9" t="n">
        <v>0.0104916666666667</v>
      </c>
      <c r="E339" s="10" t="n">
        <v>336</v>
      </c>
      <c r="F339" s="11"/>
      <c r="G339" s="12"/>
      <c r="H339" s="11" t="n">
        <v>0.002778125</v>
      </c>
      <c r="I339" s="12" t="n">
        <v>191</v>
      </c>
      <c r="J339" s="14"/>
      <c r="K339" s="14"/>
      <c r="L339" s="14"/>
      <c r="M339" s="13"/>
    </row>
    <row r="340" customFormat="false" ht="15" hidden="false" customHeight="false" outlineLevel="0" collapsed="false">
      <c r="A340" s="6" t="n">
        <v>336</v>
      </c>
      <c r="B340" s="7" t="s">
        <v>615</v>
      </c>
      <c r="C340" s="8" t="s">
        <v>616</v>
      </c>
      <c r="D340" s="9" t="n">
        <v>0.0104947916666667</v>
      </c>
      <c r="E340" s="10" t="n">
        <v>337</v>
      </c>
      <c r="F340" s="11"/>
      <c r="G340" s="12"/>
      <c r="H340" s="11" t="n">
        <v>0.00279537037037037</v>
      </c>
      <c r="I340" s="12" t="n">
        <v>261</v>
      </c>
      <c r="J340" s="14"/>
      <c r="K340" s="14" t="s">
        <v>617</v>
      </c>
      <c r="L340" s="14"/>
      <c r="M340" s="13"/>
    </row>
    <row r="341" customFormat="false" ht="15" hidden="false" customHeight="false" outlineLevel="0" collapsed="false">
      <c r="A341" s="6" t="n">
        <v>337</v>
      </c>
      <c r="B341" s="7" t="s">
        <v>618</v>
      </c>
      <c r="C341" s="8" t="s">
        <v>207</v>
      </c>
      <c r="D341" s="9" t="n">
        <v>0.0104962962962963</v>
      </c>
      <c r="E341" s="10" t="n">
        <v>338</v>
      </c>
      <c r="F341" s="11" t="n">
        <v>0.00663680555555556</v>
      </c>
      <c r="G341" s="12" t="n">
        <v>76</v>
      </c>
      <c r="H341" s="11" t="n">
        <v>0.00287071759259259</v>
      </c>
      <c r="I341" s="12" t="n">
        <v>701</v>
      </c>
      <c r="J341" s="14"/>
      <c r="K341" s="14"/>
      <c r="L341" s="14"/>
      <c r="M341" s="13"/>
    </row>
    <row r="342" customFormat="false" ht="15" hidden="false" customHeight="false" outlineLevel="0" collapsed="false">
      <c r="A342" s="6" t="n">
        <v>338</v>
      </c>
      <c r="B342" s="7" t="s">
        <v>619</v>
      </c>
      <c r="C342" s="8" t="s">
        <v>554</v>
      </c>
      <c r="D342" s="9" t="n">
        <v>0.0104969907407407</v>
      </c>
      <c r="E342" s="10" t="n">
        <v>339</v>
      </c>
      <c r="F342" s="11"/>
      <c r="G342" s="12"/>
      <c r="H342" s="11" t="n">
        <v>0.00287488425925926</v>
      </c>
      <c r="I342" s="12" t="n">
        <v>734</v>
      </c>
      <c r="J342" s="14" t="s">
        <v>620</v>
      </c>
      <c r="K342" s="14"/>
      <c r="L342" s="14"/>
      <c r="M342" s="13"/>
    </row>
    <row r="343" customFormat="false" ht="15" hidden="false" customHeight="false" outlineLevel="0" collapsed="false">
      <c r="A343" s="6" t="n">
        <v>339</v>
      </c>
      <c r="B343" s="7" t="s">
        <v>621</v>
      </c>
      <c r="C343" s="8" t="s">
        <v>622</v>
      </c>
      <c r="D343" s="9" t="n">
        <v>0.010499537037037</v>
      </c>
      <c r="E343" s="10" t="n">
        <v>340</v>
      </c>
      <c r="F343" s="11" t="n">
        <v>0.00748032407407407</v>
      </c>
      <c r="G343" s="12" t="n">
        <v>869</v>
      </c>
      <c r="H343" s="11" t="n">
        <v>0.00282233796296296</v>
      </c>
      <c r="I343" s="12" t="n">
        <v>378</v>
      </c>
      <c r="J343" s="14" t="s">
        <v>623</v>
      </c>
      <c r="K343" s="14"/>
      <c r="L343" s="14"/>
      <c r="M343" s="13"/>
    </row>
    <row r="344" customFormat="false" ht="15" hidden="false" customHeight="false" outlineLevel="0" collapsed="false">
      <c r="A344" s="6" t="n">
        <v>340</v>
      </c>
      <c r="B344" s="7" t="s">
        <v>624</v>
      </c>
      <c r="C344" s="8" t="s">
        <v>625</v>
      </c>
      <c r="D344" s="9" t="n">
        <v>0.010500462962963</v>
      </c>
      <c r="E344" s="10" t="n">
        <v>341</v>
      </c>
      <c r="F344" s="11" t="n">
        <v>0.00697106481481481</v>
      </c>
      <c r="G344" s="12" t="n">
        <v>306</v>
      </c>
      <c r="H344" s="11"/>
      <c r="I344" s="12"/>
      <c r="J344" s="14" t="s">
        <v>626</v>
      </c>
      <c r="K344" s="14"/>
      <c r="L344" s="14"/>
      <c r="M344" s="13"/>
    </row>
    <row r="345" customFormat="false" ht="15" hidden="false" customHeight="false" outlineLevel="0" collapsed="false">
      <c r="A345" s="6" t="n">
        <v>341</v>
      </c>
      <c r="B345" s="7" t="s">
        <v>627</v>
      </c>
      <c r="C345" s="8" t="s">
        <v>241</v>
      </c>
      <c r="D345" s="9" t="n">
        <v>0.0105012731481482</v>
      </c>
      <c r="E345" s="10" t="n">
        <v>342</v>
      </c>
      <c r="F345" s="11"/>
      <c r="G345" s="12"/>
      <c r="H345" s="11"/>
      <c r="I345" s="12"/>
      <c r="J345" s="14"/>
      <c r="K345" s="14"/>
      <c r="L345" s="14"/>
      <c r="M345" s="13"/>
    </row>
    <row r="346" customFormat="false" ht="15" hidden="false" customHeight="false" outlineLevel="0" collapsed="false">
      <c r="A346" s="6" t="n">
        <v>342</v>
      </c>
      <c r="B346" s="7" t="s">
        <v>628</v>
      </c>
      <c r="C346" s="8" t="s">
        <v>128</v>
      </c>
      <c r="D346" s="9" t="n">
        <v>0.0105037037037037</v>
      </c>
      <c r="E346" s="10" t="n">
        <v>343</v>
      </c>
      <c r="F346" s="11" t="n">
        <v>0.00676122685185185</v>
      </c>
      <c r="G346" s="12" t="n">
        <v>137</v>
      </c>
      <c r="H346" s="11" t="n">
        <v>0.00281898148148148</v>
      </c>
      <c r="I346" s="12" t="n">
        <v>359</v>
      </c>
      <c r="J346" s="14"/>
      <c r="K346" s="14"/>
      <c r="L346" s="14"/>
      <c r="M346" s="13"/>
    </row>
    <row r="347" customFormat="false" ht="15" hidden="false" customHeight="false" outlineLevel="0" collapsed="false">
      <c r="A347" s="6" t="n">
        <v>343</v>
      </c>
      <c r="B347" s="7" t="s">
        <v>629</v>
      </c>
      <c r="C347" s="8" t="s">
        <v>28</v>
      </c>
      <c r="D347" s="9" t="n">
        <v>0.0105041666666667</v>
      </c>
      <c r="E347" s="10" t="n">
        <v>344</v>
      </c>
      <c r="F347" s="11"/>
      <c r="G347" s="12"/>
      <c r="H347" s="11" t="n">
        <v>0.00281712962962963</v>
      </c>
      <c r="I347" s="12" t="n">
        <v>351</v>
      </c>
      <c r="J347" s="14"/>
      <c r="K347" s="14"/>
      <c r="L347" s="14"/>
      <c r="M347" s="13"/>
    </row>
    <row r="348" customFormat="false" ht="15" hidden="false" customHeight="false" outlineLevel="0" collapsed="false">
      <c r="A348" s="6" t="n">
        <v>344</v>
      </c>
      <c r="B348" s="7" t="s">
        <v>630</v>
      </c>
      <c r="C348" s="8" t="s">
        <v>594</v>
      </c>
      <c r="D348" s="9" t="n">
        <v>0.0105046296296296</v>
      </c>
      <c r="E348" s="10" t="n">
        <v>345</v>
      </c>
      <c r="F348" s="11"/>
      <c r="G348" s="12"/>
      <c r="H348" s="11" t="n">
        <v>0.002940625</v>
      </c>
      <c r="I348" s="12" t="n">
        <v>1201</v>
      </c>
      <c r="J348" s="14"/>
      <c r="K348" s="14"/>
      <c r="L348" s="14"/>
      <c r="M348" s="13"/>
    </row>
    <row r="349" customFormat="false" ht="15" hidden="false" customHeight="false" outlineLevel="0" collapsed="false">
      <c r="A349" s="6" t="n">
        <v>345</v>
      </c>
      <c r="B349" s="7" t="s">
        <v>631</v>
      </c>
      <c r="C349" s="8" t="s">
        <v>89</v>
      </c>
      <c r="D349" s="9" t="n">
        <v>0.0105052083333333</v>
      </c>
      <c r="E349" s="10" t="n">
        <v>346</v>
      </c>
      <c r="F349" s="11"/>
      <c r="G349" s="12"/>
      <c r="H349" s="11"/>
      <c r="I349" s="12"/>
      <c r="J349" s="14"/>
      <c r="K349" s="14"/>
      <c r="L349" s="14"/>
      <c r="M349" s="13"/>
    </row>
    <row r="350" customFormat="false" ht="15" hidden="false" customHeight="false" outlineLevel="0" collapsed="false">
      <c r="A350" s="6" t="n">
        <v>346</v>
      </c>
      <c r="B350" s="7" t="s">
        <v>632</v>
      </c>
      <c r="C350" s="8" t="s">
        <v>274</v>
      </c>
      <c r="D350" s="9" t="n">
        <v>0.010505787037037</v>
      </c>
      <c r="E350" s="10" t="n">
        <v>347</v>
      </c>
      <c r="F350" s="11"/>
      <c r="G350" s="12"/>
      <c r="H350" s="11"/>
      <c r="I350" s="12"/>
      <c r="J350" s="14"/>
      <c r="K350" s="14"/>
      <c r="L350" s="14"/>
      <c r="M350" s="13"/>
    </row>
    <row r="351" customFormat="false" ht="15" hidden="false" customHeight="false" outlineLevel="0" collapsed="false">
      <c r="A351" s="6" t="n">
        <v>347</v>
      </c>
      <c r="B351" s="7" t="s">
        <v>633</v>
      </c>
      <c r="C351" s="8" t="s">
        <v>188</v>
      </c>
      <c r="D351" s="9" t="n">
        <v>0.0105081018518519</v>
      </c>
      <c r="E351" s="10" t="n">
        <v>348</v>
      </c>
      <c r="F351" s="11"/>
      <c r="G351" s="12"/>
      <c r="H351" s="11" t="n">
        <v>0.00279618055555556</v>
      </c>
      <c r="I351" s="12" t="n">
        <v>267</v>
      </c>
      <c r="J351" s="14"/>
      <c r="K351" s="14"/>
      <c r="L351" s="14"/>
      <c r="M351" s="13"/>
    </row>
    <row r="352" customFormat="false" ht="15" hidden="false" customHeight="false" outlineLevel="0" collapsed="false">
      <c r="A352" s="6" t="n">
        <v>348</v>
      </c>
      <c r="B352" s="7" t="s">
        <v>634</v>
      </c>
      <c r="C352" s="8" t="s">
        <v>568</v>
      </c>
      <c r="D352" s="9" t="n">
        <v>0.0105109953703704</v>
      </c>
      <c r="E352" s="10" t="n">
        <v>349</v>
      </c>
      <c r="F352" s="11"/>
      <c r="G352" s="12"/>
      <c r="H352" s="11" t="n">
        <v>0.00290497685185185</v>
      </c>
      <c r="I352" s="12" t="n">
        <v>983</v>
      </c>
      <c r="J352" s="14"/>
      <c r="K352" s="14"/>
      <c r="L352" s="14"/>
      <c r="M352" s="13"/>
    </row>
    <row r="353" customFormat="false" ht="15" hidden="false" customHeight="false" outlineLevel="0" collapsed="false">
      <c r="A353" s="6" t="n">
        <v>349</v>
      </c>
      <c r="B353" s="7" t="s">
        <v>635</v>
      </c>
      <c r="C353" s="8" t="s">
        <v>80</v>
      </c>
      <c r="D353" s="9" t="n">
        <v>0.0105109953703704</v>
      </c>
      <c r="E353" s="10" t="n">
        <v>350</v>
      </c>
      <c r="F353" s="11" t="n">
        <v>0.00703599537037037</v>
      </c>
      <c r="G353" s="12" t="n">
        <v>367</v>
      </c>
      <c r="H353" s="11"/>
      <c r="I353" s="12"/>
      <c r="J353" s="14"/>
      <c r="K353" s="14"/>
      <c r="L353" s="14"/>
      <c r="M353" s="13"/>
    </row>
    <row r="354" customFormat="false" ht="15" hidden="false" customHeight="false" outlineLevel="0" collapsed="false">
      <c r="A354" s="6" t="n">
        <v>350</v>
      </c>
      <c r="B354" s="7" t="s">
        <v>636</v>
      </c>
      <c r="C354" s="8" t="s">
        <v>70</v>
      </c>
      <c r="D354" s="9" t="n">
        <v>0.0105115740740741</v>
      </c>
      <c r="E354" s="10" t="n">
        <v>351</v>
      </c>
      <c r="F354" s="11" t="n">
        <v>0.006559375</v>
      </c>
      <c r="G354" s="12" t="n">
        <v>47</v>
      </c>
      <c r="H354" s="11" t="n">
        <v>0.00293391203703704</v>
      </c>
      <c r="I354" s="12" t="n">
        <v>1182</v>
      </c>
      <c r="J354" s="14"/>
      <c r="K354" s="14" t="s">
        <v>637</v>
      </c>
      <c r="L354" s="14"/>
      <c r="M354" s="13"/>
    </row>
    <row r="355" customFormat="false" ht="15" hidden="false" customHeight="false" outlineLevel="0" collapsed="false">
      <c r="A355" s="6" t="n">
        <v>351</v>
      </c>
      <c r="B355" s="7" t="s">
        <v>638</v>
      </c>
      <c r="C355" s="8" t="s">
        <v>238</v>
      </c>
      <c r="D355" s="9" t="n">
        <v>0.0105116898148148</v>
      </c>
      <c r="E355" s="10" t="n">
        <v>352</v>
      </c>
      <c r="F355" s="11" t="n">
        <v>0.00655925925925926</v>
      </c>
      <c r="G355" s="12" t="n">
        <v>46</v>
      </c>
      <c r="H355" s="11" t="n">
        <v>0.00283414351851852</v>
      </c>
      <c r="I355" s="12" t="n">
        <v>451</v>
      </c>
      <c r="J355" s="14" t="s">
        <v>639</v>
      </c>
      <c r="K355" s="14"/>
      <c r="L355" s="14"/>
      <c r="M355" s="13"/>
    </row>
    <row r="356" customFormat="false" ht="15" hidden="false" customHeight="false" outlineLevel="0" collapsed="false">
      <c r="A356" s="6" t="n">
        <v>352</v>
      </c>
      <c r="B356" s="7" t="s">
        <v>640</v>
      </c>
      <c r="C356" s="8" t="s">
        <v>641</v>
      </c>
      <c r="D356" s="9" t="n">
        <v>0.0105118055555556</v>
      </c>
      <c r="E356" s="10" t="n">
        <v>353</v>
      </c>
      <c r="F356" s="11"/>
      <c r="G356" s="12"/>
      <c r="H356" s="11" t="n">
        <v>0.00279097222222222</v>
      </c>
      <c r="I356" s="12" t="n">
        <v>244</v>
      </c>
      <c r="J356" s="14" t="s">
        <v>642</v>
      </c>
      <c r="K356" s="14"/>
      <c r="L356" s="14"/>
      <c r="M356" s="13"/>
    </row>
    <row r="357" customFormat="false" ht="15" hidden="false" customHeight="false" outlineLevel="0" collapsed="false">
      <c r="A357" s="6" t="n">
        <v>353</v>
      </c>
      <c r="B357" s="7" t="s">
        <v>643</v>
      </c>
      <c r="C357" s="8" t="s">
        <v>462</v>
      </c>
      <c r="D357" s="9" t="n">
        <v>0.0105118055555556</v>
      </c>
      <c r="E357" s="10" t="n">
        <v>354</v>
      </c>
      <c r="F357" s="11"/>
      <c r="G357" s="12"/>
      <c r="H357" s="11" t="n">
        <v>0.00277939814814815</v>
      </c>
      <c r="I357" s="12" t="n">
        <v>198</v>
      </c>
      <c r="J357" s="14"/>
      <c r="K357" s="14"/>
      <c r="L357" s="14"/>
      <c r="M357" s="13"/>
    </row>
    <row r="358" customFormat="false" ht="15" hidden="false" customHeight="false" outlineLevel="0" collapsed="false">
      <c r="A358" s="6" t="n">
        <v>354</v>
      </c>
      <c r="B358" s="7" t="s">
        <v>644</v>
      </c>
      <c r="C358" s="8" t="s">
        <v>96</v>
      </c>
      <c r="D358" s="9" t="n">
        <v>0.0105134259259259</v>
      </c>
      <c r="E358" s="10" t="n">
        <v>355</v>
      </c>
      <c r="F358" s="11"/>
      <c r="G358" s="12"/>
      <c r="H358" s="11" t="n">
        <v>0.00275243055555556</v>
      </c>
      <c r="I358" s="12" t="n">
        <v>109</v>
      </c>
      <c r="J358" s="14" t="s">
        <v>645</v>
      </c>
      <c r="K358" s="14"/>
      <c r="L358" s="14"/>
      <c r="M358" s="13"/>
    </row>
    <row r="359" customFormat="false" ht="15" hidden="false" customHeight="false" outlineLevel="0" collapsed="false">
      <c r="A359" s="6" t="n">
        <v>355</v>
      </c>
      <c r="B359" s="7" t="s">
        <v>646</v>
      </c>
      <c r="C359" s="8" t="s">
        <v>89</v>
      </c>
      <c r="D359" s="9" t="n">
        <v>0.0105146990740741</v>
      </c>
      <c r="E359" s="10" t="n">
        <v>356</v>
      </c>
      <c r="F359" s="11"/>
      <c r="G359" s="12"/>
      <c r="H359" s="11"/>
      <c r="I359" s="12"/>
      <c r="J359" s="14"/>
      <c r="K359" s="14" t="s">
        <v>647</v>
      </c>
      <c r="L359" s="14"/>
      <c r="M359" s="13"/>
    </row>
    <row r="360" customFormat="false" ht="15" hidden="false" customHeight="false" outlineLevel="0" collapsed="false">
      <c r="A360" s="6" t="n">
        <v>356</v>
      </c>
      <c r="B360" s="7" t="s">
        <v>648</v>
      </c>
      <c r="C360" s="8" t="s">
        <v>54</v>
      </c>
      <c r="D360" s="9" t="n">
        <v>0.010515162037037</v>
      </c>
      <c r="E360" s="10" t="n">
        <v>357</v>
      </c>
      <c r="F360" s="11"/>
      <c r="G360" s="12"/>
      <c r="H360" s="11" t="n">
        <v>0.00281331018518519</v>
      </c>
      <c r="I360" s="12" t="n">
        <v>336</v>
      </c>
      <c r="J360" s="14"/>
      <c r="K360" s="14"/>
      <c r="L360" s="14"/>
      <c r="M360" s="13"/>
    </row>
    <row r="361" customFormat="false" ht="15" hidden="false" customHeight="false" outlineLevel="0" collapsed="false">
      <c r="A361" s="6" t="n">
        <v>357</v>
      </c>
      <c r="B361" s="7" t="s">
        <v>649</v>
      </c>
      <c r="C361" s="8" t="s">
        <v>76</v>
      </c>
      <c r="D361" s="9" t="n">
        <v>0.0105153935185185</v>
      </c>
      <c r="E361" s="10" t="n">
        <v>358</v>
      </c>
      <c r="F361" s="11"/>
      <c r="G361" s="12"/>
      <c r="H361" s="11" t="n">
        <v>0.00281076388888889</v>
      </c>
      <c r="I361" s="12" t="n">
        <v>326</v>
      </c>
      <c r="J361" s="14" t="s">
        <v>650</v>
      </c>
      <c r="K361" s="14"/>
      <c r="L361" s="14"/>
      <c r="M361" s="13"/>
    </row>
    <row r="362" customFormat="false" ht="15" hidden="false" customHeight="false" outlineLevel="0" collapsed="false">
      <c r="A362" s="6" t="n">
        <v>358</v>
      </c>
      <c r="B362" s="7" t="s">
        <v>651</v>
      </c>
      <c r="C362" s="8" t="s">
        <v>87</v>
      </c>
      <c r="D362" s="9" t="n">
        <v>0.0105157407407407</v>
      </c>
      <c r="E362" s="10" t="n">
        <v>359</v>
      </c>
      <c r="F362" s="11" t="n">
        <v>0.00706319444444444</v>
      </c>
      <c r="G362" s="12" t="n">
        <v>404</v>
      </c>
      <c r="H362" s="11"/>
      <c r="I362" s="12"/>
      <c r="J362" s="14"/>
      <c r="K362" s="14"/>
      <c r="L362" s="14"/>
      <c r="M362" s="13"/>
    </row>
    <row r="363" customFormat="false" ht="15" hidden="false" customHeight="false" outlineLevel="0" collapsed="false">
      <c r="A363" s="6" t="n">
        <v>359</v>
      </c>
      <c r="B363" s="7" t="s">
        <v>652</v>
      </c>
      <c r="C363" s="8" t="s">
        <v>390</v>
      </c>
      <c r="D363" s="9" t="n">
        <v>0.0105166666666667</v>
      </c>
      <c r="E363" s="10" t="n">
        <v>360</v>
      </c>
      <c r="F363" s="11" t="n">
        <v>0.00671261574074074</v>
      </c>
      <c r="G363" s="12" t="n">
        <v>112</v>
      </c>
      <c r="H363" s="11" t="n">
        <v>0.00284456018518519</v>
      </c>
      <c r="I363" s="12" t="n">
        <v>531</v>
      </c>
      <c r="J363" s="14"/>
      <c r="K363" s="14"/>
      <c r="L363" s="14"/>
      <c r="M363" s="13"/>
    </row>
    <row r="364" customFormat="false" ht="15" hidden="false" customHeight="false" outlineLevel="0" collapsed="false">
      <c r="A364" s="6" t="n">
        <v>360</v>
      </c>
      <c r="B364" s="7" t="s">
        <v>653</v>
      </c>
      <c r="C364" s="8" t="s">
        <v>410</v>
      </c>
      <c r="D364" s="9" t="n">
        <v>0.0105166666666667</v>
      </c>
      <c r="E364" s="10" t="n">
        <v>361</v>
      </c>
      <c r="F364" s="11"/>
      <c r="G364" s="12"/>
      <c r="H364" s="11" t="n">
        <v>0.002803125</v>
      </c>
      <c r="I364" s="12" t="n">
        <v>296</v>
      </c>
      <c r="J364" s="14"/>
      <c r="K364" s="14"/>
      <c r="L364" s="14"/>
      <c r="M364" s="13"/>
    </row>
    <row r="365" customFormat="false" ht="15" hidden="false" customHeight="false" outlineLevel="0" collapsed="false">
      <c r="A365" s="6" t="n">
        <v>361</v>
      </c>
      <c r="B365" s="7" t="s">
        <v>654</v>
      </c>
      <c r="C365" s="8" t="s">
        <v>52</v>
      </c>
      <c r="D365" s="9" t="n">
        <v>0.0105172453703704</v>
      </c>
      <c r="E365" s="10" t="n">
        <v>362</v>
      </c>
      <c r="F365" s="11"/>
      <c r="G365" s="12"/>
      <c r="H365" s="11" t="n">
        <v>0.00276666666666667</v>
      </c>
      <c r="I365" s="12" t="n">
        <v>154</v>
      </c>
      <c r="J365" s="14"/>
      <c r="K365" s="14"/>
      <c r="L365" s="14"/>
      <c r="M365" s="13"/>
    </row>
    <row r="366" customFormat="false" ht="15" hidden="false" customHeight="false" outlineLevel="0" collapsed="false">
      <c r="A366" s="6" t="n">
        <v>362</v>
      </c>
      <c r="B366" s="7" t="s">
        <v>655</v>
      </c>
      <c r="C366" s="8" t="s">
        <v>56</v>
      </c>
      <c r="D366" s="9" t="n">
        <v>0.0105200231481482</v>
      </c>
      <c r="E366" s="10" t="n">
        <v>363</v>
      </c>
      <c r="F366" s="11" t="n">
        <v>0.00666423611111111</v>
      </c>
      <c r="G366" s="12" t="n">
        <v>89</v>
      </c>
      <c r="H366" s="11" t="n">
        <v>0.00283993055555556</v>
      </c>
      <c r="I366" s="12" t="n">
        <v>496</v>
      </c>
      <c r="J366" s="14"/>
      <c r="K366" s="14"/>
      <c r="L366" s="14"/>
      <c r="M366" s="13"/>
    </row>
    <row r="367" customFormat="false" ht="15" hidden="false" customHeight="false" outlineLevel="0" collapsed="false">
      <c r="A367" s="6" t="n">
        <v>363</v>
      </c>
      <c r="B367" s="7" t="s">
        <v>656</v>
      </c>
      <c r="C367" s="8" t="s">
        <v>138</v>
      </c>
      <c r="D367" s="9" t="n">
        <v>0.0105216435185185</v>
      </c>
      <c r="E367" s="10" t="n">
        <v>364</v>
      </c>
      <c r="F367" s="11" t="n">
        <v>0.00690613425925926</v>
      </c>
      <c r="G367" s="12" t="n">
        <v>247</v>
      </c>
      <c r="H367" s="11" t="n">
        <v>0.00287407407407407</v>
      </c>
      <c r="I367" s="12" t="n">
        <v>728</v>
      </c>
      <c r="J367" s="14"/>
      <c r="K367" s="14"/>
      <c r="L367" s="14"/>
      <c r="M367" s="13"/>
    </row>
    <row r="368" customFormat="false" ht="15" hidden="false" customHeight="false" outlineLevel="0" collapsed="false">
      <c r="A368" s="6" t="n">
        <v>364</v>
      </c>
      <c r="B368" s="7" t="s">
        <v>657</v>
      </c>
      <c r="C368" s="8" t="s">
        <v>150</v>
      </c>
      <c r="D368" s="9" t="n">
        <v>0.0105248842592593</v>
      </c>
      <c r="E368" s="10" t="n">
        <v>365</v>
      </c>
      <c r="F368" s="11"/>
      <c r="G368" s="12"/>
      <c r="H368" s="11" t="n">
        <v>0.00279178240740741</v>
      </c>
      <c r="I368" s="12" t="n">
        <v>247</v>
      </c>
      <c r="J368" s="14"/>
      <c r="K368" s="14"/>
      <c r="L368" s="14"/>
      <c r="M368" s="13"/>
    </row>
    <row r="369" customFormat="false" ht="15" hidden="false" customHeight="false" outlineLevel="0" collapsed="false">
      <c r="A369" s="6" t="n">
        <v>365</v>
      </c>
      <c r="B369" s="7" t="s">
        <v>658</v>
      </c>
      <c r="C369" s="8" t="s">
        <v>537</v>
      </c>
      <c r="D369" s="9" t="n">
        <v>0.0105252314814815</v>
      </c>
      <c r="E369" s="10" t="n">
        <v>366</v>
      </c>
      <c r="F369" s="11" t="n">
        <v>0.00732141203703704</v>
      </c>
      <c r="G369" s="12" t="n">
        <v>671</v>
      </c>
      <c r="H369" s="11" t="n">
        <v>0.00289467592592593</v>
      </c>
      <c r="I369" s="12" t="n">
        <v>910</v>
      </c>
      <c r="J369" s="14" t="s">
        <v>659</v>
      </c>
      <c r="K369" s="14"/>
      <c r="L369" s="14"/>
      <c r="M369" s="13"/>
    </row>
    <row r="370" customFormat="false" ht="15" hidden="false" customHeight="false" outlineLevel="0" collapsed="false">
      <c r="A370" s="6" t="n">
        <v>366</v>
      </c>
      <c r="B370" s="7" t="s">
        <v>660</v>
      </c>
      <c r="C370" s="8" t="s">
        <v>661</v>
      </c>
      <c r="D370" s="9" t="n">
        <v>0.010525462962963</v>
      </c>
      <c r="E370" s="10" t="n">
        <v>367</v>
      </c>
      <c r="F370" s="11"/>
      <c r="G370" s="12"/>
      <c r="H370" s="11" t="n">
        <v>0.00284733796296296</v>
      </c>
      <c r="I370" s="12" t="n">
        <v>554</v>
      </c>
      <c r="J370" s="14"/>
      <c r="K370" s="14"/>
      <c r="L370" s="14"/>
      <c r="M370" s="13"/>
    </row>
    <row r="371" customFormat="false" ht="15" hidden="false" customHeight="false" outlineLevel="0" collapsed="false">
      <c r="A371" s="6" t="n">
        <v>367</v>
      </c>
      <c r="B371" s="7" t="s">
        <v>662</v>
      </c>
      <c r="C371" s="8" t="s">
        <v>160</v>
      </c>
      <c r="D371" s="9" t="n">
        <v>0.0105259259259259</v>
      </c>
      <c r="E371" s="10" t="n">
        <v>368</v>
      </c>
      <c r="F371" s="11"/>
      <c r="G371" s="12"/>
      <c r="H371" s="11" t="n">
        <v>0.00289212962962963</v>
      </c>
      <c r="I371" s="12" t="n">
        <v>891</v>
      </c>
      <c r="J371" s="14" t="s">
        <v>663</v>
      </c>
      <c r="K371" s="14"/>
      <c r="L371" s="14"/>
      <c r="M371" s="13"/>
    </row>
    <row r="372" customFormat="false" ht="15" hidden="false" customHeight="false" outlineLevel="0" collapsed="false">
      <c r="A372" s="6" t="n">
        <v>368</v>
      </c>
      <c r="B372" s="7" t="s">
        <v>664</v>
      </c>
      <c r="C372" s="8" t="s">
        <v>52</v>
      </c>
      <c r="D372" s="9" t="n">
        <v>0.0105289351851852</v>
      </c>
      <c r="E372" s="10" t="n">
        <v>369</v>
      </c>
      <c r="F372" s="11" t="n">
        <v>0.00642326388888889</v>
      </c>
      <c r="G372" s="12" t="n">
        <v>20</v>
      </c>
      <c r="H372" s="11"/>
      <c r="I372" s="12"/>
      <c r="J372" s="14"/>
      <c r="K372" s="14"/>
      <c r="L372" s="14"/>
      <c r="M372" s="13"/>
    </row>
    <row r="373" customFormat="false" ht="15" hidden="false" customHeight="false" outlineLevel="0" collapsed="false">
      <c r="A373" s="6" t="n">
        <v>369</v>
      </c>
      <c r="B373" s="7" t="s">
        <v>665</v>
      </c>
      <c r="C373" s="8" t="s">
        <v>274</v>
      </c>
      <c r="D373" s="9" t="n">
        <v>0.0105296296296296</v>
      </c>
      <c r="E373" s="10" t="n">
        <v>370</v>
      </c>
      <c r="F373" s="11" t="n">
        <v>0.0068</v>
      </c>
      <c r="G373" s="12" t="n">
        <v>171</v>
      </c>
      <c r="H373" s="11"/>
      <c r="I373" s="12"/>
      <c r="J373" s="14"/>
      <c r="K373" s="14"/>
      <c r="L373" s="14"/>
      <c r="M373" s="13"/>
    </row>
    <row r="374" customFormat="false" ht="15" hidden="false" customHeight="false" outlineLevel="0" collapsed="false">
      <c r="A374" s="6" t="n">
        <v>370</v>
      </c>
      <c r="B374" s="7" t="s">
        <v>666</v>
      </c>
      <c r="C374" s="8" t="s">
        <v>667</v>
      </c>
      <c r="D374" s="9" t="n">
        <v>0.0105298611111111</v>
      </c>
      <c r="E374" s="10" t="n">
        <v>371</v>
      </c>
      <c r="F374" s="11"/>
      <c r="G374" s="12"/>
      <c r="H374" s="11" t="n">
        <v>0.00278726851851852</v>
      </c>
      <c r="I374" s="12" t="n">
        <v>231</v>
      </c>
      <c r="J374" s="14" t="s">
        <v>668</v>
      </c>
      <c r="K374" s="14"/>
      <c r="L374" s="14"/>
      <c r="M374" s="13"/>
    </row>
    <row r="375" customFormat="false" ht="15" hidden="false" customHeight="false" outlineLevel="0" collapsed="false">
      <c r="A375" s="6" t="n">
        <v>371</v>
      </c>
      <c r="B375" s="7" t="s">
        <v>669</v>
      </c>
      <c r="C375" s="8" t="s">
        <v>108</v>
      </c>
      <c r="D375" s="9" t="n">
        <v>0.0105300925925926</v>
      </c>
      <c r="E375" s="10" t="n">
        <v>372</v>
      </c>
      <c r="F375" s="11" t="n">
        <v>0.0068619212962963</v>
      </c>
      <c r="G375" s="12" t="n">
        <v>212</v>
      </c>
      <c r="H375" s="11" t="n">
        <v>0.00280393518518519</v>
      </c>
      <c r="I375" s="12" t="n">
        <v>299</v>
      </c>
      <c r="J375" s="14"/>
      <c r="K375" s="14"/>
      <c r="L375" s="14"/>
      <c r="M375" s="13"/>
    </row>
    <row r="376" customFormat="false" ht="15" hidden="false" customHeight="false" outlineLevel="0" collapsed="false">
      <c r="A376" s="6" t="n">
        <v>372</v>
      </c>
      <c r="B376" s="7" t="s">
        <v>670</v>
      </c>
      <c r="C376" s="8" t="s">
        <v>283</v>
      </c>
      <c r="D376" s="9" t="n">
        <v>0.0105304398148148</v>
      </c>
      <c r="E376" s="10" t="n">
        <v>373</v>
      </c>
      <c r="F376" s="11"/>
      <c r="G376" s="12"/>
      <c r="H376" s="11" t="n">
        <v>0.00277627314814815</v>
      </c>
      <c r="I376" s="12" t="n">
        <v>183</v>
      </c>
      <c r="J376" s="14" t="s">
        <v>671</v>
      </c>
      <c r="K376" s="14"/>
      <c r="L376" s="14"/>
      <c r="M376" s="13"/>
    </row>
    <row r="377" customFormat="false" ht="15" hidden="false" customHeight="false" outlineLevel="0" collapsed="false">
      <c r="A377" s="6" t="n">
        <v>373</v>
      </c>
      <c r="B377" s="7" t="s">
        <v>672</v>
      </c>
      <c r="C377" s="8" t="s">
        <v>588</v>
      </c>
      <c r="D377" s="9" t="n">
        <v>0.0105324074074074</v>
      </c>
      <c r="E377" s="10" t="n">
        <v>374</v>
      </c>
      <c r="F377" s="11"/>
      <c r="G377" s="12"/>
      <c r="H377" s="11"/>
      <c r="I377" s="12"/>
      <c r="J377" s="14" t="s">
        <v>673</v>
      </c>
      <c r="K377" s="14"/>
      <c r="L377" s="14"/>
      <c r="M377" s="13"/>
    </row>
    <row r="378" customFormat="false" ht="15" hidden="false" customHeight="false" outlineLevel="0" collapsed="false">
      <c r="A378" s="6" t="n">
        <v>374</v>
      </c>
      <c r="B378" s="7" t="s">
        <v>674</v>
      </c>
      <c r="C378" s="8" t="s">
        <v>160</v>
      </c>
      <c r="D378" s="9" t="n">
        <v>0.0105329861111111</v>
      </c>
      <c r="E378" s="10" t="n">
        <v>375</v>
      </c>
      <c r="F378" s="11"/>
      <c r="G378" s="12"/>
      <c r="H378" s="11" t="n">
        <v>0.00279965277777778</v>
      </c>
      <c r="I378" s="12" t="n">
        <v>281</v>
      </c>
      <c r="J378" s="14"/>
      <c r="K378" s="14"/>
      <c r="L378" s="14"/>
      <c r="M378" s="13"/>
    </row>
    <row r="379" customFormat="false" ht="15" hidden="false" customHeight="false" outlineLevel="0" collapsed="false">
      <c r="A379" s="6" t="n">
        <v>375</v>
      </c>
      <c r="B379" s="7" t="s">
        <v>675</v>
      </c>
      <c r="C379" s="8" t="s">
        <v>525</v>
      </c>
      <c r="D379" s="9" t="n">
        <v>0.0105346064814815</v>
      </c>
      <c r="E379" s="10" t="n">
        <v>376</v>
      </c>
      <c r="F379" s="11" t="n">
        <v>0.00715509259259259</v>
      </c>
      <c r="G379" s="12" t="n">
        <v>491</v>
      </c>
      <c r="H379" s="11" t="n">
        <v>0.00291921296296296</v>
      </c>
      <c r="I379" s="12" t="n">
        <v>1085</v>
      </c>
      <c r="J379" s="14"/>
      <c r="K379" s="14"/>
      <c r="L379" s="14"/>
      <c r="M379" s="13"/>
    </row>
    <row r="380" customFormat="false" ht="15" hidden="false" customHeight="false" outlineLevel="0" collapsed="false">
      <c r="A380" s="6" t="n">
        <v>376</v>
      </c>
      <c r="B380" s="7" t="s">
        <v>676</v>
      </c>
      <c r="C380" s="8" t="s">
        <v>100</v>
      </c>
      <c r="D380" s="9" t="n">
        <v>0.0105350694444444</v>
      </c>
      <c r="E380" s="10" t="n">
        <v>377</v>
      </c>
      <c r="F380" s="11"/>
      <c r="G380" s="12"/>
      <c r="H380" s="11" t="n">
        <v>0.00281574074074074</v>
      </c>
      <c r="I380" s="12" t="n">
        <v>344</v>
      </c>
      <c r="J380" s="14"/>
      <c r="K380" s="14" t="s">
        <v>677</v>
      </c>
      <c r="L380" s="14"/>
      <c r="M380" s="13"/>
    </row>
    <row r="381" customFormat="false" ht="15" hidden="false" customHeight="false" outlineLevel="0" collapsed="false">
      <c r="A381" s="6" t="n">
        <v>377</v>
      </c>
      <c r="B381" s="7" t="s">
        <v>678</v>
      </c>
      <c r="C381" s="8" t="s">
        <v>679</v>
      </c>
      <c r="D381" s="9" t="n">
        <v>0.0105351851851852</v>
      </c>
      <c r="E381" s="10" t="n">
        <v>378</v>
      </c>
      <c r="F381" s="11"/>
      <c r="G381" s="12"/>
      <c r="H381" s="11" t="n">
        <v>0.00287175925925926</v>
      </c>
      <c r="I381" s="12" t="n">
        <v>715</v>
      </c>
      <c r="J381" s="14" t="s">
        <v>680</v>
      </c>
      <c r="K381" s="14"/>
      <c r="L381" s="14"/>
      <c r="M381" s="13"/>
    </row>
    <row r="382" customFormat="false" ht="15" hidden="false" customHeight="false" outlineLevel="0" collapsed="false">
      <c r="A382" s="6" t="n">
        <v>378</v>
      </c>
      <c r="B382" s="7" t="s">
        <v>681</v>
      </c>
      <c r="C382" s="8" t="s">
        <v>148</v>
      </c>
      <c r="D382" s="9" t="n">
        <v>0.0105353009259259</v>
      </c>
      <c r="E382" s="10" t="n">
        <v>379</v>
      </c>
      <c r="F382" s="11"/>
      <c r="G382" s="12"/>
      <c r="H382" s="11" t="n">
        <v>0.00283449074074074</v>
      </c>
      <c r="I382" s="12" t="n">
        <v>453</v>
      </c>
      <c r="J382" s="14"/>
      <c r="K382" s="14"/>
      <c r="L382" s="14"/>
      <c r="M382" s="13"/>
    </row>
    <row r="383" customFormat="false" ht="15" hidden="false" customHeight="false" outlineLevel="0" collapsed="false">
      <c r="A383" s="6" t="n">
        <v>379</v>
      </c>
      <c r="B383" s="7" t="s">
        <v>682</v>
      </c>
      <c r="C383" s="8" t="s">
        <v>683</v>
      </c>
      <c r="D383" s="9" t="n">
        <v>0.0105354166666667</v>
      </c>
      <c r="E383" s="10" t="n">
        <v>380</v>
      </c>
      <c r="F383" s="11"/>
      <c r="G383" s="12"/>
      <c r="H383" s="11" t="n">
        <v>0.00278622685185185</v>
      </c>
      <c r="I383" s="12" t="n">
        <v>222</v>
      </c>
      <c r="J383" s="14"/>
      <c r="K383" s="14"/>
      <c r="L383" s="14"/>
      <c r="M383" s="13"/>
    </row>
    <row r="384" customFormat="false" ht="15" hidden="false" customHeight="false" outlineLevel="0" collapsed="false">
      <c r="A384" s="6" t="n">
        <v>380</v>
      </c>
      <c r="B384" s="7" t="s">
        <v>684</v>
      </c>
      <c r="C384" s="8" t="s">
        <v>685</v>
      </c>
      <c r="D384" s="9" t="n">
        <v>0.0105368055555556</v>
      </c>
      <c r="E384" s="10" t="n">
        <v>381</v>
      </c>
      <c r="F384" s="11"/>
      <c r="G384" s="12"/>
      <c r="H384" s="11" t="n">
        <v>0.00284155092592593</v>
      </c>
      <c r="I384" s="12" t="n">
        <v>511</v>
      </c>
      <c r="J384" s="14"/>
      <c r="K384" s="14"/>
      <c r="L384" s="14"/>
      <c r="M384" s="13"/>
    </row>
    <row r="385" customFormat="false" ht="15" hidden="false" customHeight="false" outlineLevel="0" collapsed="false">
      <c r="A385" s="6" t="n">
        <v>381</v>
      </c>
      <c r="B385" s="7" t="s">
        <v>686</v>
      </c>
      <c r="C385" s="8" t="s">
        <v>294</v>
      </c>
      <c r="D385" s="9" t="n">
        <v>0.0105369212962963</v>
      </c>
      <c r="E385" s="10" t="n">
        <v>382</v>
      </c>
      <c r="F385" s="11"/>
      <c r="G385" s="12"/>
      <c r="H385" s="11" t="n">
        <v>0.00279189814814815</v>
      </c>
      <c r="I385" s="12" t="n">
        <v>248</v>
      </c>
      <c r="J385" s="14"/>
      <c r="K385" s="14"/>
      <c r="L385" s="14"/>
      <c r="M385" s="13"/>
    </row>
    <row r="386" customFormat="false" ht="15" hidden="false" customHeight="false" outlineLevel="0" collapsed="false">
      <c r="A386" s="6" t="n">
        <v>382</v>
      </c>
      <c r="B386" s="7" t="s">
        <v>687</v>
      </c>
      <c r="C386" s="8" t="s">
        <v>688</v>
      </c>
      <c r="D386" s="9" t="n">
        <v>0.0105378472222222</v>
      </c>
      <c r="E386" s="10" t="n">
        <v>383</v>
      </c>
      <c r="F386" s="11"/>
      <c r="G386" s="12"/>
      <c r="H386" s="11"/>
      <c r="I386" s="12"/>
      <c r="J386" s="14"/>
      <c r="K386" s="14"/>
      <c r="L386" s="14"/>
      <c r="M386" s="13"/>
    </row>
    <row r="387" customFormat="false" ht="15" hidden="false" customHeight="false" outlineLevel="0" collapsed="false">
      <c r="A387" s="6" t="n">
        <v>383</v>
      </c>
      <c r="B387" s="7" t="s">
        <v>689</v>
      </c>
      <c r="C387" s="8" t="s">
        <v>200</v>
      </c>
      <c r="D387" s="9" t="n">
        <v>0.0105391203703704</v>
      </c>
      <c r="E387" s="10" t="n">
        <v>384</v>
      </c>
      <c r="F387" s="11"/>
      <c r="G387" s="12"/>
      <c r="H387" s="11" t="n">
        <v>0.00288923611111111</v>
      </c>
      <c r="I387" s="12" t="n">
        <v>858</v>
      </c>
      <c r="J387" s="14"/>
      <c r="K387" s="14"/>
      <c r="L387" s="14"/>
      <c r="M387" s="13"/>
    </row>
    <row r="388" customFormat="false" ht="15" hidden="false" customHeight="false" outlineLevel="0" collapsed="false">
      <c r="A388" s="6" t="n">
        <v>384</v>
      </c>
      <c r="B388" s="7" t="s">
        <v>690</v>
      </c>
      <c r="C388" s="8" t="s">
        <v>691</v>
      </c>
      <c r="D388" s="9" t="n">
        <v>0.0105398148148148</v>
      </c>
      <c r="E388" s="10" t="n">
        <v>385</v>
      </c>
      <c r="F388" s="11" t="n">
        <v>0.00639525462962963</v>
      </c>
      <c r="G388" s="12" t="n">
        <v>14</v>
      </c>
      <c r="H388" s="11" t="n">
        <v>0.00272905092592593</v>
      </c>
      <c r="I388" s="12" t="n">
        <v>63</v>
      </c>
      <c r="J388" s="14" t="s">
        <v>692</v>
      </c>
      <c r="K388" s="14"/>
      <c r="L388" s="14"/>
      <c r="M388" s="13"/>
    </row>
    <row r="389" customFormat="false" ht="15" hidden="false" customHeight="false" outlineLevel="0" collapsed="false">
      <c r="A389" s="6" t="n">
        <v>385</v>
      </c>
      <c r="B389" s="7" t="s">
        <v>693</v>
      </c>
      <c r="C389" s="8" t="s">
        <v>316</v>
      </c>
      <c r="D389" s="9" t="n">
        <v>0.010540162037037</v>
      </c>
      <c r="E389" s="10" t="n">
        <v>386</v>
      </c>
      <c r="F389" s="11"/>
      <c r="G389" s="12"/>
      <c r="H389" s="11"/>
      <c r="I389" s="12"/>
      <c r="J389" s="14"/>
      <c r="K389" s="14"/>
      <c r="L389" s="14"/>
      <c r="M389" s="13"/>
    </row>
    <row r="390" customFormat="false" ht="15" hidden="false" customHeight="false" outlineLevel="0" collapsed="false">
      <c r="A390" s="6" t="n">
        <v>386</v>
      </c>
      <c r="B390" s="7" t="s">
        <v>694</v>
      </c>
      <c r="C390" s="8" t="s">
        <v>130</v>
      </c>
      <c r="D390" s="9" t="n">
        <v>0.0105403935185185</v>
      </c>
      <c r="E390" s="10" t="n">
        <v>387</v>
      </c>
      <c r="F390" s="11"/>
      <c r="G390" s="12"/>
      <c r="H390" s="11" t="n">
        <v>0.00280694444444444</v>
      </c>
      <c r="I390" s="12" t="n">
        <v>312</v>
      </c>
      <c r="J390" s="14"/>
      <c r="K390" s="14"/>
      <c r="L390" s="14"/>
      <c r="M390" s="13"/>
    </row>
    <row r="391" customFormat="false" ht="15" hidden="false" customHeight="false" outlineLevel="0" collapsed="false">
      <c r="A391" s="6" t="n">
        <v>387</v>
      </c>
      <c r="B391" s="7" t="s">
        <v>695</v>
      </c>
      <c r="C391" s="8" t="s">
        <v>66</v>
      </c>
      <c r="D391" s="9" t="n">
        <v>0.0105407407407407</v>
      </c>
      <c r="E391" s="10" t="n">
        <v>388</v>
      </c>
      <c r="F391" s="11"/>
      <c r="G391" s="12"/>
      <c r="H391" s="11"/>
      <c r="I391" s="12"/>
      <c r="J391" s="14"/>
      <c r="K391" s="14"/>
      <c r="L391" s="14"/>
      <c r="M391" s="13"/>
    </row>
    <row r="392" customFormat="false" ht="15" hidden="false" customHeight="false" outlineLevel="0" collapsed="false">
      <c r="A392" s="6" t="n">
        <v>388</v>
      </c>
      <c r="B392" s="7" t="s">
        <v>696</v>
      </c>
      <c r="C392" s="8" t="s">
        <v>484</v>
      </c>
      <c r="D392" s="9" t="n">
        <v>0.0105414351851852</v>
      </c>
      <c r="E392" s="10" t="n">
        <v>389</v>
      </c>
      <c r="F392" s="11"/>
      <c r="G392" s="12"/>
      <c r="H392" s="11" t="n">
        <v>0.00274861111111111</v>
      </c>
      <c r="I392" s="12" t="n">
        <v>98</v>
      </c>
      <c r="J392" s="14"/>
      <c r="K392" s="14"/>
      <c r="L392" s="14"/>
      <c r="M392" s="13"/>
    </row>
    <row r="393" customFormat="false" ht="15" hidden="false" customHeight="false" outlineLevel="0" collapsed="false">
      <c r="A393" s="6" t="n">
        <v>389</v>
      </c>
      <c r="B393" s="7" t="s">
        <v>697</v>
      </c>
      <c r="C393" s="8" t="s">
        <v>433</v>
      </c>
      <c r="D393" s="9" t="n">
        <v>0.0105425925925926</v>
      </c>
      <c r="E393" s="10" t="n">
        <v>390</v>
      </c>
      <c r="F393" s="11"/>
      <c r="G393" s="12"/>
      <c r="H393" s="11"/>
      <c r="I393" s="12"/>
      <c r="J393" s="14"/>
      <c r="K393" s="14"/>
      <c r="L393" s="14"/>
      <c r="M393" s="13"/>
    </row>
    <row r="394" customFormat="false" ht="15" hidden="false" customHeight="false" outlineLevel="0" collapsed="false">
      <c r="A394" s="6" t="n">
        <v>390</v>
      </c>
      <c r="B394" s="7" t="s">
        <v>698</v>
      </c>
      <c r="C394" s="8" t="s">
        <v>150</v>
      </c>
      <c r="D394" s="9" t="n">
        <v>0.0105428240740741</v>
      </c>
      <c r="E394" s="10" t="n">
        <v>391</v>
      </c>
      <c r="F394" s="11"/>
      <c r="G394" s="12"/>
      <c r="H394" s="11" t="n">
        <v>0.0027537037037037</v>
      </c>
      <c r="I394" s="12" t="n">
        <v>112</v>
      </c>
      <c r="J394" s="14"/>
      <c r="K394" s="14"/>
      <c r="L394" s="14"/>
      <c r="M394" s="13"/>
    </row>
    <row r="395" customFormat="false" ht="15" hidden="false" customHeight="false" outlineLevel="0" collapsed="false">
      <c r="A395" s="6" t="n">
        <v>391</v>
      </c>
      <c r="B395" s="7" t="s">
        <v>699</v>
      </c>
      <c r="C395" s="8" t="s">
        <v>700</v>
      </c>
      <c r="D395" s="9" t="n">
        <v>0.010544212962963</v>
      </c>
      <c r="E395" s="10" t="n">
        <v>392</v>
      </c>
      <c r="F395" s="11"/>
      <c r="G395" s="12"/>
      <c r="H395" s="11" t="n">
        <v>0.00284861111111111</v>
      </c>
      <c r="I395" s="12" t="n">
        <v>560</v>
      </c>
      <c r="J395" s="14"/>
      <c r="K395" s="14"/>
      <c r="L395" s="14"/>
      <c r="M395" s="13"/>
    </row>
    <row r="396" customFormat="false" ht="15" hidden="false" customHeight="false" outlineLevel="0" collapsed="false">
      <c r="A396" s="6" t="n">
        <v>392</v>
      </c>
      <c r="B396" s="7" t="s">
        <v>701</v>
      </c>
      <c r="C396" s="8" t="s">
        <v>702</v>
      </c>
      <c r="D396" s="9" t="n">
        <v>0.0105469907407407</v>
      </c>
      <c r="E396" s="10" t="n">
        <v>393</v>
      </c>
      <c r="F396" s="11"/>
      <c r="G396" s="12"/>
      <c r="H396" s="11"/>
      <c r="I396" s="12"/>
      <c r="J396" s="14"/>
      <c r="K396" s="14"/>
      <c r="L396" s="14"/>
      <c r="M396" s="13"/>
    </row>
    <row r="397" customFormat="false" ht="15" hidden="false" customHeight="false" outlineLevel="0" collapsed="false">
      <c r="A397" s="6" t="n">
        <v>393</v>
      </c>
      <c r="B397" s="7" t="s">
        <v>703</v>
      </c>
      <c r="C397" s="8" t="s">
        <v>704</v>
      </c>
      <c r="D397" s="9" t="n">
        <v>0.0105475694444444</v>
      </c>
      <c r="E397" s="10" t="n">
        <v>394</v>
      </c>
      <c r="F397" s="11"/>
      <c r="G397" s="12"/>
      <c r="H397" s="11" t="n">
        <v>0.00288657407407407</v>
      </c>
      <c r="I397" s="12" t="n">
        <v>829</v>
      </c>
      <c r="J397" s="14"/>
      <c r="K397" s="14"/>
      <c r="L397" s="14"/>
      <c r="M397" s="13"/>
    </row>
    <row r="398" customFormat="false" ht="15" hidden="false" customHeight="false" outlineLevel="0" collapsed="false">
      <c r="A398" s="6" t="n">
        <v>394</v>
      </c>
      <c r="B398" s="7" t="s">
        <v>705</v>
      </c>
      <c r="C398" s="8" t="s">
        <v>537</v>
      </c>
      <c r="D398" s="9" t="n">
        <v>0.0105478009259259</v>
      </c>
      <c r="E398" s="10" t="n">
        <v>395</v>
      </c>
      <c r="F398" s="11" t="n">
        <v>0.00705462962962963</v>
      </c>
      <c r="G398" s="12" t="n">
        <v>394</v>
      </c>
      <c r="H398" s="11" t="n">
        <v>0.00281296296296296</v>
      </c>
      <c r="I398" s="12" t="n">
        <v>333</v>
      </c>
      <c r="J398" s="14" t="s">
        <v>706</v>
      </c>
      <c r="K398" s="14"/>
      <c r="L398" s="14"/>
      <c r="M398" s="13"/>
    </row>
    <row r="399" customFormat="false" ht="15" hidden="false" customHeight="false" outlineLevel="0" collapsed="false">
      <c r="A399" s="6" t="n">
        <v>395</v>
      </c>
      <c r="B399" s="7" t="s">
        <v>707</v>
      </c>
      <c r="C399" s="8" t="s">
        <v>382</v>
      </c>
      <c r="D399" s="9" t="n">
        <v>0.0105479166666667</v>
      </c>
      <c r="E399" s="10" t="n">
        <v>396</v>
      </c>
      <c r="F399" s="11"/>
      <c r="G399" s="12"/>
      <c r="H399" s="11" t="n">
        <v>0.0028087962962963</v>
      </c>
      <c r="I399" s="12" t="n">
        <v>321</v>
      </c>
      <c r="J399" s="14" t="s">
        <v>708</v>
      </c>
      <c r="K399" s="14"/>
      <c r="L399" s="14"/>
      <c r="M399" s="13"/>
    </row>
    <row r="400" customFormat="false" ht="15" hidden="false" customHeight="false" outlineLevel="0" collapsed="false">
      <c r="A400" s="6" t="n">
        <v>396</v>
      </c>
      <c r="B400" s="7" t="s">
        <v>709</v>
      </c>
      <c r="C400" s="8" t="s">
        <v>150</v>
      </c>
      <c r="D400" s="9" t="n">
        <v>0.0105482638888889</v>
      </c>
      <c r="E400" s="10" t="n">
        <v>397</v>
      </c>
      <c r="F400" s="11" t="n">
        <v>0.00688796296296296</v>
      </c>
      <c r="G400" s="12" t="n">
        <v>229</v>
      </c>
      <c r="H400" s="11"/>
      <c r="I400" s="12"/>
      <c r="J400" s="14"/>
      <c r="K400" s="14"/>
      <c r="L400" s="14"/>
      <c r="M400" s="13"/>
    </row>
    <row r="401" customFormat="false" ht="15" hidden="false" customHeight="false" outlineLevel="0" collapsed="false">
      <c r="A401" s="6" t="n">
        <v>397</v>
      </c>
      <c r="B401" s="7" t="s">
        <v>710</v>
      </c>
      <c r="C401" s="8" t="s">
        <v>316</v>
      </c>
      <c r="D401" s="9" t="n">
        <v>0.0105496527777778</v>
      </c>
      <c r="E401" s="10" t="n">
        <v>398</v>
      </c>
      <c r="F401" s="11" t="n">
        <v>0.00659895833333333</v>
      </c>
      <c r="G401" s="12" t="n">
        <v>68</v>
      </c>
      <c r="H401" s="11" t="n">
        <v>0.00293402777777778</v>
      </c>
      <c r="I401" s="12" t="n">
        <v>1183</v>
      </c>
      <c r="J401" s="14"/>
      <c r="K401" s="14"/>
      <c r="L401" s="14"/>
      <c r="M401" s="13"/>
    </row>
    <row r="402" customFormat="false" ht="15" hidden="false" customHeight="false" outlineLevel="0" collapsed="false">
      <c r="A402" s="6" t="n">
        <v>398</v>
      </c>
      <c r="B402" s="7" t="s">
        <v>711</v>
      </c>
      <c r="C402" s="8" t="s">
        <v>221</v>
      </c>
      <c r="D402" s="9" t="n">
        <v>0.0105503472222222</v>
      </c>
      <c r="E402" s="10" t="n">
        <v>399</v>
      </c>
      <c r="F402" s="11" t="n">
        <v>0.00646284722222222</v>
      </c>
      <c r="G402" s="12" t="n">
        <v>27</v>
      </c>
      <c r="H402" s="11" t="n">
        <v>0.00287256944444445</v>
      </c>
      <c r="I402" s="12" t="n">
        <v>719</v>
      </c>
      <c r="J402" s="14"/>
      <c r="K402" s="14" t="s">
        <v>712</v>
      </c>
      <c r="L402" s="14"/>
      <c r="M402" s="13"/>
    </row>
    <row r="403" customFormat="false" ht="15" hidden="false" customHeight="false" outlineLevel="0" collapsed="false">
      <c r="A403" s="6" t="n">
        <v>399</v>
      </c>
      <c r="B403" s="7" t="s">
        <v>713</v>
      </c>
      <c r="C403" s="8" t="s">
        <v>496</v>
      </c>
      <c r="D403" s="9" t="n">
        <v>0.0105509259259259</v>
      </c>
      <c r="E403" s="10" t="n">
        <v>400</v>
      </c>
      <c r="F403" s="11" t="n">
        <v>0.0071125</v>
      </c>
      <c r="G403" s="12" t="n">
        <v>457</v>
      </c>
      <c r="H403" s="11"/>
      <c r="I403" s="12"/>
      <c r="J403" s="14"/>
      <c r="K403" s="14"/>
      <c r="L403" s="14"/>
      <c r="M403" s="13"/>
    </row>
    <row r="404" customFormat="false" ht="15" hidden="false" customHeight="false" outlineLevel="0" collapsed="false">
      <c r="A404" s="6" t="n">
        <v>400</v>
      </c>
      <c r="B404" s="7" t="s">
        <v>714</v>
      </c>
      <c r="C404" s="8" t="s">
        <v>715</v>
      </c>
      <c r="D404" s="9" t="n">
        <v>0.0105509259259259</v>
      </c>
      <c r="E404" s="10" t="n">
        <v>401</v>
      </c>
      <c r="F404" s="11"/>
      <c r="G404" s="12"/>
      <c r="H404" s="11"/>
      <c r="I404" s="12"/>
      <c r="J404" s="14"/>
      <c r="K404" s="14"/>
      <c r="L404" s="14"/>
      <c r="M404" s="13"/>
    </row>
    <row r="405" customFormat="false" ht="15" hidden="false" customHeight="false" outlineLevel="0" collapsed="false">
      <c r="A405" s="6" t="n">
        <v>401</v>
      </c>
      <c r="B405" s="7" t="s">
        <v>716</v>
      </c>
      <c r="C405" s="8" t="s">
        <v>508</v>
      </c>
      <c r="D405" s="9" t="n">
        <v>0.0105515046296296</v>
      </c>
      <c r="E405" s="10" t="n">
        <v>402</v>
      </c>
      <c r="F405" s="11"/>
      <c r="G405" s="12"/>
      <c r="H405" s="11" t="n">
        <v>0.00283819444444444</v>
      </c>
      <c r="I405" s="12" t="n">
        <v>485</v>
      </c>
      <c r="J405" s="14"/>
      <c r="K405" s="14"/>
      <c r="L405" s="14"/>
      <c r="M405" s="13"/>
    </row>
    <row r="406" customFormat="false" ht="15" hidden="false" customHeight="false" outlineLevel="0" collapsed="false">
      <c r="A406" s="6" t="n">
        <v>402</v>
      </c>
      <c r="B406" s="7" t="s">
        <v>717</v>
      </c>
      <c r="C406" s="8" t="s">
        <v>496</v>
      </c>
      <c r="D406" s="9" t="n">
        <v>0.0105524305555556</v>
      </c>
      <c r="E406" s="10" t="n">
        <v>403</v>
      </c>
      <c r="F406" s="11"/>
      <c r="G406" s="12"/>
      <c r="H406" s="11"/>
      <c r="I406" s="12"/>
      <c r="J406" s="14"/>
      <c r="K406" s="14"/>
      <c r="L406" s="14"/>
      <c r="M406" s="13"/>
    </row>
    <row r="407" customFormat="false" ht="15" hidden="false" customHeight="false" outlineLevel="0" collapsed="false">
      <c r="A407" s="6" t="n">
        <v>403</v>
      </c>
      <c r="B407" s="7" t="s">
        <v>718</v>
      </c>
      <c r="C407" s="8" t="s">
        <v>31</v>
      </c>
      <c r="D407" s="9" t="n">
        <v>0.0105528935185185</v>
      </c>
      <c r="E407" s="10" t="n">
        <v>404</v>
      </c>
      <c r="F407" s="11" t="n">
        <v>0.00656655092592593</v>
      </c>
      <c r="G407" s="12" t="n">
        <v>55</v>
      </c>
      <c r="H407" s="11" t="n">
        <v>0.00294768518518519</v>
      </c>
      <c r="I407" s="12" t="n">
        <v>1225</v>
      </c>
      <c r="J407" s="14"/>
      <c r="K407" s="14" t="s">
        <v>719</v>
      </c>
      <c r="L407" s="14"/>
      <c r="M407" s="13"/>
    </row>
    <row r="408" customFormat="false" ht="15" hidden="false" customHeight="false" outlineLevel="0" collapsed="false">
      <c r="A408" s="6" t="n">
        <v>404</v>
      </c>
      <c r="B408" s="7" t="s">
        <v>720</v>
      </c>
      <c r="C408" s="8" t="s">
        <v>721</v>
      </c>
      <c r="D408" s="9" t="n">
        <v>0.0105543981481482</v>
      </c>
      <c r="E408" s="10" t="n">
        <v>405</v>
      </c>
      <c r="F408" s="11"/>
      <c r="G408" s="12"/>
      <c r="H408" s="11" t="n">
        <v>0.00285266203703704</v>
      </c>
      <c r="I408" s="12" t="n">
        <v>584</v>
      </c>
      <c r="J408" s="14"/>
      <c r="K408" s="14" t="s">
        <v>722</v>
      </c>
      <c r="L408" s="14"/>
      <c r="M408" s="13"/>
    </row>
    <row r="409" customFormat="false" ht="15" hidden="false" customHeight="false" outlineLevel="0" collapsed="false">
      <c r="A409" s="6" t="n">
        <v>405</v>
      </c>
      <c r="B409" s="7" t="s">
        <v>723</v>
      </c>
      <c r="C409" s="8" t="s">
        <v>23</v>
      </c>
      <c r="D409" s="9" t="n">
        <v>0.0105568287037037</v>
      </c>
      <c r="E409" s="10" t="n">
        <v>406</v>
      </c>
      <c r="F409" s="11"/>
      <c r="G409" s="12"/>
      <c r="H409" s="11" t="n">
        <v>0.00292060185185185</v>
      </c>
      <c r="I409" s="12" t="n">
        <v>1105</v>
      </c>
      <c r="J409" s="14"/>
      <c r="K409" s="14"/>
      <c r="L409" s="14"/>
      <c r="M409" s="13"/>
    </row>
    <row r="410" customFormat="false" ht="15" hidden="false" customHeight="false" outlineLevel="0" collapsed="false">
      <c r="A410" s="6" t="n">
        <v>406</v>
      </c>
      <c r="B410" s="7" t="s">
        <v>724</v>
      </c>
      <c r="C410" s="8" t="s">
        <v>725</v>
      </c>
      <c r="D410" s="9" t="n">
        <v>0.0105568287037037</v>
      </c>
      <c r="E410" s="10" t="n">
        <v>407</v>
      </c>
      <c r="F410" s="11"/>
      <c r="G410" s="12"/>
      <c r="H410" s="11" t="n">
        <v>0.00277222222222222</v>
      </c>
      <c r="I410" s="12" t="n">
        <v>166</v>
      </c>
      <c r="J410" s="14"/>
      <c r="K410" s="14"/>
      <c r="L410" s="8" t="s">
        <v>726</v>
      </c>
      <c r="M410" s="13"/>
    </row>
    <row r="411" customFormat="false" ht="15" hidden="false" customHeight="false" outlineLevel="0" collapsed="false">
      <c r="A411" s="6" t="n">
        <v>407</v>
      </c>
      <c r="B411" s="7" t="s">
        <v>727</v>
      </c>
      <c r="C411" s="8" t="s">
        <v>116</v>
      </c>
      <c r="D411" s="9" t="n">
        <v>0.010559375</v>
      </c>
      <c r="E411" s="10" t="n">
        <v>408</v>
      </c>
      <c r="F411" s="11" t="n">
        <v>0.006721875</v>
      </c>
      <c r="G411" s="12" t="n">
        <v>115</v>
      </c>
      <c r="H411" s="11" t="n">
        <v>0.00281990740740741</v>
      </c>
      <c r="I411" s="12" t="n">
        <v>362</v>
      </c>
      <c r="J411" s="14"/>
      <c r="K411" s="14"/>
      <c r="L411" s="14"/>
      <c r="M411" s="13"/>
    </row>
    <row r="412" customFormat="false" ht="15" hidden="false" customHeight="false" outlineLevel="0" collapsed="false">
      <c r="A412" s="6" t="n">
        <v>408</v>
      </c>
      <c r="B412" s="7" t="s">
        <v>728</v>
      </c>
      <c r="C412" s="8" t="s">
        <v>150</v>
      </c>
      <c r="D412" s="9" t="n">
        <v>0.0105594907407407</v>
      </c>
      <c r="E412" s="10" t="n">
        <v>409</v>
      </c>
      <c r="F412" s="11"/>
      <c r="G412" s="12"/>
      <c r="H412" s="11"/>
      <c r="I412" s="12"/>
      <c r="J412" s="14"/>
      <c r="K412" s="14"/>
      <c r="L412" s="14"/>
      <c r="M412" s="13"/>
    </row>
    <row r="413" customFormat="false" ht="15" hidden="false" customHeight="false" outlineLevel="0" collapsed="false">
      <c r="A413" s="6" t="n">
        <v>409</v>
      </c>
      <c r="B413" s="7" t="s">
        <v>729</v>
      </c>
      <c r="C413" s="8" t="s">
        <v>730</v>
      </c>
      <c r="D413" s="9" t="n">
        <v>0.0105601851851852</v>
      </c>
      <c r="E413" s="10" t="n">
        <v>410</v>
      </c>
      <c r="F413" s="11"/>
      <c r="G413" s="12"/>
      <c r="H413" s="11" t="n">
        <v>0.00274479166666667</v>
      </c>
      <c r="I413" s="12" t="n">
        <v>89</v>
      </c>
      <c r="J413" s="14" t="s">
        <v>731</v>
      </c>
      <c r="K413" s="14"/>
      <c r="L413" s="14"/>
      <c r="M413" s="13"/>
    </row>
    <row r="414" customFormat="false" ht="15" hidden="false" customHeight="false" outlineLevel="0" collapsed="false">
      <c r="A414" s="6" t="n">
        <v>410</v>
      </c>
      <c r="B414" s="7" t="s">
        <v>732</v>
      </c>
      <c r="C414" s="8" t="s">
        <v>120</v>
      </c>
      <c r="D414" s="9" t="n">
        <v>0.0105601851851852</v>
      </c>
      <c r="E414" s="10" t="n">
        <v>411</v>
      </c>
      <c r="F414" s="11" t="n">
        <v>0.00656631944444445</v>
      </c>
      <c r="G414" s="12" t="n">
        <v>54</v>
      </c>
      <c r="H414" s="11" t="n">
        <v>0.00290775462962963</v>
      </c>
      <c r="I414" s="12" t="n">
        <v>999</v>
      </c>
      <c r="J414" s="14" t="s">
        <v>733</v>
      </c>
      <c r="K414" s="14"/>
      <c r="L414" s="14"/>
      <c r="M414" s="13"/>
    </row>
    <row r="415" customFormat="false" ht="15" hidden="false" customHeight="false" outlineLevel="0" collapsed="false">
      <c r="A415" s="6" t="n">
        <v>411</v>
      </c>
      <c r="B415" s="7" t="s">
        <v>734</v>
      </c>
      <c r="C415" s="8" t="s">
        <v>735</v>
      </c>
      <c r="D415" s="9" t="n">
        <v>0.0105601851851852</v>
      </c>
      <c r="E415" s="10" t="n">
        <v>412</v>
      </c>
      <c r="F415" s="11"/>
      <c r="G415" s="12"/>
      <c r="H415" s="11" t="n">
        <v>0.00284988425925926</v>
      </c>
      <c r="I415" s="12" t="n">
        <v>570</v>
      </c>
      <c r="J415" s="14" t="s">
        <v>736</v>
      </c>
      <c r="K415" s="14"/>
      <c r="L415" s="14"/>
      <c r="M415" s="13"/>
    </row>
    <row r="416" customFormat="false" ht="15" hidden="false" customHeight="false" outlineLevel="0" collapsed="false">
      <c r="A416" s="6" t="n">
        <v>412</v>
      </c>
      <c r="B416" s="7" t="s">
        <v>737</v>
      </c>
      <c r="C416" s="8" t="s">
        <v>241</v>
      </c>
      <c r="D416" s="9" t="n">
        <v>0.0105621527777778</v>
      </c>
      <c r="E416" s="10" t="n">
        <v>413</v>
      </c>
      <c r="F416" s="11"/>
      <c r="G416" s="12"/>
      <c r="H416" s="11" t="n">
        <v>0.00289606481481482</v>
      </c>
      <c r="I416" s="12" t="n">
        <v>922</v>
      </c>
      <c r="J416" s="14"/>
      <c r="K416" s="14"/>
      <c r="L416" s="14"/>
      <c r="M416" s="13"/>
    </row>
    <row r="417" customFormat="false" ht="15" hidden="false" customHeight="false" outlineLevel="0" collapsed="false">
      <c r="A417" s="6" t="n">
        <v>413</v>
      </c>
      <c r="B417" s="7" t="s">
        <v>738</v>
      </c>
      <c r="C417" s="8" t="s">
        <v>278</v>
      </c>
      <c r="D417" s="9" t="n">
        <v>0.010562962962963</v>
      </c>
      <c r="E417" s="10" t="n">
        <v>414</v>
      </c>
      <c r="F417" s="11"/>
      <c r="G417" s="12"/>
      <c r="H417" s="11" t="n">
        <v>0.00275613425925926</v>
      </c>
      <c r="I417" s="12" t="n">
        <v>124</v>
      </c>
      <c r="J417" s="14"/>
      <c r="K417" s="14" t="s">
        <v>739</v>
      </c>
      <c r="L417" s="14"/>
      <c r="M417" s="13"/>
    </row>
    <row r="418" customFormat="false" ht="15" hidden="false" customHeight="false" outlineLevel="0" collapsed="false">
      <c r="A418" s="6" t="n">
        <v>414</v>
      </c>
      <c r="B418" s="7" t="s">
        <v>740</v>
      </c>
      <c r="C418" s="8" t="s">
        <v>64</v>
      </c>
      <c r="D418" s="9" t="n">
        <v>0.0105637731481482</v>
      </c>
      <c r="E418" s="10" t="n">
        <v>415</v>
      </c>
      <c r="F418" s="11" t="n">
        <v>0.00657152777777778</v>
      </c>
      <c r="G418" s="12" t="n">
        <v>60</v>
      </c>
      <c r="H418" s="11"/>
      <c r="I418" s="12"/>
      <c r="J418" s="14"/>
      <c r="K418" s="14"/>
      <c r="L418" s="14"/>
      <c r="M418" s="13"/>
    </row>
    <row r="419" customFormat="false" ht="15" hidden="false" customHeight="false" outlineLevel="0" collapsed="false">
      <c r="A419" s="6" t="n">
        <v>415</v>
      </c>
      <c r="B419" s="7" t="s">
        <v>741</v>
      </c>
      <c r="C419" s="8" t="s">
        <v>742</v>
      </c>
      <c r="D419" s="9" t="n">
        <v>0.0105638888888889</v>
      </c>
      <c r="E419" s="10" t="n">
        <v>416</v>
      </c>
      <c r="F419" s="11"/>
      <c r="G419" s="12"/>
      <c r="H419" s="11" t="n">
        <v>0.00291550925925926</v>
      </c>
      <c r="I419" s="12" t="n">
        <v>1056</v>
      </c>
      <c r="J419" s="14"/>
      <c r="K419" s="14"/>
      <c r="L419" s="14"/>
      <c r="M419" s="13"/>
    </row>
    <row r="420" customFormat="false" ht="15" hidden="false" customHeight="false" outlineLevel="0" collapsed="false">
      <c r="A420" s="6" t="n">
        <v>416</v>
      </c>
      <c r="B420" s="7" t="s">
        <v>743</v>
      </c>
      <c r="C420" s="8" t="s">
        <v>148</v>
      </c>
      <c r="D420" s="9" t="n">
        <v>0.0105644675925926</v>
      </c>
      <c r="E420" s="10" t="n">
        <v>417</v>
      </c>
      <c r="F420" s="11"/>
      <c r="G420" s="12"/>
      <c r="H420" s="11" t="n">
        <v>0.00275775462962963</v>
      </c>
      <c r="I420" s="12" t="n">
        <v>129</v>
      </c>
      <c r="J420" s="14"/>
      <c r="K420" s="14"/>
      <c r="L420" s="14"/>
      <c r="M420" s="13"/>
    </row>
    <row r="421" customFormat="false" ht="15" hidden="false" customHeight="false" outlineLevel="0" collapsed="false">
      <c r="A421" s="6" t="n">
        <v>417</v>
      </c>
      <c r="B421" s="7" t="s">
        <v>744</v>
      </c>
      <c r="C421" s="8" t="s">
        <v>399</v>
      </c>
      <c r="D421" s="9" t="n">
        <v>0.0105646990740741</v>
      </c>
      <c r="E421" s="10" t="n">
        <v>418</v>
      </c>
      <c r="F421" s="11" t="n">
        <v>0.00742060185185185</v>
      </c>
      <c r="G421" s="12" t="n">
        <v>795</v>
      </c>
      <c r="H421" s="11"/>
      <c r="I421" s="12"/>
      <c r="J421" s="14" t="s">
        <v>745</v>
      </c>
      <c r="K421" s="14"/>
      <c r="L421" s="14"/>
      <c r="M421" s="13"/>
    </row>
    <row r="422" customFormat="false" ht="15" hidden="false" customHeight="false" outlineLevel="0" collapsed="false">
      <c r="A422" s="6" t="n">
        <v>418</v>
      </c>
      <c r="B422" s="7" t="s">
        <v>746</v>
      </c>
      <c r="C422" s="8" t="s">
        <v>584</v>
      </c>
      <c r="D422" s="9" t="n">
        <v>0.0105650462962963</v>
      </c>
      <c r="E422" s="10" t="n">
        <v>419</v>
      </c>
      <c r="F422" s="11"/>
      <c r="G422" s="12"/>
      <c r="H422" s="11"/>
      <c r="I422" s="12"/>
      <c r="J422" s="14" t="s">
        <v>747</v>
      </c>
      <c r="K422" s="14"/>
      <c r="L422" s="14"/>
      <c r="M422" s="13"/>
    </row>
    <row r="423" customFormat="false" ht="15" hidden="false" customHeight="false" outlineLevel="0" collapsed="false">
      <c r="A423" s="6" t="n">
        <v>419</v>
      </c>
      <c r="B423" s="7" t="s">
        <v>748</v>
      </c>
      <c r="C423" s="8" t="s">
        <v>150</v>
      </c>
      <c r="D423" s="9" t="n">
        <v>0.0105658564814815</v>
      </c>
      <c r="E423" s="10" t="n">
        <v>420</v>
      </c>
      <c r="F423" s="11"/>
      <c r="G423" s="12"/>
      <c r="H423" s="11" t="n">
        <v>0.00283171296296296</v>
      </c>
      <c r="I423" s="12" t="n">
        <v>436</v>
      </c>
      <c r="J423" s="14"/>
      <c r="K423" s="14"/>
      <c r="L423" s="14"/>
      <c r="M423" s="13"/>
    </row>
    <row r="424" customFormat="false" ht="15" hidden="false" customHeight="false" outlineLevel="0" collapsed="false">
      <c r="A424" s="6" t="n">
        <v>420</v>
      </c>
      <c r="B424" s="7" t="s">
        <v>749</v>
      </c>
      <c r="C424" s="8" t="s">
        <v>750</v>
      </c>
      <c r="D424" s="9" t="n">
        <v>0.0105694444444445</v>
      </c>
      <c r="E424" s="10" t="n">
        <v>421</v>
      </c>
      <c r="F424" s="11"/>
      <c r="G424" s="12"/>
      <c r="H424" s="11" t="n">
        <v>0.00289583333333333</v>
      </c>
      <c r="I424" s="12" t="n">
        <v>920</v>
      </c>
      <c r="J424" s="14"/>
      <c r="K424" s="14"/>
      <c r="L424" s="14"/>
      <c r="M424" s="13"/>
    </row>
    <row r="425" customFormat="false" ht="15" hidden="false" customHeight="false" outlineLevel="0" collapsed="false">
      <c r="A425" s="6" t="n">
        <v>421</v>
      </c>
      <c r="B425" s="7" t="s">
        <v>751</v>
      </c>
      <c r="C425" s="8" t="s">
        <v>89</v>
      </c>
      <c r="D425" s="9" t="n">
        <v>0.0105697916666667</v>
      </c>
      <c r="E425" s="10" t="n">
        <v>422</v>
      </c>
      <c r="F425" s="11" t="n">
        <v>0.00696284722222222</v>
      </c>
      <c r="G425" s="12" t="n">
        <v>296</v>
      </c>
      <c r="H425" s="11"/>
      <c r="I425" s="12"/>
      <c r="J425" s="14"/>
      <c r="K425" s="14"/>
      <c r="L425" s="14"/>
      <c r="M425" s="13"/>
    </row>
    <row r="426" customFormat="false" ht="15" hidden="false" customHeight="false" outlineLevel="0" collapsed="false">
      <c r="A426" s="6" t="n">
        <v>422</v>
      </c>
      <c r="B426" s="7" t="s">
        <v>752</v>
      </c>
      <c r="C426" s="8" t="s">
        <v>150</v>
      </c>
      <c r="D426" s="9" t="n">
        <v>0.0105699074074074</v>
      </c>
      <c r="E426" s="10" t="n">
        <v>423</v>
      </c>
      <c r="F426" s="11"/>
      <c r="G426" s="12"/>
      <c r="H426" s="11"/>
      <c r="I426" s="12"/>
      <c r="J426" s="14"/>
      <c r="K426" s="14"/>
      <c r="L426" s="14"/>
      <c r="M426" s="13"/>
    </row>
    <row r="427" customFormat="false" ht="15" hidden="false" customHeight="false" outlineLevel="0" collapsed="false">
      <c r="A427" s="6" t="n">
        <v>423</v>
      </c>
      <c r="B427" s="7" t="s">
        <v>753</v>
      </c>
      <c r="C427" s="8" t="s">
        <v>246</v>
      </c>
      <c r="D427" s="9" t="n">
        <v>0.0105699074074074</v>
      </c>
      <c r="E427" s="10" t="n">
        <v>424</v>
      </c>
      <c r="F427" s="11" t="n">
        <v>0.00740578703703704</v>
      </c>
      <c r="G427" s="12" t="n">
        <v>781</v>
      </c>
      <c r="H427" s="11"/>
      <c r="I427" s="12"/>
      <c r="J427" s="14" t="s">
        <v>754</v>
      </c>
      <c r="K427" s="14"/>
      <c r="L427" s="14"/>
      <c r="M427" s="13"/>
    </row>
    <row r="428" customFormat="false" ht="15" hidden="false" customHeight="false" outlineLevel="0" collapsed="false">
      <c r="A428" s="6" t="n">
        <v>424</v>
      </c>
      <c r="B428" s="7" t="s">
        <v>755</v>
      </c>
      <c r="C428" s="8" t="s">
        <v>31</v>
      </c>
      <c r="D428" s="9" t="n">
        <v>0.0105715277777778</v>
      </c>
      <c r="E428" s="10" t="n">
        <v>425</v>
      </c>
      <c r="F428" s="11" t="n">
        <v>0.00665925925925926</v>
      </c>
      <c r="G428" s="12" t="n">
        <v>87</v>
      </c>
      <c r="H428" s="11"/>
      <c r="I428" s="12"/>
      <c r="J428" s="14"/>
      <c r="K428" s="14" t="s">
        <v>756</v>
      </c>
      <c r="L428" s="14"/>
      <c r="M428" s="13"/>
    </row>
    <row r="429" customFormat="false" ht="15" hidden="false" customHeight="false" outlineLevel="0" collapsed="false">
      <c r="A429" s="6" t="n">
        <v>425</v>
      </c>
      <c r="B429" s="7" t="s">
        <v>757</v>
      </c>
      <c r="C429" s="8" t="s">
        <v>18</v>
      </c>
      <c r="D429" s="9" t="n">
        <v>0.010571875</v>
      </c>
      <c r="E429" s="10" t="n">
        <v>426</v>
      </c>
      <c r="F429" s="11"/>
      <c r="G429" s="12"/>
      <c r="H429" s="11" t="n">
        <v>0.00280208333333333</v>
      </c>
      <c r="I429" s="12" t="n">
        <v>291</v>
      </c>
      <c r="J429" s="14"/>
      <c r="K429" s="14"/>
      <c r="L429" s="14"/>
      <c r="M429" s="13"/>
    </row>
    <row r="430" customFormat="false" ht="15" hidden="false" customHeight="false" outlineLevel="0" collapsed="false">
      <c r="A430" s="6" t="n">
        <v>426</v>
      </c>
      <c r="B430" s="7" t="s">
        <v>758</v>
      </c>
      <c r="C430" s="8" t="s">
        <v>283</v>
      </c>
      <c r="D430" s="9" t="n">
        <v>0.0105721064814815</v>
      </c>
      <c r="E430" s="10" t="n">
        <v>427</v>
      </c>
      <c r="F430" s="11"/>
      <c r="G430" s="12"/>
      <c r="H430" s="11" t="n">
        <v>0.00289594907407407</v>
      </c>
      <c r="I430" s="12" t="n">
        <v>921</v>
      </c>
      <c r="J430" s="14"/>
      <c r="K430" s="14"/>
      <c r="L430" s="14"/>
      <c r="M430" s="13"/>
    </row>
    <row r="431" customFormat="false" ht="15" hidden="false" customHeight="false" outlineLevel="0" collapsed="false">
      <c r="A431" s="6" t="n">
        <v>427</v>
      </c>
      <c r="B431" s="7" t="s">
        <v>759</v>
      </c>
      <c r="C431" s="8" t="s">
        <v>760</v>
      </c>
      <c r="D431" s="9" t="n">
        <v>0.0105734953703704</v>
      </c>
      <c r="E431" s="10" t="n">
        <v>428</v>
      </c>
      <c r="F431" s="11"/>
      <c r="G431" s="12"/>
      <c r="H431" s="11" t="n">
        <v>0.00283784722222222</v>
      </c>
      <c r="I431" s="12" t="n">
        <v>482</v>
      </c>
      <c r="J431" s="14" t="s">
        <v>761</v>
      </c>
      <c r="K431" s="14"/>
      <c r="L431" s="14"/>
      <c r="M431" s="13"/>
    </row>
    <row r="432" customFormat="false" ht="15" hidden="false" customHeight="false" outlineLevel="0" collapsed="false">
      <c r="A432" s="6" t="n">
        <v>428</v>
      </c>
      <c r="B432" s="7" t="s">
        <v>762</v>
      </c>
      <c r="C432" s="8" t="s">
        <v>410</v>
      </c>
      <c r="D432" s="9" t="n">
        <v>0.0105737268518519</v>
      </c>
      <c r="E432" s="10" t="n">
        <v>429</v>
      </c>
      <c r="F432" s="11"/>
      <c r="G432" s="12"/>
      <c r="H432" s="11"/>
      <c r="I432" s="12"/>
      <c r="J432" s="14"/>
      <c r="K432" s="14"/>
      <c r="L432" s="14"/>
      <c r="M432" s="13"/>
    </row>
    <row r="433" customFormat="false" ht="15" hidden="false" customHeight="false" outlineLevel="0" collapsed="false">
      <c r="A433" s="6" t="n">
        <v>429</v>
      </c>
      <c r="B433" s="7" t="s">
        <v>763</v>
      </c>
      <c r="C433" s="8" t="s">
        <v>192</v>
      </c>
      <c r="D433" s="9" t="n">
        <v>0.0105752314814815</v>
      </c>
      <c r="E433" s="10" t="n">
        <v>430</v>
      </c>
      <c r="F433" s="11"/>
      <c r="G433" s="12"/>
      <c r="H433" s="11"/>
      <c r="I433" s="12"/>
      <c r="J433" s="14"/>
      <c r="K433" s="14"/>
      <c r="L433" s="14"/>
      <c r="M433" s="13"/>
    </row>
    <row r="434" customFormat="false" ht="15" hidden="false" customHeight="false" outlineLevel="0" collapsed="false">
      <c r="A434" s="6" t="n">
        <v>430</v>
      </c>
      <c r="B434" s="7" t="s">
        <v>764</v>
      </c>
      <c r="C434" s="8" t="s">
        <v>496</v>
      </c>
      <c r="D434" s="9" t="n">
        <v>0.0105753472222222</v>
      </c>
      <c r="E434" s="10" t="n">
        <v>431</v>
      </c>
      <c r="F434" s="11"/>
      <c r="G434" s="12"/>
      <c r="H434" s="11" t="n">
        <v>0.00275185185185185</v>
      </c>
      <c r="I434" s="12" t="n">
        <v>107</v>
      </c>
      <c r="J434" s="14"/>
      <c r="K434" s="14"/>
      <c r="L434" s="14"/>
      <c r="M434" s="13"/>
    </row>
    <row r="435" customFormat="false" ht="15" hidden="false" customHeight="false" outlineLevel="0" collapsed="false">
      <c r="A435" s="6" t="n">
        <v>431</v>
      </c>
      <c r="B435" s="7" t="s">
        <v>765</v>
      </c>
      <c r="C435" s="8" t="s">
        <v>344</v>
      </c>
      <c r="D435" s="9" t="n">
        <v>0.0105770833333333</v>
      </c>
      <c r="E435" s="10" t="n">
        <v>432</v>
      </c>
      <c r="F435" s="11"/>
      <c r="G435" s="12"/>
      <c r="H435" s="11" t="n">
        <v>0.00285173611111111</v>
      </c>
      <c r="I435" s="12" t="n">
        <v>579</v>
      </c>
      <c r="J435" s="14"/>
      <c r="K435" s="14" t="s">
        <v>766</v>
      </c>
      <c r="L435" s="14"/>
      <c r="M435" s="13"/>
    </row>
    <row r="436" customFormat="false" ht="15" hidden="false" customHeight="false" outlineLevel="0" collapsed="false">
      <c r="A436" s="6" t="n">
        <v>432</v>
      </c>
      <c r="B436" s="7" t="s">
        <v>767</v>
      </c>
      <c r="C436" s="8" t="s">
        <v>116</v>
      </c>
      <c r="D436" s="9" t="n">
        <v>0.0105804398148148</v>
      </c>
      <c r="E436" s="10" t="n">
        <v>433</v>
      </c>
      <c r="F436" s="11" t="n">
        <v>0.00656412037037037</v>
      </c>
      <c r="G436" s="12" t="n">
        <v>53</v>
      </c>
      <c r="H436" s="11" t="n">
        <v>0.00287986111111111</v>
      </c>
      <c r="I436" s="12" t="n">
        <v>769</v>
      </c>
      <c r="J436" s="14" t="s">
        <v>768</v>
      </c>
      <c r="K436" s="14"/>
      <c r="L436" s="14"/>
      <c r="M436" s="13"/>
    </row>
    <row r="437" customFormat="false" ht="15" hidden="false" customHeight="false" outlineLevel="0" collapsed="false">
      <c r="A437" s="6" t="n">
        <v>433</v>
      </c>
      <c r="B437" s="7" t="s">
        <v>769</v>
      </c>
      <c r="C437" s="8" t="s">
        <v>399</v>
      </c>
      <c r="D437" s="9" t="n">
        <v>0.010580787037037</v>
      </c>
      <c r="E437" s="10" t="n">
        <v>434</v>
      </c>
      <c r="F437" s="11"/>
      <c r="G437" s="12"/>
      <c r="H437" s="11" t="n">
        <v>0.00290289351851852</v>
      </c>
      <c r="I437" s="12" t="n">
        <v>970</v>
      </c>
      <c r="J437" s="14" t="s">
        <v>770</v>
      </c>
      <c r="K437" s="14"/>
      <c r="L437" s="14"/>
      <c r="M437" s="13"/>
    </row>
    <row r="438" customFormat="false" ht="15" hidden="false" customHeight="false" outlineLevel="0" collapsed="false">
      <c r="A438" s="6" t="n">
        <v>434</v>
      </c>
      <c r="B438" s="7" t="s">
        <v>771</v>
      </c>
      <c r="C438" s="8" t="s">
        <v>772</v>
      </c>
      <c r="D438" s="9" t="n">
        <v>0.0105814814814815</v>
      </c>
      <c r="E438" s="10" t="n">
        <v>435</v>
      </c>
      <c r="F438" s="11"/>
      <c r="G438" s="12"/>
      <c r="H438" s="11" t="n">
        <v>0.00287847222222222</v>
      </c>
      <c r="I438" s="12" t="n">
        <v>757</v>
      </c>
      <c r="J438" s="14"/>
      <c r="K438" s="14"/>
      <c r="L438" s="14"/>
      <c r="M438" s="13"/>
    </row>
    <row r="439" customFormat="false" ht="15" hidden="false" customHeight="false" outlineLevel="0" collapsed="false">
      <c r="A439" s="6" t="n">
        <v>435</v>
      </c>
      <c r="B439" s="7" t="s">
        <v>773</v>
      </c>
      <c r="C439" s="8" t="s">
        <v>450</v>
      </c>
      <c r="D439" s="9" t="n">
        <v>0.0105820601851852</v>
      </c>
      <c r="E439" s="10" t="n">
        <v>436</v>
      </c>
      <c r="F439" s="11"/>
      <c r="G439" s="12"/>
      <c r="H439" s="11" t="n">
        <v>0.00288854166666667</v>
      </c>
      <c r="I439" s="12" t="n">
        <v>853</v>
      </c>
      <c r="J439" s="14"/>
      <c r="K439" s="14"/>
      <c r="L439" s="14"/>
      <c r="M439" s="13"/>
    </row>
    <row r="440" customFormat="false" ht="15" hidden="false" customHeight="false" outlineLevel="0" collapsed="false">
      <c r="A440" s="6" t="n">
        <v>436</v>
      </c>
      <c r="B440" s="7" t="s">
        <v>774</v>
      </c>
      <c r="C440" s="8" t="s">
        <v>508</v>
      </c>
      <c r="D440" s="9" t="n">
        <v>0.0105821759259259</v>
      </c>
      <c r="E440" s="10" t="n">
        <v>437</v>
      </c>
      <c r="F440" s="11" t="n">
        <v>0.00698576388888889</v>
      </c>
      <c r="G440" s="12" t="n">
        <v>320</v>
      </c>
      <c r="H440" s="11" t="n">
        <v>0.00285243055555556</v>
      </c>
      <c r="I440" s="12" t="n">
        <v>582</v>
      </c>
      <c r="J440" s="14"/>
      <c r="K440" s="14"/>
      <c r="L440" s="14"/>
      <c r="M440" s="13"/>
    </row>
    <row r="441" customFormat="false" ht="15" hidden="false" customHeight="false" outlineLevel="0" collapsed="false">
      <c r="A441" s="6" t="n">
        <v>437</v>
      </c>
      <c r="B441" s="7" t="s">
        <v>775</v>
      </c>
      <c r="C441" s="8" t="s">
        <v>89</v>
      </c>
      <c r="D441" s="9" t="n">
        <v>0.0105828703703704</v>
      </c>
      <c r="E441" s="10" t="n">
        <v>438</v>
      </c>
      <c r="F441" s="11"/>
      <c r="G441" s="12"/>
      <c r="H441" s="11" t="n">
        <v>0.00292581018518519</v>
      </c>
      <c r="I441" s="12" t="n">
        <v>1156</v>
      </c>
      <c r="J441" s="14"/>
      <c r="K441" s="14"/>
      <c r="L441" s="14"/>
      <c r="M441" s="13"/>
    </row>
    <row r="442" customFormat="false" ht="15" hidden="false" customHeight="false" outlineLevel="0" collapsed="false">
      <c r="A442" s="6" t="n">
        <v>438</v>
      </c>
      <c r="B442" s="7" t="s">
        <v>776</v>
      </c>
      <c r="C442" s="8" t="s">
        <v>554</v>
      </c>
      <c r="D442" s="9" t="n">
        <v>0.0105828703703704</v>
      </c>
      <c r="E442" s="10" t="n">
        <v>439</v>
      </c>
      <c r="F442" s="11"/>
      <c r="G442" s="12"/>
      <c r="H442" s="11" t="n">
        <v>0.00279398148148148</v>
      </c>
      <c r="I442" s="12" t="n">
        <v>253</v>
      </c>
      <c r="J442" s="14"/>
      <c r="K442" s="14"/>
      <c r="L442" s="14"/>
      <c r="M442" s="13"/>
    </row>
    <row r="443" customFormat="false" ht="15" hidden="false" customHeight="false" outlineLevel="0" collapsed="false">
      <c r="A443" s="6" t="n">
        <v>439</v>
      </c>
      <c r="B443" s="7" t="s">
        <v>777</v>
      </c>
      <c r="C443" s="8" t="s">
        <v>778</v>
      </c>
      <c r="D443" s="9" t="n">
        <v>0.0105834490740741</v>
      </c>
      <c r="E443" s="10" t="n">
        <v>440</v>
      </c>
      <c r="F443" s="11"/>
      <c r="G443" s="12"/>
      <c r="H443" s="11" t="n">
        <v>0.0028287037037037</v>
      </c>
      <c r="I443" s="12" t="n">
        <v>416</v>
      </c>
      <c r="J443" s="14" t="s">
        <v>779</v>
      </c>
      <c r="K443" s="14"/>
      <c r="L443" s="14"/>
      <c r="M443" s="13"/>
    </row>
    <row r="444" customFormat="false" ht="15" hidden="false" customHeight="false" outlineLevel="0" collapsed="false">
      <c r="A444" s="6" t="n">
        <v>440</v>
      </c>
      <c r="B444" s="7" t="s">
        <v>780</v>
      </c>
      <c r="C444" s="8" t="s">
        <v>781</v>
      </c>
      <c r="D444" s="9" t="n">
        <v>0.0105841435185185</v>
      </c>
      <c r="E444" s="10" t="n">
        <v>441</v>
      </c>
      <c r="F444" s="11"/>
      <c r="G444" s="12"/>
      <c r="H444" s="11" t="n">
        <v>0.00286226851851852</v>
      </c>
      <c r="I444" s="12" t="n">
        <v>648</v>
      </c>
      <c r="J444" s="14"/>
      <c r="K444" s="14"/>
      <c r="L444" s="14"/>
      <c r="M444" s="13"/>
    </row>
    <row r="445" customFormat="false" ht="15" hidden="false" customHeight="false" outlineLevel="0" collapsed="false">
      <c r="A445" s="6" t="n">
        <v>441</v>
      </c>
      <c r="B445" s="7" t="s">
        <v>782</v>
      </c>
      <c r="C445" s="8" t="s">
        <v>783</v>
      </c>
      <c r="D445" s="9" t="n">
        <v>0.010584375</v>
      </c>
      <c r="E445" s="10" t="n">
        <v>442</v>
      </c>
      <c r="F445" s="11"/>
      <c r="G445" s="12"/>
      <c r="H445" s="11"/>
      <c r="I445" s="12"/>
      <c r="J445" s="14"/>
      <c r="K445" s="14"/>
      <c r="L445" s="14"/>
      <c r="M445" s="13"/>
    </row>
    <row r="446" customFormat="false" ht="15" hidden="false" customHeight="false" outlineLevel="0" collapsed="false">
      <c r="A446" s="6" t="n">
        <v>442</v>
      </c>
      <c r="B446" s="7" t="s">
        <v>784</v>
      </c>
      <c r="C446" s="8" t="s">
        <v>578</v>
      </c>
      <c r="D446" s="9" t="n">
        <v>0.0105847222222222</v>
      </c>
      <c r="E446" s="10" t="n">
        <v>443</v>
      </c>
      <c r="F446" s="11" t="n">
        <v>0.00725046296296296</v>
      </c>
      <c r="G446" s="12" t="n">
        <v>597</v>
      </c>
      <c r="H446" s="11" t="n">
        <v>0.00297615740740741</v>
      </c>
      <c r="I446" s="12" t="n">
        <v>1335</v>
      </c>
      <c r="J446" s="14"/>
      <c r="K446" s="14"/>
      <c r="L446" s="14"/>
      <c r="M446" s="13"/>
    </row>
    <row r="447" customFormat="false" ht="15" hidden="false" customHeight="false" outlineLevel="0" collapsed="false">
      <c r="A447" s="6" t="n">
        <v>443</v>
      </c>
      <c r="B447" s="7" t="s">
        <v>785</v>
      </c>
      <c r="C447" s="8" t="s">
        <v>582</v>
      </c>
      <c r="D447" s="9" t="n">
        <v>0.0105849537037037</v>
      </c>
      <c r="E447" s="10" t="n">
        <v>444</v>
      </c>
      <c r="F447" s="11"/>
      <c r="G447" s="12"/>
      <c r="H447" s="11" t="n">
        <v>0.00281782407407407</v>
      </c>
      <c r="I447" s="12" t="n">
        <v>354</v>
      </c>
      <c r="J447" s="14"/>
      <c r="K447" s="14"/>
      <c r="L447" s="14"/>
      <c r="M447" s="13"/>
    </row>
    <row r="448" customFormat="false" ht="15" hidden="false" customHeight="false" outlineLevel="0" collapsed="false">
      <c r="A448" s="6" t="n">
        <v>444</v>
      </c>
      <c r="B448" s="7" t="s">
        <v>786</v>
      </c>
      <c r="C448" s="8" t="s">
        <v>304</v>
      </c>
      <c r="D448" s="9" t="n">
        <v>0.0105850694444444</v>
      </c>
      <c r="E448" s="10" t="n">
        <v>445</v>
      </c>
      <c r="F448" s="11"/>
      <c r="G448" s="12"/>
      <c r="H448" s="11"/>
      <c r="I448" s="12"/>
      <c r="J448" s="14"/>
      <c r="K448" s="14"/>
      <c r="L448" s="14"/>
      <c r="M448" s="13"/>
    </row>
    <row r="449" customFormat="false" ht="15" hidden="false" customHeight="false" outlineLevel="0" collapsed="false">
      <c r="A449" s="6" t="n">
        <v>445</v>
      </c>
      <c r="B449" s="7" t="s">
        <v>787</v>
      </c>
      <c r="C449" s="8" t="s">
        <v>788</v>
      </c>
      <c r="D449" s="9" t="n">
        <v>0.0105856481481482</v>
      </c>
      <c r="E449" s="10" t="n">
        <v>446</v>
      </c>
      <c r="F449" s="11"/>
      <c r="G449" s="12"/>
      <c r="H449" s="11"/>
      <c r="I449" s="12"/>
      <c r="J449" s="14"/>
      <c r="K449" s="14"/>
      <c r="L449" s="14"/>
      <c r="M449" s="13"/>
    </row>
    <row r="450" customFormat="false" ht="15" hidden="false" customHeight="false" outlineLevel="0" collapsed="false">
      <c r="A450" s="6" t="n">
        <v>446</v>
      </c>
      <c r="B450" s="7" t="s">
        <v>789</v>
      </c>
      <c r="C450" s="8" t="s">
        <v>58</v>
      </c>
      <c r="D450" s="9" t="n">
        <v>0.0105856481481482</v>
      </c>
      <c r="E450" s="10" t="n">
        <v>447</v>
      </c>
      <c r="F450" s="11" t="n">
        <v>0.00672800925925926</v>
      </c>
      <c r="G450" s="12" t="n">
        <v>118</v>
      </c>
      <c r="H450" s="11" t="n">
        <v>0.00275428240740741</v>
      </c>
      <c r="I450" s="12" t="n">
        <v>115</v>
      </c>
      <c r="J450" s="14"/>
      <c r="K450" s="14"/>
      <c r="L450" s="14"/>
      <c r="M450" s="13"/>
    </row>
    <row r="451" customFormat="false" ht="15" hidden="false" customHeight="false" outlineLevel="0" collapsed="false">
      <c r="A451" s="6" t="n">
        <v>447</v>
      </c>
      <c r="B451" s="7" t="s">
        <v>790</v>
      </c>
      <c r="C451" s="8" t="s">
        <v>249</v>
      </c>
      <c r="D451" s="9" t="n">
        <v>0.0105861111111111</v>
      </c>
      <c r="E451" s="10" t="n">
        <v>448</v>
      </c>
      <c r="F451" s="11"/>
      <c r="G451" s="12"/>
      <c r="H451" s="11" t="n">
        <v>0.00292476851851852</v>
      </c>
      <c r="I451" s="12" t="n">
        <v>1143</v>
      </c>
      <c r="J451" s="14"/>
      <c r="K451" s="14"/>
      <c r="L451" s="14"/>
      <c r="M451" s="13"/>
    </row>
    <row r="452" customFormat="false" ht="15" hidden="false" customHeight="false" outlineLevel="0" collapsed="false">
      <c r="A452" s="6" t="n">
        <v>448</v>
      </c>
      <c r="B452" s="7" t="s">
        <v>791</v>
      </c>
      <c r="C452" s="8" t="s">
        <v>792</v>
      </c>
      <c r="D452" s="9" t="n">
        <v>0.0105868055555556</v>
      </c>
      <c r="E452" s="10" t="n">
        <v>449</v>
      </c>
      <c r="F452" s="11"/>
      <c r="G452" s="12"/>
      <c r="H452" s="11"/>
      <c r="I452" s="12"/>
      <c r="J452" s="14"/>
      <c r="K452" s="14"/>
      <c r="L452" s="14"/>
      <c r="M452" s="13"/>
    </row>
    <row r="453" customFormat="false" ht="15" hidden="false" customHeight="false" outlineLevel="0" collapsed="false">
      <c r="A453" s="6" t="n">
        <v>449</v>
      </c>
      <c r="B453" s="7" t="s">
        <v>793</v>
      </c>
      <c r="C453" s="8" t="s">
        <v>283</v>
      </c>
      <c r="D453" s="9" t="n">
        <v>0.0105872685185185</v>
      </c>
      <c r="E453" s="10" t="n">
        <v>450</v>
      </c>
      <c r="F453" s="11"/>
      <c r="G453" s="12"/>
      <c r="H453" s="11" t="n">
        <v>0.0028005787037037</v>
      </c>
      <c r="I453" s="12" t="n">
        <v>285</v>
      </c>
      <c r="J453" s="14"/>
      <c r="K453" s="14"/>
      <c r="L453" s="14"/>
      <c r="M453" s="13"/>
    </row>
    <row r="454" customFormat="false" ht="15" hidden="false" customHeight="false" outlineLevel="0" collapsed="false">
      <c r="A454" s="6" t="n">
        <v>450</v>
      </c>
      <c r="B454" s="7" t="s">
        <v>794</v>
      </c>
      <c r="C454" s="8" t="s">
        <v>795</v>
      </c>
      <c r="D454" s="9" t="n">
        <v>0.0105877314814815</v>
      </c>
      <c r="E454" s="10" t="n">
        <v>451</v>
      </c>
      <c r="F454" s="11" t="n">
        <v>0.00641585648148148</v>
      </c>
      <c r="G454" s="12" t="n">
        <v>18</v>
      </c>
      <c r="H454" s="11" t="n">
        <v>0.00284467592592593</v>
      </c>
      <c r="I454" s="12" t="n">
        <v>532</v>
      </c>
      <c r="J454" s="14"/>
      <c r="K454" s="14"/>
      <c r="L454" s="14"/>
      <c r="M454" s="13"/>
    </row>
    <row r="455" customFormat="false" ht="15" hidden="false" customHeight="false" outlineLevel="0" collapsed="false">
      <c r="A455" s="6" t="n">
        <v>451</v>
      </c>
      <c r="B455" s="7" t="s">
        <v>796</v>
      </c>
      <c r="C455" s="8" t="s">
        <v>64</v>
      </c>
      <c r="D455" s="9" t="n">
        <v>0.0105880787037037</v>
      </c>
      <c r="E455" s="10" t="n">
        <v>452</v>
      </c>
      <c r="F455" s="11"/>
      <c r="G455" s="12"/>
      <c r="H455" s="11" t="n">
        <v>0.00292222222222222</v>
      </c>
      <c r="I455" s="12" t="n">
        <v>1116</v>
      </c>
      <c r="J455" s="14"/>
      <c r="K455" s="14"/>
      <c r="L455" s="14"/>
      <c r="M455" s="13"/>
    </row>
    <row r="456" customFormat="false" ht="15" hidden="false" customHeight="false" outlineLevel="0" collapsed="false">
      <c r="A456" s="6" t="n">
        <v>452</v>
      </c>
      <c r="B456" s="7" t="s">
        <v>797</v>
      </c>
      <c r="C456" s="8" t="s">
        <v>423</v>
      </c>
      <c r="D456" s="9" t="n">
        <v>0.0105891203703704</v>
      </c>
      <c r="E456" s="10" t="n">
        <v>453</v>
      </c>
      <c r="F456" s="11"/>
      <c r="G456" s="12"/>
      <c r="H456" s="11" t="n">
        <v>0.00277696759259259</v>
      </c>
      <c r="I456" s="12" t="n">
        <v>186</v>
      </c>
      <c r="J456" s="14"/>
      <c r="K456" s="14"/>
      <c r="L456" s="14"/>
      <c r="M456" s="13"/>
    </row>
    <row r="457" customFormat="false" ht="15" hidden="false" customHeight="false" outlineLevel="0" collapsed="false">
      <c r="A457" s="6" t="n">
        <v>453</v>
      </c>
      <c r="B457" s="7" t="s">
        <v>798</v>
      </c>
      <c r="C457" s="8" t="s">
        <v>150</v>
      </c>
      <c r="D457" s="9" t="n">
        <v>0.0105902777777778</v>
      </c>
      <c r="E457" s="10" t="n">
        <v>454</v>
      </c>
      <c r="F457" s="11"/>
      <c r="G457" s="12"/>
      <c r="H457" s="11"/>
      <c r="I457" s="12"/>
      <c r="J457" s="14"/>
      <c r="K457" s="14"/>
      <c r="L457" s="14"/>
      <c r="M457" s="13"/>
    </row>
    <row r="458" customFormat="false" ht="15" hidden="false" customHeight="false" outlineLevel="0" collapsed="false">
      <c r="A458" s="6" t="n">
        <v>454</v>
      </c>
      <c r="B458" s="7" t="s">
        <v>799</v>
      </c>
      <c r="C458" s="8" t="s">
        <v>56</v>
      </c>
      <c r="D458" s="9" t="n">
        <v>0.010590625</v>
      </c>
      <c r="E458" s="10" t="n">
        <v>455</v>
      </c>
      <c r="F458" s="11"/>
      <c r="G458" s="12"/>
      <c r="H458" s="11" t="n">
        <v>0.00289444444444445</v>
      </c>
      <c r="I458" s="12" t="n">
        <v>906</v>
      </c>
      <c r="J458" s="14"/>
      <c r="K458" s="14"/>
      <c r="L458" s="14"/>
      <c r="M458" s="13"/>
    </row>
    <row r="459" customFormat="false" ht="15" hidden="false" customHeight="false" outlineLevel="0" collapsed="false">
      <c r="A459" s="6" t="n">
        <v>455</v>
      </c>
      <c r="B459" s="7" t="s">
        <v>800</v>
      </c>
      <c r="C459" s="8" t="s">
        <v>523</v>
      </c>
      <c r="D459" s="9" t="n">
        <v>0.0105909722222222</v>
      </c>
      <c r="E459" s="10" t="n">
        <v>456</v>
      </c>
      <c r="F459" s="11"/>
      <c r="G459" s="12"/>
      <c r="H459" s="11" t="n">
        <v>0.00286006944444445</v>
      </c>
      <c r="I459" s="12" t="n">
        <v>635</v>
      </c>
      <c r="J459" s="14"/>
      <c r="K459" s="14"/>
      <c r="L459" s="14"/>
      <c r="M459" s="13"/>
    </row>
    <row r="460" customFormat="false" ht="15" hidden="false" customHeight="false" outlineLevel="0" collapsed="false">
      <c r="A460" s="6" t="n">
        <v>456</v>
      </c>
      <c r="B460" s="7" t="s">
        <v>801</v>
      </c>
      <c r="C460" s="8" t="s">
        <v>802</v>
      </c>
      <c r="D460" s="9" t="n">
        <v>0.0105912037037037</v>
      </c>
      <c r="E460" s="10" t="n">
        <v>457</v>
      </c>
      <c r="F460" s="11"/>
      <c r="G460" s="12"/>
      <c r="H460" s="11" t="n">
        <v>0.00278680555555556</v>
      </c>
      <c r="I460" s="12" t="n">
        <v>230</v>
      </c>
      <c r="J460" s="14"/>
      <c r="K460" s="14"/>
      <c r="L460" s="14"/>
      <c r="M460" s="13"/>
    </row>
    <row r="461" customFormat="false" ht="15" hidden="false" customHeight="false" outlineLevel="0" collapsed="false">
      <c r="A461" s="6" t="n">
        <v>457</v>
      </c>
      <c r="B461" s="7" t="s">
        <v>803</v>
      </c>
      <c r="C461" s="8" t="s">
        <v>508</v>
      </c>
      <c r="D461" s="9" t="n">
        <v>0.0105918981481482</v>
      </c>
      <c r="E461" s="10" t="n">
        <v>458</v>
      </c>
      <c r="F461" s="11"/>
      <c r="G461" s="12"/>
      <c r="H461" s="11" t="n">
        <v>0.00273240740740741</v>
      </c>
      <c r="I461" s="12" t="n">
        <v>69</v>
      </c>
      <c r="J461" s="14"/>
      <c r="K461" s="14"/>
      <c r="L461" s="14"/>
      <c r="M461" s="13"/>
    </row>
    <row r="462" customFormat="false" ht="15" hidden="false" customHeight="false" outlineLevel="0" collapsed="false">
      <c r="A462" s="6" t="n">
        <v>458</v>
      </c>
      <c r="B462" s="7" t="s">
        <v>804</v>
      </c>
      <c r="C462" s="8" t="s">
        <v>18</v>
      </c>
      <c r="D462" s="9" t="n">
        <v>0.0105923611111111</v>
      </c>
      <c r="E462" s="10" t="n">
        <v>459</v>
      </c>
      <c r="F462" s="11"/>
      <c r="G462" s="12"/>
      <c r="H462" s="11" t="n">
        <v>0.00290636574074074</v>
      </c>
      <c r="I462" s="12" t="n">
        <v>992</v>
      </c>
      <c r="J462" s="14"/>
      <c r="K462" s="14"/>
      <c r="L462" s="14"/>
      <c r="M462" s="13"/>
    </row>
    <row r="463" customFormat="false" ht="15" hidden="false" customHeight="false" outlineLevel="0" collapsed="false">
      <c r="A463" s="6" t="n">
        <v>459</v>
      </c>
      <c r="B463" s="7" t="s">
        <v>805</v>
      </c>
      <c r="C463" s="8" t="s">
        <v>41</v>
      </c>
      <c r="D463" s="9" t="n">
        <v>0.0105972222222222</v>
      </c>
      <c r="E463" s="10" t="n">
        <v>460</v>
      </c>
      <c r="F463" s="11"/>
      <c r="G463" s="12"/>
      <c r="H463" s="11" t="n">
        <v>0.0028568287037037</v>
      </c>
      <c r="I463" s="12" t="n">
        <v>614</v>
      </c>
      <c r="J463" s="14"/>
      <c r="K463" s="14" t="s">
        <v>806</v>
      </c>
      <c r="L463" s="14"/>
      <c r="M463" s="13"/>
    </row>
    <row r="464" customFormat="false" ht="15" hidden="false" customHeight="false" outlineLevel="0" collapsed="false">
      <c r="A464" s="6" t="n">
        <v>460</v>
      </c>
      <c r="B464" s="7" t="s">
        <v>807</v>
      </c>
      <c r="C464" s="8" t="s">
        <v>584</v>
      </c>
      <c r="D464" s="9" t="n">
        <v>0.0105988425925926</v>
      </c>
      <c r="E464" s="10" t="n">
        <v>461</v>
      </c>
      <c r="F464" s="11"/>
      <c r="G464" s="12"/>
      <c r="H464" s="11" t="n">
        <v>0.00270983796296296</v>
      </c>
      <c r="I464" s="12" t="n">
        <v>35</v>
      </c>
      <c r="J464" s="14" t="s">
        <v>808</v>
      </c>
      <c r="K464" s="14"/>
      <c r="L464" s="14"/>
      <c r="M464" s="13"/>
    </row>
    <row r="465" customFormat="false" ht="15" hidden="false" customHeight="false" outlineLevel="0" collapsed="false">
      <c r="A465" s="6" t="n">
        <v>461</v>
      </c>
      <c r="B465" s="7" t="s">
        <v>809</v>
      </c>
      <c r="C465" s="8" t="s">
        <v>810</v>
      </c>
      <c r="D465" s="9" t="n">
        <v>0.0105994212962963</v>
      </c>
      <c r="E465" s="10" t="n">
        <v>462</v>
      </c>
      <c r="F465" s="11"/>
      <c r="G465" s="12"/>
      <c r="H465" s="11" t="n">
        <v>0.0027849537037037</v>
      </c>
      <c r="I465" s="12" t="n">
        <v>218</v>
      </c>
      <c r="J465" s="14"/>
      <c r="K465" s="14"/>
      <c r="L465" s="14"/>
      <c r="M465" s="13"/>
    </row>
    <row r="466" customFormat="false" ht="15" hidden="false" customHeight="false" outlineLevel="0" collapsed="false">
      <c r="A466" s="6" t="n">
        <v>462</v>
      </c>
      <c r="B466" s="7" t="s">
        <v>811</v>
      </c>
      <c r="C466" s="8" t="s">
        <v>812</v>
      </c>
      <c r="D466" s="9" t="n">
        <v>0.0105996527777778</v>
      </c>
      <c r="E466" s="10" t="n">
        <v>463</v>
      </c>
      <c r="F466" s="11"/>
      <c r="G466" s="12"/>
      <c r="H466" s="11" t="n">
        <v>0.0028119212962963</v>
      </c>
      <c r="I466" s="12" t="n">
        <v>330</v>
      </c>
      <c r="J466" s="14"/>
      <c r="K466" s="14"/>
      <c r="L466" s="14"/>
      <c r="M466" s="13"/>
    </row>
    <row r="467" customFormat="false" ht="15" hidden="false" customHeight="false" outlineLevel="0" collapsed="false">
      <c r="A467" s="6" t="n">
        <v>463</v>
      </c>
      <c r="B467" s="7" t="s">
        <v>813</v>
      </c>
      <c r="C467" s="8" t="s">
        <v>814</v>
      </c>
      <c r="D467" s="9" t="n">
        <v>0.010600462962963</v>
      </c>
      <c r="E467" s="10" t="n">
        <v>464</v>
      </c>
      <c r="F467" s="11" t="n">
        <v>0.00713217592592593</v>
      </c>
      <c r="G467" s="12" t="n">
        <v>475</v>
      </c>
      <c r="H467" s="11" t="n">
        <v>0.00287071759259259</v>
      </c>
      <c r="I467" s="12" t="n">
        <v>702</v>
      </c>
      <c r="J467" s="14"/>
      <c r="K467" s="14"/>
      <c r="L467" s="14"/>
      <c r="M467" s="13"/>
    </row>
    <row r="468" customFormat="false" ht="15" hidden="false" customHeight="false" outlineLevel="0" collapsed="false">
      <c r="A468" s="6" t="n">
        <v>464</v>
      </c>
      <c r="B468" s="7" t="s">
        <v>815</v>
      </c>
      <c r="C468" s="8" t="s">
        <v>783</v>
      </c>
      <c r="D468" s="9" t="n">
        <v>0.0106020833333333</v>
      </c>
      <c r="E468" s="10" t="n">
        <v>465</v>
      </c>
      <c r="F468" s="11"/>
      <c r="G468" s="12"/>
      <c r="H468" s="11"/>
      <c r="I468" s="12"/>
      <c r="J468" s="14"/>
      <c r="K468" s="14"/>
      <c r="L468" s="14"/>
      <c r="M468" s="13"/>
    </row>
    <row r="469" customFormat="false" ht="15" hidden="false" customHeight="false" outlineLevel="0" collapsed="false">
      <c r="A469" s="6" t="n">
        <v>465</v>
      </c>
      <c r="B469" s="7" t="s">
        <v>816</v>
      </c>
      <c r="C469" s="8" t="s">
        <v>817</v>
      </c>
      <c r="D469" s="9" t="n">
        <v>0.0106023148148148</v>
      </c>
      <c r="E469" s="10" t="n">
        <v>466</v>
      </c>
      <c r="F469" s="11"/>
      <c r="G469" s="12"/>
      <c r="H469" s="11" t="n">
        <v>0.00277002314814815</v>
      </c>
      <c r="I469" s="12" t="n">
        <v>164</v>
      </c>
      <c r="J469" s="14"/>
      <c r="K469" s="14"/>
      <c r="L469" s="14"/>
      <c r="M469" s="13"/>
    </row>
    <row r="470" customFormat="false" ht="15" hidden="false" customHeight="false" outlineLevel="0" collapsed="false">
      <c r="A470" s="6" t="n">
        <v>466</v>
      </c>
      <c r="B470" s="7" t="s">
        <v>818</v>
      </c>
      <c r="C470" s="8" t="s">
        <v>594</v>
      </c>
      <c r="D470" s="9" t="n">
        <v>0.0106041666666667</v>
      </c>
      <c r="E470" s="10" t="n">
        <v>467</v>
      </c>
      <c r="F470" s="11"/>
      <c r="G470" s="12"/>
      <c r="H470" s="11" t="n">
        <v>0.00283263888888889</v>
      </c>
      <c r="I470" s="12" t="n">
        <v>443</v>
      </c>
      <c r="J470" s="14"/>
      <c r="K470" s="14"/>
      <c r="L470" s="14"/>
      <c r="M470" s="13"/>
    </row>
    <row r="471" customFormat="false" ht="15" hidden="false" customHeight="false" outlineLevel="0" collapsed="false">
      <c r="A471" s="6" t="n">
        <v>467</v>
      </c>
      <c r="B471" s="7" t="s">
        <v>819</v>
      </c>
      <c r="C471" s="8" t="s">
        <v>179</v>
      </c>
      <c r="D471" s="9" t="n">
        <v>0.0106052083333333</v>
      </c>
      <c r="E471" s="10" t="n">
        <v>468</v>
      </c>
      <c r="F471" s="11" t="n">
        <v>0.00659479166666667</v>
      </c>
      <c r="G471" s="12" t="n">
        <v>67</v>
      </c>
      <c r="H471" s="11" t="n">
        <v>0.0027806712962963</v>
      </c>
      <c r="I471" s="12" t="n">
        <v>205</v>
      </c>
      <c r="J471" s="14" t="s">
        <v>820</v>
      </c>
      <c r="K471" s="14"/>
      <c r="L471" s="14"/>
      <c r="M471" s="13"/>
    </row>
    <row r="472" customFormat="false" ht="15" hidden="false" customHeight="false" outlineLevel="0" collapsed="false">
      <c r="A472" s="6" t="n">
        <v>468</v>
      </c>
      <c r="B472" s="7" t="s">
        <v>821</v>
      </c>
      <c r="C472" s="8" t="s">
        <v>431</v>
      </c>
      <c r="D472" s="9" t="n">
        <v>0.0106054398148148</v>
      </c>
      <c r="E472" s="10" t="n">
        <v>469</v>
      </c>
      <c r="F472" s="11"/>
      <c r="G472" s="12"/>
      <c r="H472" s="11" t="n">
        <v>0.00286805555555556</v>
      </c>
      <c r="I472" s="12" t="n">
        <v>680</v>
      </c>
      <c r="J472" s="14"/>
      <c r="K472" s="14"/>
      <c r="L472" s="14"/>
      <c r="M472" s="13"/>
    </row>
    <row r="473" customFormat="false" ht="15" hidden="false" customHeight="false" outlineLevel="0" collapsed="false">
      <c r="A473" s="6" t="n">
        <v>469</v>
      </c>
      <c r="B473" s="7" t="s">
        <v>822</v>
      </c>
      <c r="C473" s="8" t="s">
        <v>823</v>
      </c>
      <c r="D473" s="9" t="n">
        <v>0.01060625</v>
      </c>
      <c r="E473" s="10" t="n">
        <v>470</v>
      </c>
      <c r="F473" s="11"/>
      <c r="G473" s="12"/>
      <c r="H473" s="11" t="n">
        <v>0.00284606481481482</v>
      </c>
      <c r="I473" s="12" t="n">
        <v>543</v>
      </c>
      <c r="J473" s="14"/>
      <c r="K473" s="14"/>
      <c r="L473" s="14"/>
      <c r="M473" s="13"/>
    </row>
    <row r="474" customFormat="false" ht="15" hidden="false" customHeight="false" outlineLevel="0" collapsed="false">
      <c r="A474" s="6" t="n">
        <v>470</v>
      </c>
      <c r="B474" s="7" t="s">
        <v>824</v>
      </c>
      <c r="C474" s="8" t="s">
        <v>431</v>
      </c>
      <c r="D474" s="9" t="n">
        <v>0.0106065972222222</v>
      </c>
      <c r="E474" s="10" t="n">
        <v>471</v>
      </c>
      <c r="F474" s="11"/>
      <c r="G474" s="12"/>
      <c r="H474" s="11" t="n">
        <v>0.00285358796296296</v>
      </c>
      <c r="I474" s="12" t="n">
        <v>589</v>
      </c>
      <c r="J474" s="14"/>
      <c r="K474" s="14"/>
      <c r="L474" s="14"/>
      <c r="M474" s="13"/>
    </row>
    <row r="475" customFormat="false" ht="15" hidden="false" customHeight="false" outlineLevel="0" collapsed="false">
      <c r="A475" s="6" t="n">
        <v>471</v>
      </c>
      <c r="B475" s="7" t="s">
        <v>825</v>
      </c>
      <c r="C475" s="8" t="s">
        <v>283</v>
      </c>
      <c r="D475" s="9" t="n">
        <v>0.0106076388888889</v>
      </c>
      <c r="E475" s="10" t="n">
        <v>472</v>
      </c>
      <c r="F475" s="11"/>
      <c r="G475" s="12"/>
      <c r="H475" s="11"/>
      <c r="I475" s="12"/>
      <c r="J475" s="14"/>
      <c r="K475" s="14"/>
      <c r="L475" s="14"/>
      <c r="M475" s="13"/>
    </row>
    <row r="476" customFormat="false" ht="15" hidden="false" customHeight="false" outlineLevel="0" collapsed="false">
      <c r="A476" s="6" t="n">
        <v>472</v>
      </c>
      <c r="B476" s="7" t="s">
        <v>826</v>
      </c>
      <c r="C476" s="8" t="s">
        <v>283</v>
      </c>
      <c r="D476" s="9" t="n">
        <v>0.0106081018518519</v>
      </c>
      <c r="E476" s="10" t="n">
        <v>473</v>
      </c>
      <c r="F476" s="11"/>
      <c r="G476" s="12"/>
      <c r="H476" s="11"/>
      <c r="I476" s="12"/>
      <c r="J476" s="14"/>
      <c r="K476" s="14"/>
      <c r="L476" s="14"/>
      <c r="M476" s="13"/>
    </row>
    <row r="477" customFormat="false" ht="15" hidden="false" customHeight="false" outlineLevel="0" collapsed="false">
      <c r="A477" s="6" t="n">
        <v>473</v>
      </c>
      <c r="B477" s="7" t="s">
        <v>827</v>
      </c>
      <c r="C477" s="8" t="s">
        <v>58</v>
      </c>
      <c r="D477" s="9" t="n">
        <v>0.0106086805555556</v>
      </c>
      <c r="E477" s="10" t="n">
        <v>474</v>
      </c>
      <c r="F477" s="11" t="n">
        <v>0.00698622685185185</v>
      </c>
      <c r="G477" s="12" t="n">
        <v>321</v>
      </c>
      <c r="H477" s="11" t="n">
        <v>0.00279756944444445</v>
      </c>
      <c r="I477" s="12" t="n">
        <v>272</v>
      </c>
      <c r="J477" s="14" t="s">
        <v>828</v>
      </c>
      <c r="K477" s="14"/>
      <c r="L477" s="14"/>
      <c r="M477" s="13"/>
    </row>
    <row r="478" customFormat="false" ht="15" hidden="false" customHeight="false" outlineLevel="0" collapsed="false">
      <c r="A478" s="6" t="n">
        <v>474</v>
      </c>
      <c r="B478" s="7" t="s">
        <v>829</v>
      </c>
      <c r="C478" s="8" t="s">
        <v>274</v>
      </c>
      <c r="D478" s="9" t="n">
        <v>0.0106106481481482</v>
      </c>
      <c r="E478" s="10" t="n">
        <v>475</v>
      </c>
      <c r="F478" s="11" t="n">
        <v>0.0068724537037037</v>
      </c>
      <c r="G478" s="12" t="n">
        <v>219</v>
      </c>
      <c r="H478" s="11"/>
      <c r="I478" s="12"/>
      <c r="J478" s="14"/>
      <c r="K478" s="14"/>
      <c r="L478" s="14"/>
      <c r="M478" s="13"/>
    </row>
    <row r="479" customFormat="false" ht="15" hidden="false" customHeight="false" outlineLevel="0" collapsed="false">
      <c r="A479" s="6" t="n">
        <v>475</v>
      </c>
      <c r="B479" s="7" t="s">
        <v>830</v>
      </c>
      <c r="C479" s="8" t="s">
        <v>172</v>
      </c>
      <c r="D479" s="9" t="n">
        <v>0.0106106481481482</v>
      </c>
      <c r="E479" s="10" t="n">
        <v>476</v>
      </c>
      <c r="F479" s="11"/>
      <c r="G479" s="12"/>
      <c r="H479" s="11" t="n">
        <v>0.00281331018518519</v>
      </c>
      <c r="I479" s="12" t="n">
        <v>337</v>
      </c>
      <c r="J479" s="14" t="s">
        <v>831</v>
      </c>
      <c r="K479" s="14"/>
      <c r="L479" s="14"/>
      <c r="M479" s="13"/>
    </row>
    <row r="480" customFormat="false" ht="15" hidden="false" customHeight="false" outlineLevel="0" collapsed="false">
      <c r="A480" s="6" t="n">
        <v>476</v>
      </c>
      <c r="B480" s="7" t="s">
        <v>832</v>
      </c>
      <c r="C480" s="8" t="s">
        <v>44</v>
      </c>
      <c r="D480" s="9" t="n">
        <v>0.0106108796296296</v>
      </c>
      <c r="E480" s="10" t="n">
        <v>477</v>
      </c>
      <c r="F480" s="11" t="n">
        <v>0.00667673611111111</v>
      </c>
      <c r="G480" s="12" t="n">
        <v>96</v>
      </c>
      <c r="H480" s="11" t="n">
        <v>0.00289733796296296</v>
      </c>
      <c r="I480" s="12" t="n">
        <v>929</v>
      </c>
      <c r="J480" s="14"/>
      <c r="K480" s="14"/>
      <c r="L480" s="14"/>
      <c r="M480" s="13"/>
    </row>
    <row r="481" customFormat="false" ht="15" hidden="false" customHeight="false" outlineLevel="0" collapsed="false">
      <c r="A481" s="6" t="n">
        <v>477</v>
      </c>
      <c r="B481" s="7" t="s">
        <v>833</v>
      </c>
      <c r="C481" s="8" t="s">
        <v>721</v>
      </c>
      <c r="D481" s="9" t="n">
        <v>0.0106114583333333</v>
      </c>
      <c r="E481" s="10" t="n">
        <v>478</v>
      </c>
      <c r="F481" s="11"/>
      <c r="G481" s="12"/>
      <c r="H481" s="11" t="n">
        <v>0.00285543981481482</v>
      </c>
      <c r="I481" s="12" t="n">
        <v>599</v>
      </c>
      <c r="J481" s="14"/>
      <c r="K481" s="14" t="s">
        <v>834</v>
      </c>
      <c r="L481" s="14"/>
      <c r="M481" s="13"/>
    </row>
    <row r="482" customFormat="false" ht="15" hidden="false" customHeight="false" outlineLevel="0" collapsed="false">
      <c r="A482" s="6" t="n">
        <v>478</v>
      </c>
      <c r="B482" s="7" t="s">
        <v>835</v>
      </c>
      <c r="C482" s="8" t="s">
        <v>64</v>
      </c>
      <c r="D482" s="9" t="n">
        <v>0.0106119212962963</v>
      </c>
      <c r="E482" s="10" t="n">
        <v>479</v>
      </c>
      <c r="F482" s="11" t="n">
        <v>0.00689525462962963</v>
      </c>
      <c r="G482" s="12" t="n">
        <v>236</v>
      </c>
      <c r="H482" s="11"/>
      <c r="I482" s="12"/>
      <c r="J482" s="14"/>
      <c r="K482" s="14"/>
      <c r="L482" s="14"/>
      <c r="M482" s="13"/>
    </row>
    <row r="483" customFormat="false" ht="15" hidden="false" customHeight="false" outlineLevel="0" collapsed="false">
      <c r="A483" s="6" t="n">
        <v>479</v>
      </c>
      <c r="B483" s="7" t="s">
        <v>836</v>
      </c>
      <c r="C483" s="8" t="s">
        <v>120</v>
      </c>
      <c r="D483" s="9" t="n">
        <v>0.0106119212962963</v>
      </c>
      <c r="E483" s="10" t="n">
        <v>480</v>
      </c>
      <c r="F483" s="11"/>
      <c r="G483" s="12"/>
      <c r="H483" s="11" t="n">
        <v>0.00273506944444444</v>
      </c>
      <c r="I483" s="12" t="n">
        <v>72</v>
      </c>
      <c r="J483" s="14" t="s">
        <v>837</v>
      </c>
      <c r="K483" s="14"/>
      <c r="L483" s="14"/>
      <c r="M483" s="13"/>
    </row>
    <row r="484" customFormat="false" ht="15" hidden="false" customHeight="false" outlineLevel="0" collapsed="false">
      <c r="A484" s="6" t="n">
        <v>480</v>
      </c>
      <c r="B484" s="7" t="s">
        <v>838</v>
      </c>
      <c r="C484" s="8" t="s">
        <v>839</v>
      </c>
      <c r="D484" s="9" t="n">
        <v>0.0106123842592593</v>
      </c>
      <c r="E484" s="10" t="n">
        <v>481</v>
      </c>
      <c r="F484" s="11"/>
      <c r="G484" s="12"/>
      <c r="H484" s="11" t="n">
        <v>0.00296493055555556</v>
      </c>
      <c r="I484" s="12" t="n">
        <v>1289</v>
      </c>
      <c r="J484" s="14"/>
      <c r="K484" s="14"/>
      <c r="L484" s="14"/>
      <c r="M484" s="13"/>
    </row>
    <row r="485" customFormat="false" ht="15" hidden="false" customHeight="false" outlineLevel="0" collapsed="false">
      <c r="A485" s="6" t="n">
        <v>481</v>
      </c>
      <c r="B485" s="7" t="s">
        <v>840</v>
      </c>
      <c r="C485" s="8" t="s">
        <v>456</v>
      </c>
      <c r="D485" s="9" t="n">
        <v>0.0106128472222222</v>
      </c>
      <c r="E485" s="10" t="n">
        <v>482</v>
      </c>
      <c r="F485" s="11" t="n">
        <v>0.00723171296296296</v>
      </c>
      <c r="G485" s="12" t="n">
        <v>576</v>
      </c>
      <c r="H485" s="11" t="n">
        <v>0.00281458333333333</v>
      </c>
      <c r="I485" s="12" t="n">
        <v>341</v>
      </c>
      <c r="J485" s="14"/>
      <c r="K485" s="14" t="s">
        <v>841</v>
      </c>
      <c r="L485" s="14"/>
      <c r="M485" s="13"/>
    </row>
    <row r="486" customFormat="false" ht="15" hidden="false" customHeight="false" outlineLevel="0" collapsed="false">
      <c r="A486" s="6" t="n">
        <v>482</v>
      </c>
      <c r="B486" s="7" t="s">
        <v>842</v>
      </c>
      <c r="C486" s="8" t="s">
        <v>373</v>
      </c>
      <c r="D486" s="9" t="n">
        <v>0.0106130787037037</v>
      </c>
      <c r="E486" s="10" t="n">
        <v>483</v>
      </c>
      <c r="F486" s="11"/>
      <c r="G486" s="12"/>
      <c r="H486" s="11" t="n">
        <v>0.00282997685185185</v>
      </c>
      <c r="I486" s="12" t="n">
        <v>427</v>
      </c>
      <c r="J486" s="14"/>
      <c r="K486" s="14"/>
      <c r="L486" s="14"/>
      <c r="M486" s="13"/>
    </row>
    <row r="487" customFormat="false" ht="15" hidden="false" customHeight="false" outlineLevel="0" collapsed="false">
      <c r="A487" s="6" t="n">
        <v>483</v>
      </c>
      <c r="B487" s="7" t="s">
        <v>843</v>
      </c>
      <c r="C487" s="8" t="s">
        <v>373</v>
      </c>
      <c r="D487" s="9" t="n">
        <v>0.0106134259259259</v>
      </c>
      <c r="E487" s="10" t="n">
        <v>484</v>
      </c>
      <c r="F487" s="11"/>
      <c r="G487" s="12"/>
      <c r="H487" s="11" t="n">
        <v>0.00290416666666667</v>
      </c>
      <c r="I487" s="12" t="n">
        <v>980</v>
      </c>
      <c r="J487" s="14"/>
      <c r="K487" s="14"/>
      <c r="L487" s="14"/>
      <c r="M487" s="13"/>
    </row>
    <row r="488" customFormat="false" ht="15" hidden="false" customHeight="false" outlineLevel="0" collapsed="false">
      <c r="A488" s="6" t="n">
        <v>484</v>
      </c>
      <c r="B488" s="7" t="s">
        <v>844</v>
      </c>
      <c r="C488" s="8" t="s">
        <v>845</v>
      </c>
      <c r="D488" s="9" t="n">
        <v>0.0106138888888889</v>
      </c>
      <c r="E488" s="10" t="n">
        <v>485</v>
      </c>
      <c r="F488" s="11"/>
      <c r="G488" s="12"/>
      <c r="H488" s="11" t="n">
        <v>0.0028306712962963</v>
      </c>
      <c r="I488" s="12" t="n">
        <v>431</v>
      </c>
      <c r="J488" s="14"/>
      <c r="K488" s="14"/>
      <c r="L488" s="14"/>
      <c r="M488" s="13"/>
    </row>
    <row r="489" customFormat="false" ht="15" hidden="false" customHeight="false" outlineLevel="0" collapsed="false">
      <c r="A489" s="6" t="n">
        <v>485</v>
      </c>
      <c r="B489" s="7" t="s">
        <v>846</v>
      </c>
      <c r="C489" s="8" t="s">
        <v>96</v>
      </c>
      <c r="D489" s="9" t="n">
        <v>0.010615625</v>
      </c>
      <c r="E489" s="10" t="n">
        <v>486</v>
      </c>
      <c r="F489" s="11"/>
      <c r="G489" s="12"/>
      <c r="H489" s="11" t="n">
        <v>0.00279027777777778</v>
      </c>
      <c r="I489" s="12" t="n">
        <v>239</v>
      </c>
      <c r="J489" s="14" t="s">
        <v>847</v>
      </c>
      <c r="K489" s="14"/>
      <c r="L489" s="14"/>
      <c r="M489" s="13"/>
    </row>
    <row r="490" customFormat="false" ht="15" hidden="false" customHeight="false" outlineLevel="0" collapsed="false">
      <c r="A490" s="6" t="n">
        <v>486</v>
      </c>
      <c r="B490" s="7" t="s">
        <v>848</v>
      </c>
      <c r="C490" s="8" t="s">
        <v>704</v>
      </c>
      <c r="D490" s="9" t="n">
        <v>0.0106157407407407</v>
      </c>
      <c r="E490" s="10" t="n">
        <v>487</v>
      </c>
      <c r="F490" s="11" t="n">
        <v>0.00645543981481482</v>
      </c>
      <c r="G490" s="12" t="n">
        <v>23</v>
      </c>
      <c r="H490" s="11" t="n">
        <v>0.00290162037037037</v>
      </c>
      <c r="I490" s="12" t="n">
        <v>960</v>
      </c>
      <c r="J490" s="14"/>
      <c r="K490" s="14"/>
      <c r="L490" s="14"/>
      <c r="M490" s="13"/>
    </row>
    <row r="491" customFormat="false" ht="15" hidden="false" customHeight="false" outlineLevel="0" collapsed="false">
      <c r="A491" s="6" t="n">
        <v>487</v>
      </c>
      <c r="B491" s="7" t="s">
        <v>849</v>
      </c>
      <c r="C491" s="8" t="s">
        <v>558</v>
      </c>
      <c r="D491" s="9" t="n">
        <v>0.010616087962963</v>
      </c>
      <c r="E491" s="10" t="n">
        <v>488</v>
      </c>
      <c r="F491" s="11"/>
      <c r="G491" s="12"/>
      <c r="H491" s="11" t="n">
        <v>0.00282650462962963</v>
      </c>
      <c r="I491" s="12" t="n">
        <v>402</v>
      </c>
      <c r="J491" s="14"/>
      <c r="K491" s="14"/>
      <c r="L491" s="14"/>
      <c r="M491" s="13"/>
    </row>
    <row r="492" customFormat="false" ht="15" hidden="false" customHeight="false" outlineLevel="0" collapsed="false">
      <c r="A492" s="6" t="n">
        <v>488</v>
      </c>
      <c r="B492" s="7" t="s">
        <v>850</v>
      </c>
      <c r="C492" s="8" t="s">
        <v>851</v>
      </c>
      <c r="D492" s="9" t="n">
        <v>0.0106162037037037</v>
      </c>
      <c r="E492" s="10" t="n">
        <v>489</v>
      </c>
      <c r="F492" s="11" t="n">
        <v>0.00656377314814815</v>
      </c>
      <c r="G492" s="12" t="n">
        <v>51</v>
      </c>
      <c r="H492" s="11" t="n">
        <v>0.00284421296296296</v>
      </c>
      <c r="I492" s="12" t="n">
        <v>528</v>
      </c>
      <c r="J492" s="14"/>
      <c r="K492" s="14"/>
      <c r="L492" s="14"/>
      <c r="M492" s="13"/>
    </row>
    <row r="493" customFormat="false" ht="15" hidden="false" customHeight="false" outlineLevel="0" collapsed="false">
      <c r="A493" s="6" t="n">
        <v>489</v>
      </c>
      <c r="B493" s="7" t="s">
        <v>852</v>
      </c>
      <c r="C493" s="8" t="s">
        <v>853</v>
      </c>
      <c r="D493" s="9" t="n">
        <v>0.0106164351851852</v>
      </c>
      <c r="E493" s="10" t="n">
        <v>490</v>
      </c>
      <c r="F493" s="11" t="n">
        <v>0.00720949074074074</v>
      </c>
      <c r="G493" s="12" t="n">
        <v>546</v>
      </c>
      <c r="H493" s="11" t="n">
        <v>0.00291678240740741</v>
      </c>
      <c r="I493" s="12" t="n">
        <v>1064</v>
      </c>
      <c r="J493" s="14"/>
      <c r="K493" s="14"/>
      <c r="L493" s="14"/>
      <c r="M493" s="13"/>
    </row>
    <row r="494" customFormat="false" ht="15" hidden="false" customHeight="false" outlineLevel="0" collapsed="false">
      <c r="A494" s="6" t="n">
        <v>490</v>
      </c>
      <c r="B494" s="7" t="s">
        <v>854</v>
      </c>
      <c r="C494" s="8" t="s">
        <v>233</v>
      </c>
      <c r="D494" s="9" t="n">
        <v>0.0106170138888889</v>
      </c>
      <c r="E494" s="10" t="n">
        <v>491</v>
      </c>
      <c r="F494" s="11"/>
      <c r="G494" s="12"/>
      <c r="H494" s="11" t="n">
        <v>0.00273449074074074</v>
      </c>
      <c r="I494" s="12" t="n">
        <v>71</v>
      </c>
      <c r="J494" s="14"/>
      <c r="K494" s="14"/>
      <c r="L494" s="14"/>
      <c r="M494" s="13"/>
    </row>
    <row r="495" customFormat="false" ht="15" hidden="false" customHeight="false" outlineLevel="0" collapsed="false">
      <c r="A495" s="6" t="n">
        <v>491</v>
      </c>
      <c r="B495" s="7" t="s">
        <v>855</v>
      </c>
      <c r="C495" s="8" t="s">
        <v>89</v>
      </c>
      <c r="D495" s="9" t="n">
        <v>0.0106173611111111</v>
      </c>
      <c r="E495" s="10" t="n">
        <v>492</v>
      </c>
      <c r="F495" s="11"/>
      <c r="G495" s="12"/>
      <c r="H495" s="11" t="n">
        <v>0.00284305555555556</v>
      </c>
      <c r="I495" s="12" t="n">
        <v>516</v>
      </c>
      <c r="J495" s="14"/>
      <c r="K495" s="14"/>
      <c r="L495" s="14"/>
      <c r="M495" s="13"/>
    </row>
    <row r="496" customFormat="false" ht="15" hidden="false" customHeight="false" outlineLevel="0" collapsed="false">
      <c r="A496" s="6" t="n">
        <v>492</v>
      </c>
      <c r="B496" s="7" t="s">
        <v>856</v>
      </c>
      <c r="C496" s="8" t="s">
        <v>857</v>
      </c>
      <c r="D496" s="9" t="n">
        <v>0.0106174768518519</v>
      </c>
      <c r="E496" s="10" t="n">
        <v>493</v>
      </c>
      <c r="F496" s="11"/>
      <c r="G496" s="12"/>
      <c r="H496" s="11"/>
      <c r="I496" s="12"/>
      <c r="J496" s="14"/>
      <c r="K496" s="14" t="s">
        <v>858</v>
      </c>
      <c r="L496" s="14"/>
      <c r="M496" s="13"/>
    </row>
    <row r="497" customFormat="false" ht="15" hidden="false" customHeight="false" outlineLevel="0" collapsed="false">
      <c r="A497" s="6" t="n">
        <v>493</v>
      </c>
      <c r="B497" s="7" t="s">
        <v>859</v>
      </c>
      <c r="C497" s="8" t="s">
        <v>172</v>
      </c>
      <c r="D497" s="9" t="n">
        <v>0.0106181712962963</v>
      </c>
      <c r="E497" s="10" t="n">
        <v>494</v>
      </c>
      <c r="F497" s="11"/>
      <c r="G497" s="12"/>
      <c r="H497" s="11" t="n">
        <v>0.00287581018518519</v>
      </c>
      <c r="I497" s="12" t="n">
        <v>738</v>
      </c>
      <c r="J497" s="14" t="s">
        <v>860</v>
      </c>
      <c r="K497" s="14"/>
      <c r="L497" s="14"/>
      <c r="M497" s="13"/>
    </row>
    <row r="498" customFormat="false" ht="15" hidden="false" customHeight="false" outlineLevel="0" collapsed="false">
      <c r="A498" s="6" t="n">
        <v>494</v>
      </c>
      <c r="B498" s="7" t="s">
        <v>861</v>
      </c>
      <c r="C498" s="8" t="s">
        <v>862</v>
      </c>
      <c r="D498" s="9" t="n">
        <v>0.0106184027777778</v>
      </c>
      <c r="E498" s="10" t="n">
        <v>495</v>
      </c>
      <c r="F498" s="11" t="n">
        <v>0.00649166666666667</v>
      </c>
      <c r="G498" s="12" t="n">
        <v>33</v>
      </c>
      <c r="H498" s="11" t="n">
        <v>0.0028912037037037</v>
      </c>
      <c r="I498" s="12" t="n">
        <v>878</v>
      </c>
      <c r="J498" s="14"/>
      <c r="K498" s="14"/>
      <c r="L498" s="14"/>
      <c r="M498" s="13"/>
    </row>
    <row r="499" customFormat="false" ht="15" hidden="false" customHeight="false" outlineLevel="0" collapsed="false">
      <c r="A499" s="6" t="n">
        <v>495</v>
      </c>
      <c r="B499" s="7" t="s">
        <v>863</v>
      </c>
      <c r="C499" s="8" t="s">
        <v>290</v>
      </c>
      <c r="D499" s="9" t="n">
        <v>0.0106185185185185</v>
      </c>
      <c r="E499" s="10" t="n">
        <v>496</v>
      </c>
      <c r="F499" s="11"/>
      <c r="G499" s="12"/>
      <c r="H499" s="11" t="n">
        <v>0.00283831018518519</v>
      </c>
      <c r="I499" s="12" t="n">
        <v>486</v>
      </c>
      <c r="J499" s="14" t="s">
        <v>864</v>
      </c>
      <c r="K499" s="14"/>
      <c r="L499" s="14"/>
      <c r="M499" s="13"/>
    </row>
    <row r="500" customFormat="false" ht="15" hidden="false" customHeight="false" outlineLevel="0" collapsed="false">
      <c r="A500" s="6" t="n">
        <v>496</v>
      </c>
      <c r="B500" s="7" t="s">
        <v>865</v>
      </c>
      <c r="C500" s="8" t="s">
        <v>866</v>
      </c>
      <c r="D500" s="9" t="n">
        <v>0.0106197916666667</v>
      </c>
      <c r="E500" s="10" t="n">
        <v>497</v>
      </c>
      <c r="F500" s="11"/>
      <c r="G500" s="12"/>
      <c r="H500" s="11"/>
      <c r="I500" s="12"/>
      <c r="J500" s="14"/>
      <c r="K500" s="14"/>
      <c r="L500" s="14"/>
      <c r="M500" s="13"/>
    </row>
    <row r="501" customFormat="false" ht="15" hidden="false" customHeight="false" outlineLevel="0" collapsed="false">
      <c r="A501" s="6" t="n">
        <v>497</v>
      </c>
      <c r="B501" s="7" t="s">
        <v>867</v>
      </c>
      <c r="C501" s="8" t="s">
        <v>868</v>
      </c>
      <c r="D501" s="9" t="n">
        <v>0.0106210648148148</v>
      </c>
      <c r="E501" s="10" t="n">
        <v>498</v>
      </c>
      <c r="F501" s="11"/>
      <c r="G501" s="12"/>
      <c r="H501" s="11" t="n">
        <v>0.00283263888888889</v>
      </c>
      <c r="I501" s="12" t="n">
        <v>444</v>
      </c>
      <c r="J501" s="14" t="s">
        <v>869</v>
      </c>
      <c r="K501" s="14"/>
      <c r="L501" s="14"/>
      <c r="M501" s="13"/>
    </row>
    <row r="502" customFormat="false" ht="15" hidden="false" customHeight="false" outlineLevel="0" collapsed="false">
      <c r="A502" s="6" t="n">
        <v>498</v>
      </c>
      <c r="B502" s="7" t="s">
        <v>870</v>
      </c>
      <c r="C502" s="8" t="s">
        <v>484</v>
      </c>
      <c r="D502" s="9" t="n">
        <v>0.010621412037037</v>
      </c>
      <c r="E502" s="10" t="n">
        <v>499</v>
      </c>
      <c r="F502" s="11"/>
      <c r="G502" s="12"/>
      <c r="H502" s="11"/>
      <c r="I502" s="12"/>
      <c r="J502" s="14"/>
      <c r="K502" s="14"/>
      <c r="L502" s="14"/>
      <c r="M502" s="13"/>
    </row>
    <row r="503" customFormat="false" ht="15" hidden="false" customHeight="false" outlineLevel="0" collapsed="false">
      <c r="A503" s="6" t="n">
        <v>499</v>
      </c>
      <c r="B503" s="7" t="s">
        <v>871</v>
      </c>
      <c r="C503" s="8" t="s">
        <v>872</v>
      </c>
      <c r="D503" s="9" t="n">
        <v>0.0106226851851852</v>
      </c>
      <c r="E503" s="10" t="n">
        <v>500</v>
      </c>
      <c r="F503" s="11"/>
      <c r="G503" s="12"/>
      <c r="H503" s="11"/>
      <c r="I503" s="12"/>
      <c r="J503" s="14"/>
      <c r="K503" s="14"/>
      <c r="L503" s="14"/>
      <c r="M503" s="13"/>
    </row>
    <row r="504" customFormat="false" ht="15" hidden="false" customHeight="false" outlineLevel="0" collapsed="false">
      <c r="A504" s="6" t="n">
        <v>500</v>
      </c>
      <c r="B504" s="7" t="s">
        <v>873</v>
      </c>
      <c r="C504" s="8" t="s">
        <v>368</v>
      </c>
      <c r="D504" s="9" t="n">
        <v>0.0106230324074074</v>
      </c>
      <c r="E504" s="10" t="n">
        <v>501</v>
      </c>
      <c r="F504" s="11"/>
      <c r="G504" s="12"/>
      <c r="H504" s="11" t="n">
        <v>0.00297962962962963</v>
      </c>
      <c r="I504" s="12" t="n">
        <v>1351</v>
      </c>
      <c r="J504" s="14"/>
      <c r="K504" s="14"/>
      <c r="L504" s="14"/>
      <c r="M504" s="13"/>
    </row>
    <row r="505" customFormat="false" ht="15" hidden="false" customHeight="false" outlineLevel="0" collapsed="false">
      <c r="A505" s="6" t="n">
        <v>501</v>
      </c>
      <c r="B505" s="7" t="s">
        <v>874</v>
      </c>
      <c r="C505" s="8" t="s">
        <v>453</v>
      </c>
      <c r="D505" s="9" t="n">
        <v>0.0106239583333333</v>
      </c>
      <c r="E505" s="10" t="n">
        <v>502</v>
      </c>
      <c r="F505" s="11" t="n">
        <v>0.00656226851851852</v>
      </c>
      <c r="G505" s="12" t="n">
        <v>48</v>
      </c>
      <c r="H505" s="11" t="n">
        <v>0.00275960648148148</v>
      </c>
      <c r="I505" s="12" t="n">
        <v>135</v>
      </c>
      <c r="J505" s="14"/>
      <c r="K505" s="14"/>
      <c r="L505" s="14"/>
      <c r="M505" s="13"/>
    </row>
    <row r="506" customFormat="false" ht="15" hidden="false" customHeight="false" outlineLevel="0" collapsed="false">
      <c r="A506" s="6" t="n">
        <v>502</v>
      </c>
      <c r="B506" s="7" t="s">
        <v>875</v>
      </c>
      <c r="C506" s="8" t="s">
        <v>246</v>
      </c>
      <c r="D506" s="9" t="n">
        <v>0.0106248842592593</v>
      </c>
      <c r="E506" s="10" t="n">
        <v>503</v>
      </c>
      <c r="F506" s="11"/>
      <c r="G506" s="12"/>
      <c r="H506" s="11" t="n">
        <v>0.00290821759259259</v>
      </c>
      <c r="I506" s="12" t="n">
        <v>1003</v>
      </c>
      <c r="J506" s="14" t="s">
        <v>876</v>
      </c>
      <c r="K506" s="14"/>
      <c r="L506" s="14"/>
      <c r="M506" s="13"/>
    </row>
    <row r="507" customFormat="false" ht="15" hidden="false" customHeight="false" outlineLevel="0" collapsed="false">
      <c r="A507" s="6" t="n">
        <v>503</v>
      </c>
      <c r="B507" s="7" t="s">
        <v>877</v>
      </c>
      <c r="C507" s="8" t="s">
        <v>878</v>
      </c>
      <c r="D507" s="9" t="n">
        <v>0.0106296296296296</v>
      </c>
      <c r="E507" s="10" t="n">
        <v>504</v>
      </c>
      <c r="F507" s="11"/>
      <c r="G507" s="12"/>
      <c r="H507" s="11" t="n">
        <v>0.00276284722222222</v>
      </c>
      <c r="I507" s="12" t="n">
        <v>141</v>
      </c>
      <c r="J507" s="14"/>
      <c r="K507" s="14"/>
      <c r="L507" s="8" t="s">
        <v>879</v>
      </c>
      <c r="M507" s="13"/>
    </row>
    <row r="508" customFormat="false" ht="15" hidden="false" customHeight="false" outlineLevel="0" collapsed="false">
      <c r="A508" s="6" t="n">
        <v>504</v>
      </c>
      <c r="B508" s="7" t="s">
        <v>880</v>
      </c>
      <c r="C508" s="8" t="s">
        <v>881</v>
      </c>
      <c r="D508" s="9" t="n">
        <v>0.01063125</v>
      </c>
      <c r="E508" s="10" t="n">
        <v>505</v>
      </c>
      <c r="F508" s="11" t="n">
        <v>0.00687268518518519</v>
      </c>
      <c r="G508" s="12" t="n">
        <v>221</v>
      </c>
      <c r="H508" s="11" t="n">
        <v>0.00285983796296296</v>
      </c>
      <c r="I508" s="12" t="n">
        <v>633</v>
      </c>
      <c r="J508" s="14"/>
      <c r="K508" s="14"/>
      <c r="L508" s="14"/>
      <c r="M508" s="13"/>
    </row>
    <row r="509" customFormat="false" ht="15" hidden="false" customHeight="false" outlineLevel="0" collapsed="false">
      <c r="A509" s="6" t="n">
        <v>505</v>
      </c>
      <c r="B509" s="7" t="s">
        <v>882</v>
      </c>
      <c r="C509" s="8" t="s">
        <v>28</v>
      </c>
      <c r="D509" s="9" t="n">
        <v>0.0106325231481482</v>
      </c>
      <c r="E509" s="10" t="n">
        <v>506</v>
      </c>
      <c r="F509" s="11"/>
      <c r="G509" s="12"/>
      <c r="H509" s="11" t="n">
        <v>0.00281655092592593</v>
      </c>
      <c r="I509" s="12" t="n">
        <v>348</v>
      </c>
      <c r="J509" s="14"/>
      <c r="K509" s="14"/>
      <c r="L509" s="14"/>
      <c r="M509" s="13"/>
    </row>
    <row r="510" customFormat="false" ht="15" hidden="false" customHeight="false" outlineLevel="0" collapsed="false">
      <c r="A510" s="6" t="n">
        <v>506</v>
      </c>
      <c r="B510" s="7" t="s">
        <v>883</v>
      </c>
      <c r="C510" s="8" t="s">
        <v>735</v>
      </c>
      <c r="D510" s="9" t="n">
        <v>0.0106331018518519</v>
      </c>
      <c r="E510" s="10" t="n">
        <v>507</v>
      </c>
      <c r="F510" s="11"/>
      <c r="G510" s="12"/>
      <c r="H510" s="11" t="n">
        <v>0.00285717592592593</v>
      </c>
      <c r="I510" s="12" t="n">
        <v>616</v>
      </c>
      <c r="J510" s="14" t="s">
        <v>884</v>
      </c>
      <c r="K510" s="14"/>
      <c r="L510" s="14"/>
      <c r="M510" s="13"/>
    </row>
    <row r="511" customFormat="false" ht="15" hidden="false" customHeight="false" outlineLevel="0" collapsed="false">
      <c r="A511" s="6" t="n">
        <v>507</v>
      </c>
      <c r="B511" s="7" t="s">
        <v>885</v>
      </c>
      <c r="C511" s="8" t="s">
        <v>886</v>
      </c>
      <c r="D511" s="9" t="n">
        <v>0.0106396990740741</v>
      </c>
      <c r="E511" s="10" t="n">
        <v>508</v>
      </c>
      <c r="F511" s="11"/>
      <c r="G511" s="12"/>
      <c r="H511" s="11" t="n">
        <v>0.00288888888888889</v>
      </c>
      <c r="I511" s="12" t="n">
        <v>854</v>
      </c>
      <c r="J511" s="14"/>
      <c r="K511" s="14"/>
      <c r="L511" s="14"/>
      <c r="M511" s="13"/>
    </row>
    <row r="512" customFormat="false" ht="15" hidden="false" customHeight="false" outlineLevel="0" collapsed="false">
      <c r="A512" s="6" t="n">
        <v>508</v>
      </c>
      <c r="B512" s="7" t="s">
        <v>887</v>
      </c>
      <c r="C512" s="8" t="s">
        <v>616</v>
      </c>
      <c r="D512" s="9" t="n">
        <v>0.0106396990740741</v>
      </c>
      <c r="E512" s="10" t="n">
        <v>509</v>
      </c>
      <c r="F512" s="11" t="n">
        <v>0.00661840277777778</v>
      </c>
      <c r="G512" s="12" t="n">
        <v>71</v>
      </c>
      <c r="H512" s="11" t="n">
        <v>0.002884375</v>
      </c>
      <c r="I512" s="12" t="n">
        <v>811</v>
      </c>
      <c r="J512" s="14"/>
      <c r="K512" s="14" t="s">
        <v>888</v>
      </c>
      <c r="L512" s="14"/>
      <c r="M512" s="13"/>
    </row>
    <row r="513" customFormat="false" ht="15" hidden="false" customHeight="false" outlineLevel="0" collapsed="false">
      <c r="A513" s="6" t="n">
        <v>509</v>
      </c>
      <c r="B513" s="7" t="s">
        <v>889</v>
      </c>
      <c r="C513" s="8" t="s">
        <v>134</v>
      </c>
      <c r="D513" s="9" t="n">
        <v>0.0106398148148148</v>
      </c>
      <c r="E513" s="10" t="n">
        <v>510</v>
      </c>
      <c r="F513" s="11" t="n">
        <v>0.00703703703703704</v>
      </c>
      <c r="G513" s="12" t="n">
        <v>368</v>
      </c>
      <c r="H513" s="11" t="n">
        <v>0.00286574074074074</v>
      </c>
      <c r="I513" s="12" t="n">
        <v>669</v>
      </c>
      <c r="J513" s="14"/>
      <c r="K513" s="14"/>
      <c r="L513" s="8" t="s">
        <v>564</v>
      </c>
      <c r="M513" s="13"/>
    </row>
    <row r="514" customFormat="false" ht="15" hidden="false" customHeight="false" outlineLevel="0" collapsed="false">
      <c r="A514" s="6" t="n">
        <v>510</v>
      </c>
      <c r="B514" s="7" t="s">
        <v>890</v>
      </c>
      <c r="C514" s="8" t="s">
        <v>891</v>
      </c>
      <c r="D514" s="9" t="n">
        <v>0.0106412037037037</v>
      </c>
      <c r="E514" s="10" t="n">
        <v>511</v>
      </c>
      <c r="F514" s="11" t="n">
        <v>0.00674803240740741</v>
      </c>
      <c r="G514" s="12" t="n">
        <v>126</v>
      </c>
      <c r="H514" s="11" t="n">
        <v>0.00282048611111111</v>
      </c>
      <c r="I514" s="12" t="n">
        <v>364</v>
      </c>
      <c r="J514" s="14" t="s">
        <v>892</v>
      </c>
      <c r="K514" s="14"/>
      <c r="L514" s="14"/>
      <c r="M514" s="13"/>
    </row>
    <row r="515" customFormat="false" ht="15" hidden="false" customHeight="false" outlineLevel="0" collapsed="false">
      <c r="A515" s="6" t="n">
        <v>511</v>
      </c>
      <c r="B515" s="7" t="s">
        <v>893</v>
      </c>
      <c r="C515" s="8" t="s">
        <v>274</v>
      </c>
      <c r="D515" s="9" t="n">
        <v>0.0106413194444444</v>
      </c>
      <c r="E515" s="10" t="n">
        <v>512</v>
      </c>
      <c r="F515" s="11"/>
      <c r="G515" s="12"/>
      <c r="H515" s="11"/>
      <c r="I515" s="12"/>
      <c r="J515" s="14"/>
      <c r="K515" s="14"/>
      <c r="L515" s="14"/>
      <c r="M515" s="13"/>
    </row>
    <row r="516" customFormat="false" ht="15" hidden="false" customHeight="false" outlineLevel="0" collapsed="false">
      <c r="A516" s="6" t="n">
        <v>512</v>
      </c>
      <c r="B516" s="7" t="s">
        <v>894</v>
      </c>
      <c r="C516" s="8" t="s">
        <v>281</v>
      </c>
      <c r="D516" s="9" t="n">
        <v>0.0106417824074074</v>
      </c>
      <c r="E516" s="10" t="n">
        <v>513</v>
      </c>
      <c r="F516" s="11"/>
      <c r="G516" s="12"/>
      <c r="H516" s="11"/>
      <c r="I516" s="12"/>
      <c r="J516" s="14"/>
      <c r="K516" s="14"/>
      <c r="L516" s="14"/>
      <c r="M516" s="13"/>
    </row>
    <row r="517" customFormat="false" ht="15" hidden="false" customHeight="false" outlineLevel="0" collapsed="false">
      <c r="A517" s="6" t="n">
        <v>513</v>
      </c>
      <c r="B517" s="7" t="s">
        <v>895</v>
      </c>
      <c r="C517" s="8" t="s">
        <v>896</v>
      </c>
      <c r="D517" s="9" t="n">
        <v>0.0106417824074074</v>
      </c>
      <c r="E517" s="10" t="n">
        <v>514</v>
      </c>
      <c r="F517" s="11" t="n">
        <v>0.00679351851851852</v>
      </c>
      <c r="G517" s="12" t="n">
        <v>166</v>
      </c>
      <c r="H517" s="11"/>
      <c r="I517" s="12"/>
      <c r="J517" s="14"/>
      <c r="K517" s="14"/>
      <c r="L517" s="14"/>
      <c r="M517" s="13"/>
    </row>
    <row r="518" customFormat="false" ht="15" hidden="false" customHeight="false" outlineLevel="0" collapsed="false">
      <c r="A518" s="6" t="n">
        <v>514</v>
      </c>
      <c r="B518" s="7" t="s">
        <v>897</v>
      </c>
      <c r="C518" s="8" t="s">
        <v>344</v>
      </c>
      <c r="D518" s="9" t="n">
        <v>0.0106431712962963</v>
      </c>
      <c r="E518" s="10" t="n">
        <v>515</v>
      </c>
      <c r="F518" s="11"/>
      <c r="G518" s="12"/>
      <c r="H518" s="11" t="n">
        <v>0.0028369212962963</v>
      </c>
      <c r="I518" s="12" t="n">
        <v>478</v>
      </c>
      <c r="J518" s="14"/>
      <c r="K518" s="14" t="s">
        <v>32</v>
      </c>
      <c r="L518" s="14"/>
      <c r="M518" s="13"/>
    </row>
    <row r="519" customFormat="false" ht="15" hidden="false" customHeight="false" outlineLevel="0" collapsed="false">
      <c r="A519" s="6" t="n">
        <v>515</v>
      </c>
      <c r="B519" s="7" t="s">
        <v>898</v>
      </c>
      <c r="C519" s="8" t="s">
        <v>896</v>
      </c>
      <c r="D519" s="9" t="n">
        <v>0.0106438657407407</v>
      </c>
      <c r="E519" s="10" t="n">
        <v>516</v>
      </c>
      <c r="F519" s="11"/>
      <c r="G519" s="12"/>
      <c r="H519" s="11" t="n">
        <v>0.00283460648148148</v>
      </c>
      <c r="I519" s="12" t="n">
        <v>455</v>
      </c>
      <c r="J519" s="14"/>
      <c r="K519" s="14"/>
      <c r="L519" s="14"/>
      <c r="M519" s="13"/>
    </row>
    <row r="520" customFormat="false" ht="15" hidden="false" customHeight="false" outlineLevel="0" collapsed="false">
      <c r="A520" s="6" t="n">
        <v>516</v>
      </c>
      <c r="B520" s="7" t="s">
        <v>899</v>
      </c>
      <c r="C520" s="8" t="s">
        <v>900</v>
      </c>
      <c r="D520" s="9" t="n">
        <v>0.0106440972222222</v>
      </c>
      <c r="E520" s="10" t="n">
        <v>517</v>
      </c>
      <c r="F520" s="11" t="n">
        <v>0.00677175925925926</v>
      </c>
      <c r="G520" s="12" t="n">
        <v>149</v>
      </c>
      <c r="H520" s="11"/>
      <c r="I520" s="12"/>
      <c r="J520" s="14" t="s">
        <v>901</v>
      </c>
      <c r="K520" s="14"/>
      <c r="L520" s="14"/>
      <c r="M520" s="13"/>
    </row>
    <row r="521" customFormat="false" ht="15" hidden="false" customHeight="false" outlineLevel="0" collapsed="false">
      <c r="A521" s="6" t="n">
        <v>517</v>
      </c>
      <c r="B521" s="7" t="s">
        <v>902</v>
      </c>
      <c r="C521" s="8" t="s">
        <v>903</v>
      </c>
      <c r="D521" s="9" t="n">
        <v>0.0106444444444444</v>
      </c>
      <c r="E521" s="10" t="n">
        <v>518</v>
      </c>
      <c r="F521" s="11" t="n">
        <v>0.00697905092592593</v>
      </c>
      <c r="G521" s="12" t="n">
        <v>311</v>
      </c>
      <c r="H521" s="11" t="n">
        <v>0.00278333333333333</v>
      </c>
      <c r="I521" s="12" t="n">
        <v>213</v>
      </c>
      <c r="J521" s="14"/>
      <c r="K521" s="14"/>
      <c r="L521" s="14"/>
      <c r="M521" s="13"/>
    </row>
    <row r="522" customFormat="false" ht="15" hidden="false" customHeight="false" outlineLevel="0" collapsed="false">
      <c r="A522" s="6" t="n">
        <v>518</v>
      </c>
      <c r="B522" s="7" t="s">
        <v>904</v>
      </c>
      <c r="C522" s="8" t="s">
        <v>905</v>
      </c>
      <c r="D522" s="9" t="n">
        <v>0.010646875</v>
      </c>
      <c r="E522" s="10" t="n">
        <v>519</v>
      </c>
      <c r="F522" s="11" t="n">
        <v>0.00665532407407407</v>
      </c>
      <c r="G522" s="12" t="n">
        <v>85</v>
      </c>
      <c r="H522" s="11" t="n">
        <v>0.00282071759259259</v>
      </c>
      <c r="I522" s="12" t="n">
        <v>365</v>
      </c>
      <c r="J522" s="14"/>
      <c r="K522" s="14"/>
      <c r="L522" s="14"/>
      <c r="M522" s="13"/>
    </row>
    <row r="523" customFormat="false" ht="15" hidden="false" customHeight="false" outlineLevel="0" collapsed="false">
      <c r="A523" s="6" t="n">
        <v>519</v>
      </c>
      <c r="B523" s="7" t="s">
        <v>906</v>
      </c>
      <c r="C523" s="8" t="s">
        <v>616</v>
      </c>
      <c r="D523" s="9" t="n">
        <v>0.0106479166666667</v>
      </c>
      <c r="E523" s="10" t="n">
        <v>520</v>
      </c>
      <c r="F523" s="11"/>
      <c r="G523" s="12"/>
      <c r="H523" s="11" t="n">
        <v>0.00282881944444445</v>
      </c>
      <c r="I523" s="12" t="n">
        <v>418</v>
      </c>
      <c r="J523" s="14"/>
      <c r="K523" s="14"/>
      <c r="L523" s="14"/>
      <c r="M523" s="13"/>
    </row>
    <row r="524" customFormat="false" ht="15" hidden="false" customHeight="false" outlineLevel="0" collapsed="false">
      <c r="A524" s="6" t="n">
        <v>520</v>
      </c>
      <c r="B524" s="7" t="s">
        <v>907</v>
      </c>
      <c r="C524" s="8" t="s">
        <v>908</v>
      </c>
      <c r="D524" s="9" t="n">
        <v>0.0106481481481482</v>
      </c>
      <c r="E524" s="10" t="n">
        <v>521</v>
      </c>
      <c r="F524" s="11"/>
      <c r="G524" s="12"/>
      <c r="H524" s="11" t="n">
        <v>0.00289027777777778</v>
      </c>
      <c r="I524" s="12" t="n">
        <v>868</v>
      </c>
      <c r="J524" s="14"/>
      <c r="K524" s="14"/>
      <c r="L524" s="14"/>
      <c r="M524" s="13"/>
    </row>
    <row r="525" customFormat="false" ht="15" hidden="false" customHeight="false" outlineLevel="0" collapsed="false">
      <c r="A525" s="6" t="n">
        <v>521</v>
      </c>
      <c r="B525" s="7" t="s">
        <v>909</v>
      </c>
      <c r="C525" s="8" t="s">
        <v>910</v>
      </c>
      <c r="D525" s="9" t="n">
        <v>0.0106484953703704</v>
      </c>
      <c r="E525" s="10" t="n">
        <v>522</v>
      </c>
      <c r="F525" s="11"/>
      <c r="G525" s="12"/>
      <c r="H525" s="11" t="n">
        <v>0.00277569444444444</v>
      </c>
      <c r="I525" s="12" t="n">
        <v>177</v>
      </c>
      <c r="J525" s="14"/>
      <c r="K525" s="14"/>
      <c r="L525" s="14"/>
      <c r="M525" s="13"/>
    </row>
    <row r="526" customFormat="false" ht="15" hidden="false" customHeight="false" outlineLevel="0" collapsed="false">
      <c r="A526" s="6" t="n">
        <v>522</v>
      </c>
      <c r="B526" s="7" t="s">
        <v>911</v>
      </c>
      <c r="C526" s="8" t="s">
        <v>249</v>
      </c>
      <c r="D526" s="9" t="n">
        <v>0.0106486111111111</v>
      </c>
      <c r="E526" s="10" t="n">
        <v>523</v>
      </c>
      <c r="F526" s="11"/>
      <c r="G526" s="12"/>
      <c r="H526" s="11" t="n">
        <v>0.00290081018518519</v>
      </c>
      <c r="I526" s="12" t="n">
        <v>954</v>
      </c>
      <c r="J526" s="14"/>
      <c r="K526" s="14"/>
      <c r="L526" s="14"/>
      <c r="M526" s="13"/>
    </row>
    <row r="527" customFormat="false" ht="15" hidden="false" customHeight="false" outlineLevel="0" collapsed="false">
      <c r="A527" s="6" t="n">
        <v>523</v>
      </c>
      <c r="B527" s="7" t="s">
        <v>912</v>
      </c>
      <c r="C527" s="8" t="s">
        <v>309</v>
      </c>
      <c r="D527" s="9" t="n">
        <v>0.0106496527777778</v>
      </c>
      <c r="E527" s="10" t="n">
        <v>524</v>
      </c>
      <c r="F527" s="11"/>
      <c r="G527" s="12"/>
      <c r="H527" s="11"/>
      <c r="I527" s="12"/>
      <c r="J527" s="14"/>
      <c r="K527" s="14"/>
      <c r="L527" s="14"/>
      <c r="M527" s="13"/>
    </row>
    <row r="528" customFormat="false" ht="15" hidden="false" customHeight="false" outlineLevel="0" collapsed="false">
      <c r="A528" s="6" t="n">
        <v>524</v>
      </c>
      <c r="B528" s="7" t="s">
        <v>913</v>
      </c>
      <c r="C528" s="8" t="s">
        <v>554</v>
      </c>
      <c r="D528" s="9" t="n">
        <v>0.0106498842592593</v>
      </c>
      <c r="E528" s="10" t="n">
        <v>525</v>
      </c>
      <c r="F528" s="11" t="n">
        <v>0.006834375</v>
      </c>
      <c r="G528" s="12" t="n">
        <v>196</v>
      </c>
      <c r="H528" s="11" t="n">
        <v>0.00289097222222222</v>
      </c>
      <c r="I528" s="12" t="n">
        <v>875</v>
      </c>
      <c r="J528" s="14" t="s">
        <v>914</v>
      </c>
      <c r="K528" s="14"/>
      <c r="L528" s="14"/>
      <c r="M528" s="13"/>
    </row>
    <row r="529" customFormat="false" ht="15" hidden="false" customHeight="false" outlineLevel="0" collapsed="false">
      <c r="A529" s="6" t="n">
        <v>525</v>
      </c>
      <c r="B529" s="7" t="s">
        <v>915</v>
      </c>
      <c r="C529" s="8" t="s">
        <v>390</v>
      </c>
      <c r="D529" s="9" t="n">
        <v>0.0106502314814815</v>
      </c>
      <c r="E529" s="10" t="n">
        <v>526</v>
      </c>
      <c r="F529" s="11"/>
      <c r="G529" s="12"/>
      <c r="H529" s="11" t="n">
        <v>0.00286354166666667</v>
      </c>
      <c r="I529" s="12" t="n">
        <v>658</v>
      </c>
      <c r="J529" s="14"/>
      <c r="K529" s="14"/>
      <c r="L529" s="14"/>
      <c r="M529" s="13"/>
    </row>
    <row r="530" customFormat="false" ht="15" hidden="false" customHeight="false" outlineLevel="0" collapsed="false">
      <c r="A530" s="6" t="n">
        <v>526</v>
      </c>
      <c r="B530" s="7" t="s">
        <v>916</v>
      </c>
      <c r="C530" s="8" t="s">
        <v>179</v>
      </c>
      <c r="D530" s="9" t="n">
        <v>0.0106516203703704</v>
      </c>
      <c r="E530" s="10" t="n">
        <v>527</v>
      </c>
      <c r="F530" s="11"/>
      <c r="G530" s="12"/>
      <c r="H530" s="11" t="n">
        <v>0.00281875</v>
      </c>
      <c r="I530" s="12" t="n">
        <v>357</v>
      </c>
      <c r="J530" s="14" t="s">
        <v>917</v>
      </c>
      <c r="K530" s="14"/>
      <c r="L530" s="14"/>
      <c r="M530" s="13"/>
    </row>
    <row r="531" customFormat="false" ht="15" hidden="false" customHeight="false" outlineLevel="0" collapsed="false">
      <c r="A531" s="6" t="n">
        <v>527</v>
      </c>
      <c r="B531" s="7" t="s">
        <v>918</v>
      </c>
      <c r="C531" s="8" t="s">
        <v>23</v>
      </c>
      <c r="D531" s="9" t="n">
        <v>0.0106527777777778</v>
      </c>
      <c r="E531" s="10" t="n">
        <v>528</v>
      </c>
      <c r="F531" s="11"/>
      <c r="G531" s="12"/>
      <c r="H531" s="11" t="n">
        <v>0.00284259259259259</v>
      </c>
      <c r="I531" s="12" t="n">
        <v>513</v>
      </c>
      <c r="J531" s="14"/>
      <c r="K531" s="14"/>
      <c r="L531" s="14"/>
      <c r="M531" s="13"/>
    </row>
    <row r="532" customFormat="false" ht="15" hidden="false" customHeight="false" outlineLevel="0" collapsed="false">
      <c r="A532" s="6" t="n">
        <v>528</v>
      </c>
      <c r="B532" s="7" t="s">
        <v>919</v>
      </c>
      <c r="C532" s="8" t="s">
        <v>721</v>
      </c>
      <c r="D532" s="9" t="n">
        <v>0.0106528935185185</v>
      </c>
      <c r="E532" s="10" t="n">
        <v>529</v>
      </c>
      <c r="F532" s="11"/>
      <c r="G532" s="12"/>
      <c r="H532" s="11" t="n">
        <v>0.00286041666666667</v>
      </c>
      <c r="I532" s="12" t="n">
        <v>637</v>
      </c>
      <c r="J532" s="14"/>
      <c r="K532" s="14" t="s">
        <v>756</v>
      </c>
      <c r="L532" s="14"/>
      <c r="M532" s="13"/>
    </row>
    <row r="533" customFormat="false" ht="15" hidden="false" customHeight="false" outlineLevel="0" collapsed="false">
      <c r="A533" s="6" t="n">
        <v>529</v>
      </c>
      <c r="B533" s="7" t="s">
        <v>920</v>
      </c>
      <c r="C533" s="8" t="s">
        <v>52</v>
      </c>
      <c r="D533" s="9" t="n">
        <v>0.010653125</v>
      </c>
      <c r="E533" s="10" t="n">
        <v>530</v>
      </c>
      <c r="F533" s="11"/>
      <c r="G533" s="12"/>
      <c r="H533" s="11" t="n">
        <v>0.00289328703703704</v>
      </c>
      <c r="I533" s="12" t="n">
        <v>899</v>
      </c>
      <c r="J533" s="14"/>
      <c r="K533" s="14"/>
      <c r="L533" s="14"/>
      <c r="M533" s="13"/>
    </row>
    <row r="534" customFormat="false" ht="15" hidden="false" customHeight="false" outlineLevel="0" collapsed="false">
      <c r="A534" s="6" t="n">
        <v>530</v>
      </c>
      <c r="B534" s="7" t="s">
        <v>921</v>
      </c>
      <c r="C534" s="8" t="s">
        <v>922</v>
      </c>
      <c r="D534" s="9" t="n">
        <v>0.0106542824074074</v>
      </c>
      <c r="E534" s="10" t="n">
        <v>531</v>
      </c>
      <c r="F534" s="11" t="n">
        <v>0.00679710648148148</v>
      </c>
      <c r="G534" s="12" t="n">
        <v>168</v>
      </c>
      <c r="H534" s="11" t="n">
        <v>0.0028880787037037</v>
      </c>
      <c r="I534" s="12" t="n">
        <v>848</v>
      </c>
      <c r="J534" s="14"/>
      <c r="K534" s="14"/>
      <c r="L534" s="14"/>
      <c r="M534" s="13"/>
    </row>
    <row r="535" customFormat="false" ht="15" hidden="false" customHeight="false" outlineLevel="0" collapsed="false">
      <c r="A535" s="6" t="n">
        <v>531</v>
      </c>
      <c r="B535" s="7" t="s">
        <v>923</v>
      </c>
      <c r="C535" s="8" t="s">
        <v>252</v>
      </c>
      <c r="D535" s="9" t="n">
        <v>0.0106579861111111</v>
      </c>
      <c r="E535" s="10" t="n">
        <v>532</v>
      </c>
      <c r="F535" s="11"/>
      <c r="G535" s="12"/>
      <c r="H535" s="11" t="n">
        <v>0.00285520833333333</v>
      </c>
      <c r="I535" s="12" t="n">
        <v>597</v>
      </c>
      <c r="J535" s="14"/>
      <c r="K535" s="14" t="s">
        <v>924</v>
      </c>
      <c r="L535" s="14"/>
      <c r="M535" s="13"/>
    </row>
    <row r="536" customFormat="false" ht="15" hidden="false" customHeight="false" outlineLevel="0" collapsed="false">
      <c r="A536" s="6" t="n">
        <v>532</v>
      </c>
      <c r="B536" s="7" t="s">
        <v>925</v>
      </c>
      <c r="C536" s="8" t="s">
        <v>926</v>
      </c>
      <c r="D536" s="9" t="n">
        <v>0.0106582175925926</v>
      </c>
      <c r="E536" s="10" t="n">
        <v>533</v>
      </c>
      <c r="F536" s="11"/>
      <c r="G536" s="12"/>
      <c r="H536" s="11" t="n">
        <v>0.00288715277777778</v>
      </c>
      <c r="I536" s="12" t="n">
        <v>837</v>
      </c>
      <c r="J536" s="14"/>
      <c r="K536" s="14"/>
      <c r="L536" s="8" t="s">
        <v>927</v>
      </c>
      <c r="M536" s="13"/>
    </row>
    <row r="537" customFormat="false" ht="15" hidden="false" customHeight="false" outlineLevel="0" collapsed="false">
      <c r="A537" s="6" t="n">
        <v>533</v>
      </c>
      <c r="B537" s="7" t="s">
        <v>928</v>
      </c>
      <c r="C537" s="8" t="s">
        <v>929</v>
      </c>
      <c r="D537" s="9" t="n">
        <v>0.0106591435185185</v>
      </c>
      <c r="E537" s="10" t="n">
        <v>534</v>
      </c>
      <c r="F537" s="11" t="n">
        <v>0.00670185185185185</v>
      </c>
      <c r="G537" s="12" t="n">
        <v>109</v>
      </c>
      <c r="H537" s="11" t="n">
        <v>0.00288518518518519</v>
      </c>
      <c r="I537" s="12" t="n">
        <v>820</v>
      </c>
      <c r="J537" s="14"/>
      <c r="K537" s="14"/>
      <c r="L537" s="14"/>
      <c r="M537" s="13"/>
    </row>
    <row r="538" customFormat="false" ht="15" hidden="false" customHeight="false" outlineLevel="0" collapsed="false">
      <c r="A538" s="6" t="n">
        <v>534</v>
      </c>
      <c r="B538" s="7" t="s">
        <v>930</v>
      </c>
      <c r="C538" s="8" t="s">
        <v>108</v>
      </c>
      <c r="D538" s="9" t="n">
        <v>0.0106601851851852</v>
      </c>
      <c r="E538" s="10" t="n">
        <v>535</v>
      </c>
      <c r="F538" s="11"/>
      <c r="G538" s="12"/>
      <c r="H538" s="11" t="n">
        <v>0.00286793981481482</v>
      </c>
      <c r="I538" s="12" t="n">
        <v>679</v>
      </c>
      <c r="J538" s="14"/>
      <c r="K538" s="14"/>
      <c r="L538" s="14"/>
      <c r="M538" s="13"/>
    </row>
    <row r="539" customFormat="false" ht="15" hidden="false" customHeight="false" outlineLevel="0" collapsed="false">
      <c r="A539" s="6" t="n">
        <v>535</v>
      </c>
      <c r="B539" s="7" t="s">
        <v>931</v>
      </c>
      <c r="C539" s="8" t="s">
        <v>932</v>
      </c>
      <c r="D539" s="9" t="n">
        <v>0.0106615740740741</v>
      </c>
      <c r="E539" s="10" t="n">
        <v>536</v>
      </c>
      <c r="F539" s="11"/>
      <c r="G539" s="12"/>
      <c r="H539" s="11" t="n">
        <v>0.00294699074074074</v>
      </c>
      <c r="I539" s="12" t="n">
        <v>1223</v>
      </c>
      <c r="J539" s="14"/>
      <c r="K539" s="14" t="s">
        <v>933</v>
      </c>
      <c r="L539" s="14"/>
      <c r="M539" s="13"/>
    </row>
    <row r="540" customFormat="false" ht="15" hidden="false" customHeight="false" outlineLevel="0" collapsed="false">
      <c r="A540" s="6" t="n">
        <v>536</v>
      </c>
      <c r="B540" s="7" t="s">
        <v>934</v>
      </c>
      <c r="C540" s="8" t="s">
        <v>309</v>
      </c>
      <c r="D540" s="9" t="n">
        <v>0.0106621527777778</v>
      </c>
      <c r="E540" s="10" t="n">
        <v>537</v>
      </c>
      <c r="F540" s="11" t="n">
        <v>0.00659155092592593</v>
      </c>
      <c r="G540" s="12" t="n">
        <v>66</v>
      </c>
      <c r="H540" s="11"/>
      <c r="I540" s="12"/>
      <c r="J540" s="14"/>
      <c r="K540" s="14"/>
      <c r="L540" s="14"/>
      <c r="M540" s="13"/>
    </row>
    <row r="541" customFormat="false" ht="15" hidden="false" customHeight="false" outlineLevel="0" collapsed="false">
      <c r="A541" s="6" t="n">
        <v>537</v>
      </c>
      <c r="B541" s="7" t="s">
        <v>935</v>
      </c>
      <c r="C541" s="8" t="s">
        <v>313</v>
      </c>
      <c r="D541" s="9" t="n">
        <v>0.0106627314814815</v>
      </c>
      <c r="E541" s="10" t="n">
        <v>538</v>
      </c>
      <c r="F541" s="11"/>
      <c r="G541" s="12"/>
      <c r="H541" s="11"/>
      <c r="I541" s="12"/>
      <c r="J541" s="14"/>
      <c r="K541" s="14" t="s">
        <v>936</v>
      </c>
      <c r="L541" s="14"/>
      <c r="M541" s="13"/>
    </row>
    <row r="542" customFormat="false" ht="15" hidden="false" customHeight="false" outlineLevel="0" collapsed="false">
      <c r="A542" s="6" t="n">
        <v>538</v>
      </c>
      <c r="B542" s="7" t="s">
        <v>937</v>
      </c>
      <c r="C542" s="8" t="s">
        <v>241</v>
      </c>
      <c r="D542" s="9" t="n">
        <v>0.010665162037037</v>
      </c>
      <c r="E542" s="10" t="n">
        <v>539</v>
      </c>
      <c r="F542" s="11"/>
      <c r="G542" s="12"/>
      <c r="H542" s="11" t="n">
        <v>0.00277835648148148</v>
      </c>
      <c r="I542" s="12" t="n">
        <v>193</v>
      </c>
      <c r="J542" s="14"/>
      <c r="K542" s="14"/>
      <c r="L542" s="14"/>
      <c r="M542" s="13"/>
    </row>
    <row r="543" customFormat="false" ht="15" hidden="false" customHeight="false" outlineLevel="0" collapsed="false">
      <c r="A543" s="6" t="n">
        <v>539</v>
      </c>
      <c r="B543" s="7" t="s">
        <v>938</v>
      </c>
      <c r="C543" s="8" t="s">
        <v>145</v>
      </c>
      <c r="D543" s="9" t="n">
        <v>0.0106653935185185</v>
      </c>
      <c r="E543" s="10" t="n">
        <v>540</v>
      </c>
      <c r="F543" s="11" t="n">
        <v>0.00706574074074074</v>
      </c>
      <c r="G543" s="12" t="n">
        <v>410</v>
      </c>
      <c r="H543" s="11"/>
      <c r="I543" s="12"/>
      <c r="J543" s="14"/>
      <c r="K543" s="14"/>
      <c r="L543" s="14"/>
      <c r="M543" s="13"/>
    </row>
    <row r="544" customFormat="false" ht="15" hidden="false" customHeight="false" outlineLevel="0" collapsed="false">
      <c r="A544" s="6" t="n">
        <v>540</v>
      </c>
      <c r="B544" s="7" t="s">
        <v>939</v>
      </c>
      <c r="C544" s="8" t="s">
        <v>940</v>
      </c>
      <c r="D544" s="9" t="n">
        <v>0.010666087962963</v>
      </c>
      <c r="E544" s="10" t="n">
        <v>541</v>
      </c>
      <c r="F544" s="11"/>
      <c r="G544" s="12"/>
      <c r="H544" s="11"/>
      <c r="I544" s="12"/>
      <c r="J544" s="14"/>
      <c r="K544" s="14"/>
      <c r="L544" s="14"/>
      <c r="M544" s="13"/>
    </row>
    <row r="545" customFormat="false" ht="15" hidden="false" customHeight="false" outlineLevel="0" collapsed="false">
      <c r="A545" s="6" t="n">
        <v>541</v>
      </c>
      <c r="B545" s="7" t="s">
        <v>941</v>
      </c>
      <c r="C545" s="8" t="s">
        <v>942</v>
      </c>
      <c r="D545" s="9" t="n">
        <v>0.0106663194444445</v>
      </c>
      <c r="E545" s="10" t="n">
        <v>542</v>
      </c>
      <c r="F545" s="11"/>
      <c r="G545" s="12"/>
      <c r="H545" s="11" t="n">
        <v>0.00288101851851852</v>
      </c>
      <c r="I545" s="12" t="n">
        <v>777</v>
      </c>
      <c r="J545" s="14"/>
      <c r="K545" s="14"/>
      <c r="L545" s="14"/>
      <c r="M545" s="13"/>
    </row>
    <row r="546" customFormat="false" ht="15" hidden="false" customHeight="false" outlineLevel="0" collapsed="false">
      <c r="A546" s="6" t="n">
        <v>542</v>
      </c>
      <c r="B546" s="7" t="s">
        <v>943</v>
      </c>
      <c r="C546" s="8" t="s">
        <v>944</v>
      </c>
      <c r="D546" s="9" t="n">
        <v>0.0106671296296296</v>
      </c>
      <c r="E546" s="10" t="n">
        <v>543</v>
      </c>
      <c r="F546" s="11" t="n">
        <v>0.00666493055555556</v>
      </c>
      <c r="G546" s="12" t="n">
        <v>90</v>
      </c>
      <c r="H546" s="11"/>
      <c r="I546" s="12"/>
      <c r="J546" s="14"/>
      <c r="K546" s="14"/>
      <c r="L546" s="14"/>
      <c r="M546" s="13"/>
    </row>
    <row r="547" customFormat="false" ht="15" hidden="false" customHeight="false" outlineLevel="0" collapsed="false">
      <c r="A547" s="6" t="n">
        <v>543</v>
      </c>
      <c r="B547" s="7" t="s">
        <v>945</v>
      </c>
      <c r="C547" s="8" t="s">
        <v>946</v>
      </c>
      <c r="D547" s="9" t="n">
        <v>0.0106686342592593</v>
      </c>
      <c r="E547" s="10" t="n">
        <v>544</v>
      </c>
      <c r="F547" s="11" t="n">
        <v>0.00648645833333333</v>
      </c>
      <c r="G547" s="12" t="n">
        <v>32</v>
      </c>
      <c r="H547" s="11" t="n">
        <v>0.00273206018518519</v>
      </c>
      <c r="I547" s="12" t="n">
        <v>68</v>
      </c>
      <c r="J547" s="14"/>
      <c r="K547" s="14"/>
      <c r="L547" s="14"/>
      <c r="M547" s="13"/>
    </row>
    <row r="548" customFormat="false" ht="15" hidden="false" customHeight="false" outlineLevel="0" collapsed="false">
      <c r="A548" s="6" t="n">
        <v>544</v>
      </c>
      <c r="B548" s="7" t="s">
        <v>947</v>
      </c>
      <c r="C548" s="8" t="s">
        <v>530</v>
      </c>
      <c r="D548" s="9" t="n">
        <v>0.0106689814814815</v>
      </c>
      <c r="E548" s="10" t="n">
        <v>545</v>
      </c>
      <c r="F548" s="11" t="n">
        <v>0.0068630787037037</v>
      </c>
      <c r="G548" s="12" t="n">
        <v>214</v>
      </c>
      <c r="H548" s="11" t="n">
        <v>0.0028525462962963</v>
      </c>
      <c r="I548" s="12" t="n">
        <v>583</v>
      </c>
      <c r="J548" s="14"/>
      <c r="K548" s="14"/>
      <c r="L548" s="14"/>
      <c r="M548" s="13"/>
    </row>
    <row r="549" customFormat="false" ht="15" hidden="false" customHeight="false" outlineLevel="0" collapsed="false">
      <c r="A549" s="6" t="n">
        <v>545</v>
      </c>
      <c r="B549" s="7" t="s">
        <v>948</v>
      </c>
      <c r="C549" s="8" t="s">
        <v>179</v>
      </c>
      <c r="D549" s="9" t="n">
        <v>0.0106693287037037</v>
      </c>
      <c r="E549" s="10" t="n">
        <v>546</v>
      </c>
      <c r="F549" s="11"/>
      <c r="G549" s="12"/>
      <c r="H549" s="11"/>
      <c r="I549" s="12"/>
      <c r="J549" s="14"/>
      <c r="K549" s="14"/>
      <c r="L549" s="14"/>
      <c r="M549" s="13"/>
    </row>
    <row r="550" customFormat="false" ht="15" hidden="false" customHeight="false" outlineLevel="0" collapsed="false">
      <c r="A550" s="6" t="n">
        <v>546</v>
      </c>
      <c r="B550" s="7" t="s">
        <v>949</v>
      </c>
      <c r="C550" s="8" t="s">
        <v>66</v>
      </c>
      <c r="D550" s="9" t="n">
        <v>0.0106693287037037</v>
      </c>
      <c r="E550" s="10" t="n">
        <v>547</v>
      </c>
      <c r="F550" s="11"/>
      <c r="G550" s="12"/>
      <c r="H550" s="11"/>
      <c r="I550" s="12"/>
      <c r="J550" s="14"/>
      <c r="K550" s="14"/>
      <c r="L550" s="14"/>
      <c r="M550" s="13"/>
    </row>
    <row r="551" customFormat="false" ht="15" hidden="false" customHeight="false" outlineLevel="0" collapsed="false">
      <c r="A551" s="6" t="n">
        <v>547</v>
      </c>
      <c r="B551" s="7" t="s">
        <v>950</v>
      </c>
      <c r="C551" s="8" t="s">
        <v>281</v>
      </c>
      <c r="D551" s="9" t="n">
        <v>0.0106701388888889</v>
      </c>
      <c r="E551" s="10" t="n">
        <v>548</v>
      </c>
      <c r="F551" s="11"/>
      <c r="G551" s="12"/>
      <c r="H551" s="11" t="n">
        <v>0.0027130787037037</v>
      </c>
      <c r="I551" s="12" t="n">
        <v>40</v>
      </c>
      <c r="J551" s="14"/>
      <c r="K551" s="14"/>
      <c r="L551" s="14"/>
      <c r="M551" s="13"/>
    </row>
    <row r="552" customFormat="false" ht="15" hidden="false" customHeight="false" outlineLevel="0" collapsed="false">
      <c r="A552" s="6" t="n">
        <v>548</v>
      </c>
      <c r="B552" s="7" t="s">
        <v>951</v>
      </c>
      <c r="C552" s="8" t="s">
        <v>54</v>
      </c>
      <c r="D552" s="9" t="n">
        <v>0.0106704861111111</v>
      </c>
      <c r="E552" s="10" t="n">
        <v>549</v>
      </c>
      <c r="F552" s="11" t="n">
        <v>0.00736342592592593</v>
      </c>
      <c r="G552" s="12" t="n">
        <v>725</v>
      </c>
      <c r="H552" s="11" t="n">
        <v>0.00291284722222222</v>
      </c>
      <c r="I552" s="12" t="n">
        <v>1042</v>
      </c>
      <c r="J552" s="14"/>
      <c r="K552" s="14"/>
      <c r="L552" s="14"/>
      <c r="M552" s="13"/>
    </row>
    <row r="553" customFormat="false" ht="15" hidden="false" customHeight="false" outlineLevel="0" collapsed="false">
      <c r="A553" s="6" t="n">
        <v>549</v>
      </c>
      <c r="B553" s="7" t="s">
        <v>952</v>
      </c>
      <c r="C553" s="8" t="s">
        <v>309</v>
      </c>
      <c r="D553" s="9" t="n">
        <v>0.010671412037037</v>
      </c>
      <c r="E553" s="10" t="n">
        <v>550</v>
      </c>
      <c r="F553" s="11"/>
      <c r="G553" s="12"/>
      <c r="H553" s="11" t="n">
        <v>0.00272175925925926</v>
      </c>
      <c r="I553" s="12" t="n">
        <v>50</v>
      </c>
      <c r="J553" s="14"/>
      <c r="K553" s="14"/>
      <c r="L553" s="14"/>
      <c r="M553" s="13"/>
    </row>
    <row r="554" customFormat="false" ht="15" hidden="false" customHeight="false" outlineLevel="0" collapsed="false">
      <c r="A554" s="6" t="n">
        <v>550</v>
      </c>
      <c r="B554" s="7" t="s">
        <v>953</v>
      </c>
      <c r="C554" s="8" t="s">
        <v>954</v>
      </c>
      <c r="D554" s="9" t="n">
        <v>0.010672337962963</v>
      </c>
      <c r="E554" s="10" t="n">
        <v>551</v>
      </c>
      <c r="F554" s="11"/>
      <c r="G554" s="12"/>
      <c r="H554" s="11" t="n">
        <v>0.00280625</v>
      </c>
      <c r="I554" s="12" t="n">
        <v>307</v>
      </c>
      <c r="J554" s="14"/>
      <c r="K554" s="14"/>
      <c r="L554" s="14"/>
      <c r="M554" s="13"/>
    </row>
    <row r="555" customFormat="false" ht="15" hidden="false" customHeight="false" outlineLevel="0" collapsed="false">
      <c r="A555" s="6" t="n">
        <v>551</v>
      </c>
      <c r="B555" s="7" t="s">
        <v>955</v>
      </c>
      <c r="C555" s="8" t="s">
        <v>89</v>
      </c>
      <c r="D555" s="9" t="n">
        <v>0.0106728009259259</v>
      </c>
      <c r="E555" s="10" t="n">
        <v>552</v>
      </c>
      <c r="F555" s="11" t="n">
        <v>0.00665798611111111</v>
      </c>
      <c r="G555" s="12" t="n">
        <v>86</v>
      </c>
      <c r="H555" s="11" t="n">
        <v>0.00286006944444445</v>
      </c>
      <c r="I555" s="12" t="n">
        <v>636</v>
      </c>
      <c r="J555" s="14" t="s">
        <v>956</v>
      </c>
      <c r="K555" s="14"/>
      <c r="L555" s="14"/>
      <c r="M555" s="13"/>
    </row>
    <row r="556" customFormat="false" ht="15" hidden="false" customHeight="false" outlineLevel="0" collapsed="false">
      <c r="A556" s="6" t="n">
        <v>552</v>
      </c>
      <c r="B556" s="7" t="s">
        <v>957</v>
      </c>
      <c r="C556" s="8" t="s">
        <v>958</v>
      </c>
      <c r="D556" s="9" t="n">
        <v>0.0106737268518519</v>
      </c>
      <c r="E556" s="10" t="n">
        <v>553</v>
      </c>
      <c r="F556" s="11" t="n">
        <v>0.00646342592592593</v>
      </c>
      <c r="G556" s="12" t="n">
        <v>28</v>
      </c>
      <c r="H556" s="11" t="n">
        <v>0.00288541666666667</v>
      </c>
      <c r="I556" s="12" t="n">
        <v>821</v>
      </c>
      <c r="J556" s="14"/>
      <c r="K556" s="14"/>
      <c r="L556" s="14"/>
      <c r="M556" s="13"/>
    </row>
    <row r="557" customFormat="false" ht="15" hidden="false" customHeight="false" outlineLevel="0" collapsed="false">
      <c r="A557" s="6" t="n">
        <v>553</v>
      </c>
      <c r="B557" s="7" t="s">
        <v>959</v>
      </c>
      <c r="C557" s="8" t="s">
        <v>508</v>
      </c>
      <c r="D557" s="9" t="n">
        <v>0.0106741898148148</v>
      </c>
      <c r="E557" s="10" t="n">
        <v>554</v>
      </c>
      <c r="F557" s="11"/>
      <c r="G557" s="12"/>
      <c r="H557" s="11" t="n">
        <v>0.0028462962962963</v>
      </c>
      <c r="I557" s="12" t="n">
        <v>546</v>
      </c>
      <c r="J557" s="14"/>
      <c r="K557" s="14"/>
      <c r="L557" s="14"/>
      <c r="M557" s="13"/>
    </row>
    <row r="558" customFormat="false" ht="15" hidden="false" customHeight="false" outlineLevel="0" collapsed="false">
      <c r="A558" s="6" t="n">
        <v>554</v>
      </c>
      <c r="B558" s="7" t="s">
        <v>960</v>
      </c>
      <c r="C558" s="8" t="s">
        <v>961</v>
      </c>
      <c r="D558" s="9" t="n">
        <v>0.0106767361111111</v>
      </c>
      <c r="E558" s="10" t="n">
        <v>555</v>
      </c>
      <c r="F558" s="11"/>
      <c r="G558" s="12"/>
      <c r="H558" s="11" t="n">
        <v>0.00280497685185185</v>
      </c>
      <c r="I558" s="12" t="n">
        <v>302</v>
      </c>
      <c r="J558" s="14"/>
      <c r="K558" s="14"/>
      <c r="L558" s="14"/>
      <c r="M558" s="13"/>
    </row>
    <row r="559" customFormat="false" ht="15" hidden="false" customHeight="false" outlineLevel="0" collapsed="false">
      <c r="A559" s="6" t="n">
        <v>555</v>
      </c>
      <c r="B559" s="7" t="s">
        <v>962</v>
      </c>
      <c r="C559" s="8" t="s">
        <v>56</v>
      </c>
      <c r="D559" s="9" t="n">
        <v>0.0106774305555556</v>
      </c>
      <c r="E559" s="10" t="n">
        <v>556</v>
      </c>
      <c r="F559" s="11"/>
      <c r="G559" s="12"/>
      <c r="H559" s="11"/>
      <c r="I559" s="12"/>
      <c r="J559" s="14"/>
      <c r="K559" s="14"/>
      <c r="L559" s="14"/>
      <c r="M559" s="13"/>
    </row>
    <row r="560" customFormat="false" ht="15" hidden="false" customHeight="false" outlineLevel="0" collapsed="false">
      <c r="A560" s="6" t="n">
        <v>556</v>
      </c>
      <c r="B560" s="7" t="s">
        <v>963</v>
      </c>
      <c r="C560" s="8" t="s">
        <v>41</v>
      </c>
      <c r="D560" s="9" t="n">
        <v>0.0106783564814815</v>
      </c>
      <c r="E560" s="10" t="n">
        <v>557</v>
      </c>
      <c r="F560" s="11"/>
      <c r="G560" s="12"/>
      <c r="H560" s="11"/>
      <c r="I560" s="12"/>
      <c r="J560" s="14"/>
      <c r="K560" s="14" t="s">
        <v>964</v>
      </c>
      <c r="L560" s="14"/>
      <c r="M560" s="13"/>
    </row>
    <row r="561" customFormat="false" ht="15" hidden="false" customHeight="false" outlineLevel="0" collapsed="false">
      <c r="A561" s="6" t="n">
        <v>557</v>
      </c>
      <c r="B561" s="7" t="s">
        <v>965</v>
      </c>
      <c r="C561" s="8" t="s">
        <v>578</v>
      </c>
      <c r="D561" s="9" t="n">
        <v>0.0106811342592593</v>
      </c>
      <c r="E561" s="10" t="n">
        <v>558</v>
      </c>
      <c r="F561" s="11"/>
      <c r="G561" s="12"/>
      <c r="H561" s="11"/>
      <c r="I561" s="12"/>
      <c r="J561" s="14"/>
      <c r="K561" s="14"/>
      <c r="L561" s="14"/>
      <c r="M561" s="13"/>
    </row>
    <row r="562" customFormat="false" ht="15" hidden="false" customHeight="false" outlineLevel="0" collapsed="false">
      <c r="A562" s="6" t="n">
        <v>558</v>
      </c>
      <c r="B562" s="7" t="s">
        <v>966</v>
      </c>
      <c r="C562" s="8" t="s">
        <v>440</v>
      </c>
      <c r="D562" s="9" t="n">
        <v>0.0106834490740741</v>
      </c>
      <c r="E562" s="10" t="n">
        <v>559</v>
      </c>
      <c r="F562" s="11"/>
      <c r="G562" s="12"/>
      <c r="H562" s="11" t="n">
        <v>0.00283483796296296</v>
      </c>
      <c r="I562" s="12" t="n">
        <v>459</v>
      </c>
      <c r="J562" s="14"/>
      <c r="K562" s="14" t="s">
        <v>967</v>
      </c>
      <c r="L562" s="14"/>
      <c r="M562" s="13"/>
    </row>
    <row r="563" customFormat="false" ht="15" hidden="false" customHeight="false" outlineLevel="0" collapsed="false">
      <c r="A563" s="6" t="n">
        <v>559</v>
      </c>
      <c r="B563" s="7" t="s">
        <v>968</v>
      </c>
      <c r="C563" s="8" t="s">
        <v>25</v>
      </c>
      <c r="D563" s="9" t="n">
        <v>0.0106862268518519</v>
      </c>
      <c r="E563" s="10" t="n">
        <v>560</v>
      </c>
      <c r="F563" s="11"/>
      <c r="G563" s="12"/>
      <c r="H563" s="11" t="n">
        <v>0.00280636574074074</v>
      </c>
      <c r="I563" s="12" t="n">
        <v>309</v>
      </c>
      <c r="J563" s="14"/>
      <c r="K563" s="14"/>
      <c r="L563" s="14"/>
      <c r="M563" s="13"/>
    </row>
    <row r="564" customFormat="false" ht="15" hidden="false" customHeight="false" outlineLevel="0" collapsed="false">
      <c r="A564" s="6" t="n">
        <v>560</v>
      </c>
      <c r="B564" s="7" t="s">
        <v>969</v>
      </c>
      <c r="C564" s="8" t="s">
        <v>243</v>
      </c>
      <c r="D564" s="9" t="n">
        <v>0.0106862268518519</v>
      </c>
      <c r="E564" s="10" t="n">
        <v>561</v>
      </c>
      <c r="F564" s="11"/>
      <c r="G564" s="12"/>
      <c r="H564" s="11"/>
      <c r="I564" s="12"/>
      <c r="J564" s="14"/>
      <c r="K564" s="14"/>
      <c r="L564" s="14"/>
      <c r="M564" s="13"/>
    </row>
    <row r="565" customFormat="false" ht="15" hidden="false" customHeight="false" outlineLevel="0" collapsed="false">
      <c r="A565" s="6" t="n">
        <v>561</v>
      </c>
      <c r="B565" s="7" t="s">
        <v>970</v>
      </c>
      <c r="C565" s="8" t="s">
        <v>971</v>
      </c>
      <c r="D565" s="9" t="n">
        <v>0.0106869212962963</v>
      </c>
      <c r="E565" s="10" t="n">
        <v>562</v>
      </c>
      <c r="F565" s="11"/>
      <c r="G565" s="12"/>
      <c r="H565" s="11" t="n">
        <v>0.00291319444444444</v>
      </c>
      <c r="I565" s="12" t="n">
        <v>1043</v>
      </c>
      <c r="J565" s="14"/>
      <c r="K565" s="14"/>
      <c r="L565" s="14"/>
      <c r="M565" s="13"/>
    </row>
    <row r="566" customFormat="false" ht="15" hidden="false" customHeight="false" outlineLevel="0" collapsed="false">
      <c r="A566" s="6" t="n">
        <v>562</v>
      </c>
      <c r="B566" s="7" t="s">
        <v>972</v>
      </c>
      <c r="C566" s="8" t="s">
        <v>973</v>
      </c>
      <c r="D566" s="9" t="n">
        <v>0.0106871527777778</v>
      </c>
      <c r="E566" s="10" t="n">
        <v>563</v>
      </c>
      <c r="F566" s="11"/>
      <c r="G566" s="12"/>
      <c r="H566" s="11"/>
      <c r="I566" s="12"/>
      <c r="J566" s="14"/>
      <c r="K566" s="14"/>
      <c r="L566" s="14"/>
      <c r="M566" s="13"/>
    </row>
    <row r="567" customFormat="false" ht="15" hidden="false" customHeight="false" outlineLevel="0" collapsed="false">
      <c r="A567" s="6" t="n">
        <v>563</v>
      </c>
      <c r="B567" s="7" t="s">
        <v>974</v>
      </c>
      <c r="C567" s="8" t="s">
        <v>975</v>
      </c>
      <c r="D567" s="9" t="n">
        <v>0.0106871527777778</v>
      </c>
      <c r="E567" s="10" t="n">
        <v>564</v>
      </c>
      <c r="F567" s="11" t="n">
        <v>0.00728587962962963</v>
      </c>
      <c r="G567" s="12" t="n">
        <v>628</v>
      </c>
      <c r="H567" s="11" t="n">
        <v>0.00288969907407407</v>
      </c>
      <c r="I567" s="12" t="n">
        <v>862</v>
      </c>
      <c r="J567" s="14"/>
      <c r="K567" s="14"/>
      <c r="L567" s="14"/>
      <c r="M567" s="13"/>
    </row>
    <row r="568" customFormat="false" ht="15" hidden="false" customHeight="false" outlineLevel="0" collapsed="false">
      <c r="A568" s="6" t="n">
        <v>564</v>
      </c>
      <c r="B568" s="7" t="s">
        <v>976</v>
      </c>
      <c r="C568" s="8" t="s">
        <v>294</v>
      </c>
      <c r="D568" s="9" t="n">
        <v>0.0106880787037037</v>
      </c>
      <c r="E568" s="10" t="n">
        <v>565</v>
      </c>
      <c r="F568" s="11" t="n">
        <v>0.00703842592592593</v>
      </c>
      <c r="G568" s="12" t="n">
        <v>371</v>
      </c>
      <c r="H568" s="11" t="n">
        <v>0.00291388888888889</v>
      </c>
      <c r="I568" s="12" t="n">
        <v>1050</v>
      </c>
      <c r="J568" s="14"/>
      <c r="K568" s="14"/>
      <c r="L568" s="14"/>
      <c r="M568" s="13"/>
    </row>
    <row r="569" customFormat="false" ht="15" hidden="false" customHeight="false" outlineLevel="0" collapsed="false">
      <c r="A569" s="6" t="n">
        <v>565</v>
      </c>
      <c r="B569" s="7" t="s">
        <v>977</v>
      </c>
      <c r="C569" s="8" t="s">
        <v>172</v>
      </c>
      <c r="D569" s="9" t="n">
        <v>0.0106886574074074</v>
      </c>
      <c r="E569" s="10" t="n">
        <v>566</v>
      </c>
      <c r="F569" s="11" t="n">
        <v>0.00705543981481482</v>
      </c>
      <c r="G569" s="12" t="n">
        <v>396</v>
      </c>
      <c r="H569" s="11"/>
      <c r="I569" s="12"/>
      <c r="J569" s="14" t="s">
        <v>978</v>
      </c>
      <c r="K569" s="14"/>
      <c r="L569" s="14"/>
      <c r="M569" s="13"/>
    </row>
    <row r="570" customFormat="false" ht="15" hidden="false" customHeight="false" outlineLevel="0" collapsed="false">
      <c r="A570" s="6" t="n">
        <v>566</v>
      </c>
      <c r="B570" s="7" t="s">
        <v>979</v>
      </c>
      <c r="C570" s="8" t="s">
        <v>608</v>
      </c>
      <c r="D570" s="9" t="n">
        <v>0.0106908564814815</v>
      </c>
      <c r="E570" s="10" t="n">
        <v>567</v>
      </c>
      <c r="F570" s="11"/>
      <c r="G570" s="12"/>
      <c r="H570" s="11"/>
      <c r="I570" s="12"/>
      <c r="J570" s="14"/>
      <c r="K570" s="14"/>
      <c r="L570" s="14"/>
      <c r="M570" s="13"/>
    </row>
    <row r="571" customFormat="false" ht="15" hidden="false" customHeight="false" outlineLevel="0" collapsed="false">
      <c r="A571" s="6" t="n">
        <v>567</v>
      </c>
      <c r="B571" s="7" t="s">
        <v>980</v>
      </c>
      <c r="C571" s="8" t="s">
        <v>725</v>
      </c>
      <c r="D571" s="9" t="n">
        <v>0.01069375</v>
      </c>
      <c r="E571" s="10" t="n">
        <v>568</v>
      </c>
      <c r="F571" s="11"/>
      <c r="G571" s="12"/>
      <c r="H571" s="11" t="n">
        <v>0.00289143518518519</v>
      </c>
      <c r="I571" s="12" t="n">
        <v>883</v>
      </c>
      <c r="J571" s="14"/>
      <c r="K571" s="14"/>
      <c r="L571" s="14"/>
      <c r="M571" s="13"/>
    </row>
    <row r="572" customFormat="false" ht="15" hidden="false" customHeight="false" outlineLevel="0" collapsed="false">
      <c r="A572" s="6" t="n">
        <v>568</v>
      </c>
      <c r="B572" s="7" t="s">
        <v>981</v>
      </c>
      <c r="C572" s="8" t="s">
        <v>982</v>
      </c>
      <c r="D572" s="9" t="n">
        <v>0.0106940972222222</v>
      </c>
      <c r="E572" s="10" t="n">
        <v>569</v>
      </c>
      <c r="F572" s="11"/>
      <c r="G572" s="12"/>
      <c r="H572" s="11"/>
      <c r="I572" s="12"/>
      <c r="J572" s="14"/>
      <c r="K572" s="14"/>
      <c r="L572" s="14"/>
      <c r="M572" s="13"/>
    </row>
    <row r="573" customFormat="false" ht="15" hidden="false" customHeight="false" outlineLevel="0" collapsed="false">
      <c r="A573" s="6" t="n">
        <v>569</v>
      </c>
      <c r="B573" s="7" t="s">
        <v>983</v>
      </c>
      <c r="C573" s="8" t="s">
        <v>578</v>
      </c>
      <c r="D573" s="9" t="n">
        <v>0.0106944444444444</v>
      </c>
      <c r="E573" s="10" t="n">
        <v>570</v>
      </c>
      <c r="F573" s="11"/>
      <c r="G573" s="12"/>
      <c r="H573" s="11" t="n">
        <v>0.00281087962962963</v>
      </c>
      <c r="I573" s="12" t="n">
        <v>327</v>
      </c>
      <c r="J573" s="14"/>
      <c r="K573" s="14"/>
      <c r="L573" s="14"/>
      <c r="M573" s="13"/>
    </row>
    <row r="574" customFormat="false" ht="15" hidden="false" customHeight="false" outlineLevel="0" collapsed="false">
      <c r="A574" s="6" t="n">
        <v>570</v>
      </c>
      <c r="B574" s="7" t="s">
        <v>984</v>
      </c>
      <c r="C574" s="8" t="s">
        <v>594</v>
      </c>
      <c r="D574" s="9" t="n">
        <v>0.0106947916666667</v>
      </c>
      <c r="E574" s="10" t="n">
        <v>571</v>
      </c>
      <c r="F574" s="11"/>
      <c r="G574" s="12"/>
      <c r="H574" s="11"/>
      <c r="I574" s="12"/>
      <c r="J574" s="14"/>
      <c r="K574" s="14"/>
      <c r="L574" s="14"/>
      <c r="M574" s="13"/>
    </row>
    <row r="575" customFormat="false" ht="15" hidden="false" customHeight="false" outlineLevel="0" collapsed="false">
      <c r="A575" s="6" t="n">
        <v>571</v>
      </c>
      <c r="B575" s="7" t="s">
        <v>985</v>
      </c>
      <c r="C575" s="8" t="s">
        <v>309</v>
      </c>
      <c r="D575" s="9" t="n">
        <v>0.0106954861111111</v>
      </c>
      <c r="E575" s="10" t="n">
        <v>572</v>
      </c>
      <c r="F575" s="11" t="n">
        <v>0.00684027777777778</v>
      </c>
      <c r="G575" s="12" t="n">
        <v>197</v>
      </c>
      <c r="H575" s="11"/>
      <c r="I575" s="12"/>
      <c r="J575" s="14"/>
      <c r="K575" s="14"/>
      <c r="L575" s="14"/>
      <c r="M575" s="13"/>
    </row>
    <row r="576" customFormat="false" ht="15" hidden="false" customHeight="false" outlineLevel="0" collapsed="false">
      <c r="A576" s="6" t="n">
        <v>572</v>
      </c>
      <c r="B576" s="7" t="s">
        <v>986</v>
      </c>
      <c r="C576" s="8" t="s">
        <v>283</v>
      </c>
      <c r="D576" s="9" t="n">
        <v>0.0106957175925926</v>
      </c>
      <c r="E576" s="10" t="n">
        <v>573</v>
      </c>
      <c r="F576" s="11" t="n">
        <v>0.0064099537037037</v>
      </c>
      <c r="G576" s="12" t="n">
        <v>16</v>
      </c>
      <c r="H576" s="11" t="n">
        <v>0.00277777777777778</v>
      </c>
      <c r="I576" s="12" t="n">
        <v>189</v>
      </c>
      <c r="J576" s="14" t="s">
        <v>987</v>
      </c>
      <c r="K576" s="14"/>
      <c r="L576" s="14"/>
      <c r="M576" s="13"/>
    </row>
    <row r="577" customFormat="false" ht="15" hidden="false" customHeight="false" outlineLevel="0" collapsed="false">
      <c r="A577" s="6" t="n">
        <v>573</v>
      </c>
      <c r="B577" s="7" t="s">
        <v>988</v>
      </c>
      <c r="C577" s="8" t="s">
        <v>989</v>
      </c>
      <c r="D577" s="9" t="n">
        <v>0.0106959490740741</v>
      </c>
      <c r="E577" s="10" t="n">
        <v>574</v>
      </c>
      <c r="F577" s="11" t="n">
        <v>0.00675868055555556</v>
      </c>
      <c r="G577" s="12" t="n">
        <v>134</v>
      </c>
      <c r="H577" s="11" t="n">
        <v>0.00285069444444445</v>
      </c>
      <c r="I577" s="12" t="n">
        <v>574</v>
      </c>
      <c r="J577" s="14"/>
      <c r="K577" s="14"/>
      <c r="L577" s="14"/>
      <c r="M577" s="13"/>
    </row>
    <row r="578" customFormat="false" ht="15" hidden="false" customHeight="false" outlineLevel="0" collapsed="false">
      <c r="A578" s="6" t="n">
        <v>574</v>
      </c>
      <c r="B578" s="7" t="s">
        <v>990</v>
      </c>
      <c r="C578" s="8" t="s">
        <v>150</v>
      </c>
      <c r="D578" s="9" t="n">
        <v>0.0106959490740741</v>
      </c>
      <c r="E578" s="10" t="n">
        <v>575</v>
      </c>
      <c r="F578" s="11" t="n">
        <v>0.00690034722222222</v>
      </c>
      <c r="G578" s="12" t="n">
        <v>241</v>
      </c>
      <c r="H578" s="11"/>
      <c r="I578" s="12"/>
      <c r="J578" s="14"/>
      <c r="K578" s="14"/>
      <c r="L578" s="14"/>
      <c r="M578" s="13"/>
    </row>
    <row r="579" customFormat="false" ht="15" hidden="false" customHeight="false" outlineLevel="0" collapsed="false">
      <c r="A579" s="6" t="n">
        <v>575</v>
      </c>
      <c r="B579" s="7" t="s">
        <v>991</v>
      </c>
      <c r="C579" s="8" t="s">
        <v>641</v>
      </c>
      <c r="D579" s="9" t="n">
        <v>0.0106959490740741</v>
      </c>
      <c r="E579" s="10" t="n">
        <v>576</v>
      </c>
      <c r="F579" s="11"/>
      <c r="G579" s="12"/>
      <c r="H579" s="11"/>
      <c r="I579" s="12"/>
      <c r="J579" s="14"/>
      <c r="K579" s="14"/>
      <c r="L579" s="14"/>
      <c r="M579" s="13"/>
    </row>
    <row r="580" customFormat="false" ht="15" hidden="false" customHeight="false" outlineLevel="0" collapsed="false">
      <c r="A580" s="6" t="n">
        <v>576</v>
      </c>
      <c r="B580" s="7" t="s">
        <v>992</v>
      </c>
      <c r="C580" s="8" t="s">
        <v>508</v>
      </c>
      <c r="D580" s="9" t="n">
        <v>0.0106961805555556</v>
      </c>
      <c r="E580" s="10" t="n">
        <v>577</v>
      </c>
      <c r="F580" s="11"/>
      <c r="G580" s="12"/>
      <c r="H580" s="11" t="n">
        <v>0.00287222222222222</v>
      </c>
      <c r="I580" s="12" t="n">
        <v>717</v>
      </c>
      <c r="J580" s="14"/>
      <c r="K580" s="14"/>
      <c r="L580" s="14"/>
      <c r="M580" s="13"/>
    </row>
    <row r="581" customFormat="false" ht="15" hidden="false" customHeight="false" outlineLevel="0" collapsed="false">
      <c r="A581" s="6" t="n">
        <v>577</v>
      </c>
      <c r="B581" s="7" t="s">
        <v>993</v>
      </c>
      <c r="C581" s="8" t="s">
        <v>554</v>
      </c>
      <c r="D581" s="9" t="n">
        <v>0.0106987268518519</v>
      </c>
      <c r="E581" s="10" t="n">
        <v>578</v>
      </c>
      <c r="F581" s="11"/>
      <c r="G581" s="12"/>
      <c r="H581" s="11" t="n">
        <v>0.00272337962962963</v>
      </c>
      <c r="I581" s="12" t="n">
        <v>54</v>
      </c>
      <c r="J581" s="14" t="s">
        <v>994</v>
      </c>
      <c r="K581" s="14"/>
      <c r="L581" s="14"/>
      <c r="M581" s="13"/>
    </row>
    <row r="582" customFormat="false" ht="15" hidden="false" customHeight="false" outlineLevel="0" collapsed="false">
      <c r="A582" s="6" t="n">
        <v>578</v>
      </c>
      <c r="B582" s="7" t="s">
        <v>995</v>
      </c>
      <c r="C582" s="8" t="s">
        <v>283</v>
      </c>
      <c r="D582" s="9" t="n">
        <v>0.0106987268518519</v>
      </c>
      <c r="E582" s="10" t="n">
        <v>579</v>
      </c>
      <c r="F582" s="11" t="n">
        <v>0.00680717592592593</v>
      </c>
      <c r="G582" s="12" t="n">
        <v>178</v>
      </c>
      <c r="H582" s="11" t="n">
        <v>0.00288356481481481</v>
      </c>
      <c r="I582" s="12" t="n">
        <v>803</v>
      </c>
      <c r="J582" s="14"/>
      <c r="K582" s="14"/>
      <c r="L582" s="8" t="s">
        <v>996</v>
      </c>
      <c r="M582" s="13"/>
    </row>
    <row r="583" customFormat="false" ht="15" hidden="false" customHeight="false" outlineLevel="0" collapsed="false">
      <c r="A583" s="6" t="n">
        <v>579</v>
      </c>
      <c r="B583" s="7" t="s">
        <v>997</v>
      </c>
      <c r="C583" s="8" t="s">
        <v>592</v>
      </c>
      <c r="D583" s="9" t="n">
        <v>0.0106989583333333</v>
      </c>
      <c r="E583" s="10" t="n">
        <v>580</v>
      </c>
      <c r="F583" s="11"/>
      <c r="G583" s="12"/>
      <c r="H583" s="11"/>
      <c r="I583" s="12"/>
      <c r="J583" s="14"/>
      <c r="K583" s="14"/>
      <c r="L583" s="14"/>
      <c r="M583" s="13"/>
    </row>
    <row r="584" customFormat="false" ht="15" hidden="false" customHeight="false" outlineLevel="0" collapsed="false">
      <c r="A584" s="6" t="n">
        <v>580</v>
      </c>
      <c r="B584" s="7" t="s">
        <v>998</v>
      </c>
      <c r="C584" s="8" t="s">
        <v>999</v>
      </c>
      <c r="D584" s="9" t="n">
        <v>0.0106994212962963</v>
      </c>
      <c r="E584" s="10" t="n">
        <v>581</v>
      </c>
      <c r="F584" s="11"/>
      <c r="G584" s="12"/>
      <c r="H584" s="11" t="n">
        <v>0.00272546296296296</v>
      </c>
      <c r="I584" s="12" t="n">
        <v>59</v>
      </c>
      <c r="J584" s="14"/>
      <c r="K584" s="14" t="s">
        <v>1000</v>
      </c>
      <c r="L584" s="14"/>
      <c r="M584" s="13"/>
    </row>
    <row r="585" customFormat="false" ht="15" hidden="false" customHeight="false" outlineLevel="0" collapsed="false">
      <c r="A585" s="6" t="n">
        <v>581</v>
      </c>
      <c r="B585" s="7" t="s">
        <v>1001</v>
      </c>
      <c r="C585" s="8" t="s">
        <v>1002</v>
      </c>
      <c r="D585" s="9" t="n">
        <v>0.010699537037037</v>
      </c>
      <c r="E585" s="10" t="n">
        <v>582</v>
      </c>
      <c r="F585" s="11"/>
      <c r="G585" s="12"/>
      <c r="H585" s="11"/>
      <c r="I585" s="12"/>
      <c r="J585" s="14"/>
      <c r="K585" s="14"/>
      <c r="L585" s="14"/>
      <c r="M585" s="13"/>
    </row>
    <row r="586" customFormat="false" ht="15" hidden="false" customHeight="false" outlineLevel="0" collapsed="false">
      <c r="A586" s="6" t="n">
        <v>582</v>
      </c>
      <c r="B586" s="7" t="s">
        <v>1003</v>
      </c>
      <c r="C586" s="8" t="s">
        <v>496</v>
      </c>
      <c r="D586" s="9" t="n">
        <v>0.0107001157407407</v>
      </c>
      <c r="E586" s="10" t="n">
        <v>583</v>
      </c>
      <c r="F586" s="11"/>
      <c r="G586" s="12"/>
      <c r="H586" s="11"/>
      <c r="I586" s="12"/>
      <c r="J586" s="14"/>
      <c r="K586" s="14"/>
      <c r="L586" s="14"/>
      <c r="M586" s="13"/>
    </row>
    <row r="587" customFormat="false" ht="15" hidden="false" customHeight="false" outlineLevel="0" collapsed="false">
      <c r="A587" s="6" t="n">
        <v>583</v>
      </c>
      <c r="B587" s="7" t="s">
        <v>1004</v>
      </c>
      <c r="C587" s="8" t="s">
        <v>23</v>
      </c>
      <c r="D587" s="9" t="n">
        <v>0.0107001157407407</v>
      </c>
      <c r="E587" s="10" t="n">
        <v>584</v>
      </c>
      <c r="F587" s="11"/>
      <c r="G587" s="12"/>
      <c r="H587" s="11" t="n">
        <v>0.00289814814814815</v>
      </c>
      <c r="I587" s="12" t="n">
        <v>934</v>
      </c>
      <c r="J587" s="14"/>
      <c r="K587" s="14"/>
      <c r="L587" s="14"/>
      <c r="M587" s="13"/>
    </row>
    <row r="588" customFormat="false" ht="15" hidden="false" customHeight="false" outlineLevel="0" collapsed="false">
      <c r="A588" s="6" t="n">
        <v>584</v>
      </c>
      <c r="B588" s="7" t="s">
        <v>1005</v>
      </c>
      <c r="C588" s="8" t="s">
        <v>326</v>
      </c>
      <c r="D588" s="9" t="n">
        <v>0.0107009259259259</v>
      </c>
      <c r="E588" s="10" t="n">
        <v>585</v>
      </c>
      <c r="F588" s="11"/>
      <c r="G588" s="12"/>
      <c r="H588" s="11" t="n">
        <v>0.00283611111111111</v>
      </c>
      <c r="I588" s="12" t="n">
        <v>471</v>
      </c>
      <c r="J588" s="14" t="s">
        <v>1006</v>
      </c>
      <c r="K588" s="14"/>
      <c r="L588" s="14"/>
      <c r="M588" s="13"/>
    </row>
    <row r="589" customFormat="false" ht="15" hidden="false" customHeight="false" outlineLevel="0" collapsed="false">
      <c r="A589" s="6" t="n">
        <v>585</v>
      </c>
      <c r="B589" s="7" t="s">
        <v>1007</v>
      </c>
      <c r="C589" s="8" t="s">
        <v>143</v>
      </c>
      <c r="D589" s="9" t="n">
        <v>0.0107012731481482</v>
      </c>
      <c r="E589" s="10" t="n">
        <v>586</v>
      </c>
      <c r="F589" s="11"/>
      <c r="G589" s="12"/>
      <c r="H589" s="11"/>
      <c r="I589" s="12"/>
      <c r="J589" s="14"/>
      <c r="K589" s="14"/>
      <c r="L589" s="14"/>
      <c r="M589" s="13"/>
    </row>
    <row r="590" customFormat="false" ht="15" hidden="false" customHeight="false" outlineLevel="0" collapsed="false">
      <c r="A590" s="6" t="n">
        <v>586</v>
      </c>
      <c r="B590" s="7" t="s">
        <v>1008</v>
      </c>
      <c r="C590" s="8" t="s">
        <v>122</v>
      </c>
      <c r="D590" s="9" t="n">
        <v>0.0107016203703704</v>
      </c>
      <c r="E590" s="10" t="n">
        <v>587</v>
      </c>
      <c r="F590" s="11" t="n">
        <v>0.00677569444444444</v>
      </c>
      <c r="G590" s="12" t="n">
        <v>152</v>
      </c>
      <c r="H590" s="11" t="n">
        <v>0.00289988425925926</v>
      </c>
      <c r="I590" s="12" t="n">
        <v>946</v>
      </c>
      <c r="J590" s="14"/>
      <c r="K590" s="14" t="s">
        <v>1009</v>
      </c>
      <c r="L590" s="14"/>
      <c r="M590" s="13"/>
    </row>
    <row r="591" customFormat="false" ht="15" hidden="false" customHeight="false" outlineLevel="0" collapsed="false">
      <c r="A591" s="6" t="n">
        <v>587</v>
      </c>
      <c r="B591" s="7" t="s">
        <v>1010</v>
      </c>
      <c r="C591" s="8" t="s">
        <v>283</v>
      </c>
      <c r="D591" s="9" t="n">
        <v>0.0107028935185185</v>
      </c>
      <c r="E591" s="10" t="n">
        <v>588</v>
      </c>
      <c r="F591" s="11"/>
      <c r="G591" s="12"/>
      <c r="H591" s="11"/>
      <c r="I591" s="12"/>
      <c r="J591" s="14"/>
      <c r="K591" s="14"/>
      <c r="L591" s="14"/>
      <c r="M591" s="13"/>
    </row>
    <row r="592" customFormat="false" ht="15" hidden="false" customHeight="false" outlineLevel="0" collapsed="false">
      <c r="A592" s="6" t="n">
        <v>588</v>
      </c>
      <c r="B592" s="7" t="s">
        <v>1011</v>
      </c>
      <c r="C592" s="8" t="s">
        <v>399</v>
      </c>
      <c r="D592" s="9" t="n">
        <v>0.010703587962963</v>
      </c>
      <c r="E592" s="10" t="n">
        <v>589</v>
      </c>
      <c r="F592" s="11" t="n">
        <v>0.00671666666666667</v>
      </c>
      <c r="G592" s="12" t="n">
        <v>113</v>
      </c>
      <c r="H592" s="11"/>
      <c r="I592" s="12"/>
      <c r="J592" s="14"/>
      <c r="K592" s="14"/>
      <c r="L592" s="14"/>
      <c r="M592" s="13"/>
    </row>
    <row r="593" customFormat="false" ht="15" hidden="false" customHeight="false" outlineLevel="0" collapsed="false">
      <c r="A593" s="6" t="n">
        <v>589</v>
      </c>
      <c r="B593" s="7" t="s">
        <v>1012</v>
      </c>
      <c r="C593" s="8" t="s">
        <v>868</v>
      </c>
      <c r="D593" s="9" t="n">
        <v>0.01070625</v>
      </c>
      <c r="E593" s="10" t="n">
        <v>590</v>
      </c>
      <c r="F593" s="11"/>
      <c r="G593" s="12"/>
      <c r="H593" s="11" t="n">
        <v>0.00276585648148148</v>
      </c>
      <c r="I593" s="12" t="n">
        <v>151</v>
      </c>
      <c r="J593" s="14" t="s">
        <v>1013</v>
      </c>
      <c r="K593" s="14"/>
      <c r="L593" s="14"/>
      <c r="M593" s="13"/>
    </row>
    <row r="594" customFormat="false" ht="15" hidden="false" customHeight="false" outlineLevel="0" collapsed="false">
      <c r="A594" s="6" t="n">
        <v>590</v>
      </c>
      <c r="B594" s="7" t="s">
        <v>1014</v>
      </c>
      <c r="C594" s="8" t="s">
        <v>92</v>
      </c>
      <c r="D594" s="9" t="n">
        <v>0.01070625</v>
      </c>
      <c r="E594" s="10" t="n">
        <v>591</v>
      </c>
      <c r="F594" s="11"/>
      <c r="G594" s="12"/>
      <c r="H594" s="11"/>
      <c r="I594" s="12"/>
      <c r="J594" s="14"/>
      <c r="K594" s="14"/>
      <c r="L594" s="14"/>
      <c r="M594" s="13"/>
    </row>
    <row r="595" customFormat="false" ht="15" hidden="false" customHeight="false" outlineLevel="0" collapsed="false">
      <c r="A595" s="6" t="n">
        <v>591</v>
      </c>
      <c r="B595" s="7" t="s">
        <v>1015</v>
      </c>
      <c r="C595" s="8" t="s">
        <v>130</v>
      </c>
      <c r="D595" s="9" t="n">
        <v>0.0107072916666667</v>
      </c>
      <c r="E595" s="10" t="n">
        <v>592</v>
      </c>
      <c r="F595" s="11" t="n">
        <v>0.0071912037037037</v>
      </c>
      <c r="G595" s="12" t="n">
        <v>529</v>
      </c>
      <c r="H595" s="11" t="n">
        <v>0.00282974537037037</v>
      </c>
      <c r="I595" s="12" t="n">
        <v>426</v>
      </c>
      <c r="J595" s="14"/>
      <c r="K595" s="14"/>
      <c r="L595" s="14"/>
      <c r="M595" s="13"/>
    </row>
    <row r="596" customFormat="false" ht="15" hidden="false" customHeight="false" outlineLevel="0" collapsed="false">
      <c r="A596" s="6" t="n">
        <v>592</v>
      </c>
      <c r="B596" s="7" t="s">
        <v>1016</v>
      </c>
      <c r="C596" s="8" t="s">
        <v>54</v>
      </c>
      <c r="D596" s="9" t="n">
        <v>0.0107074074074074</v>
      </c>
      <c r="E596" s="10" t="n">
        <v>593</v>
      </c>
      <c r="F596" s="11" t="n">
        <v>0.00683229166666667</v>
      </c>
      <c r="G596" s="12" t="n">
        <v>194</v>
      </c>
      <c r="H596" s="11"/>
      <c r="I596" s="12"/>
      <c r="J596" s="14"/>
      <c r="K596" s="14"/>
      <c r="L596" s="14"/>
      <c r="M596" s="13"/>
    </row>
    <row r="597" customFormat="false" ht="15" hidden="false" customHeight="false" outlineLevel="0" collapsed="false">
      <c r="A597" s="6" t="n">
        <v>593</v>
      </c>
      <c r="B597" s="7" t="s">
        <v>1017</v>
      </c>
      <c r="C597" s="8" t="s">
        <v>233</v>
      </c>
      <c r="D597" s="9" t="n">
        <v>0.0107076388888889</v>
      </c>
      <c r="E597" s="10" t="n">
        <v>594</v>
      </c>
      <c r="F597" s="11" t="n">
        <v>0.00700706018518519</v>
      </c>
      <c r="G597" s="12" t="n">
        <v>345</v>
      </c>
      <c r="H597" s="11" t="n">
        <v>0.00293472222222222</v>
      </c>
      <c r="I597" s="12" t="n">
        <v>1185</v>
      </c>
      <c r="J597" s="14"/>
      <c r="K597" s="14"/>
      <c r="L597" s="14"/>
      <c r="M597" s="13"/>
    </row>
    <row r="598" customFormat="false" ht="15" hidden="false" customHeight="false" outlineLevel="0" collapsed="false">
      <c r="A598" s="6" t="n">
        <v>594</v>
      </c>
      <c r="B598" s="7" t="s">
        <v>1018</v>
      </c>
      <c r="C598" s="8" t="s">
        <v>616</v>
      </c>
      <c r="D598" s="9" t="n">
        <v>0.0107081018518519</v>
      </c>
      <c r="E598" s="10" t="n">
        <v>595</v>
      </c>
      <c r="F598" s="11"/>
      <c r="G598" s="12"/>
      <c r="H598" s="11" t="n">
        <v>0.00285115740740741</v>
      </c>
      <c r="I598" s="12" t="n">
        <v>576</v>
      </c>
      <c r="J598" s="14"/>
      <c r="K598" s="14" t="s">
        <v>1019</v>
      </c>
      <c r="L598" s="14"/>
      <c r="M598" s="13"/>
    </row>
    <row r="599" customFormat="false" ht="15" hidden="false" customHeight="false" outlineLevel="0" collapsed="false">
      <c r="A599" s="6" t="n">
        <v>595</v>
      </c>
      <c r="B599" s="7" t="s">
        <v>1020</v>
      </c>
      <c r="C599" s="8" t="s">
        <v>1021</v>
      </c>
      <c r="D599" s="9" t="n">
        <v>0.0107082175925926</v>
      </c>
      <c r="E599" s="10" t="n">
        <v>596</v>
      </c>
      <c r="F599" s="11"/>
      <c r="G599" s="12"/>
      <c r="H599" s="11"/>
      <c r="I599" s="12"/>
      <c r="J599" s="14"/>
      <c r="K599" s="14"/>
      <c r="L599" s="14"/>
      <c r="M599" s="13"/>
    </row>
    <row r="600" customFormat="false" ht="15" hidden="false" customHeight="false" outlineLevel="0" collapsed="false">
      <c r="A600" s="6" t="n">
        <v>596</v>
      </c>
      <c r="B600" s="7" t="s">
        <v>1022</v>
      </c>
      <c r="C600" s="8" t="s">
        <v>341</v>
      </c>
      <c r="D600" s="9" t="n">
        <v>0.0107082175925926</v>
      </c>
      <c r="E600" s="10" t="n">
        <v>597</v>
      </c>
      <c r="F600" s="11"/>
      <c r="G600" s="12"/>
      <c r="H600" s="11" t="n">
        <v>0.00273611111111111</v>
      </c>
      <c r="I600" s="12" t="n">
        <v>77</v>
      </c>
      <c r="J600" s="14" t="s">
        <v>1023</v>
      </c>
      <c r="K600" s="14"/>
      <c r="L600" s="14"/>
      <c r="M600" s="13"/>
    </row>
    <row r="601" customFormat="false" ht="15" hidden="false" customHeight="false" outlineLevel="0" collapsed="false">
      <c r="A601" s="6" t="n">
        <v>597</v>
      </c>
      <c r="B601" s="7" t="s">
        <v>1024</v>
      </c>
      <c r="C601" s="8" t="s">
        <v>641</v>
      </c>
      <c r="D601" s="9" t="n">
        <v>0.010708912037037</v>
      </c>
      <c r="E601" s="10" t="n">
        <v>598</v>
      </c>
      <c r="F601" s="11"/>
      <c r="G601" s="12"/>
      <c r="H601" s="11" t="n">
        <v>0.00287673611111111</v>
      </c>
      <c r="I601" s="12" t="n">
        <v>745</v>
      </c>
      <c r="J601" s="14" t="s">
        <v>473</v>
      </c>
      <c r="K601" s="14"/>
      <c r="L601" s="14"/>
      <c r="M601" s="13"/>
    </row>
    <row r="602" customFormat="false" ht="15" hidden="false" customHeight="false" outlineLevel="0" collapsed="false">
      <c r="A602" s="6" t="n">
        <v>598</v>
      </c>
      <c r="B602" s="7" t="s">
        <v>1025</v>
      </c>
      <c r="C602" s="8" t="s">
        <v>73</v>
      </c>
      <c r="D602" s="9" t="n">
        <v>0.0107099537037037</v>
      </c>
      <c r="E602" s="10" t="n">
        <v>599</v>
      </c>
      <c r="F602" s="11"/>
      <c r="G602" s="12"/>
      <c r="H602" s="11" t="n">
        <v>0.00274537037037037</v>
      </c>
      <c r="I602" s="12" t="n">
        <v>91</v>
      </c>
      <c r="J602" s="14"/>
      <c r="K602" s="14"/>
      <c r="L602" s="14"/>
      <c r="M602" s="13"/>
    </row>
    <row r="603" customFormat="false" ht="15" hidden="false" customHeight="false" outlineLevel="0" collapsed="false">
      <c r="A603" s="6" t="n">
        <v>599</v>
      </c>
      <c r="B603" s="7" t="s">
        <v>1026</v>
      </c>
      <c r="C603" s="8" t="s">
        <v>192</v>
      </c>
      <c r="D603" s="9" t="n">
        <v>0.0107121527777778</v>
      </c>
      <c r="E603" s="10" t="n">
        <v>600</v>
      </c>
      <c r="F603" s="11"/>
      <c r="G603" s="12"/>
      <c r="H603" s="11" t="n">
        <v>0.00283576388888889</v>
      </c>
      <c r="I603" s="12" t="n">
        <v>469</v>
      </c>
      <c r="J603" s="14"/>
      <c r="K603" s="14"/>
      <c r="L603" s="14"/>
      <c r="M603" s="13"/>
    </row>
    <row r="604" customFormat="false" ht="15" hidden="false" customHeight="false" outlineLevel="0" collapsed="false">
      <c r="A604" s="6" t="n">
        <v>600</v>
      </c>
      <c r="B604" s="7" t="s">
        <v>1027</v>
      </c>
      <c r="C604" s="8" t="s">
        <v>1028</v>
      </c>
      <c r="D604" s="9" t="n">
        <v>0.0107128472222222</v>
      </c>
      <c r="E604" s="10" t="n">
        <v>601</v>
      </c>
      <c r="F604" s="11"/>
      <c r="G604" s="12"/>
      <c r="H604" s="11" t="n">
        <v>0.00289988425925926</v>
      </c>
      <c r="I604" s="12" t="n">
        <v>944</v>
      </c>
      <c r="J604" s="14"/>
      <c r="K604" s="14"/>
      <c r="L604" s="14"/>
      <c r="M604" s="13"/>
    </row>
    <row r="605" customFormat="false" ht="15" hidden="false" customHeight="false" outlineLevel="0" collapsed="false">
      <c r="A605" s="6" t="n">
        <v>601</v>
      </c>
      <c r="B605" s="7" t="s">
        <v>1029</v>
      </c>
      <c r="C605" s="8" t="s">
        <v>408</v>
      </c>
      <c r="D605" s="9" t="n">
        <v>0.0107133101851852</v>
      </c>
      <c r="E605" s="10" t="n">
        <v>602</v>
      </c>
      <c r="F605" s="11"/>
      <c r="G605" s="12"/>
      <c r="H605" s="11"/>
      <c r="I605" s="12"/>
      <c r="J605" s="14"/>
      <c r="K605" s="14"/>
      <c r="L605" s="14"/>
      <c r="M605" s="13"/>
    </row>
    <row r="606" customFormat="false" ht="15" hidden="false" customHeight="false" outlineLevel="0" collapsed="false">
      <c r="A606" s="6" t="n">
        <v>602</v>
      </c>
      <c r="B606" s="7" t="s">
        <v>1030</v>
      </c>
      <c r="C606" s="8" t="s">
        <v>283</v>
      </c>
      <c r="D606" s="9" t="n">
        <v>0.0107142361111111</v>
      </c>
      <c r="E606" s="10" t="n">
        <v>603</v>
      </c>
      <c r="F606" s="11" t="n">
        <v>0.00700081018518519</v>
      </c>
      <c r="G606" s="12" t="n">
        <v>338</v>
      </c>
      <c r="H606" s="11" t="n">
        <v>0.00286875</v>
      </c>
      <c r="I606" s="12" t="n">
        <v>686</v>
      </c>
      <c r="J606" s="14"/>
      <c r="K606" s="14"/>
      <c r="L606" s="8" t="s">
        <v>996</v>
      </c>
      <c r="M606" s="13"/>
    </row>
    <row r="607" customFormat="false" ht="15" hidden="false" customHeight="false" outlineLevel="0" collapsed="false">
      <c r="A607" s="6" t="n">
        <v>603</v>
      </c>
      <c r="B607" s="7" t="s">
        <v>1031</v>
      </c>
      <c r="C607" s="8" t="s">
        <v>56</v>
      </c>
      <c r="D607" s="9" t="n">
        <v>0.0107144675925926</v>
      </c>
      <c r="E607" s="10" t="n">
        <v>604</v>
      </c>
      <c r="F607" s="11"/>
      <c r="G607" s="12"/>
      <c r="H607" s="11" t="n">
        <v>0.00280671296296296</v>
      </c>
      <c r="I607" s="12" t="n">
        <v>310</v>
      </c>
      <c r="J607" s="14"/>
      <c r="K607" s="14"/>
      <c r="L607" s="14"/>
      <c r="M607" s="13"/>
    </row>
    <row r="608" customFormat="false" ht="15" hidden="false" customHeight="false" outlineLevel="0" collapsed="false">
      <c r="A608" s="6" t="n">
        <v>604</v>
      </c>
      <c r="B608" s="7" t="s">
        <v>1032</v>
      </c>
      <c r="C608" s="8" t="s">
        <v>394</v>
      </c>
      <c r="D608" s="9" t="n">
        <v>0.0107153935185185</v>
      </c>
      <c r="E608" s="10" t="n">
        <v>605</v>
      </c>
      <c r="F608" s="11"/>
      <c r="G608" s="12"/>
      <c r="H608" s="11" t="n">
        <v>0.00294710648148148</v>
      </c>
      <c r="I608" s="12" t="n">
        <v>1224</v>
      </c>
      <c r="J608" s="14"/>
      <c r="K608" s="14"/>
      <c r="L608" s="14"/>
      <c r="M608" s="13"/>
    </row>
    <row r="609" customFormat="false" ht="15" hidden="false" customHeight="false" outlineLevel="0" collapsed="false">
      <c r="A609" s="6" t="n">
        <v>605</v>
      </c>
      <c r="B609" s="7" t="s">
        <v>1033</v>
      </c>
      <c r="C609" s="8" t="s">
        <v>625</v>
      </c>
      <c r="D609" s="9" t="n">
        <v>0.0107155092592593</v>
      </c>
      <c r="E609" s="10" t="n">
        <v>606</v>
      </c>
      <c r="F609" s="11"/>
      <c r="G609" s="12"/>
      <c r="H609" s="11"/>
      <c r="I609" s="12"/>
      <c r="J609" s="14"/>
      <c r="K609" s="14"/>
      <c r="L609" s="14"/>
      <c r="M609" s="13"/>
    </row>
    <row r="610" customFormat="false" ht="15" hidden="false" customHeight="false" outlineLevel="0" collapsed="false">
      <c r="A610" s="6" t="n">
        <v>606</v>
      </c>
      <c r="B610" s="7" t="s">
        <v>1034</v>
      </c>
      <c r="C610" s="8" t="s">
        <v>118</v>
      </c>
      <c r="D610" s="9" t="n">
        <v>0.0107158564814815</v>
      </c>
      <c r="E610" s="10" t="n">
        <v>607</v>
      </c>
      <c r="F610" s="11"/>
      <c r="G610" s="12"/>
      <c r="H610" s="11" t="n">
        <v>0.0027556712962963</v>
      </c>
      <c r="I610" s="12" t="n">
        <v>122</v>
      </c>
      <c r="J610" s="14"/>
      <c r="K610" s="14"/>
      <c r="L610" s="14"/>
      <c r="M610" s="13"/>
    </row>
    <row r="611" customFormat="false" ht="15" hidden="false" customHeight="false" outlineLevel="0" collapsed="false">
      <c r="A611" s="6" t="n">
        <v>607</v>
      </c>
      <c r="B611" s="7" t="s">
        <v>1035</v>
      </c>
      <c r="C611" s="8" t="s">
        <v>186</v>
      </c>
      <c r="D611" s="9" t="n">
        <v>0.010716087962963</v>
      </c>
      <c r="E611" s="10" t="n">
        <v>608</v>
      </c>
      <c r="F611" s="11" t="n">
        <v>0.00634525462962963</v>
      </c>
      <c r="G611" s="12" t="n">
        <v>9</v>
      </c>
      <c r="H611" s="11" t="n">
        <v>0.00277592592592593</v>
      </c>
      <c r="I611" s="12" t="n">
        <v>180</v>
      </c>
      <c r="J611" s="14"/>
      <c r="K611" s="14"/>
      <c r="L611" s="14"/>
      <c r="M611" s="13"/>
    </row>
    <row r="612" customFormat="false" ht="15" hidden="false" customHeight="false" outlineLevel="0" collapsed="false">
      <c r="A612" s="6" t="n">
        <v>608</v>
      </c>
      <c r="B612" s="7" t="s">
        <v>1036</v>
      </c>
      <c r="C612" s="8" t="s">
        <v>594</v>
      </c>
      <c r="D612" s="9" t="n">
        <v>0.0107168981481482</v>
      </c>
      <c r="E612" s="10" t="n">
        <v>609</v>
      </c>
      <c r="F612" s="11"/>
      <c r="G612" s="12"/>
      <c r="H612" s="11"/>
      <c r="I612" s="12"/>
      <c r="J612" s="14"/>
      <c r="K612" s="14"/>
      <c r="L612" s="14"/>
      <c r="M612" s="13"/>
    </row>
    <row r="613" customFormat="false" ht="15" hidden="false" customHeight="false" outlineLevel="0" collapsed="false">
      <c r="A613" s="6" t="n">
        <v>609</v>
      </c>
      <c r="B613" s="7" t="s">
        <v>1037</v>
      </c>
      <c r="C613" s="8" t="s">
        <v>667</v>
      </c>
      <c r="D613" s="9" t="n">
        <v>0.0107172453703704</v>
      </c>
      <c r="E613" s="10" t="n">
        <v>610</v>
      </c>
      <c r="F613" s="11" t="n">
        <v>0.00698078703703704</v>
      </c>
      <c r="G613" s="12" t="n">
        <v>314</v>
      </c>
      <c r="H613" s="11"/>
      <c r="I613" s="12"/>
      <c r="J613" s="14"/>
      <c r="K613" s="14"/>
      <c r="L613" s="14"/>
      <c r="M613" s="13"/>
    </row>
    <row r="614" customFormat="false" ht="15" hidden="false" customHeight="false" outlineLevel="0" collapsed="false">
      <c r="A614" s="6" t="n">
        <v>610</v>
      </c>
      <c r="B614" s="7" t="s">
        <v>1038</v>
      </c>
      <c r="C614" s="8" t="s">
        <v>408</v>
      </c>
      <c r="D614" s="9" t="n">
        <v>0.0107178240740741</v>
      </c>
      <c r="E614" s="10" t="n">
        <v>611</v>
      </c>
      <c r="F614" s="11"/>
      <c r="G614" s="12"/>
      <c r="H614" s="11"/>
      <c r="I614" s="12"/>
      <c r="J614" s="14"/>
      <c r="K614" s="14"/>
      <c r="L614" s="14"/>
      <c r="M614" s="13"/>
    </row>
    <row r="615" customFormat="false" ht="15" hidden="false" customHeight="false" outlineLevel="0" collapsed="false">
      <c r="A615" s="6" t="n">
        <v>611</v>
      </c>
      <c r="B615" s="7" t="s">
        <v>1039</v>
      </c>
      <c r="C615" s="8" t="s">
        <v>1040</v>
      </c>
      <c r="D615" s="9" t="n">
        <v>0.010719212962963</v>
      </c>
      <c r="E615" s="10" t="n">
        <v>612</v>
      </c>
      <c r="F615" s="11"/>
      <c r="G615" s="12"/>
      <c r="H615" s="11" t="n">
        <v>0.00290347222222222</v>
      </c>
      <c r="I615" s="12" t="n">
        <v>975</v>
      </c>
      <c r="J615" s="14"/>
      <c r="K615" s="14"/>
      <c r="L615" s="14"/>
      <c r="M615" s="13"/>
    </row>
    <row r="616" customFormat="false" ht="15" hidden="false" customHeight="false" outlineLevel="0" collapsed="false">
      <c r="A616" s="6" t="n">
        <v>612</v>
      </c>
      <c r="B616" s="7" t="s">
        <v>1041</v>
      </c>
      <c r="C616" s="8" t="s">
        <v>1042</v>
      </c>
      <c r="D616" s="9" t="n">
        <v>0.0107209490740741</v>
      </c>
      <c r="E616" s="10" t="n">
        <v>613</v>
      </c>
      <c r="F616" s="11"/>
      <c r="G616" s="12"/>
      <c r="H616" s="11" t="n">
        <v>0.0027568287037037</v>
      </c>
      <c r="I616" s="12" t="n">
        <v>126</v>
      </c>
      <c r="J616" s="14" t="s">
        <v>1043</v>
      </c>
      <c r="K616" s="14"/>
      <c r="L616" s="14"/>
      <c r="M616" s="13"/>
    </row>
    <row r="617" customFormat="false" ht="15" hidden="false" customHeight="false" outlineLevel="0" collapsed="false">
      <c r="A617" s="6" t="n">
        <v>613</v>
      </c>
      <c r="B617" s="7" t="s">
        <v>1044</v>
      </c>
      <c r="C617" s="8" t="s">
        <v>961</v>
      </c>
      <c r="D617" s="9" t="n">
        <v>0.0107211805555556</v>
      </c>
      <c r="E617" s="10" t="n">
        <v>614</v>
      </c>
      <c r="F617" s="11"/>
      <c r="G617" s="12"/>
      <c r="H617" s="11"/>
      <c r="I617" s="12"/>
      <c r="J617" s="14"/>
      <c r="K617" s="14"/>
      <c r="L617" s="14"/>
      <c r="M617" s="13"/>
    </row>
    <row r="618" customFormat="false" ht="15" hidden="false" customHeight="false" outlineLevel="0" collapsed="false">
      <c r="A618" s="6" t="n">
        <v>614</v>
      </c>
      <c r="B618" s="7" t="s">
        <v>1045</v>
      </c>
      <c r="C618" s="8" t="s">
        <v>34</v>
      </c>
      <c r="D618" s="9" t="n">
        <v>0.0107228009259259</v>
      </c>
      <c r="E618" s="10" t="n">
        <v>615</v>
      </c>
      <c r="F618" s="11" t="n">
        <v>0.00667372685185185</v>
      </c>
      <c r="G618" s="12" t="n">
        <v>93</v>
      </c>
      <c r="H618" s="11" t="n">
        <v>0.00285810185185185</v>
      </c>
      <c r="I618" s="12" t="n">
        <v>622</v>
      </c>
      <c r="J618" s="14"/>
      <c r="K618" s="14" t="s">
        <v>1046</v>
      </c>
      <c r="L618" s="14"/>
      <c r="M618" s="13"/>
    </row>
    <row r="619" customFormat="false" ht="15" hidden="false" customHeight="false" outlineLevel="0" collapsed="false">
      <c r="A619" s="6" t="n">
        <v>615</v>
      </c>
      <c r="B619" s="7" t="s">
        <v>1047</v>
      </c>
      <c r="C619" s="8" t="s">
        <v>525</v>
      </c>
      <c r="D619" s="9" t="n">
        <v>0.0107228009259259</v>
      </c>
      <c r="E619" s="10" t="n">
        <v>616</v>
      </c>
      <c r="F619" s="11" t="n">
        <v>0.00680914351851852</v>
      </c>
      <c r="G619" s="12" t="n">
        <v>179</v>
      </c>
      <c r="H619" s="11" t="n">
        <v>0.00292210648148148</v>
      </c>
      <c r="I619" s="12" t="n">
        <v>1115</v>
      </c>
      <c r="J619" s="14"/>
      <c r="K619" s="14"/>
      <c r="L619" s="14"/>
      <c r="M619" s="13"/>
    </row>
    <row r="620" customFormat="false" ht="15" hidden="false" customHeight="false" outlineLevel="0" collapsed="false">
      <c r="A620" s="6" t="n">
        <v>616</v>
      </c>
      <c r="B620" s="7" t="s">
        <v>1048</v>
      </c>
      <c r="C620" s="8" t="s">
        <v>588</v>
      </c>
      <c r="D620" s="9" t="n">
        <v>0.0107229166666667</v>
      </c>
      <c r="E620" s="10" t="n">
        <v>617</v>
      </c>
      <c r="F620" s="11" t="n">
        <v>0.00666805555555556</v>
      </c>
      <c r="G620" s="12" t="n">
        <v>91</v>
      </c>
      <c r="H620" s="11" t="n">
        <v>0.00291608796296296</v>
      </c>
      <c r="I620" s="12" t="n">
        <v>1059</v>
      </c>
      <c r="J620" s="14" t="s">
        <v>884</v>
      </c>
      <c r="K620" s="14"/>
      <c r="L620" s="14"/>
      <c r="M620" s="13"/>
    </row>
    <row r="621" customFormat="false" ht="15" hidden="false" customHeight="false" outlineLevel="0" collapsed="false">
      <c r="A621" s="6" t="n">
        <v>617</v>
      </c>
      <c r="B621" s="7" t="s">
        <v>1049</v>
      </c>
      <c r="C621" s="8" t="s">
        <v>641</v>
      </c>
      <c r="D621" s="9" t="n">
        <v>0.0107231481481482</v>
      </c>
      <c r="E621" s="10" t="n">
        <v>618</v>
      </c>
      <c r="F621" s="11" t="n">
        <v>0.00752777777777778</v>
      </c>
      <c r="G621" s="12" t="n">
        <v>928</v>
      </c>
      <c r="H621" s="11" t="n">
        <v>0.0029162037037037</v>
      </c>
      <c r="I621" s="12" t="n">
        <v>1060</v>
      </c>
      <c r="J621" s="14"/>
      <c r="K621" s="14"/>
      <c r="L621" s="14"/>
      <c r="M621" s="13"/>
    </row>
    <row r="622" customFormat="false" ht="15" hidden="false" customHeight="false" outlineLevel="0" collapsed="false">
      <c r="A622" s="6" t="n">
        <v>618</v>
      </c>
      <c r="B622" s="7" t="s">
        <v>1050</v>
      </c>
      <c r="C622" s="8" t="s">
        <v>433</v>
      </c>
      <c r="D622" s="9" t="n">
        <v>0.0107232638888889</v>
      </c>
      <c r="E622" s="10" t="n">
        <v>619</v>
      </c>
      <c r="F622" s="11" t="n">
        <v>0.00677303240740741</v>
      </c>
      <c r="G622" s="12" t="n">
        <v>150</v>
      </c>
      <c r="H622" s="11" t="n">
        <v>0.00282118055555556</v>
      </c>
      <c r="I622" s="12" t="n">
        <v>370</v>
      </c>
      <c r="J622" s="14" t="s">
        <v>1051</v>
      </c>
      <c r="K622" s="14"/>
      <c r="L622" s="14"/>
      <c r="M622" s="13"/>
    </row>
    <row r="623" customFormat="false" ht="15" hidden="false" customHeight="false" outlineLevel="0" collapsed="false">
      <c r="A623" s="6" t="n">
        <v>619</v>
      </c>
      <c r="B623" s="7" t="s">
        <v>1052</v>
      </c>
      <c r="C623" s="8" t="s">
        <v>92</v>
      </c>
      <c r="D623" s="9" t="n">
        <v>0.0107236111111111</v>
      </c>
      <c r="E623" s="10" t="n">
        <v>620</v>
      </c>
      <c r="F623" s="11" t="n">
        <v>0.00674884259259259</v>
      </c>
      <c r="G623" s="12" t="n">
        <v>127</v>
      </c>
      <c r="H623" s="11" t="n">
        <v>0.00295983796296296</v>
      </c>
      <c r="I623" s="12" t="n">
        <v>1271</v>
      </c>
      <c r="J623" s="14"/>
      <c r="K623" s="14"/>
      <c r="L623" s="14"/>
      <c r="M623" s="13"/>
    </row>
    <row r="624" customFormat="false" ht="15" hidden="false" customHeight="false" outlineLevel="0" collapsed="false">
      <c r="A624" s="6" t="n">
        <v>620</v>
      </c>
      <c r="B624" s="7" t="s">
        <v>1053</v>
      </c>
      <c r="C624" s="8" t="s">
        <v>18</v>
      </c>
      <c r="D624" s="9" t="n">
        <v>0.0107247685185185</v>
      </c>
      <c r="E624" s="10" t="n">
        <v>621</v>
      </c>
      <c r="F624" s="11" t="n">
        <v>0.00673368055555556</v>
      </c>
      <c r="G624" s="12" t="n">
        <v>121</v>
      </c>
      <c r="H624" s="11"/>
      <c r="I624" s="12"/>
      <c r="J624" s="14"/>
      <c r="K624" s="14"/>
      <c r="L624" s="14"/>
      <c r="M624" s="13"/>
    </row>
    <row r="625" customFormat="false" ht="15" hidden="false" customHeight="false" outlineLevel="0" collapsed="false">
      <c r="A625" s="6" t="n">
        <v>621</v>
      </c>
      <c r="B625" s="7" t="s">
        <v>1054</v>
      </c>
      <c r="C625" s="8" t="s">
        <v>236</v>
      </c>
      <c r="D625" s="9" t="n">
        <v>0.0107248842592593</v>
      </c>
      <c r="E625" s="10" t="n">
        <v>622</v>
      </c>
      <c r="F625" s="11"/>
      <c r="G625" s="12"/>
      <c r="H625" s="11" t="n">
        <v>0.00297673611111111</v>
      </c>
      <c r="I625" s="12" t="n">
        <v>1339</v>
      </c>
      <c r="J625" s="14"/>
      <c r="K625" s="14"/>
      <c r="L625" s="14"/>
      <c r="M625" s="13"/>
    </row>
    <row r="626" customFormat="false" ht="15" hidden="false" customHeight="false" outlineLevel="0" collapsed="false">
      <c r="A626" s="6" t="n">
        <v>622</v>
      </c>
      <c r="B626" s="7" t="s">
        <v>1055</v>
      </c>
      <c r="C626" s="8" t="s">
        <v>1056</v>
      </c>
      <c r="D626" s="9" t="n">
        <v>0.0107252314814815</v>
      </c>
      <c r="E626" s="10" t="n">
        <v>623</v>
      </c>
      <c r="F626" s="11"/>
      <c r="G626" s="12"/>
      <c r="H626" s="11"/>
      <c r="I626" s="12"/>
      <c r="J626" s="14"/>
      <c r="K626" s="14"/>
      <c r="L626" s="14"/>
      <c r="M626" s="13"/>
    </row>
    <row r="627" customFormat="false" ht="15" hidden="false" customHeight="false" outlineLevel="0" collapsed="false">
      <c r="A627" s="6" t="n">
        <v>623</v>
      </c>
      <c r="B627" s="7" t="s">
        <v>1057</v>
      </c>
      <c r="C627" s="8" t="s">
        <v>152</v>
      </c>
      <c r="D627" s="9" t="n">
        <v>0.0107270833333333</v>
      </c>
      <c r="E627" s="10" t="n">
        <v>624</v>
      </c>
      <c r="F627" s="11"/>
      <c r="G627" s="12"/>
      <c r="H627" s="11" t="n">
        <v>0.00292291666666667</v>
      </c>
      <c r="I627" s="12" t="n">
        <v>1124</v>
      </c>
      <c r="J627" s="14"/>
      <c r="K627" s="14"/>
      <c r="L627" s="14"/>
      <c r="M627" s="13"/>
    </row>
    <row r="628" customFormat="false" ht="15" hidden="false" customHeight="false" outlineLevel="0" collapsed="false">
      <c r="A628" s="6" t="n">
        <v>624</v>
      </c>
      <c r="B628" s="7" t="s">
        <v>1058</v>
      </c>
      <c r="C628" s="8" t="s">
        <v>508</v>
      </c>
      <c r="D628" s="9" t="n">
        <v>0.0107273148148148</v>
      </c>
      <c r="E628" s="10" t="n">
        <v>625</v>
      </c>
      <c r="F628" s="11"/>
      <c r="G628" s="12"/>
      <c r="H628" s="11" t="n">
        <v>0.00279710648148148</v>
      </c>
      <c r="I628" s="12" t="n">
        <v>270</v>
      </c>
      <c r="J628" s="14"/>
      <c r="K628" s="14"/>
      <c r="L628" s="14"/>
      <c r="M628" s="13"/>
    </row>
    <row r="629" customFormat="false" ht="15" hidden="false" customHeight="false" outlineLevel="0" collapsed="false">
      <c r="A629" s="6" t="n">
        <v>625</v>
      </c>
      <c r="B629" s="7" t="s">
        <v>1059</v>
      </c>
      <c r="C629" s="8" t="s">
        <v>375</v>
      </c>
      <c r="D629" s="9" t="n">
        <v>0.0107274305555556</v>
      </c>
      <c r="E629" s="10" t="n">
        <v>626</v>
      </c>
      <c r="F629" s="11" t="n">
        <v>0.00674560185185185</v>
      </c>
      <c r="G629" s="12" t="n">
        <v>124</v>
      </c>
      <c r="H629" s="11"/>
      <c r="I629" s="12"/>
      <c r="J629" s="14" t="s">
        <v>1060</v>
      </c>
      <c r="K629" s="14"/>
      <c r="L629" s="14"/>
      <c r="M629" s="13"/>
    </row>
    <row r="630" customFormat="false" ht="15" hidden="false" customHeight="false" outlineLevel="0" collapsed="false">
      <c r="A630" s="6" t="n">
        <v>626</v>
      </c>
      <c r="B630" s="7" t="s">
        <v>1061</v>
      </c>
      <c r="C630" s="8" t="s">
        <v>1062</v>
      </c>
      <c r="D630" s="9" t="n">
        <v>0.0107275462962963</v>
      </c>
      <c r="E630" s="10" t="n">
        <v>627</v>
      </c>
      <c r="F630" s="11"/>
      <c r="G630" s="12"/>
      <c r="H630" s="11" t="n">
        <v>0.00284606481481482</v>
      </c>
      <c r="I630" s="12" t="n">
        <v>542</v>
      </c>
      <c r="J630" s="14"/>
      <c r="K630" s="14"/>
      <c r="L630" s="14"/>
      <c r="M630" s="13"/>
    </row>
    <row r="631" customFormat="false" ht="15" hidden="false" customHeight="false" outlineLevel="0" collapsed="false">
      <c r="A631" s="6" t="n">
        <v>627</v>
      </c>
      <c r="B631" s="7" t="s">
        <v>1063</v>
      </c>
      <c r="C631" s="8" t="s">
        <v>1064</v>
      </c>
      <c r="D631" s="9" t="n">
        <v>0.0107280092592593</v>
      </c>
      <c r="E631" s="10" t="n">
        <v>628</v>
      </c>
      <c r="F631" s="11"/>
      <c r="G631" s="12"/>
      <c r="H631" s="11" t="n">
        <v>0.00283472222222222</v>
      </c>
      <c r="I631" s="12" t="n">
        <v>458</v>
      </c>
      <c r="J631" s="14"/>
      <c r="K631" s="14"/>
      <c r="L631" s="14"/>
      <c r="M631" s="13"/>
    </row>
    <row r="632" customFormat="false" ht="15" hidden="false" customHeight="false" outlineLevel="0" collapsed="false">
      <c r="A632" s="6" t="n">
        <v>628</v>
      </c>
      <c r="B632" s="7" t="s">
        <v>1065</v>
      </c>
      <c r="C632" s="8" t="s">
        <v>296</v>
      </c>
      <c r="D632" s="9" t="n">
        <v>0.0107282407407407</v>
      </c>
      <c r="E632" s="10" t="n">
        <v>629</v>
      </c>
      <c r="F632" s="11"/>
      <c r="G632" s="12"/>
      <c r="H632" s="11"/>
      <c r="I632" s="12"/>
      <c r="J632" s="14"/>
      <c r="K632" s="14"/>
      <c r="L632" s="14"/>
      <c r="M632" s="13"/>
    </row>
    <row r="633" customFormat="false" ht="15" hidden="false" customHeight="false" outlineLevel="0" collapsed="false">
      <c r="A633" s="6" t="n">
        <v>629</v>
      </c>
      <c r="B633" s="7" t="s">
        <v>1066</v>
      </c>
      <c r="C633" s="8" t="s">
        <v>236</v>
      </c>
      <c r="D633" s="9" t="n">
        <v>0.0107283564814815</v>
      </c>
      <c r="E633" s="10" t="n">
        <v>630</v>
      </c>
      <c r="F633" s="11" t="n">
        <v>0.00653715277777778</v>
      </c>
      <c r="G633" s="12" t="n">
        <v>42</v>
      </c>
      <c r="H633" s="11"/>
      <c r="I633" s="12"/>
      <c r="J633" s="14"/>
      <c r="K633" s="14"/>
      <c r="L633" s="14"/>
      <c r="M633" s="13"/>
    </row>
    <row r="634" customFormat="false" ht="15" hidden="false" customHeight="false" outlineLevel="0" collapsed="false">
      <c r="A634" s="6" t="n">
        <v>630</v>
      </c>
      <c r="B634" s="7" t="s">
        <v>1067</v>
      </c>
      <c r="C634" s="8" t="s">
        <v>932</v>
      </c>
      <c r="D634" s="9" t="n">
        <v>0.0107291666666667</v>
      </c>
      <c r="E634" s="10" t="n">
        <v>631</v>
      </c>
      <c r="F634" s="11"/>
      <c r="G634" s="12"/>
      <c r="H634" s="11" t="n">
        <v>0.0029412037037037</v>
      </c>
      <c r="I634" s="12" t="n">
        <v>1203</v>
      </c>
      <c r="J634" s="14"/>
      <c r="K634" s="14" t="s">
        <v>1068</v>
      </c>
      <c r="L634" s="14"/>
      <c r="M634" s="13"/>
    </row>
    <row r="635" customFormat="false" ht="15" hidden="false" customHeight="false" outlineLevel="0" collapsed="false">
      <c r="A635" s="6" t="n">
        <v>631</v>
      </c>
      <c r="B635" s="7" t="s">
        <v>1069</v>
      </c>
      <c r="C635" s="8" t="s">
        <v>108</v>
      </c>
      <c r="D635" s="9" t="n">
        <v>0.0107303240740741</v>
      </c>
      <c r="E635" s="10" t="n">
        <v>632</v>
      </c>
      <c r="F635" s="11"/>
      <c r="G635" s="12"/>
      <c r="H635" s="11" t="n">
        <v>0.00280740740740741</v>
      </c>
      <c r="I635" s="12" t="n">
        <v>316</v>
      </c>
      <c r="J635" s="14"/>
      <c r="K635" s="14"/>
      <c r="L635" s="14"/>
      <c r="M635" s="13"/>
    </row>
    <row r="636" customFormat="false" ht="15" hidden="false" customHeight="false" outlineLevel="0" collapsed="false">
      <c r="A636" s="6" t="n">
        <v>632</v>
      </c>
      <c r="B636" s="7" t="s">
        <v>1070</v>
      </c>
      <c r="C636" s="8" t="s">
        <v>588</v>
      </c>
      <c r="D636" s="9" t="n">
        <v>0.0107309027777778</v>
      </c>
      <c r="E636" s="10" t="n">
        <v>633</v>
      </c>
      <c r="F636" s="11"/>
      <c r="G636" s="12"/>
      <c r="H636" s="11" t="n">
        <v>0.00267708333333333</v>
      </c>
      <c r="I636" s="12" t="n">
        <v>10</v>
      </c>
      <c r="J636" s="14"/>
      <c r="K636" s="14"/>
      <c r="L636" s="14"/>
      <c r="M636" s="13"/>
    </row>
    <row r="637" customFormat="false" ht="15" hidden="false" customHeight="false" outlineLevel="0" collapsed="false">
      <c r="A637" s="6" t="n">
        <v>633</v>
      </c>
      <c r="B637" s="7" t="s">
        <v>1071</v>
      </c>
      <c r="C637" s="8" t="s">
        <v>274</v>
      </c>
      <c r="D637" s="9" t="n">
        <v>0.0107315972222222</v>
      </c>
      <c r="E637" s="10" t="n">
        <v>634</v>
      </c>
      <c r="F637" s="11"/>
      <c r="G637" s="12"/>
      <c r="H637" s="11" t="n">
        <v>0.00282118055555556</v>
      </c>
      <c r="I637" s="12" t="n">
        <v>371</v>
      </c>
      <c r="J637" s="14"/>
      <c r="K637" s="14"/>
      <c r="L637" s="14"/>
      <c r="M637" s="13"/>
    </row>
    <row r="638" customFormat="false" ht="15" hidden="false" customHeight="false" outlineLevel="0" collapsed="false">
      <c r="A638" s="6" t="n">
        <v>634</v>
      </c>
      <c r="B638" s="7" t="s">
        <v>1072</v>
      </c>
      <c r="C638" s="8" t="s">
        <v>92</v>
      </c>
      <c r="D638" s="9" t="n">
        <v>0.010731712962963</v>
      </c>
      <c r="E638" s="10" t="n">
        <v>635</v>
      </c>
      <c r="F638" s="11" t="n">
        <v>0.00675474537037037</v>
      </c>
      <c r="G638" s="12" t="n">
        <v>132</v>
      </c>
      <c r="H638" s="11" t="n">
        <v>0.00289351851851852</v>
      </c>
      <c r="I638" s="12" t="n">
        <v>901</v>
      </c>
      <c r="J638" s="14"/>
      <c r="K638" s="14"/>
      <c r="L638" s="14"/>
      <c r="M638" s="13"/>
    </row>
    <row r="639" customFormat="false" ht="15" hidden="false" customHeight="false" outlineLevel="0" collapsed="false">
      <c r="A639" s="6" t="n">
        <v>635</v>
      </c>
      <c r="B639" s="7" t="s">
        <v>1073</v>
      </c>
      <c r="C639" s="8" t="s">
        <v>70</v>
      </c>
      <c r="D639" s="9" t="n">
        <v>0.0107318287037037</v>
      </c>
      <c r="E639" s="10" t="n">
        <v>636</v>
      </c>
      <c r="F639" s="11" t="n">
        <v>0.00653611111111111</v>
      </c>
      <c r="G639" s="12" t="n">
        <v>41</v>
      </c>
      <c r="H639" s="11" t="n">
        <v>0.00287986111111111</v>
      </c>
      <c r="I639" s="12" t="n">
        <v>770</v>
      </c>
      <c r="J639" s="14"/>
      <c r="K639" s="14"/>
      <c r="L639" s="14"/>
      <c r="M639" s="13"/>
    </row>
    <row r="640" customFormat="false" ht="15" hidden="false" customHeight="false" outlineLevel="0" collapsed="false">
      <c r="A640" s="6" t="n">
        <v>636</v>
      </c>
      <c r="B640" s="7" t="s">
        <v>1074</v>
      </c>
      <c r="C640" s="8" t="s">
        <v>52</v>
      </c>
      <c r="D640" s="9" t="n">
        <v>0.0107318287037037</v>
      </c>
      <c r="E640" s="10" t="n">
        <v>637</v>
      </c>
      <c r="F640" s="11" t="n">
        <v>0.00700451388888889</v>
      </c>
      <c r="G640" s="12" t="n">
        <v>341</v>
      </c>
      <c r="H640" s="11" t="n">
        <v>0.00283530092592593</v>
      </c>
      <c r="I640" s="12" t="n">
        <v>464</v>
      </c>
      <c r="J640" s="14"/>
      <c r="K640" s="14"/>
      <c r="L640" s="14"/>
      <c r="M640" s="13"/>
    </row>
    <row r="641" customFormat="false" ht="15" hidden="false" customHeight="false" outlineLevel="0" collapsed="false">
      <c r="A641" s="6" t="n">
        <v>637</v>
      </c>
      <c r="B641" s="7" t="s">
        <v>1075</v>
      </c>
      <c r="C641" s="8" t="s">
        <v>1076</v>
      </c>
      <c r="D641" s="9" t="n">
        <v>0.0107325231481482</v>
      </c>
      <c r="E641" s="10" t="n">
        <v>638</v>
      </c>
      <c r="F641" s="11"/>
      <c r="G641" s="12"/>
      <c r="H641" s="11"/>
      <c r="I641" s="12"/>
      <c r="J641" s="14"/>
      <c r="K641" s="14"/>
      <c r="L641" s="14"/>
      <c r="M641" s="13"/>
    </row>
    <row r="642" customFormat="false" ht="15" hidden="false" customHeight="false" outlineLevel="0" collapsed="false">
      <c r="A642" s="6" t="n">
        <v>638</v>
      </c>
      <c r="B642" s="7" t="s">
        <v>1077</v>
      </c>
      <c r="C642" s="8" t="s">
        <v>496</v>
      </c>
      <c r="D642" s="9" t="n">
        <v>0.0107329861111111</v>
      </c>
      <c r="E642" s="10" t="n">
        <v>639</v>
      </c>
      <c r="F642" s="11"/>
      <c r="G642" s="12"/>
      <c r="H642" s="11" t="n">
        <v>0.00281319444444445</v>
      </c>
      <c r="I642" s="12" t="n">
        <v>335</v>
      </c>
      <c r="J642" s="14"/>
      <c r="K642" s="14"/>
      <c r="L642" s="14"/>
      <c r="M642" s="13"/>
    </row>
    <row r="643" customFormat="false" ht="15" hidden="false" customHeight="false" outlineLevel="0" collapsed="false">
      <c r="A643" s="6" t="n">
        <v>639</v>
      </c>
      <c r="B643" s="7" t="s">
        <v>1078</v>
      </c>
      <c r="C643" s="8" t="s">
        <v>313</v>
      </c>
      <c r="D643" s="9" t="n">
        <v>0.0107333333333333</v>
      </c>
      <c r="E643" s="10" t="n">
        <v>640</v>
      </c>
      <c r="F643" s="11" t="n">
        <v>0.00676458333333333</v>
      </c>
      <c r="G643" s="12" t="n">
        <v>142</v>
      </c>
      <c r="H643" s="11"/>
      <c r="I643" s="12"/>
      <c r="J643" s="14"/>
      <c r="K643" s="14" t="s">
        <v>1079</v>
      </c>
      <c r="L643" s="14"/>
      <c r="M643" s="13"/>
    </row>
    <row r="644" customFormat="false" ht="15" hidden="false" customHeight="false" outlineLevel="0" collapsed="false">
      <c r="A644" s="6" t="n">
        <v>640</v>
      </c>
      <c r="B644" s="7" t="s">
        <v>1080</v>
      </c>
      <c r="C644" s="8" t="s">
        <v>54</v>
      </c>
      <c r="D644" s="9" t="n">
        <v>0.0107349537037037</v>
      </c>
      <c r="E644" s="10" t="n">
        <v>641</v>
      </c>
      <c r="F644" s="11"/>
      <c r="G644" s="12"/>
      <c r="H644" s="11" t="n">
        <v>0.00281354166666667</v>
      </c>
      <c r="I644" s="12" t="n">
        <v>338</v>
      </c>
      <c r="J644" s="14"/>
      <c r="K644" s="14"/>
      <c r="L644" s="14"/>
      <c r="M644" s="13"/>
    </row>
    <row r="645" customFormat="false" ht="15" hidden="false" customHeight="false" outlineLevel="0" collapsed="false">
      <c r="A645" s="6" t="n">
        <v>641</v>
      </c>
      <c r="B645" s="7" t="s">
        <v>1081</v>
      </c>
      <c r="C645" s="8" t="s">
        <v>592</v>
      </c>
      <c r="D645" s="9" t="n">
        <v>0.0107350694444444</v>
      </c>
      <c r="E645" s="10" t="n">
        <v>642</v>
      </c>
      <c r="F645" s="11"/>
      <c r="G645" s="12"/>
      <c r="H645" s="11" t="n">
        <v>0.00281284722222222</v>
      </c>
      <c r="I645" s="12" t="n">
        <v>332</v>
      </c>
      <c r="J645" s="14"/>
      <c r="K645" s="14"/>
      <c r="L645" s="14"/>
      <c r="M645" s="13"/>
    </row>
    <row r="646" customFormat="false" ht="15" hidden="false" customHeight="false" outlineLevel="0" collapsed="false">
      <c r="A646" s="6" t="n">
        <v>642</v>
      </c>
      <c r="B646" s="7" t="s">
        <v>1082</v>
      </c>
      <c r="C646" s="8" t="s">
        <v>31</v>
      </c>
      <c r="D646" s="9" t="n">
        <v>0.0107357638888889</v>
      </c>
      <c r="E646" s="10" t="n">
        <v>643</v>
      </c>
      <c r="F646" s="11"/>
      <c r="G646" s="12"/>
      <c r="H646" s="11" t="n">
        <v>0.00276481481481482</v>
      </c>
      <c r="I646" s="12" t="n">
        <v>148</v>
      </c>
      <c r="J646" s="14"/>
      <c r="K646" s="14" t="s">
        <v>301</v>
      </c>
      <c r="L646" s="14"/>
      <c r="M646" s="13"/>
    </row>
    <row r="647" customFormat="false" ht="15" hidden="false" customHeight="false" outlineLevel="0" collapsed="false">
      <c r="A647" s="6" t="n">
        <v>643</v>
      </c>
      <c r="B647" s="7" t="s">
        <v>1083</v>
      </c>
      <c r="C647" s="8" t="s">
        <v>113</v>
      </c>
      <c r="D647" s="9" t="n">
        <v>0.0107358796296296</v>
      </c>
      <c r="E647" s="10" t="n">
        <v>644</v>
      </c>
      <c r="F647" s="11"/>
      <c r="G647" s="12"/>
      <c r="H647" s="11" t="n">
        <v>0.00289490740740741</v>
      </c>
      <c r="I647" s="12" t="n">
        <v>912</v>
      </c>
      <c r="J647" s="14"/>
      <c r="K647" s="14"/>
      <c r="L647" s="14"/>
      <c r="M647" s="13"/>
    </row>
    <row r="648" customFormat="false" ht="15" hidden="false" customHeight="false" outlineLevel="0" collapsed="false">
      <c r="A648" s="6" t="n">
        <v>644</v>
      </c>
      <c r="B648" s="7" t="s">
        <v>1084</v>
      </c>
      <c r="C648" s="8" t="s">
        <v>1085</v>
      </c>
      <c r="D648" s="9" t="n">
        <v>0.0107362268518519</v>
      </c>
      <c r="E648" s="10" t="n">
        <v>645</v>
      </c>
      <c r="F648" s="11"/>
      <c r="G648" s="12"/>
      <c r="H648" s="11" t="n">
        <v>0.00291956018518519</v>
      </c>
      <c r="I648" s="12" t="n">
        <v>1091</v>
      </c>
      <c r="J648" s="14"/>
      <c r="K648" s="14"/>
      <c r="L648" s="14"/>
      <c r="M648" s="13"/>
    </row>
    <row r="649" customFormat="false" ht="15" hidden="false" customHeight="false" outlineLevel="0" collapsed="false">
      <c r="A649" s="6" t="n">
        <v>645</v>
      </c>
      <c r="B649" s="7" t="s">
        <v>1086</v>
      </c>
      <c r="C649" s="8" t="s">
        <v>1087</v>
      </c>
      <c r="D649" s="9" t="n">
        <v>0.0107369212962963</v>
      </c>
      <c r="E649" s="10" t="n">
        <v>646</v>
      </c>
      <c r="F649" s="11"/>
      <c r="G649" s="12"/>
      <c r="H649" s="11"/>
      <c r="I649" s="12"/>
      <c r="J649" s="14"/>
      <c r="K649" s="14"/>
      <c r="L649" s="14"/>
      <c r="M649" s="13"/>
    </row>
    <row r="650" customFormat="false" ht="15" hidden="false" customHeight="false" outlineLevel="0" collapsed="false">
      <c r="A650" s="6" t="n">
        <v>646</v>
      </c>
      <c r="B650" s="7" t="s">
        <v>1088</v>
      </c>
      <c r="C650" s="8" t="s">
        <v>1089</v>
      </c>
      <c r="D650" s="9" t="n">
        <v>0.0107369212962963</v>
      </c>
      <c r="E650" s="10" t="n">
        <v>647</v>
      </c>
      <c r="F650" s="11"/>
      <c r="G650" s="12"/>
      <c r="H650" s="11" t="n">
        <v>0.00284386574074074</v>
      </c>
      <c r="I650" s="12" t="n">
        <v>524</v>
      </c>
      <c r="J650" s="14"/>
      <c r="K650" s="14"/>
      <c r="L650" s="14"/>
      <c r="M650" s="13"/>
    </row>
    <row r="651" customFormat="false" ht="15" hidden="false" customHeight="false" outlineLevel="0" collapsed="false">
      <c r="A651" s="6" t="n">
        <v>647</v>
      </c>
      <c r="B651" s="7" t="s">
        <v>1090</v>
      </c>
      <c r="C651" s="8" t="s">
        <v>641</v>
      </c>
      <c r="D651" s="9" t="n">
        <v>0.0107372685185185</v>
      </c>
      <c r="E651" s="10" t="n">
        <v>648</v>
      </c>
      <c r="F651" s="11"/>
      <c r="G651" s="12"/>
      <c r="H651" s="11" t="n">
        <v>0.002771875</v>
      </c>
      <c r="I651" s="12" t="n">
        <v>165</v>
      </c>
      <c r="J651" s="14"/>
      <c r="K651" s="14"/>
      <c r="L651" s="14"/>
      <c r="M651" s="13"/>
    </row>
    <row r="652" customFormat="false" ht="15" hidden="false" customHeight="false" outlineLevel="0" collapsed="false">
      <c r="A652" s="6" t="n">
        <v>648</v>
      </c>
      <c r="B652" s="7" t="s">
        <v>1091</v>
      </c>
      <c r="C652" s="8" t="s">
        <v>108</v>
      </c>
      <c r="D652" s="9" t="n">
        <v>0.0107376157407407</v>
      </c>
      <c r="E652" s="10" t="n">
        <v>649</v>
      </c>
      <c r="F652" s="11" t="n">
        <v>0.00668634259259259</v>
      </c>
      <c r="G652" s="12" t="n">
        <v>104</v>
      </c>
      <c r="H652" s="11"/>
      <c r="I652" s="12"/>
      <c r="J652" s="14"/>
      <c r="K652" s="14"/>
      <c r="L652" s="14"/>
      <c r="M652" s="13"/>
    </row>
    <row r="653" customFormat="false" ht="15" hidden="false" customHeight="false" outlineLevel="0" collapsed="false">
      <c r="A653" s="6" t="n">
        <v>649</v>
      </c>
      <c r="B653" s="7" t="s">
        <v>1092</v>
      </c>
      <c r="C653" s="8" t="s">
        <v>578</v>
      </c>
      <c r="D653" s="9" t="n">
        <v>0.0107380787037037</v>
      </c>
      <c r="E653" s="10" t="n">
        <v>650</v>
      </c>
      <c r="F653" s="11" t="n">
        <v>0.00681689814814815</v>
      </c>
      <c r="G653" s="12" t="n">
        <v>183</v>
      </c>
      <c r="H653" s="11" t="n">
        <v>0.00282615740740741</v>
      </c>
      <c r="I653" s="12" t="n">
        <v>399</v>
      </c>
      <c r="J653" s="14"/>
      <c r="K653" s="14"/>
      <c r="L653" s="14"/>
      <c r="M653" s="13"/>
    </row>
    <row r="654" customFormat="false" ht="15" hidden="false" customHeight="false" outlineLevel="0" collapsed="false">
      <c r="A654" s="6" t="n">
        <v>650</v>
      </c>
      <c r="B654" s="7" t="s">
        <v>1093</v>
      </c>
      <c r="C654" s="8" t="s">
        <v>373</v>
      </c>
      <c r="D654" s="9" t="n">
        <v>0.0107394675925926</v>
      </c>
      <c r="E654" s="10" t="n">
        <v>651</v>
      </c>
      <c r="F654" s="11" t="n">
        <v>0.00688576388888889</v>
      </c>
      <c r="G654" s="12" t="n">
        <v>226</v>
      </c>
      <c r="H654" s="11" t="n">
        <v>0.00286828703703704</v>
      </c>
      <c r="I654" s="12" t="n">
        <v>684</v>
      </c>
      <c r="J654" s="14"/>
      <c r="K654" s="14"/>
      <c r="L654" s="14"/>
      <c r="M654" s="13"/>
    </row>
    <row r="655" customFormat="false" ht="15" hidden="false" customHeight="false" outlineLevel="0" collapsed="false">
      <c r="A655" s="6" t="n">
        <v>651</v>
      </c>
      <c r="B655" s="7" t="s">
        <v>1094</v>
      </c>
      <c r="C655" s="8" t="s">
        <v>688</v>
      </c>
      <c r="D655" s="9" t="n">
        <v>0.0107398148148148</v>
      </c>
      <c r="E655" s="10" t="n">
        <v>652</v>
      </c>
      <c r="F655" s="11" t="n">
        <v>0.00695972222222222</v>
      </c>
      <c r="G655" s="12" t="n">
        <v>293</v>
      </c>
      <c r="H655" s="11" t="n">
        <v>0.00288784722222222</v>
      </c>
      <c r="I655" s="12" t="n">
        <v>845</v>
      </c>
      <c r="J655" s="14"/>
      <c r="K655" s="14"/>
      <c r="L655" s="14"/>
      <c r="M655" s="13"/>
    </row>
    <row r="656" customFormat="false" ht="15" hidden="false" customHeight="false" outlineLevel="0" collapsed="false">
      <c r="A656" s="6" t="n">
        <v>652</v>
      </c>
      <c r="B656" s="7" t="s">
        <v>1095</v>
      </c>
      <c r="C656" s="8" t="s">
        <v>296</v>
      </c>
      <c r="D656" s="9" t="n">
        <v>0.010740625</v>
      </c>
      <c r="E656" s="10" t="n">
        <v>653</v>
      </c>
      <c r="F656" s="11"/>
      <c r="G656" s="12"/>
      <c r="H656" s="11" t="n">
        <v>0.00290787037037037</v>
      </c>
      <c r="I656" s="12" t="n">
        <v>1000</v>
      </c>
      <c r="J656" s="14"/>
      <c r="K656" s="14"/>
      <c r="L656" s="14"/>
      <c r="M656" s="13"/>
    </row>
    <row r="657" customFormat="false" ht="15" hidden="false" customHeight="false" outlineLevel="0" collapsed="false">
      <c r="A657" s="6" t="n">
        <v>653</v>
      </c>
      <c r="B657" s="7" t="s">
        <v>1096</v>
      </c>
      <c r="C657" s="8" t="s">
        <v>1097</v>
      </c>
      <c r="D657" s="9" t="n">
        <v>0.010740625</v>
      </c>
      <c r="E657" s="10" t="n">
        <v>654</v>
      </c>
      <c r="F657" s="11"/>
      <c r="G657" s="12"/>
      <c r="H657" s="11" t="n">
        <v>0.00286643518518519</v>
      </c>
      <c r="I657" s="12" t="n">
        <v>673</v>
      </c>
      <c r="J657" s="14"/>
      <c r="K657" s="14"/>
      <c r="L657" s="14"/>
      <c r="M657" s="13"/>
    </row>
    <row r="658" customFormat="false" ht="15" hidden="false" customHeight="false" outlineLevel="0" collapsed="false">
      <c r="A658" s="6" t="n">
        <v>654</v>
      </c>
      <c r="B658" s="7" t="s">
        <v>1098</v>
      </c>
      <c r="C658" s="8" t="s">
        <v>1099</v>
      </c>
      <c r="D658" s="9" t="n">
        <v>0.0107415509259259</v>
      </c>
      <c r="E658" s="10" t="n">
        <v>655</v>
      </c>
      <c r="F658" s="11"/>
      <c r="G658" s="12"/>
      <c r="H658" s="11" t="n">
        <v>0.00279560185185185</v>
      </c>
      <c r="I658" s="12" t="n">
        <v>263</v>
      </c>
      <c r="J658" s="14"/>
      <c r="K658" s="14"/>
      <c r="L658" s="14"/>
      <c r="M658" s="13"/>
    </row>
    <row r="659" customFormat="false" ht="15" hidden="false" customHeight="false" outlineLevel="0" collapsed="false">
      <c r="A659" s="6" t="n">
        <v>655</v>
      </c>
      <c r="B659" s="7" t="s">
        <v>1100</v>
      </c>
      <c r="C659" s="8" t="s">
        <v>54</v>
      </c>
      <c r="D659" s="9" t="n">
        <v>0.0107417824074074</v>
      </c>
      <c r="E659" s="10" t="n">
        <v>656</v>
      </c>
      <c r="F659" s="11"/>
      <c r="G659" s="12"/>
      <c r="H659" s="11"/>
      <c r="I659" s="12"/>
      <c r="J659" s="14"/>
      <c r="K659" s="14"/>
      <c r="L659" s="14"/>
      <c r="M659" s="13"/>
    </row>
    <row r="660" customFormat="false" ht="15" hidden="false" customHeight="false" outlineLevel="0" collapsed="false">
      <c r="A660" s="6" t="n">
        <v>656</v>
      </c>
      <c r="B660" s="7" t="s">
        <v>1101</v>
      </c>
      <c r="C660" s="8" t="s">
        <v>344</v>
      </c>
      <c r="D660" s="9" t="n">
        <v>0.0107427083333333</v>
      </c>
      <c r="E660" s="10" t="n">
        <v>657</v>
      </c>
      <c r="F660" s="11" t="n">
        <v>0.00656342592592593</v>
      </c>
      <c r="G660" s="12" t="n">
        <v>49</v>
      </c>
      <c r="H660" s="11" t="n">
        <v>0.00286423611111111</v>
      </c>
      <c r="I660" s="12" t="n">
        <v>661</v>
      </c>
      <c r="J660" s="14"/>
      <c r="K660" s="14" t="s">
        <v>1102</v>
      </c>
      <c r="L660" s="14"/>
      <c r="M660" s="13"/>
    </row>
    <row r="661" customFormat="false" ht="15" hidden="false" customHeight="false" outlineLevel="0" collapsed="false">
      <c r="A661" s="6" t="n">
        <v>657</v>
      </c>
      <c r="B661" s="7" t="s">
        <v>1103</v>
      </c>
      <c r="C661" s="8" t="s">
        <v>1104</v>
      </c>
      <c r="D661" s="9" t="n">
        <v>0.0107445601851852</v>
      </c>
      <c r="E661" s="10" t="n">
        <v>658</v>
      </c>
      <c r="F661" s="11"/>
      <c r="G661" s="12"/>
      <c r="H661" s="11" t="n">
        <v>0.00292465277777778</v>
      </c>
      <c r="I661" s="12" t="n">
        <v>1140</v>
      </c>
      <c r="J661" s="14"/>
      <c r="K661" s="14"/>
      <c r="L661" s="14"/>
      <c r="M661" s="13"/>
    </row>
    <row r="662" customFormat="false" ht="15" hidden="false" customHeight="false" outlineLevel="0" collapsed="false">
      <c r="A662" s="6" t="n">
        <v>658</v>
      </c>
      <c r="B662" s="7" t="s">
        <v>1105</v>
      </c>
      <c r="C662" s="8" t="s">
        <v>122</v>
      </c>
      <c r="D662" s="9" t="n">
        <v>0.0107447916666667</v>
      </c>
      <c r="E662" s="10" t="n">
        <v>659</v>
      </c>
      <c r="F662" s="11"/>
      <c r="G662" s="12"/>
      <c r="H662" s="11"/>
      <c r="I662" s="12"/>
      <c r="J662" s="14"/>
      <c r="K662" s="14"/>
      <c r="L662" s="14"/>
      <c r="M662" s="13"/>
    </row>
    <row r="663" customFormat="false" ht="15" hidden="false" customHeight="false" outlineLevel="0" collapsed="false">
      <c r="A663" s="6" t="n">
        <v>659</v>
      </c>
      <c r="B663" s="7" t="s">
        <v>1106</v>
      </c>
      <c r="C663" s="8" t="s">
        <v>16</v>
      </c>
      <c r="D663" s="9" t="n">
        <v>0.0107447916666667</v>
      </c>
      <c r="E663" s="10" t="n">
        <v>660</v>
      </c>
      <c r="F663" s="11" t="n">
        <v>0.00730231481481481</v>
      </c>
      <c r="G663" s="12" t="n">
        <v>650</v>
      </c>
      <c r="H663" s="11"/>
      <c r="I663" s="12"/>
      <c r="J663" s="14"/>
      <c r="K663" s="14"/>
      <c r="L663" s="14"/>
      <c r="M663" s="13"/>
    </row>
    <row r="664" customFormat="false" ht="15" hidden="false" customHeight="false" outlineLevel="0" collapsed="false">
      <c r="A664" s="6" t="n">
        <v>660</v>
      </c>
      <c r="B664" s="7" t="s">
        <v>1107</v>
      </c>
      <c r="C664" s="8" t="s">
        <v>1042</v>
      </c>
      <c r="D664" s="9" t="n">
        <v>0.0107453703703704</v>
      </c>
      <c r="E664" s="10" t="n">
        <v>661</v>
      </c>
      <c r="F664" s="11"/>
      <c r="G664" s="12"/>
      <c r="H664" s="11"/>
      <c r="I664" s="12"/>
      <c r="J664" s="14"/>
      <c r="K664" s="14"/>
      <c r="L664" s="14"/>
      <c r="M664" s="13"/>
    </row>
    <row r="665" customFormat="false" ht="15" hidden="false" customHeight="false" outlineLevel="0" collapsed="false">
      <c r="A665" s="6" t="n">
        <v>661</v>
      </c>
      <c r="B665" s="7" t="s">
        <v>1108</v>
      </c>
      <c r="C665" s="8" t="s">
        <v>64</v>
      </c>
      <c r="D665" s="9" t="n">
        <v>0.0107457175925926</v>
      </c>
      <c r="E665" s="10" t="n">
        <v>662</v>
      </c>
      <c r="F665" s="11" t="n">
        <v>0.0066755787037037</v>
      </c>
      <c r="G665" s="12" t="n">
        <v>94</v>
      </c>
      <c r="H665" s="11"/>
      <c r="I665" s="12"/>
      <c r="J665" s="14"/>
      <c r="K665" s="14"/>
      <c r="L665" s="14"/>
      <c r="M665" s="13"/>
    </row>
    <row r="666" customFormat="false" ht="15" hidden="false" customHeight="false" outlineLevel="0" collapsed="false">
      <c r="A666" s="6" t="n">
        <v>662</v>
      </c>
      <c r="B666" s="7" t="s">
        <v>1109</v>
      </c>
      <c r="C666" s="8" t="s">
        <v>1110</v>
      </c>
      <c r="D666" s="9" t="n">
        <v>0.010746412037037</v>
      </c>
      <c r="E666" s="10" t="n">
        <v>663</v>
      </c>
      <c r="F666" s="11"/>
      <c r="G666" s="12"/>
      <c r="H666" s="11"/>
      <c r="I666" s="12"/>
      <c r="J666" s="14"/>
      <c r="K666" s="14"/>
      <c r="L666" s="14"/>
      <c r="M666" s="13"/>
    </row>
    <row r="667" customFormat="false" ht="15" hidden="false" customHeight="false" outlineLevel="0" collapsed="false">
      <c r="A667" s="6" t="n">
        <v>663</v>
      </c>
      <c r="B667" s="7" t="s">
        <v>1111</v>
      </c>
      <c r="C667" s="8" t="s">
        <v>730</v>
      </c>
      <c r="D667" s="9" t="n">
        <v>0.0107466435185185</v>
      </c>
      <c r="E667" s="10" t="n">
        <v>664</v>
      </c>
      <c r="F667" s="11"/>
      <c r="G667" s="12"/>
      <c r="H667" s="11" t="n">
        <v>0.00274930555555556</v>
      </c>
      <c r="I667" s="12" t="n">
        <v>102</v>
      </c>
      <c r="J667" s="14" t="s">
        <v>1112</v>
      </c>
      <c r="K667" s="14"/>
      <c r="L667" s="14"/>
      <c r="M667" s="13"/>
    </row>
    <row r="668" customFormat="false" ht="15" hidden="false" customHeight="false" outlineLevel="0" collapsed="false">
      <c r="A668" s="6" t="n">
        <v>664</v>
      </c>
      <c r="B668" s="7" t="s">
        <v>1113</v>
      </c>
      <c r="C668" s="8" t="s">
        <v>1114</v>
      </c>
      <c r="D668" s="9" t="n">
        <v>0.0107475694444445</v>
      </c>
      <c r="E668" s="10" t="n">
        <v>665</v>
      </c>
      <c r="F668" s="11"/>
      <c r="G668" s="12"/>
      <c r="H668" s="11" t="n">
        <v>0.00275949074074074</v>
      </c>
      <c r="I668" s="12" t="n">
        <v>134</v>
      </c>
      <c r="J668" s="14"/>
      <c r="K668" s="14"/>
      <c r="L668" s="14"/>
      <c r="M668" s="13"/>
    </row>
    <row r="669" customFormat="false" ht="15" hidden="false" customHeight="false" outlineLevel="0" collapsed="false">
      <c r="A669" s="6" t="n">
        <v>665</v>
      </c>
      <c r="B669" s="7" t="s">
        <v>1115</v>
      </c>
      <c r="C669" s="8" t="s">
        <v>1116</v>
      </c>
      <c r="D669" s="9" t="n">
        <v>0.0107493055555556</v>
      </c>
      <c r="E669" s="10" t="n">
        <v>666</v>
      </c>
      <c r="F669" s="11" t="n">
        <v>0.00656388888888889</v>
      </c>
      <c r="G669" s="12" t="n">
        <v>52</v>
      </c>
      <c r="H669" s="11"/>
      <c r="I669" s="12"/>
      <c r="J669" s="14"/>
      <c r="K669" s="14"/>
      <c r="L669" s="14"/>
      <c r="M669" s="13"/>
    </row>
    <row r="670" customFormat="false" ht="15" hidden="false" customHeight="false" outlineLevel="0" collapsed="false">
      <c r="A670" s="6" t="n">
        <v>666</v>
      </c>
      <c r="B670" s="7" t="s">
        <v>1117</v>
      </c>
      <c r="C670" s="8" t="s">
        <v>1118</v>
      </c>
      <c r="D670" s="9" t="n">
        <v>0.0107502314814815</v>
      </c>
      <c r="E670" s="10" t="n">
        <v>667</v>
      </c>
      <c r="F670" s="11"/>
      <c r="G670" s="12"/>
      <c r="H670" s="11" t="n">
        <v>0.00277743055555556</v>
      </c>
      <c r="I670" s="12" t="n">
        <v>188</v>
      </c>
      <c r="J670" s="14"/>
      <c r="K670" s="14"/>
      <c r="L670" s="14"/>
      <c r="M670" s="13"/>
    </row>
    <row r="671" customFormat="false" ht="15" hidden="false" customHeight="false" outlineLevel="0" collapsed="false">
      <c r="A671" s="6" t="n">
        <v>667</v>
      </c>
      <c r="B671" s="7" t="s">
        <v>1119</v>
      </c>
      <c r="C671" s="8" t="s">
        <v>1120</v>
      </c>
      <c r="D671" s="9" t="n">
        <v>0.0107510416666667</v>
      </c>
      <c r="E671" s="10" t="n">
        <v>668</v>
      </c>
      <c r="F671" s="11" t="n">
        <v>0.00711990740740741</v>
      </c>
      <c r="G671" s="12" t="n">
        <v>465</v>
      </c>
      <c r="H671" s="11" t="n">
        <v>0.00285555555555556</v>
      </c>
      <c r="I671" s="12" t="n">
        <v>600</v>
      </c>
      <c r="J671" s="14"/>
      <c r="K671" s="14"/>
      <c r="L671" s="14"/>
      <c r="M671" s="13"/>
    </row>
    <row r="672" customFormat="false" ht="15" hidden="false" customHeight="false" outlineLevel="0" collapsed="false">
      <c r="A672" s="6" t="n">
        <v>668</v>
      </c>
      <c r="B672" s="7" t="s">
        <v>1121</v>
      </c>
      <c r="C672" s="8" t="s">
        <v>16</v>
      </c>
      <c r="D672" s="9" t="n">
        <v>0.0107510416666667</v>
      </c>
      <c r="E672" s="10" t="n">
        <v>669</v>
      </c>
      <c r="F672" s="11"/>
      <c r="G672" s="12"/>
      <c r="H672" s="11" t="n">
        <v>0.00297569444444445</v>
      </c>
      <c r="I672" s="12" t="n">
        <v>1330</v>
      </c>
      <c r="J672" s="14"/>
      <c r="K672" s="14"/>
      <c r="L672" s="14"/>
      <c r="M672" s="13"/>
    </row>
    <row r="673" customFormat="false" ht="15" hidden="false" customHeight="false" outlineLevel="0" collapsed="false">
      <c r="A673" s="6" t="n">
        <v>669</v>
      </c>
      <c r="B673" s="7" t="s">
        <v>1122</v>
      </c>
      <c r="C673" s="8" t="s">
        <v>929</v>
      </c>
      <c r="D673" s="9" t="n">
        <v>0.0107515046296296</v>
      </c>
      <c r="E673" s="10" t="n">
        <v>670</v>
      </c>
      <c r="F673" s="11"/>
      <c r="G673" s="12"/>
      <c r="H673" s="11" t="n">
        <v>0.00275115740740741</v>
      </c>
      <c r="I673" s="12" t="n">
        <v>106</v>
      </c>
      <c r="J673" s="14"/>
      <c r="K673" s="14"/>
      <c r="L673" s="14"/>
      <c r="M673" s="13"/>
    </row>
    <row r="674" customFormat="false" ht="15" hidden="false" customHeight="false" outlineLevel="0" collapsed="false">
      <c r="A674" s="6" t="n">
        <v>670</v>
      </c>
      <c r="B674" s="7" t="s">
        <v>1123</v>
      </c>
      <c r="C674" s="8" t="s">
        <v>1124</v>
      </c>
      <c r="D674" s="9" t="n">
        <v>0.010752662037037</v>
      </c>
      <c r="E674" s="10" t="n">
        <v>671</v>
      </c>
      <c r="F674" s="11"/>
      <c r="G674" s="12"/>
      <c r="H674" s="11" t="n">
        <v>0.00284027777777778</v>
      </c>
      <c r="I674" s="12" t="n">
        <v>499</v>
      </c>
      <c r="J674" s="14" t="s">
        <v>1125</v>
      </c>
      <c r="K674" s="14"/>
      <c r="L674" s="14"/>
      <c r="M674" s="13"/>
    </row>
    <row r="675" customFormat="false" ht="15" hidden="false" customHeight="false" outlineLevel="0" collapsed="false">
      <c r="A675" s="6" t="n">
        <v>671</v>
      </c>
      <c r="B675" s="7" t="s">
        <v>1126</v>
      </c>
      <c r="C675" s="8" t="s">
        <v>344</v>
      </c>
      <c r="D675" s="9" t="n">
        <v>0.010753125</v>
      </c>
      <c r="E675" s="10" t="n">
        <v>672</v>
      </c>
      <c r="F675" s="11" t="n">
        <v>0.00746712962962963</v>
      </c>
      <c r="G675" s="12" t="n">
        <v>857</v>
      </c>
      <c r="H675" s="11" t="n">
        <v>0.00291041666666667</v>
      </c>
      <c r="I675" s="12" t="n">
        <v>1024</v>
      </c>
      <c r="J675" s="14"/>
      <c r="K675" s="14" t="s">
        <v>1127</v>
      </c>
      <c r="L675" s="14"/>
      <c r="M675" s="13"/>
    </row>
    <row r="676" customFormat="false" ht="15" hidden="false" customHeight="false" outlineLevel="0" collapsed="false">
      <c r="A676" s="6" t="n">
        <v>672</v>
      </c>
      <c r="B676" s="7" t="s">
        <v>1128</v>
      </c>
      <c r="C676" s="8" t="s">
        <v>518</v>
      </c>
      <c r="D676" s="9" t="n">
        <v>0.0107538194444444</v>
      </c>
      <c r="E676" s="10" t="n">
        <v>673</v>
      </c>
      <c r="F676" s="11" t="n">
        <v>0.007290625</v>
      </c>
      <c r="G676" s="12" t="n">
        <v>630</v>
      </c>
      <c r="H676" s="11"/>
      <c r="I676" s="12"/>
      <c r="J676" s="14" t="s">
        <v>1129</v>
      </c>
      <c r="K676" s="14"/>
      <c r="L676" s="14"/>
      <c r="M676" s="13"/>
    </row>
    <row r="677" customFormat="false" ht="15" hidden="false" customHeight="false" outlineLevel="0" collapsed="false">
      <c r="A677" s="6" t="n">
        <v>673</v>
      </c>
      <c r="B677" s="7" t="s">
        <v>1130</v>
      </c>
      <c r="C677" s="8" t="s">
        <v>1131</v>
      </c>
      <c r="D677" s="9" t="n">
        <v>0.0107541666666667</v>
      </c>
      <c r="E677" s="10" t="n">
        <v>674</v>
      </c>
      <c r="F677" s="11"/>
      <c r="G677" s="12"/>
      <c r="H677" s="11"/>
      <c r="I677" s="12"/>
      <c r="J677" s="14"/>
      <c r="K677" s="14"/>
      <c r="L677" s="14"/>
      <c r="M677" s="13"/>
    </row>
    <row r="678" customFormat="false" ht="15" hidden="false" customHeight="false" outlineLevel="0" collapsed="false">
      <c r="A678" s="6" t="n">
        <v>674</v>
      </c>
      <c r="B678" s="7" t="s">
        <v>1132</v>
      </c>
      <c r="C678" s="8" t="s">
        <v>537</v>
      </c>
      <c r="D678" s="9" t="n">
        <v>0.0107555555555556</v>
      </c>
      <c r="E678" s="10" t="n">
        <v>675</v>
      </c>
      <c r="F678" s="11"/>
      <c r="G678" s="12"/>
      <c r="H678" s="11"/>
      <c r="I678" s="12"/>
      <c r="J678" s="14"/>
      <c r="K678" s="14"/>
      <c r="L678" s="14"/>
      <c r="M678" s="13"/>
    </row>
    <row r="679" customFormat="false" ht="15" hidden="false" customHeight="false" outlineLevel="0" collapsed="false">
      <c r="A679" s="6" t="n">
        <v>675</v>
      </c>
      <c r="B679" s="7" t="s">
        <v>1133</v>
      </c>
      <c r="C679" s="8" t="s">
        <v>1134</v>
      </c>
      <c r="D679" s="9" t="n">
        <v>0.0107561342592593</v>
      </c>
      <c r="E679" s="10" t="n">
        <v>676</v>
      </c>
      <c r="F679" s="11"/>
      <c r="G679" s="12"/>
      <c r="H679" s="11" t="n">
        <v>0.00289131944444445</v>
      </c>
      <c r="I679" s="12" t="n">
        <v>879</v>
      </c>
      <c r="J679" s="14"/>
      <c r="K679" s="14"/>
      <c r="L679" s="14"/>
      <c r="M679" s="13"/>
    </row>
    <row r="680" customFormat="false" ht="15" hidden="false" customHeight="false" outlineLevel="0" collapsed="false">
      <c r="A680" s="6" t="n">
        <v>676</v>
      </c>
      <c r="B680" s="7" t="s">
        <v>1135</v>
      </c>
      <c r="C680" s="8" t="s">
        <v>130</v>
      </c>
      <c r="D680" s="9" t="n">
        <v>0.01075625</v>
      </c>
      <c r="E680" s="10" t="n">
        <v>677</v>
      </c>
      <c r="F680" s="11" t="n">
        <v>0.00663287037037037</v>
      </c>
      <c r="G680" s="12" t="n">
        <v>74</v>
      </c>
      <c r="H680" s="11"/>
      <c r="I680" s="12"/>
      <c r="J680" s="14"/>
      <c r="K680" s="14"/>
      <c r="L680" s="14"/>
      <c r="M680" s="13"/>
    </row>
    <row r="681" customFormat="false" ht="15" hidden="false" customHeight="false" outlineLevel="0" collapsed="false">
      <c r="A681" s="6" t="n">
        <v>677</v>
      </c>
      <c r="B681" s="7" t="s">
        <v>1136</v>
      </c>
      <c r="C681" s="8" t="s">
        <v>1137</v>
      </c>
      <c r="D681" s="9" t="n">
        <v>0.0107594907407407</v>
      </c>
      <c r="E681" s="10" t="n">
        <v>678</v>
      </c>
      <c r="F681" s="11"/>
      <c r="G681" s="12"/>
      <c r="H681" s="11" t="n">
        <v>0.00284837962962963</v>
      </c>
      <c r="I681" s="12" t="n">
        <v>557</v>
      </c>
      <c r="J681" s="14"/>
      <c r="K681" s="14"/>
      <c r="L681" s="14"/>
      <c r="M681" s="13"/>
    </row>
    <row r="682" customFormat="false" ht="15" hidden="false" customHeight="false" outlineLevel="0" collapsed="false">
      <c r="A682" s="6" t="n">
        <v>678</v>
      </c>
      <c r="B682" s="7" t="s">
        <v>1138</v>
      </c>
      <c r="C682" s="8" t="s">
        <v>1139</v>
      </c>
      <c r="D682" s="9" t="n">
        <v>0.0107601851851852</v>
      </c>
      <c r="E682" s="10" t="n">
        <v>679</v>
      </c>
      <c r="F682" s="11" t="n">
        <v>0.00667858796296296</v>
      </c>
      <c r="G682" s="12" t="n">
        <v>97</v>
      </c>
      <c r="H682" s="11" t="n">
        <v>0.00279768518518519</v>
      </c>
      <c r="I682" s="12" t="n">
        <v>273</v>
      </c>
      <c r="J682" s="14"/>
      <c r="K682" s="14"/>
      <c r="L682" s="14"/>
      <c r="M682" s="13"/>
    </row>
    <row r="683" customFormat="false" ht="15" hidden="false" customHeight="false" outlineLevel="0" collapsed="false">
      <c r="A683" s="6" t="n">
        <v>679</v>
      </c>
      <c r="B683" s="7" t="s">
        <v>1140</v>
      </c>
      <c r="C683" s="8" t="s">
        <v>1141</v>
      </c>
      <c r="D683" s="9" t="n">
        <v>0.0107605324074074</v>
      </c>
      <c r="E683" s="10" t="n">
        <v>680</v>
      </c>
      <c r="F683" s="11"/>
      <c r="G683" s="12"/>
      <c r="H683" s="11"/>
      <c r="I683" s="12"/>
      <c r="J683" s="14"/>
      <c r="K683" s="14"/>
      <c r="L683" s="14"/>
      <c r="M683" s="13"/>
    </row>
    <row r="684" customFormat="false" ht="15" hidden="false" customHeight="false" outlineLevel="0" collapsed="false">
      <c r="A684" s="6" t="n">
        <v>680</v>
      </c>
      <c r="B684" s="7" t="s">
        <v>1142</v>
      </c>
      <c r="C684" s="8" t="s">
        <v>1040</v>
      </c>
      <c r="D684" s="9" t="n">
        <v>0.0107609953703704</v>
      </c>
      <c r="E684" s="10" t="n">
        <v>681</v>
      </c>
      <c r="F684" s="11"/>
      <c r="G684" s="12"/>
      <c r="H684" s="11" t="n">
        <v>0.00288842592592593</v>
      </c>
      <c r="I684" s="12" t="n">
        <v>851</v>
      </c>
      <c r="J684" s="14"/>
      <c r="K684" s="14"/>
      <c r="L684" s="14"/>
      <c r="M684" s="13"/>
    </row>
    <row r="685" customFormat="false" ht="15" hidden="false" customHeight="false" outlineLevel="0" collapsed="false">
      <c r="A685" s="6" t="n">
        <v>681</v>
      </c>
      <c r="B685" s="7" t="s">
        <v>1143</v>
      </c>
      <c r="C685" s="8" t="s">
        <v>1144</v>
      </c>
      <c r="D685" s="9" t="n">
        <v>0.0107611111111111</v>
      </c>
      <c r="E685" s="10" t="n">
        <v>682</v>
      </c>
      <c r="F685" s="11"/>
      <c r="G685" s="12"/>
      <c r="H685" s="11" t="n">
        <v>0.00288472222222222</v>
      </c>
      <c r="I685" s="12" t="n">
        <v>814</v>
      </c>
      <c r="J685" s="14"/>
      <c r="K685" s="14"/>
      <c r="L685" s="14"/>
      <c r="M685" s="13"/>
    </row>
    <row r="686" customFormat="false" ht="15" hidden="false" customHeight="false" outlineLevel="0" collapsed="false">
      <c r="A686" s="6" t="n">
        <v>682</v>
      </c>
      <c r="B686" s="7" t="s">
        <v>1145</v>
      </c>
      <c r="C686" s="8" t="s">
        <v>817</v>
      </c>
      <c r="D686" s="9" t="n">
        <v>0.0107611111111111</v>
      </c>
      <c r="E686" s="10" t="n">
        <v>683</v>
      </c>
      <c r="F686" s="11" t="n">
        <v>0.00724259259259259</v>
      </c>
      <c r="G686" s="12" t="n">
        <v>588</v>
      </c>
      <c r="H686" s="11" t="n">
        <v>0.00284027777777778</v>
      </c>
      <c r="I686" s="12" t="n">
        <v>498</v>
      </c>
      <c r="J686" s="14"/>
      <c r="K686" s="14"/>
      <c r="L686" s="14"/>
      <c r="M686" s="13"/>
    </row>
    <row r="687" customFormat="false" ht="15" hidden="false" customHeight="false" outlineLevel="0" collapsed="false">
      <c r="A687" s="6" t="n">
        <v>683</v>
      </c>
      <c r="B687" s="7" t="s">
        <v>1146</v>
      </c>
      <c r="C687" s="8" t="s">
        <v>1147</v>
      </c>
      <c r="D687" s="9" t="n">
        <v>0.0107622685185185</v>
      </c>
      <c r="E687" s="10" t="n">
        <v>684</v>
      </c>
      <c r="F687" s="11" t="n">
        <v>0.00711643518518519</v>
      </c>
      <c r="G687" s="12" t="n">
        <v>460</v>
      </c>
      <c r="H687" s="11" t="n">
        <v>0.00296215277777778</v>
      </c>
      <c r="I687" s="12" t="n">
        <v>1278</v>
      </c>
      <c r="J687" s="14"/>
      <c r="K687" s="14"/>
      <c r="L687" s="14"/>
      <c r="M687" s="13"/>
    </row>
    <row r="688" customFormat="false" ht="15" hidden="false" customHeight="false" outlineLevel="0" collapsed="false">
      <c r="A688" s="6" t="n">
        <v>684</v>
      </c>
      <c r="B688" s="7" t="s">
        <v>1148</v>
      </c>
      <c r="C688" s="8" t="s">
        <v>31</v>
      </c>
      <c r="D688" s="9" t="n">
        <v>0.0107623842592593</v>
      </c>
      <c r="E688" s="10" t="n">
        <v>685</v>
      </c>
      <c r="F688" s="11"/>
      <c r="G688" s="12"/>
      <c r="H688" s="11" t="n">
        <v>0.00273078703703704</v>
      </c>
      <c r="I688" s="12" t="n">
        <v>66</v>
      </c>
      <c r="J688" s="14"/>
      <c r="K688" s="14" t="s">
        <v>1149</v>
      </c>
      <c r="L688" s="14"/>
      <c r="M688" s="13"/>
    </row>
    <row r="689" customFormat="false" ht="15" hidden="false" customHeight="false" outlineLevel="0" collapsed="false">
      <c r="A689" s="6" t="n">
        <v>685</v>
      </c>
      <c r="B689" s="7" t="s">
        <v>1150</v>
      </c>
      <c r="C689" s="8" t="s">
        <v>588</v>
      </c>
      <c r="D689" s="9" t="n">
        <v>0.0107627314814815</v>
      </c>
      <c r="E689" s="10" t="n">
        <v>686</v>
      </c>
      <c r="F689" s="11"/>
      <c r="G689" s="12"/>
      <c r="H689" s="11" t="n">
        <v>0.00278125</v>
      </c>
      <c r="I689" s="12" t="n">
        <v>207</v>
      </c>
      <c r="J689" s="14" t="s">
        <v>1151</v>
      </c>
      <c r="K689" s="14"/>
      <c r="L689" s="14"/>
      <c r="M689" s="13"/>
    </row>
    <row r="690" customFormat="false" ht="15" hidden="false" customHeight="false" outlineLevel="0" collapsed="false">
      <c r="A690" s="6" t="n">
        <v>686</v>
      </c>
      <c r="B690" s="7" t="s">
        <v>1152</v>
      </c>
      <c r="C690" s="8" t="s">
        <v>1153</v>
      </c>
      <c r="D690" s="9" t="n">
        <v>0.0107634259259259</v>
      </c>
      <c r="E690" s="10" t="n">
        <v>687</v>
      </c>
      <c r="F690" s="11"/>
      <c r="G690" s="12"/>
      <c r="H690" s="11" t="n">
        <v>0.00283310185185185</v>
      </c>
      <c r="I690" s="12" t="n">
        <v>446</v>
      </c>
      <c r="J690" s="14"/>
      <c r="K690" s="14"/>
      <c r="L690" s="14"/>
      <c r="M690" s="13"/>
    </row>
    <row r="691" customFormat="false" ht="15" hidden="false" customHeight="false" outlineLevel="0" collapsed="false">
      <c r="A691" s="6" t="n">
        <v>687</v>
      </c>
      <c r="B691" s="7" t="s">
        <v>1154</v>
      </c>
      <c r="C691" s="8" t="s">
        <v>200</v>
      </c>
      <c r="D691" s="9" t="n">
        <v>0.0107644675925926</v>
      </c>
      <c r="E691" s="10" t="n">
        <v>688</v>
      </c>
      <c r="F691" s="11"/>
      <c r="G691" s="12"/>
      <c r="H691" s="11"/>
      <c r="I691" s="12"/>
      <c r="J691" s="14"/>
      <c r="K691" s="14"/>
      <c r="L691" s="14"/>
      <c r="M691" s="13"/>
    </row>
    <row r="692" customFormat="false" ht="15" hidden="false" customHeight="false" outlineLevel="0" collapsed="false">
      <c r="A692" s="6" t="n">
        <v>688</v>
      </c>
      <c r="B692" s="7" t="s">
        <v>1155</v>
      </c>
      <c r="C692" s="8" t="s">
        <v>41</v>
      </c>
      <c r="D692" s="9" t="n">
        <v>0.0107644675925926</v>
      </c>
      <c r="E692" s="10" t="n">
        <v>689</v>
      </c>
      <c r="F692" s="11"/>
      <c r="G692" s="12"/>
      <c r="H692" s="11" t="n">
        <v>0.00291087962962963</v>
      </c>
      <c r="I692" s="12" t="n">
        <v>1027</v>
      </c>
      <c r="J692" s="14"/>
      <c r="K692" s="14"/>
      <c r="L692" s="14"/>
      <c r="M692" s="13"/>
    </row>
    <row r="693" customFormat="false" ht="15" hidden="false" customHeight="false" outlineLevel="0" collapsed="false">
      <c r="A693" s="6" t="n">
        <v>689</v>
      </c>
      <c r="B693" s="7" t="s">
        <v>1156</v>
      </c>
      <c r="C693" s="8" t="s">
        <v>252</v>
      </c>
      <c r="D693" s="9" t="n">
        <v>0.0107650462962963</v>
      </c>
      <c r="E693" s="10" t="n">
        <v>690</v>
      </c>
      <c r="F693" s="11"/>
      <c r="G693" s="12"/>
      <c r="H693" s="11"/>
      <c r="I693" s="12"/>
      <c r="J693" s="14"/>
      <c r="K693" s="14" t="s">
        <v>1157</v>
      </c>
      <c r="L693" s="14"/>
      <c r="M693" s="13"/>
    </row>
    <row r="694" customFormat="false" ht="15" hidden="false" customHeight="false" outlineLevel="0" collapsed="false">
      <c r="A694" s="6" t="n">
        <v>690</v>
      </c>
      <c r="B694" s="7" t="s">
        <v>1158</v>
      </c>
      <c r="C694" s="8" t="s">
        <v>1159</v>
      </c>
      <c r="D694" s="9" t="n">
        <v>0.010765162037037</v>
      </c>
      <c r="E694" s="10" t="n">
        <v>691</v>
      </c>
      <c r="F694" s="11"/>
      <c r="G694" s="12"/>
      <c r="H694" s="11" t="n">
        <v>0.00282233796296296</v>
      </c>
      <c r="I694" s="12" t="n">
        <v>376</v>
      </c>
      <c r="J694" s="14" t="s">
        <v>1160</v>
      </c>
      <c r="K694" s="14"/>
      <c r="L694" s="14"/>
      <c r="M694" s="13"/>
    </row>
    <row r="695" customFormat="false" ht="15" hidden="false" customHeight="false" outlineLevel="0" collapsed="false">
      <c r="A695" s="6" t="n">
        <v>691</v>
      </c>
      <c r="B695" s="7" t="s">
        <v>1161</v>
      </c>
      <c r="C695" s="8" t="s">
        <v>148</v>
      </c>
      <c r="D695" s="9" t="n">
        <v>0.0107659722222222</v>
      </c>
      <c r="E695" s="10" t="n">
        <v>692</v>
      </c>
      <c r="F695" s="11" t="n">
        <v>0.00668391203703704</v>
      </c>
      <c r="G695" s="12" t="n">
        <v>101</v>
      </c>
      <c r="H695" s="11" t="n">
        <v>0.00280405092592593</v>
      </c>
      <c r="I695" s="12" t="n">
        <v>300</v>
      </c>
      <c r="J695" s="14"/>
      <c r="K695" s="14"/>
      <c r="L695" s="14"/>
      <c r="M695" s="13"/>
    </row>
    <row r="696" customFormat="false" ht="15" hidden="false" customHeight="false" outlineLevel="0" collapsed="false">
      <c r="A696" s="6" t="n">
        <v>692</v>
      </c>
      <c r="B696" s="7" t="s">
        <v>1162</v>
      </c>
      <c r="C696" s="8" t="s">
        <v>66</v>
      </c>
      <c r="D696" s="9" t="n">
        <v>0.010766087962963</v>
      </c>
      <c r="E696" s="10" t="n">
        <v>693</v>
      </c>
      <c r="F696" s="11"/>
      <c r="G696" s="12"/>
      <c r="H696" s="11"/>
      <c r="I696" s="12"/>
      <c r="J696" s="14"/>
      <c r="K696" s="14"/>
      <c r="L696" s="14"/>
      <c r="M696" s="13"/>
    </row>
    <row r="697" customFormat="false" ht="15" hidden="false" customHeight="false" outlineLevel="0" collapsed="false">
      <c r="A697" s="6" t="n">
        <v>693</v>
      </c>
      <c r="B697" s="7" t="s">
        <v>1163</v>
      </c>
      <c r="C697" s="8" t="s">
        <v>410</v>
      </c>
      <c r="D697" s="9" t="n">
        <v>0.0107679398148148</v>
      </c>
      <c r="E697" s="10" t="n">
        <v>694</v>
      </c>
      <c r="F697" s="11"/>
      <c r="G697" s="12"/>
      <c r="H697" s="11"/>
      <c r="I697" s="12"/>
      <c r="J697" s="14"/>
      <c r="K697" s="14"/>
      <c r="L697" s="14"/>
      <c r="M697" s="13"/>
    </row>
    <row r="698" customFormat="false" ht="15" hidden="false" customHeight="false" outlineLevel="0" collapsed="false">
      <c r="A698" s="6" t="n">
        <v>694</v>
      </c>
      <c r="B698" s="7" t="s">
        <v>1164</v>
      </c>
      <c r="C698" s="8" t="s">
        <v>243</v>
      </c>
      <c r="D698" s="9" t="n">
        <v>0.0107696759259259</v>
      </c>
      <c r="E698" s="10" t="n">
        <v>695</v>
      </c>
      <c r="F698" s="11"/>
      <c r="G698" s="12"/>
      <c r="H698" s="11" t="n">
        <v>0.00287800925925926</v>
      </c>
      <c r="I698" s="12" t="n">
        <v>753</v>
      </c>
      <c r="J698" s="14"/>
      <c r="K698" s="14"/>
      <c r="L698" s="14"/>
      <c r="M698" s="13"/>
    </row>
    <row r="699" customFormat="false" ht="15" hidden="false" customHeight="false" outlineLevel="0" collapsed="false">
      <c r="A699" s="6" t="n">
        <v>695</v>
      </c>
      <c r="B699" s="7" t="s">
        <v>1165</v>
      </c>
      <c r="C699" s="8" t="s">
        <v>508</v>
      </c>
      <c r="D699" s="9" t="n">
        <v>0.0107704861111111</v>
      </c>
      <c r="E699" s="10" t="n">
        <v>696</v>
      </c>
      <c r="F699" s="11" t="n">
        <v>0.008159375</v>
      </c>
      <c r="G699" s="12" t="n">
        <v>1223</v>
      </c>
      <c r="H699" s="11" t="n">
        <v>0.00288263888888889</v>
      </c>
      <c r="I699" s="12" t="n">
        <v>797</v>
      </c>
      <c r="J699" s="14"/>
      <c r="K699" s="14"/>
      <c r="L699" s="14"/>
      <c r="M699" s="13"/>
    </row>
    <row r="700" customFormat="false" ht="15" hidden="false" customHeight="false" outlineLevel="0" collapsed="false">
      <c r="A700" s="6" t="n">
        <v>696</v>
      </c>
      <c r="B700" s="7" t="s">
        <v>1166</v>
      </c>
      <c r="C700" s="8" t="s">
        <v>518</v>
      </c>
      <c r="D700" s="9" t="n">
        <v>0.0107707175925926</v>
      </c>
      <c r="E700" s="10" t="n">
        <v>697</v>
      </c>
      <c r="F700" s="11"/>
      <c r="G700" s="12"/>
      <c r="H700" s="11" t="n">
        <v>0.00276678240740741</v>
      </c>
      <c r="I700" s="12" t="n">
        <v>155</v>
      </c>
      <c r="J700" s="14" t="s">
        <v>761</v>
      </c>
      <c r="K700" s="14"/>
      <c r="L700" s="14"/>
      <c r="M700" s="13"/>
    </row>
    <row r="701" customFormat="false" ht="15" hidden="false" customHeight="false" outlineLevel="0" collapsed="false">
      <c r="A701" s="6" t="n">
        <v>697</v>
      </c>
      <c r="B701" s="7" t="s">
        <v>1167</v>
      </c>
      <c r="C701" s="8" t="s">
        <v>1168</v>
      </c>
      <c r="D701" s="9" t="n">
        <v>0.010771412037037</v>
      </c>
      <c r="E701" s="10" t="n">
        <v>698</v>
      </c>
      <c r="F701" s="11"/>
      <c r="G701" s="12"/>
      <c r="H701" s="11"/>
      <c r="I701" s="12"/>
      <c r="J701" s="14"/>
      <c r="K701" s="14"/>
      <c r="L701" s="14"/>
      <c r="M701" s="13"/>
    </row>
    <row r="702" customFormat="false" ht="15" hidden="false" customHeight="false" outlineLevel="0" collapsed="false">
      <c r="A702" s="6" t="n">
        <v>698</v>
      </c>
      <c r="B702" s="7" t="s">
        <v>1169</v>
      </c>
      <c r="C702" s="8" t="s">
        <v>622</v>
      </c>
      <c r="D702" s="9" t="n">
        <v>0.0107715277777778</v>
      </c>
      <c r="E702" s="10" t="n">
        <v>699</v>
      </c>
      <c r="F702" s="11"/>
      <c r="G702" s="12"/>
      <c r="H702" s="11" t="n">
        <v>0.00280983796296296</v>
      </c>
      <c r="I702" s="12" t="n">
        <v>324</v>
      </c>
      <c r="J702" s="14"/>
      <c r="K702" s="14"/>
      <c r="L702" s="14"/>
      <c r="M702" s="13"/>
    </row>
    <row r="703" customFormat="false" ht="15" hidden="false" customHeight="false" outlineLevel="0" collapsed="false">
      <c r="A703" s="6" t="n">
        <v>699</v>
      </c>
      <c r="B703" s="7" t="s">
        <v>1170</v>
      </c>
      <c r="C703" s="8" t="s">
        <v>1171</v>
      </c>
      <c r="D703" s="9" t="n">
        <v>0.0107717592592593</v>
      </c>
      <c r="E703" s="10" t="n">
        <v>700</v>
      </c>
      <c r="F703" s="11"/>
      <c r="G703" s="12"/>
      <c r="H703" s="11" t="n">
        <v>0.00281064814814815</v>
      </c>
      <c r="I703" s="12" t="n">
        <v>325</v>
      </c>
      <c r="J703" s="14"/>
      <c r="K703" s="14"/>
      <c r="L703" s="14"/>
      <c r="M703" s="13"/>
    </row>
    <row r="704" customFormat="false" ht="15" hidden="false" customHeight="false" outlineLevel="0" collapsed="false">
      <c r="A704" s="6" t="n">
        <v>700</v>
      </c>
      <c r="B704" s="7" t="s">
        <v>1172</v>
      </c>
      <c r="C704" s="8" t="s">
        <v>704</v>
      </c>
      <c r="D704" s="9" t="n">
        <v>0.010772337962963</v>
      </c>
      <c r="E704" s="10" t="n">
        <v>701</v>
      </c>
      <c r="F704" s="11"/>
      <c r="G704" s="12"/>
      <c r="H704" s="11" t="n">
        <v>0.00285300925925926</v>
      </c>
      <c r="I704" s="12" t="n">
        <v>586</v>
      </c>
      <c r="J704" s="14"/>
      <c r="K704" s="14"/>
      <c r="L704" s="14"/>
      <c r="M704" s="13"/>
    </row>
    <row r="705" customFormat="false" ht="15" hidden="false" customHeight="false" outlineLevel="0" collapsed="false">
      <c r="A705" s="6" t="n">
        <v>701</v>
      </c>
      <c r="B705" s="7" t="s">
        <v>1173</v>
      </c>
      <c r="C705" s="8" t="s">
        <v>1174</v>
      </c>
      <c r="D705" s="9" t="n">
        <v>0.0107753472222222</v>
      </c>
      <c r="E705" s="10" t="n">
        <v>702</v>
      </c>
      <c r="F705" s="11"/>
      <c r="G705" s="12"/>
      <c r="H705" s="11" t="n">
        <v>0.00291145833333333</v>
      </c>
      <c r="I705" s="12" t="n">
        <v>1033</v>
      </c>
      <c r="J705" s="14"/>
      <c r="K705" s="14"/>
      <c r="L705" s="14"/>
      <c r="M705" s="13"/>
    </row>
    <row r="706" customFormat="false" ht="15" hidden="false" customHeight="false" outlineLevel="0" collapsed="false">
      <c r="A706" s="6" t="n">
        <v>702</v>
      </c>
      <c r="B706" s="7" t="s">
        <v>1175</v>
      </c>
      <c r="C706" s="8" t="s">
        <v>1124</v>
      </c>
      <c r="D706" s="9" t="n">
        <v>0.0107763888888889</v>
      </c>
      <c r="E706" s="10" t="n">
        <v>703</v>
      </c>
      <c r="F706" s="11"/>
      <c r="G706" s="12"/>
      <c r="H706" s="11"/>
      <c r="I706" s="12"/>
      <c r="J706" s="14" t="s">
        <v>731</v>
      </c>
      <c r="K706" s="14"/>
      <c r="L706" s="14"/>
      <c r="M706" s="13"/>
    </row>
    <row r="707" customFormat="false" ht="15" hidden="false" customHeight="false" outlineLevel="0" collapsed="false">
      <c r="A707" s="6" t="n">
        <v>703</v>
      </c>
      <c r="B707" s="7" t="s">
        <v>1176</v>
      </c>
      <c r="C707" s="8" t="s">
        <v>1177</v>
      </c>
      <c r="D707" s="9" t="n">
        <v>0.0107768518518519</v>
      </c>
      <c r="E707" s="10" t="n">
        <v>704</v>
      </c>
      <c r="F707" s="11"/>
      <c r="G707" s="12"/>
      <c r="H707" s="11" t="n">
        <v>0.00275601851851852</v>
      </c>
      <c r="I707" s="12" t="n">
        <v>123</v>
      </c>
      <c r="J707" s="14"/>
      <c r="K707" s="14"/>
      <c r="L707" s="14"/>
      <c r="M707" s="13"/>
    </row>
    <row r="708" customFormat="false" ht="15" hidden="false" customHeight="false" outlineLevel="0" collapsed="false">
      <c r="A708" s="6" t="n">
        <v>704</v>
      </c>
      <c r="B708" s="7" t="s">
        <v>1178</v>
      </c>
      <c r="C708" s="8" t="s">
        <v>622</v>
      </c>
      <c r="D708" s="9" t="n">
        <v>0.0107778935185185</v>
      </c>
      <c r="E708" s="10" t="n">
        <v>705</v>
      </c>
      <c r="F708" s="11" t="n">
        <v>0.0066275462962963</v>
      </c>
      <c r="G708" s="12" t="n">
        <v>73</v>
      </c>
      <c r="H708" s="11" t="n">
        <v>0.00289895833333333</v>
      </c>
      <c r="I708" s="12" t="n">
        <v>938</v>
      </c>
      <c r="J708" s="14" t="s">
        <v>1179</v>
      </c>
      <c r="K708" s="14"/>
      <c r="L708" s="14"/>
      <c r="M708" s="13"/>
    </row>
    <row r="709" customFormat="false" ht="15" hidden="false" customHeight="false" outlineLevel="0" collapsed="false">
      <c r="A709" s="6" t="n">
        <v>705</v>
      </c>
      <c r="B709" s="7" t="s">
        <v>1180</v>
      </c>
      <c r="C709" s="8" t="s">
        <v>1181</v>
      </c>
      <c r="D709" s="9" t="n">
        <v>0.0107795138888889</v>
      </c>
      <c r="E709" s="10" t="n">
        <v>706</v>
      </c>
      <c r="F709" s="11" t="n">
        <v>0.00684710648148148</v>
      </c>
      <c r="G709" s="12" t="n">
        <v>201</v>
      </c>
      <c r="H709" s="11" t="n">
        <v>0.00284722222222222</v>
      </c>
      <c r="I709" s="12" t="n">
        <v>552</v>
      </c>
      <c r="J709" s="14"/>
      <c r="K709" s="14"/>
      <c r="L709" s="14"/>
      <c r="M709" s="13"/>
    </row>
    <row r="710" customFormat="false" ht="15" hidden="false" customHeight="false" outlineLevel="0" collapsed="false">
      <c r="A710" s="6" t="n">
        <v>706</v>
      </c>
      <c r="B710" s="7" t="s">
        <v>1182</v>
      </c>
      <c r="C710" s="8" t="s">
        <v>1183</v>
      </c>
      <c r="D710" s="9" t="n">
        <v>0.0107804398148148</v>
      </c>
      <c r="E710" s="10" t="n">
        <v>707</v>
      </c>
      <c r="F710" s="11"/>
      <c r="G710" s="12"/>
      <c r="H710" s="11" t="n">
        <v>0.00279907407407407</v>
      </c>
      <c r="I710" s="12" t="n">
        <v>278</v>
      </c>
      <c r="J710" s="14"/>
      <c r="K710" s="14"/>
      <c r="L710" s="14"/>
      <c r="M710" s="13"/>
    </row>
    <row r="711" customFormat="false" ht="15" hidden="false" customHeight="false" outlineLevel="0" collapsed="false">
      <c r="A711" s="6" t="n">
        <v>707</v>
      </c>
      <c r="B711" s="7" t="s">
        <v>1184</v>
      </c>
      <c r="C711" s="8" t="s">
        <v>1185</v>
      </c>
      <c r="D711" s="9" t="n">
        <v>0.0107810185185185</v>
      </c>
      <c r="E711" s="10" t="n">
        <v>708</v>
      </c>
      <c r="F711" s="11"/>
      <c r="G711" s="12"/>
      <c r="H711" s="11" t="n">
        <v>0.00279560185185185</v>
      </c>
      <c r="I711" s="12" t="n">
        <v>262</v>
      </c>
      <c r="J711" s="14"/>
      <c r="K711" s="14"/>
      <c r="L711" s="14"/>
      <c r="M711" s="13"/>
    </row>
    <row r="712" customFormat="false" ht="15" hidden="false" customHeight="false" outlineLevel="0" collapsed="false">
      <c r="A712" s="6" t="n">
        <v>708</v>
      </c>
      <c r="B712" s="7" t="s">
        <v>1186</v>
      </c>
      <c r="C712" s="8" t="s">
        <v>200</v>
      </c>
      <c r="D712" s="9" t="n">
        <v>0.0107821759259259</v>
      </c>
      <c r="E712" s="10" t="n">
        <v>709</v>
      </c>
      <c r="F712" s="11"/>
      <c r="G712" s="12"/>
      <c r="H712" s="11" t="n">
        <v>0.0028400462962963</v>
      </c>
      <c r="I712" s="12" t="n">
        <v>497</v>
      </c>
      <c r="J712" s="14"/>
      <c r="K712" s="14"/>
      <c r="L712" s="14"/>
      <c r="M712" s="13"/>
    </row>
    <row r="713" customFormat="false" ht="15" hidden="false" customHeight="false" outlineLevel="0" collapsed="false">
      <c r="A713" s="6" t="n">
        <v>709</v>
      </c>
      <c r="B713" s="7" t="s">
        <v>1187</v>
      </c>
      <c r="C713" s="8" t="s">
        <v>311</v>
      </c>
      <c r="D713" s="9" t="n">
        <v>0.0107835648148148</v>
      </c>
      <c r="E713" s="10" t="n">
        <v>710</v>
      </c>
      <c r="F713" s="11" t="n">
        <v>0.00717002314814815</v>
      </c>
      <c r="G713" s="12" t="n">
        <v>510</v>
      </c>
      <c r="H713" s="11"/>
      <c r="I713" s="12"/>
      <c r="J713" s="14"/>
      <c r="K713" s="14"/>
      <c r="L713" s="14"/>
      <c r="M713" s="13"/>
    </row>
    <row r="714" customFormat="false" ht="15" hidden="false" customHeight="false" outlineLevel="0" collapsed="false">
      <c r="A714" s="6" t="n">
        <v>710</v>
      </c>
      <c r="B714" s="7" t="s">
        <v>1188</v>
      </c>
      <c r="C714" s="8" t="s">
        <v>1189</v>
      </c>
      <c r="D714" s="9" t="n">
        <v>0.010783912037037</v>
      </c>
      <c r="E714" s="10" t="n">
        <v>711</v>
      </c>
      <c r="F714" s="11"/>
      <c r="G714" s="12"/>
      <c r="H714" s="11" t="n">
        <v>0.0028587962962963</v>
      </c>
      <c r="I714" s="12" t="n">
        <v>627</v>
      </c>
      <c r="J714" s="14"/>
      <c r="K714" s="14"/>
      <c r="L714" s="14"/>
      <c r="M714" s="13"/>
    </row>
    <row r="715" customFormat="false" ht="15" hidden="false" customHeight="false" outlineLevel="0" collapsed="false">
      <c r="A715" s="6" t="n">
        <v>711</v>
      </c>
      <c r="B715" s="7" t="s">
        <v>1190</v>
      </c>
      <c r="C715" s="8" t="s">
        <v>70</v>
      </c>
      <c r="D715" s="9" t="n">
        <v>0.0107847222222222</v>
      </c>
      <c r="E715" s="10" t="n">
        <v>712</v>
      </c>
      <c r="F715" s="11" t="n">
        <v>0.0072994212962963</v>
      </c>
      <c r="G715" s="12" t="n">
        <v>646</v>
      </c>
      <c r="H715" s="11" t="n">
        <v>0.00289733796296296</v>
      </c>
      <c r="I715" s="12" t="n">
        <v>927</v>
      </c>
      <c r="J715" s="14"/>
      <c r="K715" s="14"/>
      <c r="L715" s="14"/>
      <c r="M715" s="13"/>
    </row>
    <row r="716" customFormat="false" ht="15" hidden="false" customHeight="false" outlineLevel="0" collapsed="false">
      <c r="A716" s="6" t="n">
        <v>712</v>
      </c>
      <c r="B716" s="7" t="s">
        <v>1191</v>
      </c>
      <c r="C716" s="8" t="s">
        <v>1192</v>
      </c>
      <c r="D716" s="9" t="n">
        <v>0.0107855324074074</v>
      </c>
      <c r="E716" s="10" t="n">
        <v>713</v>
      </c>
      <c r="F716" s="11" t="n">
        <v>0.007771875</v>
      </c>
      <c r="G716" s="12" t="n">
        <v>1127</v>
      </c>
      <c r="H716" s="11"/>
      <c r="I716" s="12"/>
      <c r="J716" s="14"/>
      <c r="K716" s="14"/>
      <c r="L716" s="14"/>
      <c r="M716" s="13"/>
    </row>
    <row r="717" customFormat="false" ht="15" hidden="false" customHeight="false" outlineLevel="0" collapsed="false">
      <c r="A717" s="6" t="n">
        <v>713</v>
      </c>
      <c r="B717" s="7" t="s">
        <v>1193</v>
      </c>
      <c r="C717" s="8" t="s">
        <v>160</v>
      </c>
      <c r="D717" s="9" t="n">
        <v>0.0107869212962963</v>
      </c>
      <c r="E717" s="10" t="n">
        <v>714</v>
      </c>
      <c r="F717" s="11"/>
      <c r="G717" s="12"/>
      <c r="H717" s="11" t="n">
        <v>0.00276516203703704</v>
      </c>
      <c r="I717" s="12" t="n">
        <v>150</v>
      </c>
      <c r="J717" s="14"/>
      <c r="K717" s="14" t="s">
        <v>1194</v>
      </c>
      <c r="L717" s="14"/>
      <c r="M717" s="13"/>
    </row>
    <row r="718" customFormat="false" ht="15" hidden="false" customHeight="false" outlineLevel="0" collapsed="false">
      <c r="A718" s="6" t="n">
        <v>714</v>
      </c>
      <c r="B718" s="7" t="s">
        <v>1195</v>
      </c>
      <c r="C718" s="8" t="s">
        <v>296</v>
      </c>
      <c r="D718" s="9" t="n">
        <v>0.0107873842592593</v>
      </c>
      <c r="E718" s="10" t="n">
        <v>715</v>
      </c>
      <c r="F718" s="11"/>
      <c r="G718" s="12"/>
      <c r="H718" s="11" t="n">
        <v>0.00291689814814815</v>
      </c>
      <c r="I718" s="12" t="n">
        <v>1066</v>
      </c>
      <c r="J718" s="14"/>
      <c r="K718" s="14"/>
      <c r="L718" s="14"/>
      <c r="M718" s="13"/>
    </row>
    <row r="719" customFormat="false" ht="15" hidden="false" customHeight="false" outlineLevel="0" collapsed="false">
      <c r="A719" s="6" t="n">
        <v>715</v>
      </c>
      <c r="B719" s="7" t="s">
        <v>1196</v>
      </c>
      <c r="C719" s="8" t="s">
        <v>750</v>
      </c>
      <c r="D719" s="9" t="n">
        <v>0.0107875</v>
      </c>
      <c r="E719" s="10" t="n">
        <v>716</v>
      </c>
      <c r="F719" s="11"/>
      <c r="G719" s="12"/>
      <c r="H719" s="11" t="n">
        <v>0.00288703703703704</v>
      </c>
      <c r="I719" s="12" t="n">
        <v>835</v>
      </c>
      <c r="J719" s="14"/>
      <c r="K719" s="14"/>
      <c r="L719" s="14"/>
      <c r="M719" s="13"/>
    </row>
    <row r="720" customFormat="false" ht="15" hidden="false" customHeight="false" outlineLevel="0" collapsed="false">
      <c r="A720" s="6" t="n">
        <v>716</v>
      </c>
      <c r="B720" s="7" t="s">
        <v>1197</v>
      </c>
      <c r="C720" s="8" t="s">
        <v>1189</v>
      </c>
      <c r="D720" s="9" t="n">
        <v>0.0107876157407407</v>
      </c>
      <c r="E720" s="10" t="n">
        <v>717</v>
      </c>
      <c r="F720" s="11"/>
      <c r="G720" s="12"/>
      <c r="H720" s="11" t="n">
        <v>0.00284340277777778</v>
      </c>
      <c r="I720" s="12" t="n">
        <v>519</v>
      </c>
      <c r="J720" s="14"/>
      <c r="K720" s="14"/>
      <c r="L720" s="14"/>
      <c r="M720" s="13"/>
    </row>
    <row r="721" customFormat="false" ht="15" hidden="false" customHeight="false" outlineLevel="0" collapsed="false">
      <c r="A721" s="6" t="n">
        <v>717</v>
      </c>
      <c r="B721" s="7" t="s">
        <v>1198</v>
      </c>
      <c r="C721" s="8" t="s">
        <v>612</v>
      </c>
      <c r="D721" s="9" t="n">
        <v>0.0107881944444444</v>
      </c>
      <c r="E721" s="10" t="n">
        <v>718</v>
      </c>
      <c r="F721" s="11" t="n">
        <v>0.00738912037037037</v>
      </c>
      <c r="G721" s="12" t="n">
        <v>760</v>
      </c>
      <c r="H721" s="11" t="n">
        <v>0.00278356481481482</v>
      </c>
      <c r="I721" s="12" t="n">
        <v>214</v>
      </c>
      <c r="J721" s="14" t="s">
        <v>1199</v>
      </c>
      <c r="K721" s="14"/>
      <c r="L721" s="14"/>
      <c r="M721" s="13"/>
    </row>
    <row r="722" customFormat="false" ht="15" hidden="false" customHeight="false" outlineLevel="0" collapsed="false">
      <c r="A722" s="6" t="n">
        <v>718</v>
      </c>
      <c r="B722" s="7" t="s">
        <v>1200</v>
      </c>
      <c r="C722" s="8" t="s">
        <v>87</v>
      </c>
      <c r="D722" s="9" t="n">
        <v>0.0107890046296296</v>
      </c>
      <c r="E722" s="10" t="n">
        <v>719</v>
      </c>
      <c r="F722" s="11"/>
      <c r="G722" s="12"/>
      <c r="H722" s="11" t="n">
        <v>0.00275671296296296</v>
      </c>
      <c r="I722" s="12" t="n">
        <v>125</v>
      </c>
      <c r="J722" s="14"/>
      <c r="K722" s="14"/>
      <c r="L722" s="14"/>
      <c r="M722" s="13"/>
    </row>
    <row r="723" customFormat="false" ht="15" hidden="false" customHeight="false" outlineLevel="0" collapsed="false">
      <c r="A723" s="6" t="n">
        <v>719</v>
      </c>
      <c r="B723" s="7" t="s">
        <v>1201</v>
      </c>
      <c r="C723" s="8" t="s">
        <v>1202</v>
      </c>
      <c r="D723" s="9" t="n">
        <v>0.0107890046296296</v>
      </c>
      <c r="E723" s="10" t="n">
        <v>720</v>
      </c>
      <c r="F723" s="11"/>
      <c r="G723" s="12"/>
      <c r="H723" s="11" t="n">
        <v>0.00283587962962963</v>
      </c>
      <c r="I723" s="12" t="n">
        <v>470</v>
      </c>
      <c r="J723" s="14" t="s">
        <v>1203</v>
      </c>
      <c r="K723" s="14"/>
      <c r="L723" s="14"/>
      <c r="M723" s="13"/>
    </row>
    <row r="724" customFormat="false" ht="15" hidden="false" customHeight="false" outlineLevel="0" collapsed="false">
      <c r="A724" s="6" t="n">
        <v>720</v>
      </c>
      <c r="B724" s="7" t="s">
        <v>1204</v>
      </c>
      <c r="C724" s="8" t="s">
        <v>1205</v>
      </c>
      <c r="D724" s="9" t="n">
        <v>0.0107894675925926</v>
      </c>
      <c r="E724" s="10" t="n">
        <v>721</v>
      </c>
      <c r="F724" s="11"/>
      <c r="G724" s="12"/>
      <c r="H724" s="11" t="n">
        <v>0.00289259259259259</v>
      </c>
      <c r="I724" s="12" t="n">
        <v>895</v>
      </c>
      <c r="J724" s="14"/>
      <c r="K724" s="14"/>
      <c r="L724" s="14"/>
      <c r="M724" s="13"/>
    </row>
    <row r="725" customFormat="false" ht="15" hidden="false" customHeight="false" outlineLevel="0" collapsed="false">
      <c r="A725" s="6" t="n">
        <v>721</v>
      </c>
      <c r="B725" s="7" t="s">
        <v>1206</v>
      </c>
      <c r="C725" s="8" t="s">
        <v>525</v>
      </c>
      <c r="D725" s="9" t="n">
        <v>0.0107895833333333</v>
      </c>
      <c r="E725" s="10" t="n">
        <v>722</v>
      </c>
      <c r="F725" s="11"/>
      <c r="G725" s="12"/>
      <c r="H725" s="11" t="n">
        <v>0.00290972222222222</v>
      </c>
      <c r="I725" s="12" t="n">
        <v>1015</v>
      </c>
      <c r="J725" s="14"/>
      <c r="K725" s="14"/>
      <c r="L725" s="14"/>
      <c r="M725" s="13"/>
    </row>
    <row r="726" customFormat="false" ht="15" hidden="false" customHeight="false" outlineLevel="0" collapsed="false">
      <c r="A726" s="6" t="n">
        <v>722</v>
      </c>
      <c r="B726" s="7" t="s">
        <v>1207</v>
      </c>
      <c r="C726" s="8" t="s">
        <v>113</v>
      </c>
      <c r="D726" s="9" t="n">
        <v>0.0107907407407407</v>
      </c>
      <c r="E726" s="10" t="n">
        <v>723</v>
      </c>
      <c r="F726" s="11"/>
      <c r="G726" s="12"/>
      <c r="H726" s="11" t="n">
        <v>0.00290555555555556</v>
      </c>
      <c r="I726" s="12" t="n">
        <v>988</v>
      </c>
      <c r="J726" s="14"/>
      <c r="K726" s="14"/>
      <c r="L726" s="14"/>
      <c r="M726" s="13"/>
    </row>
    <row r="727" customFormat="false" ht="15" hidden="false" customHeight="false" outlineLevel="0" collapsed="false">
      <c r="A727" s="6" t="n">
        <v>723</v>
      </c>
      <c r="B727" s="7" t="s">
        <v>1208</v>
      </c>
      <c r="C727" s="8" t="s">
        <v>1209</v>
      </c>
      <c r="D727" s="9" t="n">
        <v>0.0107907407407407</v>
      </c>
      <c r="E727" s="10" t="n">
        <v>724</v>
      </c>
      <c r="F727" s="11"/>
      <c r="G727" s="12"/>
      <c r="H727" s="11" t="n">
        <v>0.00287835648148148</v>
      </c>
      <c r="I727" s="12" t="n">
        <v>756</v>
      </c>
      <c r="J727" s="14"/>
      <c r="K727" s="14"/>
      <c r="L727" s="14"/>
      <c r="M727" s="13"/>
    </row>
    <row r="728" customFormat="false" ht="15" hidden="false" customHeight="false" outlineLevel="0" collapsed="false">
      <c r="A728" s="6" t="n">
        <v>724</v>
      </c>
      <c r="B728" s="7" t="s">
        <v>1210</v>
      </c>
      <c r="C728" s="8" t="s">
        <v>1211</v>
      </c>
      <c r="D728" s="9" t="n">
        <v>0.0107909722222222</v>
      </c>
      <c r="E728" s="10" t="n">
        <v>725</v>
      </c>
      <c r="F728" s="11" t="n">
        <v>0.00711053240740741</v>
      </c>
      <c r="G728" s="12" t="n">
        <v>456</v>
      </c>
      <c r="H728" s="11" t="n">
        <v>0.00284861111111111</v>
      </c>
      <c r="I728" s="12" t="n">
        <v>558</v>
      </c>
      <c r="J728" s="14"/>
      <c r="K728" s="14"/>
      <c r="L728" s="14"/>
      <c r="M728" s="13"/>
    </row>
    <row r="729" customFormat="false" ht="15" hidden="false" customHeight="false" outlineLevel="0" collapsed="false">
      <c r="A729" s="6" t="n">
        <v>725</v>
      </c>
      <c r="B729" s="7" t="s">
        <v>1212</v>
      </c>
      <c r="C729" s="8" t="s">
        <v>1213</v>
      </c>
      <c r="D729" s="9" t="n">
        <v>0.0107912037037037</v>
      </c>
      <c r="E729" s="10" t="n">
        <v>726</v>
      </c>
      <c r="F729" s="11"/>
      <c r="G729" s="12"/>
      <c r="H729" s="11" t="n">
        <v>0.00285671296296296</v>
      </c>
      <c r="I729" s="12" t="n">
        <v>613</v>
      </c>
      <c r="J729" s="14"/>
      <c r="K729" s="14"/>
      <c r="L729" s="14"/>
      <c r="M729" s="13"/>
    </row>
    <row r="730" customFormat="false" ht="15" hidden="false" customHeight="false" outlineLevel="0" collapsed="false">
      <c r="A730" s="6" t="n">
        <v>726</v>
      </c>
      <c r="B730" s="7" t="s">
        <v>1214</v>
      </c>
      <c r="C730" s="8" t="s">
        <v>896</v>
      </c>
      <c r="D730" s="9" t="n">
        <v>0.0107913194444444</v>
      </c>
      <c r="E730" s="10" t="n">
        <v>727</v>
      </c>
      <c r="F730" s="11"/>
      <c r="G730" s="12"/>
      <c r="H730" s="11"/>
      <c r="I730" s="12"/>
      <c r="J730" s="14"/>
      <c r="K730" s="14"/>
      <c r="L730" s="14"/>
      <c r="M730" s="13"/>
    </row>
    <row r="731" customFormat="false" ht="15" hidden="false" customHeight="false" outlineLevel="0" collapsed="false">
      <c r="A731" s="6" t="n">
        <v>727</v>
      </c>
      <c r="B731" s="7" t="s">
        <v>1215</v>
      </c>
      <c r="C731" s="8" t="s">
        <v>1042</v>
      </c>
      <c r="D731" s="9" t="n">
        <v>0.0107917824074074</v>
      </c>
      <c r="E731" s="10" t="n">
        <v>728</v>
      </c>
      <c r="F731" s="11"/>
      <c r="G731" s="12"/>
      <c r="H731" s="11" t="n">
        <v>0.00284884259259259</v>
      </c>
      <c r="I731" s="12" t="n">
        <v>561</v>
      </c>
      <c r="J731" s="14"/>
      <c r="K731" s="14"/>
      <c r="L731" s="14"/>
      <c r="M731" s="13"/>
    </row>
    <row r="732" customFormat="false" ht="15" hidden="false" customHeight="false" outlineLevel="0" collapsed="false">
      <c r="A732" s="6" t="n">
        <v>728</v>
      </c>
      <c r="B732" s="7" t="s">
        <v>1216</v>
      </c>
      <c r="C732" s="8" t="s">
        <v>1217</v>
      </c>
      <c r="D732" s="9" t="n">
        <v>0.0107920138888889</v>
      </c>
      <c r="E732" s="10" t="n">
        <v>729</v>
      </c>
      <c r="F732" s="11"/>
      <c r="G732" s="12"/>
      <c r="H732" s="11" t="n">
        <v>0.00273657407407407</v>
      </c>
      <c r="I732" s="12" t="n">
        <v>78</v>
      </c>
      <c r="J732" s="14"/>
      <c r="K732" s="14"/>
      <c r="L732" s="14"/>
      <c r="M732" s="13"/>
    </row>
    <row r="733" customFormat="false" ht="15" hidden="false" customHeight="false" outlineLevel="0" collapsed="false">
      <c r="A733" s="6" t="n">
        <v>729</v>
      </c>
      <c r="B733" s="7" t="s">
        <v>1218</v>
      </c>
      <c r="C733" s="8" t="s">
        <v>508</v>
      </c>
      <c r="D733" s="9" t="n">
        <v>0.0107921296296296</v>
      </c>
      <c r="E733" s="10" t="n">
        <v>730</v>
      </c>
      <c r="F733" s="11" t="n">
        <v>0.00704074074074074</v>
      </c>
      <c r="G733" s="12" t="n">
        <v>377</v>
      </c>
      <c r="H733" s="11" t="n">
        <v>0.00287094907407407</v>
      </c>
      <c r="I733" s="12" t="n">
        <v>704</v>
      </c>
      <c r="J733" s="14"/>
      <c r="K733" s="14"/>
      <c r="L733" s="14"/>
      <c r="M733" s="13"/>
    </row>
    <row r="734" customFormat="false" ht="15" hidden="false" customHeight="false" outlineLevel="0" collapsed="false">
      <c r="A734" s="6" t="n">
        <v>730</v>
      </c>
      <c r="B734" s="7" t="s">
        <v>1219</v>
      </c>
      <c r="C734" s="8" t="s">
        <v>1220</v>
      </c>
      <c r="D734" s="9" t="n">
        <v>0.0107928240740741</v>
      </c>
      <c r="E734" s="10" t="n">
        <v>731</v>
      </c>
      <c r="F734" s="11"/>
      <c r="G734" s="12"/>
      <c r="H734" s="11"/>
      <c r="I734" s="12"/>
      <c r="J734" s="14"/>
      <c r="K734" s="14"/>
      <c r="L734" s="14"/>
      <c r="M734" s="13"/>
    </row>
    <row r="735" customFormat="false" ht="15" hidden="false" customHeight="false" outlineLevel="0" collapsed="false">
      <c r="A735" s="6" t="n">
        <v>731</v>
      </c>
      <c r="B735" s="7" t="s">
        <v>1221</v>
      </c>
      <c r="C735" s="8" t="s">
        <v>1222</v>
      </c>
      <c r="D735" s="9" t="n">
        <v>0.0107929398148148</v>
      </c>
      <c r="E735" s="10" t="n">
        <v>732</v>
      </c>
      <c r="F735" s="11" t="n">
        <v>0.00706365740740741</v>
      </c>
      <c r="G735" s="12" t="n">
        <v>406</v>
      </c>
      <c r="H735" s="11" t="n">
        <v>0.00288356481481481</v>
      </c>
      <c r="I735" s="12" t="n">
        <v>804</v>
      </c>
      <c r="J735" s="14"/>
      <c r="K735" s="14"/>
      <c r="L735" s="14"/>
      <c r="M735" s="13"/>
    </row>
    <row r="736" customFormat="false" ht="15" hidden="false" customHeight="false" outlineLevel="0" collapsed="false">
      <c r="A736" s="6" t="n">
        <v>732</v>
      </c>
      <c r="B736" s="7" t="s">
        <v>1223</v>
      </c>
      <c r="C736" s="8" t="s">
        <v>1224</v>
      </c>
      <c r="D736" s="9" t="n">
        <v>0.010794212962963</v>
      </c>
      <c r="E736" s="10" t="n">
        <v>733</v>
      </c>
      <c r="F736" s="11" t="n">
        <v>0.00658078703703704</v>
      </c>
      <c r="G736" s="12" t="n">
        <v>62</v>
      </c>
      <c r="H736" s="11" t="n">
        <v>0.00291354166666667</v>
      </c>
      <c r="I736" s="12" t="n">
        <v>1046</v>
      </c>
      <c r="J736" s="14"/>
      <c r="K736" s="14"/>
      <c r="L736" s="14"/>
      <c r="M736" s="13"/>
    </row>
    <row r="737" customFormat="false" ht="15" hidden="false" customHeight="false" outlineLevel="0" collapsed="false">
      <c r="A737" s="6" t="n">
        <v>733</v>
      </c>
      <c r="B737" s="7" t="s">
        <v>1225</v>
      </c>
      <c r="C737" s="8" t="s">
        <v>1042</v>
      </c>
      <c r="D737" s="9" t="n">
        <v>0.0107952546296296</v>
      </c>
      <c r="E737" s="10" t="n">
        <v>734</v>
      </c>
      <c r="F737" s="11" t="n">
        <v>0.00722488425925926</v>
      </c>
      <c r="G737" s="12" t="n">
        <v>565</v>
      </c>
      <c r="H737" s="11" t="n">
        <v>0.00296493055555556</v>
      </c>
      <c r="I737" s="12" t="n">
        <v>1290</v>
      </c>
      <c r="J737" s="14"/>
      <c r="K737" s="14"/>
      <c r="L737" s="14"/>
      <c r="M737" s="13"/>
    </row>
    <row r="738" customFormat="false" ht="15" hidden="false" customHeight="false" outlineLevel="0" collapsed="false">
      <c r="A738" s="6" t="n">
        <v>734</v>
      </c>
      <c r="B738" s="7" t="s">
        <v>1226</v>
      </c>
      <c r="C738" s="8" t="s">
        <v>233</v>
      </c>
      <c r="D738" s="9" t="n">
        <v>0.0107954861111111</v>
      </c>
      <c r="E738" s="10" t="n">
        <v>735</v>
      </c>
      <c r="F738" s="11" t="n">
        <v>0.00638576388888889</v>
      </c>
      <c r="G738" s="12" t="n">
        <v>13</v>
      </c>
      <c r="H738" s="11" t="n">
        <v>0.00290115740740741</v>
      </c>
      <c r="I738" s="12" t="n">
        <v>956</v>
      </c>
      <c r="J738" s="14" t="s">
        <v>860</v>
      </c>
      <c r="K738" s="14"/>
      <c r="L738" s="14"/>
      <c r="M738" s="13"/>
    </row>
    <row r="739" customFormat="false" ht="15" hidden="false" customHeight="false" outlineLevel="0" collapsed="false">
      <c r="A739" s="6" t="n">
        <v>735</v>
      </c>
      <c r="B739" s="7" t="s">
        <v>1227</v>
      </c>
      <c r="C739" s="8" t="s">
        <v>616</v>
      </c>
      <c r="D739" s="9" t="n">
        <v>0.010796875</v>
      </c>
      <c r="E739" s="10" t="n">
        <v>736</v>
      </c>
      <c r="F739" s="11"/>
      <c r="G739" s="12"/>
      <c r="H739" s="11" t="n">
        <v>0.0028587962962963</v>
      </c>
      <c r="I739" s="12" t="n">
        <v>628</v>
      </c>
      <c r="J739" s="14"/>
      <c r="K739" s="14" t="s">
        <v>1228</v>
      </c>
      <c r="L739" s="14"/>
      <c r="M739" s="13"/>
    </row>
    <row r="740" customFormat="false" ht="15" hidden="false" customHeight="false" outlineLevel="0" collapsed="false">
      <c r="A740" s="6" t="n">
        <v>736</v>
      </c>
      <c r="B740" s="7" t="s">
        <v>1229</v>
      </c>
      <c r="C740" s="8" t="s">
        <v>1230</v>
      </c>
      <c r="D740" s="9" t="n">
        <v>0.0107971064814815</v>
      </c>
      <c r="E740" s="10" t="n">
        <v>737</v>
      </c>
      <c r="F740" s="11"/>
      <c r="G740" s="12"/>
      <c r="H740" s="11"/>
      <c r="I740" s="12"/>
      <c r="J740" s="14"/>
      <c r="K740" s="14"/>
      <c r="L740" s="14"/>
      <c r="M740" s="13"/>
    </row>
    <row r="741" customFormat="false" ht="15" hidden="false" customHeight="false" outlineLevel="0" collapsed="false">
      <c r="A741" s="6" t="n">
        <v>737</v>
      </c>
      <c r="B741" s="7" t="s">
        <v>1231</v>
      </c>
      <c r="C741" s="8" t="s">
        <v>143</v>
      </c>
      <c r="D741" s="9" t="n">
        <v>0.0107975694444444</v>
      </c>
      <c r="E741" s="10" t="n">
        <v>738</v>
      </c>
      <c r="F741" s="11" t="n">
        <v>0.00665</v>
      </c>
      <c r="G741" s="12" t="n">
        <v>83</v>
      </c>
      <c r="H741" s="11" t="n">
        <v>0.00279027777777778</v>
      </c>
      <c r="I741" s="12" t="n">
        <v>241</v>
      </c>
      <c r="J741" s="14"/>
      <c r="K741" s="14"/>
      <c r="L741" s="14"/>
      <c r="M741" s="13"/>
    </row>
    <row r="742" customFormat="false" ht="15" hidden="false" customHeight="false" outlineLevel="0" collapsed="false">
      <c r="A742" s="6" t="n">
        <v>738</v>
      </c>
      <c r="B742" s="7" t="s">
        <v>1232</v>
      </c>
      <c r="C742" s="8" t="s">
        <v>143</v>
      </c>
      <c r="D742" s="9" t="n">
        <v>0.0107994212962963</v>
      </c>
      <c r="E742" s="10" t="n">
        <v>739</v>
      </c>
      <c r="F742" s="11" t="n">
        <v>0.00673020833333333</v>
      </c>
      <c r="G742" s="12" t="n">
        <v>120</v>
      </c>
      <c r="H742" s="11" t="n">
        <v>0.00282962962962963</v>
      </c>
      <c r="I742" s="12" t="n">
        <v>424</v>
      </c>
      <c r="J742" s="14"/>
      <c r="K742" s="14"/>
      <c r="L742" s="14"/>
      <c r="M742" s="13"/>
    </row>
    <row r="743" customFormat="false" ht="15" hidden="false" customHeight="false" outlineLevel="0" collapsed="false">
      <c r="A743" s="6" t="n">
        <v>739</v>
      </c>
      <c r="B743" s="7" t="s">
        <v>1233</v>
      </c>
      <c r="C743" s="8" t="s">
        <v>1209</v>
      </c>
      <c r="D743" s="9" t="n">
        <v>0.0108002314814815</v>
      </c>
      <c r="E743" s="10" t="n">
        <v>740</v>
      </c>
      <c r="F743" s="11"/>
      <c r="G743" s="12"/>
      <c r="H743" s="11" t="n">
        <v>0.00288263888888889</v>
      </c>
      <c r="I743" s="12" t="n">
        <v>799</v>
      </c>
      <c r="J743" s="14"/>
      <c r="K743" s="14"/>
      <c r="L743" s="14"/>
      <c r="M743" s="13"/>
    </row>
    <row r="744" customFormat="false" ht="15" hidden="false" customHeight="false" outlineLevel="0" collapsed="false">
      <c r="A744" s="6" t="n">
        <v>740</v>
      </c>
      <c r="B744" s="7" t="s">
        <v>1234</v>
      </c>
      <c r="C744" s="8" t="s">
        <v>108</v>
      </c>
      <c r="D744" s="9" t="n">
        <v>0.0108009259259259</v>
      </c>
      <c r="E744" s="10" t="n">
        <v>741</v>
      </c>
      <c r="F744" s="11"/>
      <c r="G744" s="12"/>
      <c r="H744" s="11" t="n">
        <v>0.00291377314814815</v>
      </c>
      <c r="I744" s="12" t="n">
        <v>1049</v>
      </c>
      <c r="J744" s="14"/>
      <c r="K744" s="14"/>
      <c r="L744" s="14"/>
      <c r="M744" s="13"/>
    </row>
    <row r="745" customFormat="false" ht="15" hidden="false" customHeight="false" outlineLevel="0" collapsed="false">
      <c r="A745" s="6" t="n">
        <v>741</v>
      </c>
      <c r="B745" s="7" t="s">
        <v>1235</v>
      </c>
      <c r="C745" s="14" t="s">
        <v>1236</v>
      </c>
      <c r="D745" s="9" t="n">
        <v>0.0108009259259259</v>
      </c>
      <c r="E745" s="10" t="n">
        <v>742</v>
      </c>
      <c r="F745" s="11"/>
      <c r="G745" s="12"/>
      <c r="H745" s="11"/>
      <c r="I745" s="12"/>
      <c r="J745" s="14"/>
      <c r="K745" s="14"/>
      <c r="L745" s="14"/>
      <c r="M745" s="13"/>
    </row>
    <row r="746" customFormat="false" ht="15" hidden="false" customHeight="false" outlineLevel="0" collapsed="false">
      <c r="A746" s="6" t="n">
        <v>742</v>
      </c>
      <c r="B746" s="7" t="s">
        <v>1237</v>
      </c>
      <c r="C746" s="8" t="s">
        <v>1238</v>
      </c>
      <c r="D746" s="9" t="n">
        <v>0.0108010416666667</v>
      </c>
      <c r="E746" s="10" t="n">
        <v>743</v>
      </c>
      <c r="F746" s="11"/>
      <c r="G746" s="12"/>
      <c r="H746" s="11" t="n">
        <v>0.00291041666666667</v>
      </c>
      <c r="I746" s="12" t="n">
        <v>1025</v>
      </c>
      <c r="J746" s="14"/>
      <c r="K746" s="14"/>
      <c r="L746" s="14"/>
      <c r="M746" s="13"/>
    </row>
    <row r="747" customFormat="false" ht="15" hidden="false" customHeight="false" outlineLevel="0" collapsed="false">
      <c r="A747" s="6" t="n">
        <v>743</v>
      </c>
      <c r="B747" s="7" t="s">
        <v>1239</v>
      </c>
      <c r="C747" s="8" t="s">
        <v>23</v>
      </c>
      <c r="D747" s="9" t="n">
        <v>0.0108013888888889</v>
      </c>
      <c r="E747" s="10" t="n">
        <v>744</v>
      </c>
      <c r="F747" s="11"/>
      <c r="G747" s="12"/>
      <c r="H747" s="11"/>
      <c r="I747" s="12"/>
      <c r="J747" s="14"/>
      <c r="K747" s="14"/>
      <c r="L747" s="14"/>
      <c r="M747" s="13"/>
    </row>
    <row r="748" customFormat="false" ht="15" hidden="false" customHeight="false" outlineLevel="0" collapsed="false">
      <c r="A748" s="6" t="n">
        <v>744</v>
      </c>
      <c r="B748" s="7" t="s">
        <v>1240</v>
      </c>
      <c r="C748" s="8" t="s">
        <v>1241</v>
      </c>
      <c r="D748" s="9" t="n">
        <v>0.0108016203703704</v>
      </c>
      <c r="E748" s="10" t="n">
        <v>745</v>
      </c>
      <c r="F748" s="11"/>
      <c r="G748" s="12"/>
      <c r="H748" s="11"/>
      <c r="I748" s="12"/>
      <c r="J748" s="14"/>
      <c r="K748" s="14"/>
      <c r="L748" s="8" t="s">
        <v>1242</v>
      </c>
      <c r="M748" s="13"/>
    </row>
    <row r="749" customFormat="false" ht="15" hidden="false" customHeight="false" outlineLevel="0" collapsed="false">
      <c r="A749" s="6" t="n">
        <v>745</v>
      </c>
      <c r="B749" s="7" t="s">
        <v>1243</v>
      </c>
      <c r="C749" s="8" t="s">
        <v>973</v>
      </c>
      <c r="D749" s="9" t="n">
        <v>0.0108021990740741</v>
      </c>
      <c r="E749" s="10" t="n">
        <v>746</v>
      </c>
      <c r="F749" s="11"/>
      <c r="G749" s="12"/>
      <c r="H749" s="11" t="n">
        <v>0.00288425925925926</v>
      </c>
      <c r="I749" s="12" t="n">
        <v>810</v>
      </c>
      <c r="J749" s="14"/>
      <c r="K749" s="14" t="s">
        <v>1244</v>
      </c>
      <c r="L749" s="14"/>
      <c r="M749" s="13"/>
    </row>
    <row r="750" customFormat="false" ht="15" hidden="false" customHeight="false" outlineLevel="0" collapsed="false">
      <c r="A750" s="6" t="n">
        <v>746</v>
      </c>
      <c r="B750" s="7" t="s">
        <v>1245</v>
      </c>
      <c r="C750" s="8" t="s">
        <v>207</v>
      </c>
      <c r="D750" s="9" t="n">
        <v>0.0108023148148148</v>
      </c>
      <c r="E750" s="10" t="n">
        <v>747</v>
      </c>
      <c r="F750" s="11" t="n">
        <v>0.00692986111111111</v>
      </c>
      <c r="G750" s="12" t="n">
        <v>273</v>
      </c>
      <c r="H750" s="11" t="n">
        <v>0.00288194444444444</v>
      </c>
      <c r="I750" s="12" t="n">
        <v>791</v>
      </c>
      <c r="J750" s="14"/>
      <c r="K750" s="14"/>
      <c r="L750" s="14"/>
      <c r="M750" s="13"/>
    </row>
    <row r="751" customFormat="false" ht="15" hidden="false" customHeight="false" outlineLevel="0" collapsed="false">
      <c r="A751" s="6" t="n">
        <v>747</v>
      </c>
      <c r="B751" s="7" t="s">
        <v>1246</v>
      </c>
      <c r="C751" s="8" t="s">
        <v>31</v>
      </c>
      <c r="D751" s="9" t="n">
        <v>0.0108025462962963</v>
      </c>
      <c r="E751" s="10" t="n">
        <v>748</v>
      </c>
      <c r="F751" s="11"/>
      <c r="G751" s="12"/>
      <c r="H751" s="11"/>
      <c r="I751" s="12"/>
      <c r="J751" s="14"/>
      <c r="K751" s="14" t="s">
        <v>964</v>
      </c>
      <c r="L751" s="14"/>
      <c r="M751" s="13"/>
    </row>
    <row r="752" customFormat="false" ht="15" hidden="false" customHeight="false" outlineLevel="0" collapsed="false">
      <c r="A752" s="6" t="n">
        <v>748</v>
      </c>
      <c r="B752" s="7" t="s">
        <v>1247</v>
      </c>
      <c r="C752" s="8" t="s">
        <v>1248</v>
      </c>
      <c r="D752" s="9" t="n">
        <v>0.010803125</v>
      </c>
      <c r="E752" s="10" t="n">
        <v>749</v>
      </c>
      <c r="F752" s="11"/>
      <c r="G752" s="12"/>
      <c r="H752" s="11" t="n">
        <v>0.00279560185185185</v>
      </c>
      <c r="I752" s="12" t="n">
        <v>264</v>
      </c>
      <c r="J752" s="14"/>
      <c r="K752" s="14"/>
      <c r="L752" s="14"/>
      <c r="M752" s="13"/>
    </row>
    <row r="753" customFormat="false" ht="15" hidden="false" customHeight="false" outlineLevel="0" collapsed="false">
      <c r="A753" s="6" t="n">
        <v>749</v>
      </c>
      <c r="B753" s="7" t="s">
        <v>1249</v>
      </c>
      <c r="C753" s="8" t="s">
        <v>70</v>
      </c>
      <c r="D753" s="9" t="n">
        <v>0.0108045138888889</v>
      </c>
      <c r="E753" s="10" t="n">
        <v>750</v>
      </c>
      <c r="F753" s="11"/>
      <c r="G753" s="12"/>
      <c r="H753" s="11" t="n">
        <v>0.0028556712962963</v>
      </c>
      <c r="I753" s="12" t="n">
        <v>602</v>
      </c>
      <c r="J753" s="14"/>
      <c r="K753" s="14" t="s">
        <v>1250</v>
      </c>
      <c r="L753" s="14"/>
      <c r="M753" s="13"/>
    </row>
    <row r="754" customFormat="false" ht="15" hidden="false" customHeight="false" outlineLevel="0" collapsed="false">
      <c r="A754" s="6" t="n">
        <v>750</v>
      </c>
      <c r="B754" s="7" t="s">
        <v>1251</v>
      </c>
      <c r="C754" s="8" t="s">
        <v>1252</v>
      </c>
      <c r="D754" s="9" t="n">
        <v>0.0108052083333333</v>
      </c>
      <c r="E754" s="10" t="n">
        <v>751</v>
      </c>
      <c r="F754" s="11" t="n">
        <v>0.00641087962962963</v>
      </c>
      <c r="G754" s="12" t="n">
        <v>17</v>
      </c>
      <c r="H754" s="11" t="n">
        <v>0.00279456018518519</v>
      </c>
      <c r="I754" s="12" t="n">
        <v>257</v>
      </c>
      <c r="J754" s="14"/>
      <c r="K754" s="14"/>
      <c r="L754" s="14"/>
      <c r="M754" s="13"/>
    </row>
    <row r="755" customFormat="false" ht="15" hidden="false" customHeight="false" outlineLevel="0" collapsed="false">
      <c r="A755" s="6" t="n">
        <v>751</v>
      </c>
      <c r="B755" s="7" t="s">
        <v>1253</v>
      </c>
      <c r="C755" s="8" t="s">
        <v>1254</v>
      </c>
      <c r="D755" s="9" t="n">
        <v>0.0108053240740741</v>
      </c>
      <c r="E755" s="10" t="n">
        <v>752</v>
      </c>
      <c r="F755" s="11"/>
      <c r="G755" s="12"/>
      <c r="H755" s="11" t="n">
        <v>0.00287106481481482</v>
      </c>
      <c r="I755" s="12" t="n">
        <v>706</v>
      </c>
      <c r="J755" s="14"/>
      <c r="K755" s="14"/>
      <c r="L755" s="8" t="s">
        <v>1255</v>
      </c>
      <c r="M755" s="13"/>
    </row>
    <row r="756" customFormat="false" ht="15" hidden="false" customHeight="false" outlineLevel="0" collapsed="false">
      <c r="A756" s="6" t="n">
        <v>752</v>
      </c>
      <c r="B756" s="7" t="s">
        <v>1256</v>
      </c>
      <c r="C756" s="8" t="s">
        <v>89</v>
      </c>
      <c r="D756" s="9" t="n">
        <v>0.0108053240740741</v>
      </c>
      <c r="E756" s="10" t="n">
        <v>753</v>
      </c>
      <c r="F756" s="11"/>
      <c r="G756" s="12"/>
      <c r="H756" s="11"/>
      <c r="I756" s="12"/>
      <c r="J756" s="14"/>
      <c r="K756" s="14"/>
      <c r="L756" s="14"/>
      <c r="M756" s="13"/>
    </row>
    <row r="757" customFormat="false" ht="15" hidden="false" customHeight="false" outlineLevel="0" collapsed="false">
      <c r="A757" s="6" t="n">
        <v>753</v>
      </c>
      <c r="B757" s="7" t="s">
        <v>1257</v>
      </c>
      <c r="C757" s="8" t="s">
        <v>1258</v>
      </c>
      <c r="D757" s="9" t="n">
        <v>0.0108061342592593</v>
      </c>
      <c r="E757" s="10" t="n">
        <v>754</v>
      </c>
      <c r="F757" s="11"/>
      <c r="G757" s="12"/>
      <c r="H757" s="11" t="n">
        <v>0.00294814814814815</v>
      </c>
      <c r="I757" s="12" t="n">
        <v>1228</v>
      </c>
      <c r="J757" s="14"/>
      <c r="K757" s="14"/>
      <c r="L757" s="14"/>
      <c r="M757" s="13"/>
    </row>
    <row r="758" customFormat="false" ht="15" hidden="false" customHeight="false" outlineLevel="0" collapsed="false">
      <c r="A758" s="6" t="n">
        <v>754</v>
      </c>
      <c r="B758" s="7" t="s">
        <v>1259</v>
      </c>
      <c r="C758" s="8" t="s">
        <v>410</v>
      </c>
      <c r="D758" s="9" t="n">
        <v>0.0108063657407407</v>
      </c>
      <c r="E758" s="10" t="n">
        <v>755</v>
      </c>
      <c r="F758" s="11"/>
      <c r="G758" s="12"/>
      <c r="H758" s="11"/>
      <c r="I758" s="12"/>
      <c r="J758" s="14"/>
      <c r="K758" s="14"/>
      <c r="L758" s="14"/>
      <c r="M758" s="13"/>
    </row>
    <row r="759" customFormat="false" ht="15" hidden="false" customHeight="false" outlineLevel="0" collapsed="false">
      <c r="A759" s="6" t="n">
        <v>755</v>
      </c>
      <c r="B759" s="7" t="s">
        <v>1260</v>
      </c>
      <c r="C759" s="8" t="s">
        <v>207</v>
      </c>
      <c r="D759" s="9" t="n">
        <v>0.0108065972222222</v>
      </c>
      <c r="E759" s="10" t="n">
        <v>756</v>
      </c>
      <c r="F759" s="11"/>
      <c r="G759" s="12"/>
      <c r="H759" s="11" t="n">
        <v>0.00278055555555556</v>
      </c>
      <c r="I759" s="12" t="n">
        <v>203</v>
      </c>
      <c r="J759" s="14"/>
      <c r="K759" s="14"/>
      <c r="L759" s="14"/>
      <c r="M759" s="13"/>
    </row>
    <row r="760" customFormat="false" ht="15" hidden="false" customHeight="false" outlineLevel="0" collapsed="false">
      <c r="A760" s="6" t="n">
        <v>756</v>
      </c>
      <c r="B760" s="7" t="s">
        <v>1261</v>
      </c>
      <c r="C760" s="8" t="s">
        <v>1262</v>
      </c>
      <c r="D760" s="9" t="n">
        <v>0.0108070601851852</v>
      </c>
      <c r="E760" s="10" t="n">
        <v>757</v>
      </c>
      <c r="F760" s="11"/>
      <c r="G760" s="12"/>
      <c r="H760" s="11" t="n">
        <v>0.00279814814814815</v>
      </c>
      <c r="I760" s="12" t="n">
        <v>275</v>
      </c>
      <c r="J760" s="14"/>
      <c r="K760" s="14"/>
      <c r="L760" s="14"/>
      <c r="M760" s="13"/>
    </row>
    <row r="761" customFormat="false" ht="15" hidden="false" customHeight="false" outlineLevel="0" collapsed="false">
      <c r="A761" s="6" t="n">
        <v>757</v>
      </c>
      <c r="B761" s="7" t="s">
        <v>1263</v>
      </c>
      <c r="C761" s="8" t="s">
        <v>158</v>
      </c>
      <c r="D761" s="9" t="n">
        <v>0.0108075231481482</v>
      </c>
      <c r="E761" s="10" t="n">
        <v>758</v>
      </c>
      <c r="F761" s="11"/>
      <c r="G761" s="12"/>
      <c r="H761" s="11"/>
      <c r="I761" s="12"/>
      <c r="J761" s="14"/>
      <c r="K761" s="14"/>
      <c r="L761" s="14"/>
      <c r="M761" s="13"/>
    </row>
    <row r="762" customFormat="false" ht="15" hidden="false" customHeight="false" outlineLevel="0" collapsed="false">
      <c r="A762" s="6" t="n">
        <v>758</v>
      </c>
      <c r="B762" s="7" t="s">
        <v>1264</v>
      </c>
      <c r="C762" s="8" t="s">
        <v>1141</v>
      </c>
      <c r="D762" s="9" t="n">
        <v>0.0108078703703704</v>
      </c>
      <c r="E762" s="10" t="n">
        <v>759</v>
      </c>
      <c r="F762" s="11"/>
      <c r="G762" s="12"/>
      <c r="H762" s="11"/>
      <c r="I762" s="12"/>
      <c r="J762" s="14"/>
      <c r="K762" s="14"/>
      <c r="L762" s="14"/>
      <c r="M762" s="13"/>
    </row>
    <row r="763" customFormat="false" ht="15" hidden="false" customHeight="false" outlineLevel="0" collapsed="false">
      <c r="A763" s="6" t="n">
        <v>759</v>
      </c>
      <c r="B763" s="7" t="s">
        <v>1265</v>
      </c>
      <c r="C763" s="8" t="s">
        <v>249</v>
      </c>
      <c r="D763" s="9" t="n">
        <v>0.0108078703703704</v>
      </c>
      <c r="E763" s="10" t="n">
        <v>760</v>
      </c>
      <c r="F763" s="11" t="n">
        <v>0.00676238425925926</v>
      </c>
      <c r="G763" s="12" t="n">
        <v>138</v>
      </c>
      <c r="H763" s="11"/>
      <c r="I763" s="12"/>
      <c r="J763" s="14"/>
      <c r="K763" s="14"/>
      <c r="L763" s="14"/>
      <c r="M763" s="13"/>
    </row>
    <row r="764" customFormat="false" ht="15" hidden="false" customHeight="false" outlineLevel="0" collapsed="false">
      <c r="A764" s="6" t="n">
        <v>760</v>
      </c>
      <c r="B764" s="7" t="s">
        <v>1266</v>
      </c>
      <c r="C764" s="8" t="s">
        <v>1267</v>
      </c>
      <c r="D764" s="9" t="n">
        <v>0.0108081018518519</v>
      </c>
      <c r="E764" s="10" t="n">
        <v>761</v>
      </c>
      <c r="F764" s="11"/>
      <c r="G764" s="12"/>
      <c r="H764" s="11" t="n">
        <v>0.00289467592592593</v>
      </c>
      <c r="I764" s="12" t="n">
        <v>908</v>
      </c>
      <c r="J764" s="14"/>
      <c r="K764" s="14"/>
      <c r="L764" s="14"/>
      <c r="M764" s="13"/>
    </row>
    <row r="765" customFormat="false" ht="15" hidden="false" customHeight="false" outlineLevel="0" collapsed="false">
      <c r="A765" s="6" t="n">
        <v>761</v>
      </c>
      <c r="B765" s="7" t="s">
        <v>1268</v>
      </c>
      <c r="C765" s="8" t="s">
        <v>130</v>
      </c>
      <c r="D765" s="9" t="n">
        <v>0.0108086805555556</v>
      </c>
      <c r="E765" s="10" t="n">
        <v>762</v>
      </c>
      <c r="F765" s="11"/>
      <c r="G765" s="12"/>
      <c r="H765" s="11"/>
      <c r="I765" s="12"/>
      <c r="J765" s="14"/>
      <c r="K765" s="14"/>
      <c r="L765" s="14"/>
      <c r="M765" s="13"/>
    </row>
    <row r="766" customFormat="false" ht="15" hidden="false" customHeight="false" outlineLevel="0" collapsed="false">
      <c r="A766" s="6" t="n">
        <v>762</v>
      </c>
      <c r="B766" s="7" t="s">
        <v>1269</v>
      </c>
      <c r="C766" s="8" t="s">
        <v>1124</v>
      </c>
      <c r="D766" s="9" t="n">
        <v>0.0108096064814815</v>
      </c>
      <c r="E766" s="10" t="n">
        <v>763</v>
      </c>
      <c r="F766" s="11"/>
      <c r="G766" s="12"/>
      <c r="H766" s="11"/>
      <c r="I766" s="12"/>
      <c r="J766" s="14" t="s">
        <v>1270</v>
      </c>
      <c r="K766" s="14"/>
      <c r="L766" s="14"/>
      <c r="M766" s="13"/>
    </row>
    <row r="767" customFormat="false" ht="15" hidden="false" customHeight="false" outlineLevel="0" collapsed="false">
      <c r="A767" s="6" t="n">
        <v>763</v>
      </c>
      <c r="B767" s="7" t="s">
        <v>1271</v>
      </c>
      <c r="C767" s="8" t="s">
        <v>750</v>
      </c>
      <c r="D767" s="9" t="n">
        <v>0.0108100694444445</v>
      </c>
      <c r="E767" s="10" t="n">
        <v>764</v>
      </c>
      <c r="F767" s="11"/>
      <c r="G767" s="12"/>
      <c r="H767" s="11" t="n">
        <v>0.00286712962962963</v>
      </c>
      <c r="I767" s="12" t="n">
        <v>676</v>
      </c>
      <c r="J767" s="14"/>
      <c r="K767" s="14"/>
      <c r="L767" s="14"/>
      <c r="M767" s="13"/>
    </row>
    <row r="768" customFormat="false" ht="15" hidden="false" customHeight="false" outlineLevel="0" collapsed="false">
      <c r="A768" s="6" t="n">
        <v>764</v>
      </c>
      <c r="B768" s="7" t="s">
        <v>1272</v>
      </c>
      <c r="C768" s="8" t="s">
        <v>344</v>
      </c>
      <c r="D768" s="9" t="n">
        <v>0.0108108796296296</v>
      </c>
      <c r="E768" s="10" t="n">
        <v>765</v>
      </c>
      <c r="F768" s="11"/>
      <c r="G768" s="12"/>
      <c r="H768" s="11" t="n">
        <v>0.0029775462962963</v>
      </c>
      <c r="I768" s="12" t="n">
        <v>1344</v>
      </c>
      <c r="J768" s="14"/>
      <c r="K768" s="14"/>
      <c r="L768" s="14"/>
      <c r="M768" s="13"/>
    </row>
    <row r="769" customFormat="false" ht="15" hidden="false" customHeight="false" outlineLevel="0" collapsed="false">
      <c r="A769" s="6" t="n">
        <v>765</v>
      </c>
      <c r="B769" s="7" t="s">
        <v>1273</v>
      </c>
      <c r="C769" s="8" t="s">
        <v>236</v>
      </c>
      <c r="D769" s="9" t="n">
        <v>0.0108126157407407</v>
      </c>
      <c r="E769" s="10" t="n">
        <v>766</v>
      </c>
      <c r="F769" s="11"/>
      <c r="G769" s="12"/>
      <c r="H769" s="11"/>
      <c r="I769" s="12"/>
      <c r="J769" s="14"/>
      <c r="K769" s="14"/>
      <c r="L769" s="14"/>
      <c r="M769" s="13"/>
    </row>
    <row r="770" customFormat="false" ht="15" hidden="false" customHeight="false" outlineLevel="0" collapsed="false">
      <c r="A770" s="6" t="n">
        <v>766</v>
      </c>
      <c r="B770" s="7" t="s">
        <v>1274</v>
      </c>
      <c r="C770" s="8" t="s">
        <v>197</v>
      </c>
      <c r="D770" s="9" t="n">
        <v>0.0108128472222222</v>
      </c>
      <c r="E770" s="10" t="n">
        <v>767</v>
      </c>
      <c r="F770" s="11"/>
      <c r="G770" s="12"/>
      <c r="H770" s="11"/>
      <c r="I770" s="12"/>
      <c r="J770" s="14" t="s">
        <v>1275</v>
      </c>
      <c r="K770" s="14"/>
      <c r="L770" s="14"/>
      <c r="M770" s="13"/>
    </row>
    <row r="771" customFormat="false" ht="15" hidden="false" customHeight="false" outlineLevel="0" collapsed="false">
      <c r="A771" s="6" t="n">
        <v>767</v>
      </c>
      <c r="B771" s="7" t="s">
        <v>1276</v>
      </c>
      <c r="C771" s="8" t="s">
        <v>1277</v>
      </c>
      <c r="D771" s="9" t="n">
        <v>0.0108137731481482</v>
      </c>
      <c r="E771" s="10" t="n">
        <v>768</v>
      </c>
      <c r="F771" s="11"/>
      <c r="G771" s="12"/>
      <c r="H771" s="11" t="n">
        <v>0.00292013888888889</v>
      </c>
      <c r="I771" s="12" t="n">
        <v>1098</v>
      </c>
      <c r="J771" s="14"/>
      <c r="K771" s="14"/>
      <c r="L771" s="14"/>
      <c r="M771" s="13"/>
    </row>
    <row r="772" customFormat="false" ht="15" hidden="false" customHeight="false" outlineLevel="0" collapsed="false">
      <c r="A772" s="6" t="n">
        <v>768</v>
      </c>
      <c r="B772" s="7" t="s">
        <v>1278</v>
      </c>
      <c r="C772" s="8" t="s">
        <v>1279</v>
      </c>
      <c r="D772" s="9" t="n">
        <v>0.0108145833333333</v>
      </c>
      <c r="E772" s="10" t="n">
        <v>769</v>
      </c>
      <c r="F772" s="11"/>
      <c r="G772" s="12"/>
      <c r="H772" s="11"/>
      <c r="I772" s="12"/>
      <c r="J772" s="14"/>
      <c r="K772" s="14"/>
      <c r="L772" s="14"/>
      <c r="M772" s="13"/>
    </row>
    <row r="773" customFormat="false" ht="15" hidden="false" customHeight="false" outlineLevel="0" collapsed="false">
      <c r="A773" s="6" t="n">
        <v>769</v>
      </c>
      <c r="B773" s="7" t="s">
        <v>1280</v>
      </c>
      <c r="C773" s="8" t="s">
        <v>781</v>
      </c>
      <c r="D773" s="9" t="n">
        <v>0.0108146990740741</v>
      </c>
      <c r="E773" s="10" t="n">
        <v>770</v>
      </c>
      <c r="F773" s="11" t="n">
        <v>0.00717361111111111</v>
      </c>
      <c r="G773" s="12" t="n">
        <v>512</v>
      </c>
      <c r="H773" s="11"/>
      <c r="I773" s="12"/>
      <c r="J773" s="14"/>
      <c r="K773" s="14"/>
      <c r="L773" s="14"/>
      <c r="M773" s="13"/>
    </row>
    <row r="774" customFormat="false" ht="15" hidden="false" customHeight="false" outlineLevel="0" collapsed="false">
      <c r="A774" s="6" t="n">
        <v>770</v>
      </c>
      <c r="B774" s="7" t="s">
        <v>1281</v>
      </c>
      <c r="C774" s="8" t="s">
        <v>158</v>
      </c>
      <c r="D774" s="9" t="n">
        <v>0.010816087962963</v>
      </c>
      <c r="E774" s="10" t="n">
        <v>771</v>
      </c>
      <c r="F774" s="11" t="n">
        <v>0.00672430555555556</v>
      </c>
      <c r="G774" s="12" t="n">
        <v>116</v>
      </c>
      <c r="H774" s="11"/>
      <c r="I774" s="12"/>
      <c r="J774" s="14"/>
      <c r="K774" s="14"/>
      <c r="L774" s="14"/>
      <c r="M774" s="13"/>
    </row>
    <row r="775" customFormat="false" ht="15" hidden="false" customHeight="false" outlineLevel="0" collapsed="false">
      <c r="A775" s="6" t="n">
        <v>771</v>
      </c>
      <c r="B775" s="7" t="s">
        <v>1282</v>
      </c>
      <c r="C775" s="8" t="s">
        <v>408</v>
      </c>
      <c r="D775" s="9" t="n">
        <v>0.010816087962963</v>
      </c>
      <c r="E775" s="10" t="n">
        <v>772</v>
      </c>
      <c r="F775" s="11"/>
      <c r="G775" s="12"/>
      <c r="H775" s="11"/>
      <c r="I775" s="12"/>
      <c r="J775" s="14"/>
      <c r="K775" s="14"/>
      <c r="L775" s="14"/>
      <c r="M775" s="13"/>
    </row>
    <row r="776" customFormat="false" ht="15" hidden="false" customHeight="false" outlineLevel="0" collapsed="false">
      <c r="A776" s="6" t="n">
        <v>772</v>
      </c>
      <c r="B776" s="7" t="s">
        <v>1283</v>
      </c>
      <c r="C776" s="8" t="s">
        <v>92</v>
      </c>
      <c r="D776" s="9" t="n">
        <v>0.0108164351851852</v>
      </c>
      <c r="E776" s="10" t="n">
        <v>773</v>
      </c>
      <c r="F776" s="11"/>
      <c r="G776" s="12"/>
      <c r="H776" s="11"/>
      <c r="I776" s="12"/>
      <c r="J776" s="14"/>
      <c r="K776" s="14"/>
      <c r="L776" s="14"/>
      <c r="M776" s="13"/>
    </row>
    <row r="777" customFormat="false" ht="15" hidden="false" customHeight="false" outlineLevel="0" collapsed="false">
      <c r="A777" s="6" t="n">
        <v>773</v>
      </c>
      <c r="B777" s="7" t="s">
        <v>1284</v>
      </c>
      <c r="C777" s="8" t="s">
        <v>1285</v>
      </c>
      <c r="D777" s="9" t="n">
        <v>0.0108181712962963</v>
      </c>
      <c r="E777" s="10" t="n">
        <v>774</v>
      </c>
      <c r="F777" s="11"/>
      <c r="G777" s="12"/>
      <c r="H777" s="11" t="n">
        <v>0.00283078703703704</v>
      </c>
      <c r="I777" s="12" t="n">
        <v>432</v>
      </c>
      <c r="J777" s="14"/>
      <c r="K777" s="14"/>
      <c r="L777" s="14"/>
      <c r="M777" s="13"/>
    </row>
    <row r="778" customFormat="false" ht="15" hidden="false" customHeight="false" outlineLevel="0" collapsed="false">
      <c r="A778" s="6" t="n">
        <v>774</v>
      </c>
      <c r="B778" s="7" t="s">
        <v>1286</v>
      </c>
      <c r="C778" s="8" t="s">
        <v>839</v>
      </c>
      <c r="D778" s="9" t="n">
        <v>0.01081875</v>
      </c>
      <c r="E778" s="10" t="n">
        <v>775</v>
      </c>
      <c r="F778" s="11"/>
      <c r="G778" s="12"/>
      <c r="H778" s="11" t="n">
        <v>0.00284618055555556</v>
      </c>
      <c r="I778" s="12" t="n">
        <v>545</v>
      </c>
      <c r="J778" s="14"/>
      <c r="K778" s="14"/>
      <c r="L778" s="14"/>
      <c r="M778" s="13"/>
    </row>
    <row r="779" customFormat="false" ht="15" hidden="false" customHeight="false" outlineLevel="0" collapsed="false">
      <c r="A779" s="6" t="n">
        <v>775</v>
      </c>
      <c r="B779" s="7" t="s">
        <v>1287</v>
      </c>
      <c r="C779" s="8" t="s">
        <v>375</v>
      </c>
      <c r="D779" s="9" t="n">
        <v>0.01081875</v>
      </c>
      <c r="E779" s="10" t="n">
        <v>776</v>
      </c>
      <c r="F779" s="11"/>
      <c r="G779" s="12"/>
      <c r="H779" s="11" t="n">
        <v>0.00282800925925926</v>
      </c>
      <c r="I779" s="12" t="n">
        <v>409</v>
      </c>
      <c r="J779" s="14"/>
      <c r="K779" s="14"/>
      <c r="L779" s="14"/>
      <c r="M779" s="13"/>
    </row>
    <row r="780" customFormat="false" ht="15" hidden="false" customHeight="false" outlineLevel="0" collapsed="false">
      <c r="A780" s="6" t="n">
        <v>776</v>
      </c>
      <c r="B780" s="7" t="s">
        <v>1288</v>
      </c>
      <c r="C780" s="8" t="s">
        <v>145</v>
      </c>
      <c r="D780" s="9" t="n">
        <v>0.010819212962963</v>
      </c>
      <c r="E780" s="10" t="n">
        <v>777</v>
      </c>
      <c r="F780" s="11"/>
      <c r="G780" s="12"/>
      <c r="H780" s="11"/>
      <c r="I780" s="12"/>
      <c r="J780" s="14"/>
      <c r="K780" s="14"/>
      <c r="L780" s="14"/>
      <c r="M780" s="13"/>
    </row>
    <row r="781" customFormat="false" ht="15" hidden="false" customHeight="false" outlineLevel="0" collapsed="false">
      <c r="A781" s="6" t="n">
        <v>777</v>
      </c>
      <c r="B781" s="7" t="s">
        <v>1289</v>
      </c>
      <c r="C781" s="8" t="s">
        <v>100</v>
      </c>
      <c r="D781" s="9" t="n">
        <v>0.0108200231481482</v>
      </c>
      <c r="E781" s="10" t="n">
        <v>778</v>
      </c>
      <c r="F781" s="11"/>
      <c r="G781" s="12"/>
      <c r="H781" s="11"/>
      <c r="I781" s="12"/>
      <c r="J781" s="14"/>
      <c r="K781" s="14"/>
      <c r="L781" s="14"/>
      <c r="M781" s="13"/>
    </row>
    <row r="782" customFormat="false" ht="15" hidden="false" customHeight="false" outlineLevel="0" collapsed="false">
      <c r="A782" s="6" t="n">
        <v>778</v>
      </c>
      <c r="B782" s="7" t="s">
        <v>1290</v>
      </c>
      <c r="C782" s="8" t="s">
        <v>200</v>
      </c>
      <c r="D782" s="9" t="n">
        <v>0.0108225694444445</v>
      </c>
      <c r="E782" s="10" t="n">
        <v>779</v>
      </c>
      <c r="F782" s="11" t="n">
        <v>0.00696180555555556</v>
      </c>
      <c r="G782" s="12" t="n">
        <v>295</v>
      </c>
      <c r="H782" s="11"/>
      <c r="I782" s="12"/>
      <c r="J782" s="14"/>
      <c r="K782" s="14"/>
      <c r="L782" s="14"/>
      <c r="M782" s="13"/>
    </row>
    <row r="783" customFormat="false" ht="15" hidden="false" customHeight="false" outlineLevel="0" collapsed="false">
      <c r="A783" s="6" t="n">
        <v>779</v>
      </c>
      <c r="B783" s="7" t="s">
        <v>1291</v>
      </c>
      <c r="C783" s="8" t="s">
        <v>150</v>
      </c>
      <c r="D783" s="9" t="n">
        <v>0.0108225694444445</v>
      </c>
      <c r="E783" s="10" t="n">
        <v>780</v>
      </c>
      <c r="F783" s="11"/>
      <c r="G783" s="12"/>
      <c r="H783" s="11"/>
      <c r="I783" s="12"/>
      <c r="J783" s="14"/>
      <c r="K783" s="14"/>
      <c r="L783" s="14"/>
      <c r="M783" s="13"/>
    </row>
    <row r="784" customFormat="false" ht="15" hidden="false" customHeight="false" outlineLevel="0" collapsed="false">
      <c r="A784" s="6" t="n">
        <v>780</v>
      </c>
      <c r="B784" s="7" t="s">
        <v>1292</v>
      </c>
      <c r="C784" s="8" t="s">
        <v>25</v>
      </c>
      <c r="D784" s="9" t="n">
        <v>0.0108229166666667</v>
      </c>
      <c r="E784" s="10" t="n">
        <v>781</v>
      </c>
      <c r="F784" s="11"/>
      <c r="G784" s="12"/>
      <c r="H784" s="11" t="n">
        <v>0.0028974537037037</v>
      </c>
      <c r="I784" s="12" t="n">
        <v>931</v>
      </c>
      <c r="J784" s="14"/>
      <c r="K784" s="14"/>
      <c r="L784" s="14"/>
      <c r="M784" s="13"/>
    </row>
    <row r="785" customFormat="false" ht="15" hidden="false" customHeight="false" outlineLevel="0" collapsed="false">
      <c r="A785" s="6" t="n">
        <v>781</v>
      </c>
      <c r="B785" s="7" t="s">
        <v>1293</v>
      </c>
      <c r="C785" s="8" t="s">
        <v>41</v>
      </c>
      <c r="D785" s="9" t="n">
        <v>0.0108236111111111</v>
      </c>
      <c r="E785" s="10" t="n">
        <v>782</v>
      </c>
      <c r="F785" s="11"/>
      <c r="G785" s="12"/>
      <c r="H785" s="11" t="n">
        <v>0.00287025462962963</v>
      </c>
      <c r="I785" s="12" t="n">
        <v>698</v>
      </c>
      <c r="J785" s="14"/>
      <c r="K785" s="14" t="s">
        <v>1294</v>
      </c>
      <c r="L785" s="14"/>
      <c r="M785" s="13"/>
    </row>
    <row r="786" customFormat="false" ht="15" hidden="false" customHeight="false" outlineLevel="0" collapsed="false">
      <c r="A786" s="6" t="n">
        <v>782</v>
      </c>
      <c r="B786" s="7" t="s">
        <v>1295</v>
      </c>
      <c r="C786" s="8" t="s">
        <v>496</v>
      </c>
      <c r="D786" s="9" t="n">
        <v>0.010825</v>
      </c>
      <c r="E786" s="10" t="n">
        <v>783</v>
      </c>
      <c r="F786" s="11"/>
      <c r="G786" s="12"/>
      <c r="H786" s="11"/>
      <c r="I786" s="12"/>
      <c r="J786" s="14"/>
      <c r="K786" s="14"/>
      <c r="L786" s="14"/>
      <c r="M786" s="13"/>
    </row>
    <row r="787" customFormat="false" ht="15" hidden="false" customHeight="false" outlineLevel="0" collapsed="false">
      <c r="A787" s="6" t="n">
        <v>783</v>
      </c>
      <c r="B787" s="7" t="s">
        <v>1296</v>
      </c>
      <c r="C787" s="8" t="s">
        <v>172</v>
      </c>
      <c r="D787" s="9" t="n">
        <v>0.0108256944444445</v>
      </c>
      <c r="E787" s="10" t="n">
        <v>784</v>
      </c>
      <c r="F787" s="11"/>
      <c r="G787" s="12"/>
      <c r="H787" s="11" t="n">
        <v>0.00266215277777778</v>
      </c>
      <c r="I787" s="12" t="n">
        <v>5</v>
      </c>
      <c r="J787" s="14" t="s">
        <v>1297</v>
      </c>
      <c r="K787" s="14"/>
      <c r="L787" s="14"/>
      <c r="M787" s="13"/>
    </row>
    <row r="788" customFormat="false" ht="15" hidden="false" customHeight="false" outlineLevel="0" collapsed="false">
      <c r="A788" s="6" t="n">
        <v>784</v>
      </c>
      <c r="B788" s="7" t="s">
        <v>1298</v>
      </c>
      <c r="C788" s="8" t="s">
        <v>52</v>
      </c>
      <c r="D788" s="9" t="n">
        <v>0.0108256944444445</v>
      </c>
      <c r="E788" s="10" t="n">
        <v>785</v>
      </c>
      <c r="F788" s="11"/>
      <c r="G788" s="12"/>
      <c r="H788" s="11" t="n">
        <v>0.00292303240740741</v>
      </c>
      <c r="I788" s="12" t="n">
        <v>1126</v>
      </c>
      <c r="J788" s="14"/>
      <c r="K788" s="14"/>
      <c r="L788" s="14"/>
      <c r="M788" s="13"/>
    </row>
    <row r="789" customFormat="false" ht="15" hidden="false" customHeight="false" outlineLevel="0" collapsed="false">
      <c r="A789" s="6" t="n">
        <v>785</v>
      </c>
      <c r="B789" s="7" t="s">
        <v>1299</v>
      </c>
      <c r="C789" s="8" t="s">
        <v>588</v>
      </c>
      <c r="D789" s="9" t="n">
        <v>0.0108262731481482</v>
      </c>
      <c r="E789" s="10" t="n">
        <v>786</v>
      </c>
      <c r="F789" s="11"/>
      <c r="G789" s="12"/>
      <c r="H789" s="11" t="n">
        <v>0.00283958333333333</v>
      </c>
      <c r="I789" s="12" t="n">
        <v>494</v>
      </c>
      <c r="J789" s="14" t="s">
        <v>1199</v>
      </c>
      <c r="K789" s="14"/>
      <c r="L789" s="14"/>
      <c r="M789" s="13"/>
    </row>
    <row r="790" customFormat="false" ht="15" hidden="false" customHeight="false" outlineLevel="0" collapsed="false">
      <c r="A790" s="6" t="n">
        <v>786</v>
      </c>
      <c r="B790" s="7" t="s">
        <v>1300</v>
      </c>
      <c r="C790" s="8" t="s">
        <v>255</v>
      </c>
      <c r="D790" s="9" t="n">
        <v>0.0108275462962963</v>
      </c>
      <c r="E790" s="10" t="n">
        <v>787</v>
      </c>
      <c r="F790" s="11"/>
      <c r="G790" s="12"/>
      <c r="H790" s="11"/>
      <c r="I790" s="12"/>
      <c r="J790" s="14"/>
      <c r="K790" s="14"/>
      <c r="L790" s="14"/>
      <c r="M790" s="13"/>
    </row>
    <row r="791" customFormat="false" ht="15" hidden="false" customHeight="false" outlineLevel="0" collapsed="false">
      <c r="A791" s="6" t="n">
        <v>787</v>
      </c>
      <c r="B791" s="7" t="s">
        <v>1301</v>
      </c>
      <c r="C791" s="8" t="s">
        <v>390</v>
      </c>
      <c r="D791" s="9" t="n">
        <v>0.0108291666666667</v>
      </c>
      <c r="E791" s="10" t="n">
        <v>788</v>
      </c>
      <c r="F791" s="11"/>
      <c r="G791" s="12"/>
      <c r="H791" s="11" t="n">
        <v>0.00283009259259259</v>
      </c>
      <c r="I791" s="12" t="n">
        <v>428</v>
      </c>
      <c r="J791" s="14"/>
      <c r="K791" s="14"/>
      <c r="L791" s="14"/>
      <c r="M791" s="13"/>
    </row>
    <row r="792" customFormat="false" ht="15" hidden="false" customHeight="false" outlineLevel="0" collapsed="false">
      <c r="A792" s="6" t="n">
        <v>788</v>
      </c>
      <c r="B792" s="7" t="s">
        <v>1302</v>
      </c>
      <c r="C792" s="8" t="s">
        <v>1303</v>
      </c>
      <c r="D792" s="9" t="n">
        <v>0.0108291666666667</v>
      </c>
      <c r="E792" s="10" t="n">
        <v>789</v>
      </c>
      <c r="F792" s="11"/>
      <c r="G792" s="12"/>
      <c r="H792" s="11" t="n">
        <v>0.00284259259259259</v>
      </c>
      <c r="I792" s="12" t="n">
        <v>514</v>
      </c>
      <c r="J792" s="14"/>
      <c r="K792" s="14"/>
      <c r="L792" s="14"/>
      <c r="M792" s="13"/>
    </row>
    <row r="793" customFormat="false" ht="15" hidden="false" customHeight="false" outlineLevel="0" collapsed="false">
      <c r="A793" s="6" t="n">
        <v>789</v>
      </c>
      <c r="B793" s="7" t="s">
        <v>1304</v>
      </c>
      <c r="C793" s="8" t="s">
        <v>685</v>
      </c>
      <c r="D793" s="9" t="n">
        <v>0.0108306712962963</v>
      </c>
      <c r="E793" s="10" t="n">
        <v>790</v>
      </c>
      <c r="F793" s="11"/>
      <c r="G793" s="12"/>
      <c r="H793" s="11" t="n">
        <v>0.00288206018518519</v>
      </c>
      <c r="I793" s="12" t="n">
        <v>793</v>
      </c>
      <c r="J793" s="14"/>
      <c r="K793" s="14"/>
      <c r="L793" s="14"/>
      <c r="M793" s="13"/>
    </row>
    <row r="794" customFormat="false" ht="15" hidden="false" customHeight="false" outlineLevel="0" collapsed="false">
      <c r="A794" s="6" t="n">
        <v>790</v>
      </c>
      <c r="B794" s="7" t="s">
        <v>1305</v>
      </c>
      <c r="C794" s="8" t="s">
        <v>249</v>
      </c>
      <c r="D794" s="9" t="n">
        <v>0.0108310185185185</v>
      </c>
      <c r="E794" s="10" t="n">
        <v>791</v>
      </c>
      <c r="F794" s="11"/>
      <c r="G794" s="12"/>
      <c r="H794" s="11"/>
      <c r="I794" s="12"/>
      <c r="J794" s="14"/>
      <c r="K794" s="14"/>
      <c r="L794" s="14"/>
      <c r="M794" s="13"/>
    </row>
    <row r="795" customFormat="false" ht="15" hidden="false" customHeight="false" outlineLevel="0" collapsed="false">
      <c r="A795" s="6" t="n">
        <v>791</v>
      </c>
      <c r="B795" s="7" t="s">
        <v>1306</v>
      </c>
      <c r="C795" s="8" t="s">
        <v>1097</v>
      </c>
      <c r="D795" s="9" t="n">
        <v>0.0108310185185185</v>
      </c>
      <c r="E795" s="10" t="n">
        <v>792</v>
      </c>
      <c r="F795" s="11"/>
      <c r="G795" s="12"/>
      <c r="H795" s="11" t="n">
        <v>0.00278055555555556</v>
      </c>
      <c r="I795" s="12" t="n">
        <v>204</v>
      </c>
      <c r="J795" s="14"/>
      <c r="K795" s="14"/>
      <c r="L795" s="14"/>
      <c r="M795" s="13"/>
    </row>
    <row r="796" customFormat="false" ht="15" hidden="false" customHeight="false" outlineLevel="0" collapsed="false">
      <c r="A796" s="6" t="n">
        <v>792</v>
      </c>
      <c r="B796" s="7" t="s">
        <v>1307</v>
      </c>
      <c r="C796" s="8" t="s">
        <v>1308</v>
      </c>
      <c r="D796" s="9" t="n">
        <v>0.0108313657407407</v>
      </c>
      <c r="E796" s="10" t="n">
        <v>793</v>
      </c>
      <c r="F796" s="11"/>
      <c r="G796" s="12"/>
      <c r="H796" s="11"/>
      <c r="I796" s="12"/>
      <c r="J796" s="14"/>
      <c r="K796" s="14"/>
      <c r="L796" s="14"/>
      <c r="M796" s="13"/>
    </row>
    <row r="797" customFormat="false" ht="15" hidden="false" customHeight="false" outlineLevel="0" collapsed="false">
      <c r="A797" s="6" t="n">
        <v>793</v>
      </c>
      <c r="B797" s="7" t="s">
        <v>1309</v>
      </c>
      <c r="C797" s="8" t="s">
        <v>262</v>
      </c>
      <c r="D797" s="9" t="n">
        <v>0.0108314814814815</v>
      </c>
      <c r="E797" s="10" t="n">
        <v>794</v>
      </c>
      <c r="F797" s="11"/>
      <c r="G797" s="12"/>
      <c r="H797" s="11" t="n">
        <v>0.00271527777777778</v>
      </c>
      <c r="I797" s="12" t="n">
        <v>43</v>
      </c>
      <c r="J797" s="14"/>
      <c r="K797" s="14"/>
      <c r="L797" s="14"/>
      <c r="M797" s="13"/>
    </row>
    <row r="798" customFormat="false" ht="15" hidden="false" customHeight="false" outlineLevel="0" collapsed="false">
      <c r="A798" s="6" t="n">
        <v>794</v>
      </c>
      <c r="B798" s="7" t="s">
        <v>1310</v>
      </c>
      <c r="C798" s="8" t="s">
        <v>410</v>
      </c>
      <c r="D798" s="9" t="n">
        <v>0.0108318287037037</v>
      </c>
      <c r="E798" s="10" t="n">
        <v>795</v>
      </c>
      <c r="F798" s="11"/>
      <c r="G798" s="12"/>
      <c r="H798" s="11" t="n">
        <v>0.00286261574074074</v>
      </c>
      <c r="I798" s="12" t="n">
        <v>652</v>
      </c>
      <c r="J798" s="14"/>
      <c r="K798" s="14"/>
      <c r="L798" s="14"/>
      <c r="M798" s="13"/>
    </row>
    <row r="799" customFormat="false" ht="15" hidden="false" customHeight="false" outlineLevel="0" collapsed="false">
      <c r="A799" s="6" t="n">
        <v>795</v>
      </c>
      <c r="B799" s="7" t="s">
        <v>1311</v>
      </c>
      <c r="C799" s="8" t="s">
        <v>554</v>
      </c>
      <c r="D799" s="9" t="n">
        <v>0.0108318287037037</v>
      </c>
      <c r="E799" s="10" t="n">
        <v>796</v>
      </c>
      <c r="F799" s="11"/>
      <c r="G799" s="12"/>
      <c r="H799" s="11" t="n">
        <v>0.00286180555555556</v>
      </c>
      <c r="I799" s="12" t="n">
        <v>644</v>
      </c>
      <c r="J799" s="14" t="s">
        <v>397</v>
      </c>
      <c r="K799" s="14"/>
      <c r="L799" s="14"/>
      <c r="M799" s="13"/>
    </row>
    <row r="800" customFormat="false" ht="15" hidden="false" customHeight="false" outlineLevel="0" collapsed="false">
      <c r="A800" s="6" t="n">
        <v>796</v>
      </c>
      <c r="B800" s="7" t="s">
        <v>1312</v>
      </c>
      <c r="C800" s="8" t="s">
        <v>1313</v>
      </c>
      <c r="D800" s="9" t="n">
        <v>0.0108321759259259</v>
      </c>
      <c r="E800" s="10" t="n">
        <v>797</v>
      </c>
      <c r="F800" s="11"/>
      <c r="G800" s="12"/>
      <c r="H800" s="11"/>
      <c r="I800" s="12"/>
      <c r="J800" s="14"/>
      <c r="K800" s="14"/>
      <c r="L800" s="14"/>
      <c r="M800" s="13"/>
    </row>
    <row r="801" customFormat="false" ht="15" hidden="false" customHeight="false" outlineLevel="0" collapsed="false">
      <c r="A801" s="6" t="n">
        <v>797</v>
      </c>
      <c r="B801" s="7" t="s">
        <v>1314</v>
      </c>
      <c r="C801" s="8" t="s">
        <v>158</v>
      </c>
      <c r="D801" s="9" t="n">
        <v>0.0108325231481482</v>
      </c>
      <c r="E801" s="10" t="n">
        <v>798</v>
      </c>
      <c r="F801" s="11"/>
      <c r="G801" s="12"/>
      <c r="H801" s="11"/>
      <c r="I801" s="12"/>
      <c r="J801" s="14"/>
      <c r="K801" s="14"/>
      <c r="L801" s="14"/>
      <c r="M801" s="13"/>
    </row>
    <row r="802" customFormat="false" ht="15" hidden="false" customHeight="false" outlineLevel="0" collapsed="false">
      <c r="A802" s="6" t="n">
        <v>798</v>
      </c>
      <c r="B802" s="7" t="s">
        <v>1315</v>
      </c>
      <c r="C802" s="8" t="s">
        <v>857</v>
      </c>
      <c r="D802" s="9" t="n">
        <v>0.0108329861111111</v>
      </c>
      <c r="E802" s="10" t="n">
        <v>799</v>
      </c>
      <c r="F802" s="11" t="n">
        <v>0.00678356481481482</v>
      </c>
      <c r="G802" s="12" t="n">
        <v>158</v>
      </c>
      <c r="H802" s="11" t="n">
        <v>0.00286273148148148</v>
      </c>
      <c r="I802" s="12" t="n">
        <v>655</v>
      </c>
      <c r="J802" s="14"/>
      <c r="K802" s="14" t="s">
        <v>1316</v>
      </c>
      <c r="L802" s="14"/>
      <c r="M802" s="13"/>
    </row>
    <row r="803" customFormat="false" ht="15" hidden="false" customHeight="false" outlineLevel="0" collapsed="false">
      <c r="A803" s="6" t="n">
        <v>799</v>
      </c>
      <c r="B803" s="7" t="s">
        <v>1317</v>
      </c>
      <c r="C803" s="8" t="s">
        <v>1110</v>
      </c>
      <c r="D803" s="9" t="n">
        <v>0.0108332175925926</v>
      </c>
      <c r="E803" s="10" t="n">
        <v>800</v>
      </c>
      <c r="F803" s="11"/>
      <c r="G803" s="12"/>
      <c r="H803" s="11"/>
      <c r="I803" s="12"/>
      <c r="J803" s="14"/>
      <c r="K803" s="14"/>
      <c r="L803" s="14"/>
      <c r="M803" s="13"/>
    </row>
    <row r="804" customFormat="false" ht="15" hidden="false" customHeight="false" outlineLevel="0" collapsed="false">
      <c r="A804" s="6" t="n">
        <v>800</v>
      </c>
      <c r="B804" s="7" t="s">
        <v>1318</v>
      </c>
      <c r="C804" s="8" t="s">
        <v>41</v>
      </c>
      <c r="D804" s="9" t="n">
        <v>0.0108334490740741</v>
      </c>
      <c r="E804" s="10" t="n">
        <v>801</v>
      </c>
      <c r="F804" s="11"/>
      <c r="G804" s="12"/>
      <c r="H804" s="11" t="n">
        <v>0.00292476851851852</v>
      </c>
      <c r="I804" s="12" t="n">
        <v>1144</v>
      </c>
      <c r="J804" s="14"/>
      <c r="K804" s="14" t="s">
        <v>1319</v>
      </c>
      <c r="L804" s="14"/>
      <c r="M804" s="13"/>
    </row>
    <row r="805" customFormat="false" ht="15" hidden="false" customHeight="false" outlineLevel="0" collapsed="false">
      <c r="A805" s="6" t="n">
        <v>801</v>
      </c>
      <c r="B805" s="7" t="s">
        <v>1320</v>
      </c>
      <c r="C805" s="8" t="s">
        <v>456</v>
      </c>
      <c r="D805" s="9" t="n">
        <v>0.0108364583333333</v>
      </c>
      <c r="E805" s="10" t="n">
        <v>802</v>
      </c>
      <c r="F805" s="11"/>
      <c r="G805" s="12"/>
      <c r="H805" s="11"/>
      <c r="I805" s="12"/>
      <c r="J805" s="14"/>
      <c r="K805" s="14" t="s">
        <v>1321</v>
      </c>
      <c r="L805" s="14"/>
      <c r="M805" s="13"/>
    </row>
    <row r="806" customFormat="false" ht="15" hidden="false" customHeight="false" outlineLevel="0" collapsed="false">
      <c r="A806" s="6" t="n">
        <v>802</v>
      </c>
      <c r="B806" s="7" t="s">
        <v>1322</v>
      </c>
      <c r="C806" s="8" t="s">
        <v>1323</v>
      </c>
      <c r="D806" s="9" t="n">
        <v>0.0108366898148148</v>
      </c>
      <c r="E806" s="10" t="n">
        <v>803</v>
      </c>
      <c r="F806" s="11" t="n">
        <v>0.00681701388888889</v>
      </c>
      <c r="G806" s="12" t="n">
        <v>184</v>
      </c>
      <c r="H806" s="11"/>
      <c r="I806" s="12"/>
      <c r="J806" s="14"/>
      <c r="K806" s="14"/>
      <c r="L806" s="14"/>
      <c r="M806" s="13"/>
    </row>
    <row r="807" customFormat="false" ht="15" hidden="false" customHeight="false" outlineLevel="0" collapsed="false">
      <c r="A807" s="6" t="n">
        <v>803</v>
      </c>
      <c r="B807" s="7" t="s">
        <v>1324</v>
      </c>
      <c r="C807" s="8" t="s">
        <v>1325</v>
      </c>
      <c r="D807" s="9" t="n">
        <v>0.0108369212962963</v>
      </c>
      <c r="E807" s="10" t="n">
        <v>804</v>
      </c>
      <c r="F807" s="11" t="n">
        <v>0.00677928240740741</v>
      </c>
      <c r="G807" s="12" t="n">
        <v>154</v>
      </c>
      <c r="H807" s="11"/>
      <c r="I807" s="12"/>
      <c r="J807" s="14"/>
      <c r="K807" s="14"/>
      <c r="L807" s="14"/>
      <c r="M807" s="13"/>
    </row>
    <row r="808" customFormat="false" ht="15" hidden="false" customHeight="false" outlineLevel="0" collapsed="false">
      <c r="A808" s="6" t="n">
        <v>804</v>
      </c>
      <c r="B808" s="7" t="s">
        <v>1326</v>
      </c>
      <c r="C808" s="8" t="s">
        <v>1327</v>
      </c>
      <c r="D808" s="9" t="n">
        <v>0.0108373842592593</v>
      </c>
      <c r="E808" s="10" t="n">
        <v>805</v>
      </c>
      <c r="F808" s="11" t="n">
        <v>0.00711782407407407</v>
      </c>
      <c r="G808" s="12" t="n">
        <v>464</v>
      </c>
      <c r="H808" s="11" t="n">
        <v>0.002925</v>
      </c>
      <c r="I808" s="12" t="n">
        <v>1149</v>
      </c>
      <c r="J808" s="14"/>
      <c r="K808" s="14"/>
      <c r="L808" s="14"/>
      <c r="M808" s="13"/>
    </row>
    <row r="809" customFormat="false" ht="15" hidden="false" customHeight="false" outlineLevel="0" collapsed="false">
      <c r="A809" s="6" t="n">
        <v>805</v>
      </c>
      <c r="B809" s="7" t="s">
        <v>1328</v>
      </c>
      <c r="C809" s="8" t="s">
        <v>390</v>
      </c>
      <c r="D809" s="9" t="n">
        <v>0.0108377314814815</v>
      </c>
      <c r="E809" s="10" t="n">
        <v>806</v>
      </c>
      <c r="F809" s="11"/>
      <c r="G809" s="12"/>
      <c r="H809" s="11" t="n">
        <v>0.00297685185185185</v>
      </c>
      <c r="I809" s="12" t="n">
        <v>1340</v>
      </c>
      <c r="J809" s="14"/>
      <c r="K809" s="14"/>
      <c r="L809" s="14"/>
      <c r="M809" s="13"/>
    </row>
    <row r="810" customFormat="false" ht="15" hidden="false" customHeight="false" outlineLevel="0" collapsed="false">
      <c r="A810" s="6" t="n">
        <v>806</v>
      </c>
      <c r="B810" s="7" t="s">
        <v>1329</v>
      </c>
      <c r="C810" s="8" t="s">
        <v>554</v>
      </c>
      <c r="D810" s="9" t="n">
        <v>0.0108380787037037</v>
      </c>
      <c r="E810" s="10" t="n">
        <v>807</v>
      </c>
      <c r="F810" s="11"/>
      <c r="G810" s="12"/>
      <c r="H810" s="11"/>
      <c r="I810" s="12"/>
      <c r="J810" s="14" t="s">
        <v>1330</v>
      </c>
      <c r="K810" s="14"/>
      <c r="L810" s="14"/>
      <c r="M810" s="13"/>
    </row>
    <row r="811" customFormat="false" ht="15" hidden="false" customHeight="false" outlineLevel="0" collapsed="false">
      <c r="A811" s="6" t="n">
        <v>807</v>
      </c>
      <c r="B811" s="7" t="s">
        <v>1331</v>
      </c>
      <c r="C811" s="8" t="s">
        <v>1332</v>
      </c>
      <c r="D811" s="9" t="n">
        <v>0.0108384259259259</v>
      </c>
      <c r="E811" s="10" t="n">
        <v>808</v>
      </c>
      <c r="F811" s="11" t="n">
        <v>0.00706446759259259</v>
      </c>
      <c r="G811" s="12" t="n">
        <v>407</v>
      </c>
      <c r="H811" s="11" t="n">
        <v>0.00285393518518519</v>
      </c>
      <c r="I811" s="12" t="n">
        <v>592</v>
      </c>
      <c r="J811" s="14"/>
      <c r="K811" s="14"/>
      <c r="L811" s="14"/>
      <c r="M811" s="13"/>
    </row>
    <row r="812" customFormat="false" ht="15" hidden="false" customHeight="false" outlineLevel="0" collapsed="false">
      <c r="A812" s="6" t="n">
        <v>808</v>
      </c>
      <c r="B812" s="7" t="s">
        <v>1333</v>
      </c>
      <c r="C812" s="8" t="s">
        <v>410</v>
      </c>
      <c r="D812" s="9" t="n">
        <v>0.0108385416666667</v>
      </c>
      <c r="E812" s="10" t="n">
        <v>809</v>
      </c>
      <c r="F812" s="11"/>
      <c r="G812" s="12"/>
      <c r="H812" s="11"/>
      <c r="I812" s="12"/>
      <c r="J812" s="14"/>
      <c r="K812" s="14"/>
      <c r="L812" s="14"/>
      <c r="M812" s="13"/>
    </row>
    <row r="813" customFormat="false" ht="15" hidden="false" customHeight="false" outlineLevel="0" collapsed="false">
      <c r="A813" s="6" t="n">
        <v>809</v>
      </c>
      <c r="B813" s="7" t="s">
        <v>1334</v>
      </c>
      <c r="C813" s="8" t="s">
        <v>1335</v>
      </c>
      <c r="D813" s="9" t="n">
        <v>0.0108386574074074</v>
      </c>
      <c r="E813" s="10" t="n">
        <v>810</v>
      </c>
      <c r="F813" s="11"/>
      <c r="G813" s="12"/>
      <c r="H813" s="11" t="n">
        <v>0.00282546296296296</v>
      </c>
      <c r="I813" s="12" t="n">
        <v>396</v>
      </c>
      <c r="J813" s="14"/>
      <c r="K813" s="14"/>
      <c r="L813" s="14"/>
      <c r="M813" s="13"/>
    </row>
    <row r="814" customFormat="false" ht="15" hidden="false" customHeight="false" outlineLevel="0" collapsed="false">
      <c r="A814" s="6" t="n">
        <v>810</v>
      </c>
      <c r="B814" s="7" t="s">
        <v>1336</v>
      </c>
      <c r="C814" s="8" t="s">
        <v>1337</v>
      </c>
      <c r="D814" s="9" t="n">
        <v>0.0108391203703704</v>
      </c>
      <c r="E814" s="10" t="n">
        <v>811</v>
      </c>
      <c r="F814" s="11"/>
      <c r="G814" s="12"/>
      <c r="H814" s="11" t="n">
        <v>0.0028625</v>
      </c>
      <c r="I814" s="12" t="n">
        <v>651</v>
      </c>
      <c r="J814" s="14"/>
      <c r="K814" s="14"/>
      <c r="L814" s="14"/>
      <c r="M814" s="13"/>
    </row>
    <row r="815" customFormat="false" ht="15" hidden="false" customHeight="false" outlineLevel="0" collapsed="false">
      <c r="A815" s="6" t="n">
        <v>811</v>
      </c>
      <c r="B815" s="7" t="s">
        <v>1338</v>
      </c>
      <c r="C815" s="8" t="s">
        <v>1339</v>
      </c>
      <c r="D815" s="9" t="n">
        <v>0.0108391203703704</v>
      </c>
      <c r="E815" s="10" t="n">
        <v>812</v>
      </c>
      <c r="F815" s="11" t="n">
        <v>0.00707430555555556</v>
      </c>
      <c r="G815" s="12" t="n">
        <v>420</v>
      </c>
      <c r="H815" s="11" t="n">
        <v>0.00292395833333333</v>
      </c>
      <c r="I815" s="12" t="n">
        <v>1136</v>
      </c>
      <c r="J815" s="14"/>
      <c r="K815" s="14"/>
      <c r="L815" s="14"/>
      <c r="M815" s="13"/>
    </row>
    <row r="816" customFormat="false" ht="15" hidden="false" customHeight="false" outlineLevel="0" collapsed="false">
      <c r="A816" s="6" t="n">
        <v>812</v>
      </c>
      <c r="B816" s="7" t="s">
        <v>1340</v>
      </c>
      <c r="C816" s="8" t="s">
        <v>1341</v>
      </c>
      <c r="D816" s="9" t="n">
        <v>0.0108391203703704</v>
      </c>
      <c r="E816" s="10" t="n">
        <v>813</v>
      </c>
      <c r="F816" s="11" t="n">
        <v>0.00742210648148148</v>
      </c>
      <c r="G816" s="12" t="n">
        <v>797</v>
      </c>
      <c r="H816" s="11"/>
      <c r="I816" s="12"/>
      <c r="J816" s="14"/>
      <c r="K816" s="14"/>
      <c r="L816" s="14"/>
      <c r="M816" s="13"/>
    </row>
    <row r="817" customFormat="false" ht="15" hidden="false" customHeight="false" outlineLevel="0" collapsed="false">
      <c r="A817" s="6" t="n">
        <v>813</v>
      </c>
      <c r="B817" s="7" t="s">
        <v>1342</v>
      </c>
      <c r="C817" s="8" t="s">
        <v>447</v>
      </c>
      <c r="D817" s="9" t="n">
        <v>0.0108413194444445</v>
      </c>
      <c r="E817" s="10" t="n">
        <v>814</v>
      </c>
      <c r="F817" s="11"/>
      <c r="G817" s="12"/>
      <c r="H817" s="11" t="n">
        <v>0.00286111111111111</v>
      </c>
      <c r="I817" s="12" t="n">
        <v>641</v>
      </c>
      <c r="J817" s="14"/>
      <c r="K817" s="14"/>
      <c r="L817" s="14"/>
      <c r="M817" s="13"/>
    </row>
    <row r="818" customFormat="false" ht="15" hidden="false" customHeight="false" outlineLevel="0" collapsed="false">
      <c r="A818" s="6" t="n">
        <v>814</v>
      </c>
      <c r="B818" s="7" t="s">
        <v>1343</v>
      </c>
      <c r="C818" s="8" t="s">
        <v>233</v>
      </c>
      <c r="D818" s="9" t="n">
        <v>0.0108413194444445</v>
      </c>
      <c r="E818" s="10" t="n">
        <v>815</v>
      </c>
      <c r="F818" s="11" t="n">
        <v>0.00699918981481482</v>
      </c>
      <c r="G818" s="12" t="n">
        <v>334</v>
      </c>
      <c r="H818" s="11" t="n">
        <v>0.002828125</v>
      </c>
      <c r="I818" s="12" t="n">
        <v>412</v>
      </c>
      <c r="J818" s="14"/>
      <c r="K818" s="14"/>
      <c r="L818" s="14"/>
      <c r="M818" s="13"/>
    </row>
    <row r="819" customFormat="false" ht="15" hidden="false" customHeight="false" outlineLevel="0" collapsed="false">
      <c r="A819" s="6" t="n">
        <v>815</v>
      </c>
      <c r="B819" s="7" t="s">
        <v>1344</v>
      </c>
      <c r="C819" s="8" t="s">
        <v>554</v>
      </c>
      <c r="D819" s="9" t="n">
        <v>0.0108416666666667</v>
      </c>
      <c r="E819" s="10" t="n">
        <v>816</v>
      </c>
      <c r="F819" s="11"/>
      <c r="G819" s="12"/>
      <c r="H819" s="11" t="n">
        <v>0.00289988425925926</v>
      </c>
      <c r="I819" s="12" t="n">
        <v>947</v>
      </c>
      <c r="J819" s="14"/>
      <c r="K819" s="14"/>
      <c r="L819" s="14"/>
      <c r="M819" s="13"/>
    </row>
    <row r="820" customFormat="false" ht="15" hidden="false" customHeight="false" outlineLevel="0" collapsed="false">
      <c r="A820" s="6" t="n">
        <v>816</v>
      </c>
      <c r="B820" s="7" t="s">
        <v>1345</v>
      </c>
      <c r="C820" s="8" t="s">
        <v>625</v>
      </c>
      <c r="D820" s="9" t="n">
        <v>0.0108423611111111</v>
      </c>
      <c r="E820" s="10" t="n">
        <v>817</v>
      </c>
      <c r="F820" s="11"/>
      <c r="G820" s="12"/>
      <c r="H820" s="11"/>
      <c r="I820" s="12"/>
      <c r="J820" s="14" t="s">
        <v>1179</v>
      </c>
      <c r="K820" s="14"/>
      <c r="L820" s="14"/>
      <c r="M820" s="13"/>
    </row>
    <row r="821" customFormat="false" ht="15" hidden="false" customHeight="false" outlineLevel="0" collapsed="false">
      <c r="A821" s="6" t="n">
        <v>817</v>
      </c>
      <c r="B821" s="7" t="s">
        <v>1346</v>
      </c>
      <c r="C821" s="8" t="s">
        <v>1347</v>
      </c>
      <c r="D821" s="9" t="n">
        <v>0.0108424768518519</v>
      </c>
      <c r="E821" s="10" t="n">
        <v>818</v>
      </c>
      <c r="F821" s="11"/>
      <c r="G821" s="12"/>
      <c r="H821" s="11" t="n">
        <v>0.00282708333333333</v>
      </c>
      <c r="I821" s="12" t="n">
        <v>405</v>
      </c>
      <c r="J821" s="14"/>
      <c r="K821" s="14"/>
      <c r="L821" s="14"/>
      <c r="M821" s="13"/>
    </row>
    <row r="822" customFormat="false" ht="15" hidden="false" customHeight="false" outlineLevel="0" collapsed="false">
      <c r="A822" s="6" t="n">
        <v>818</v>
      </c>
      <c r="B822" s="7" t="s">
        <v>1348</v>
      </c>
      <c r="C822" s="8" t="s">
        <v>28</v>
      </c>
      <c r="D822" s="9" t="n">
        <v>0.0108434027777778</v>
      </c>
      <c r="E822" s="10" t="n">
        <v>819</v>
      </c>
      <c r="F822" s="11"/>
      <c r="G822" s="12"/>
      <c r="H822" s="11"/>
      <c r="I822" s="12"/>
      <c r="J822" s="14"/>
      <c r="K822" s="14"/>
      <c r="L822" s="14"/>
      <c r="M822" s="13"/>
    </row>
    <row r="823" customFormat="false" ht="15" hidden="false" customHeight="false" outlineLevel="0" collapsed="false">
      <c r="A823" s="6" t="n">
        <v>819</v>
      </c>
      <c r="B823" s="7" t="s">
        <v>1349</v>
      </c>
      <c r="C823" s="8" t="s">
        <v>1350</v>
      </c>
      <c r="D823" s="9" t="n">
        <v>0.0108435185185185</v>
      </c>
      <c r="E823" s="10" t="n">
        <v>820</v>
      </c>
      <c r="F823" s="11"/>
      <c r="G823" s="12"/>
      <c r="H823" s="11" t="n">
        <v>0.00290208333333333</v>
      </c>
      <c r="I823" s="12" t="n">
        <v>965</v>
      </c>
      <c r="J823" s="14"/>
      <c r="K823" s="14"/>
      <c r="L823" s="14"/>
      <c r="M823" s="13"/>
    </row>
    <row r="824" customFormat="false" ht="15" hidden="false" customHeight="false" outlineLevel="0" collapsed="false">
      <c r="A824" s="6" t="n">
        <v>820</v>
      </c>
      <c r="B824" s="7" t="s">
        <v>1351</v>
      </c>
      <c r="C824" s="8" t="s">
        <v>274</v>
      </c>
      <c r="D824" s="9" t="n">
        <v>0.0108438657407407</v>
      </c>
      <c r="E824" s="10" t="n">
        <v>821</v>
      </c>
      <c r="F824" s="11" t="n">
        <v>0.00718460648148148</v>
      </c>
      <c r="G824" s="12" t="n">
        <v>523</v>
      </c>
      <c r="H824" s="11"/>
      <c r="I824" s="12"/>
      <c r="J824" s="14"/>
      <c r="K824" s="14"/>
      <c r="L824" s="14"/>
      <c r="M824" s="13"/>
    </row>
    <row r="825" customFormat="false" ht="15" hidden="false" customHeight="false" outlineLevel="0" collapsed="false">
      <c r="A825" s="6" t="n">
        <v>821</v>
      </c>
      <c r="B825" s="7" t="s">
        <v>1352</v>
      </c>
      <c r="C825" s="8" t="s">
        <v>1353</v>
      </c>
      <c r="D825" s="9" t="n">
        <v>0.0108439814814815</v>
      </c>
      <c r="E825" s="10" t="n">
        <v>822</v>
      </c>
      <c r="F825" s="11"/>
      <c r="G825" s="12"/>
      <c r="H825" s="11"/>
      <c r="I825" s="12"/>
      <c r="J825" s="14"/>
      <c r="K825" s="14"/>
      <c r="L825" s="14"/>
      <c r="M825" s="13"/>
    </row>
    <row r="826" customFormat="false" ht="15" hidden="false" customHeight="false" outlineLevel="0" collapsed="false">
      <c r="A826" s="6" t="n">
        <v>822</v>
      </c>
      <c r="B826" s="7" t="s">
        <v>1354</v>
      </c>
      <c r="C826" s="8" t="s">
        <v>552</v>
      </c>
      <c r="D826" s="9" t="n">
        <v>0.0108439814814815</v>
      </c>
      <c r="E826" s="10" t="n">
        <v>823</v>
      </c>
      <c r="F826" s="11" t="n">
        <v>0.00686076388888889</v>
      </c>
      <c r="G826" s="12" t="n">
        <v>210</v>
      </c>
      <c r="H826" s="11" t="n">
        <v>0.00279305555555556</v>
      </c>
      <c r="I826" s="12" t="n">
        <v>250</v>
      </c>
      <c r="J826" s="14"/>
      <c r="K826" s="14"/>
      <c r="L826" s="14"/>
      <c r="M826" s="13"/>
    </row>
    <row r="827" customFormat="false" ht="15" hidden="false" customHeight="false" outlineLevel="0" collapsed="false">
      <c r="A827" s="6" t="n">
        <v>823</v>
      </c>
      <c r="B827" s="7" t="s">
        <v>1355</v>
      </c>
      <c r="C827" s="8" t="s">
        <v>1356</v>
      </c>
      <c r="D827" s="9" t="n">
        <v>0.0108440972222222</v>
      </c>
      <c r="E827" s="10" t="n">
        <v>824</v>
      </c>
      <c r="F827" s="11"/>
      <c r="G827" s="12"/>
      <c r="H827" s="11" t="n">
        <v>0.00291481481481482</v>
      </c>
      <c r="I827" s="12" t="n">
        <v>1053</v>
      </c>
      <c r="J827" s="14" t="s">
        <v>1357</v>
      </c>
      <c r="K827" s="14"/>
      <c r="L827" s="14"/>
      <c r="M827" s="13"/>
    </row>
    <row r="828" customFormat="false" ht="15" hidden="false" customHeight="false" outlineLevel="0" collapsed="false">
      <c r="A828" s="6" t="n">
        <v>824</v>
      </c>
      <c r="B828" s="7" t="s">
        <v>1358</v>
      </c>
      <c r="C828" s="8" t="s">
        <v>500</v>
      </c>
      <c r="D828" s="9" t="n">
        <v>0.0108446759259259</v>
      </c>
      <c r="E828" s="10" t="n">
        <v>825</v>
      </c>
      <c r="F828" s="11"/>
      <c r="G828" s="12"/>
      <c r="H828" s="11"/>
      <c r="I828" s="12"/>
      <c r="J828" s="14"/>
      <c r="K828" s="14"/>
      <c r="L828" s="14"/>
      <c r="M828" s="13"/>
    </row>
    <row r="829" customFormat="false" ht="15" hidden="false" customHeight="false" outlineLevel="0" collapsed="false">
      <c r="A829" s="6" t="n">
        <v>825</v>
      </c>
      <c r="B829" s="7" t="s">
        <v>1359</v>
      </c>
      <c r="C829" s="8" t="s">
        <v>1360</v>
      </c>
      <c r="D829" s="9" t="n">
        <v>0.0108450231481482</v>
      </c>
      <c r="E829" s="10" t="n">
        <v>826</v>
      </c>
      <c r="F829" s="11"/>
      <c r="G829" s="12"/>
      <c r="H829" s="11" t="n">
        <v>0.00283935185185185</v>
      </c>
      <c r="I829" s="12" t="n">
        <v>490</v>
      </c>
      <c r="J829" s="14"/>
      <c r="K829" s="14"/>
      <c r="L829" s="14"/>
      <c r="M829" s="13"/>
    </row>
    <row r="830" customFormat="false" ht="15" hidden="false" customHeight="false" outlineLevel="0" collapsed="false">
      <c r="A830" s="6" t="n">
        <v>826</v>
      </c>
      <c r="B830" s="7" t="s">
        <v>1361</v>
      </c>
      <c r="C830" s="8" t="s">
        <v>940</v>
      </c>
      <c r="D830" s="9" t="n">
        <v>0.010846412037037</v>
      </c>
      <c r="E830" s="10" t="n">
        <v>827</v>
      </c>
      <c r="F830" s="11" t="n">
        <v>0.0066087962962963</v>
      </c>
      <c r="G830" s="12" t="n">
        <v>69</v>
      </c>
      <c r="H830" s="11" t="n">
        <v>0.00290763888888889</v>
      </c>
      <c r="I830" s="12" t="n">
        <v>997</v>
      </c>
      <c r="J830" s="14"/>
      <c r="K830" s="14" t="s">
        <v>1362</v>
      </c>
      <c r="L830" s="14"/>
      <c r="M830" s="13"/>
    </row>
    <row r="831" customFormat="false" ht="15" hidden="false" customHeight="false" outlineLevel="0" collapsed="false">
      <c r="A831" s="6" t="n">
        <v>827</v>
      </c>
      <c r="B831" s="7" t="s">
        <v>1363</v>
      </c>
      <c r="C831" s="8" t="s">
        <v>1364</v>
      </c>
      <c r="D831" s="9" t="n">
        <v>0.0108469907407407</v>
      </c>
      <c r="E831" s="10" t="n">
        <v>828</v>
      </c>
      <c r="F831" s="11"/>
      <c r="G831" s="12"/>
      <c r="H831" s="11"/>
      <c r="I831" s="12"/>
      <c r="J831" s="14"/>
      <c r="K831" s="14"/>
      <c r="L831" s="14"/>
      <c r="M831" s="13"/>
    </row>
    <row r="832" customFormat="false" ht="15" hidden="false" customHeight="false" outlineLevel="0" collapsed="false">
      <c r="A832" s="6" t="n">
        <v>828</v>
      </c>
      <c r="B832" s="7" t="s">
        <v>1365</v>
      </c>
      <c r="C832" s="8" t="s">
        <v>116</v>
      </c>
      <c r="D832" s="9" t="n">
        <v>0.0108478009259259</v>
      </c>
      <c r="E832" s="10" t="n">
        <v>829</v>
      </c>
      <c r="F832" s="11"/>
      <c r="G832" s="12"/>
      <c r="H832" s="11" t="n">
        <v>0.00288935185185185</v>
      </c>
      <c r="I832" s="12" t="n">
        <v>859</v>
      </c>
      <c r="J832" s="14"/>
      <c r="K832" s="14"/>
      <c r="L832" s="14"/>
      <c r="M832" s="13"/>
    </row>
    <row r="833" customFormat="false" ht="15" hidden="false" customHeight="false" outlineLevel="0" collapsed="false">
      <c r="A833" s="6" t="n">
        <v>829</v>
      </c>
      <c r="B833" s="7" t="s">
        <v>1366</v>
      </c>
      <c r="C833" s="8" t="s">
        <v>160</v>
      </c>
      <c r="D833" s="9" t="n">
        <v>0.0108479166666667</v>
      </c>
      <c r="E833" s="10" t="n">
        <v>830</v>
      </c>
      <c r="F833" s="11" t="n">
        <v>0.00685613425925926</v>
      </c>
      <c r="G833" s="12" t="n">
        <v>206</v>
      </c>
      <c r="H833" s="11" t="n">
        <v>0.00282800925925926</v>
      </c>
      <c r="I833" s="12" t="n">
        <v>410</v>
      </c>
      <c r="J833" s="14"/>
      <c r="K833" s="14"/>
      <c r="L833" s="14"/>
      <c r="M833" s="13"/>
    </row>
    <row r="834" customFormat="false" ht="15" hidden="false" customHeight="false" outlineLevel="0" collapsed="false">
      <c r="A834" s="6" t="n">
        <v>830</v>
      </c>
      <c r="B834" s="7" t="s">
        <v>1367</v>
      </c>
      <c r="C834" s="8" t="s">
        <v>375</v>
      </c>
      <c r="D834" s="9" t="n">
        <v>0.0108479166666667</v>
      </c>
      <c r="E834" s="10" t="n">
        <v>831</v>
      </c>
      <c r="F834" s="11"/>
      <c r="G834" s="12"/>
      <c r="H834" s="11" t="n">
        <v>0.00286215277777778</v>
      </c>
      <c r="I834" s="12" t="n">
        <v>647</v>
      </c>
      <c r="J834" s="14"/>
      <c r="K834" s="14"/>
      <c r="L834" s="14"/>
      <c r="M834" s="13"/>
    </row>
    <row r="835" customFormat="false" ht="15" hidden="false" customHeight="false" outlineLevel="0" collapsed="false">
      <c r="A835" s="6" t="n">
        <v>831</v>
      </c>
      <c r="B835" s="7" t="s">
        <v>1368</v>
      </c>
      <c r="C835" s="8" t="s">
        <v>1347</v>
      </c>
      <c r="D835" s="9" t="n">
        <v>0.0108481481481482</v>
      </c>
      <c r="E835" s="10" t="n">
        <v>832</v>
      </c>
      <c r="F835" s="11"/>
      <c r="G835" s="12"/>
      <c r="H835" s="11"/>
      <c r="I835" s="12"/>
      <c r="J835" s="14"/>
      <c r="K835" s="14"/>
      <c r="L835" s="14"/>
      <c r="M835" s="13"/>
    </row>
    <row r="836" customFormat="false" ht="15" hidden="false" customHeight="false" outlineLevel="0" collapsed="false">
      <c r="A836" s="6" t="n">
        <v>832</v>
      </c>
      <c r="B836" s="7" t="s">
        <v>1369</v>
      </c>
      <c r="C836" s="8" t="s">
        <v>290</v>
      </c>
      <c r="D836" s="9" t="n">
        <v>0.0108482638888889</v>
      </c>
      <c r="E836" s="10" t="n">
        <v>833</v>
      </c>
      <c r="F836" s="11"/>
      <c r="G836" s="12"/>
      <c r="H836" s="11"/>
      <c r="I836" s="12"/>
      <c r="J836" s="14" t="s">
        <v>1370</v>
      </c>
      <c r="K836" s="14"/>
      <c r="L836" s="14"/>
      <c r="M836" s="13"/>
    </row>
    <row r="837" customFormat="false" ht="15" hidden="false" customHeight="false" outlineLevel="0" collapsed="false">
      <c r="A837" s="6" t="n">
        <v>833</v>
      </c>
      <c r="B837" s="7" t="s">
        <v>1371</v>
      </c>
      <c r="C837" s="8" t="s">
        <v>679</v>
      </c>
      <c r="D837" s="9" t="n">
        <v>0.0108484953703704</v>
      </c>
      <c r="E837" s="10" t="n">
        <v>834</v>
      </c>
      <c r="F837" s="11" t="n">
        <v>0.00667592592592593</v>
      </c>
      <c r="G837" s="12" t="n">
        <v>95</v>
      </c>
      <c r="H837" s="11" t="n">
        <v>0.00277916666666667</v>
      </c>
      <c r="I837" s="12" t="n">
        <v>196</v>
      </c>
      <c r="J837" s="14"/>
      <c r="K837" s="14"/>
      <c r="L837" s="14"/>
      <c r="M837" s="13"/>
    </row>
    <row r="838" customFormat="false" ht="15" hidden="false" customHeight="false" outlineLevel="0" collapsed="false">
      <c r="A838" s="6" t="n">
        <v>834</v>
      </c>
      <c r="B838" s="7" t="s">
        <v>1372</v>
      </c>
      <c r="C838" s="8" t="s">
        <v>54</v>
      </c>
      <c r="D838" s="9" t="n">
        <v>0.0108489583333333</v>
      </c>
      <c r="E838" s="10" t="n">
        <v>835</v>
      </c>
      <c r="F838" s="11"/>
      <c r="G838" s="12"/>
      <c r="H838" s="11"/>
      <c r="I838" s="12"/>
      <c r="J838" s="14"/>
      <c r="K838" s="14"/>
      <c r="L838" s="8" t="s">
        <v>1373</v>
      </c>
      <c r="M838" s="13"/>
    </row>
    <row r="839" customFormat="false" ht="15" hidden="false" customHeight="false" outlineLevel="0" collapsed="false">
      <c r="A839" s="6" t="n">
        <v>835</v>
      </c>
      <c r="B839" s="7" t="s">
        <v>1374</v>
      </c>
      <c r="C839" s="8" t="s">
        <v>845</v>
      </c>
      <c r="D839" s="9" t="n">
        <v>0.0108496527777778</v>
      </c>
      <c r="E839" s="10" t="n">
        <v>836</v>
      </c>
      <c r="F839" s="11"/>
      <c r="G839" s="12"/>
      <c r="H839" s="11"/>
      <c r="I839" s="12"/>
      <c r="J839" s="14"/>
      <c r="K839" s="14"/>
      <c r="L839" s="14"/>
      <c r="M839" s="13"/>
    </row>
    <row r="840" customFormat="false" ht="15" hidden="false" customHeight="false" outlineLevel="0" collapsed="false">
      <c r="A840" s="6" t="n">
        <v>836</v>
      </c>
      <c r="B840" s="7" t="s">
        <v>1375</v>
      </c>
      <c r="C840" s="8" t="s">
        <v>1376</v>
      </c>
      <c r="D840" s="9" t="n">
        <v>0.0108503472222222</v>
      </c>
      <c r="E840" s="10" t="n">
        <v>837</v>
      </c>
      <c r="F840" s="11"/>
      <c r="G840" s="12"/>
      <c r="H840" s="11" t="n">
        <v>0.00272280092592593</v>
      </c>
      <c r="I840" s="12" t="n">
        <v>53</v>
      </c>
      <c r="J840" s="14"/>
      <c r="K840" s="14"/>
      <c r="L840" s="14"/>
      <c r="M840" s="13"/>
    </row>
    <row r="841" customFormat="false" ht="15" hidden="false" customHeight="false" outlineLevel="0" collapsed="false">
      <c r="A841" s="6" t="n">
        <v>837</v>
      </c>
      <c r="B841" s="7" t="s">
        <v>1377</v>
      </c>
      <c r="C841" s="8" t="s">
        <v>1378</v>
      </c>
      <c r="D841" s="9" t="n">
        <v>0.010850462962963</v>
      </c>
      <c r="E841" s="10" t="n">
        <v>838</v>
      </c>
      <c r="F841" s="11"/>
      <c r="G841" s="12"/>
      <c r="H841" s="11" t="n">
        <v>0.00283553240740741</v>
      </c>
      <c r="I841" s="12" t="n">
        <v>466</v>
      </c>
      <c r="J841" s="14"/>
      <c r="K841" s="14"/>
      <c r="L841" s="14"/>
      <c r="M841" s="13"/>
    </row>
    <row r="842" customFormat="false" ht="15" hidden="false" customHeight="false" outlineLevel="0" collapsed="false">
      <c r="A842" s="6" t="n">
        <v>838</v>
      </c>
      <c r="B842" s="7" t="s">
        <v>1379</v>
      </c>
      <c r="C842" s="8" t="s">
        <v>410</v>
      </c>
      <c r="D842" s="9" t="n">
        <v>0.0108505787037037</v>
      </c>
      <c r="E842" s="10" t="n">
        <v>839</v>
      </c>
      <c r="F842" s="11"/>
      <c r="G842" s="12"/>
      <c r="H842" s="11"/>
      <c r="I842" s="12"/>
      <c r="J842" s="14"/>
      <c r="K842" s="14"/>
      <c r="L842" s="14"/>
      <c r="M842" s="13"/>
    </row>
    <row r="843" customFormat="false" ht="15" hidden="false" customHeight="false" outlineLevel="0" collapsed="false">
      <c r="A843" s="6" t="n">
        <v>839</v>
      </c>
      <c r="B843" s="7" t="s">
        <v>1380</v>
      </c>
      <c r="C843" s="8" t="s">
        <v>44</v>
      </c>
      <c r="D843" s="9" t="n">
        <v>0.0108520833333333</v>
      </c>
      <c r="E843" s="10" t="n">
        <v>840</v>
      </c>
      <c r="F843" s="11" t="n">
        <v>0.00699039351851852</v>
      </c>
      <c r="G843" s="12" t="n">
        <v>325</v>
      </c>
      <c r="H843" s="11"/>
      <c r="I843" s="12"/>
      <c r="J843" s="14"/>
      <c r="K843" s="14"/>
      <c r="L843" s="14"/>
      <c r="M843" s="13"/>
    </row>
    <row r="844" customFormat="false" ht="15" hidden="false" customHeight="false" outlineLevel="0" collapsed="false">
      <c r="A844" s="6" t="n">
        <v>840</v>
      </c>
      <c r="B844" s="7" t="s">
        <v>1381</v>
      </c>
      <c r="C844" s="8" t="s">
        <v>94</v>
      </c>
      <c r="D844" s="9" t="n">
        <v>0.0108525462962963</v>
      </c>
      <c r="E844" s="10" t="n">
        <v>841</v>
      </c>
      <c r="F844" s="11"/>
      <c r="G844" s="12"/>
      <c r="H844" s="11"/>
      <c r="I844" s="12"/>
      <c r="J844" s="14"/>
      <c r="K844" s="14"/>
      <c r="L844" s="14"/>
      <c r="M844" s="13"/>
    </row>
    <row r="845" customFormat="false" ht="15" hidden="false" customHeight="false" outlineLevel="0" collapsed="false">
      <c r="A845" s="6" t="n">
        <v>841</v>
      </c>
      <c r="B845" s="7" t="s">
        <v>1382</v>
      </c>
      <c r="C845" s="8" t="s">
        <v>394</v>
      </c>
      <c r="D845" s="9" t="n">
        <v>0.0108527777777778</v>
      </c>
      <c r="E845" s="10" t="n">
        <v>842</v>
      </c>
      <c r="F845" s="11" t="n">
        <v>0.0068</v>
      </c>
      <c r="G845" s="12" t="n">
        <v>170</v>
      </c>
      <c r="H845" s="11"/>
      <c r="I845" s="12"/>
      <c r="J845" s="14"/>
      <c r="K845" s="14"/>
      <c r="L845" s="14"/>
      <c r="M845" s="13"/>
    </row>
    <row r="846" customFormat="false" ht="15" hidden="false" customHeight="false" outlineLevel="0" collapsed="false">
      <c r="A846" s="6" t="n">
        <v>842</v>
      </c>
      <c r="B846" s="7" t="s">
        <v>1383</v>
      </c>
      <c r="C846" s="8" t="s">
        <v>437</v>
      </c>
      <c r="D846" s="9" t="n">
        <v>0.0108545138888889</v>
      </c>
      <c r="E846" s="10" t="n">
        <v>843</v>
      </c>
      <c r="F846" s="11"/>
      <c r="G846" s="12"/>
      <c r="H846" s="11" t="n">
        <v>0.00297523148148148</v>
      </c>
      <c r="I846" s="12" t="n">
        <v>1328</v>
      </c>
      <c r="J846" s="14"/>
      <c r="K846" s="14"/>
      <c r="L846" s="14"/>
      <c r="M846" s="13"/>
    </row>
    <row r="847" customFormat="false" ht="15" hidden="false" customHeight="false" outlineLevel="0" collapsed="false">
      <c r="A847" s="6" t="n">
        <v>843</v>
      </c>
      <c r="B847" s="7" t="s">
        <v>1384</v>
      </c>
      <c r="C847" s="8" t="s">
        <v>1385</v>
      </c>
      <c r="D847" s="9" t="n">
        <v>0.01085625</v>
      </c>
      <c r="E847" s="10" t="n">
        <v>844</v>
      </c>
      <c r="F847" s="11" t="n">
        <v>0.00656909722222222</v>
      </c>
      <c r="G847" s="12" t="n">
        <v>58</v>
      </c>
      <c r="H847" s="11" t="n">
        <v>0.00284525462962963</v>
      </c>
      <c r="I847" s="12" t="n">
        <v>538</v>
      </c>
      <c r="J847" s="14" t="s">
        <v>1386</v>
      </c>
      <c r="K847" s="14"/>
      <c r="L847" s="14"/>
      <c r="M847" s="13"/>
    </row>
    <row r="848" customFormat="false" ht="15" hidden="false" customHeight="false" outlineLevel="0" collapsed="false">
      <c r="A848" s="6" t="n">
        <v>844</v>
      </c>
      <c r="B848" s="7" t="s">
        <v>1387</v>
      </c>
      <c r="C848" s="8" t="s">
        <v>1134</v>
      </c>
      <c r="D848" s="9" t="n">
        <v>0.0108568287037037</v>
      </c>
      <c r="E848" s="10" t="n">
        <v>845</v>
      </c>
      <c r="F848" s="11" t="n">
        <v>0.00676296296296296</v>
      </c>
      <c r="G848" s="12" t="n">
        <v>139</v>
      </c>
      <c r="H848" s="11"/>
      <c r="I848" s="12"/>
      <c r="J848" s="14"/>
      <c r="K848" s="14"/>
      <c r="L848" s="14"/>
      <c r="M848" s="13"/>
    </row>
    <row r="849" customFormat="false" ht="15" hidden="false" customHeight="false" outlineLevel="0" collapsed="false">
      <c r="A849" s="6" t="n">
        <v>845</v>
      </c>
      <c r="B849" s="7" t="s">
        <v>1388</v>
      </c>
      <c r="C849" s="8" t="s">
        <v>1389</v>
      </c>
      <c r="D849" s="9" t="n">
        <v>0.0108591435185185</v>
      </c>
      <c r="E849" s="10" t="n">
        <v>846</v>
      </c>
      <c r="F849" s="11"/>
      <c r="G849" s="12"/>
      <c r="H849" s="11"/>
      <c r="I849" s="12"/>
      <c r="J849" s="14" t="s">
        <v>1390</v>
      </c>
      <c r="K849" s="14"/>
      <c r="L849" s="14"/>
      <c r="M849" s="13"/>
    </row>
    <row r="850" customFormat="false" ht="15" hidden="false" customHeight="false" outlineLevel="0" collapsed="false">
      <c r="A850" s="6" t="n">
        <v>846</v>
      </c>
      <c r="B850" s="7" t="s">
        <v>1391</v>
      </c>
      <c r="C850" s="8" t="s">
        <v>1392</v>
      </c>
      <c r="D850" s="9" t="n">
        <v>0.0108596064814815</v>
      </c>
      <c r="E850" s="10" t="n">
        <v>847</v>
      </c>
      <c r="F850" s="11" t="n">
        <v>0.00684479166666667</v>
      </c>
      <c r="G850" s="12" t="n">
        <v>200</v>
      </c>
      <c r="H850" s="11" t="n">
        <v>0.00286238425925926</v>
      </c>
      <c r="I850" s="12" t="n">
        <v>650</v>
      </c>
      <c r="J850" s="14" t="s">
        <v>1393</v>
      </c>
      <c r="K850" s="14"/>
      <c r="L850" s="14"/>
      <c r="M850" s="13"/>
    </row>
    <row r="851" customFormat="false" ht="15" hidden="false" customHeight="false" outlineLevel="0" collapsed="false">
      <c r="A851" s="6" t="n">
        <v>847</v>
      </c>
      <c r="B851" s="7" t="s">
        <v>1394</v>
      </c>
      <c r="C851" s="8" t="s">
        <v>23</v>
      </c>
      <c r="D851" s="9" t="n">
        <v>0.0108597222222222</v>
      </c>
      <c r="E851" s="10" t="n">
        <v>848</v>
      </c>
      <c r="F851" s="11"/>
      <c r="G851" s="12"/>
      <c r="H851" s="11"/>
      <c r="I851" s="12"/>
      <c r="J851" s="14"/>
      <c r="K851" s="14"/>
      <c r="L851" s="14"/>
      <c r="M851" s="13"/>
    </row>
    <row r="852" customFormat="false" ht="15" hidden="false" customHeight="false" outlineLevel="0" collapsed="false">
      <c r="A852" s="6" t="n">
        <v>848</v>
      </c>
      <c r="B852" s="7" t="s">
        <v>1395</v>
      </c>
      <c r="C852" s="8" t="s">
        <v>120</v>
      </c>
      <c r="D852" s="9" t="n">
        <v>0.0108604166666667</v>
      </c>
      <c r="E852" s="10" t="n">
        <v>849</v>
      </c>
      <c r="F852" s="11"/>
      <c r="G852" s="12"/>
      <c r="H852" s="11" t="n">
        <v>0.0029125</v>
      </c>
      <c r="I852" s="12" t="n">
        <v>1040</v>
      </c>
      <c r="J852" s="14"/>
      <c r="K852" s="14"/>
      <c r="L852" s="14"/>
      <c r="M852" s="13"/>
    </row>
    <row r="853" customFormat="false" ht="15" hidden="false" customHeight="false" outlineLevel="0" collapsed="false">
      <c r="A853" s="6" t="n">
        <v>849</v>
      </c>
      <c r="B853" s="7" t="s">
        <v>1396</v>
      </c>
      <c r="C853" s="8" t="s">
        <v>207</v>
      </c>
      <c r="D853" s="9" t="n">
        <v>0.0108605324074074</v>
      </c>
      <c r="E853" s="10" t="n">
        <v>850</v>
      </c>
      <c r="F853" s="11"/>
      <c r="G853" s="12"/>
      <c r="H853" s="11"/>
      <c r="I853" s="12"/>
      <c r="J853" s="14"/>
      <c r="K853" s="14"/>
      <c r="L853" s="14"/>
      <c r="M853" s="13"/>
    </row>
    <row r="854" customFormat="false" ht="15" hidden="false" customHeight="false" outlineLevel="0" collapsed="false">
      <c r="A854" s="6" t="n">
        <v>850</v>
      </c>
      <c r="B854" s="7" t="s">
        <v>1397</v>
      </c>
      <c r="C854" s="8" t="s">
        <v>274</v>
      </c>
      <c r="D854" s="9" t="n">
        <v>0.0108612268518519</v>
      </c>
      <c r="E854" s="10" t="n">
        <v>851</v>
      </c>
      <c r="F854" s="11"/>
      <c r="G854" s="12"/>
      <c r="H854" s="11" t="n">
        <v>0.0029275462962963</v>
      </c>
      <c r="I854" s="12" t="n">
        <v>1166</v>
      </c>
      <c r="J854" s="14"/>
      <c r="K854" s="14"/>
      <c r="L854" s="14"/>
      <c r="M854" s="13"/>
    </row>
    <row r="855" customFormat="false" ht="15" hidden="false" customHeight="false" outlineLevel="0" collapsed="false">
      <c r="A855" s="6" t="n">
        <v>851</v>
      </c>
      <c r="B855" s="7" t="s">
        <v>1398</v>
      </c>
      <c r="C855" s="8" t="s">
        <v>691</v>
      </c>
      <c r="D855" s="9" t="n">
        <v>0.0108613425925926</v>
      </c>
      <c r="E855" s="10" t="n">
        <v>852</v>
      </c>
      <c r="F855" s="11" t="n">
        <v>0.00705833333333333</v>
      </c>
      <c r="G855" s="12" t="n">
        <v>399</v>
      </c>
      <c r="H855" s="11" t="n">
        <v>0.00287476851851852</v>
      </c>
      <c r="I855" s="12" t="n">
        <v>733</v>
      </c>
      <c r="J855" s="14" t="s">
        <v>1399</v>
      </c>
      <c r="K855" s="14"/>
      <c r="L855" s="14"/>
      <c r="M855" s="13"/>
    </row>
    <row r="856" customFormat="false" ht="15" hidden="false" customHeight="false" outlineLevel="0" collapsed="false">
      <c r="A856" s="6" t="n">
        <v>852</v>
      </c>
      <c r="B856" s="7" t="s">
        <v>1400</v>
      </c>
      <c r="C856" s="8" t="s">
        <v>408</v>
      </c>
      <c r="D856" s="9" t="n">
        <v>0.0108614583333333</v>
      </c>
      <c r="E856" s="10" t="n">
        <v>853</v>
      </c>
      <c r="F856" s="11" t="n">
        <v>0.00685671296296296</v>
      </c>
      <c r="G856" s="12" t="n">
        <v>207</v>
      </c>
      <c r="H856" s="11"/>
      <c r="I856" s="12"/>
      <c r="J856" s="14"/>
      <c r="K856" s="14"/>
      <c r="L856" s="14"/>
      <c r="M856" s="13"/>
    </row>
    <row r="857" customFormat="false" ht="15" hidden="false" customHeight="false" outlineLevel="0" collapsed="false">
      <c r="A857" s="6" t="n">
        <v>853</v>
      </c>
      <c r="B857" s="7" t="s">
        <v>1401</v>
      </c>
      <c r="C857" s="8" t="s">
        <v>1402</v>
      </c>
      <c r="D857" s="9" t="n">
        <v>0.0108618055555556</v>
      </c>
      <c r="E857" s="10" t="n">
        <v>854</v>
      </c>
      <c r="F857" s="11"/>
      <c r="G857" s="12"/>
      <c r="H857" s="11"/>
      <c r="I857" s="12"/>
      <c r="J857" s="14"/>
      <c r="K857" s="14"/>
      <c r="L857" s="14"/>
      <c r="M857" s="13"/>
    </row>
    <row r="858" customFormat="false" ht="15" hidden="false" customHeight="false" outlineLevel="0" collapsed="false">
      <c r="A858" s="6" t="n">
        <v>854</v>
      </c>
      <c r="B858" s="7" t="s">
        <v>1403</v>
      </c>
      <c r="C858" s="8" t="s">
        <v>197</v>
      </c>
      <c r="D858" s="9" t="n">
        <v>0.0108622685185185</v>
      </c>
      <c r="E858" s="10" t="n">
        <v>855</v>
      </c>
      <c r="F858" s="11"/>
      <c r="G858" s="12"/>
      <c r="H858" s="11" t="n">
        <v>0.00283171296296296</v>
      </c>
      <c r="I858" s="12" t="n">
        <v>437</v>
      </c>
      <c r="J858" s="14"/>
      <c r="K858" s="14"/>
      <c r="L858" s="14"/>
      <c r="M858" s="13"/>
    </row>
    <row r="859" customFormat="false" ht="15" hidden="false" customHeight="false" outlineLevel="0" collapsed="false">
      <c r="A859" s="6" t="n">
        <v>855</v>
      </c>
      <c r="B859" s="7" t="s">
        <v>1404</v>
      </c>
      <c r="C859" s="8" t="s">
        <v>1405</v>
      </c>
      <c r="D859" s="9" t="n">
        <v>0.0108628472222222</v>
      </c>
      <c r="E859" s="10" t="n">
        <v>856</v>
      </c>
      <c r="F859" s="11"/>
      <c r="G859" s="12"/>
      <c r="H859" s="11"/>
      <c r="I859" s="12"/>
      <c r="J859" s="14"/>
      <c r="K859" s="14"/>
      <c r="L859" s="14"/>
      <c r="M859" s="13"/>
    </row>
    <row r="860" customFormat="false" ht="15" hidden="false" customHeight="false" outlineLevel="0" collapsed="false">
      <c r="A860" s="6" t="n">
        <v>856</v>
      </c>
      <c r="B860" s="7" t="s">
        <v>1406</v>
      </c>
      <c r="C860" s="8" t="s">
        <v>1042</v>
      </c>
      <c r="D860" s="9" t="n">
        <v>0.0108631944444444</v>
      </c>
      <c r="E860" s="10" t="n">
        <v>857</v>
      </c>
      <c r="F860" s="11"/>
      <c r="G860" s="12"/>
      <c r="H860" s="11" t="n">
        <v>0.00289189814814815</v>
      </c>
      <c r="I860" s="12" t="n">
        <v>886</v>
      </c>
      <c r="J860" s="14"/>
      <c r="K860" s="14"/>
      <c r="L860" s="14"/>
      <c r="M860" s="13"/>
    </row>
    <row r="861" customFormat="false" ht="15" hidden="false" customHeight="false" outlineLevel="0" collapsed="false">
      <c r="A861" s="6" t="n">
        <v>857</v>
      </c>
      <c r="B861" s="7" t="s">
        <v>1407</v>
      </c>
      <c r="C861" s="8" t="s">
        <v>1408</v>
      </c>
      <c r="D861" s="9" t="n">
        <v>0.0108633101851852</v>
      </c>
      <c r="E861" s="10" t="n">
        <v>858</v>
      </c>
      <c r="F861" s="11"/>
      <c r="G861" s="12"/>
      <c r="H861" s="11" t="n">
        <v>0.00289016203703704</v>
      </c>
      <c r="I861" s="12" t="n">
        <v>866</v>
      </c>
      <c r="J861" s="14" t="s">
        <v>1409</v>
      </c>
      <c r="K861" s="14"/>
      <c r="L861" s="14"/>
      <c r="M861" s="13"/>
    </row>
    <row r="862" customFormat="false" ht="15" hidden="false" customHeight="false" outlineLevel="0" collapsed="false">
      <c r="A862" s="6" t="n">
        <v>858</v>
      </c>
      <c r="B862" s="7" t="s">
        <v>1410</v>
      </c>
      <c r="C862" s="8" t="s">
        <v>1411</v>
      </c>
      <c r="D862" s="9" t="n">
        <v>0.0108643518518519</v>
      </c>
      <c r="E862" s="10" t="n">
        <v>859</v>
      </c>
      <c r="F862" s="11" t="n">
        <v>0.00756539351851852</v>
      </c>
      <c r="G862" s="12" t="n">
        <v>971</v>
      </c>
      <c r="H862" s="11" t="n">
        <v>0.0028556712962963</v>
      </c>
      <c r="I862" s="12" t="n">
        <v>603</v>
      </c>
      <c r="J862" s="14"/>
      <c r="K862" s="14"/>
      <c r="L862" s="14"/>
      <c r="M862" s="13"/>
    </row>
    <row r="863" customFormat="false" ht="15" hidden="false" customHeight="false" outlineLevel="0" collapsed="false">
      <c r="A863" s="6" t="n">
        <v>859</v>
      </c>
      <c r="B863" s="7" t="s">
        <v>1412</v>
      </c>
      <c r="C863" s="8" t="s">
        <v>1413</v>
      </c>
      <c r="D863" s="9" t="n">
        <v>0.0108645833333333</v>
      </c>
      <c r="E863" s="10" t="n">
        <v>860</v>
      </c>
      <c r="F863" s="11" t="n">
        <v>0.00684953703703704</v>
      </c>
      <c r="G863" s="12" t="n">
        <v>203</v>
      </c>
      <c r="H863" s="11" t="n">
        <v>0.00284097222222222</v>
      </c>
      <c r="I863" s="12" t="n">
        <v>506</v>
      </c>
      <c r="J863" s="14"/>
      <c r="K863" s="14"/>
      <c r="L863" s="14"/>
      <c r="M863" s="13"/>
    </row>
    <row r="864" customFormat="false" ht="15" hidden="false" customHeight="false" outlineLevel="0" collapsed="false">
      <c r="A864" s="6" t="n">
        <v>860</v>
      </c>
      <c r="B864" s="7" t="s">
        <v>1414</v>
      </c>
      <c r="C864" s="8" t="s">
        <v>1303</v>
      </c>
      <c r="D864" s="9" t="n">
        <v>0.0108646990740741</v>
      </c>
      <c r="E864" s="10" t="n">
        <v>861</v>
      </c>
      <c r="F864" s="11"/>
      <c r="G864" s="12"/>
      <c r="H864" s="11"/>
      <c r="I864" s="12"/>
      <c r="J864" s="14"/>
      <c r="K864" s="14"/>
      <c r="L864" s="14"/>
      <c r="M864" s="13"/>
    </row>
    <row r="865" customFormat="false" ht="15" hidden="false" customHeight="false" outlineLevel="0" collapsed="false">
      <c r="A865" s="6" t="n">
        <v>861</v>
      </c>
      <c r="B865" s="7" t="s">
        <v>1415</v>
      </c>
      <c r="C865" s="8" t="s">
        <v>311</v>
      </c>
      <c r="D865" s="9" t="n">
        <v>0.0108652777777778</v>
      </c>
      <c r="E865" s="10" t="n">
        <v>862</v>
      </c>
      <c r="F865" s="11"/>
      <c r="G865" s="12"/>
      <c r="H865" s="11"/>
      <c r="I865" s="12"/>
      <c r="J865" s="14"/>
      <c r="K865" s="14"/>
      <c r="L865" s="14"/>
      <c r="M865" s="13"/>
    </row>
    <row r="866" customFormat="false" ht="15" hidden="false" customHeight="false" outlineLevel="0" collapsed="false">
      <c r="A866" s="6" t="n">
        <v>862</v>
      </c>
      <c r="B866" s="7" t="s">
        <v>1416</v>
      </c>
      <c r="C866" s="8" t="s">
        <v>427</v>
      </c>
      <c r="D866" s="9" t="n">
        <v>0.0108665509259259</v>
      </c>
      <c r="E866" s="10" t="n">
        <v>863</v>
      </c>
      <c r="F866" s="11"/>
      <c r="G866" s="12"/>
      <c r="H866" s="11" t="n">
        <v>0.002834375</v>
      </c>
      <c r="I866" s="12" t="n">
        <v>452</v>
      </c>
      <c r="J866" s="14" t="s">
        <v>1417</v>
      </c>
      <c r="K866" s="14"/>
      <c r="L866" s="14"/>
      <c r="M866" s="13"/>
    </row>
    <row r="867" customFormat="false" ht="15" hidden="false" customHeight="false" outlineLevel="0" collapsed="false">
      <c r="A867" s="6" t="n">
        <v>863</v>
      </c>
      <c r="B867" s="7" t="s">
        <v>1418</v>
      </c>
      <c r="C867" s="8" t="s">
        <v>31</v>
      </c>
      <c r="D867" s="9" t="n">
        <v>0.0108673611111111</v>
      </c>
      <c r="E867" s="10" t="n">
        <v>864</v>
      </c>
      <c r="F867" s="11"/>
      <c r="G867" s="12"/>
      <c r="H867" s="11"/>
      <c r="I867" s="12"/>
      <c r="J867" s="14"/>
      <c r="K867" s="14" t="s">
        <v>1419</v>
      </c>
      <c r="L867" s="14"/>
      <c r="M867" s="13"/>
    </row>
    <row r="868" customFormat="false" ht="15" hidden="false" customHeight="false" outlineLevel="0" collapsed="false">
      <c r="A868" s="6" t="n">
        <v>864</v>
      </c>
      <c r="B868" s="7" t="s">
        <v>1420</v>
      </c>
      <c r="C868" s="8" t="s">
        <v>150</v>
      </c>
      <c r="D868" s="9" t="n">
        <v>0.0108675925925926</v>
      </c>
      <c r="E868" s="10" t="n">
        <v>865</v>
      </c>
      <c r="F868" s="11"/>
      <c r="G868" s="12"/>
      <c r="H868" s="11" t="n">
        <v>0.00290486111111111</v>
      </c>
      <c r="I868" s="12" t="n">
        <v>982</v>
      </c>
      <c r="J868" s="14"/>
      <c r="K868" s="14"/>
      <c r="L868" s="14"/>
      <c r="M868" s="13"/>
    </row>
    <row r="869" customFormat="false" ht="15" hidden="false" customHeight="false" outlineLevel="0" collapsed="false">
      <c r="A869" s="6" t="n">
        <v>865</v>
      </c>
      <c r="B869" s="7" t="s">
        <v>1421</v>
      </c>
      <c r="C869" s="8" t="s">
        <v>1422</v>
      </c>
      <c r="D869" s="9" t="n">
        <v>0.0108675925925926</v>
      </c>
      <c r="E869" s="10" t="n">
        <v>866</v>
      </c>
      <c r="F869" s="11"/>
      <c r="G869" s="12"/>
      <c r="H869" s="11" t="n">
        <v>0.00278645833333333</v>
      </c>
      <c r="I869" s="12" t="n">
        <v>223</v>
      </c>
      <c r="J869" s="14"/>
      <c r="K869" s="14"/>
      <c r="L869" s="14"/>
      <c r="M869" s="13"/>
    </row>
    <row r="870" customFormat="false" ht="15" hidden="false" customHeight="false" outlineLevel="0" collapsed="false">
      <c r="A870" s="6" t="n">
        <v>866</v>
      </c>
      <c r="B870" s="7" t="s">
        <v>1423</v>
      </c>
      <c r="C870" s="8" t="s">
        <v>1424</v>
      </c>
      <c r="D870" s="9" t="n">
        <v>0.0108677083333333</v>
      </c>
      <c r="E870" s="10" t="n">
        <v>867</v>
      </c>
      <c r="F870" s="11" t="n">
        <v>0.00735300925925926</v>
      </c>
      <c r="G870" s="12" t="n">
        <v>714</v>
      </c>
      <c r="H870" s="11" t="n">
        <v>0.00290034722222222</v>
      </c>
      <c r="I870" s="12" t="n">
        <v>950</v>
      </c>
      <c r="J870" s="14"/>
      <c r="K870" s="14"/>
      <c r="L870" s="14"/>
      <c r="M870" s="13"/>
    </row>
    <row r="871" customFormat="false" ht="15" hidden="false" customHeight="false" outlineLevel="0" collapsed="false">
      <c r="A871" s="6" t="n">
        <v>867</v>
      </c>
      <c r="B871" s="7" t="s">
        <v>1425</v>
      </c>
      <c r="C871" s="8" t="s">
        <v>1426</v>
      </c>
      <c r="D871" s="9" t="n">
        <v>0.0108678240740741</v>
      </c>
      <c r="E871" s="10" t="n">
        <v>868</v>
      </c>
      <c r="F871" s="11" t="n">
        <v>0.00679560185185185</v>
      </c>
      <c r="G871" s="12" t="n">
        <v>167</v>
      </c>
      <c r="H871" s="11"/>
      <c r="I871" s="12"/>
      <c r="J871" s="14"/>
      <c r="K871" s="14"/>
      <c r="L871" s="14"/>
      <c r="M871" s="13"/>
    </row>
    <row r="872" customFormat="false" ht="15" hidden="false" customHeight="false" outlineLevel="0" collapsed="false">
      <c r="A872" s="6" t="n">
        <v>868</v>
      </c>
      <c r="B872" s="7" t="s">
        <v>1427</v>
      </c>
      <c r="C872" s="8" t="s">
        <v>471</v>
      </c>
      <c r="D872" s="9" t="n">
        <v>0.0108684027777778</v>
      </c>
      <c r="E872" s="10" t="n">
        <v>869</v>
      </c>
      <c r="F872" s="11" t="n">
        <v>0.00676365740740741</v>
      </c>
      <c r="G872" s="12" t="n">
        <v>140</v>
      </c>
      <c r="H872" s="11"/>
      <c r="I872" s="12"/>
      <c r="J872" s="14"/>
      <c r="K872" s="14"/>
      <c r="L872" s="14"/>
      <c r="M872" s="13"/>
    </row>
    <row r="873" customFormat="false" ht="15" hidden="false" customHeight="false" outlineLevel="0" collapsed="false">
      <c r="A873" s="6" t="n">
        <v>869</v>
      </c>
      <c r="B873" s="7" t="s">
        <v>1428</v>
      </c>
      <c r="C873" s="8" t="s">
        <v>259</v>
      </c>
      <c r="D873" s="9" t="n">
        <v>0.0108693287037037</v>
      </c>
      <c r="E873" s="10" t="n">
        <v>870</v>
      </c>
      <c r="F873" s="11"/>
      <c r="G873" s="12"/>
      <c r="H873" s="11" t="n">
        <v>0.00290625</v>
      </c>
      <c r="I873" s="12" t="n">
        <v>991</v>
      </c>
      <c r="J873" s="14" t="s">
        <v>1429</v>
      </c>
      <c r="K873" s="14"/>
      <c r="L873" s="14"/>
      <c r="M873" s="13"/>
    </row>
    <row r="874" customFormat="false" ht="15" hidden="false" customHeight="false" outlineLevel="0" collapsed="false">
      <c r="A874" s="6" t="n">
        <v>870</v>
      </c>
      <c r="B874" s="7" t="s">
        <v>1430</v>
      </c>
      <c r="C874" s="8" t="s">
        <v>290</v>
      </c>
      <c r="D874" s="9" t="n">
        <v>0.0108703703703704</v>
      </c>
      <c r="E874" s="10" t="n">
        <v>871</v>
      </c>
      <c r="F874" s="11"/>
      <c r="G874" s="12"/>
      <c r="H874" s="11" t="n">
        <v>0.00287152777777778</v>
      </c>
      <c r="I874" s="12" t="n">
        <v>712</v>
      </c>
      <c r="J874" s="14" t="s">
        <v>1431</v>
      </c>
      <c r="K874" s="14"/>
      <c r="L874" s="14"/>
      <c r="M874" s="13"/>
    </row>
    <row r="875" customFormat="false" ht="15" hidden="false" customHeight="false" outlineLevel="0" collapsed="false">
      <c r="A875" s="6" t="n">
        <v>871</v>
      </c>
      <c r="B875" s="7" t="s">
        <v>1432</v>
      </c>
      <c r="C875" s="8" t="s">
        <v>1134</v>
      </c>
      <c r="D875" s="9" t="n">
        <v>0.0108721064814815</v>
      </c>
      <c r="E875" s="10" t="n">
        <v>872</v>
      </c>
      <c r="F875" s="11"/>
      <c r="G875" s="12"/>
      <c r="H875" s="11"/>
      <c r="I875" s="12"/>
      <c r="J875" s="14"/>
      <c r="K875" s="14"/>
      <c r="L875" s="14"/>
      <c r="M875" s="13"/>
    </row>
    <row r="876" customFormat="false" ht="15" hidden="false" customHeight="false" outlineLevel="0" collapsed="false">
      <c r="A876" s="6" t="n">
        <v>872</v>
      </c>
      <c r="B876" s="7" t="s">
        <v>1433</v>
      </c>
      <c r="C876" s="8" t="s">
        <v>304</v>
      </c>
      <c r="D876" s="9" t="n">
        <v>0.0108726851851852</v>
      </c>
      <c r="E876" s="10" t="n">
        <v>873</v>
      </c>
      <c r="F876" s="11"/>
      <c r="G876" s="12"/>
      <c r="H876" s="11" t="n">
        <v>0.00288599537037037</v>
      </c>
      <c r="I876" s="12" t="n">
        <v>824</v>
      </c>
      <c r="J876" s="14"/>
      <c r="K876" s="14"/>
      <c r="L876" s="14"/>
      <c r="M876" s="13"/>
    </row>
    <row r="877" customFormat="false" ht="15" hidden="false" customHeight="false" outlineLevel="0" collapsed="false">
      <c r="A877" s="6" t="n">
        <v>873</v>
      </c>
      <c r="B877" s="7" t="s">
        <v>1434</v>
      </c>
      <c r="C877" s="8" t="s">
        <v>1341</v>
      </c>
      <c r="D877" s="9" t="n">
        <v>0.0108729166666667</v>
      </c>
      <c r="E877" s="10" t="n">
        <v>874</v>
      </c>
      <c r="F877" s="11"/>
      <c r="G877" s="12"/>
      <c r="H877" s="11" t="n">
        <v>0.00287164351851852</v>
      </c>
      <c r="I877" s="12" t="n">
        <v>713</v>
      </c>
      <c r="J877" s="14"/>
      <c r="K877" s="14"/>
      <c r="L877" s="14"/>
      <c r="M877" s="13"/>
    </row>
    <row r="878" customFormat="false" ht="15" hidden="false" customHeight="false" outlineLevel="0" collapsed="false">
      <c r="A878" s="6" t="n">
        <v>874</v>
      </c>
      <c r="B878" s="7" t="s">
        <v>1435</v>
      </c>
      <c r="C878" s="8" t="s">
        <v>394</v>
      </c>
      <c r="D878" s="9" t="n">
        <v>0.0108732638888889</v>
      </c>
      <c r="E878" s="10" t="n">
        <v>875</v>
      </c>
      <c r="F878" s="11"/>
      <c r="G878" s="12"/>
      <c r="H878" s="11"/>
      <c r="I878" s="12"/>
      <c r="J878" s="14"/>
      <c r="K878" s="14"/>
      <c r="L878" s="14"/>
      <c r="M878" s="13"/>
    </row>
    <row r="879" customFormat="false" ht="15" hidden="false" customHeight="false" outlineLevel="0" collapsed="false">
      <c r="A879" s="6" t="n">
        <v>875</v>
      </c>
      <c r="B879" s="7" t="s">
        <v>1436</v>
      </c>
      <c r="C879" s="8" t="s">
        <v>238</v>
      </c>
      <c r="D879" s="9" t="n">
        <v>0.0108732638888889</v>
      </c>
      <c r="E879" s="10" t="n">
        <v>876</v>
      </c>
      <c r="F879" s="11"/>
      <c r="G879" s="12"/>
      <c r="H879" s="11" t="n">
        <v>0.00290752314814815</v>
      </c>
      <c r="I879" s="12" t="n">
        <v>996</v>
      </c>
      <c r="J879" s="14"/>
      <c r="K879" s="14"/>
      <c r="L879" s="14"/>
      <c r="M879" s="13"/>
    </row>
    <row r="880" customFormat="false" ht="15" hidden="false" customHeight="false" outlineLevel="0" collapsed="false">
      <c r="A880" s="6" t="n">
        <v>876</v>
      </c>
      <c r="B880" s="7" t="s">
        <v>1437</v>
      </c>
      <c r="C880" s="8" t="s">
        <v>1438</v>
      </c>
      <c r="D880" s="9" t="n">
        <v>0.0108736111111111</v>
      </c>
      <c r="E880" s="10" t="n">
        <v>877</v>
      </c>
      <c r="F880" s="11"/>
      <c r="G880" s="12"/>
      <c r="H880" s="11" t="n">
        <v>0.00288483796296296</v>
      </c>
      <c r="I880" s="12" t="n">
        <v>815</v>
      </c>
      <c r="J880" s="14"/>
      <c r="K880" s="14"/>
      <c r="L880" s="14"/>
      <c r="M880" s="13"/>
    </row>
    <row r="881" customFormat="false" ht="15" hidden="false" customHeight="false" outlineLevel="0" collapsed="false">
      <c r="A881" s="6" t="n">
        <v>877</v>
      </c>
      <c r="B881" s="7" t="s">
        <v>1439</v>
      </c>
      <c r="C881" s="8" t="s">
        <v>700</v>
      </c>
      <c r="D881" s="9" t="n">
        <v>0.0108737268518519</v>
      </c>
      <c r="E881" s="10" t="n">
        <v>878</v>
      </c>
      <c r="F881" s="11"/>
      <c r="G881" s="12"/>
      <c r="H881" s="11" t="n">
        <v>0.00273611111111111</v>
      </c>
      <c r="I881" s="12" t="n">
        <v>76</v>
      </c>
      <c r="J881" s="14"/>
      <c r="K881" s="14" t="s">
        <v>1440</v>
      </c>
      <c r="L881" s="14"/>
      <c r="M881" s="13"/>
    </row>
    <row r="882" customFormat="false" ht="15" hidden="false" customHeight="false" outlineLevel="0" collapsed="false">
      <c r="A882" s="6" t="n">
        <v>878</v>
      </c>
      <c r="B882" s="7" t="s">
        <v>1441</v>
      </c>
      <c r="C882" s="8" t="s">
        <v>1402</v>
      </c>
      <c r="D882" s="9" t="n">
        <v>0.0108739583333333</v>
      </c>
      <c r="E882" s="10" t="n">
        <v>879</v>
      </c>
      <c r="F882" s="11"/>
      <c r="G882" s="12"/>
      <c r="H882" s="11"/>
      <c r="I882" s="12"/>
      <c r="J882" s="14"/>
      <c r="K882" s="14"/>
      <c r="L882" s="14"/>
      <c r="M882" s="13"/>
    </row>
    <row r="883" customFormat="false" ht="15" hidden="false" customHeight="false" outlineLevel="0" collapsed="false">
      <c r="A883" s="6" t="n">
        <v>879</v>
      </c>
      <c r="B883" s="7" t="s">
        <v>1442</v>
      </c>
      <c r="C883" s="8" t="s">
        <v>1443</v>
      </c>
      <c r="D883" s="9" t="n">
        <v>0.0108746527777778</v>
      </c>
      <c r="E883" s="10" t="n">
        <v>880</v>
      </c>
      <c r="F883" s="11"/>
      <c r="G883" s="12"/>
      <c r="H883" s="11" t="n">
        <v>0.00290520833333333</v>
      </c>
      <c r="I883" s="12" t="n">
        <v>985</v>
      </c>
      <c r="J883" s="14" t="s">
        <v>1444</v>
      </c>
      <c r="K883" s="14"/>
      <c r="L883" s="14"/>
      <c r="M883" s="13"/>
    </row>
    <row r="884" customFormat="false" ht="15" hidden="false" customHeight="false" outlineLevel="0" collapsed="false">
      <c r="A884" s="6" t="n">
        <v>880</v>
      </c>
      <c r="B884" s="7" t="s">
        <v>1445</v>
      </c>
      <c r="C884" s="8" t="s">
        <v>1446</v>
      </c>
      <c r="D884" s="9" t="n">
        <v>0.0108752314814815</v>
      </c>
      <c r="E884" s="10" t="n">
        <v>881</v>
      </c>
      <c r="F884" s="11"/>
      <c r="G884" s="12"/>
      <c r="H884" s="11"/>
      <c r="I884" s="12"/>
      <c r="J884" s="14"/>
      <c r="K884" s="14"/>
      <c r="L884" s="14"/>
      <c r="M884" s="13"/>
    </row>
    <row r="885" customFormat="false" ht="15" hidden="false" customHeight="false" outlineLevel="0" collapsed="false">
      <c r="A885" s="6" t="n">
        <v>881</v>
      </c>
      <c r="B885" s="7" t="s">
        <v>1447</v>
      </c>
      <c r="C885" s="8" t="s">
        <v>1448</v>
      </c>
      <c r="D885" s="9" t="n">
        <v>0.010875462962963</v>
      </c>
      <c r="E885" s="10" t="n">
        <v>882</v>
      </c>
      <c r="F885" s="11" t="n">
        <v>0.00731689814814815</v>
      </c>
      <c r="G885" s="12" t="n">
        <v>664</v>
      </c>
      <c r="H885" s="11" t="n">
        <v>0.00277581018518519</v>
      </c>
      <c r="I885" s="12" t="n">
        <v>179</v>
      </c>
      <c r="J885" s="14"/>
      <c r="K885" s="14"/>
      <c r="L885" s="14"/>
      <c r="M885" s="13"/>
    </row>
    <row r="886" customFormat="false" ht="15" hidden="false" customHeight="false" outlineLevel="0" collapsed="false">
      <c r="A886" s="6" t="n">
        <v>882</v>
      </c>
      <c r="B886" s="7" t="s">
        <v>1449</v>
      </c>
      <c r="C886" s="8" t="s">
        <v>23</v>
      </c>
      <c r="D886" s="9" t="n">
        <v>0.0108778935185185</v>
      </c>
      <c r="E886" s="10" t="n">
        <v>883</v>
      </c>
      <c r="F886" s="11"/>
      <c r="G886" s="12"/>
      <c r="H886" s="11"/>
      <c r="I886" s="12"/>
      <c r="J886" s="14"/>
      <c r="K886" s="14"/>
      <c r="L886" s="14"/>
      <c r="M886" s="13"/>
    </row>
    <row r="887" customFormat="false" ht="15" hidden="false" customHeight="false" outlineLevel="0" collapsed="false">
      <c r="A887" s="6" t="n">
        <v>883</v>
      </c>
      <c r="B887" s="7" t="s">
        <v>1450</v>
      </c>
      <c r="C887" s="8" t="s">
        <v>1451</v>
      </c>
      <c r="D887" s="9" t="n">
        <v>0.0108778935185185</v>
      </c>
      <c r="E887" s="10" t="n">
        <v>884</v>
      </c>
      <c r="F887" s="11"/>
      <c r="G887" s="12"/>
      <c r="H887" s="11"/>
      <c r="I887" s="12"/>
      <c r="J887" s="14"/>
      <c r="K887" s="14"/>
      <c r="L887" s="14"/>
      <c r="M887" s="13"/>
    </row>
    <row r="888" customFormat="false" ht="15" hidden="false" customHeight="false" outlineLevel="0" collapsed="false">
      <c r="A888" s="6" t="n">
        <v>884</v>
      </c>
      <c r="B888" s="7" t="s">
        <v>1452</v>
      </c>
      <c r="C888" s="8" t="s">
        <v>788</v>
      </c>
      <c r="D888" s="9" t="n">
        <v>0.0108788194444444</v>
      </c>
      <c r="E888" s="10" t="n">
        <v>885</v>
      </c>
      <c r="F888" s="11"/>
      <c r="G888" s="12"/>
      <c r="H888" s="11" t="n">
        <v>0.00287141203703704</v>
      </c>
      <c r="I888" s="12" t="n">
        <v>711</v>
      </c>
      <c r="J888" s="14"/>
      <c r="K888" s="14"/>
      <c r="L888" s="14"/>
      <c r="M888" s="13"/>
    </row>
    <row r="889" customFormat="false" ht="15" hidden="false" customHeight="false" outlineLevel="0" collapsed="false">
      <c r="A889" s="6" t="n">
        <v>885</v>
      </c>
      <c r="B889" s="7" t="s">
        <v>1453</v>
      </c>
      <c r="C889" s="8" t="s">
        <v>1454</v>
      </c>
      <c r="D889" s="9" t="n">
        <v>0.0108791666666667</v>
      </c>
      <c r="E889" s="10" t="n">
        <v>886</v>
      </c>
      <c r="F889" s="11"/>
      <c r="G889" s="12"/>
      <c r="H889" s="11" t="n">
        <v>0.00287986111111111</v>
      </c>
      <c r="I889" s="12" t="n">
        <v>771</v>
      </c>
      <c r="J889" s="14"/>
      <c r="K889" s="14"/>
      <c r="L889" s="14"/>
      <c r="M889" s="13"/>
    </row>
    <row r="890" customFormat="false" ht="15" hidden="false" customHeight="false" outlineLevel="0" collapsed="false">
      <c r="A890" s="6" t="n">
        <v>886</v>
      </c>
      <c r="B890" s="7" t="s">
        <v>1455</v>
      </c>
      <c r="C890" s="8" t="s">
        <v>1456</v>
      </c>
      <c r="D890" s="9" t="n">
        <v>0.0108793981481482</v>
      </c>
      <c r="E890" s="10" t="n">
        <v>887</v>
      </c>
      <c r="F890" s="11" t="n">
        <v>0.00704988425925926</v>
      </c>
      <c r="G890" s="12" t="n">
        <v>389</v>
      </c>
      <c r="H890" s="11"/>
      <c r="I890" s="12"/>
      <c r="J890" s="14"/>
      <c r="K890" s="14"/>
      <c r="L890" s="14"/>
      <c r="M890" s="13"/>
    </row>
    <row r="891" customFormat="false" ht="15" hidden="false" customHeight="false" outlineLevel="0" collapsed="false">
      <c r="A891" s="6" t="n">
        <v>887</v>
      </c>
      <c r="B891" s="7" t="s">
        <v>1457</v>
      </c>
      <c r="C891" s="8" t="s">
        <v>1458</v>
      </c>
      <c r="D891" s="9" t="n">
        <v>0.0108798611111111</v>
      </c>
      <c r="E891" s="10" t="n">
        <v>888</v>
      </c>
      <c r="F891" s="11"/>
      <c r="G891" s="12"/>
      <c r="H891" s="11"/>
      <c r="I891" s="12"/>
      <c r="J891" s="14"/>
      <c r="K891" s="14"/>
      <c r="L891" s="14"/>
      <c r="M891" s="13"/>
    </row>
    <row r="892" customFormat="false" ht="15" hidden="false" customHeight="false" outlineLevel="0" collapsed="false">
      <c r="A892" s="6" t="n">
        <v>888</v>
      </c>
      <c r="B892" s="7" t="s">
        <v>1459</v>
      </c>
      <c r="C892" s="8" t="s">
        <v>622</v>
      </c>
      <c r="D892" s="9" t="n">
        <v>0.0108800925925926</v>
      </c>
      <c r="E892" s="10" t="n">
        <v>889</v>
      </c>
      <c r="F892" s="11"/>
      <c r="G892" s="12"/>
      <c r="H892" s="11"/>
      <c r="I892" s="12"/>
      <c r="J892" s="14"/>
      <c r="K892" s="14"/>
      <c r="L892" s="14"/>
      <c r="M892" s="13"/>
    </row>
    <row r="893" customFormat="false" ht="15" hidden="false" customHeight="false" outlineLevel="0" collapsed="false">
      <c r="A893" s="6" t="n">
        <v>889</v>
      </c>
      <c r="B893" s="7" t="s">
        <v>1460</v>
      </c>
      <c r="C893" s="8" t="s">
        <v>120</v>
      </c>
      <c r="D893" s="9" t="n">
        <v>0.0108803240740741</v>
      </c>
      <c r="E893" s="10" t="n">
        <v>890</v>
      </c>
      <c r="F893" s="11"/>
      <c r="G893" s="12"/>
      <c r="H893" s="11"/>
      <c r="I893" s="12"/>
      <c r="J893" s="14"/>
      <c r="K893" s="14"/>
      <c r="L893" s="14"/>
      <c r="M893" s="13"/>
    </row>
    <row r="894" customFormat="false" ht="15" hidden="false" customHeight="false" outlineLevel="0" collapsed="false">
      <c r="A894" s="6" t="n">
        <v>890</v>
      </c>
      <c r="B894" s="7" t="s">
        <v>1461</v>
      </c>
      <c r="C894" s="8" t="s">
        <v>1462</v>
      </c>
      <c r="D894" s="9" t="n">
        <v>0.0108811342592593</v>
      </c>
      <c r="E894" s="10" t="n">
        <v>891</v>
      </c>
      <c r="F894" s="11"/>
      <c r="G894" s="12"/>
      <c r="H894" s="11" t="n">
        <v>0.00283472222222222</v>
      </c>
      <c r="I894" s="12" t="n">
        <v>457</v>
      </c>
      <c r="J894" s="14"/>
      <c r="K894" s="14"/>
      <c r="L894" s="14"/>
      <c r="M894" s="13"/>
    </row>
    <row r="895" customFormat="false" ht="15" hidden="false" customHeight="false" outlineLevel="0" collapsed="false">
      <c r="A895" s="6" t="n">
        <v>891</v>
      </c>
      <c r="B895" s="7" t="s">
        <v>1463</v>
      </c>
      <c r="C895" s="8" t="s">
        <v>58</v>
      </c>
      <c r="D895" s="9" t="n">
        <v>0.01088125</v>
      </c>
      <c r="E895" s="10" t="n">
        <v>892</v>
      </c>
      <c r="F895" s="11"/>
      <c r="G895" s="12"/>
      <c r="H895" s="11" t="n">
        <v>0.00290358796296296</v>
      </c>
      <c r="I895" s="12" t="n">
        <v>976</v>
      </c>
      <c r="J895" s="14"/>
      <c r="K895" s="14"/>
      <c r="L895" s="14"/>
      <c r="M895" s="13"/>
    </row>
    <row r="896" customFormat="false" ht="15" hidden="false" customHeight="false" outlineLevel="0" collapsed="false">
      <c r="A896" s="6" t="n">
        <v>892</v>
      </c>
      <c r="B896" s="7" t="s">
        <v>1464</v>
      </c>
      <c r="C896" s="8" t="s">
        <v>1192</v>
      </c>
      <c r="D896" s="9" t="n">
        <v>0.0108825231481482</v>
      </c>
      <c r="E896" s="10" t="n">
        <v>893</v>
      </c>
      <c r="F896" s="11"/>
      <c r="G896" s="12"/>
      <c r="H896" s="11"/>
      <c r="I896" s="12"/>
      <c r="J896" s="14"/>
      <c r="K896" s="14"/>
      <c r="L896" s="14"/>
      <c r="M896" s="13"/>
    </row>
    <row r="897" customFormat="false" ht="15" hidden="false" customHeight="false" outlineLevel="0" collapsed="false">
      <c r="A897" s="6" t="n">
        <v>893</v>
      </c>
      <c r="B897" s="7" t="s">
        <v>1465</v>
      </c>
      <c r="C897" s="8" t="s">
        <v>23</v>
      </c>
      <c r="D897" s="9" t="n">
        <v>0.0108827546296296</v>
      </c>
      <c r="E897" s="10" t="n">
        <v>894</v>
      </c>
      <c r="F897" s="11"/>
      <c r="G897" s="12"/>
      <c r="H897" s="11" t="n">
        <v>0.00284027777777778</v>
      </c>
      <c r="I897" s="12" t="n">
        <v>500</v>
      </c>
      <c r="J897" s="14"/>
      <c r="K897" s="14"/>
      <c r="L897" s="14"/>
      <c r="M897" s="13"/>
    </row>
    <row r="898" customFormat="false" ht="15" hidden="false" customHeight="false" outlineLevel="0" collapsed="false">
      <c r="A898" s="6" t="n">
        <v>894</v>
      </c>
      <c r="B898" s="7" t="s">
        <v>1466</v>
      </c>
      <c r="C898" s="8" t="s">
        <v>136</v>
      </c>
      <c r="D898" s="9" t="n">
        <v>0.0108827546296296</v>
      </c>
      <c r="E898" s="10" t="n">
        <v>895</v>
      </c>
      <c r="F898" s="11"/>
      <c r="G898" s="12"/>
      <c r="H898" s="11"/>
      <c r="I898" s="12"/>
      <c r="J898" s="14"/>
      <c r="K898" s="14"/>
      <c r="L898" s="14"/>
      <c r="M898" s="13"/>
    </row>
    <row r="899" customFormat="false" ht="15" hidden="false" customHeight="false" outlineLevel="0" collapsed="false">
      <c r="A899" s="6" t="n">
        <v>895</v>
      </c>
      <c r="B899" s="7" t="s">
        <v>1467</v>
      </c>
      <c r="C899" s="8" t="s">
        <v>1308</v>
      </c>
      <c r="D899" s="9" t="n">
        <v>0.0108831018518519</v>
      </c>
      <c r="E899" s="10" t="n">
        <v>896</v>
      </c>
      <c r="F899" s="11"/>
      <c r="G899" s="12"/>
      <c r="H899" s="11" t="n">
        <v>0.0029318287037037</v>
      </c>
      <c r="I899" s="12" t="n">
        <v>1178</v>
      </c>
      <c r="J899" s="14"/>
      <c r="K899" s="14"/>
      <c r="L899" s="14"/>
      <c r="M899" s="13"/>
    </row>
    <row r="900" customFormat="false" ht="15" hidden="false" customHeight="false" outlineLevel="0" collapsed="false">
      <c r="A900" s="6" t="n">
        <v>896</v>
      </c>
      <c r="B900" s="7" t="s">
        <v>1468</v>
      </c>
      <c r="C900" s="8" t="s">
        <v>1469</v>
      </c>
      <c r="D900" s="9" t="n">
        <v>0.0108834490740741</v>
      </c>
      <c r="E900" s="10" t="n">
        <v>897</v>
      </c>
      <c r="F900" s="11"/>
      <c r="G900" s="12"/>
      <c r="H900" s="11" t="n">
        <v>0.00288657407407407</v>
      </c>
      <c r="I900" s="12" t="n">
        <v>828</v>
      </c>
      <c r="J900" s="14"/>
      <c r="K900" s="14" t="s">
        <v>1470</v>
      </c>
      <c r="L900" s="14"/>
      <c r="M900" s="13"/>
    </row>
    <row r="901" customFormat="false" ht="15" hidden="false" customHeight="false" outlineLevel="0" collapsed="false">
      <c r="A901" s="6" t="n">
        <v>897</v>
      </c>
      <c r="B901" s="7" t="s">
        <v>1471</v>
      </c>
      <c r="C901" s="8" t="s">
        <v>496</v>
      </c>
      <c r="D901" s="9" t="n">
        <v>0.0108835648148148</v>
      </c>
      <c r="E901" s="10" t="n">
        <v>898</v>
      </c>
      <c r="F901" s="11"/>
      <c r="G901" s="12"/>
      <c r="H901" s="11"/>
      <c r="I901" s="12"/>
      <c r="J901" s="14"/>
      <c r="K901" s="14"/>
      <c r="L901" s="14"/>
      <c r="M901" s="13"/>
    </row>
    <row r="902" customFormat="false" ht="15" hidden="false" customHeight="false" outlineLevel="0" collapsed="false">
      <c r="A902" s="6" t="n">
        <v>898</v>
      </c>
      <c r="B902" s="7" t="s">
        <v>1472</v>
      </c>
      <c r="C902" s="8" t="s">
        <v>89</v>
      </c>
      <c r="D902" s="9" t="n">
        <v>0.0108835648148148</v>
      </c>
      <c r="E902" s="10" t="n">
        <v>899</v>
      </c>
      <c r="F902" s="11" t="n">
        <v>0.00708460648148148</v>
      </c>
      <c r="G902" s="12" t="n">
        <v>432</v>
      </c>
      <c r="H902" s="11" t="n">
        <v>0.00284363425925926</v>
      </c>
      <c r="I902" s="12" t="n">
        <v>521</v>
      </c>
      <c r="J902" s="14"/>
      <c r="K902" s="14" t="s">
        <v>1473</v>
      </c>
      <c r="L902" s="14"/>
      <c r="M902" s="13"/>
    </row>
    <row r="903" customFormat="false" ht="15" hidden="false" customHeight="false" outlineLevel="0" collapsed="false">
      <c r="A903" s="6" t="n">
        <v>899</v>
      </c>
      <c r="B903" s="7" t="s">
        <v>1474</v>
      </c>
      <c r="C903" s="8" t="s">
        <v>1475</v>
      </c>
      <c r="D903" s="9" t="n">
        <v>0.0108844907407407</v>
      </c>
      <c r="E903" s="10" t="n">
        <v>900</v>
      </c>
      <c r="F903" s="11"/>
      <c r="G903" s="12"/>
      <c r="H903" s="11" t="n">
        <v>0.00278506944444444</v>
      </c>
      <c r="I903" s="12" t="n">
        <v>219</v>
      </c>
      <c r="J903" s="14"/>
      <c r="K903" s="14"/>
      <c r="L903" s="14"/>
      <c r="M903" s="13"/>
    </row>
    <row r="904" customFormat="false" ht="15" hidden="false" customHeight="false" outlineLevel="0" collapsed="false">
      <c r="A904" s="6" t="n">
        <v>900</v>
      </c>
      <c r="B904" s="7" t="s">
        <v>1476</v>
      </c>
      <c r="C904" s="8" t="s">
        <v>704</v>
      </c>
      <c r="D904" s="9" t="n">
        <v>0.0108858796296296</v>
      </c>
      <c r="E904" s="10" t="n">
        <v>901</v>
      </c>
      <c r="F904" s="11"/>
      <c r="G904" s="12"/>
      <c r="H904" s="11"/>
      <c r="I904" s="12"/>
      <c r="J904" s="14"/>
      <c r="K904" s="14"/>
      <c r="L904" s="14"/>
      <c r="M904" s="13"/>
    </row>
    <row r="905" customFormat="false" ht="15" hidden="false" customHeight="false" outlineLevel="0" collapsed="false">
      <c r="A905" s="6" t="n">
        <v>901</v>
      </c>
      <c r="B905" s="7" t="s">
        <v>1477</v>
      </c>
      <c r="C905" s="8" t="s">
        <v>704</v>
      </c>
      <c r="D905" s="9" t="n">
        <v>0.0108868055555556</v>
      </c>
      <c r="E905" s="10" t="n">
        <v>902</v>
      </c>
      <c r="F905" s="11"/>
      <c r="G905" s="12"/>
      <c r="H905" s="11" t="n">
        <v>0.00284085648148148</v>
      </c>
      <c r="I905" s="12" t="n">
        <v>504</v>
      </c>
      <c r="J905" s="14"/>
      <c r="K905" s="14"/>
      <c r="L905" s="14"/>
      <c r="M905" s="13"/>
    </row>
    <row r="906" customFormat="false" ht="15" hidden="false" customHeight="false" outlineLevel="0" collapsed="false">
      <c r="A906" s="6" t="n">
        <v>902</v>
      </c>
      <c r="B906" s="7" t="s">
        <v>1478</v>
      </c>
      <c r="C906" s="8" t="s">
        <v>120</v>
      </c>
      <c r="D906" s="9" t="n">
        <v>0.0108875</v>
      </c>
      <c r="E906" s="10" t="n">
        <v>903</v>
      </c>
      <c r="F906" s="11"/>
      <c r="G906" s="12"/>
      <c r="H906" s="11"/>
      <c r="I906" s="12"/>
      <c r="J906" s="14"/>
      <c r="K906" s="14"/>
      <c r="L906" s="14"/>
      <c r="M906" s="13"/>
    </row>
    <row r="907" customFormat="false" ht="15" hidden="false" customHeight="false" outlineLevel="0" collapsed="false">
      <c r="A907" s="6" t="n">
        <v>903</v>
      </c>
      <c r="B907" s="7" t="s">
        <v>1479</v>
      </c>
      <c r="C907" s="8" t="s">
        <v>179</v>
      </c>
      <c r="D907" s="9" t="n">
        <v>0.0108903935185185</v>
      </c>
      <c r="E907" s="10" t="n">
        <v>904</v>
      </c>
      <c r="F907" s="11"/>
      <c r="G907" s="12"/>
      <c r="H907" s="11" t="n">
        <v>0.0028119212962963</v>
      </c>
      <c r="I907" s="12" t="n">
        <v>328</v>
      </c>
      <c r="J907" s="14"/>
      <c r="K907" s="14"/>
      <c r="L907" s="14"/>
      <c r="M907" s="13"/>
    </row>
    <row r="908" customFormat="false" ht="15" hidden="false" customHeight="false" outlineLevel="0" collapsed="false">
      <c r="A908" s="6" t="n">
        <v>904</v>
      </c>
      <c r="B908" s="7" t="s">
        <v>1480</v>
      </c>
      <c r="C908" s="8" t="s">
        <v>148</v>
      </c>
      <c r="D908" s="9" t="n">
        <v>0.0108908564814815</v>
      </c>
      <c r="E908" s="10" t="n">
        <v>905</v>
      </c>
      <c r="F908" s="11"/>
      <c r="G908" s="12"/>
      <c r="H908" s="11" t="n">
        <v>0.00297569444444445</v>
      </c>
      <c r="I908" s="12" t="n">
        <v>1332</v>
      </c>
      <c r="J908" s="14"/>
      <c r="K908" s="14"/>
      <c r="L908" s="14"/>
      <c r="M908" s="13"/>
    </row>
    <row r="909" customFormat="false" ht="15" hidden="false" customHeight="false" outlineLevel="0" collapsed="false">
      <c r="A909" s="6" t="n">
        <v>905</v>
      </c>
      <c r="B909" s="7" t="s">
        <v>1481</v>
      </c>
      <c r="C909" s="8" t="s">
        <v>812</v>
      </c>
      <c r="D909" s="9" t="n">
        <v>0.0108916666666667</v>
      </c>
      <c r="E909" s="10" t="n">
        <v>906</v>
      </c>
      <c r="F909" s="11"/>
      <c r="G909" s="12"/>
      <c r="H909" s="11" t="n">
        <v>0.0028349537037037</v>
      </c>
      <c r="I909" s="12" t="n">
        <v>460</v>
      </c>
      <c r="J909" s="14" t="s">
        <v>1482</v>
      </c>
      <c r="K909" s="14"/>
      <c r="L909" s="14"/>
      <c r="M909" s="13"/>
    </row>
    <row r="910" customFormat="false" ht="15" hidden="false" customHeight="false" outlineLevel="0" collapsed="false">
      <c r="A910" s="6" t="n">
        <v>906</v>
      </c>
      <c r="B910" s="7" t="s">
        <v>1483</v>
      </c>
      <c r="C910" s="8" t="s">
        <v>1484</v>
      </c>
      <c r="D910" s="9" t="n">
        <v>0.0108923611111111</v>
      </c>
      <c r="E910" s="10" t="n">
        <v>907</v>
      </c>
      <c r="F910" s="11"/>
      <c r="G910" s="12"/>
      <c r="H910" s="11" t="n">
        <v>0.00270081018518519</v>
      </c>
      <c r="I910" s="12" t="n">
        <v>26</v>
      </c>
      <c r="J910" s="14"/>
      <c r="K910" s="14"/>
      <c r="L910" s="14"/>
      <c r="M910" s="13"/>
    </row>
    <row r="911" customFormat="false" ht="15" hidden="false" customHeight="false" outlineLevel="0" collapsed="false">
      <c r="A911" s="6" t="n">
        <v>907</v>
      </c>
      <c r="B911" s="7" t="s">
        <v>1485</v>
      </c>
      <c r="C911" s="8" t="s">
        <v>688</v>
      </c>
      <c r="D911" s="9" t="n">
        <v>0.010893287037037</v>
      </c>
      <c r="E911" s="10" t="n">
        <v>908</v>
      </c>
      <c r="F911" s="11"/>
      <c r="G911" s="12"/>
      <c r="H911" s="11" t="n">
        <v>0.00270462962962963</v>
      </c>
      <c r="I911" s="12" t="n">
        <v>28</v>
      </c>
      <c r="J911" s="14"/>
      <c r="K911" s="14"/>
      <c r="L911" s="14"/>
      <c r="M911" s="13"/>
    </row>
    <row r="912" customFormat="false" ht="15" hidden="false" customHeight="false" outlineLevel="0" collapsed="false">
      <c r="A912" s="6" t="n">
        <v>908</v>
      </c>
      <c r="B912" s="7" t="s">
        <v>1486</v>
      </c>
      <c r="C912" s="8" t="s">
        <v>1487</v>
      </c>
      <c r="D912" s="9" t="n">
        <v>0.0108936342592593</v>
      </c>
      <c r="E912" s="10" t="n">
        <v>909</v>
      </c>
      <c r="F912" s="11" t="n">
        <v>0.0066337962962963</v>
      </c>
      <c r="G912" s="12" t="n">
        <v>75</v>
      </c>
      <c r="H912" s="11"/>
      <c r="I912" s="12"/>
      <c r="J912" s="14"/>
      <c r="K912" s="14"/>
      <c r="L912" s="14"/>
      <c r="M912" s="13"/>
    </row>
    <row r="913" customFormat="false" ht="15" hidden="false" customHeight="false" outlineLevel="0" collapsed="false">
      <c r="A913" s="6" t="n">
        <v>909</v>
      </c>
      <c r="B913" s="7" t="s">
        <v>1488</v>
      </c>
      <c r="C913" s="8" t="s">
        <v>1489</v>
      </c>
      <c r="D913" s="9" t="n">
        <v>0.0108947916666667</v>
      </c>
      <c r="E913" s="10" t="n">
        <v>910</v>
      </c>
      <c r="F913" s="11"/>
      <c r="G913" s="12"/>
      <c r="H913" s="11"/>
      <c r="I913" s="12"/>
      <c r="J913" s="14"/>
      <c r="K913" s="14"/>
      <c r="L913" s="14"/>
      <c r="M913" s="13"/>
    </row>
    <row r="914" customFormat="false" ht="15" hidden="false" customHeight="false" outlineLevel="0" collapsed="false">
      <c r="A914" s="6" t="n">
        <v>910</v>
      </c>
      <c r="B914" s="7" t="s">
        <v>1490</v>
      </c>
      <c r="C914" s="8" t="s">
        <v>1087</v>
      </c>
      <c r="D914" s="9" t="n">
        <v>0.0108950231481482</v>
      </c>
      <c r="E914" s="10" t="n">
        <v>911</v>
      </c>
      <c r="F914" s="11"/>
      <c r="G914" s="12"/>
      <c r="H914" s="11" t="n">
        <v>0.00289201388888889</v>
      </c>
      <c r="I914" s="12" t="n">
        <v>887</v>
      </c>
      <c r="J914" s="14"/>
      <c r="K914" s="14"/>
      <c r="L914" s="14"/>
      <c r="M914" s="13"/>
    </row>
    <row r="915" customFormat="false" ht="15" hidden="false" customHeight="false" outlineLevel="0" collapsed="false">
      <c r="A915" s="6" t="n">
        <v>911</v>
      </c>
      <c r="B915" s="7" t="s">
        <v>1491</v>
      </c>
      <c r="C915" s="8" t="s">
        <v>496</v>
      </c>
      <c r="D915" s="9" t="n">
        <v>0.0108951388888889</v>
      </c>
      <c r="E915" s="10" t="n">
        <v>912</v>
      </c>
      <c r="F915" s="11" t="n">
        <v>0.007521875</v>
      </c>
      <c r="G915" s="12" t="n">
        <v>923</v>
      </c>
      <c r="H915" s="11"/>
      <c r="I915" s="12"/>
      <c r="J915" s="14"/>
      <c r="K915" s="14"/>
      <c r="L915" s="14"/>
      <c r="M915" s="13"/>
    </row>
    <row r="916" customFormat="false" ht="15" hidden="false" customHeight="false" outlineLevel="0" collapsed="false">
      <c r="A916" s="6" t="n">
        <v>912</v>
      </c>
      <c r="B916" s="7" t="s">
        <v>1492</v>
      </c>
      <c r="C916" s="8" t="s">
        <v>1493</v>
      </c>
      <c r="D916" s="9" t="n">
        <v>0.0108951388888889</v>
      </c>
      <c r="E916" s="10" t="n">
        <v>913</v>
      </c>
      <c r="F916" s="11"/>
      <c r="G916" s="12"/>
      <c r="H916" s="11" t="n">
        <v>0.00283946759259259</v>
      </c>
      <c r="I916" s="12" t="n">
        <v>493</v>
      </c>
      <c r="J916" s="14"/>
      <c r="K916" s="14"/>
      <c r="L916" s="14"/>
      <c r="M916" s="13"/>
    </row>
    <row r="917" customFormat="false" ht="15" hidden="false" customHeight="false" outlineLevel="0" collapsed="false">
      <c r="A917" s="6" t="n">
        <v>913</v>
      </c>
      <c r="B917" s="7" t="s">
        <v>1494</v>
      </c>
      <c r="C917" s="8" t="s">
        <v>311</v>
      </c>
      <c r="D917" s="9" t="n">
        <v>0.0108954861111111</v>
      </c>
      <c r="E917" s="10" t="n">
        <v>914</v>
      </c>
      <c r="F917" s="11"/>
      <c r="G917" s="12"/>
      <c r="H917" s="11"/>
      <c r="I917" s="12"/>
      <c r="J917" s="14"/>
      <c r="K917" s="14"/>
      <c r="L917" s="14"/>
      <c r="M917" s="13"/>
    </row>
    <row r="918" customFormat="false" ht="15" hidden="false" customHeight="false" outlineLevel="0" collapsed="false">
      <c r="A918" s="6" t="n">
        <v>914</v>
      </c>
      <c r="B918" s="7" t="s">
        <v>1495</v>
      </c>
      <c r="C918" s="8" t="s">
        <v>1496</v>
      </c>
      <c r="D918" s="9" t="n">
        <v>0.0108959490740741</v>
      </c>
      <c r="E918" s="10" t="n">
        <v>915</v>
      </c>
      <c r="F918" s="11" t="n">
        <v>0.0066474537037037</v>
      </c>
      <c r="G918" s="12" t="n">
        <v>81</v>
      </c>
      <c r="H918" s="11" t="n">
        <v>0.00277650462962963</v>
      </c>
      <c r="I918" s="12" t="n">
        <v>184</v>
      </c>
      <c r="J918" s="14"/>
      <c r="K918" s="14"/>
      <c r="L918" s="14"/>
      <c r="M918" s="13"/>
    </row>
    <row r="919" customFormat="false" ht="15" hidden="false" customHeight="false" outlineLevel="0" collapsed="false">
      <c r="A919" s="6" t="n">
        <v>915</v>
      </c>
      <c r="B919" s="7" t="s">
        <v>1497</v>
      </c>
      <c r="C919" s="8" t="s">
        <v>954</v>
      </c>
      <c r="D919" s="9" t="n">
        <v>0.0108966435185185</v>
      </c>
      <c r="E919" s="10" t="n">
        <v>916</v>
      </c>
      <c r="F919" s="11"/>
      <c r="G919" s="12"/>
      <c r="H919" s="11"/>
      <c r="I919" s="12"/>
      <c r="J919" s="14"/>
      <c r="K919" s="14"/>
      <c r="L919" s="14"/>
      <c r="M919" s="13"/>
    </row>
    <row r="920" customFormat="false" ht="15" hidden="false" customHeight="false" outlineLevel="0" collapsed="false">
      <c r="A920" s="6" t="n">
        <v>916</v>
      </c>
      <c r="B920" s="7" t="s">
        <v>1498</v>
      </c>
      <c r="C920" s="8" t="s">
        <v>518</v>
      </c>
      <c r="D920" s="9" t="n">
        <v>0.010896875</v>
      </c>
      <c r="E920" s="10" t="n">
        <v>917</v>
      </c>
      <c r="F920" s="11" t="n">
        <v>0.00691886574074074</v>
      </c>
      <c r="G920" s="12" t="n">
        <v>254</v>
      </c>
      <c r="H920" s="11"/>
      <c r="I920" s="12"/>
      <c r="J920" s="14" t="s">
        <v>1499</v>
      </c>
      <c r="K920" s="14"/>
      <c r="L920" s="14"/>
      <c r="M920" s="13"/>
    </row>
    <row r="921" customFormat="false" ht="15" hidden="false" customHeight="false" outlineLevel="0" collapsed="false">
      <c r="A921" s="6" t="n">
        <v>917</v>
      </c>
      <c r="B921" s="7" t="s">
        <v>1500</v>
      </c>
      <c r="C921" s="8" t="s">
        <v>96</v>
      </c>
      <c r="D921" s="9" t="n">
        <v>0.0108980324074074</v>
      </c>
      <c r="E921" s="10" t="n">
        <v>918</v>
      </c>
      <c r="F921" s="11"/>
      <c r="G921" s="12"/>
      <c r="H921" s="11" t="n">
        <v>0.00284930555555556</v>
      </c>
      <c r="I921" s="12" t="n">
        <v>567</v>
      </c>
      <c r="J921" s="14" t="s">
        <v>1501</v>
      </c>
      <c r="K921" s="14"/>
      <c r="L921" s="14"/>
      <c r="M921" s="13"/>
    </row>
    <row r="922" customFormat="false" ht="15" hidden="false" customHeight="false" outlineLevel="0" collapsed="false">
      <c r="A922" s="6" t="n">
        <v>918</v>
      </c>
      <c r="B922" s="7" t="s">
        <v>1502</v>
      </c>
      <c r="C922" s="8" t="s">
        <v>1503</v>
      </c>
      <c r="D922" s="9" t="n">
        <v>0.0108982638888889</v>
      </c>
      <c r="E922" s="10" t="n">
        <v>919</v>
      </c>
      <c r="F922" s="11"/>
      <c r="G922" s="12"/>
      <c r="H922" s="11" t="n">
        <v>0.00288506944444444</v>
      </c>
      <c r="I922" s="12" t="n">
        <v>817</v>
      </c>
      <c r="J922" s="14" t="s">
        <v>1504</v>
      </c>
      <c r="K922" s="14"/>
      <c r="L922" s="14"/>
      <c r="M922" s="13"/>
    </row>
    <row r="923" customFormat="false" ht="15" hidden="false" customHeight="false" outlineLevel="0" collapsed="false">
      <c r="A923" s="6" t="n">
        <v>919</v>
      </c>
      <c r="B923" s="7" t="s">
        <v>1505</v>
      </c>
      <c r="C923" s="8" t="s">
        <v>1506</v>
      </c>
      <c r="D923" s="9" t="n">
        <v>0.0108994212962963</v>
      </c>
      <c r="E923" s="10" t="n">
        <v>920</v>
      </c>
      <c r="F923" s="11"/>
      <c r="G923" s="12"/>
      <c r="H923" s="11"/>
      <c r="I923" s="12"/>
      <c r="J923" s="14"/>
      <c r="K923" s="14"/>
      <c r="L923" s="14"/>
      <c r="M923" s="13"/>
    </row>
    <row r="924" customFormat="false" ht="15" hidden="false" customHeight="false" outlineLevel="0" collapsed="false">
      <c r="A924" s="6" t="n">
        <v>920</v>
      </c>
      <c r="B924" s="7" t="s">
        <v>1507</v>
      </c>
      <c r="C924" s="8" t="s">
        <v>1508</v>
      </c>
      <c r="D924" s="9" t="n">
        <v>0.0108997685185185</v>
      </c>
      <c r="E924" s="10" t="n">
        <v>921</v>
      </c>
      <c r="F924" s="11" t="n">
        <v>0.00688599537037037</v>
      </c>
      <c r="G924" s="12" t="n">
        <v>227</v>
      </c>
      <c r="H924" s="11"/>
      <c r="I924" s="12"/>
      <c r="J924" s="14"/>
      <c r="K924" s="14"/>
      <c r="L924" s="14"/>
      <c r="M924" s="13"/>
    </row>
    <row r="925" customFormat="false" ht="15" hidden="false" customHeight="false" outlineLevel="0" collapsed="false">
      <c r="A925" s="6" t="n">
        <v>921</v>
      </c>
      <c r="B925" s="7" t="s">
        <v>1509</v>
      </c>
      <c r="C925" s="8" t="s">
        <v>578</v>
      </c>
      <c r="D925" s="9" t="n">
        <v>0.0109021990740741</v>
      </c>
      <c r="E925" s="10" t="n">
        <v>922</v>
      </c>
      <c r="F925" s="11" t="n">
        <v>0.00728148148148148</v>
      </c>
      <c r="G925" s="12" t="n">
        <v>621</v>
      </c>
      <c r="H925" s="11"/>
      <c r="I925" s="12"/>
      <c r="J925" s="14"/>
      <c r="K925" s="14"/>
      <c r="L925" s="14"/>
      <c r="M925" s="13"/>
    </row>
    <row r="926" customFormat="false" ht="15" hidden="false" customHeight="false" outlineLevel="0" collapsed="false">
      <c r="A926" s="6" t="n">
        <v>922</v>
      </c>
      <c r="B926" s="7" t="s">
        <v>1510</v>
      </c>
      <c r="C926" s="8" t="s">
        <v>932</v>
      </c>
      <c r="D926" s="9" t="n">
        <v>0.010902662037037</v>
      </c>
      <c r="E926" s="10" t="n">
        <v>923</v>
      </c>
      <c r="F926" s="11"/>
      <c r="G926" s="12"/>
      <c r="H926" s="11"/>
      <c r="I926" s="12"/>
      <c r="J926" s="14"/>
      <c r="K926" s="14"/>
      <c r="L926" s="14"/>
      <c r="M926" s="13"/>
    </row>
    <row r="927" customFormat="false" ht="15" hidden="false" customHeight="false" outlineLevel="0" collapsed="false">
      <c r="A927" s="6" t="n">
        <v>923</v>
      </c>
      <c r="B927" s="7" t="s">
        <v>1511</v>
      </c>
      <c r="C927" s="8" t="s">
        <v>788</v>
      </c>
      <c r="D927" s="9" t="n">
        <v>0.0109027777777778</v>
      </c>
      <c r="E927" s="10" t="n">
        <v>924</v>
      </c>
      <c r="F927" s="11"/>
      <c r="G927" s="12"/>
      <c r="H927" s="11" t="n">
        <v>0.00279780092592593</v>
      </c>
      <c r="I927" s="12" t="n">
        <v>274</v>
      </c>
      <c r="J927" s="14"/>
      <c r="K927" s="14"/>
      <c r="L927" s="14"/>
      <c r="M927" s="13"/>
    </row>
    <row r="928" customFormat="false" ht="15" hidden="false" customHeight="false" outlineLevel="0" collapsed="false">
      <c r="A928" s="6" t="n">
        <v>924</v>
      </c>
      <c r="B928" s="7" t="s">
        <v>1512</v>
      </c>
      <c r="C928" s="8" t="s">
        <v>100</v>
      </c>
      <c r="D928" s="9" t="n">
        <v>0.0109028935185185</v>
      </c>
      <c r="E928" s="10" t="n">
        <v>925</v>
      </c>
      <c r="F928" s="11"/>
      <c r="G928" s="12"/>
      <c r="H928" s="11"/>
      <c r="I928" s="12"/>
      <c r="J928" s="14"/>
      <c r="K928" s="14"/>
      <c r="L928" s="14"/>
      <c r="M928" s="13"/>
    </row>
    <row r="929" customFormat="false" ht="15" hidden="false" customHeight="false" outlineLevel="0" collapsed="false">
      <c r="A929" s="6" t="n">
        <v>925</v>
      </c>
      <c r="B929" s="7" t="s">
        <v>1513</v>
      </c>
      <c r="C929" s="8" t="s">
        <v>1209</v>
      </c>
      <c r="D929" s="9" t="n">
        <v>0.0109041666666667</v>
      </c>
      <c r="E929" s="10" t="n">
        <v>926</v>
      </c>
      <c r="F929" s="11" t="n">
        <v>0.00696736111111111</v>
      </c>
      <c r="G929" s="12" t="n">
        <v>300</v>
      </c>
      <c r="H929" s="11"/>
      <c r="I929" s="12"/>
      <c r="J929" s="14"/>
      <c r="K929" s="14"/>
      <c r="L929" s="14"/>
      <c r="M929" s="13"/>
    </row>
    <row r="930" customFormat="false" ht="15" hidden="false" customHeight="false" outlineLevel="0" collapsed="false">
      <c r="A930" s="6" t="n">
        <v>926</v>
      </c>
      <c r="B930" s="7" t="s">
        <v>1514</v>
      </c>
      <c r="C930" s="8" t="s">
        <v>1515</v>
      </c>
      <c r="D930" s="9" t="n">
        <v>0.0109045138888889</v>
      </c>
      <c r="E930" s="10" t="n">
        <v>927</v>
      </c>
      <c r="F930" s="11"/>
      <c r="G930" s="12"/>
      <c r="H930" s="11" t="n">
        <v>0.00282511574074074</v>
      </c>
      <c r="I930" s="12" t="n">
        <v>394</v>
      </c>
      <c r="J930" s="14" t="s">
        <v>1516</v>
      </c>
      <c r="K930" s="14"/>
      <c r="L930" s="8" t="s">
        <v>1517</v>
      </c>
      <c r="M930" s="13"/>
    </row>
    <row r="931" customFormat="false" ht="15" hidden="false" customHeight="false" outlineLevel="0" collapsed="false">
      <c r="A931" s="6" t="n">
        <v>927</v>
      </c>
      <c r="B931" s="7" t="s">
        <v>1518</v>
      </c>
      <c r="C931" s="8" t="s">
        <v>1258</v>
      </c>
      <c r="D931" s="9" t="n">
        <v>0.0109045138888889</v>
      </c>
      <c r="E931" s="10" t="n">
        <v>928</v>
      </c>
      <c r="F931" s="11" t="n">
        <v>0.00707465277777778</v>
      </c>
      <c r="G931" s="12" t="n">
        <v>421</v>
      </c>
      <c r="H931" s="11"/>
      <c r="I931" s="12"/>
      <c r="J931" s="14"/>
      <c r="K931" s="14"/>
      <c r="L931" s="14"/>
      <c r="M931" s="13"/>
    </row>
    <row r="932" customFormat="false" ht="15" hidden="false" customHeight="false" outlineLevel="0" collapsed="false">
      <c r="A932" s="6" t="n">
        <v>928</v>
      </c>
      <c r="B932" s="7" t="s">
        <v>1519</v>
      </c>
      <c r="C932" s="8" t="s">
        <v>1520</v>
      </c>
      <c r="D932" s="9" t="n">
        <v>0.0109052083333333</v>
      </c>
      <c r="E932" s="10" t="n">
        <v>929</v>
      </c>
      <c r="F932" s="11"/>
      <c r="G932" s="12"/>
      <c r="H932" s="11" t="n">
        <v>0.00290416666666667</v>
      </c>
      <c r="I932" s="12" t="n">
        <v>981</v>
      </c>
      <c r="J932" s="14"/>
      <c r="K932" s="14"/>
      <c r="L932" s="14"/>
      <c r="M932" s="13"/>
    </row>
    <row r="933" customFormat="false" ht="15" hidden="false" customHeight="false" outlineLevel="0" collapsed="false">
      <c r="A933" s="6" t="n">
        <v>929</v>
      </c>
      <c r="B933" s="7" t="s">
        <v>1521</v>
      </c>
      <c r="C933" s="8" t="s">
        <v>1134</v>
      </c>
      <c r="D933" s="9" t="n">
        <v>0.0109063657407407</v>
      </c>
      <c r="E933" s="10" t="n">
        <v>930</v>
      </c>
      <c r="F933" s="11"/>
      <c r="G933" s="12"/>
      <c r="H933" s="11" t="n">
        <v>0.00278599537037037</v>
      </c>
      <c r="I933" s="12" t="n">
        <v>221</v>
      </c>
      <c r="J933" s="14"/>
      <c r="K933" s="14"/>
      <c r="L933" s="14"/>
      <c r="M933" s="13"/>
    </row>
    <row r="934" customFormat="false" ht="15" hidden="false" customHeight="false" outlineLevel="0" collapsed="false">
      <c r="A934" s="6" t="n">
        <v>930</v>
      </c>
      <c r="B934" s="7" t="s">
        <v>1522</v>
      </c>
      <c r="C934" s="8" t="s">
        <v>903</v>
      </c>
      <c r="D934" s="9" t="n">
        <v>0.0109069444444444</v>
      </c>
      <c r="E934" s="10" t="n">
        <v>931</v>
      </c>
      <c r="F934" s="11" t="n">
        <v>0.00685810185185185</v>
      </c>
      <c r="G934" s="12" t="n">
        <v>209</v>
      </c>
      <c r="H934" s="11" t="n">
        <v>0.00278680555555556</v>
      </c>
      <c r="I934" s="12" t="n">
        <v>229</v>
      </c>
      <c r="J934" s="14"/>
      <c r="K934" s="14"/>
      <c r="L934" s="14"/>
      <c r="M934" s="13"/>
    </row>
    <row r="935" customFormat="false" ht="15" hidden="false" customHeight="false" outlineLevel="0" collapsed="false">
      <c r="A935" s="6" t="n">
        <v>931</v>
      </c>
      <c r="B935" s="7" t="s">
        <v>1523</v>
      </c>
      <c r="C935" s="8" t="s">
        <v>1104</v>
      </c>
      <c r="D935" s="9" t="n">
        <v>0.0109074074074074</v>
      </c>
      <c r="E935" s="10" t="n">
        <v>932</v>
      </c>
      <c r="F935" s="11" t="n">
        <v>0.0076775462962963</v>
      </c>
      <c r="G935" s="12" t="n">
        <v>1056</v>
      </c>
      <c r="H935" s="11" t="n">
        <v>0.00297268518518519</v>
      </c>
      <c r="I935" s="12" t="n">
        <v>1320</v>
      </c>
      <c r="J935" s="14"/>
      <c r="K935" s="14"/>
      <c r="L935" s="14"/>
      <c r="M935" s="13"/>
    </row>
    <row r="936" customFormat="false" ht="15" hidden="false" customHeight="false" outlineLevel="0" collapsed="false">
      <c r="A936" s="6" t="n">
        <v>932</v>
      </c>
      <c r="B936" s="7" t="s">
        <v>1524</v>
      </c>
      <c r="C936" s="8" t="s">
        <v>1525</v>
      </c>
      <c r="D936" s="9" t="n">
        <v>0.0109077546296296</v>
      </c>
      <c r="E936" s="10" t="n">
        <v>933</v>
      </c>
      <c r="F936" s="11" t="n">
        <v>0.00704351851851852</v>
      </c>
      <c r="G936" s="12" t="n">
        <v>383</v>
      </c>
      <c r="H936" s="11"/>
      <c r="I936" s="12"/>
      <c r="J936" s="14"/>
      <c r="K936" s="14"/>
      <c r="L936" s="14"/>
      <c r="M936" s="13"/>
    </row>
    <row r="937" customFormat="false" ht="15" hidden="false" customHeight="false" outlineLevel="0" collapsed="false">
      <c r="A937" s="6" t="n">
        <v>933</v>
      </c>
      <c r="B937" s="7" t="s">
        <v>1526</v>
      </c>
      <c r="C937" s="8" t="s">
        <v>1385</v>
      </c>
      <c r="D937" s="9" t="n">
        <v>0.0109083333333333</v>
      </c>
      <c r="E937" s="10" t="n">
        <v>934</v>
      </c>
      <c r="F937" s="11"/>
      <c r="G937" s="12"/>
      <c r="H937" s="11" t="n">
        <v>0.00275104166666667</v>
      </c>
      <c r="I937" s="12" t="n">
        <v>105</v>
      </c>
      <c r="J937" s="14"/>
      <c r="K937" s="14"/>
      <c r="L937" s="14"/>
      <c r="M937" s="13"/>
    </row>
    <row r="938" customFormat="false" ht="15" hidden="false" customHeight="false" outlineLevel="0" collapsed="false">
      <c r="A938" s="6" t="n">
        <v>934</v>
      </c>
      <c r="B938" s="7" t="s">
        <v>1527</v>
      </c>
      <c r="C938" s="8" t="s">
        <v>233</v>
      </c>
      <c r="D938" s="9" t="n">
        <v>0.0109083333333333</v>
      </c>
      <c r="E938" s="10" t="n">
        <v>935</v>
      </c>
      <c r="F938" s="11"/>
      <c r="G938" s="12"/>
      <c r="H938" s="11"/>
      <c r="I938" s="12"/>
      <c r="J938" s="14"/>
      <c r="K938" s="14"/>
      <c r="L938" s="14"/>
      <c r="M938" s="13"/>
    </row>
    <row r="939" customFormat="false" ht="15" hidden="false" customHeight="false" outlineLevel="0" collapsed="false">
      <c r="A939" s="6" t="n">
        <v>935</v>
      </c>
      <c r="B939" s="7" t="s">
        <v>1528</v>
      </c>
      <c r="C939" s="8" t="s">
        <v>186</v>
      </c>
      <c r="D939" s="9" t="n">
        <v>0.0109087962962963</v>
      </c>
      <c r="E939" s="10" t="n">
        <v>936</v>
      </c>
      <c r="F939" s="11"/>
      <c r="G939" s="12"/>
      <c r="H939" s="11" t="n">
        <v>0.00287349537037037</v>
      </c>
      <c r="I939" s="12" t="n">
        <v>724</v>
      </c>
      <c r="J939" s="14"/>
      <c r="K939" s="14"/>
      <c r="L939" s="14"/>
      <c r="M939" s="13"/>
    </row>
    <row r="940" customFormat="false" ht="15" hidden="false" customHeight="false" outlineLevel="0" collapsed="false">
      <c r="A940" s="6" t="n">
        <v>936</v>
      </c>
      <c r="B940" s="7" t="s">
        <v>1529</v>
      </c>
      <c r="C940" s="8" t="s">
        <v>94</v>
      </c>
      <c r="D940" s="9" t="n">
        <v>0.0109090277777778</v>
      </c>
      <c r="E940" s="10" t="n">
        <v>937</v>
      </c>
      <c r="F940" s="11" t="n">
        <v>0.0069212962962963</v>
      </c>
      <c r="G940" s="12" t="n">
        <v>259</v>
      </c>
      <c r="H940" s="11" t="n">
        <v>0.00285833333333333</v>
      </c>
      <c r="I940" s="12" t="n">
        <v>624</v>
      </c>
      <c r="J940" s="14"/>
      <c r="K940" s="14"/>
      <c r="L940" s="14"/>
      <c r="M940" s="13"/>
    </row>
    <row r="941" customFormat="false" ht="15" hidden="false" customHeight="false" outlineLevel="0" collapsed="false">
      <c r="A941" s="6" t="n">
        <v>937</v>
      </c>
      <c r="B941" s="7" t="s">
        <v>1530</v>
      </c>
      <c r="C941" s="8" t="s">
        <v>1531</v>
      </c>
      <c r="D941" s="9" t="n">
        <v>0.0109100694444444</v>
      </c>
      <c r="E941" s="10" t="n">
        <v>938</v>
      </c>
      <c r="F941" s="11" t="n">
        <v>0.00687256944444444</v>
      </c>
      <c r="G941" s="12" t="n">
        <v>220</v>
      </c>
      <c r="H941" s="11" t="n">
        <v>0.00297164351851852</v>
      </c>
      <c r="I941" s="12" t="n">
        <v>1316</v>
      </c>
      <c r="J941" s="14"/>
      <c r="K941" s="14"/>
      <c r="L941" s="14"/>
      <c r="M941" s="13"/>
    </row>
    <row r="942" customFormat="false" ht="15" hidden="false" customHeight="false" outlineLevel="0" collapsed="false">
      <c r="A942" s="6" t="n">
        <v>938</v>
      </c>
      <c r="B942" s="7" t="s">
        <v>1532</v>
      </c>
      <c r="C942" s="8" t="s">
        <v>1533</v>
      </c>
      <c r="D942" s="9" t="n">
        <v>0.0109113425925926</v>
      </c>
      <c r="E942" s="10" t="n">
        <v>939</v>
      </c>
      <c r="F942" s="11"/>
      <c r="G942" s="12"/>
      <c r="H942" s="11" t="n">
        <v>0.00287858796296296</v>
      </c>
      <c r="I942" s="12" t="n">
        <v>759</v>
      </c>
      <c r="J942" s="14"/>
      <c r="K942" s="14"/>
      <c r="L942" s="14"/>
      <c r="M942" s="13"/>
    </row>
    <row r="943" customFormat="false" ht="15" hidden="false" customHeight="false" outlineLevel="0" collapsed="false">
      <c r="A943" s="6" t="n">
        <v>939</v>
      </c>
      <c r="B943" s="7" t="s">
        <v>1534</v>
      </c>
      <c r="C943" s="8" t="s">
        <v>471</v>
      </c>
      <c r="D943" s="9" t="n">
        <v>0.0109114583333333</v>
      </c>
      <c r="E943" s="10" t="n">
        <v>940</v>
      </c>
      <c r="F943" s="11" t="n">
        <v>0.00692696759259259</v>
      </c>
      <c r="G943" s="12" t="n">
        <v>267</v>
      </c>
      <c r="H943" s="11" t="n">
        <v>0.00289166666666667</v>
      </c>
      <c r="I943" s="12" t="n">
        <v>884</v>
      </c>
      <c r="J943" s="14"/>
      <c r="K943" s="14"/>
      <c r="L943" s="14"/>
      <c r="M943" s="13"/>
    </row>
    <row r="944" customFormat="false" ht="15" hidden="false" customHeight="false" outlineLevel="0" collapsed="false">
      <c r="A944" s="6" t="n">
        <v>940</v>
      </c>
      <c r="B944" s="7" t="s">
        <v>1535</v>
      </c>
      <c r="C944" s="8" t="s">
        <v>143</v>
      </c>
      <c r="D944" s="9" t="n">
        <v>0.0109116898148148</v>
      </c>
      <c r="E944" s="10" t="n">
        <v>941</v>
      </c>
      <c r="F944" s="11"/>
      <c r="G944" s="12"/>
      <c r="H944" s="11"/>
      <c r="I944" s="12"/>
      <c r="J944" s="14"/>
      <c r="K944" s="14"/>
      <c r="L944" s="14"/>
      <c r="M944" s="13"/>
    </row>
    <row r="945" customFormat="false" ht="15" hidden="false" customHeight="false" outlineLevel="0" collapsed="false">
      <c r="A945" s="6" t="n">
        <v>941</v>
      </c>
      <c r="B945" s="7" t="s">
        <v>1536</v>
      </c>
      <c r="C945" s="8" t="s">
        <v>207</v>
      </c>
      <c r="D945" s="9" t="n">
        <v>0.0109127314814815</v>
      </c>
      <c r="E945" s="10" t="n">
        <v>942</v>
      </c>
      <c r="F945" s="11" t="n">
        <v>0.00679247685185185</v>
      </c>
      <c r="G945" s="12" t="n">
        <v>164</v>
      </c>
      <c r="H945" s="11" t="n">
        <v>0.00288148148148148</v>
      </c>
      <c r="I945" s="12" t="n">
        <v>783</v>
      </c>
      <c r="J945" s="14"/>
      <c r="K945" s="14"/>
      <c r="L945" s="14"/>
      <c r="M945" s="13"/>
    </row>
    <row r="946" customFormat="false" ht="15" hidden="false" customHeight="false" outlineLevel="0" collapsed="false">
      <c r="A946" s="6" t="n">
        <v>942</v>
      </c>
      <c r="B946" s="7" t="s">
        <v>1537</v>
      </c>
      <c r="C946" s="8" t="s">
        <v>1139</v>
      </c>
      <c r="D946" s="9" t="n">
        <v>0.0109130787037037</v>
      </c>
      <c r="E946" s="10" t="n">
        <v>943</v>
      </c>
      <c r="F946" s="11"/>
      <c r="G946" s="12"/>
      <c r="H946" s="11"/>
      <c r="I946" s="12"/>
      <c r="J946" s="14"/>
      <c r="K946" s="14"/>
      <c r="L946" s="14"/>
      <c r="M946" s="13"/>
    </row>
    <row r="947" customFormat="false" ht="15" hidden="false" customHeight="false" outlineLevel="0" collapsed="false">
      <c r="A947" s="6" t="n">
        <v>943</v>
      </c>
      <c r="B947" s="7" t="s">
        <v>1538</v>
      </c>
      <c r="C947" s="8" t="s">
        <v>1378</v>
      </c>
      <c r="D947" s="9" t="n">
        <v>0.0109134259259259</v>
      </c>
      <c r="E947" s="10" t="n">
        <v>944</v>
      </c>
      <c r="F947" s="11"/>
      <c r="G947" s="12"/>
      <c r="H947" s="11" t="n">
        <v>0.00279988425925926</v>
      </c>
      <c r="I947" s="12" t="n">
        <v>283</v>
      </c>
      <c r="J947" s="14"/>
      <c r="K947" s="14"/>
      <c r="L947" s="14"/>
      <c r="M947" s="13"/>
    </row>
    <row r="948" customFormat="false" ht="15" hidden="false" customHeight="false" outlineLevel="0" collapsed="false">
      <c r="A948" s="6" t="n">
        <v>944</v>
      </c>
      <c r="B948" s="7" t="s">
        <v>1539</v>
      </c>
      <c r="C948" s="8" t="s">
        <v>233</v>
      </c>
      <c r="D948" s="9" t="n">
        <v>0.0109134259259259</v>
      </c>
      <c r="E948" s="10" t="n">
        <v>945</v>
      </c>
      <c r="F948" s="11" t="n">
        <v>0.00745625</v>
      </c>
      <c r="G948" s="12" t="n">
        <v>841</v>
      </c>
      <c r="H948" s="11"/>
      <c r="I948" s="12"/>
      <c r="J948" s="14"/>
      <c r="K948" s="14"/>
      <c r="L948" s="14"/>
      <c r="M948" s="13"/>
    </row>
    <row r="949" customFormat="false" ht="15" hidden="false" customHeight="false" outlineLevel="0" collapsed="false">
      <c r="A949" s="6" t="n">
        <v>945</v>
      </c>
      <c r="B949" s="7" t="s">
        <v>1540</v>
      </c>
      <c r="C949" s="8" t="s">
        <v>1541</v>
      </c>
      <c r="D949" s="9" t="n">
        <v>0.0109144675925926</v>
      </c>
      <c r="E949" s="10" t="n">
        <v>946</v>
      </c>
      <c r="F949" s="11"/>
      <c r="G949" s="12"/>
      <c r="H949" s="11" t="n">
        <v>0.00282488425925926</v>
      </c>
      <c r="I949" s="12" t="n">
        <v>393</v>
      </c>
      <c r="J949" s="14"/>
      <c r="K949" s="14"/>
      <c r="L949" s="14"/>
      <c r="M949" s="13"/>
    </row>
    <row r="950" customFormat="false" ht="15" hidden="false" customHeight="false" outlineLevel="0" collapsed="false">
      <c r="A950" s="6" t="n">
        <v>946</v>
      </c>
      <c r="B950" s="7" t="s">
        <v>1542</v>
      </c>
      <c r="C950" s="8" t="s">
        <v>1224</v>
      </c>
      <c r="D950" s="9" t="n">
        <v>0.0109165509259259</v>
      </c>
      <c r="E950" s="10" t="n">
        <v>947</v>
      </c>
      <c r="F950" s="11" t="n">
        <v>0.00716053240740741</v>
      </c>
      <c r="G950" s="12" t="n">
        <v>495</v>
      </c>
      <c r="H950" s="11" t="n">
        <v>0.00290625</v>
      </c>
      <c r="I950" s="12" t="n">
        <v>990</v>
      </c>
      <c r="J950" s="14"/>
      <c r="K950" s="14"/>
      <c r="L950" s="14"/>
      <c r="M950" s="13"/>
    </row>
    <row r="951" customFormat="false" ht="15" hidden="false" customHeight="false" outlineLevel="0" collapsed="false">
      <c r="A951" s="6" t="n">
        <v>947</v>
      </c>
      <c r="B951" s="7" t="s">
        <v>1543</v>
      </c>
      <c r="C951" s="8" t="s">
        <v>402</v>
      </c>
      <c r="D951" s="9" t="n">
        <v>0.0109170138888889</v>
      </c>
      <c r="E951" s="10" t="n">
        <v>948</v>
      </c>
      <c r="F951" s="11"/>
      <c r="G951" s="12"/>
      <c r="H951" s="11"/>
      <c r="I951" s="12"/>
      <c r="J951" s="14"/>
      <c r="K951" s="14"/>
      <c r="L951" s="14"/>
      <c r="M951" s="13"/>
    </row>
    <row r="952" customFormat="false" ht="15" hidden="false" customHeight="false" outlineLevel="0" collapsed="false">
      <c r="A952" s="6" t="n">
        <v>948</v>
      </c>
      <c r="B952" s="7" t="s">
        <v>1544</v>
      </c>
      <c r="C952" s="8" t="s">
        <v>1545</v>
      </c>
      <c r="D952" s="9" t="n">
        <v>0.0109172453703704</v>
      </c>
      <c r="E952" s="10" t="n">
        <v>949</v>
      </c>
      <c r="F952" s="11"/>
      <c r="G952" s="12"/>
      <c r="H952" s="11" t="n">
        <v>0.00295023148148148</v>
      </c>
      <c r="I952" s="12" t="n">
        <v>1239</v>
      </c>
      <c r="J952" s="14"/>
      <c r="K952" s="14"/>
      <c r="L952" s="14"/>
      <c r="M952" s="13"/>
    </row>
    <row r="953" customFormat="false" ht="15" hidden="false" customHeight="false" outlineLevel="0" collapsed="false">
      <c r="A953" s="6" t="n">
        <v>949</v>
      </c>
      <c r="B953" s="7" t="s">
        <v>1546</v>
      </c>
      <c r="C953" s="8" t="s">
        <v>433</v>
      </c>
      <c r="D953" s="9" t="n">
        <v>0.0109190972222222</v>
      </c>
      <c r="E953" s="10" t="n">
        <v>950</v>
      </c>
      <c r="F953" s="11"/>
      <c r="G953" s="12"/>
      <c r="H953" s="11" t="n">
        <v>0.0028875</v>
      </c>
      <c r="I953" s="12" t="n">
        <v>839</v>
      </c>
      <c r="J953" s="14" t="s">
        <v>1547</v>
      </c>
      <c r="K953" s="14"/>
      <c r="L953" s="14"/>
      <c r="M953" s="13"/>
    </row>
    <row r="954" customFormat="false" ht="15" hidden="false" customHeight="false" outlineLevel="0" collapsed="false">
      <c r="A954" s="6" t="n">
        <v>950</v>
      </c>
      <c r="B954" s="7" t="s">
        <v>1548</v>
      </c>
      <c r="C954" s="8" t="s">
        <v>363</v>
      </c>
      <c r="D954" s="9" t="n">
        <v>0.0109208333333333</v>
      </c>
      <c r="E954" s="10" t="n">
        <v>951</v>
      </c>
      <c r="F954" s="11" t="n">
        <v>0.00710694444444444</v>
      </c>
      <c r="G954" s="12" t="n">
        <v>455</v>
      </c>
      <c r="H954" s="11"/>
      <c r="I954" s="12"/>
      <c r="J954" s="14"/>
      <c r="K954" s="14"/>
      <c r="L954" s="14"/>
      <c r="M954" s="13"/>
    </row>
    <row r="955" customFormat="false" ht="15" hidden="false" customHeight="false" outlineLevel="0" collapsed="false">
      <c r="A955" s="6" t="n">
        <v>951</v>
      </c>
      <c r="B955" s="7" t="s">
        <v>1549</v>
      </c>
      <c r="C955" s="8" t="s">
        <v>558</v>
      </c>
      <c r="D955" s="9" t="n">
        <v>0.0109219907407407</v>
      </c>
      <c r="E955" s="10" t="n">
        <v>952</v>
      </c>
      <c r="F955" s="11" t="n">
        <v>0.00695462962962963</v>
      </c>
      <c r="G955" s="12" t="n">
        <v>288</v>
      </c>
      <c r="H955" s="11" t="n">
        <v>0.00287835648148148</v>
      </c>
      <c r="I955" s="12" t="n">
        <v>755</v>
      </c>
      <c r="J955" s="14"/>
      <c r="K955" s="14"/>
      <c r="L955" s="14"/>
      <c r="M955" s="13"/>
    </row>
    <row r="956" customFormat="false" ht="15" hidden="false" customHeight="false" outlineLevel="0" collapsed="false">
      <c r="A956" s="6" t="n">
        <v>952</v>
      </c>
      <c r="B956" s="7" t="s">
        <v>1550</v>
      </c>
      <c r="C956" s="8" t="s">
        <v>1551</v>
      </c>
      <c r="D956" s="9" t="n">
        <v>0.0109225694444444</v>
      </c>
      <c r="E956" s="10" t="n">
        <v>953</v>
      </c>
      <c r="F956" s="11"/>
      <c r="G956" s="12"/>
      <c r="H956" s="11" t="n">
        <v>0.00285578703703704</v>
      </c>
      <c r="I956" s="12" t="n">
        <v>604</v>
      </c>
      <c r="J956" s="14"/>
      <c r="K956" s="14"/>
      <c r="L956" s="14"/>
      <c r="M956" s="13"/>
    </row>
    <row r="957" customFormat="false" ht="15" hidden="false" customHeight="false" outlineLevel="0" collapsed="false">
      <c r="A957" s="6" t="n">
        <v>953</v>
      </c>
      <c r="B957" s="7" t="s">
        <v>1552</v>
      </c>
      <c r="C957" s="8" t="s">
        <v>1553</v>
      </c>
      <c r="D957" s="9" t="n">
        <v>0.0109225694444444</v>
      </c>
      <c r="E957" s="10" t="n">
        <v>954</v>
      </c>
      <c r="F957" s="11" t="n">
        <v>0.00734189814814815</v>
      </c>
      <c r="G957" s="12" t="n">
        <v>699</v>
      </c>
      <c r="H957" s="11" t="n">
        <v>0.00295</v>
      </c>
      <c r="I957" s="12" t="n">
        <v>1237</v>
      </c>
      <c r="J957" s="14"/>
      <c r="K957" s="14"/>
      <c r="L957" s="14"/>
      <c r="M957" s="13"/>
    </row>
    <row r="958" customFormat="false" ht="15" hidden="false" customHeight="false" outlineLevel="0" collapsed="false">
      <c r="A958" s="6" t="n">
        <v>954</v>
      </c>
      <c r="B958" s="7" t="s">
        <v>1554</v>
      </c>
      <c r="C958" s="8" t="s">
        <v>316</v>
      </c>
      <c r="D958" s="9" t="n">
        <v>0.0109229166666667</v>
      </c>
      <c r="E958" s="10" t="n">
        <v>955</v>
      </c>
      <c r="F958" s="11" t="n">
        <v>0.00720891203703704</v>
      </c>
      <c r="G958" s="12" t="n">
        <v>545</v>
      </c>
      <c r="H958" s="11" t="n">
        <v>0.00281759259259259</v>
      </c>
      <c r="I958" s="12" t="n">
        <v>353</v>
      </c>
      <c r="J958" s="14"/>
      <c r="K958" s="14"/>
      <c r="L958" s="14"/>
      <c r="M958" s="13"/>
    </row>
    <row r="959" customFormat="false" ht="15" hidden="false" customHeight="false" outlineLevel="0" collapsed="false">
      <c r="A959" s="6" t="n">
        <v>955</v>
      </c>
      <c r="B959" s="7" t="s">
        <v>1555</v>
      </c>
      <c r="C959" s="8" t="s">
        <v>410</v>
      </c>
      <c r="D959" s="9" t="n">
        <v>0.0109230324074074</v>
      </c>
      <c r="E959" s="10" t="n">
        <v>956</v>
      </c>
      <c r="F959" s="11"/>
      <c r="G959" s="12"/>
      <c r="H959" s="11"/>
      <c r="I959" s="12"/>
      <c r="J959" s="14"/>
      <c r="K959" s="14"/>
      <c r="L959" s="14"/>
      <c r="M959" s="13"/>
    </row>
    <row r="960" customFormat="false" ht="15" hidden="false" customHeight="false" outlineLevel="0" collapsed="false">
      <c r="A960" s="6" t="n">
        <v>956</v>
      </c>
      <c r="B960" s="7" t="s">
        <v>1556</v>
      </c>
      <c r="C960" s="8" t="s">
        <v>592</v>
      </c>
      <c r="D960" s="9" t="n">
        <v>0.0109230324074074</v>
      </c>
      <c r="E960" s="10" t="n">
        <v>957</v>
      </c>
      <c r="F960" s="11"/>
      <c r="G960" s="12"/>
      <c r="H960" s="11" t="n">
        <v>0.00293958333333333</v>
      </c>
      <c r="I960" s="12" t="n">
        <v>1199</v>
      </c>
      <c r="J960" s="14"/>
      <c r="K960" s="14"/>
      <c r="L960" s="14"/>
      <c r="M960" s="13"/>
    </row>
    <row r="961" customFormat="false" ht="15" hidden="false" customHeight="false" outlineLevel="0" collapsed="false">
      <c r="A961" s="6" t="n">
        <v>957</v>
      </c>
      <c r="B961" s="7" t="s">
        <v>1557</v>
      </c>
      <c r="C961" s="8" t="s">
        <v>942</v>
      </c>
      <c r="D961" s="9" t="n">
        <v>0.0109230324074074</v>
      </c>
      <c r="E961" s="10" t="n">
        <v>958</v>
      </c>
      <c r="F961" s="11"/>
      <c r="G961" s="12"/>
      <c r="H961" s="11" t="n">
        <v>0.00297407407407407</v>
      </c>
      <c r="I961" s="12" t="n">
        <v>1323</v>
      </c>
      <c r="J961" s="14"/>
      <c r="K961" s="14"/>
      <c r="L961" s="14"/>
      <c r="M961" s="13"/>
    </row>
    <row r="962" customFormat="false" ht="15" hidden="false" customHeight="false" outlineLevel="0" collapsed="false">
      <c r="A962" s="6" t="n">
        <v>958</v>
      </c>
      <c r="B962" s="7" t="s">
        <v>1558</v>
      </c>
      <c r="C962" s="8" t="s">
        <v>221</v>
      </c>
      <c r="D962" s="9" t="n">
        <v>0.0109282407407407</v>
      </c>
      <c r="E962" s="10" t="n">
        <v>959</v>
      </c>
      <c r="F962" s="11"/>
      <c r="G962" s="12"/>
      <c r="H962" s="11"/>
      <c r="I962" s="12"/>
      <c r="J962" s="14"/>
      <c r="K962" s="14"/>
      <c r="L962" s="8" t="s">
        <v>1559</v>
      </c>
      <c r="M962" s="13"/>
    </row>
    <row r="963" customFormat="false" ht="15" hidden="false" customHeight="false" outlineLevel="0" collapsed="false">
      <c r="A963" s="6" t="n">
        <v>959</v>
      </c>
      <c r="B963" s="7" t="s">
        <v>1560</v>
      </c>
      <c r="C963" s="8" t="s">
        <v>1561</v>
      </c>
      <c r="D963" s="9" t="n">
        <v>0.0109263888888889</v>
      </c>
      <c r="E963" s="10" t="n">
        <v>960</v>
      </c>
      <c r="F963" s="11"/>
      <c r="G963" s="12"/>
      <c r="H963" s="11"/>
      <c r="I963" s="12"/>
      <c r="J963" s="14"/>
      <c r="K963" s="14"/>
      <c r="L963" s="14"/>
      <c r="M963" s="13"/>
    </row>
    <row r="964" customFormat="false" ht="15" hidden="false" customHeight="false" outlineLevel="0" collapsed="false">
      <c r="A964" s="6" t="n">
        <v>960</v>
      </c>
      <c r="B964" s="7" t="s">
        <v>1562</v>
      </c>
      <c r="C964" s="8" t="s">
        <v>1563</v>
      </c>
      <c r="D964" s="9" t="n">
        <v>0.0109266203703704</v>
      </c>
      <c r="E964" s="10" t="n">
        <v>961</v>
      </c>
      <c r="F964" s="11"/>
      <c r="G964" s="12"/>
      <c r="H964" s="11" t="n">
        <v>0.00290069444444444</v>
      </c>
      <c r="I964" s="12" t="n">
        <v>953</v>
      </c>
      <c r="J964" s="14"/>
      <c r="K964" s="14"/>
      <c r="L964" s="14"/>
      <c r="M964" s="13"/>
    </row>
    <row r="965" customFormat="false" ht="15" hidden="false" customHeight="false" outlineLevel="0" collapsed="false">
      <c r="A965" s="6" t="n">
        <v>961</v>
      </c>
      <c r="B965" s="7" t="s">
        <v>1564</v>
      </c>
      <c r="C965" s="8" t="s">
        <v>64</v>
      </c>
      <c r="D965" s="9" t="n">
        <v>0.0109270833333333</v>
      </c>
      <c r="E965" s="10" t="n">
        <v>962</v>
      </c>
      <c r="F965" s="11" t="n">
        <v>0.00700451388888889</v>
      </c>
      <c r="G965" s="12" t="n">
        <v>340</v>
      </c>
      <c r="H965" s="11"/>
      <c r="I965" s="12"/>
      <c r="J965" s="14"/>
      <c r="K965" s="14"/>
      <c r="L965" s="14"/>
      <c r="M965" s="13"/>
    </row>
    <row r="966" customFormat="false" ht="15" hidden="false" customHeight="false" outlineLevel="0" collapsed="false">
      <c r="A966" s="6" t="n">
        <v>962</v>
      </c>
      <c r="B966" s="7" t="s">
        <v>1565</v>
      </c>
      <c r="C966" s="8" t="s">
        <v>311</v>
      </c>
      <c r="D966" s="9" t="n">
        <v>0.0109284722222222</v>
      </c>
      <c r="E966" s="10" t="n">
        <v>963</v>
      </c>
      <c r="F966" s="11"/>
      <c r="G966" s="12"/>
      <c r="H966" s="11"/>
      <c r="I966" s="12"/>
      <c r="J966" s="14"/>
      <c r="K966" s="14"/>
      <c r="L966" s="14"/>
      <c r="M966" s="13"/>
    </row>
    <row r="967" customFormat="false" ht="15" hidden="false" customHeight="false" outlineLevel="0" collapsed="false">
      <c r="A967" s="6" t="n">
        <v>963</v>
      </c>
      <c r="B967" s="7" t="s">
        <v>1566</v>
      </c>
      <c r="C967" s="8" t="s">
        <v>1567</v>
      </c>
      <c r="D967" s="9" t="n">
        <v>0.0109287037037037</v>
      </c>
      <c r="E967" s="10" t="n">
        <v>964</v>
      </c>
      <c r="F967" s="11"/>
      <c r="G967" s="12"/>
      <c r="H967" s="11" t="n">
        <v>0.00289722222222222</v>
      </c>
      <c r="I967" s="12" t="n">
        <v>926</v>
      </c>
      <c r="J967" s="14"/>
      <c r="K967" s="14"/>
      <c r="L967" s="14"/>
      <c r="M967" s="13"/>
    </row>
    <row r="968" customFormat="false" ht="15" hidden="false" customHeight="false" outlineLevel="0" collapsed="false">
      <c r="A968" s="6" t="n">
        <v>964</v>
      </c>
      <c r="B968" s="7" t="s">
        <v>1568</v>
      </c>
      <c r="C968" s="8" t="s">
        <v>1569</v>
      </c>
      <c r="D968" s="9" t="n">
        <v>0.0109290509259259</v>
      </c>
      <c r="E968" s="10" t="n">
        <v>965</v>
      </c>
      <c r="F968" s="11"/>
      <c r="G968" s="12"/>
      <c r="H968" s="11" t="n">
        <v>0.002915625</v>
      </c>
      <c r="I968" s="12" t="n">
        <v>1057</v>
      </c>
      <c r="J968" s="14"/>
      <c r="K968" s="14"/>
      <c r="L968" s="14"/>
      <c r="M968" s="13"/>
    </row>
    <row r="969" customFormat="false" ht="15" hidden="false" customHeight="false" outlineLevel="0" collapsed="false">
      <c r="A969" s="6" t="n">
        <v>965</v>
      </c>
      <c r="B969" s="7" t="s">
        <v>1570</v>
      </c>
      <c r="C969" s="8" t="s">
        <v>508</v>
      </c>
      <c r="D969" s="9" t="n">
        <v>0.0109295138888889</v>
      </c>
      <c r="E969" s="10" t="n">
        <v>966</v>
      </c>
      <c r="F969" s="11" t="n">
        <v>0.00689884259259259</v>
      </c>
      <c r="G969" s="12" t="n">
        <v>239</v>
      </c>
      <c r="H969" s="11" t="n">
        <v>0.00297673611111111</v>
      </c>
      <c r="I969" s="12" t="n">
        <v>1337</v>
      </c>
      <c r="J969" s="14"/>
      <c r="K969" s="14"/>
      <c r="L969" s="14"/>
      <c r="M969" s="13"/>
    </row>
    <row r="970" customFormat="false" ht="15" hidden="false" customHeight="false" outlineLevel="0" collapsed="false">
      <c r="A970" s="6" t="n">
        <v>966</v>
      </c>
      <c r="B970" s="7" t="s">
        <v>1571</v>
      </c>
      <c r="C970" s="8" t="s">
        <v>1572</v>
      </c>
      <c r="D970" s="9" t="n">
        <v>0.0109299768518519</v>
      </c>
      <c r="E970" s="10" t="n">
        <v>967</v>
      </c>
      <c r="F970" s="11"/>
      <c r="G970" s="12"/>
      <c r="H970" s="11" t="n">
        <v>0.002846875</v>
      </c>
      <c r="I970" s="12" t="n">
        <v>551</v>
      </c>
      <c r="J970" s="14"/>
      <c r="K970" s="14"/>
      <c r="L970" s="14"/>
      <c r="M970" s="13"/>
    </row>
    <row r="971" customFormat="false" ht="15" hidden="false" customHeight="false" outlineLevel="0" collapsed="false">
      <c r="A971" s="6" t="n">
        <v>967</v>
      </c>
      <c r="B971" s="7" t="s">
        <v>1573</v>
      </c>
      <c r="C971" s="8" t="s">
        <v>368</v>
      </c>
      <c r="D971" s="9" t="n">
        <v>0.0109311342592593</v>
      </c>
      <c r="E971" s="10" t="n">
        <v>968</v>
      </c>
      <c r="F971" s="11"/>
      <c r="G971" s="12"/>
      <c r="H971" s="11"/>
      <c r="I971" s="12"/>
      <c r="J971" s="14"/>
      <c r="K971" s="14"/>
      <c r="L971" s="14"/>
      <c r="M971" s="13"/>
    </row>
    <row r="972" customFormat="false" ht="15" hidden="false" customHeight="false" outlineLevel="0" collapsed="false">
      <c r="A972" s="6" t="n">
        <v>968</v>
      </c>
      <c r="B972" s="7" t="s">
        <v>1574</v>
      </c>
      <c r="C972" s="8" t="s">
        <v>750</v>
      </c>
      <c r="D972" s="9" t="n">
        <v>0.0109320601851852</v>
      </c>
      <c r="E972" s="10" t="n">
        <v>969</v>
      </c>
      <c r="F972" s="11" t="n">
        <v>0.00716076388888889</v>
      </c>
      <c r="G972" s="12" t="n">
        <v>497</v>
      </c>
      <c r="H972" s="11"/>
      <c r="I972" s="12"/>
      <c r="J972" s="14"/>
      <c r="K972" s="14"/>
      <c r="L972" s="14"/>
      <c r="M972" s="13"/>
    </row>
    <row r="973" customFormat="false" ht="15" hidden="false" customHeight="false" outlineLevel="0" collapsed="false">
      <c r="A973" s="6" t="n">
        <v>969</v>
      </c>
      <c r="B973" s="7" t="s">
        <v>1575</v>
      </c>
      <c r="C973" s="8" t="s">
        <v>1576</v>
      </c>
      <c r="D973" s="9" t="n">
        <v>0.0109322916666667</v>
      </c>
      <c r="E973" s="10" t="n">
        <v>970</v>
      </c>
      <c r="F973" s="11"/>
      <c r="G973" s="12"/>
      <c r="H973" s="11" t="n">
        <v>0.00292060185185185</v>
      </c>
      <c r="I973" s="12" t="n">
        <v>1106</v>
      </c>
      <c r="J973" s="14"/>
      <c r="K973" s="14"/>
      <c r="L973" s="14"/>
      <c r="M973" s="13"/>
    </row>
    <row r="974" customFormat="false" ht="15" hidden="false" customHeight="false" outlineLevel="0" collapsed="false">
      <c r="A974" s="6" t="n">
        <v>970</v>
      </c>
      <c r="B974" s="7" t="s">
        <v>1577</v>
      </c>
      <c r="C974" s="8" t="s">
        <v>152</v>
      </c>
      <c r="D974" s="9" t="n">
        <v>0.0109322916666667</v>
      </c>
      <c r="E974" s="10" t="n">
        <v>971</v>
      </c>
      <c r="F974" s="11" t="n">
        <v>0.00676782407407408</v>
      </c>
      <c r="G974" s="12" t="n">
        <v>146</v>
      </c>
      <c r="H974" s="11" t="n">
        <v>0.0028806712962963</v>
      </c>
      <c r="I974" s="12" t="n">
        <v>775</v>
      </c>
      <c r="J974" s="14"/>
      <c r="K974" s="14"/>
      <c r="L974" s="14"/>
      <c r="M974" s="13"/>
    </row>
    <row r="975" customFormat="false" ht="15" hidden="false" customHeight="false" outlineLevel="0" collapsed="false">
      <c r="A975" s="6" t="n">
        <v>971</v>
      </c>
      <c r="B975" s="7" t="s">
        <v>1578</v>
      </c>
      <c r="C975" s="8" t="s">
        <v>1579</v>
      </c>
      <c r="D975" s="9" t="n">
        <v>0.0109325231481482</v>
      </c>
      <c r="E975" s="10" t="n">
        <v>972</v>
      </c>
      <c r="F975" s="11"/>
      <c r="G975" s="12"/>
      <c r="H975" s="11" t="n">
        <v>0.00291712962962963</v>
      </c>
      <c r="I975" s="12" t="n">
        <v>1068</v>
      </c>
      <c r="J975" s="14"/>
      <c r="K975" s="14"/>
      <c r="L975" s="14"/>
      <c r="M975" s="13"/>
    </row>
    <row r="976" customFormat="false" ht="15" hidden="false" customHeight="false" outlineLevel="0" collapsed="false">
      <c r="A976" s="6" t="n">
        <v>972</v>
      </c>
      <c r="B976" s="7" t="s">
        <v>1580</v>
      </c>
      <c r="C976" s="8" t="s">
        <v>515</v>
      </c>
      <c r="D976" s="9" t="n">
        <v>0.0109334490740741</v>
      </c>
      <c r="E976" s="10" t="n">
        <v>973</v>
      </c>
      <c r="F976" s="11"/>
      <c r="G976" s="12"/>
      <c r="H976" s="11" t="n">
        <v>0.00297222222222222</v>
      </c>
      <c r="I976" s="12" t="n">
        <v>1319</v>
      </c>
      <c r="J976" s="14"/>
      <c r="K976" s="14"/>
      <c r="L976" s="14"/>
      <c r="M976" s="13"/>
    </row>
    <row r="977" customFormat="false" ht="15" hidden="false" customHeight="false" outlineLevel="0" collapsed="false">
      <c r="A977" s="6" t="n">
        <v>973</v>
      </c>
      <c r="B977" s="7" t="s">
        <v>1581</v>
      </c>
      <c r="C977" s="8" t="s">
        <v>1258</v>
      </c>
      <c r="D977" s="9" t="n">
        <v>0.0109337962962963</v>
      </c>
      <c r="E977" s="10" t="n">
        <v>974</v>
      </c>
      <c r="F977" s="11"/>
      <c r="G977" s="12"/>
      <c r="H977" s="11" t="n">
        <v>0.00295972222222222</v>
      </c>
      <c r="I977" s="12" t="n">
        <v>1270</v>
      </c>
      <c r="J977" s="14"/>
      <c r="K977" s="14"/>
      <c r="L977" s="14"/>
      <c r="M977" s="13"/>
    </row>
    <row r="978" customFormat="false" ht="15" hidden="false" customHeight="false" outlineLevel="0" collapsed="false">
      <c r="A978" s="6" t="n">
        <v>974</v>
      </c>
      <c r="B978" s="7" t="s">
        <v>1582</v>
      </c>
      <c r="C978" s="8" t="s">
        <v>1583</v>
      </c>
      <c r="D978" s="9" t="n">
        <v>0.0109340277777778</v>
      </c>
      <c r="E978" s="10" t="n">
        <v>975</v>
      </c>
      <c r="F978" s="11"/>
      <c r="G978" s="12"/>
      <c r="H978" s="11"/>
      <c r="I978" s="12"/>
      <c r="J978" s="14"/>
      <c r="K978" s="14" t="s">
        <v>1584</v>
      </c>
      <c r="L978" s="14"/>
      <c r="M978" s="13"/>
    </row>
    <row r="979" customFormat="false" ht="15" hidden="false" customHeight="false" outlineLevel="0" collapsed="false">
      <c r="A979" s="6" t="n">
        <v>975</v>
      </c>
      <c r="B979" s="7" t="s">
        <v>1585</v>
      </c>
      <c r="C979" s="8" t="s">
        <v>96</v>
      </c>
      <c r="D979" s="9" t="n">
        <v>0.0109353009259259</v>
      </c>
      <c r="E979" s="10" t="n">
        <v>976</v>
      </c>
      <c r="F979" s="11" t="n">
        <v>0.00680972222222222</v>
      </c>
      <c r="G979" s="12" t="n">
        <v>180</v>
      </c>
      <c r="H979" s="11" t="n">
        <v>0.00288136574074074</v>
      </c>
      <c r="I979" s="12" t="n">
        <v>781</v>
      </c>
      <c r="J979" s="14" t="s">
        <v>1586</v>
      </c>
      <c r="K979" s="14"/>
      <c r="L979" s="14"/>
      <c r="M979" s="13"/>
    </row>
    <row r="980" customFormat="false" ht="15" hidden="false" customHeight="false" outlineLevel="0" collapsed="false">
      <c r="A980" s="6" t="n">
        <v>976</v>
      </c>
      <c r="B980" s="7" t="s">
        <v>1587</v>
      </c>
      <c r="C980" s="8" t="s">
        <v>1588</v>
      </c>
      <c r="D980" s="9" t="n">
        <v>0.0109361111111111</v>
      </c>
      <c r="E980" s="10" t="n">
        <v>977</v>
      </c>
      <c r="F980" s="11"/>
      <c r="G980" s="12"/>
      <c r="H980" s="11"/>
      <c r="I980" s="12"/>
      <c r="J980" s="14"/>
      <c r="K980" s="14"/>
      <c r="L980" s="14"/>
      <c r="M980" s="13"/>
    </row>
    <row r="981" customFormat="false" ht="15" hidden="false" customHeight="false" outlineLevel="0" collapsed="false">
      <c r="A981" s="6" t="n">
        <v>977</v>
      </c>
      <c r="B981" s="7" t="s">
        <v>1589</v>
      </c>
      <c r="C981" s="8" t="s">
        <v>70</v>
      </c>
      <c r="D981" s="9" t="n">
        <v>0.0109368055555556</v>
      </c>
      <c r="E981" s="10" t="n">
        <v>978</v>
      </c>
      <c r="F981" s="11"/>
      <c r="G981" s="12"/>
      <c r="H981" s="11" t="n">
        <v>0.00283229166666667</v>
      </c>
      <c r="I981" s="12" t="n">
        <v>441</v>
      </c>
      <c r="J981" s="14"/>
      <c r="K981" s="14" t="s">
        <v>1590</v>
      </c>
      <c r="L981" s="14"/>
      <c r="M981" s="13"/>
    </row>
    <row r="982" customFormat="false" ht="15" hidden="false" customHeight="false" outlineLevel="0" collapsed="false">
      <c r="A982" s="6" t="n">
        <v>978</v>
      </c>
      <c r="B982" s="7" t="s">
        <v>1591</v>
      </c>
      <c r="C982" s="8" t="s">
        <v>1592</v>
      </c>
      <c r="D982" s="9" t="n">
        <v>0.0109369212962963</v>
      </c>
      <c r="E982" s="10" t="n">
        <v>979</v>
      </c>
      <c r="F982" s="11"/>
      <c r="G982" s="12"/>
      <c r="H982" s="11" t="n">
        <v>0.00288472222222222</v>
      </c>
      <c r="I982" s="12" t="n">
        <v>813</v>
      </c>
      <c r="J982" s="14"/>
      <c r="K982" s="14"/>
      <c r="L982" s="14"/>
      <c r="M982" s="13"/>
    </row>
    <row r="983" customFormat="false" ht="15" hidden="false" customHeight="false" outlineLevel="0" collapsed="false">
      <c r="A983" s="6" t="n">
        <v>979</v>
      </c>
      <c r="B983" s="7" t="s">
        <v>1593</v>
      </c>
      <c r="C983" s="8" t="s">
        <v>249</v>
      </c>
      <c r="D983" s="9" t="n">
        <v>0.0109390046296296</v>
      </c>
      <c r="E983" s="10" t="n">
        <v>980</v>
      </c>
      <c r="F983" s="11" t="n">
        <v>0.0067556712962963</v>
      </c>
      <c r="G983" s="12" t="n">
        <v>133</v>
      </c>
      <c r="H983" s="11" t="n">
        <v>0.00283229166666667</v>
      </c>
      <c r="I983" s="12" t="n">
        <v>442</v>
      </c>
      <c r="J983" s="14"/>
      <c r="K983" s="14"/>
      <c r="L983" s="14"/>
      <c r="M983" s="13"/>
    </row>
    <row r="984" customFormat="false" ht="15" hidden="false" customHeight="false" outlineLevel="0" collapsed="false">
      <c r="A984" s="6" t="n">
        <v>980</v>
      </c>
      <c r="B984" s="7" t="s">
        <v>1594</v>
      </c>
      <c r="C984" s="8" t="s">
        <v>1595</v>
      </c>
      <c r="D984" s="9" t="n">
        <v>0.0109394675925926</v>
      </c>
      <c r="E984" s="10" t="n">
        <v>981</v>
      </c>
      <c r="F984" s="11" t="n">
        <v>0.00730428240740741</v>
      </c>
      <c r="G984" s="12" t="n">
        <v>652</v>
      </c>
      <c r="H984" s="11" t="n">
        <v>0.00287407407407407</v>
      </c>
      <c r="I984" s="12" t="n">
        <v>727</v>
      </c>
      <c r="J984" s="14"/>
      <c r="K984" s="14"/>
      <c r="L984" s="14"/>
      <c r="M984" s="13"/>
    </row>
    <row r="985" customFormat="false" ht="15" hidden="false" customHeight="false" outlineLevel="0" collapsed="false">
      <c r="A985" s="6" t="n">
        <v>981</v>
      </c>
      <c r="B985" s="7" t="s">
        <v>1596</v>
      </c>
      <c r="C985" s="8" t="s">
        <v>1597</v>
      </c>
      <c r="D985" s="9" t="n">
        <v>0.0109412037037037</v>
      </c>
      <c r="E985" s="10" t="n">
        <v>982</v>
      </c>
      <c r="F985" s="11"/>
      <c r="G985" s="12"/>
      <c r="H985" s="11" t="n">
        <v>0.00282465277777778</v>
      </c>
      <c r="I985" s="12" t="n">
        <v>390</v>
      </c>
      <c r="J985" s="14"/>
      <c r="K985" s="14"/>
      <c r="L985" s="14"/>
      <c r="M985" s="13"/>
    </row>
    <row r="986" customFormat="false" ht="15" hidden="false" customHeight="false" outlineLevel="0" collapsed="false">
      <c r="A986" s="6" t="n">
        <v>982</v>
      </c>
      <c r="B986" s="7" t="s">
        <v>1598</v>
      </c>
      <c r="C986" s="8" t="s">
        <v>525</v>
      </c>
      <c r="D986" s="9" t="n">
        <v>0.0109417824074074</v>
      </c>
      <c r="E986" s="10" t="n">
        <v>983</v>
      </c>
      <c r="F986" s="11"/>
      <c r="G986" s="12"/>
      <c r="H986" s="11"/>
      <c r="I986" s="12"/>
      <c r="J986" s="14"/>
      <c r="K986" s="14"/>
      <c r="L986" s="14"/>
      <c r="M986" s="13"/>
    </row>
    <row r="987" customFormat="false" ht="15" hidden="false" customHeight="false" outlineLevel="0" collapsed="false">
      <c r="A987" s="6" t="n">
        <v>983</v>
      </c>
      <c r="B987" s="7" t="s">
        <v>1599</v>
      </c>
      <c r="C987" s="8" t="s">
        <v>197</v>
      </c>
      <c r="D987" s="9" t="n">
        <v>0.0109420138888889</v>
      </c>
      <c r="E987" s="10" t="n">
        <v>984</v>
      </c>
      <c r="F987" s="11" t="n">
        <v>0.00735509259259259</v>
      </c>
      <c r="G987" s="12" t="n">
        <v>715</v>
      </c>
      <c r="H987" s="11"/>
      <c r="I987" s="12"/>
      <c r="J987" s="14"/>
      <c r="K987" s="14"/>
      <c r="L987" s="14"/>
      <c r="M987" s="13"/>
    </row>
    <row r="988" customFormat="false" ht="15" hidden="false" customHeight="false" outlineLevel="0" collapsed="false">
      <c r="A988" s="6" t="n">
        <v>984</v>
      </c>
      <c r="B988" s="7" t="s">
        <v>1600</v>
      </c>
      <c r="C988" s="8" t="s">
        <v>450</v>
      </c>
      <c r="D988" s="9" t="n">
        <v>0.0109422453703704</v>
      </c>
      <c r="E988" s="10" t="n">
        <v>985</v>
      </c>
      <c r="F988" s="11"/>
      <c r="G988" s="12"/>
      <c r="H988" s="11"/>
      <c r="I988" s="12"/>
      <c r="J988" s="14"/>
      <c r="K988" s="14"/>
      <c r="L988" s="14"/>
      <c r="M988" s="13"/>
    </row>
    <row r="989" customFormat="false" ht="15" hidden="false" customHeight="false" outlineLevel="0" collapsed="false">
      <c r="A989" s="6" t="n">
        <v>985</v>
      </c>
      <c r="B989" s="7" t="s">
        <v>1601</v>
      </c>
      <c r="C989" s="8" t="s">
        <v>399</v>
      </c>
      <c r="D989" s="9" t="n">
        <v>0.0109422453703704</v>
      </c>
      <c r="E989" s="10" t="n">
        <v>986</v>
      </c>
      <c r="F989" s="11"/>
      <c r="G989" s="12"/>
      <c r="H989" s="11"/>
      <c r="I989" s="12"/>
      <c r="J989" s="14"/>
      <c r="K989" s="14"/>
      <c r="L989" s="14"/>
      <c r="M989" s="13"/>
    </row>
    <row r="990" customFormat="false" ht="15" hidden="false" customHeight="false" outlineLevel="0" collapsed="false">
      <c r="A990" s="6" t="n">
        <v>986</v>
      </c>
      <c r="B990" s="7" t="s">
        <v>1602</v>
      </c>
      <c r="C990" s="8" t="s">
        <v>721</v>
      </c>
      <c r="D990" s="9" t="n">
        <v>0.0109427083333333</v>
      </c>
      <c r="E990" s="10" t="n">
        <v>987</v>
      </c>
      <c r="F990" s="11"/>
      <c r="G990" s="12"/>
      <c r="H990" s="11" t="n">
        <v>0.00295613425925926</v>
      </c>
      <c r="I990" s="12" t="n">
        <v>1258</v>
      </c>
      <c r="J990" s="14"/>
      <c r="K990" s="14"/>
      <c r="L990" s="14"/>
      <c r="M990" s="13"/>
    </row>
    <row r="991" customFormat="false" ht="15" hidden="false" customHeight="false" outlineLevel="0" collapsed="false">
      <c r="A991" s="6" t="n">
        <v>987</v>
      </c>
      <c r="B991" s="7" t="s">
        <v>1603</v>
      </c>
      <c r="C991" s="8" t="s">
        <v>1339</v>
      </c>
      <c r="D991" s="9" t="n">
        <v>0.0109428240740741</v>
      </c>
      <c r="E991" s="10" t="n">
        <v>988</v>
      </c>
      <c r="F991" s="11" t="n">
        <v>0.00677060185185185</v>
      </c>
      <c r="G991" s="12" t="n">
        <v>148</v>
      </c>
      <c r="H991" s="11"/>
      <c r="I991" s="12"/>
      <c r="J991" s="14"/>
      <c r="K991" s="14"/>
      <c r="L991" s="14"/>
      <c r="M991" s="13"/>
    </row>
    <row r="992" customFormat="false" ht="15" hidden="false" customHeight="false" outlineLevel="0" collapsed="false">
      <c r="A992" s="6" t="n">
        <v>988</v>
      </c>
      <c r="B992" s="7" t="s">
        <v>1604</v>
      </c>
      <c r="C992" s="8" t="s">
        <v>1147</v>
      </c>
      <c r="D992" s="9" t="n">
        <v>0.0109439814814815</v>
      </c>
      <c r="E992" s="10" t="n">
        <v>989</v>
      </c>
      <c r="F992" s="11"/>
      <c r="G992" s="12"/>
      <c r="H992" s="11" t="n">
        <v>0.00294479166666667</v>
      </c>
      <c r="I992" s="12" t="n">
        <v>1216</v>
      </c>
      <c r="J992" s="14"/>
      <c r="K992" s="14"/>
      <c r="L992" s="14"/>
      <c r="M992" s="13"/>
    </row>
    <row r="993" customFormat="false" ht="15" hidden="false" customHeight="false" outlineLevel="0" collapsed="false">
      <c r="A993" s="6" t="n">
        <v>989</v>
      </c>
      <c r="B993" s="7" t="s">
        <v>1605</v>
      </c>
      <c r="C993" s="8" t="s">
        <v>70</v>
      </c>
      <c r="D993" s="9" t="n">
        <v>0.0109440972222222</v>
      </c>
      <c r="E993" s="10" t="n">
        <v>990</v>
      </c>
      <c r="F993" s="11"/>
      <c r="G993" s="12"/>
      <c r="H993" s="11"/>
      <c r="I993" s="12"/>
      <c r="J993" s="14"/>
      <c r="K993" s="14"/>
      <c r="L993" s="14"/>
      <c r="M993" s="13"/>
    </row>
    <row r="994" customFormat="false" ht="15" hidden="false" customHeight="false" outlineLevel="0" collapsed="false">
      <c r="A994" s="6" t="n">
        <v>990</v>
      </c>
      <c r="B994" s="7" t="s">
        <v>1606</v>
      </c>
      <c r="C994" s="8" t="s">
        <v>900</v>
      </c>
      <c r="D994" s="9" t="n">
        <v>0.0109445601851852</v>
      </c>
      <c r="E994" s="10" t="n">
        <v>991</v>
      </c>
      <c r="F994" s="11"/>
      <c r="G994" s="12"/>
      <c r="H994" s="11"/>
      <c r="I994" s="12"/>
      <c r="J994" s="14" t="s">
        <v>1607</v>
      </c>
      <c r="K994" s="14"/>
      <c r="L994" s="14"/>
      <c r="M994" s="13"/>
    </row>
    <row r="995" customFormat="false" ht="15" hidden="false" customHeight="false" outlineLevel="0" collapsed="false">
      <c r="A995" s="6" t="n">
        <v>991</v>
      </c>
      <c r="B995" s="7" t="s">
        <v>1608</v>
      </c>
      <c r="C995" s="8" t="s">
        <v>221</v>
      </c>
      <c r="D995" s="9" t="n">
        <v>0.0109471064814815</v>
      </c>
      <c r="E995" s="10" t="n">
        <v>992</v>
      </c>
      <c r="F995" s="11"/>
      <c r="G995" s="12"/>
      <c r="H995" s="11"/>
      <c r="I995" s="12"/>
      <c r="J995" s="14"/>
      <c r="K995" s="14"/>
      <c r="L995" s="14"/>
      <c r="M995" s="13"/>
    </row>
    <row r="996" customFormat="false" ht="15" hidden="false" customHeight="false" outlineLevel="0" collapsed="false">
      <c r="A996" s="6" t="n">
        <v>992</v>
      </c>
      <c r="B996" s="7" t="s">
        <v>1609</v>
      </c>
      <c r="C996" s="8" t="s">
        <v>641</v>
      </c>
      <c r="D996" s="9" t="n">
        <v>0.0109480324074074</v>
      </c>
      <c r="E996" s="10" t="n">
        <v>993</v>
      </c>
      <c r="F996" s="11" t="n">
        <v>0.00679340277777778</v>
      </c>
      <c r="G996" s="12" t="n">
        <v>165</v>
      </c>
      <c r="H996" s="11" t="n">
        <v>0.00291875</v>
      </c>
      <c r="I996" s="12" t="n">
        <v>1081</v>
      </c>
      <c r="J996" s="14"/>
      <c r="K996" s="14"/>
      <c r="L996" s="8" t="s">
        <v>1610</v>
      </c>
      <c r="M996" s="13"/>
    </row>
    <row r="997" customFormat="false" ht="15" hidden="false" customHeight="false" outlineLevel="0" collapsed="false">
      <c r="A997" s="6" t="n">
        <v>993</v>
      </c>
      <c r="B997" s="7" t="s">
        <v>1611</v>
      </c>
      <c r="C997" s="8" t="s">
        <v>96</v>
      </c>
      <c r="D997" s="9" t="n">
        <v>0.0109481481481482</v>
      </c>
      <c r="E997" s="10" t="n">
        <v>994</v>
      </c>
      <c r="F997" s="11" t="n">
        <v>0.00710578703703704</v>
      </c>
      <c r="G997" s="12" t="n">
        <v>454</v>
      </c>
      <c r="H997" s="11"/>
      <c r="I997" s="12"/>
      <c r="J997" s="14"/>
      <c r="K997" s="14"/>
      <c r="L997" s="14"/>
      <c r="M997" s="13"/>
    </row>
    <row r="998" customFormat="false" ht="15" hidden="false" customHeight="false" outlineLevel="0" collapsed="false">
      <c r="A998" s="6" t="n">
        <v>994</v>
      </c>
      <c r="B998" s="7" t="s">
        <v>1612</v>
      </c>
      <c r="C998" s="8" t="s">
        <v>942</v>
      </c>
      <c r="D998" s="9" t="n">
        <v>0.0109489583333333</v>
      </c>
      <c r="E998" s="10" t="n">
        <v>995</v>
      </c>
      <c r="F998" s="11" t="n">
        <v>0.00695023148148148</v>
      </c>
      <c r="G998" s="12" t="n">
        <v>285</v>
      </c>
      <c r="H998" s="11"/>
      <c r="I998" s="12"/>
      <c r="J998" s="14"/>
      <c r="K998" s="14"/>
      <c r="L998" s="14"/>
      <c r="M998" s="13"/>
    </row>
    <row r="999" customFormat="false" ht="15" hidden="false" customHeight="false" outlineLevel="0" collapsed="false">
      <c r="A999" s="6" t="n">
        <v>995</v>
      </c>
      <c r="B999" s="7" t="s">
        <v>1613</v>
      </c>
      <c r="C999" s="8" t="s">
        <v>1364</v>
      </c>
      <c r="D999" s="9" t="n">
        <v>0.0109490740740741</v>
      </c>
      <c r="E999" s="10" t="n">
        <v>996</v>
      </c>
      <c r="F999" s="11" t="n">
        <v>0.00645844907407407</v>
      </c>
      <c r="G999" s="12" t="n">
        <v>24</v>
      </c>
      <c r="H999" s="11" t="n">
        <v>0.00285740740740741</v>
      </c>
      <c r="I999" s="12" t="n">
        <v>618</v>
      </c>
      <c r="J999" s="14"/>
      <c r="K999" s="14"/>
      <c r="L999" s="14"/>
      <c r="M999" s="13"/>
    </row>
    <row r="1000" customFormat="false" ht="15" hidden="false" customHeight="false" outlineLevel="0" collapsed="false">
      <c r="A1000" s="6" t="n">
        <v>996</v>
      </c>
      <c r="B1000" s="7" t="s">
        <v>1614</v>
      </c>
      <c r="C1000" s="8" t="s">
        <v>145</v>
      </c>
      <c r="D1000" s="9" t="n">
        <v>0.0109490740740741</v>
      </c>
      <c r="E1000" s="10" t="n">
        <v>997</v>
      </c>
      <c r="F1000" s="11"/>
      <c r="G1000" s="12"/>
      <c r="H1000" s="11"/>
      <c r="I1000" s="12"/>
      <c r="J1000" s="14"/>
      <c r="K1000" s="14"/>
      <c r="L1000" s="14"/>
      <c r="M1000" s="13"/>
    </row>
    <row r="1001" customFormat="false" ht="15" hidden="false" customHeight="false" outlineLevel="0" collapsed="false">
      <c r="A1001" s="6" t="n">
        <v>997</v>
      </c>
      <c r="B1001" s="7" t="s">
        <v>1615</v>
      </c>
      <c r="C1001" s="8" t="s">
        <v>122</v>
      </c>
      <c r="D1001" s="9" t="n">
        <v>0.0109494212962963</v>
      </c>
      <c r="E1001" s="10" t="n">
        <v>998</v>
      </c>
      <c r="F1001" s="11"/>
      <c r="G1001" s="12"/>
      <c r="H1001" s="11"/>
      <c r="I1001" s="12"/>
      <c r="J1001" s="14"/>
      <c r="K1001" s="14" t="s">
        <v>1616</v>
      </c>
      <c r="L1001" s="14"/>
      <c r="M1001" s="13"/>
    </row>
    <row r="1002" customFormat="false" ht="15" hidden="false" customHeight="false" outlineLevel="0" collapsed="false">
      <c r="A1002" s="6" t="n">
        <v>998</v>
      </c>
      <c r="B1002" s="7" t="s">
        <v>1617</v>
      </c>
      <c r="C1002" s="8" t="s">
        <v>1618</v>
      </c>
      <c r="D1002" s="9" t="n">
        <v>0.0109497685185185</v>
      </c>
      <c r="E1002" s="10" t="n">
        <v>999</v>
      </c>
      <c r="F1002" s="11"/>
      <c r="G1002" s="12"/>
      <c r="H1002" s="11" t="n">
        <v>0.00288784722222222</v>
      </c>
      <c r="I1002" s="12" t="n">
        <v>844</v>
      </c>
      <c r="J1002" s="14"/>
      <c r="K1002" s="14"/>
      <c r="L1002" s="14"/>
      <c r="M1002" s="13"/>
    </row>
    <row r="1003" customFormat="false" ht="15" hidden="false" customHeight="false" outlineLevel="0" collapsed="false">
      <c r="A1003" s="6" t="n">
        <v>999</v>
      </c>
      <c r="B1003" s="7" t="s">
        <v>1619</v>
      </c>
      <c r="C1003" s="8" t="s">
        <v>54</v>
      </c>
      <c r="D1003" s="9" t="n">
        <v>0.0109497685185185</v>
      </c>
      <c r="E1003" s="10" t="n">
        <v>1000</v>
      </c>
      <c r="F1003" s="11"/>
      <c r="G1003" s="12"/>
      <c r="H1003" s="11"/>
      <c r="I1003" s="12"/>
      <c r="J1003" s="14"/>
      <c r="K1003" s="14"/>
      <c r="L1003" s="14"/>
      <c r="M1003" s="13"/>
    </row>
    <row r="1004" customFormat="false" ht="15" hidden="false" customHeight="false" outlineLevel="0" collapsed="false">
      <c r="A1004" s="6" t="n">
        <v>1000</v>
      </c>
      <c r="B1004" s="7" t="s">
        <v>1620</v>
      </c>
      <c r="C1004" s="8" t="s">
        <v>1621</v>
      </c>
      <c r="D1004" s="9" t="n">
        <v>0.010950462962963</v>
      </c>
      <c r="E1004" s="10" t="n">
        <v>1001</v>
      </c>
      <c r="F1004" s="11"/>
      <c r="G1004" s="12"/>
      <c r="H1004" s="11"/>
      <c r="I1004" s="12"/>
      <c r="J1004" s="14"/>
      <c r="K1004" s="14"/>
      <c r="L1004" s="14"/>
      <c r="M1004" s="13"/>
    </row>
    <row r="1005" customFormat="false" ht="15" hidden="false" customHeight="false" outlineLevel="0" collapsed="false">
      <c r="A1005" s="6" t="n">
        <v>1001</v>
      </c>
      <c r="B1005" s="7" t="s">
        <v>1622</v>
      </c>
      <c r="C1005" s="8" t="s">
        <v>1623</v>
      </c>
      <c r="D1005" s="9" t="n">
        <v>0.0109510416666667</v>
      </c>
      <c r="E1005" s="10" t="n">
        <v>1002</v>
      </c>
      <c r="F1005" s="11"/>
      <c r="G1005" s="12"/>
      <c r="H1005" s="11"/>
      <c r="I1005" s="12"/>
      <c r="J1005" s="14"/>
      <c r="K1005" s="14"/>
      <c r="L1005" s="14"/>
      <c r="M1005" s="13"/>
    </row>
    <row r="1006" customFormat="false" ht="15" hidden="false" customHeight="false" outlineLevel="0" collapsed="false">
      <c r="A1006" s="6" t="n">
        <v>1002</v>
      </c>
      <c r="B1006" s="7" t="s">
        <v>1624</v>
      </c>
      <c r="C1006" s="8" t="s">
        <v>437</v>
      </c>
      <c r="D1006" s="9" t="n">
        <v>0.0109517361111111</v>
      </c>
      <c r="E1006" s="10" t="n">
        <v>1003</v>
      </c>
      <c r="F1006" s="11" t="n">
        <v>0.00680671296296296</v>
      </c>
      <c r="G1006" s="12" t="n">
        <v>177</v>
      </c>
      <c r="H1006" s="11"/>
      <c r="I1006" s="12"/>
      <c r="J1006" s="14" t="s">
        <v>521</v>
      </c>
      <c r="K1006" s="14"/>
      <c r="L1006" s="14"/>
      <c r="M1006" s="13"/>
    </row>
    <row r="1007" customFormat="false" ht="15" hidden="false" customHeight="false" outlineLevel="0" collapsed="false">
      <c r="A1007" s="6" t="n">
        <v>1003</v>
      </c>
      <c r="B1007" s="7" t="s">
        <v>1625</v>
      </c>
      <c r="C1007" s="8" t="s">
        <v>788</v>
      </c>
      <c r="D1007" s="9" t="n">
        <v>0.0109524305555556</v>
      </c>
      <c r="E1007" s="10" t="n">
        <v>1004</v>
      </c>
      <c r="F1007" s="11"/>
      <c r="G1007" s="12"/>
      <c r="H1007" s="11"/>
      <c r="I1007" s="12"/>
      <c r="J1007" s="14"/>
      <c r="K1007" s="14"/>
      <c r="L1007" s="14"/>
      <c r="M1007" s="13"/>
    </row>
    <row r="1008" customFormat="false" ht="15" hidden="false" customHeight="false" outlineLevel="0" collapsed="false">
      <c r="A1008" s="6" t="n">
        <v>1004</v>
      </c>
      <c r="B1008" s="7" t="s">
        <v>1626</v>
      </c>
      <c r="C1008" s="8" t="s">
        <v>243</v>
      </c>
      <c r="D1008" s="9" t="n">
        <v>0.0109524305555556</v>
      </c>
      <c r="E1008" s="10" t="n">
        <v>1005</v>
      </c>
      <c r="F1008" s="11"/>
      <c r="G1008" s="12"/>
      <c r="H1008" s="11" t="n">
        <v>0.0029005787037037</v>
      </c>
      <c r="I1008" s="12" t="n">
        <v>951</v>
      </c>
      <c r="J1008" s="14"/>
      <c r="K1008" s="14"/>
      <c r="L1008" s="14"/>
      <c r="M1008" s="13"/>
    </row>
    <row r="1009" customFormat="false" ht="15" hidden="false" customHeight="false" outlineLevel="0" collapsed="false">
      <c r="A1009" s="6" t="n">
        <v>1005</v>
      </c>
      <c r="B1009" s="7" t="s">
        <v>1627</v>
      </c>
      <c r="C1009" s="8" t="s">
        <v>1224</v>
      </c>
      <c r="D1009" s="9" t="n">
        <v>0.0109527777777778</v>
      </c>
      <c r="E1009" s="10" t="n">
        <v>1006</v>
      </c>
      <c r="F1009" s="11"/>
      <c r="G1009" s="12"/>
      <c r="H1009" s="11" t="n">
        <v>0.00275393518518519</v>
      </c>
      <c r="I1009" s="12" t="n">
        <v>114</v>
      </c>
      <c r="J1009" s="14"/>
      <c r="K1009" s="14"/>
      <c r="L1009" s="14"/>
      <c r="M1009" s="13"/>
    </row>
    <row r="1010" customFormat="false" ht="15" hidden="false" customHeight="false" outlineLevel="0" collapsed="false">
      <c r="A1010" s="6" t="n">
        <v>1006</v>
      </c>
      <c r="B1010" s="7" t="s">
        <v>1628</v>
      </c>
      <c r="C1010" s="8" t="s">
        <v>34</v>
      </c>
      <c r="D1010" s="9" t="n">
        <v>0.0109530092592593</v>
      </c>
      <c r="E1010" s="10" t="n">
        <v>1007</v>
      </c>
      <c r="F1010" s="11" t="n">
        <v>0.00678148148148148</v>
      </c>
      <c r="G1010" s="12" t="n">
        <v>156</v>
      </c>
      <c r="H1010" s="11"/>
      <c r="I1010" s="12"/>
      <c r="J1010" s="14"/>
      <c r="K1010" s="14"/>
      <c r="L1010" s="14"/>
      <c r="M1010" s="13"/>
    </row>
    <row r="1011" customFormat="false" ht="15" hidden="false" customHeight="false" outlineLevel="0" collapsed="false">
      <c r="A1011" s="6" t="n">
        <v>1007</v>
      </c>
      <c r="B1011" s="7" t="s">
        <v>1629</v>
      </c>
      <c r="C1011" s="8" t="s">
        <v>1630</v>
      </c>
      <c r="D1011" s="9" t="n">
        <v>0.0109533564814815</v>
      </c>
      <c r="E1011" s="10" t="n">
        <v>1008</v>
      </c>
      <c r="F1011" s="11"/>
      <c r="G1011" s="12"/>
      <c r="H1011" s="11"/>
      <c r="I1011" s="12"/>
      <c r="J1011" s="14"/>
      <c r="K1011" s="14"/>
      <c r="L1011" s="14"/>
      <c r="M1011" s="13"/>
    </row>
    <row r="1012" customFormat="false" ht="15" hidden="false" customHeight="false" outlineLevel="0" collapsed="false">
      <c r="A1012" s="6" t="n">
        <v>1008</v>
      </c>
      <c r="B1012" s="7" t="s">
        <v>1631</v>
      </c>
      <c r="C1012" s="8" t="s">
        <v>1632</v>
      </c>
      <c r="D1012" s="9" t="n">
        <v>0.0109534722222222</v>
      </c>
      <c r="E1012" s="10" t="n">
        <v>1009</v>
      </c>
      <c r="F1012" s="11"/>
      <c r="G1012" s="12"/>
      <c r="H1012" s="11" t="n">
        <v>0.00290775462962963</v>
      </c>
      <c r="I1012" s="12" t="n">
        <v>998</v>
      </c>
      <c r="J1012" s="14"/>
      <c r="K1012" s="14"/>
      <c r="L1012" s="14"/>
      <c r="M1012" s="13"/>
    </row>
    <row r="1013" customFormat="false" ht="15" hidden="false" customHeight="false" outlineLevel="0" collapsed="false">
      <c r="A1013" s="6" t="n">
        <v>1009</v>
      </c>
      <c r="B1013" s="7" t="s">
        <v>1633</v>
      </c>
      <c r="C1013" s="8" t="s">
        <v>1634</v>
      </c>
      <c r="D1013" s="9" t="n">
        <v>0.0109534722222222</v>
      </c>
      <c r="E1013" s="10" t="n">
        <v>1010</v>
      </c>
      <c r="F1013" s="11" t="n">
        <v>0.00654305555555556</v>
      </c>
      <c r="G1013" s="12" t="n">
        <v>44</v>
      </c>
      <c r="H1013" s="11"/>
      <c r="I1013" s="12"/>
      <c r="J1013" s="14"/>
      <c r="K1013" s="14"/>
      <c r="L1013" s="14"/>
      <c r="M1013" s="13"/>
    </row>
    <row r="1014" customFormat="false" ht="15" hidden="false" customHeight="false" outlineLevel="0" collapsed="false">
      <c r="A1014" s="6" t="n">
        <v>1010</v>
      </c>
      <c r="B1014" s="7" t="s">
        <v>1635</v>
      </c>
      <c r="C1014" s="8" t="s">
        <v>311</v>
      </c>
      <c r="D1014" s="9" t="n">
        <v>0.0109539351851852</v>
      </c>
      <c r="E1014" s="10" t="n">
        <v>1011</v>
      </c>
      <c r="F1014" s="11"/>
      <c r="G1014" s="12"/>
      <c r="H1014" s="11"/>
      <c r="I1014" s="12"/>
      <c r="J1014" s="14"/>
      <c r="K1014" s="14"/>
      <c r="L1014" s="14"/>
      <c r="M1014" s="13"/>
    </row>
    <row r="1015" customFormat="false" ht="15" hidden="false" customHeight="false" outlineLevel="0" collapsed="false">
      <c r="A1015" s="6" t="n">
        <v>1011</v>
      </c>
      <c r="B1015" s="7" t="s">
        <v>1636</v>
      </c>
      <c r="C1015" s="8" t="s">
        <v>584</v>
      </c>
      <c r="D1015" s="9" t="n">
        <v>0.0109541666666667</v>
      </c>
      <c r="E1015" s="10" t="n">
        <v>1012</v>
      </c>
      <c r="F1015" s="11" t="n">
        <v>0.0069162037037037</v>
      </c>
      <c r="G1015" s="12" t="n">
        <v>252</v>
      </c>
      <c r="H1015" s="11" t="n">
        <v>0.00285138888888889</v>
      </c>
      <c r="I1015" s="12" t="n">
        <v>578</v>
      </c>
      <c r="J1015" s="14"/>
      <c r="K1015" s="14"/>
      <c r="L1015" s="14"/>
      <c r="M1015" s="13"/>
    </row>
    <row r="1016" customFormat="false" ht="15" hidden="false" customHeight="false" outlineLevel="0" collapsed="false">
      <c r="A1016" s="6" t="n">
        <v>1012</v>
      </c>
      <c r="B1016" s="7" t="s">
        <v>1637</v>
      </c>
      <c r="C1016" s="8" t="s">
        <v>1159</v>
      </c>
      <c r="D1016" s="9" t="n">
        <v>0.0109548611111111</v>
      </c>
      <c r="E1016" s="10" t="n">
        <v>1013</v>
      </c>
      <c r="F1016" s="11"/>
      <c r="G1016" s="12"/>
      <c r="H1016" s="11" t="n">
        <v>0.00297916666666667</v>
      </c>
      <c r="I1016" s="12" t="n">
        <v>1349</v>
      </c>
      <c r="J1016" s="14" t="s">
        <v>1638</v>
      </c>
      <c r="K1016" s="14"/>
      <c r="L1016" s="14"/>
      <c r="M1016" s="13"/>
    </row>
    <row r="1017" customFormat="false" ht="15" hidden="false" customHeight="false" outlineLevel="0" collapsed="false">
      <c r="A1017" s="6" t="n">
        <v>1013</v>
      </c>
      <c r="B1017" s="7" t="s">
        <v>1639</v>
      </c>
      <c r="C1017" s="8" t="s">
        <v>1640</v>
      </c>
      <c r="D1017" s="9" t="n">
        <v>0.0109555555555556</v>
      </c>
      <c r="E1017" s="10" t="n">
        <v>1014</v>
      </c>
      <c r="F1017" s="11"/>
      <c r="G1017" s="12"/>
      <c r="H1017" s="11"/>
      <c r="I1017" s="12"/>
      <c r="J1017" s="14"/>
      <c r="K1017" s="14"/>
      <c r="L1017" s="14"/>
      <c r="M1017" s="13"/>
    </row>
    <row r="1018" customFormat="false" ht="15" hidden="false" customHeight="false" outlineLevel="0" collapsed="false">
      <c r="A1018" s="6" t="n">
        <v>1014</v>
      </c>
      <c r="B1018" s="7" t="s">
        <v>1641</v>
      </c>
      <c r="C1018" s="8" t="s">
        <v>558</v>
      </c>
      <c r="D1018" s="9" t="n">
        <v>0.0109561342592593</v>
      </c>
      <c r="E1018" s="10" t="n">
        <v>1015</v>
      </c>
      <c r="F1018" s="11"/>
      <c r="G1018" s="12"/>
      <c r="H1018" s="11"/>
      <c r="I1018" s="12"/>
      <c r="J1018" s="14"/>
      <c r="K1018" s="14"/>
      <c r="L1018" s="14"/>
      <c r="M1018" s="13"/>
    </row>
    <row r="1019" customFormat="false" ht="15" hidden="false" customHeight="false" outlineLevel="0" collapsed="false">
      <c r="A1019" s="6" t="n">
        <v>1015</v>
      </c>
      <c r="B1019" s="7" t="s">
        <v>1642</v>
      </c>
      <c r="C1019" s="8" t="s">
        <v>1643</v>
      </c>
      <c r="D1019" s="9" t="n">
        <v>0.0109570601851852</v>
      </c>
      <c r="E1019" s="10" t="n">
        <v>1016</v>
      </c>
      <c r="F1019" s="11"/>
      <c r="G1019" s="12"/>
      <c r="H1019" s="11"/>
      <c r="I1019" s="12"/>
      <c r="J1019" s="14"/>
      <c r="K1019" s="14"/>
      <c r="L1019" s="14"/>
      <c r="M1019" s="13"/>
    </row>
    <row r="1020" customFormat="false" ht="15" hidden="false" customHeight="false" outlineLevel="0" collapsed="false">
      <c r="A1020" s="6" t="n">
        <v>1016</v>
      </c>
      <c r="B1020" s="7" t="s">
        <v>1644</v>
      </c>
      <c r="C1020" s="8" t="s">
        <v>1277</v>
      </c>
      <c r="D1020" s="9" t="n">
        <v>0.0109570601851852</v>
      </c>
      <c r="E1020" s="10" t="n">
        <v>1017</v>
      </c>
      <c r="F1020" s="11"/>
      <c r="G1020" s="12"/>
      <c r="H1020" s="11" t="n">
        <v>0.00281886574074074</v>
      </c>
      <c r="I1020" s="12" t="n">
        <v>358</v>
      </c>
      <c r="J1020" s="14"/>
      <c r="K1020" s="14"/>
      <c r="L1020" s="14"/>
      <c r="M1020" s="13"/>
    </row>
    <row r="1021" customFormat="false" ht="15" hidden="false" customHeight="false" outlineLevel="0" collapsed="false">
      <c r="A1021" s="6" t="n">
        <v>1017</v>
      </c>
      <c r="B1021" s="7" t="s">
        <v>1645</v>
      </c>
      <c r="C1021" s="8" t="s">
        <v>1087</v>
      </c>
      <c r="D1021" s="9" t="n">
        <v>0.0109578703703704</v>
      </c>
      <c r="E1021" s="10" t="n">
        <v>1018</v>
      </c>
      <c r="F1021" s="11" t="n">
        <v>0.00733819444444444</v>
      </c>
      <c r="G1021" s="12" t="n">
        <v>690</v>
      </c>
      <c r="H1021" s="11"/>
      <c r="I1021" s="12"/>
      <c r="J1021" s="14"/>
      <c r="K1021" s="14"/>
      <c r="L1021" s="14"/>
      <c r="M1021" s="13"/>
    </row>
    <row r="1022" customFormat="false" ht="15" hidden="false" customHeight="false" outlineLevel="0" collapsed="false">
      <c r="A1022" s="6" t="n">
        <v>1018</v>
      </c>
      <c r="B1022" s="7" t="s">
        <v>1646</v>
      </c>
      <c r="C1022" s="8" t="s">
        <v>1042</v>
      </c>
      <c r="D1022" s="9" t="n">
        <v>0.0109579861111111</v>
      </c>
      <c r="E1022" s="10" t="n">
        <v>1019</v>
      </c>
      <c r="F1022" s="11" t="n">
        <v>0.00743009259259259</v>
      </c>
      <c r="G1022" s="12" t="n">
        <v>805</v>
      </c>
      <c r="H1022" s="11" t="n">
        <v>0.0028681712962963</v>
      </c>
      <c r="I1022" s="12" t="n">
        <v>682</v>
      </c>
      <c r="J1022" s="14"/>
      <c r="K1022" s="14"/>
      <c r="L1022" s="14"/>
      <c r="M1022" s="13"/>
    </row>
    <row r="1023" customFormat="false" ht="15" hidden="false" customHeight="false" outlineLevel="0" collapsed="false">
      <c r="A1023" s="6" t="n">
        <v>1019</v>
      </c>
      <c r="B1023" s="7" t="s">
        <v>1647</v>
      </c>
      <c r="C1023" s="8" t="s">
        <v>54</v>
      </c>
      <c r="D1023" s="9" t="n">
        <v>0.0109596064814815</v>
      </c>
      <c r="E1023" s="10" t="n">
        <v>1020</v>
      </c>
      <c r="F1023" s="11" t="n">
        <v>0.00732905092592593</v>
      </c>
      <c r="G1023" s="12" t="n">
        <v>681</v>
      </c>
      <c r="H1023" s="11"/>
      <c r="I1023" s="12"/>
      <c r="J1023" s="14"/>
      <c r="K1023" s="14"/>
      <c r="L1023" s="14"/>
      <c r="M1023" s="13"/>
    </row>
    <row r="1024" customFormat="false" ht="15" hidden="false" customHeight="false" outlineLevel="0" collapsed="false">
      <c r="A1024" s="6" t="n">
        <v>1020</v>
      </c>
      <c r="B1024" s="7" t="s">
        <v>1648</v>
      </c>
      <c r="C1024" s="8" t="s">
        <v>1649</v>
      </c>
      <c r="D1024" s="9" t="n">
        <v>0.0109608796296296</v>
      </c>
      <c r="E1024" s="10" t="n">
        <v>1021</v>
      </c>
      <c r="F1024" s="11" t="n">
        <v>0.00672141203703704</v>
      </c>
      <c r="G1024" s="12" t="n">
        <v>114</v>
      </c>
      <c r="H1024" s="11"/>
      <c r="I1024" s="12"/>
      <c r="J1024" s="14" t="s">
        <v>1650</v>
      </c>
      <c r="K1024" s="14"/>
      <c r="L1024" s="14"/>
      <c r="M1024" s="13"/>
    </row>
    <row r="1025" customFormat="false" ht="15" hidden="false" customHeight="false" outlineLevel="0" collapsed="false">
      <c r="A1025" s="6" t="n">
        <v>1021</v>
      </c>
      <c r="B1025" s="7" t="s">
        <v>1651</v>
      </c>
      <c r="C1025" s="8" t="s">
        <v>1124</v>
      </c>
      <c r="D1025" s="9" t="n">
        <v>0.0109625</v>
      </c>
      <c r="E1025" s="10" t="n">
        <v>1022</v>
      </c>
      <c r="F1025" s="11" t="n">
        <v>0.00737592592592593</v>
      </c>
      <c r="G1025" s="12" t="n">
        <v>743</v>
      </c>
      <c r="H1025" s="11"/>
      <c r="I1025" s="12"/>
      <c r="J1025" s="14" t="s">
        <v>1652</v>
      </c>
      <c r="K1025" s="14"/>
      <c r="L1025" s="14"/>
      <c r="M1025" s="13"/>
    </row>
    <row r="1026" customFormat="false" ht="15" hidden="false" customHeight="false" outlineLevel="0" collapsed="false">
      <c r="A1026" s="6" t="n">
        <v>1022</v>
      </c>
      <c r="B1026" s="7" t="s">
        <v>1653</v>
      </c>
      <c r="C1026" s="8" t="s">
        <v>1654</v>
      </c>
      <c r="D1026" s="9" t="n">
        <v>0.0109631944444445</v>
      </c>
      <c r="E1026" s="10" t="n">
        <v>1023</v>
      </c>
      <c r="F1026" s="11"/>
      <c r="G1026" s="12"/>
      <c r="H1026" s="11" t="n">
        <v>0.00288796296296296</v>
      </c>
      <c r="I1026" s="12" t="n">
        <v>847</v>
      </c>
      <c r="J1026" s="14"/>
      <c r="K1026" s="14"/>
      <c r="L1026" s="14"/>
      <c r="M1026" s="13"/>
    </row>
    <row r="1027" customFormat="false" ht="15" hidden="false" customHeight="false" outlineLevel="0" collapsed="false">
      <c r="A1027" s="6" t="n">
        <v>1023</v>
      </c>
      <c r="B1027" s="7" t="s">
        <v>1655</v>
      </c>
      <c r="C1027" s="8" t="s">
        <v>1120</v>
      </c>
      <c r="D1027" s="9" t="n">
        <v>0.0109635416666667</v>
      </c>
      <c r="E1027" s="10" t="n">
        <v>1024</v>
      </c>
      <c r="F1027" s="11" t="n">
        <v>0.00733854166666667</v>
      </c>
      <c r="G1027" s="12" t="n">
        <v>692</v>
      </c>
      <c r="H1027" s="11" t="n">
        <v>0.00294328703703704</v>
      </c>
      <c r="I1027" s="12" t="n">
        <v>1213</v>
      </c>
      <c r="J1027" s="14"/>
      <c r="K1027" s="14"/>
      <c r="L1027" s="14"/>
      <c r="M1027" s="13"/>
    </row>
    <row r="1028" customFormat="false" ht="15" hidden="false" customHeight="false" outlineLevel="0" collapsed="false">
      <c r="A1028" s="6" t="n">
        <v>1024</v>
      </c>
      <c r="B1028" s="7" t="s">
        <v>1656</v>
      </c>
      <c r="C1028" s="8" t="s">
        <v>1657</v>
      </c>
      <c r="D1028" s="9" t="n">
        <v>0.0109638888888889</v>
      </c>
      <c r="E1028" s="10" t="n">
        <v>1025</v>
      </c>
      <c r="F1028" s="11"/>
      <c r="G1028" s="12"/>
      <c r="H1028" s="11"/>
      <c r="I1028" s="12"/>
      <c r="J1028" s="14"/>
      <c r="K1028" s="14"/>
      <c r="L1028" s="14"/>
      <c r="M1028" s="13"/>
    </row>
    <row r="1029" customFormat="false" ht="15" hidden="false" customHeight="false" outlineLevel="0" collapsed="false">
      <c r="A1029" s="6" t="n">
        <v>1025</v>
      </c>
      <c r="B1029" s="7" t="s">
        <v>1658</v>
      </c>
      <c r="C1029" s="8" t="s">
        <v>496</v>
      </c>
      <c r="D1029" s="9" t="n">
        <v>0.0109643518518519</v>
      </c>
      <c r="E1029" s="10" t="n">
        <v>1026</v>
      </c>
      <c r="F1029" s="11"/>
      <c r="G1029" s="12"/>
      <c r="H1029" s="11"/>
      <c r="I1029" s="12"/>
      <c r="J1029" s="14"/>
      <c r="K1029" s="14"/>
      <c r="L1029" s="14"/>
      <c r="M1029" s="13"/>
    </row>
    <row r="1030" customFormat="false" ht="15" hidden="false" customHeight="false" outlineLevel="0" collapsed="false">
      <c r="A1030" s="6" t="n">
        <v>1026</v>
      </c>
      <c r="B1030" s="7" t="s">
        <v>1659</v>
      </c>
      <c r="C1030" s="8" t="s">
        <v>1660</v>
      </c>
      <c r="D1030" s="9" t="n">
        <v>0.0109652777777778</v>
      </c>
      <c r="E1030" s="10" t="n">
        <v>1027</v>
      </c>
      <c r="F1030" s="11"/>
      <c r="G1030" s="12"/>
      <c r="H1030" s="11"/>
      <c r="I1030" s="12"/>
      <c r="J1030" s="14"/>
      <c r="K1030" s="14"/>
      <c r="L1030" s="14"/>
      <c r="M1030" s="13"/>
    </row>
    <row r="1031" customFormat="false" ht="15" hidden="false" customHeight="false" outlineLevel="0" collapsed="false">
      <c r="A1031" s="6" t="n">
        <v>1027</v>
      </c>
      <c r="B1031" s="7" t="s">
        <v>1661</v>
      </c>
      <c r="C1031" s="8" t="s">
        <v>108</v>
      </c>
      <c r="D1031" s="9" t="n">
        <v>0.0109670138888889</v>
      </c>
      <c r="E1031" s="10" t="n">
        <v>1028</v>
      </c>
      <c r="F1031" s="11" t="n">
        <v>0.00680034722222222</v>
      </c>
      <c r="G1031" s="12" t="n">
        <v>172</v>
      </c>
      <c r="H1031" s="11"/>
      <c r="I1031" s="12"/>
      <c r="J1031" s="14"/>
      <c r="K1031" s="14"/>
      <c r="L1031" s="14"/>
      <c r="M1031" s="13"/>
    </row>
    <row r="1032" customFormat="false" ht="15" hidden="false" customHeight="false" outlineLevel="0" collapsed="false">
      <c r="A1032" s="6" t="n">
        <v>1028</v>
      </c>
      <c r="B1032" s="7" t="s">
        <v>1662</v>
      </c>
      <c r="C1032" s="8" t="s">
        <v>1503</v>
      </c>
      <c r="D1032" s="9" t="n">
        <v>0.0109672453703704</v>
      </c>
      <c r="E1032" s="10" t="n">
        <v>1029</v>
      </c>
      <c r="F1032" s="11" t="n">
        <v>0.00675219907407407</v>
      </c>
      <c r="G1032" s="12" t="n">
        <v>130</v>
      </c>
      <c r="H1032" s="11" t="n">
        <v>0.0029099537037037</v>
      </c>
      <c r="I1032" s="12" t="n">
        <v>1019</v>
      </c>
      <c r="J1032" s="14" t="s">
        <v>736</v>
      </c>
      <c r="K1032" s="14"/>
      <c r="L1032" s="14"/>
      <c r="M1032" s="13"/>
    </row>
    <row r="1033" customFormat="false" ht="15" hidden="false" customHeight="false" outlineLevel="0" collapsed="false">
      <c r="A1033" s="6" t="n">
        <v>1029</v>
      </c>
      <c r="B1033" s="7" t="s">
        <v>1663</v>
      </c>
      <c r="C1033" s="8" t="s">
        <v>496</v>
      </c>
      <c r="D1033" s="9" t="n">
        <v>0.0109677083333333</v>
      </c>
      <c r="E1033" s="10" t="n">
        <v>1030</v>
      </c>
      <c r="F1033" s="11" t="n">
        <v>0.0068337962962963</v>
      </c>
      <c r="G1033" s="12" t="n">
        <v>195</v>
      </c>
      <c r="H1033" s="11"/>
      <c r="I1033" s="12"/>
      <c r="J1033" s="14"/>
      <c r="K1033" s="14"/>
      <c r="L1033" s="14"/>
      <c r="M1033" s="13"/>
    </row>
    <row r="1034" customFormat="false" ht="15" hidden="false" customHeight="false" outlineLevel="0" collapsed="false">
      <c r="A1034" s="6" t="n">
        <v>1030</v>
      </c>
      <c r="B1034" s="7" t="s">
        <v>1664</v>
      </c>
      <c r="C1034" s="8" t="s">
        <v>1120</v>
      </c>
      <c r="D1034" s="9" t="n">
        <v>0.0109677083333333</v>
      </c>
      <c r="E1034" s="10" t="n">
        <v>1031</v>
      </c>
      <c r="F1034" s="11" t="n">
        <v>0.00840659722222222</v>
      </c>
      <c r="G1034" s="12" t="n">
        <v>1282</v>
      </c>
      <c r="H1034" s="11"/>
      <c r="I1034" s="12"/>
      <c r="J1034" s="14"/>
      <c r="K1034" s="14"/>
      <c r="L1034" s="14"/>
      <c r="M1034" s="13"/>
    </row>
    <row r="1035" customFormat="false" ht="15" hidden="false" customHeight="false" outlineLevel="0" collapsed="false">
      <c r="A1035" s="6" t="n">
        <v>1031</v>
      </c>
      <c r="B1035" s="7" t="s">
        <v>1665</v>
      </c>
      <c r="C1035" s="8" t="s">
        <v>584</v>
      </c>
      <c r="D1035" s="9" t="n">
        <v>0.0109680555555556</v>
      </c>
      <c r="E1035" s="10" t="n">
        <v>1032</v>
      </c>
      <c r="F1035" s="11"/>
      <c r="G1035" s="12"/>
      <c r="H1035" s="11" t="n">
        <v>0.00282372685185185</v>
      </c>
      <c r="I1035" s="12" t="n">
        <v>385</v>
      </c>
      <c r="J1035" s="14" t="s">
        <v>876</v>
      </c>
      <c r="K1035" s="14"/>
      <c r="L1035" s="14"/>
      <c r="M1035" s="13"/>
    </row>
    <row r="1036" customFormat="false" ht="15" hidden="false" customHeight="false" outlineLevel="0" collapsed="false">
      <c r="A1036" s="6" t="n">
        <v>1032</v>
      </c>
      <c r="B1036" s="7" t="s">
        <v>1666</v>
      </c>
      <c r="C1036" s="8" t="s">
        <v>1667</v>
      </c>
      <c r="D1036" s="9" t="n">
        <v>0.0109680555555556</v>
      </c>
      <c r="E1036" s="10" t="n">
        <v>1033</v>
      </c>
      <c r="F1036" s="11" t="n">
        <v>0.00723611111111111</v>
      </c>
      <c r="G1036" s="12" t="n">
        <v>581</v>
      </c>
      <c r="H1036" s="11" t="n">
        <v>0.00288900462962963</v>
      </c>
      <c r="I1036" s="12" t="n">
        <v>855</v>
      </c>
      <c r="J1036" s="14"/>
      <c r="K1036" s="14"/>
      <c r="L1036" s="14"/>
      <c r="M1036" s="13"/>
    </row>
    <row r="1037" customFormat="false" ht="15" hidden="false" customHeight="false" outlineLevel="0" collapsed="false">
      <c r="A1037" s="6" t="n">
        <v>1033</v>
      </c>
      <c r="B1037" s="7" t="s">
        <v>1668</v>
      </c>
      <c r="C1037" s="8" t="s">
        <v>1669</v>
      </c>
      <c r="D1037" s="9" t="n">
        <v>0.0109681712962963</v>
      </c>
      <c r="E1037" s="10" t="n">
        <v>1034</v>
      </c>
      <c r="F1037" s="11"/>
      <c r="G1037" s="12"/>
      <c r="H1037" s="11"/>
      <c r="I1037" s="12"/>
      <c r="J1037" s="14"/>
      <c r="K1037" s="14"/>
      <c r="L1037" s="14"/>
      <c r="M1037" s="13"/>
    </row>
    <row r="1038" customFormat="false" ht="15" hidden="false" customHeight="false" outlineLevel="0" collapsed="false">
      <c r="A1038" s="6" t="n">
        <v>1034</v>
      </c>
      <c r="B1038" s="7" t="s">
        <v>1670</v>
      </c>
      <c r="C1038" s="8" t="s">
        <v>120</v>
      </c>
      <c r="D1038" s="9" t="n">
        <v>0.010968287037037</v>
      </c>
      <c r="E1038" s="10" t="n">
        <v>1035</v>
      </c>
      <c r="F1038" s="11"/>
      <c r="G1038" s="12"/>
      <c r="H1038" s="11"/>
      <c r="I1038" s="12"/>
      <c r="J1038" s="14"/>
      <c r="K1038" s="14"/>
      <c r="L1038" s="14"/>
      <c r="M1038" s="13"/>
    </row>
    <row r="1039" customFormat="false" ht="15" hidden="false" customHeight="false" outlineLevel="0" collapsed="false">
      <c r="A1039" s="6" t="n">
        <v>1035</v>
      </c>
      <c r="B1039" s="7" t="s">
        <v>1671</v>
      </c>
      <c r="C1039" s="8" t="s">
        <v>255</v>
      </c>
      <c r="D1039" s="9" t="n">
        <v>0.0109695601851852</v>
      </c>
      <c r="E1039" s="10" t="n">
        <v>1036</v>
      </c>
      <c r="F1039" s="11"/>
      <c r="G1039" s="12"/>
      <c r="H1039" s="11"/>
      <c r="I1039" s="12"/>
      <c r="J1039" s="14"/>
      <c r="K1039" s="14"/>
      <c r="L1039" s="14"/>
      <c r="M1039" s="13"/>
    </row>
    <row r="1040" customFormat="false" ht="15" hidden="false" customHeight="false" outlineLevel="0" collapsed="false">
      <c r="A1040" s="6" t="n">
        <v>1036</v>
      </c>
      <c r="B1040" s="7" t="s">
        <v>1672</v>
      </c>
      <c r="C1040" s="8" t="s">
        <v>368</v>
      </c>
      <c r="D1040" s="9" t="n">
        <v>0.0109695601851852</v>
      </c>
      <c r="E1040" s="10" t="n">
        <v>1037</v>
      </c>
      <c r="F1040" s="11"/>
      <c r="G1040" s="12"/>
      <c r="H1040" s="11" t="n">
        <v>0.00286226851851852</v>
      </c>
      <c r="I1040" s="12" t="n">
        <v>649</v>
      </c>
      <c r="J1040" s="14"/>
      <c r="K1040" s="14"/>
      <c r="L1040" s="14"/>
      <c r="M1040" s="13"/>
    </row>
    <row r="1041" customFormat="false" ht="15" hidden="false" customHeight="false" outlineLevel="0" collapsed="false">
      <c r="A1041" s="6" t="n">
        <v>1037</v>
      </c>
      <c r="B1041" s="7" t="s">
        <v>1673</v>
      </c>
      <c r="C1041" s="8" t="s">
        <v>1674</v>
      </c>
      <c r="D1041" s="9" t="n">
        <v>0.0109695601851852</v>
      </c>
      <c r="E1041" s="10" t="n">
        <v>1038</v>
      </c>
      <c r="F1041" s="11"/>
      <c r="G1041" s="12"/>
      <c r="H1041" s="11" t="n">
        <v>0.00285625</v>
      </c>
      <c r="I1041" s="12" t="n">
        <v>609</v>
      </c>
      <c r="J1041" s="14"/>
      <c r="K1041" s="14"/>
      <c r="L1041" s="14"/>
      <c r="M1041" s="13"/>
    </row>
    <row r="1042" customFormat="false" ht="15" hidden="false" customHeight="false" outlineLevel="0" collapsed="false">
      <c r="A1042" s="6" t="n">
        <v>1038</v>
      </c>
      <c r="B1042" s="7" t="s">
        <v>1675</v>
      </c>
      <c r="C1042" s="8" t="s">
        <v>1676</v>
      </c>
      <c r="D1042" s="9" t="n">
        <v>0.0109696759259259</v>
      </c>
      <c r="E1042" s="10" t="n">
        <v>1039</v>
      </c>
      <c r="F1042" s="11"/>
      <c r="G1042" s="12"/>
      <c r="H1042" s="11" t="n">
        <v>0.00291712962962963</v>
      </c>
      <c r="I1042" s="12" t="n">
        <v>1067</v>
      </c>
      <c r="J1042" s="14"/>
      <c r="K1042" s="14"/>
      <c r="L1042" s="14"/>
      <c r="M1042" s="13"/>
    </row>
    <row r="1043" customFormat="false" ht="15" hidden="false" customHeight="false" outlineLevel="0" collapsed="false">
      <c r="A1043" s="6" t="n">
        <v>1039</v>
      </c>
      <c r="B1043" s="7" t="s">
        <v>1677</v>
      </c>
      <c r="C1043" s="8" t="s">
        <v>886</v>
      </c>
      <c r="D1043" s="9" t="n">
        <v>0.0109703703703704</v>
      </c>
      <c r="E1043" s="10" t="n">
        <v>1040</v>
      </c>
      <c r="F1043" s="11" t="n">
        <v>0.00664293981481482</v>
      </c>
      <c r="G1043" s="12" t="n">
        <v>80</v>
      </c>
      <c r="H1043" s="11" t="n">
        <v>0.00283680555555556</v>
      </c>
      <c r="I1043" s="12" t="n">
        <v>476</v>
      </c>
      <c r="J1043" s="14"/>
      <c r="K1043" s="14"/>
      <c r="L1043" s="14"/>
      <c r="M1043" s="13"/>
    </row>
    <row r="1044" customFormat="false" ht="15" hidden="false" customHeight="false" outlineLevel="0" collapsed="false">
      <c r="A1044" s="6" t="n">
        <v>1040</v>
      </c>
      <c r="B1044" s="7" t="s">
        <v>1678</v>
      </c>
      <c r="C1044" s="8" t="s">
        <v>136</v>
      </c>
      <c r="D1044" s="9" t="n">
        <v>0.0109706018518519</v>
      </c>
      <c r="E1044" s="10" t="n">
        <v>1041</v>
      </c>
      <c r="F1044" s="11"/>
      <c r="G1044" s="12"/>
      <c r="H1044" s="11" t="n">
        <v>0.00272881944444445</v>
      </c>
      <c r="I1044" s="12" t="n">
        <v>61</v>
      </c>
      <c r="J1044" s="14"/>
      <c r="K1044" s="14"/>
      <c r="L1044" s="14"/>
      <c r="M1044" s="13"/>
    </row>
    <row r="1045" customFormat="false" ht="15" hidden="false" customHeight="false" outlineLevel="0" collapsed="false">
      <c r="A1045" s="6" t="n">
        <v>1041</v>
      </c>
      <c r="B1045" s="7" t="s">
        <v>1679</v>
      </c>
      <c r="C1045" s="8" t="s">
        <v>1680</v>
      </c>
      <c r="D1045" s="9" t="n">
        <v>0.0109711805555556</v>
      </c>
      <c r="E1045" s="10" t="n">
        <v>1042</v>
      </c>
      <c r="F1045" s="11"/>
      <c r="G1045" s="12"/>
      <c r="H1045" s="11"/>
      <c r="I1045" s="12"/>
      <c r="J1045" s="14" t="s">
        <v>1681</v>
      </c>
      <c r="K1045" s="14"/>
      <c r="L1045" s="14"/>
      <c r="M1045" s="13"/>
    </row>
    <row r="1046" customFormat="false" ht="15" hidden="false" customHeight="false" outlineLevel="0" collapsed="false">
      <c r="A1046" s="6" t="n">
        <v>1042</v>
      </c>
      <c r="B1046" s="7" t="s">
        <v>1682</v>
      </c>
      <c r="C1046" s="8" t="s">
        <v>150</v>
      </c>
      <c r="D1046" s="9" t="n">
        <v>0.0109712962962963</v>
      </c>
      <c r="E1046" s="10" t="n">
        <v>1043</v>
      </c>
      <c r="F1046" s="11"/>
      <c r="G1046" s="12"/>
      <c r="H1046" s="11"/>
      <c r="I1046" s="12"/>
      <c r="J1046" s="14"/>
      <c r="K1046" s="14"/>
      <c r="L1046" s="14"/>
      <c r="M1046" s="13"/>
    </row>
    <row r="1047" customFormat="false" ht="15" hidden="false" customHeight="false" outlineLevel="0" collapsed="false">
      <c r="A1047" s="6" t="n">
        <v>1043</v>
      </c>
      <c r="B1047" s="7" t="s">
        <v>1683</v>
      </c>
      <c r="C1047" s="8" t="s">
        <v>1684</v>
      </c>
      <c r="D1047" s="9" t="n">
        <v>0.0109716435185185</v>
      </c>
      <c r="E1047" s="10" t="n">
        <v>1044</v>
      </c>
      <c r="F1047" s="11"/>
      <c r="G1047" s="12"/>
      <c r="H1047" s="11" t="n">
        <v>0.00286377314814815</v>
      </c>
      <c r="I1047" s="12" t="n">
        <v>659</v>
      </c>
      <c r="J1047" s="14"/>
      <c r="K1047" s="14"/>
      <c r="L1047" s="14"/>
      <c r="M1047" s="13"/>
    </row>
    <row r="1048" customFormat="false" ht="15" hidden="false" customHeight="false" outlineLevel="0" collapsed="false">
      <c r="A1048" s="6" t="n">
        <v>1044</v>
      </c>
      <c r="B1048" s="7" t="s">
        <v>1685</v>
      </c>
      <c r="C1048" s="8" t="s">
        <v>1686</v>
      </c>
      <c r="D1048" s="9" t="n">
        <v>0.0109722222222222</v>
      </c>
      <c r="E1048" s="10" t="n">
        <v>1045</v>
      </c>
      <c r="F1048" s="11"/>
      <c r="G1048" s="12"/>
      <c r="H1048" s="11"/>
      <c r="I1048" s="12"/>
      <c r="J1048" s="14"/>
      <c r="K1048" s="14"/>
      <c r="L1048" s="14"/>
      <c r="M1048" s="13"/>
    </row>
    <row r="1049" customFormat="false" ht="15" hidden="false" customHeight="false" outlineLevel="0" collapsed="false">
      <c r="A1049" s="6" t="n">
        <v>1045</v>
      </c>
      <c r="B1049" s="7" t="s">
        <v>1687</v>
      </c>
      <c r="C1049" s="8" t="s">
        <v>311</v>
      </c>
      <c r="D1049" s="9" t="n">
        <v>0.0109732638888889</v>
      </c>
      <c r="E1049" s="10" t="n">
        <v>1046</v>
      </c>
      <c r="F1049" s="11" t="n">
        <v>0.00769664351851852</v>
      </c>
      <c r="G1049" s="12" t="n">
        <v>1064</v>
      </c>
      <c r="H1049" s="11"/>
      <c r="I1049" s="12"/>
      <c r="J1049" s="14"/>
      <c r="K1049" s="14"/>
      <c r="L1049" s="14"/>
      <c r="M1049" s="13"/>
    </row>
    <row r="1050" customFormat="false" ht="15" hidden="false" customHeight="false" outlineLevel="0" collapsed="false">
      <c r="A1050" s="6" t="n">
        <v>1046</v>
      </c>
      <c r="B1050" s="7" t="s">
        <v>1688</v>
      </c>
      <c r="C1050" s="8" t="s">
        <v>1689</v>
      </c>
      <c r="D1050" s="9" t="n">
        <v>0.0109736111111111</v>
      </c>
      <c r="E1050" s="10" t="n">
        <v>1047</v>
      </c>
      <c r="F1050" s="11"/>
      <c r="G1050" s="12"/>
      <c r="H1050" s="11" t="n">
        <v>0.00281388888888889</v>
      </c>
      <c r="I1050" s="12" t="n">
        <v>339</v>
      </c>
      <c r="J1050" s="14"/>
      <c r="K1050" s="14"/>
      <c r="L1050" s="14"/>
      <c r="M1050" s="13"/>
    </row>
    <row r="1051" customFormat="false" ht="15" hidden="false" customHeight="false" outlineLevel="0" collapsed="false">
      <c r="A1051" s="6" t="n">
        <v>1047</v>
      </c>
      <c r="B1051" s="7" t="s">
        <v>1690</v>
      </c>
      <c r="C1051" s="8" t="s">
        <v>537</v>
      </c>
      <c r="D1051" s="9" t="n">
        <v>0.0109739583333333</v>
      </c>
      <c r="E1051" s="10" t="n">
        <v>1048</v>
      </c>
      <c r="F1051" s="11"/>
      <c r="G1051" s="12"/>
      <c r="H1051" s="11"/>
      <c r="I1051" s="12"/>
      <c r="J1051" s="14"/>
      <c r="K1051" s="14"/>
      <c r="L1051" s="14"/>
      <c r="M1051" s="13"/>
    </row>
    <row r="1052" customFormat="false" ht="15" hidden="false" customHeight="false" outlineLevel="0" collapsed="false">
      <c r="A1052" s="6" t="n">
        <v>1048</v>
      </c>
      <c r="B1052" s="7" t="s">
        <v>1691</v>
      </c>
      <c r="C1052" s="8" t="s">
        <v>1692</v>
      </c>
      <c r="D1052" s="9" t="n">
        <v>0.0109747685185185</v>
      </c>
      <c r="E1052" s="10" t="n">
        <v>1049</v>
      </c>
      <c r="F1052" s="11"/>
      <c r="G1052" s="12"/>
      <c r="H1052" s="11" t="n">
        <v>0.00292638888888889</v>
      </c>
      <c r="I1052" s="12" t="n">
        <v>1162</v>
      </c>
      <c r="J1052" s="14"/>
      <c r="K1052" s="14"/>
      <c r="L1052" s="14"/>
      <c r="M1052" s="13"/>
    </row>
    <row r="1053" customFormat="false" ht="15" hidden="false" customHeight="false" outlineLevel="0" collapsed="false">
      <c r="A1053" s="6" t="n">
        <v>1049</v>
      </c>
      <c r="B1053" s="7" t="s">
        <v>1693</v>
      </c>
      <c r="C1053" s="8" t="s">
        <v>313</v>
      </c>
      <c r="D1053" s="9" t="n">
        <v>0.0109751157407407</v>
      </c>
      <c r="E1053" s="10" t="n">
        <v>1050</v>
      </c>
      <c r="F1053" s="11" t="n">
        <v>0.00753622685185185</v>
      </c>
      <c r="G1053" s="12" t="n">
        <v>940</v>
      </c>
      <c r="H1053" s="11"/>
      <c r="I1053" s="12"/>
      <c r="J1053" s="14"/>
      <c r="K1053" s="14"/>
      <c r="L1053" s="14"/>
      <c r="M1053" s="13"/>
    </row>
    <row r="1054" customFormat="false" ht="15" hidden="false" customHeight="false" outlineLevel="0" collapsed="false">
      <c r="A1054" s="6" t="n">
        <v>1050</v>
      </c>
      <c r="B1054" s="7" t="s">
        <v>1694</v>
      </c>
      <c r="C1054" s="8" t="s">
        <v>1695</v>
      </c>
      <c r="D1054" s="9" t="n">
        <v>0.0109778935185185</v>
      </c>
      <c r="E1054" s="10" t="n">
        <v>1051</v>
      </c>
      <c r="F1054" s="11"/>
      <c r="G1054" s="12"/>
      <c r="H1054" s="11"/>
      <c r="I1054" s="12"/>
      <c r="J1054" s="14"/>
      <c r="K1054" s="14"/>
      <c r="L1054" s="14"/>
      <c r="M1054" s="13"/>
    </row>
    <row r="1055" customFormat="false" ht="15" hidden="false" customHeight="false" outlineLevel="0" collapsed="false">
      <c r="A1055" s="6" t="n">
        <v>1051</v>
      </c>
      <c r="B1055" s="7" t="s">
        <v>1696</v>
      </c>
      <c r="C1055" s="8" t="s">
        <v>1697</v>
      </c>
      <c r="D1055" s="9" t="n">
        <v>0.0109778935185185</v>
      </c>
      <c r="E1055" s="10" t="n">
        <v>1052</v>
      </c>
      <c r="F1055" s="11"/>
      <c r="G1055" s="12"/>
      <c r="H1055" s="11" t="n">
        <v>0.00297152777777778</v>
      </c>
      <c r="I1055" s="12" t="n">
        <v>1313</v>
      </c>
      <c r="J1055" s="14"/>
      <c r="K1055" s="14"/>
      <c r="L1055" s="14"/>
      <c r="M1055" s="13"/>
    </row>
    <row r="1056" customFormat="false" ht="15" hidden="false" customHeight="false" outlineLevel="0" collapsed="false">
      <c r="A1056" s="6" t="n">
        <v>1052</v>
      </c>
      <c r="B1056" s="7" t="s">
        <v>1698</v>
      </c>
      <c r="C1056" s="8" t="s">
        <v>1699</v>
      </c>
      <c r="D1056" s="9" t="n">
        <v>0.010978587962963</v>
      </c>
      <c r="E1056" s="10" t="n">
        <v>1053</v>
      </c>
      <c r="F1056" s="11" t="n">
        <v>0.00701643518518519</v>
      </c>
      <c r="G1056" s="12" t="n">
        <v>353</v>
      </c>
      <c r="H1056" s="11"/>
      <c r="I1056" s="12"/>
      <c r="J1056" s="14"/>
      <c r="K1056" s="14"/>
      <c r="L1056" s="14"/>
      <c r="M1056" s="13"/>
    </row>
    <row r="1057" customFormat="false" ht="15" hidden="false" customHeight="false" outlineLevel="0" collapsed="false">
      <c r="A1057" s="6" t="n">
        <v>1053</v>
      </c>
      <c r="B1057" s="7" t="s">
        <v>1700</v>
      </c>
      <c r="C1057" s="8" t="s">
        <v>853</v>
      </c>
      <c r="D1057" s="9" t="n">
        <v>0.0109790509259259</v>
      </c>
      <c r="E1057" s="10" t="n">
        <v>1054</v>
      </c>
      <c r="F1057" s="11" t="n">
        <v>0.00710462962962963</v>
      </c>
      <c r="G1057" s="12" t="n">
        <v>453</v>
      </c>
      <c r="H1057" s="11"/>
      <c r="I1057" s="12"/>
      <c r="J1057" s="14"/>
      <c r="K1057" s="14"/>
      <c r="L1057" s="14"/>
      <c r="M1057" s="13"/>
    </row>
    <row r="1058" customFormat="false" ht="15" hidden="false" customHeight="false" outlineLevel="0" collapsed="false">
      <c r="A1058" s="6" t="n">
        <v>1054</v>
      </c>
      <c r="B1058" s="7" t="s">
        <v>1701</v>
      </c>
      <c r="C1058" s="8" t="s">
        <v>1702</v>
      </c>
      <c r="D1058" s="9" t="n">
        <v>0.0109792824074074</v>
      </c>
      <c r="E1058" s="10" t="n">
        <v>1055</v>
      </c>
      <c r="F1058" s="11" t="n">
        <v>0.00708622685185185</v>
      </c>
      <c r="G1058" s="12" t="n">
        <v>435</v>
      </c>
      <c r="H1058" s="11"/>
      <c r="I1058" s="12"/>
      <c r="J1058" s="14"/>
      <c r="K1058" s="14"/>
      <c r="L1058" s="14"/>
      <c r="M1058" s="13"/>
    </row>
    <row r="1059" customFormat="false" ht="15" hidden="false" customHeight="false" outlineLevel="0" collapsed="false">
      <c r="A1059" s="6" t="n">
        <v>1055</v>
      </c>
      <c r="B1059" s="7" t="s">
        <v>1703</v>
      </c>
      <c r="C1059" s="8" t="s">
        <v>839</v>
      </c>
      <c r="D1059" s="9" t="n">
        <v>0.0109800925925926</v>
      </c>
      <c r="E1059" s="10" t="n">
        <v>1056</v>
      </c>
      <c r="F1059" s="11"/>
      <c r="G1059" s="12"/>
      <c r="H1059" s="11" t="n">
        <v>0.00293715277777778</v>
      </c>
      <c r="I1059" s="12" t="n">
        <v>1195</v>
      </c>
      <c r="J1059" s="14"/>
      <c r="K1059" s="14"/>
      <c r="L1059" s="14"/>
      <c r="M1059" s="13"/>
    </row>
    <row r="1060" customFormat="false" ht="15" hidden="false" customHeight="false" outlineLevel="0" collapsed="false">
      <c r="A1060" s="6" t="n">
        <v>1056</v>
      </c>
      <c r="B1060" s="7" t="s">
        <v>1704</v>
      </c>
      <c r="C1060" s="8" t="s">
        <v>399</v>
      </c>
      <c r="D1060" s="9" t="n">
        <v>0.010980787037037</v>
      </c>
      <c r="E1060" s="10" t="n">
        <v>1057</v>
      </c>
      <c r="F1060" s="11"/>
      <c r="G1060" s="12"/>
      <c r="H1060" s="11" t="n">
        <v>0.00289398148148148</v>
      </c>
      <c r="I1060" s="12" t="n">
        <v>904</v>
      </c>
      <c r="J1060" s="14"/>
      <c r="K1060" s="14"/>
      <c r="L1060" s="14"/>
      <c r="M1060" s="13"/>
    </row>
    <row r="1061" customFormat="false" ht="15" hidden="false" customHeight="false" outlineLevel="0" collapsed="false">
      <c r="A1061" s="6" t="n">
        <v>1057</v>
      </c>
      <c r="B1061" s="7" t="s">
        <v>1705</v>
      </c>
      <c r="C1061" s="8" t="s">
        <v>1238</v>
      </c>
      <c r="D1061" s="9" t="n">
        <v>0.0109810185185185</v>
      </c>
      <c r="E1061" s="10" t="n">
        <v>1058</v>
      </c>
      <c r="F1061" s="11" t="n">
        <v>0.00690625</v>
      </c>
      <c r="G1061" s="12" t="n">
        <v>248</v>
      </c>
      <c r="H1061" s="11"/>
      <c r="I1061" s="12"/>
      <c r="J1061" s="14"/>
      <c r="K1061" s="14"/>
      <c r="L1061" s="14"/>
      <c r="M1061" s="13"/>
    </row>
    <row r="1062" customFormat="false" ht="15" hidden="false" customHeight="false" outlineLevel="0" collapsed="false">
      <c r="A1062" s="6" t="n">
        <v>1058</v>
      </c>
      <c r="B1062" s="7" t="s">
        <v>1706</v>
      </c>
      <c r="C1062" s="8" t="s">
        <v>437</v>
      </c>
      <c r="D1062" s="9" t="n">
        <v>0.0109811342592593</v>
      </c>
      <c r="E1062" s="10" t="n">
        <v>1059</v>
      </c>
      <c r="F1062" s="11" t="n">
        <v>0.00712893518518519</v>
      </c>
      <c r="G1062" s="12" t="n">
        <v>473</v>
      </c>
      <c r="H1062" s="11"/>
      <c r="I1062" s="12"/>
      <c r="J1062" s="14"/>
      <c r="K1062" s="14"/>
      <c r="L1062" s="14"/>
      <c r="M1062" s="13"/>
    </row>
    <row r="1063" customFormat="false" ht="15" hidden="false" customHeight="false" outlineLevel="0" collapsed="false">
      <c r="A1063" s="6" t="n">
        <v>1059</v>
      </c>
      <c r="B1063" s="7" t="s">
        <v>1707</v>
      </c>
      <c r="C1063" s="8" t="s">
        <v>1708</v>
      </c>
      <c r="D1063" s="9" t="n">
        <v>0.01098125</v>
      </c>
      <c r="E1063" s="10" t="n">
        <v>1060</v>
      </c>
      <c r="F1063" s="11" t="n">
        <v>0.00697002314814815</v>
      </c>
      <c r="G1063" s="12" t="n">
        <v>305</v>
      </c>
      <c r="H1063" s="11" t="n">
        <v>0.00291550925925926</v>
      </c>
      <c r="I1063" s="12" t="n">
        <v>1055</v>
      </c>
      <c r="J1063" s="14"/>
      <c r="K1063" s="14"/>
      <c r="L1063" s="14"/>
      <c r="M1063" s="13"/>
    </row>
    <row r="1064" customFormat="false" ht="15" hidden="false" customHeight="false" outlineLevel="0" collapsed="false">
      <c r="A1064" s="6" t="n">
        <v>1060</v>
      </c>
      <c r="B1064" s="7" t="s">
        <v>1709</v>
      </c>
      <c r="C1064" s="8" t="s">
        <v>233</v>
      </c>
      <c r="D1064" s="9" t="n">
        <v>0.0109813657407407</v>
      </c>
      <c r="E1064" s="10" t="n">
        <v>1061</v>
      </c>
      <c r="F1064" s="11" t="n">
        <v>0.00770127314814815</v>
      </c>
      <c r="G1064" s="12" t="n">
        <v>1068</v>
      </c>
      <c r="H1064" s="11" t="n">
        <v>0.00293321759259259</v>
      </c>
      <c r="I1064" s="12" t="n">
        <v>1181</v>
      </c>
      <c r="J1064" s="14"/>
      <c r="K1064" s="14"/>
      <c r="L1064" s="14"/>
      <c r="M1064" s="13"/>
    </row>
    <row r="1065" customFormat="false" ht="15" hidden="false" customHeight="false" outlineLevel="0" collapsed="false">
      <c r="A1065" s="6" t="n">
        <v>1061</v>
      </c>
      <c r="B1065" s="7" t="s">
        <v>1710</v>
      </c>
      <c r="C1065" s="8" t="s">
        <v>1177</v>
      </c>
      <c r="D1065" s="9" t="n">
        <v>0.0109819444444445</v>
      </c>
      <c r="E1065" s="10" t="n">
        <v>1062</v>
      </c>
      <c r="F1065" s="11" t="n">
        <v>0.00695462962962963</v>
      </c>
      <c r="G1065" s="12" t="n">
        <v>289</v>
      </c>
      <c r="H1065" s="11" t="n">
        <v>0.00284421296296296</v>
      </c>
      <c r="I1065" s="12" t="n">
        <v>527</v>
      </c>
      <c r="J1065" s="14"/>
      <c r="K1065" s="14"/>
      <c r="L1065" s="14"/>
      <c r="M1065" s="13"/>
    </row>
    <row r="1066" customFormat="false" ht="15" hidden="false" customHeight="false" outlineLevel="0" collapsed="false">
      <c r="A1066" s="6" t="n">
        <v>1062</v>
      </c>
      <c r="B1066" s="7" t="s">
        <v>1711</v>
      </c>
      <c r="C1066" s="8" t="s">
        <v>1493</v>
      </c>
      <c r="D1066" s="9" t="n">
        <v>0.0109833333333333</v>
      </c>
      <c r="E1066" s="10" t="n">
        <v>1063</v>
      </c>
      <c r="F1066" s="11"/>
      <c r="G1066" s="12"/>
      <c r="H1066" s="11"/>
      <c r="I1066" s="12"/>
      <c r="J1066" s="14"/>
      <c r="K1066" s="14"/>
      <c r="L1066" s="14"/>
      <c r="M1066" s="13"/>
    </row>
    <row r="1067" customFormat="false" ht="15" hidden="false" customHeight="false" outlineLevel="0" collapsed="false">
      <c r="A1067" s="6" t="n">
        <v>1063</v>
      </c>
      <c r="B1067" s="7" t="s">
        <v>1712</v>
      </c>
      <c r="C1067" s="8" t="s">
        <v>1713</v>
      </c>
      <c r="D1067" s="9" t="n">
        <v>0.0109837962962963</v>
      </c>
      <c r="E1067" s="10" t="n">
        <v>1064</v>
      </c>
      <c r="F1067" s="11" t="n">
        <v>0.00699490740740741</v>
      </c>
      <c r="G1067" s="12" t="n">
        <v>328</v>
      </c>
      <c r="H1067" s="11"/>
      <c r="I1067" s="12"/>
      <c r="J1067" s="14"/>
      <c r="K1067" s="14" t="s">
        <v>1714</v>
      </c>
      <c r="L1067" s="14"/>
      <c r="M1067" s="13"/>
    </row>
    <row r="1068" customFormat="false" ht="15" hidden="false" customHeight="false" outlineLevel="0" collapsed="false">
      <c r="A1068" s="6" t="n">
        <v>1064</v>
      </c>
      <c r="B1068" s="7" t="s">
        <v>1715</v>
      </c>
      <c r="C1068" s="8" t="s">
        <v>1716</v>
      </c>
      <c r="D1068" s="9" t="n">
        <v>0.0109840277777778</v>
      </c>
      <c r="E1068" s="10" t="n">
        <v>1065</v>
      </c>
      <c r="F1068" s="11" t="n">
        <v>0.00675092592592593</v>
      </c>
      <c r="G1068" s="12" t="n">
        <v>129</v>
      </c>
      <c r="H1068" s="11" t="n">
        <v>0.00298101851851852</v>
      </c>
      <c r="I1068" s="12" t="n">
        <v>1356</v>
      </c>
      <c r="J1068" s="14"/>
      <c r="K1068" s="14"/>
      <c r="L1068" s="14"/>
      <c r="M1068" s="13"/>
    </row>
    <row r="1069" customFormat="false" ht="15" hidden="false" customHeight="false" outlineLevel="0" collapsed="false">
      <c r="A1069" s="6" t="n">
        <v>1065</v>
      </c>
      <c r="B1069" s="7" t="s">
        <v>1717</v>
      </c>
      <c r="C1069" s="8" t="s">
        <v>625</v>
      </c>
      <c r="D1069" s="9" t="n">
        <v>0.0109842592592593</v>
      </c>
      <c r="E1069" s="10" t="n">
        <v>1066</v>
      </c>
      <c r="F1069" s="11" t="n">
        <v>0.006828125</v>
      </c>
      <c r="G1069" s="12" t="n">
        <v>192</v>
      </c>
      <c r="H1069" s="11"/>
      <c r="I1069" s="12"/>
      <c r="J1069" s="14" t="s">
        <v>1417</v>
      </c>
      <c r="K1069" s="14"/>
      <c r="L1069" s="14"/>
      <c r="M1069" s="13"/>
    </row>
    <row r="1070" customFormat="false" ht="15" hidden="false" customHeight="false" outlineLevel="0" collapsed="false">
      <c r="A1070" s="6" t="n">
        <v>1066</v>
      </c>
      <c r="B1070" s="7" t="s">
        <v>1718</v>
      </c>
      <c r="C1070" s="8" t="s">
        <v>523</v>
      </c>
      <c r="D1070" s="9" t="n">
        <v>0.010984837962963</v>
      </c>
      <c r="E1070" s="10" t="n">
        <v>1067</v>
      </c>
      <c r="F1070" s="11"/>
      <c r="G1070" s="12"/>
      <c r="H1070" s="11"/>
      <c r="I1070" s="12"/>
      <c r="J1070" s="14"/>
      <c r="K1070" s="14"/>
      <c r="L1070" s="14"/>
      <c r="M1070" s="13"/>
    </row>
    <row r="1071" customFormat="false" ht="15" hidden="false" customHeight="false" outlineLevel="0" collapsed="false">
      <c r="A1071" s="6" t="n">
        <v>1067</v>
      </c>
      <c r="B1071" s="7" t="s">
        <v>1719</v>
      </c>
      <c r="C1071" s="8" t="s">
        <v>52</v>
      </c>
      <c r="D1071" s="9" t="n">
        <v>0.0109853009259259</v>
      </c>
      <c r="E1071" s="10" t="n">
        <v>1068</v>
      </c>
      <c r="F1071" s="11"/>
      <c r="G1071" s="12"/>
      <c r="H1071" s="11" t="n">
        <v>0.00291886574074074</v>
      </c>
      <c r="I1071" s="12" t="n">
        <v>1082</v>
      </c>
      <c r="J1071" s="14"/>
      <c r="K1071" s="14"/>
      <c r="L1071" s="14"/>
      <c r="M1071" s="13"/>
    </row>
    <row r="1072" customFormat="false" ht="15" hidden="false" customHeight="false" outlineLevel="0" collapsed="false">
      <c r="A1072" s="6" t="n">
        <v>1068</v>
      </c>
      <c r="B1072" s="7" t="s">
        <v>1720</v>
      </c>
      <c r="C1072" s="8" t="s">
        <v>1721</v>
      </c>
      <c r="D1072" s="9" t="n">
        <v>0.0109855324074074</v>
      </c>
      <c r="E1072" s="10" t="n">
        <v>1069</v>
      </c>
      <c r="F1072" s="11" t="n">
        <v>0.00734363425925926</v>
      </c>
      <c r="G1072" s="12" t="n">
        <v>700</v>
      </c>
      <c r="H1072" s="11" t="n">
        <v>0.0028556712962963</v>
      </c>
      <c r="I1072" s="12" t="n">
        <v>601</v>
      </c>
      <c r="J1072" s="14"/>
      <c r="K1072" s="14"/>
      <c r="L1072" s="14"/>
      <c r="M1072" s="13"/>
    </row>
    <row r="1073" customFormat="false" ht="15" hidden="false" customHeight="false" outlineLevel="0" collapsed="false">
      <c r="A1073" s="6" t="n">
        <v>1069</v>
      </c>
      <c r="B1073" s="7" t="s">
        <v>1722</v>
      </c>
      <c r="C1073" s="8" t="s">
        <v>1139</v>
      </c>
      <c r="D1073" s="9" t="n">
        <v>0.0109861111111111</v>
      </c>
      <c r="E1073" s="10" t="n">
        <v>1070</v>
      </c>
      <c r="F1073" s="11" t="n">
        <v>0.00677037037037037</v>
      </c>
      <c r="G1073" s="12" t="n">
        <v>147</v>
      </c>
      <c r="H1073" s="11"/>
      <c r="I1073" s="12"/>
      <c r="J1073" s="14"/>
      <c r="K1073" s="14"/>
      <c r="L1073" s="14"/>
      <c r="M1073" s="13"/>
    </row>
    <row r="1074" customFormat="false" ht="15" hidden="false" customHeight="false" outlineLevel="0" collapsed="false">
      <c r="A1074" s="6" t="n">
        <v>1070</v>
      </c>
      <c r="B1074" s="7" t="s">
        <v>1723</v>
      </c>
      <c r="C1074" s="8" t="s">
        <v>1724</v>
      </c>
      <c r="D1074" s="9" t="n">
        <v>0.0109863425925926</v>
      </c>
      <c r="E1074" s="10" t="n">
        <v>1071</v>
      </c>
      <c r="F1074" s="11"/>
      <c r="G1074" s="12"/>
      <c r="H1074" s="11"/>
      <c r="I1074" s="12"/>
      <c r="J1074" s="14"/>
      <c r="K1074" s="14"/>
      <c r="L1074" s="14"/>
      <c r="M1074" s="13"/>
    </row>
    <row r="1075" customFormat="false" ht="15" hidden="false" customHeight="false" outlineLevel="0" collapsed="false">
      <c r="A1075" s="6" t="n">
        <v>1071</v>
      </c>
      <c r="B1075" s="7" t="s">
        <v>1725</v>
      </c>
      <c r="C1075" s="8" t="s">
        <v>1726</v>
      </c>
      <c r="D1075" s="9" t="n">
        <v>0.0109864583333333</v>
      </c>
      <c r="E1075" s="10" t="n">
        <v>1072</v>
      </c>
      <c r="F1075" s="11"/>
      <c r="G1075" s="12"/>
      <c r="H1075" s="11" t="n">
        <v>0.00284097222222222</v>
      </c>
      <c r="I1075" s="12" t="n">
        <v>507</v>
      </c>
      <c r="J1075" s="14"/>
      <c r="K1075" s="14"/>
      <c r="L1075" s="14"/>
      <c r="M1075" s="13"/>
    </row>
    <row r="1076" customFormat="false" ht="15" hidden="false" customHeight="false" outlineLevel="0" collapsed="false">
      <c r="A1076" s="6" t="n">
        <v>1072</v>
      </c>
      <c r="B1076" s="7" t="s">
        <v>1727</v>
      </c>
      <c r="C1076" s="8" t="s">
        <v>58</v>
      </c>
      <c r="D1076" s="9" t="n">
        <v>0.0109865740740741</v>
      </c>
      <c r="E1076" s="10" t="n">
        <v>1073</v>
      </c>
      <c r="F1076" s="11" t="n">
        <v>0.00661006944444444</v>
      </c>
      <c r="G1076" s="12" t="n">
        <v>70</v>
      </c>
      <c r="H1076" s="11" t="n">
        <v>0.00288993055555556</v>
      </c>
      <c r="I1076" s="12" t="n">
        <v>864</v>
      </c>
      <c r="J1076" s="14" t="s">
        <v>1728</v>
      </c>
      <c r="K1076" s="14"/>
      <c r="L1076" s="14"/>
      <c r="M1076" s="13"/>
    </row>
    <row r="1077" customFormat="false" ht="15" hidden="false" customHeight="false" outlineLevel="0" collapsed="false">
      <c r="A1077" s="6" t="n">
        <v>1073</v>
      </c>
      <c r="B1077" s="7" t="s">
        <v>1729</v>
      </c>
      <c r="C1077" s="8" t="s">
        <v>1730</v>
      </c>
      <c r="D1077" s="9" t="n">
        <v>0.0109866898148148</v>
      </c>
      <c r="E1077" s="10" t="n">
        <v>1074</v>
      </c>
      <c r="F1077" s="11" t="n">
        <v>0.00723148148148148</v>
      </c>
      <c r="G1077" s="12" t="n">
        <v>575</v>
      </c>
      <c r="H1077" s="11" t="n">
        <v>0.00285983796296296</v>
      </c>
      <c r="I1077" s="12" t="n">
        <v>632</v>
      </c>
      <c r="J1077" s="14"/>
      <c r="K1077" s="14"/>
      <c r="L1077" s="14"/>
      <c r="M1077" s="13"/>
    </row>
    <row r="1078" customFormat="false" ht="15" hidden="false" customHeight="false" outlineLevel="0" collapsed="false">
      <c r="A1078" s="6" t="n">
        <v>1074</v>
      </c>
      <c r="B1078" s="7" t="s">
        <v>1731</v>
      </c>
      <c r="C1078" s="8" t="s">
        <v>1732</v>
      </c>
      <c r="D1078" s="9" t="n">
        <v>0.0109871527777778</v>
      </c>
      <c r="E1078" s="10" t="n">
        <v>1075</v>
      </c>
      <c r="F1078" s="11"/>
      <c r="G1078" s="12"/>
      <c r="H1078" s="11"/>
      <c r="I1078" s="12"/>
      <c r="J1078" s="14"/>
      <c r="K1078" s="14"/>
      <c r="L1078" s="14"/>
      <c r="M1078" s="13"/>
    </row>
    <row r="1079" customFormat="false" ht="15" hidden="false" customHeight="false" outlineLevel="0" collapsed="false">
      <c r="A1079" s="6" t="n">
        <v>1075</v>
      </c>
      <c r="B1079" s="7" t="s">
        <v>1733</v>
      </c>
      <c r="C1079" s="8" t="s">
        <v>138</v>
      </c>
      <c r="D1079" s="9" t="n">
        <v>0.0109872685185185</v>
      </c>
      <c r="E1079" s="10" t="n">
        <v>1076</v>
      </c>
      <c r="F1079" s="11" t="n">
        <v>0.00740451388888889</v>
      </c>
      <c r="G1079" s="12" t="n">
        <v>777</v>
      </c>
      <c r="H1079" s="11" t="n">
        <v>0.00289212962962963</v>
      </c>
      <c r="I1079" s="12" t="n">
        <v>892</v>
      </c>
      <c r="J1079" s="14"/>
      <c r="K1079" s="14"/>
      <c r="L1079" s="14"/>
      <c r="M1079" s="13"/>
    </row>
    <row r="1080" customFormat="false" ht="15" hidden="false" customHeight="false" outlineLevel="0" collapsed="false">
      <c r="A1080" s="6" t="n">
        <v>1076</v>
      </c>
      <c r="B1080" s="7" t="s">
        <v>1734</v>
      </c>
      <c r="C1080" s="8" t="s">
        <v>236</v>
      </c>
      <c r="D1080" s="9" t="n">
        <v>0.0109878472222222</v>
      </c>
      <c r="E1080" s="10" t="n">
        <v>1077</v>
      </c>
      <c r="F1080" s="11"/>
      <c r="G1080" s="12"/>
      <c r="H1080" s="11"/>
      <c r="I1080" s="12"/>
      <c r="J1080" s="14"/>
      <c r="K1080" s="14"/>
      <c r="L1080" s="14"/>
      <c r="M1080" s="13"/>
    </row>
    <row r="1081" customFormat="false" ht="15" hidden="false" customHeight="false" outlineLevel="0" collapsed="false">
      <c r="A1081" s="6" t="n">
        <v>1077</v>
      </c>
      <c r="B1081" s="7" t="s">
        <v>1735</v>
      </c>
      <c r="C1081" s="8" t="s">
        <v>70</v>
      </c>
      <c r="D1081" s="9" t="n">
        <v>0.0109891203703704</v>
      </c>
      <c r="E1081" s="10" t="n">
        <v>1078</v>
      </c>
      <c r="F1081" s="11"/>
      <c r="G1081" s="12"/>
      <c r="H1081" s="11" t="n">
        <v>0.00288287037037037</v>
      </c>
      <c r="I1081" s="12" t="n">
        <v>801</v>
      </c>
      <c r="J1081" s="14"/>
      <c r="K1081" s="14"/>
      <c r="L1081" s="14"/>
      <c r="M1081" s="13"/>
    </row>
    <row r="1082" customFormat="false" ht="15" hidden="false" customHeight="false" outlineLevel="0" collapsed="false">
      <c r="A1082" s="6" t="n">
        <v>1078</v>
      </c>
      <c r="B1082" s="7" t="s">
        <v>1736</v>
      </c>
      <c r="C1082" s="8" t="s">
        <v>471</v>
      </c>
      <c r="D1082" s="9" t="n">
        <v>0.0109903935185185</v>
      </c>
      <c r="E1082" s="10" t="n">
        <v>1079</v>
      </c>
      <c r="F1082" s="11"/>
      <c r="G1082" s="12"/>
      <c r="H1082" s="11" t="n">
        <v>0.00280266203703704</v>
      </c>
      <c r="I1082" s="12" t="n">
        <v>293</v>
      </c>
      <c r="J1082" s="14"/>
      <c r="K1082" s="14"/>
      <c r="L1082" s="14"/>
      <c r="M1082" s="13"/>
    </row>
    <row r="1083" customFormat="false" ht="15" hidden="false" customHeight="false" outlineLevel="0" collapsed="false">
      <c r="A1083" s="6" t="n">
        <v>1079</v>
      </c>
      <c r="B1083" s="7" t="s">
        <v>1737</v>
      </c>
      <c r="C1083" s="8" t="s">
        <v>1738</v>
      </c>
      <c r="D1083" s="9" t="n">
        <v>0.0109907407407407</v>
      </c>
      <c r="E1083" s="10" t="n">
        <v>1080</v>
      </c>
      <c r="F1083" s="11"/>
      <c r="G1083" s="12"/>
      <c r="H1083" s="11" t="n">
        <v>0.0028693287037037</v>
      </c>
      <c r="I1083" s="12" t="n">
        <v>689</v>
      </c>
      <c r="J1083" s="14"/>
      <c r="K1083" s="14"/>
      <c r="L1083" s="14"/>
      <c r="M1083" s="13"/>
    </row>
    <row r="1084" customFormat="false" ht="15" hidden="false" customHeight="false" outlineLevel="0" collapsed="false">
      <c r="A1084" s="6" t="n">
        <v>1080</v>
      </c>
      <c r="B1084" s="7" t="s">
        <v>1739</v>
      </c>
      <c r="C1084" s="8" t="s">
        <v>1740</v>
      </c>
      <c r="D1084" s="9" t="n">
        <v>0.0109909722222222</v>
      </c>
      <c r="E1084" s="10" t="n">
        <v>1081</v>
      </c>
      <c r="F1084" s="11" t="n">
        <v>0.00721296296296296</v>
      </c>
      <c r="G1084" s="12" t="n">
        <v>550</v>
      </c>
      <c r="H1084" s="11"/>
      <c r="I1084" s="12"/>
      <c r="J1084" s="14" t="s">
        <v>1741</v>
      </c>
      <c r="K1084" s="14"/>
      <c r="L1084" s="14"/>
      <c r="M1084" s="13"/>
    </row>
    <row r="1085" customFormat="false" ht="15" hidden="false" customHeight="false" outlineLevel="0" collapsed="false">
      <c r="A1085" s="6" t="n">
        <v>1081</v>
      </c>
      <c r="B1085" s="7" t="s">
        <v>1742</v>
      </c>
      <c r="C1085" s="8" t="s">
        <v>1743</v>
      </c>
      <c r="D1085" s="9" t="n">
        <v>0.0109918981481482</v>
      </c>
      <c r="E1085" s="10" t="n">
        <v>1082</v>
      </c>
      <c r="F1085" s="11" t="n">
        <v>0.00689988425925926</v>
      </c>
      <c r="G1085" s="12" t="n">
        <v>240</v>
      </c>
      <c r="H1085" s="11"/>
      <c r="I1085" s="12"/>
      <c r="J1085" s="14"/>
      <c r="K1085" s="14"/>
      <c r="L1085" s="14"/>
      <c r="M1085" s="13"/>
    </row>
    <row r="1086" customFormat="false" ht="15" hidden="false" customHeight="false" outlineLevel="0" collapsed="false">
      <c r="A1086" s="6" t="n">
        <v>1082</v>
      </c>
      <c r="B1086" s="7" t="s">
        <v>1744</v>
      </c>
      <c r="C1086" s="8" t="s">
        <v>484</v>
      </c>
      <c r="D1086" s="9" t="n">
        <v>0.0109921296296296</v>
      </c>
      <c r="E1086" s="10" t="n">
        <v>1083</v>
      </c>
      <c r="F1086" s="11"/>
      <c r="G1086" s="12"/>
      <c r="H1086" s="11"/>
      <c r="I1086" s="12"/>
      <c r="J1086" s="14"/>
      <c r="K1086" s="14"/>
      <c r="L1086" s="14"/>
      <c r="M1086" s="13"/>
    </row>
    <row r="1087" customFormat="false" ht="15" hidden="false" customHeight="false" outlineLevel="0" collapsed="false">
      <c r="A1087" s="6" t="n">
        <v>1083</v>
      </c>
      <c r="B1087" s="7" t="s">
        <v>1745</v>
      </c>
      <c r="C1087" s="8" t="s">
        <v>1042</v>
      </c>
      <c r="D1087" s="9" t="n">
        <v>0.0109925925925926</v>
      </c>
      <c r="E1087" s="10" t="n">
        <v>1084</v>
      </c>
      <c r="F1087" s="11" t="n">
        <v>0.00699201388888889</v>
      </c>
      <c r="G1087" s="12" t="n">
        <v>326</v>
      </c>
      <c r="H1087" s="11" t="n">
        <v>0.00289224537037037</v>
      </c>
      <c r="I1087" s="12" t="n">
        <v>893</v>
      </c>
      <c r="J1087" s="14"/>
      <c r="K1087" s="14"/>
      <c r="L1087" s="14"/>
      <c r="M1087" s="13"/>
    </row>
    <row r="1088" customFormat="false" ht="15" hidden="false" customHeight="false" outlineLevel="0" collapsed="false">
      <c r="A1088" s="6" t="n">
        <v>1084</v>
      </c>
      <c r="B1088" s="7" t="s">
        <v>1746</v>
      </c>
      <c r="C1088" s="8" t="s">
        <v>839</v>
      </c>
      <c r="D1088" s="9" t="n">
        <v>0.0109927083333333</v>
      </c>
      <c r="E1088" s="10" t="n">
        <v>1085</v>
      </c>
      <c r="F1088" s="11" t="n">
        <v>0.0068556712962963</v>
      </c>
      <c r="G1088" s="12" t="n">
        <v>205</v>
      </c>
      <c r="H1088" s="11"/>
      <c r="I1088" s="12"/>
      <c r="J1088" s="14"/>
      <c r="K1088" s="14"/>
      <c r="L1088" s="14"/>
      <c r="M1088" s="13"/>
    </row>
    <row r="1089" customFormat="false" ht="15" hidden="false" customHeight="false" outlineLevel="0" collapsed="false">
      <c r="A1089" s="6" t="n">
        <v>1085</v>
      </c>
      <c r="B1089" s="7" t="s">
        <v>1747</v>
      </c>
      <c r="C1089" s="8" t="s">
        <v>1748</v>
      </c>
      <c r="D1089" s="9" t="n">
        <v>0.0109936342592593</v>
      </c>
      <c r="E1089" s="10" t="n">
        <v>1086</v>
      </c>
      <c r="F1089" s="11" t="n">
        <v>0.00649803240740741</v>
      </c>
      <c r="G1089" s="12" t="n">
        <v>35</v>
      </c>
      <c r="H1089" s="11" t="n">
        <v>0.00290150462962963</v>
      </c>
      <c r="I1089" s="12" t="n">
        <v>958</v>
      </c>
      <c r="J1089" s="14"/>
      <c r="K1089" s="14"/>
      <c r="L1089" s="14"/>
      <c r="M1089" s="13"/>
    </row>
    <row r="1090" customFormat="false" ht="15" hidden="false" customHeight="false" outlineLevel="0" collapsed="false">
      <c r="A1090" s="6" t="n">
        <v>1086</v>
      </c>
      <c r="B1090" s="7" t="s">
        <v>1749</v>
      </c>
      <c r="C1090" s="8" t="s">
        <v>192</v>
      </c>
      <c r="D1090" s="9" t="n">
        <v>0.0109949074074074</v>
      </c>
      <c r="E1090" s="10" t="n">
        <v>1087</v>
      </c>
      <c r="F1090" s="11"/>
      <c r="G1090" s="12"/>
      <c r="H1090" s="11"/>
      <c r="I1090" s="12"/>
      <c r="J1090" s="14"/>
      <c r="K1090" s="14"/>
      <c r="L1090" s="14"/>
      <c r="M1090" s="13"/>
    </row>
    <row r="1091" customFormat="false" ht="15" hidden="false" customHeight="false" outlineLevel="0" collapsed="false">
      <c r="A1091" s="6" t="n">
        <v>1087</v>
      </c>
      <c r="B1091" s="7" t="s">
        <v>1750</v>
      </c>
      <c r="C1091" s="8" t="s">
        <v>1262</v>
      </c>
      <c r="D1091" s="9" t="n">
        <v>0.0109949074074074</v>
      </c>
      <c r="E1091" s="10" t="n">
        <v>1088</v>
      </c>
      <c r="F1091" s="11" t="n">
        <v>0.00703831018518519</v>
      </c>
      <c r="G1091" s="12" t="n">
        <v>370</v>
      </c>
      <c r="H1091" s="11" t="n">
        <v>0.00291365740740741</v>
      </c>
      <c r="I1091" s="12" t="n">
        <v>1048</v>
      </c>
      <c r="J1091" s="14"/>
      <c r="K1091" s="14"/>
      <c r="L1091" s="14"/>
      <c r="M1091" s="13"/>
    </row>
    <row r="1092" customFormat="false" ht="15" hidden="false" customHeight="false" outlineLevel="0" collapsed="false">
      <c r="A1092" s="6" t="n">
        <v>1088</v>
      </c>
      <c r="B1092" s="7" t="s">
        <v>1751</v>
      </c>
      <c r="C1092" s="8" t="s">
        <v>1752</v>
      </c>
      <c r="D1092" s="9" t="n">
        <v>0.0109954861111111</v>
      </c>
      <c r="E1092" s="10" t="n">
        <v>1089</v>
      </c>
      <c r="F1092" s="11" t="n">
        <v>0.00730405092592593</v>
      </c>
      <c r="G1092" s="12" t="n">
        <v>651</v>
      </c>
      <c r="H1092" s="11"/>
      <c r="I1092" s="12"/>
      <c r="J1092" s="14"/>
      <c r="K1092" s="14"/>
      <c r="L1092" s="14"/>
      <c r="M1092" s="13"/>
    </row>
    <row r="1093" customFormat="false" ht="15" hidden="false" customHeight="false" outlineLevel="0" collapsed="false">
      <c r="A1093" s="6" t="n">
        <v>1089</v>
      </c>
      <c r="B1093" s="7" t="s">
        <v>1753</v>
      </c>
      <c r="C1093" s="8" t="s">
        <v>122</v>
      </c>
      <c r="D1093" s="9" t="n">
        <v>0.0109961805555556</v>
      </c>
      <c r="E1093" s="10" t="n">
        <v>1090</v>
      </c>
      <c r="F1093" s="11"/>
      <c r="G1093" s="12"/>
      <c r="H1093" s="11"/>
      <c r="I1093" s="12"/>
      <c r="J1093" s="14"/>
      <c r="K1093" s="14"/>
      <c r="L1093" s="14"/>
      <c r="M1093" s="13"/>
    </row>
    <row r="1094" customFormat="false" ht="15" hidden="false" customHeight="false" outlineLevel="0" collapsed="false">
      <c r="A1094" s="6" t="n">
        <v>1090</v>
      </c>
      <c r="B1094" s="7" t="s">
        <v>1754</v>
      </c>
      <c r="C1094" s="8" t="s">
        <v>704</v>
      </c>
      <c r="D1094" s="9" t="n">
        <v>0.0109961805555556</v>
      </c>
      <c r="E1094" s="10" t="n">
        <v>1091</v>
      </c>
      <c r="F1094" s="11"/>
      <c r="G1094" s="12"/>
      <c r="H1094" s="11"/>
      <c r="I1094" s="12"/>
      <c r="J1094" s="14"/>
      <c r="K1094" s="14"/>
      <c r="L1094" s="14"/>
      <c r="M1094" s="13"/>
    </row>
    <row r="1095" customFormat="false" ht="15" hidden="false" customHeight="false" outlineLevel="0" collapsed="false">
      <c r="A1095" s="6" t="n">
        <v>1091</v>
      </c>
      <c r="B1095" s="7" t="s">
        <v>1755</v>
      </c>
      <c r="C1095" s="8" t="s">
        <v>1756</v>
      </c>
      <c r="D1095" s="9" t="n">
        <v>0.0109965277777778</v>
      </c>
      <c r="E1095" s="10" t="n">
        <v>1092</v>
      </c>
      <c r="F1095" s="11"/>
      <c r="G1095" s="12"/>
      <c r="H1095" s="11"/>
      <c r="I1095" s="12"/>
      <c r="J1095" s="14"/>
      <c r="K1095" s="14"/>
      <c r="L1095" s="14"/>
      <c r="M1095" s="13"/>
    </row>
    <row r="1096" customFormat="false" ht="15" hidden="false" customHeight="false" outlineLevel="0" collapsed="false">
      <c r="A1096" s="6" t="n">
        <v>1092</v>
      </c>
      <c r="B1096" s="7" t="s">
        <v>1757</v>
      </c>
      <c r="C1096" s="8" t="s">
        <v>1758</v>
      </c>
      <c r="D1096" s="9" t="n">
        <v>0.0109971064814815</v>
      </c>
      <c r="E1096" s="10" t="n">
        <v>1093</v>
      </c>
      <c r="F1096" s="11"/>
      <c r="G1096" s="12"/>
      <c r="H1096" s="11" t="n">
        <v>0.00282384259259259</v>
      </c>
      <c r="I1096" s="12" t="n">
        <v>386</v>
      </c>
      <c r="J1096" s="14"/>
      <c r="K1096" s="14"/>
      <c r="L1096" s="14"/>
      <c r="M1096" s="13"/>
    </row>
    <row r="1097" customFormat="false" ht="15" hidden="false" customHeight="false" outlineLevel="0" collapsed="false">
      <c r="A1097" s="6" t="n">
        <v>1093</v>
      </c>
      <c r="B1097" s="7" t="s">
        <v>1759</v>
      </c>
      <c r="C1097" s="8" t="s">
        <v>44</v>
      </c>
      <c r="D1097" s="9" t="n">
        <v>0.0109979166666667</v>
      </c>
      <c r="E1097" s="10" t="n">
        <v>1094</v>
      </c>
      <c r="F1097" s="11"/>
      <c r="G1097" s="12"/>
      <c r="H1097" s="11"/>
      <c r="I1097" s="12"/>
      <c r="J1097" s="14"/>
      <c r="K1097" s="14"/>
      <c r="L1097" s="14"/>
      <c r="M1097" s="13"/>
    </row>
    <row r="1098" customFormat="false" ht="15" hidden="false" customHeight="false" outlineLevel="0" collapsed="false">
      <c r="A1098" s="6" t="n">
        <v>1094</v>
      </c>
      <c r="B1098" s="7" t="s">
        <v>1760</v>
      </c>
      <c r="C1098" s="8" t="s">
        <v>1761</v>
      </c>
      <c r="D1098" s="9" t="n">
        <v>0.0109983796296296</v>
      </c>
      <c r="E1098" s="10" t="n">
        <v>1095</v>
      </c>
      <c r="F1098" s="11"/>
      <c r="G1098" s="12"/>
      <c r="H1098" s="11"/>
      <c r="I1098" s="12"/>
      <c r="J1098" s="14"/>
      <c r="K1098" s="14"/>
      <c r="L1098" s="14"/>
      <c r="M1098" s="13"/>
    </row>
    <row r="1099" customFormat="false" ht="15" hidden="false" customHeight="false" outlineLevel="0" collapsed="false">
      <c r="A1099" s="6" t="n">
        <v>1095</v>
      </c>
      <c r="B1099" s="7" t="s">
        <v>1762</v>
      </c>
      <c r="C1099" s="8" t="s">
        <v>370</v>
      </c>
      <c r="D1099" s="9" t="n">
        <v>0.010999537037037</v>
      </c>
      <c r="E1099" s="10" t="n">
        <v>1096</v>
      </c>
      <c r="F1099" s="11" t="n">
        <v>0.006784375</v>
      </c>
      <c r="G1099" s="12" t="n">
        <v>160</v>
      </c>
      <c r="H1099" s="11"/>
      <c r="I1099" s="12"/>
      <c r="J1099" s="14"/>
      <c r="K1099" s="14"/>
      <c r="L1099" s="14"/>
      <c r="M1099" s="13"/>
    </row>
    <row r="1100" customFormat="false" ht="15" hidden="false" customHeight="false" outlineLevel="0" collapsed="false">
      <c r="A1100" s="6" t="n">
        <v>1096</v>
      </c>
      <c r="B1100" s="7" t="s">
        <v>1763</v>
      </c>
      <c r="C1100" s="8" t="s">
        <v>1402</v>
      </c>
      <c r="D1100" s="9" t="n">
        <v>0.0110001157407407</v>
      </c>
      <c r="E1100" s="10" t="n">
        <v>1097</v>
      </c>
      <c r="F1100" s="11" t="n">
        <v>0.00709780092592593</v>
      </c>
      <c r="G1100" s="12" t="n">
        <v>447</v>
      </c>
      <c r="H1100" s="11"/>
      <c r="I1100" s="12"/>
      <c r="J1100" s="14" t="s">
        <v>1764</v>
      </c>
      <c r="K1100" s="14"/>
      <c r="L1100" s="14"/>
      <c r="M1100" s="13"/>
    </row>
    <row r="1101" customFormat="false" ht="15" hidden="false" customHeight="false" outlineLevel="0" collapsed="false">
      <c r="A1101" s="6" t="n">
        <v>1097</v>
      </c>
      <c r="B1101" s="7" t="s">
        <v>1765</v>
      </c>
      <c r="C1101" s="8" t="s">
        <v>120</v>
      </c>
      <c r="D1101" s="9" t="n">
        <v>0.0110020833333333</v>
      </c>
      <c r="E1101" s="10" t="n">
        <v>1098</v>
      </c>
      <c r="F1101" s="11" t="n">
        <v>0.00689513888888889</v>
      </c>
      <c r="G1101" s="12" t="n">
        <v>235</v>
      </c>
      <c r="H1101" s="11" t="n">
        <v>0.00285775462962963</v>
      </c>
      <c r="I1101" s="12" t="n">
        <v>621</v>
      </c>
      <c r="J1101" s="14"/>
      <c r="K1101" s="14"/>
      <c r="L1101" s="14"/>
      <c r="M1101" s="13"/>
    </row>
    <row r="1102" customFormat="false" ht="15" hidden="false" customHeight="false" outlineLevel="0" collapsed="false">
      <c r="A1102" s="6" t="n">
        <v>1098</v>
      </c>
      <c r="B1102" s="7" t="s">
        <v>1766</v>
      </c>
      <c r="C1102" s="8" t="s">
        <v>1767</v>
      </c>
      <c r="D1102" s="9" t="n">
        <v>0.0110024305555556</v>
      </c>
      <c r="E1102" s="10" t="n">
        <v>1099</v>
      </c>
      <c r="F1102" s="11"/>
      <c r="G1102" s="12"/>
      <c r="H1102" s="11" t="n">
        <v>0.00291053240740741</v>
      </c>
      <c r="I1102" s="12" t="n">
        <v>1026</v>
      </c>
      <c r="J1102" s="14"/>
      <c r="K1102" s="14"/>
      <c r="L1102" s="14"/>
      <c r="M1102" s="13"/>
    </row>
    <row r="1103" customFormat="false" ht="15" hidden="false" customHeight="false" outlineLevel="0" collapsed="false">
      <c r="A1103" s="6" t="n">
        <v>1099</v>
      </c>
      <c r="B1103" s="7" t="s">
        <v>1768</v>
      </c>
      <c r="C1103" s="8" t="s">
        <v>1769</v>
      </c>
      <c r="D1103" s="9" t="n">
        <v>0.0110045138888889</v>
      </c>
      <c r="E1103" s="10" t="n">
        <v>1100</v>
      </c>
      <c r="F1103" s="11"/>
      <c r="G1103" s="12"/>
      <c r="H1103" s="11"/>
      <c r="I1103" s="12"/>
      <c r="J1103" s="14"/>
      <c r="K1103" s="14"/>
      <c r="L1103" s="14"/>
      <c r="M1103" s="13"/>
    </row>
    <row r="1104" customFormat="false" ht="15" hidden="false" customHeight="false" outlineLevel="0" collapsed="false">
      <c r="A1104" s="6" t="n">
        <v>1100</v>
      </c>
      <c r="B1104" s="7" t="s">
        <v>1770</v>
      </c>
      <c r="C1104" s="8" t="s">
        <v>1583</v>
      </c>
      <c r="D1104" s="9" t="n">
        <v>0.0110046296296296</v>
      </c>
      <c r="E1104" s="10" t="n">
        <v>1101</v>
      </c>
      <c r="F1104" s="11"/>
      <c r="G1104" s="12"/>
      <c r="H1104" s="11" t="n">
        <v>0.0028599537037037</v>
      </c>
      <c r="I1104" s="12" t="n">
        <v>634</v>
      </c>
      <c r="J1104" s="14"/>
      <c r="K1104" s="14" t="s">
        <v>1771</v>
      </c>
      <c r="L1104" s="14"/>
      <c r="M1104" s="13"/>
    </row>
    <row r="1105" customFormat="false" ht="15" hidden="false" customHeight="false" outlineLevel="0" collapsed="false">
      <c r="A1105" s="6" t="n">
        <v>1101</v>
      </c>
      <c r="B1105" s="7" t="s">
        <v>1772</v>
      </c>
      <c r="C1105" s="8" t="s">
        <v>1773</v>
      </c>
      <c r="D1105" s="9" t="n">
        <v>0.0110052083333333</v>
      </c>
      <c r="E1105" s="10" t="n">
        <v>1102</v>
      </c>
      <c r="F1105" s="11"/>
      <c r="G1105" s="12"/>
      <c r="H1105" s="11" t="n">
        <v>0.00296041666666667</v>
      </c>
      <c r="I1105" s="12" t="n">
        <v>1274</v>
      </c>
      <c r="J1105" s="14"/>
      <c r="K1105" s="14"/>
      <c r="L1105" s="14"/>
      <c r="M1105" s="13"/>
    </row>
    <row r="1106" customFormat="false" ht="15" hidden="false" customHeight="false" outlineLevel="0" collapsed="false">
      <c r="A1106" s="6" t="n">
        <v>1102</v>
      </c>
      <c r="B1106" s="7" t="s">
        <v>1774</v>
      </c>
      <c r="C1106" s="8" t="s">
        <v>1775</v>
      </c>
      <c r="D1106" s="9" t="n">
        <v>0.01100625</v>
      </c>
      <c r="E1106" s="10" t="n">
        <v>1103</v>
      </c>
      <c r="F1106" s="11"/>
      <c r="G1106" s="12"/>
      <c r="H1106" s="11" t="n">
        <v>0.00286990740740741</v>
      </c>
      <c r="I1106" s="12" t="n">
        <v>694</v>
      </c>
      <c r="J1106" s="14"/>
      <c r="K1106" s="14"/>
      <c r="L1106" s="14"/>
      <c r="M1106" s="13"/>
    </row>
    <row r="1107" customFormat="false" ht="15" hidden="false" customHeight="false" outlineLevel="0" collapsed="false">
      <c r="A1107" s="6" t="n">
        <v>1103</v>
      </c>
      <c r="B1107" s="7" t="s">
        <v>1776</v>
      </c>
      <c r="C1107" s="8" t="s">
        <v>410</v>
      </c>
      <c r="D1107" s="9" t="n">
        <v>0.011006712962963</v>
      </c>
      <c r="E1107" s="10" t="n">
        <v>1104</v>
      </c>
      <c r="F1107" s="11" t="n">
        <v>0.00702592592592593</v>
      </c>
      <c r="G1107" s="12" t="n">
        <v>359</v>
      </c>
      <c r="H1107" s="11"/>
      <c r="I1107" s="12"/>
      <c r="J1107" s="14"/>
      <c r="K1107" s="14"/>
      <c r="L1107" s="14"/>
      <c r="M1107" s="13"/>
    </row>
    <row r="1108" customFormat="false" ht="15" hidden="false" customHeight="false" outlineLevel="0" collapsed="false">
      <c r="A1108" s="6" t="n">
        <v>1104</v>
      </c>
      <c r="B1108" s="7" t="s">
        <v>1777</v>
      </c>
      <c r="C1108" s="8" t="s">
        <v>333</v>
      </c>
      <c r="D1108" s="9" t="n">
        <v>0.0110074074074074</v>
      </c>
      <c r="E1108" s="10" t="n">
        <v>1105</v>
      </c>
      <c r="F1108" s="11"/>
      <c r="G1108" s="12"/>
      <c r="H1108" s="11"/>
      <c r="I1108" s="12"/>
      <c r="J1108" s="14"/>
      <c r="K1108" s="14"/>
      <c r="L1108" s="14"/>
      <c r="M1108" s="13"/>
    </row>
    <row r="1109" customFormat="false" ht="15" hidden="false" customHeight="false" outlineLevel="0" collapsed="false">
      <c r="A1109" s="6" t="n">
        <v>1105</v>
      </c>
      <c r="B1109" s="7" t="s">
        <v>1778</v>
      </c>
      <c r="C1109" s="8" t="s">
        <v>440</v>
      </c>
      <c r="D1109" s="9" t="n">
        <v>0.0110075231481482</v>
      </c>
      <c r="E1109" s="10" t="n">
        <v>1106</v>
      </c>
      <c r="F1109" s="11"/>
      <c r="G1109" s="12"/>
      <c r="H1109" s="11"/>
      <c r="I1109" s="12"/>
      <c r="J1109" s="14"/>
      <c r="K1109" s="14"/>
      <c r="L1109" s="14"/>
      <c r="M1109" s="13"/>
    </row>
    <row r="1110" customFormat="false" ht="15" hidden="false" customHeight="false" outlineLevel="0" collapsed="false">
      <c r="A1110" s="6" t="n">
        <v>1106</v>
      </c>
      <c r="B1110" s="7" t="s">
        <v>1779</v>
      </c>
      <c r="C1110" s="8" t="s">
        <v>399</v>
      </c>
      <c r="D1110" s="9" t="n">
        <v>0.0110081018518519</v>
      </c>
      <c r="E1110" s="10" t="n">
        <v>1107</v>
      </c>
      <c r="F1110" s="11"/>
      <c r="G1110" s="12"/>
      <c r="H1110" s="11"/>
      <c r="I1110" s="12"/>
      <c r="J1110" s="14"/>
      <c r="K1110" s="14"/>
      <c r="L1110" s="14"/>
      <c r="M1110" s="13"/>
    </row>
    <row r="1111" customFormat="false" ht="15" hidden="false" customHeight="false" outlineLevel="0" collapsed="false">
      <c r="A1111" s="6" t="n">
        <v>1107</v>
      </c>
      <c r="B1111" s="7" t="s">
        <v>1780</v>
      </c>
      <c r="C1111" s="8" t="s">
        <v>1147</v>
      </c>
      <c r="D1111" s="9" t="n">
        <v>0.0110085648148148</v>
      </c>
      <c r="E1111" s="10" t="n">
        <v>1108</v>
      </c>
      <c r="F1111" s="11"/>
      <c r="G1111" s="12"/>
      <c r="H1111" s="11" t="n">
        <v>0.00291956018518519</v>
      </c>
      <c r="I1111" s="12" t="n">
        <v>1090</v>
      </c>
      <c r="J1111" s="14"/>
      <c r="K1111" s="14"/>
      <c r="L1111" s="14"/>
      <c r="M1111" s="13"/>
    </row>
    <row r="1112" customFormat="false" ht="15" hidden="false" customHeight="false" outlineLevel="0" collapsed="false">
      <c r="A1112" s="6" t="n">
        <v>1108</v>
      </c>
      <c r="B1112" s="7" t="s">
        <v>1781</v>
      </c>
      <c r="C1112" s="8" t="s">
        <v>138</v>
      </c>
      <c r="D1112" s="9" t="n">
        <v>0.0110094907407407</v>
      </c>
      <c r="E1112" s="10" t="n">
        <v>1109</v>
      </c>
      <c r="F1112" s="11"/>
      <c r="G1112" s="12"/>
      <c r="H1112" s="11"/>
      <c r="I1112" s="12"/>
      <c r="J1112" s="14"/>
      <c r="K1112" s="14"/>
      <c r="L1112" s="14"/>
      <c r="M1112" s="13"/>
    </row>
    <row r="1113" customFormat="false" ht="15" hidden="false" customHeight="false" outlineLevel="0" collapsed="false">
      <c r="A1113" s="6" t="n">
        <v>1109</v>
      </c>
      <c r="B1113" s="7" t="s">
        <v>1782</v>
      </c>
      <c r="C1113" s="8" t="s">
        <v>229</v>
      </c>
      <c r="D1113" s="9" t="n">
        <v>0.0110097222222222</v>
      </c>
      <c r="E1113" s="10" t="n">
        <v>1110</v>
      </c>
      <c r="F1113" s="11" t="n">
        <v>0.00679131944444444</v>
      </c>
      <c r="G1113" s="12" t="n">
        <v>163</v>
      </c>
      <c r="H1113" s="11"/>
      <c r="I1113" s="12"/>
      <c r="J1113" s="14"/>
      <c r="K1113" s="14"/>
      <c r="L1113" s="14"/>
      <c r="M1113" s="13"/>
    </row>
    <row r="1114" customFormat="false" ht="15" hidden="false" customHeight="false" outlineLevel="0" collapsed="false">
      <c r="A1114" s="6" t="n">
        <v>1110</v>
      </c>
      <c r="B1114" s="7" t="s">
        <v>1783</v>
      </c>
      <c r="C1114" s="8" t="s">
        <v>1561</v>
      </c>
      <c r="D1114" s="9" t="n">
        <v>0.0110106481481482</v>
      </c>
      <c r="E1114" s="10" t="n">
        <v>1111</v>
      </c>
      <c r="F1114" s="11"/>
      <c r="G1114" s="12"/>
      <c r="H1114" s="11"/>
      <c r="I1114" s="12"/>
      <c r="J1114" s="14"/>
      <c r="K1114" s="14"/>
      <c r="L1114" s="14"/>
      <c r="M1114" s="13"/>
    </row>
    <row r="1115" customFormat="false" ht="15" hidden="false" customHeight="false" outlineLevel="0" collapsed="false">
      <c r="A1115" s="6" t="n">
        <v>1111</v>
      </c>
      <c r="B1115" s="7" t="s">
        <v>1784</v>
      </c>
      <c r="C1115" s="8" t="s">
        <v>1443</v>
      </c>
      <c r="D1115" s="9" t="n">
        <v>0.0110112268518519</v>
      </c>
      <c r="E1115" s="10" t="n">
        <v>1112</v>
      </c>
      <c r="F1115" s="11" t="n">
        <v>0.00706909722222222</v>
      </c>
      <c r="G1115" s="12" t="n">
        <v>413</v>
      </c>
      <c r="H1115" s="11" t="n">
        <v>0.00289837962962963</v>
      </c>
      <c r="I1115" s="12" t="n">
        <v>935</v>
      </c>
      <c r="J1115" s="14" t="s">
        <v>1785</v>
      </c>
      <c r="K1115" s="14"/>
      <c r="L1115" s="14"/>
      <c r="M1115" s="13"/>
    </row>
    <row r="1116" customFormat="false" ht="15" hidden="false" customHeight="false" outlineLevel="0" collapsed="false">
      <c r="A1116" s="6" t="n">
        <v>1112</v>
      </c>
      <c r="B1116" s="7" t="s">
        <v>1786</v>
      </c>
      <c r="C1116" s="8" t="s">
        <v>96</v>
      </c>
      <c r="D1116" s="9" t="n">
        <v>0.0110116898148148</v>
      </c>
      <c r="E1116" s="10" t="n">
        <v>1113</v>
      </c>
      <c r="F1116" s="11" t="n">
        <v>0.0073724537037037</v>
      </c>
      <c r="G1116" s="12" t="n">
        <v>737</v>
      </c>
      <c r="H1116" s="11" t="n">
        <v>0.00294918981481482</v>
      </c>
      <c r="I1116" s="12" t="n">
        <v>1234</v>
      </c>
      <c r="J1116" s="14"/>
      <c r="K1116" s="14"/>
      <c r="L1116" s="14"/>
      <c r="M1116" s="13"/>
    </row>
    <row r="1117" customFormat="false" ht="15" hidden="false" customHeight="false" outlineLevel="0" collapsed="false">
      <c r="A1117" s="6" t="n">
        <v>1113</v>
      </c>
      <c r="B1117" s="7" t="s">
        <v>1787</v>
      </c>
      <c r="C1117" s="8" t="s">
        <v>1788</v>
      </c>
      <c r="D1117" s="9" t="n">
        <v>0.0110125</v>
      </c>
      <c r="E1117" s="10" t="n">
        <v>1114</v>
      </c>
      <c r="F1117" s="11"/>
      <c r="G1117" s="12"/>
      <c r="H1117" s="11"/>
      <c r="I1117" s="12"/>
      <c r="J1117" s="14"/>
      <c r="K1117" s="14"/>
      <c r="L1117" s="14"/>
      <c r="M1117" s="13"/>
    </row>
    <row r="1118" customFormat="false" ht="15" hidden="false" customHeight="false" outlineLevel="0" collapsed="false">
      <c r="A1118" s="6" t="n">
        <v>1114</v>
      </c>
      <c r="B1118" s="7" t="s">
        <v>1789</v>
      </c>
      <c r="C1118" s="8" t="s">
        <v>1790</v>
      </c>
      <c r="D1118" s="9" t="n">
        <v>0.0110135416666667</v>
      </c>
      <c r="E1118" s="10" t="n">
        <v>1115</v>
      </c>
      <c r="F1118" s="11"/>
      <c r="G1118" s="12"/>
      <c r="H1118" s="11"/>
      <c r="I1118" s="12"/>
      <c r="J1118" s="14"/>
      <c r="K1118" s="14"/>
      <c r="L1118" s="14"/>
      <c r="M1118" s="13"/>
    </row>
    <row r="1119" customFormat="false" ht="15" hidden="false" customHeight="false" outlineLevel="0" collapsed="false">
      <c r="A1119" s="6" t="n">
        <v>1115</v>
      </c>
      <c r="B1119" s="7" t="s">
        <v>1791</v>
      </c>
      <c r="C1119" s="8" t="s">
        <v>262</v>
      </c>
      <c r="D1119" s="9" t="n">
        <v>0.0110138888888889</v>
      </c>
      <c r="E1119" s="10" t="n">
        <v>1116</v>
      </c>
      <c r="F1119" s="11"/>
      <c r="G1119" s="12"/>
      <c r="H1119" s="11"/>
      <c r="I1119" s="12"/>
      <c r="J1119" s="14"/>
      <c r="K1119" s="14"/>
      <c r="L1119" s="14"/>
      <c r="M1119" s="13"/>
    </row>
    <row r="1120" customFormat="false" ht="15" hidden="false" customHeight="false" outlineLevel="0" collapsed="false">
      <c r="A1120" s="6" t="n">
        <v>1116</v>
      </c>
      <c r="B1120" s="7" t="s">
        <v>1792</v>
      </c>
      <c r="C1120" s="8" t="s">
        <v>1793</v>
      </c>
      <c r="D1120" s="9" t="n">
        <v>0.0110141203703704</v>
      </c>
      <c r="E1120" s="10" t="n">
        <v>1117</v>
      </c>
      <c r="F1120" s="11" t="n">
        <v>0.00680150462962963</v>
      </c>
      <c r="G1120" s="12" t="n">
        <v>173</v>
      </c>
      <c r="H1120" s="11"/>
      <c r="I1120" s="12"/>
      <c r="J1120" s="14"/>
      <c r="K1120" s="14"/>
      <c r="L1120" s="14"/>
      <c r="M1120" s="13"/>
    </row>
    <row r="1121" customFormat="false" ht="15" hidden="false" customHeight="false" outlineLevel="0" collapsed="false">
      <c r="A1121" s="6" t="n">
        <v>1117</v>
      </c>
      <c r="B1121" s="7" t="s">
        <v>1794</v>
      </c>
      <c r="C1121" s="8" t="s">
        <v>1795</v>
      </c>
      <c r="D1121" s="9" t="n">
        <v>0.011015162037037</v>
      </c>
      <c r="E1121" s="10" t="n">
        <v>1118</v>
      </c>
      <c r="F1121" s="11" t="n">
        <v>0.00704675925925926</v>
      </c>
      <c r="G1121" s="12" t="n">
        <v>387</v>
      </c>
      <c r="H1121" s="11" t="n">
        <v>0.00292349537037037</v>
      </c>
      <c r="I1121" s="12" t="n">
        <v>1133</v>
      </c>
      <c r="J1121" s="14" t="s">
        <v>1796</v>
      </c>
      <c r="K1121" s="14"/>
      <c r="L1121" s="14"/>
      <c r="M1121" s="13"/>
    </row>
    <row r="1122" customFormat="false" ht="15" hidden="false" customHeight="false" outlineLevel="0" collapsed="false">
      <c r="A1122" s="6" t="n">
        <v>1118</v>
      </c>
      <c r="B1122" s="7" t="s">
        <v>1797</v>
      </c>
      <c r="C1122" s="8" t="s">
        <v>1279</v>
      </c>
      <c r="D1122" s="9" t="n">
        <v>0.0110159722222222</v>
      </c>
      <c r="E1122" s="10" t="n">
        <v>1119</v>
      </c>
      <c r="F1122" s="11"/>
      <c r="G1122" s="12"/>
      <c r="H1122" s="11" t="n">
        <v>0.00281956018518519</v>
      </c>
      <c r="I1122" s="12" t="n">
        <v>361</v>
      </c>
      <c r="J1122" s="14"/>
      <c r="K1122" s="14"/>
      <c r="L1122" s="14"/>
      <c r="M1122" s="13"/>
    </row>
    <row r="1123" customFormat="false" ht="15" hidden="false" customHeight="false" outlineLevel="0" collapsed="false">
      <c r="A1123" s="6" t="n">
        <v>1119</v>
      </c>
      <c r="B1123" s="7" t="s">
        <v>1798</v>
      </c>
      <c r="C1123" s="8" t="s">
        <v>1799</v>
      </c>
      <c r="D1123" s="9" t="n">
        <v>0.0110162037037037</v>
      </c>
      <c r="E1123" s="10" t="n">
        <v>1120</v>
      </c>
      <c r="F1123" s="11" t="n">
        <v>0.00754918981481482</v>
      </c>
      <c r="G1123" s="12" t="n">
        <v>957</v>
      </c>
      <c r="H1123" s="11"/>
      <c r="I1123" s="12"/>
      <c r="J1123" s="14" t="s">
        <v>1800</v>
      </c>
      <c r="K1123" s="14"/>
      <c r="L1123" s="14"/>
      <c r="M1123" s="13"/>
    </row>
    <row r="1124" customFormat="false" ht="15" hidden="false" customHeight="false" outlineLevel="0" collapsed="false">
      <c r="A1124" s="6" t="n">
        <v>1120</v>
      </c>
      <c r="B1124" s="7" t="s">
        <v>1801</v>
      </c>
      <c r="C1124" s="8" t="s">
        <v>622</v>
      </c>
      <c r="D1124" s="9" t="n">
        <v>0.0110163194444444</v>
      </c>
      <c r="E1124" s="10" t="n">
        <v>1121</v>
      </c>
      <c r="F1124" s="11"/>
      <c r="G1124" s="12"/>
      <c r="H1124" s="11" t="n">
        <v>0.00275289351851852</v>
      </c>
      <c r="I1124" s="12" t="n">
        <v>110</v>
      </c>
      <c r="J1124" s="14"/>
      <c r="K1124" s="14"/>
      <c r="L1124" s="14"/>
      <c r="M1124" s="13"/>
    </row>
    <row r="1125" customFormat="false" ht="15" hidden="false" customHeight="false" outlineLevel="0" collapsed="false">
      <c r="A1125" s="6" t="n">
        <v>1121</v>
      </c>
      <c r="B1125" s="7" t="s">
        <v>1802</v>
      </c>
      <c r="C1125" s="8" t="s">
        <v>56</v>
      </c>
      <c r="D1125" s="9" t="n">
        <v>0.0110171296296296</v>
      </c>
      <c r="E1125" s="10" t="n">
        <v>1122</v>
      </c>
      <c r="F1125" s="11" t="n">
        <v>0.00709490740740741</v>
      </c>
      <c r="G1125" s="12" t="n">
        <v>442</v>
      </c>
      <c r="H1125" s="11" t="n">
        <v>0.00297152777777778</v>
      </c>
      <c r="I1125" s="12" t="n">
        <v>1315</v>
      </c>
      <c r="J1125" s="14"/>
      <c r="K1125" s="14"/>
      <c r="L1125" s="14"/>
      <c r="M1125" s="13"/>
    </row>
    <row r="1126" customFormat="false" ht="15" hidden="false" customHeight="false" outlineLevel="0" collapsed="false">
      <c r="A1126" s="6" t="n">
        <v>1122</v>
      </c>
      <c r="B1126" s="7" t="s">
        <v>1803</v>
      </c>
      <c r="C1126" s="8" t="s">
        <v>290</v>
      </c>
      <c r="D1126" s="9" t="n">
        <v>0.0110174768518519</v>
      </c>
      <c r="E1126" s="10" t="n">
        <v>1123</v>
      </c>
      <c r="F1126" s="11"/>
      <c r="G1126" s="12"/>
      <c r="H1126" s="11" t="n">
        <v>0.00293009259259259</v>
      </c>
      <c r="I1126" s="12" t="n">
        <v>1174</v>
      </c>
      <c r="J1126" s="14"/>
      <c r="K1126" s="14"/>
      <c r="L1126" s="14"/>
      <c r="M1126" s="13"/>
    </row>
    <row r="1127" customFormat="false" ht="15" hidden="false" customHeight="false" outlineLevel="0" collapsed="false">
      <c r="A1127" s="6" t="n">
        <v>1123</v>
      </c>
      <c r="B1127" s="7" t="s">
        <v>1804</v>
      </c>
      <c r="C1127" s="8" t="s">
        <v>1805</v>
      </c>
      <c r="D1127" s="9" t="n">
        <v>0.0110175925925926</v>
      </c>
      <c r="E1127" s="10" t="n">
        <v>1124</v>
      </c>
      <c r="F1127" s="11" t="n">
        <v>0.00741400462962963</v>
      </c>
      <c r="G1127" s="12" t="n">
        <v>786</v>
      </c>
      <c r="H1127" s="11" t="n">
        <v>0.00284386574074074</v>
      </c>
      <c r="I1127" s="12" t="n">
        <v>523</v>
      </c>
      <c r="J1127" s="14"/>
      <c r="K1127" s="14"/>
      <c r="L1127" s="14"/>
      <c r="M1127" s="13"/>
    </row>
    <row r="1128" customFormat="false" ht="15" hidden="false" customHeight="false" outlineLevel="0" collapsed="false">
      <c r="A1128" s="6" t="n">
        <v>1124</v>
      </c>
      <c r="B1128" s="7" t="s">
        <v>1806</v>
      </c>
      <c r="C1128" s="8" t="s">
        <v>326</v>
      </c>
      <c r="D1128" s="9" t="n">
        <v>0.0110180555555556</v>
      </c>
      <c r="E1128" s="10" t="n">
        <v>1125</v>
      </c>
      <c r="F1128" s="11" t="n">
        <v>0.00719201388888889</v>
      </c>
      <c r="G1128" s="12" t="n">
        <v>531</v>
      </c>
      <c r="H1128" s="11"/>
      <c r="I1128" s="12"/>
      <c r="J1128" s="14" t="s">
        <v>1807</v>
      </c>
      <c r="K1128" s="14"/>
      <c r="L1128" s="8" t="s">
        <v>1808</v>
      </c>
      <c r="M1128" s="13"/>
    </row>
    <row r="1129" customFormat="false" ht="15" hidden="false" customHeight="false" outlineLevel="0" collapsed="false">
      <c r="A1129" s="6" t="n">
        <v>1125</v>
      </c>
      <c r="B1129" s="7" t="s">
        <v>1809</v>
      </c>
      <c r="C1129" s="8" t="s">
        <v>410</v>
      </c>
      <c r="D1129" s="9" t="n">
        <v>0.011018287037037</v>
      </c>
      <c r="E1129" s="10" t="n">
        <v>1126</v>
      </c>
      <c r="F1129" s="11" t="n">
        <v>0.00677627314814815</v>
      </c>
      <c r="G1129" s="12" t="n">
        <v>153</v>
      </c>
      <c r="H1129" s="11"/>
      <c r="I1129" s="12"/>
      <c r="J1129" s="14"/>
      <c r="K1129" s="14"/>
      <c r="L1129" s="14"/>
      <c r="M1129" s="13"/>
    </row>
    <row r="1130" customFormat="false" ht="15" hidden="false" customHeight="false" outlineLevel="0" collapsed="false">
      <c r="A1130" s="6" t="n">
        <v>1126</v>
      </c>
      <c r="B1130" s="7" t="s">
        <v>1810</v>
      </c>
      <c r="C1130" s="8" t="s">
        <v>1811</v>
      </c>
      <c r="D1130" s="9" t="n">
        <v>0.01101875</v>
      </c>
      <c r="E1130" s="10" t="n">
        <v>1127</v>
      </c>
      <c r="F1130" s="11"/>
      <c r="G1130" s="12"/>
      <c r="H1130" s="11" t="n">
        <v>0.00287280092592593</v>
      </c>
      <c r="I1130" s="12" t="n">
        <v>720</v>
      </c>
      <c r="J1130" s="14"/>
      <c r="K1130" s="14"/>
      <c r="L1130" s="14"/>
      <c r="M1130" s="13"/>
    </row>
    <row r="1131" customFormat="false" ht="15" hidden="false" customHeight="false" outlineLevel="0" collapsed="false">
      <c r="A1131" s="6" t="n">
        <v>1127</v>
      </c>
      <c r="B1131" s="7" t="s">
        <v>1812</v>
      </c>
      <c r="C1131" s="8" t="s">
        <v>1813</v>
      </c>
      <c r="D1131" s="9" t="n">
        <v>0.0110190972222222</v>
      </c>
      <c r="E1131" s="10" t="n">
        <v>1128</v>
      </c>
      <c r="F1131" s="11"/>
      <c r="G1131" s="12"/>
      <c r="H1131" s="11" t="n">
        <v>0.0028869212962963</v>
      </c>
      <c r="I1131" s="12" t="n">
        <v>833</v>
      </c>
      <c r="J1131" s="14"/>
      <c r="K1131" s="14"/>
      <c r="L1131" s="14"/>
      <c r="M1131" s="13"/>
    </row>
    <row r="1132" customFormat="false" ht="15" hidden="false" customHeight="false" outlineLevel="0" collapsed="false">
      <c r="A1132" s="6" t="n">
        <v>1128</v>
      </c>
      <c r="B1132" s="7" t="s">
        <v>1814</v>
      </c>
      <c r="C1132" s="8" t="s">
        <v>410</v>
      </c>
      <c r="D1132" s="9" t="n">
        <v>0.0110193287037037</v>
      </c>
      <c r="E1132" s="10" t="n">
        <v>1129</v>
      </c>
      <c r="F1132" s="11"/>
      <c r="G1132" s="12"/>
      <c r="H1132" s="11"/>
      <c r="I1132" s="12"/>
      <c r="J1132" s="14"/>
      <c r="K1132" s="14"/>
      <c r="L1132" s="14"/>
      <c r="M1132" s="13"/>
    </row>
    <row r="1133" customFormat="false" ht="15" hidden="false" customHeight="false" outlineLevel="0" collapsed="false">
      <c r="A1133" s="6" t="n">
        <v>1129</v>
      </c>
      <c r="B1133" s="7" t="s">
        <v>1815</v>
      </c>
      <c r="C1133" s="8" t="s">
        <v>246</v>
      </c>
      <c r="D1133" s="9" t="n">
        <v>0.0110204861111111</v>
      </c>
      <c r="E1133" s="10" t="n">
        <v>1130</v>
      </c>
      <c r="F1133" s="11"/>
      <c r="G1133" s="12"/>
      <c r="H1133" s="11"/>
      <c r="I1133" s="12"/>
      <c r="J1133" s="14"/>
      <c r="K1133" s="14"/>
      <c r="L1133" s="14"/>
      <c r="M1133" s="13"/>
    </row>
    <row r="1134" customFormat="false" ht="15" hidden="false" customHeight="false" outlineLevel="0" collapsed="false">
      <c r="A1134" s="6" t="n">
        <v>1130</v>
      </c>
      <c r="B1134" s="7" t="s">
        <v>1816</v>
      </c>
      <c r="C1134" s="8" t="s">
        <v>592</v>
      </c>
      <c r="D1134" s="9" t="n">
        <v>0.0110209490740741</v>
      </c>
      <c r="E1134" s="10" t="n">
        <v>1131</v>
      </c>
      <c r="F1134" s="11" t="n">
        <v>0.00698761574074074</v>
      </c>
      <c r="G1134" s="12" t="n">
        <v>322</v>
      </c>
      <c r="H1134" s="11" t="n">
        <v>0.00286261574074074</v>
      </c>
      <c r="I1134" s="12" t="n">
        <v>653</v>
      </c>
      <c r="J1134" s="14"/>
      <c r="K1134" s="14"/>
      <c r="L1134" s="14"/>
      <c r="M1134" s="13"/>
    </row>
    <row r="1135" customFormat="false" ht="15" hidden="false" customHeight="false" outlineLevel="0" collapsed="false">
      <c r="A1135" s="6" t="n">
        <v>1131</v>
      </c>
      <c r="B1135" s="7" t="s">
        <v>1817</v>
      </c>
      <c r="C1135" s="8" t="s">
        <v>456</v>
      </c>
      <c r="D1135" s="9" t="n">
        <v>0.0110216435185185</v>
      </c>
      <c r="E1135" s="10" t="n">
        <v>1132</v>
      </c>
      <c r="F1135" s="11" t="n">
        <v>0.00707256944444445</v>
      </c>
      <c r="G1135" s="12" t="n">
        <v>418</v>
      </c>
      <c r="H1135" s="11"/>
      <c r="I1135" s="12"/>
      <c r="J1135" s="14"/>
      <c r="K1135" s="14"/>
      <c r="L1135" s="14"/>
      <c r="M1135" s="13"/>
    </row>
    <row r="1136" customFormat="false" ht="15" hidden="false" customHeight="false" outlineLevel="0" collapsed="false">
      <c r="A1136" s="6" t="n">
        <v>1132</v>
      </c>
      <c r="B1136" s="7" t="s">
        <v>1818</v>
      </c>
      <c r="C1136" s="8" t="s">
        <v>1579</v>
      </c>
      <c r="D1136" s="9" t="n">
        <v>0.011021875</v>
      </c>
      <c r="E1136" s="10" t="n">
        <v>1133</v>
      </c>
      <c r="F1136" s="11"/>
      <c r="G1136" s="12"/>
      <c r="H1136" s="11"/>
      <c r="I1136" s="12"/>
      <c r="J1136" s="14" t="s">
        <v>1819</v>
      </c>
      <c r="K1136" s="14"/>
      <c r="L1136" s="14"/>
      <c r="M1136" s="13"/>
    </row>
    <row r="1137" customFormat="false" ht="15" hidden="false" customHeight="false" outlineLevel="0" collapsed="false">
      <c r="A1137" s="6" t="n">
        <v>1133</v>
      </c>
      <c r="B1137" s="7" t="s">
        <v>1820</v>
      </c>
      <c r="C1137" s="8" t="s">
        <v>1821</v>
      </c>
      <c r="D1137" s="9" t="n">
        <v>0.0110221064814815</v>
      </c>
      <c r="E1137" s="10" t="n">
        <v>1134</v>
      </c>
      <c r="F1137" s="11"/>
      <c r="G1137" s="12"/>
      <c r="H1137" s="11" t="n">
        <v>0.00285625</v>
      </c>
      <c r="I1137" s="12" t="n">
        <v>611</v>
      </c>
      <c r="J1137" s="14"/>
      <c r="K1137" s="14"/>
      <c r="L1137" s="14"/>
      <c r="M1137" s="13"/>
    </row>
    <row r="1138" customFormat="false" ht="15" hidden="false" customHeight="false" outlineLevel="0" collapsed="false">
      <c r="A1138" s="6" t="n">
        <v>1134</v>
      </c>
      <c r="B1138" s="7" t="s">
        <v>1822</v>
      </c>
      <c r="C1138" s="8" t="s">
        <v>1761</v>
      </c>
      <c r="D1138" s="9" t="n">
        <v>0.0110225694444444</v>
      </c>
      <c r="E1138" s="10" t="n">
        <v>1135</v>
      </c>
      <c r="F1138" s="11"/>
      <c r="G1138" s="12"/>
      <c r="H1138" s="11"/>
      <c r="I1138" s="12"/>
      <c r="J1138" s="14"/>
      <c r="K1138" s="14"/>
      <c r="L1138" s="14"/>
      <c r="M1138" s="13"/>
    </row>
    <row r="1139" customFormat="false" ht="15" hidden="false" customHeight="false" outlineLevel="0" collapsed="false">
      <c r="A1139" s="6" t="n">
        <v>1135</v>
      </c>
      <c r="B1139" s="7" t="s">
        <v>1823</v>
      </c>
      <c r="C1139" s="8" t="s">
        <v>866</v>
      </c>
      <c r="D1139" s="9" t="n">
        <v>0.0110234953703704</v>
      </c>
      <c r="E1139" s="10" t="n">
        <v>1136</v>
      </c>
      <c r="F1139" s="11"/>
      <c r="G1139" s="12"/>
      <c r="H1139" s="11" t="n">
        <v>0.00287777777777778</v>
      </c>
      <c r="I1139" s="12" t="n">
        <v>751</v>
      </c>
      <c r="J1139" s="14"/>
      <c r="K1139" s="14"/>
      <c r="L1139" s="14"/>
      <c r="M1139" s="13"/>
    </row>
    <row r="1140" customFormat="false" ht="15" hidden="false" customHeight="false" outlineLevel="0" collapsed="false">
      <c r="A1140" s="6" t="n">
        <v>1136</v>
      </c>
      <c r="B1140" s="7" t="s">
        <v>1824</v>
      </c>
      <c r="C1140" s="8" t="s">
        <v>1825</v>
      </c>
      <c r="D1140" s="9" t="n">
        <v>0.011025</v>
      </c>
      <c r="E1140" s="10" t="n">
        <v>1137</v>
      </c>
      <c r="F1140" s="11"/>
      <c r="G1140" s="12"/>
      <c r="H1140" s="11" t="n">
        <v>0.00280960648148148</v>
      </c>
      <c r="I1140" s="12" t="n">
        <v>323</v>
      </c>
      <c r="J1140" s="14"/>
      <c r="K1140" s="14"/>
      <c r="L1140" s="14"/>
      <c r="M1140" s="13"/>
    </row>
    <row r="1141" customFormat="false" ht="15" hidden="false" customHeight="false" outlineLevel="0" collapsed="false">
      <c r="A1141" s="6" t="n">
        <v>1137</v>
      </c>
      <c r="B1141" s="7" t="s">
        <v>1826</v>
      </c>
      <c r="C1141" s="8" t="s">
        <v>150</v>
      </c>
      <c r="D1141" s="9" t="n">
        <v>0.0110253472222222</v>
      </c>
      <c r="E1141" s="10" t="n">
        <v>1138</v>
      </c>
      <c r="F1141" s="11"/>
      <c r="G1141" s="12"/>
      <c r="H1141" s="11"/>
      <c r="I1141" s="12"/>
      <c r="J1141" s="14"/>
      <c r="K1141" s="14"/>
      <c r="L1141" s="14"/>
      <c r="M1141" s="13"/>
    </row>
    <row r="1142" customFormat="false" ht="15" hidden="false" customHeight="false" outlineLevel="0" collapsed="false">
      <c r="A1142" s="6" t="n">
        <v>1138</v>
      </c>
      <c r="B1142" s="7" t="s">
        <v>1827</v>
      </c>
      <c r="C1142" s="8" t="s">
        <v>87</v>
      </c>
      <c r="D1142" s="9" t="n">
        <v>0.0110255787037037</v>
      </c>
      <c r="E1142" s="10" t="n">
        <v>1139</v>
      </c>
      <c r="F1142" s="11"/>
      <c r="G1142" s="12"/>
      <c r="H1142" s="11"/>
      <c r="I1142" s="12"/>
      <c r="J1142" s="14"/>
      <c r="K1142" s="14"/>
      <c r="L1142" s="14"/>
      <c r="M1142" s="13"/>
    </row>
    <row r="1143" customFormat="false" ht="15" hidden="false" customHeight="false" outlineLevel="0" collapsed="false">
      <c r="A1143" s="6" t="n">
        <v>1139</v>
      </c>
      <c r="B1143" s="7" t="s">
        <v>1828</v>
      </c>
      <c r="C1143" s="8" t="s">
        <v>691</v>
      </c>
      <c r="D1143" s="9" t="n">
        <v>0.0110256944444444</v>
      </c>
      <c r="E1143" s="10" t="n">
        <v>1140</v>
      </c>
      <c r="F1143" s="11" t="n">
        <v>0.00750810185185185</v>
      </c>
      <c r="G1143" s="12" t="n">
        <v>897</v>
      </c>
      <c r="H1143" s="11" t="n">
        <v>0.00280104166666667</v>
      </c>
      <c r="I1143" s="12" t="n">
        <v>287</v>
      </c>
      <c r="J1143" s="14" t="s">
        <v>1203</v>
      </c>
      <c r="K1143" s="14"/>
      <c r="L1143" s="14"/>
      <c r="M1143" s="13"/>
    </row>
    <row r="1144" customFormat="false" ht="15" hidden="false" customHeight="false" outlineLevel="0" collapsed="false">
      <c r="A1144" s="6" t="n">
        <v>1140</v>
      </c>
      <c r="B1144" s="7" t="s">
        <v>1829</v>
      </c>
      <c r="C1144" s="8" t="s">
        <v>958</v>
      </c>
      <c r="D1144" s="9" t="n">
        <v>0.0110261574074074</v>
      </c>
      <c r="E1144" s="10" t="n">
        <v>1141</v>
      </c>
      <c r="F1144" s="11" t="n">
        <v>0.00692083333333333</v>
      </c>
      <c r="G1144" s="12" t="n">
        <v>257</v>
      </c>
      <c r="H1144" s="11"/>
      <c r="I1144" s="12"/>
      <c r="J1144" s="14"/>
      <c r="K1144" s="14"/>
      <c r="L1144" s="14"/>
      <c r="M1144" s="13"/>
    </row>
    <row r="1145" customFormat="false" ht="15" hidden="false" customHeight="false" outlineLevel="0" collapsed="false">
      <c r="A1145" s="6" t="n">
        <v>1141</v>
      </c>
      <c r="B1145" s="7" t="s">
        <v>1830</v>
      </c>
      <c r="C1145" s="8" t="s">
        <v>1831</v>
      </c>
      <c r="D1145" s="9" t="n">
        <v>0.0110261574074074</v>
      </c>
      <c r="E1145" s="10" t="n">
        <v>1142</v>
      </c>
      <c r="F1145" s="11"/>
      <c r="G1145" s="12"/>
      <c r="H1145" s="11" t="n">
        <v>0.00290949074074074</v>
      </c>
      <c r="I1145" s="12" t="n">
        <v>1013</v>
      </c>
      <c r="J1145" s="14"/>
      <c r="K1145" s="14"/>
      <c r="L1145" s="14"/>
      <c r="M1145" s="13"/>
    </row>
    <row r="1146" customFormat="false" ht="15" hidden="false" customHeight="false" outlineLevel="0" collapsed="false">
      <c r="A1146" s="6" t="n">
        <v>1142</v>
      </c>
      <c r="B1146" s="7" t="s">
        <v>1832</v>
      </c>
      <c r="C1146" s="8" t="s">
        <v>471</v>
      </c>
      <c r="D1146" s="9" t="n">
        <v>0.0110262731481482</v>
      </c>
      <c r="E1146" s="10" t="n">
        <v>1143</v>
      </c>
      <c r="F1146" s="11" t="n">
        <v>0.00707962962962963</v>
      </c>
      <c r="G1146" s="12" t="n">
        <v>427</v>
      </c>
      <c r="H1146" s="11" t="n">
        <v>0.00292569444444444</v>
      </c>
      <c r="I1146" s="12" t="n">
        <v>1155</v>
      </c>
      <c r="J1146" s="14"/>
      <c r="K1146" s="14"/>
      <c r="L1146" s="14"/>
      <c r="M1146" s="13"/>
    </row>
    <row r="1147" customFormat="false" ht="15" hidden="false" customHeight="false" outlineLevel="0" collapsed="false">
      <c r="A1147" s="6" t="n">
        <v>1143</v>
      </c>
      <c r="B1147" s="7" t="s">
        <v>1833</v>
      </c>
      <c r="C1147" s="8" t="s">
        <v>113</v>
      </c>
      <c r="D1147" s="9" t="n">
        <v>0.0110269675925926</v>
      </c>
      <c r="E1147" s="10" t="n">
        <v>1144</v>
      </c>
      <c r="F1147" s="11"/>
      <c r="G1147" s="12"/>
      <c r="H1147" s="11" t="n">
        <v>0.00283159722222222</v>
      </c>
      <c r="I1147" s="12" t="n">
        <v>435</v>
      </c>
      <c r="J1147" s="14"/>
      <c r="K1147" s="14"/>
      <c r="L1147" s="14"/>
      <c r="M1147" s="13"/>
    </row>
    <row r="1148" customFormat="false" ht="15" hidden="false" customHeight="false" outlineLevel="0" collapsed="false">
      <c r="A1148" s="6" t="n">
        <v>1144</v>
      </c>
      <c r="B1148" s="7" t="s">
        <v>1834</v>
      </c>
      <c r="C1148" s="8" t="s">
        <v>1835</v>
      </c>
      <c r="D1148" s="9" t="n">
        <v>0.0110271990740741</v>
      </c>
      <c r="E1148" s="10" t="n">
        <v>1145</v>
      </c>
      <c r="F1148" s="11"/>
      <c r="G1148" s="12"/>
      <c r="H1148" s="11" t="n">
        <v>0.00283611111111111</v>
      </c>
      <c r="I1148" s="12" t="n">
        <v>472</v>
      </c>
      <c r="J1148" s="14"/>
      <c r="K1148" s="14"/>
      <c r="L1148" s="14"/>
      <c r="M1148" s="13"/>
    </row>
    <row r="1149" customFormat="false" ht="15" hidden="false" customHeight="false" outlineLevel="0" collapsed="false">
      <c r="A1149" s="6" t="n">
        <v>1145</v>
      </c>
      <c r="B1149" s="7" t="s">
        <v>1836</v>
      </c>
      <c r="C1149" s="8" t="s">
        <v>1837</v>
      </c>
      <c r="D1149" s="9" t="n">
        <v>0.0110280092592593</v>
      </c>
      <c r="E1149" s="10" t="n">
        <v>1146</v>
      </c>
      <c r="F1149" s="11"/>
      <c r="G1149" s="12"/>
      <c r="H1149" s="11" t="n">
        <v>0.00285358796296296</v>
      </c>
      <c r="I1149" s="12" t="n">
        <v>591</v>
      </c>
      <c r="J1149" s="14"/>
      <c r="K1149" s="14"/>
      <c r="L1149" s="14"/>
      <c r="M1149" s="13"/>
    </row>
    <row r="1150" customFormat="false" ht="15" hidden="false" customHeight="false" outlineLevel="0" collapsed="false">
      <c r="A1150" s="6" t="n">
        <v>1146</v>
      </c>
      <c r="B1150" s="7" t="s">
        <v>1838</v>
      </c>
      <c r="C1150" s="8" t="s">
        <v>1839</v>
      </c>
      <c r="D1150" s="9" t="n">
        <v>0.0110283564814815</v>
      </c>
      <c r="E1150" s="10" t="n">
        <v>1147</v>
      </c>
      <c r="F1150" s="11"/>
      <c r="G1150" s="12"/>
      <c r="H1150" s="11" t="n">
        <v>0.00292141203703704</v>
      </c>
      <c r="I1150" s="12" t="n">
        <v>1111</v>
      </c>
      <c r="J1150" s="14"/>
      <c r="K1150" s="14"/>
      <c r="L1150" s="14"/>
      <c r="M1150" s="13"/>
    </row>
    <row r="1151" customFormat="false" ht="15" hidden="false" customHeight="false" outlineLevel="0" collapsed="false">
      <c r="A1151" s="6" t="n">
        <v>1147</v>
      </c>
      <c r="B1151" s="7" t="s">
        <v>1840</v>
      </c>
      <c r="C1151" s="8" t="s">
        <v>399</v>
      </c>
      <c r="D1151" s="9" t="n">
        <v>0.0110284722222222</v>
      </c>
      <c r="E1151" s="10" t="n">
        <v>1148</v>
      </c>
      <c r="F1151" s="11" t="n">
        <v>0.00709537037037037</v>
      </c>
      <c r="G1151" s="12" t="n">
        <v>443</v>
      </c>
      <c r="H1151" s="11" t="n">
        <v>0.00282037037037037</v>
      </c>
      <c r="I1151" s="12" t="n">
        <v>363</v>
      </c>
      <c r="J1151" s="14"/>
      <c r="K1151" s="14"/>
      <c r="L1151" s="14"/>
      <c r="M1151" s="13"/>
    </row>
    <row r="1152" customFormat="false" ht="15" hidden="false" customHeight="false" outlineLevel="0" collapsed="false">
      <c r="A1152" s="6" t="n">
        <v>1148</v>
      </c>
      <c r="B1152" s="7" t="s">
        <v>1841</v>
      </c>
      <c r="C1152" s="8" t="s">
        <v>54</v>
      </c>
      <c r="D1152" s="9" t="n">
        <v>0.0110288194444444</v>
      </c>
      <c r="E1152" s="10" t="n">
        <v>1149</v>
      </c>
      <c r="F1152" s="11"/>
      <c r="G1152" s="12"/>
      <c r="H1152" s="11"/>
      <c r="I1152" s="12"/>
      <c r="J1152" s="14"/>
      <c r="K1152" s="14"/>
      <c r="L1152" s="14"/>
      <c r="M1152" s="13"/>
    </row>
    <row r="1153" customFormat="false" ht="15" hidden="false" customHeight="false" outlineLevel="0" collapsed="false">
      <c r="A1153" s="6" t="n">
        <v>1149</v>
      </c>
      <c r="B1153" s="7" t="s">
        <v>1842</v>
      </c>
      <c r="C1153" s="8" t="s">
        <v>23</v>
      </c>
      <c r="D1153" s="9" t="n">
        <v>0.0110297453703704</v>
      </c>
      <c r="E1153" s="10" t="n">
        <v>1150</v>
      </c>
      <c r="F1153" s="11"/>
      <c r="G1153" s="12"/>
      <c r="H1153" s="11"/>
      <c r="I1153" s="12"/>
      <c r="J1153" s="14"/>
      <c r="K1153" s="14"/>
      <c r="L1153" s="14"/>
      <c r="M1153" s="13"/>
    </row>
    <row r="1154" customFormat="false" ht="15" hidden="false" customHeight="false" outlineLevel="0" collapsed="false">
      <c r="A1154" s="6" t="n">
        <v>1150</v>
      </c>
      <c r="B1154" s="7" t="s">
        <v>1843</v>
      </c>
      <c r="C1154" s="8" t="s">
        <v>1844</v>
      </c>
      <c r="D1154" s="9" t="n">
        <v>0.0110297453703704</v>
      </c>
      <c r="E1154" s="10" t="n">
        <v>1151</v>
      </c>
      <c r="F1154" s="11" t="n">
        <v>0.00723888888888889</v>
      </c>
      <c r="G1154" s="12" t="n">
        <v>586</v>
      </c>
      <c r="H1154" s="11" t="n">
        <v>0.00292025462962963</v>
      </c>
      <c r="I1154" s="12" t="n">
        <v>1100</v>
      </c>
      <c r="J1154" s="14"/>
      <c r="K1154" s="14"/>
      <c r="L1154" s="14"/>
      <c r="M1154" s="13"/>
    </row>
    <row r="1155" customFormat="false" ht="15" hidden="false" customHeight="false" outlineLevel="0" collapsed="false">
      <c r="A1155" s="6" t="n">
        <v>1151</v>
      </c>
      <c r="B1155" s="7" t="s">
        <v>1845</v>
      </c>
      <c r="C1155" s="8" t="s">
        <v>1224</v>
      </c>
      <c r="D1155" s="9" t="n">
        <v>0.011030787037037</v>
      </c>
      <c r="E1155" s="10" t="n">
        <v>1152</v>
      </c>
      <c r="F1155" s="11" t="n">
        <v>0.00740162037037037</v>
      </c>
      <c r="G1155" s="12" t="n">
        <v>773</v>
      </c>
      <c r="H1155" s="11"/>
      <c r="I1155" s="12"/>
      <c r="J1155" s="14"/>
      <c r="K1155" s="14"/>
      <c r="L1155" s="14"/>
      <c r="M1155" s="13"/>
    </row>
    <row r="1156" customFormat="false" ht="15" hidden="false" customHeight="false" outlineLevel="0" collapsed="false">
      <c r="A1156" s="6" t="n">
        <v>1152</v>
      </c>
      <c r="B1156" s="7" t="s">
        <v>1846</v>
      </c>
      <c r="C1156" s="8" t="s">
        <v>1847</v>
      </c>
      <c r="D1156" s="9" t="n">
        <v>0.011030787037037</v>
      </c>
      <c r="E1156" s="10" t="n">
        <v>1153</v>
      </c>
      <c r="F1156" s="11"/>
      <c r="G1156" s="12"/>
      <c r="H1156" s="11"/>
      <c r="I1156" s="12"/>
      <c r="J1156" s="14"/>
      <c r="K1156" s="14"/>
      <c r="L1156" s="14"/>
      <c r="M1156" s="13"/>
    </row>
    <row r="1157" customFormat="false" ht="15" hidden="false" customHeight="false" outlineLevel="0" collapsed="false">
      <c r="A1157" s="6" t="n">
        <v>1153</v>
      </c>
      <c r="B1157" s="7" t="s">
        <v>1848</v>
      </c>
      <c r="C1157" s="8" t="s">
        <v>1356</v>
      </c>
      <c r="D1157" s="9" t="n">
        <v>0.0110311342592593</v>
      </c>
      <c r="E1157" s="10" t="n">
        <v>1154</v>
      </c>
      <c r="F1157" s="11" t="n">
        <v>0.00716990740740741</v>
      </c>
      <c r="G1157" s="12" t="n">
        <v>509</v>
      </c>
      <c r="H1157" s="11"/>
      <c r="I1157" s="12"/>
      <c r="J1157" s="14" t="s">
        <v>1849</v>
      </c>
      <c r="K1157" s="14"/>
      <c r="L1157" s="14"/>
      <c r="M1157" s="13"/>
    </row>
    <row r="1158" customFormat="false" ht="15" hidden="false" customHeight="false" outlineLevel="0" collapsed="false">
      <c r="A1158" s="6" t="n">
        <v>1154</v>
      </c>
      <c r="B1158" s="7" t="s">
        <v>1850</v>
      </c>
      <c r="C1158" s="8" t="s">
        <v>1851</v>
      </c>
      <c r="D1158" s="9" t="n">
        <v>0.0110318287037037</v>
      </c>
      <c r="E1158" s="10" t="n">
        <v>1155</v>
      </c>
      <c r="F1158" s="11"/>
      <c r="G1158" s="12"/>
      <c r="H1158" s="11" t="n">
        <v>0.0027875</v>
      </c>
      <c r="I1158" s="12" t="n">
        <v>232</v>
      </c>
      <c r="J1158" s="14"/>
      <c r="K1158" s="14"/>
      <c r="L1158" s="14"/>
      <c r="M1158" s="13"/>
    </row>
    <row r="1159" customFormat="false" ht="15" hidden="false" customHeight="false" outlineLevel="0" collapsed="false">
      <c r="A1159" s="6" t="n">
        <v>1155</v>
      </c>
      <c r="B1159" s="7" t="s">
        <v>1852</v>
      </c>
      <c r="C1159" s="8" t="s">
        <v>1853</v>
      </c>
      <c r="D1159" s="9" t="n">
        <v>0.0110321759259259</v>
      </c>
      <c r="E1159" s="10" t="n">
        <v>1156</v>
      </c>
      <c r="F1159" s="11"/>
      <c r="G1159" s="12"/>
      <c r="H1159" s="11" t="n">
        <v>0.00280162037037037</v>
      </c>
      <c r="I1159" s="12" t="n">
        <v>288</v>
      </c>
      <c r="J1159" s="14"/>
      <c r="K1159" s="14"/>
      <c r="L1159" s="14"/>
      <c r="M1159" s="13"/>
    </row>
    <row r="1160" customFormat="false" ht="15" hidden="false" customHeight="false" outlineLevel="0" collapsed="false">
      <c r="A1160" s="6" t="n">
        <v>1156</v>
      </c>
      <c r="B1160" s="7" t="s">
        <v>1854</v>
      </c>
      <c r="C1160" s="8" t="s">
        <v>1469</v>
      </c>
      <c r="D1160" s="9" t="n">
        <v>0.0110321759259259</v>
      </c>
      <c r="E1160" s="10" t="n">
        <v>1157</v>
      </c>
      <c r="F1160" s="11" t="n">
        <v>0.00668368055555556</v>
      </c>
      <c r="G1160" s="12" t="n">
        <v>100</v>
      </c>
      <c r="H1160" s="11"/>
      <c r="I1160" s="12"/>
      <c r="J1160" s="14"/>
      <c r="K1160" s="14" t="s">
        <v>1855</v>
      </c>
      <c r="L1160" s="14"/>
      <c r="M1160" s="13"/>
    </row>
    <row r="1161" customFormat="false" ht="15" hidden="false" customHeight="false" outlineLevel="0" collapsed="false">
      <c r="A1161" s="6" t="n">
        <v>1157</v>
      </c>
      <c r="B1161" s="7" t="s">
        <v>1856</v>
      </c>
      <c r="C1161" s="8" t="s">
        <v>683</v>
      </c>
      <c r="D1161" s="9" t="n">
        <v>0.0110333333333333</v>
      </c>
      <c r="E1161" s="10" t="n">
        <v>1158</v>
      </c>
      <c r="F1161" s="11"/>
      <c r="G1161" s="12"/>
      <c r="H1161" s="11"/>
      <c r="I1161" s="12"/>
      <c r="J1161" s="14"/>
      <c r="K1161" s="14"/>
      <c r="L1161" s="8" t="s">
        <v>1857</v>
      </c>
      <c r="M1161" s="13"/>
    </row>
    <row r="1162" customFormat="false" ht="15" hidden="false" customHeight="false" outlineLevel="0" collapsed="false">
      <c r="A1162" s="6" t="n">
        <v>1158</v>
      </c>
      <c r="B1162" s="7" t="s">
        <v>1858</v>
      </c>
      <c r="C1162" s="8" t="s">
        <v>186</v>
      </c>
      <c r="D1162" s="9" t="n">
        <v>0.0110337962962963</v>
      </c>
      <c r="E1162" s="10" t="n">
        <v>1159</v>
      </c>
      <c r="F1162" s="11"/>
      <c r="G1162" s="12"/>
      <c r="H1162" s="11"/>
      <c r="I1162" s="12"/>
      <c r="J1162" s="14"/>
      <c r="K1162" s="14"/>
      <c r="L1162" s="14"/>
      <c r="M1162" s="13"/>
    </row>
    <row r="1163" customFormat="false" ht="15" hidden="false" customHeight="false" outlineLevel="0" collapsed="false">
      <c r="A1163" s="6" t="n">
        <v>1159</v>
      </c>
      <c r="B1163" s="7" t="s">
        <v>1859</v>
      </c>
      <c r="C1163" s="8" t="s">
        <v>150</v>
      </c>
      <c r="D1163" s="9" t="n">
        <v>0.0110341435185185</v>
      </c>
      <c r="E1163" s="10" t="n">
        <v>1160</v>
      </c>
      <c r="F1163" s="11"/>
      <c r="G1163" s="12"/>
      <c r="H1163" s="11" t="n">
        <v>0.00287893518518519</v>
      </c>
      <c r="I1163" s="12" t="n">
        <v>761</v>
      </c>
      <c r="J1163" s="14"/>
      <c r="K1163" s="14"/>
      <c r="L1163" s="14"/>
      <c r="M1163" s="13"/>
    </row>
    <row r="1164" customFormat="false" ht="15" hidden="false" customHeight="false" outlineLevel="0" collapsed="false">
      <c r="A1164" s="6" t="n">
        <v>1160</v>
      </c>
      <c r="B1164" s="7" t="s">
        <v>1860</v>
      </c>
      <c r="C1164" s="8" t="s">
        <v>1861</v>
      </c>
      <c r="D1164" s="9" t="n">
        <v>0.011034837962963</v>
      </c>
      <c r="E1164" s="10" t="n">
        <v>1161</v>
      </c>
      <c r="F1164" s="11"/>
      <c r="G1164" s="12"/>
      <c r="H1164" s="11"/>
      <c r="I1164" s="12"/>
      <c r="J1164" s="14"/>
      <c r="K1164" s="14"/>
      <c r="L1164" s="14"/>
      <c r="M1164" s="13"/>
    </row>
    <row r="1165" customFormat="false" ht="15" hidden="false" customHeight="false" outlineLevel="0" collapsed="false">
      <c r="A1165" s="6" t="n">
        <v>1161</v>
      </c>
      <c r="B1165" s="7" t="s">
        <v>1862</v>
      </c>
      <c r="C1165" s="8" t="s">
        <v>54</v>
      </c>
      <c r="D1165" s="9" t="n">
        <v>0.0110350694444444</v>
      </c>
      <c r="E1165" s="10" t="n">
        <v>1162</v>
      </c>
      <c r="F1165" s="11"/>
      <c r="G1165" s="12"/>
      <c r="H1165" s="11"/>
      <c r="I1165" s="12"/>
      <c r="J1165" s="14"/>
      <c r="K1165" s="14"/>
      <c r="L1165" s="14"/>
      <c r="M1165" s="13"/>
    </row>
    <row r="1166" customFormat="false" ht="15" hidden="false" customHeight="false" outlineLevel="0" collapsed="false">
      <c r="A1166" s="6" t="n">
        <v>1162</v>
      </c>
      <c r="B1166" s="7" t="s">
        <v>1863</v>
      </c>
      <c r="C1166" s="8" t="s">
        <v>56</v>
      </c>
      <c r="D1166" s="9" t="n">
        <v>0.0110351851851852</v>
      </c>
      <c r="E1166" s="10" t="n">
        <v>1163</v>
      </c>
      <c r="F1166" s="11"/>
      <c r="G1166" s="12"/>
      <c r="H1166" s="11" t="n">
        <v>0.00295104166666667</v>
      </c>
      <c r="I1166" s="12" t="n">
        <v>1244</v>
      </c>
      <c r="J1166" s="14"/>
      <c r="K1166" s="14"/>
      <c r="L1166" s="14"/>
      <c r="M1166" s="13"/>
    </row>
    <row r="1167" customFormat="false" ht="15" hidden="false" customHeight="false" outlineLevel="0" collapsed="false">
      <c r="A1167" s="6" t="n">
        <v>1163</v>
      </c>
      <c r="B1167" s="7" t="s">
        <v>1864</v>
      </c>
      <c r="C1167" s="8" t="s">
        <v>471</v>
      </c>
      <c r="D1167" s="9" t="n">
        <v>0.0110353009259259</v>
      </c>
      <c r="E1167" s="10" t="n">
        <v>1164</v>
      </c>
      <c r="F1167" s="11"/>
      <c r="G1167" s="12"/>
      <c r="H1167" s="11" t="n">
        <v>0.00283645833333333</v>
      </c>
      <c r="I1167" s="12" t="n">
        <v>474</v>
      </c>
      <c r="J1167" s="14"/>
      <c r="K1167" s="14"/>
      <c r="L1167" s="14"/>
      <c r="M1167" s="13"/>
    </row>
    <row r="1168" customFormat="false" ht="15" hidden="false" customHeight="false" outlineLevel="0" collapsed="false">
      <c r="A1168" s="6" t="n">
        <v>1164</v>
      </c>
      <c r="B1168" s="7" t="s">
        <v>1865</v>
      </c>
      <c r="C1168" s="8" t="s">
        <v>1866</v>
      </c>
      <c r="D1168" s="9" t="n">
        <v>0.0110355324074074</v>
      </c>
      <c r="E1168" s="10" t="n">
        <v>1165</v>
      </c>
      <c r="F1168" s="11"/>
      <c r="G1168" s="12"/>
      <c r="H1168" s="11"/>
      <c r="I1168" s="12"/>
      <c r="J1168" s="14"/>
      <c r="K1168" s="14"/>
      <c r="L1168" s="14"/>
      <c r="M1168" s="13"/>
    </row>
    <row r="1169" customFormat="false" ht="15" hidden="false" customHeight="false" outlineLevel="0" collapsed="false">
      <c r="A1169" s="6" t="n">
        <v>1165</v>
      </c>
      <c r="B1169" s="7" t="s">
        <v>1867</v>
      </c>
      <c r="C1169" s="8" t="s">
        <v>56</v>
      </c>
      <c r="D1169" s="9" t="n">
        <v>0.0110356481481482</v>
      </c>
      <c r="E1169" s="10" t="n">
        <v>1166</v>
      </c>
      <c r="F1169" s="11"/>
      <c r="G1169" s="12"/>
      <c r="H1169" s="11"/>
      <c r="I1169" s="12"/>
      <c r="J1169" s="14"/>
      <c r="K1169" s="14"/>
      <c r="L1169" s="14"/>
      <c r="M1169" s="13"/>
    </row>
    <row r="1170" customFormat="false" ht="15" hidden="false" customHeight="false" outlineLevel="0" collapsed="false">
      <c r="A1170" s="6" t="n">
        <v>1166</v>
      </c>
      <c r="B1170" s="7" t="s">
        <v>1868</v>
      </c>
      <c r="C1170" s="8" t="s">
        <v>1869</v>
      </c>
      <c r="D1170" s="9" t="n">
        <v>0.0110357638888889</v>
      </c>
      <c r="E1170" s="10" t="n">
        <v>1167</v>
      </c>
      <c r="F1170" s="11"/>
      <c r="G1170" s="12"/>
      <c r="H1170" s="11"/>
      <c r="I1170" s="12"/>
      <c r="J1170" s="14"/>
      <c r="K1170" s="14"/>
      <c r="L1170" s="14"/>
      <c r="M1170" s="13"/>
    </row>
    <row r="1171" customFormat="false" ht="15" hidden="false" customHeight="false" outlineLevel="0" collapsed="false">
      <c r="A1171" s="6" t="n">
        <v>1167</v>
      </c>
      <c r="B1171" s="7" t="s">
        <v>1870</v>
      </c>
      <c r="C1171" s="8" t="s">
        <v>1871</v>
      </c>
      <c r="D1171" s="9" t="n">
        <v>0.0110362268518519</v>
      </c>
      <c r="E1171" s="10" t="n">
        <v>1168</v>
      </c>
      <c r="F1171" s="11"/>
      <c r="G1171" s="12"/>
      <c r="H1171" s="11"/>
      <c r="I1171" s="12"/>
      <c r="J1171" s="14"/>
      <c r="K1171" s="14"/>
      <c r="L1171" s="14"/>
      <c r="M1171" s="13"/>
    </row>
    <row r="1172" customFormat="false" ht="15" hidden="false" customHeight="false" outlineLevel="0" collapsed="false">
      <c r="A1172" s="6" t="n">
        <v>1168</v>
      </c>
      <c r="B1172" s="7" t="s">
        <v>1872</v>
      </c>
      <c r="C1172" s="8" t="s">
        <v>382</v>
      </c>
      <c r="D1172" s="9" t="n">
        <v>0.0110368055555556</v>
      </c>
      <c r="E1172" s="10" t="n">
        <v>1169</v>
      </c>
      <c r="F1172" s="11"/>
      <c r="G1172" s="12"/>
      <c r="H1172" s="11"/>
      <c r="I1172" s="12"/>
      <c r="J1172" s="14"/>
      <c r="K1172" s="14"/>
      <c r="L1172" s="14"/>
      <c r="M1172" s="13"/>
    </row>
    <row r="1173" customFormat="false" ht="15" hidden="false" customHeight="false" outlineLevel="0" collapsed="false">
      <c r="A1173" s="6" t="n">
        <v>1169</v>
      </c>
      <c r="B1173" s="7" t="s">
        <v>1873</v>
      </c>
      <c r="C1173" s="8" t="s">
        <v>23</v>
      </c>
      <c r="D1173" s="9" t="n">
        <v>0.011037037037037</v>
      </c>
      <c r="E1173" s="10" t="n">
        <v>1170</v>
      </c>
      <c r="F1173" s="11"/>
      <c r="G1173" s="12"/>
      <c r="H1173" s="11"/>
      <c r="I1173" s="12"/>
      <c r="J1173" s="14"/>
      <c r="K1173" s="14"/>
      <c r="L1173" s="14"/>
      <c r="M1173" s="13"/>
    </row>
    <row r="1174" customFormat="false" ht="15" hidden="false" customHeight="false" outlineLevel="0" collapsed="false">
      <c r="A1174" s="6" t="n">
        <v>1170</v>
      </c>
      <c r="B1174" s="7" t="s">
        <v>1874</v>
      </c>
      <c r="C1174" s="8" t="s">
        <v>1875</v>
      </c>
      <c r="D1174" s="9" t="n">
        <v>0.0110373842592593</v>
      </c>
      <c r="E1174" s="10" t="n">
        <v>1171</v>
      </c>
      <c r="F1174" s="11" t="n">
        <v>0.00721666666666667</v>
      </c>
      <c r="G1174" s="12" t="n">
        <v>557</v>
      </c>
      <c r="H1174" s="11" t="n">
        <v>0.00294166666666667</v>
      </c>
      <c r="I1174" s="12" t="n">
        <v>1206</v>
      </c>
      <c r="J1174" s="14"/>
      <c r="K1174" s="14"/>
      <c r="L1174" s="14"/>
      <c r="M1174" s="13"/>
    </row>
    <row r="1175" customFormat="false" ht="15" hidden="false" customHeight="false" outlineLevel="0" collapsed="false">
      <c r="A1175" s="6" t="n">
        <v>1171</v>
      </c>
      <c r="B1175" s="7" t="s">
        <v>1876</v>
      </c>
      <c r="C1175" s="8" t="s">
        <v>1740</v>
      </c>
      <c r="D1175" s="9" t="n">
        <v>0.0110377314814815</v>
      </c>
      <c r="E1175" s="10" t="n">
        <v>1172</v>
      </c>
      <c r="F1175" s="11"/>
      <c r="G1175" s="12"/>
      <c r="H1175" s="11"/>
      <c r="I1175" s="12"/>
      <c r="J1175" s="14"/>
      <c r="K1175" s="14"/>
      <c r="L1175" s="14"/>
      <c r="M1175" s="13"/>
    </row>
    <row r="1176" customFormat="false" ht="15" hidden="false" customHeight="false" outlineLevel="0" collapsed="false">
      <c r="A1176" s="6" t="n">
        <v>1172</v>
      </c>
      <c r="B1176" s="7" t="s">
        <v>1877</v>
      </c>
      <c r="C1176" s="8" t="s">
        <v>500</v>
      </c>
      <c r="D1176" s="9" t="n">
        <v>0.0110377314814815</v>
      </c>
      <c r="E1176" s="10" t="n">
        <v>1173</v>
      </c>
      <c r="F1176" s="11" t="n">
        <v>0.00690173611111111</v>
      </c>
      <c r="G1176" s="12" t="n">
        <v>244</v>
      </c>
      <c r="H1176" s="11"/>
      <c r="I1176" s="12"/>
      <c r="J1176" s="14"/>
      <c r="K1176" s="14"/>
      <c r="L1176" s="14"/>
      <c r="M1176" s="13"/>
    </row>
    <row r="1177" customFormat="false" ht="15" hidden="false" customHeight="false" outlineLevel="0" collapsed="false">
      <c r="A1177" s="6" t="n">
        <v>1173</v>
      </c>
      <c r="B1177" s="7" t="s">
        <v>1878</v>
      </c>
      <c r="C1177" s="8" t="s">
        <v>408</v>
      </c>
      <c r="D1177" s="9" t="n">
        <v>0.0110377314814815</v>
      </c>
      <c r="E1177" s="10" t="n">
        <v>1174</v>
      </c>
      <c r="F1177" s="11" t="n">
        <v>0.00708252314814815</v>
      </c>
      <c r="G1177" s="12" t="n">
        <v>430</v>
      </c>
      <c r="H1177" s="11"/>
      <c r="I1177" s="12"/>
      <c r="J1177" s="14"/>
      <c r="K1177" s="14"/>
      <c r="L1177" s="14"/>
      <c r="M1177" s="13"/>
    </row>
    <row r="1178" customFormat="false" ht="15" hidden="false" customHeight="false" outlineLevel="0" collapsed="false">
      <c r="A1178" s="6" t="n">
        <v>1174</v>
      </c>
      <c r="B1178" s="7" t="s">
        <v>1879</v>
      </c>
      <c r="C1178" s="8" t="s">
        <v>700</v>
      </c>
      <c r="D1178" s="9" t="n">
        <v>0.0110388888888889</v>
      </c>
      <c r="E1178" s="10" t="n">
        <v>1175</v>
      </c>
      <c r="F1178" s="11" t="n">
        <v>0.00679861111111111</v>
      </c>
      <c r="G1178" s="12" t="n">
        <v>169</v>
      </c>
      <c r="H1178" s="11"/>
      <c r="I1178" s="12"/>
      <c r="J1178" s="14"/>
      <c r="K1178" s="14" t="s">
        <v>1880</v>
      </c>
      <c r="L1178" s="14"/>
      <c r="M1178" s="13"/>
    </row>
    <row r="1179" customFormat="false" ht="15" hidden="false" customHeight="false" outlineLevel="0" collapsed="false">
      <c r="A1179" s="6" t="n">
        <v>1175</v>
      </c>
      <c r="B1179" s="7" t="s">
        <v>1881</v>
      </c>
      <c r="C1179" s="8" t="s">
        <v>1882</v>
      </c>
      <c r="D1179" s="9" t="n">
        <v>0.0110391203703704</v>
      </c>
      <c r="E1179" s="10" t="n">
        <v>1176</v>
      </c>
      <c r="F1179" s="11"/>
      <c r="G1179" s="12"/>
      <c r="H1179" s="11" t="n">
        <v>0.00291145833333333</v>
      </c>
      <c r="I1179" s="12" t="n">
        <v>1032</v>
      </c>
      <c r="J1179" s="14"/>
      <c r="K1179" s="14"/>
      <c r="L1179" s="14"/>
      <c r="M1179" s="13"/>
    </row>
    <row r="1180" customFormat="false" ht="15" hidden="false" customHeight="false" outlineLevel="0" collapsed="false">
      <c r="A1180" s="6" t="n">
        <v>1176</v>
      </c>
      <c r="B1180" s="7" t="s">
        <v>1883</v>
      </c>
      <c r="C1180" s="8" t="s">
        <v>1884</v>
      </c>
      <c r="D1180" s="9" t="n">
        <v>0.0110396990740741</v>
      </c>
      <c r="E1180" s="10" t="n">
        <v>1177</v>
      </c>
      <c r="F1180" s="11" t="n">
        <v>0.00704016203703704</v>
      </c>
      <c r="G1180" s="12" t="n">
        <v>375</v>
      </c>
      <c r="H1180" s="11" t="n">
        <v>0.00289143518518519</v>
      </c>
      <c r="I1180" s="12" t="n">
        <v>880</v>
      </c>
      <c r="J1180" s="14"/>
      <c r="K1180" s="14"/>
      <c r="L1180" s="14"/>
      <c r="M1180" s="13"/>
    </row>
    <row r="1181" customFormat="false" ht="15" hidden="false" customHeight="false" outlineLevel="0" collapsed="false">
      <c r="A1181" s="6" t="n">
        <v>1177</v>
      </c>
      <c r="B1181" s="7" t="s">
        <v>1885</v>
      </c>
      <c r="C1181" s="8" t="s">
        <v>1697</v>
      </c>
      <c r="D1181" s="9" t="n">
        <v>0.0110403935185185</v>
      </c>
      <c r="E1181" s="10" t="n">
        <v>1178</v>
      </c>
      <c r="F1181" s="11"/>
      <c r="G1181" s="12"/>
      <c r="H1181" s="11" t="n">
        <v>0.00285289351851852</v>
      </c>
      <c r="I1181" s="12" t="n">
        <v>585</v>
      </c>
      <c r="J1181" s="14" t="s">
        <v>1886</v>
      </c>
      <c r="K1181" s="14"/>
      <c r="L1181" s="14"/>
      <c r="M1181" s="13"/>
    </row>
    <row r="1182" customFormat="false" ht="15" hidden="false" customHeight="false" outlineLevel="0" collapsed="false">
      <c r="A1182" s="6" t="n">
        <v>1178</v>
      </c>
      <c r="B1182" s="7" t="s">
        <v>1887</v>
      </c>
      <c r="C1182" s="8" t="s">
        <v>283</v>
      </c>
      <c r="D1182" s="9" t="n">
        <v>0.0110405092592593</v>
      </c>
      <c r="E1182" s="10" t="n">
        <v>1179</v>
      </c>
      <c r="F1182" s="11"/>
      <c r="G1182" s="12"/>
      <c r="H1182" s="11"/>
      <c r="I1182" s="12"/>
      <c r="J1182" s="14"/>
      <c r="K1182" s="14"/>
      <c r="L1182" s="14"/>
      <c r="M1182" s="13"/>
    </row>
    <row r="1183" customFormat="false" ht="15" hidden="false" customHeight="false" outlineLevel="0" collapsed="false">
      <c r="A1183" s="6" t="n">
        <v>1179</v>
      </c>
      <c r="B1183" s="7" t="s">
        <v>1888</v>
      </c>
      <c r="C1183" s="8" t="s">
        <v>1147</v>
      </c>
      <c r="D1183" s="9" t="n">
        <v>0.0110408564814815</v>
      </c>
      <c r="E1183" s="10" t="n">
        <v>1180</v>
      </c>
      <c r="F1183" s="11"/>
      <c r="G1183" s="12"/>
      <c r="H1183" s="11" t="n">
        <v>0.00285763888888889</v>
      </c>
      <c r="I1183" s="12" t="n">
        <v>620</v>
      </c>
      <c r="J1183" s="14"/>
      <c r="K1183" s="14"/>
      <c r="L1183" s="14"/>
      <c r="M1183" s="13"/>
    </row>
    <row r="1184" customFormat="false" ht="15" hidden="false" customHeight="false" outlineLevel="0" collapsed="false">
      <c r="A1184" s="6" t="n">
        <v>1180</v>
      </c>
      <c r="B1184" s="7" t="s">
        <v>1889</v>
      </c>
      <c r="C1184" s="8" t="s">
        <v>552</v>
      </c>
      <c r="D1184" s="9" t="n">
        <v>0.011041087962963</v>
      </c>
      <c r="E1184" s="10" t="n">
        <v>1181</v>
      </c>
      <c r="F1184" s="11" t="n">
        <v>0.00696898148148148</v>
      </c>
      <c r="G1184" s="12" t="n">
        <v>304</v>
      </c>
      <c r="H1184" s="11" t="n">
        <v>0.00283356481481482</v>
      </c>
      <c r="I1184" s="12" t="n">
        <v>447</v>
      </c>
      <c r="J1184" s="14"/>
      <c r="K1184" s="14"/>
      <c r="L1184" s="14"/>
      <c r="M1184" s="13"/>
    </row>
    <row r="1185" customFormat="false" ht="15" hidden="false" customHeight="false" outlineLevel="0" collapsed="false">
      <c r="A1185" s="6" t="n">
        <v>1181</v>
      </c>
      <c r="B1185" s="7" t="s">
        <v>1890</v>
      </c>
      <c r="C1185" s="8" t="s">
        <v>373</v>
      </c>
      <c r="D1185" s="9" t="n">
        <v>0.0110421296296296</v>
      </c>
      <c r="E1185" s="10" t="n">
        <v>1182</v>
      </c>
      <c r="F1185" s="11"/>
      <c r="G1185" s="12"/>
      <c r="H1185" s="11"/>
      <c r="I1185" s="12"/>
      <c r="J1185" s="14"/>
      <c r="K1185" s="14"/>
      <c r="L1185" s="14"/>
      <c r="M1185" s="13"/>
    </row>
    <row r="1186" customFormat="false" ht="15" hidden="false" customHeight="false" outlineLevel="0" collapsed="false">
      <c r="A1186" s="6" t="n">
        <v>1182</v>
      </c>
      <c r="B1186" s="7" t="s">
        <v>1891</v>
      </c>
      <c r="C1186" s="8" t="s">
        <v>584</v>
      </c>
      <c r="D1186" s="9" t="n">
        <v>0.0110434027777778</v>
      </c>
      <c r="E1186" s="10" t="n">
        <v>1183</v>
      </c>
      <c r="F1186" s="11"/>
      <c r="G1186" s="12"/>
      <c r="H1186" s="11"/>
      <c r="I1186" s="12"/>
      <c r="J1186" s="14"/>
      <c r="K1186" s="14"/>
      <c r="L1186" s="14"/>
      <c r="M1186" s="13"/>
    </row>
    <row r="1187" customFormat="false" ht="15" hidden="false" customHeight="false" outlineLevel="0" collapsed="false">
      <c r="A1187" s="6" t="n">
        <v>1183</v>
      </c>
      <c r="B1187" s="7" t="s">
        <v>1892</v>
      </c>
      <c r="C1187" s="8" t="s">
        <v>1220</v>
      </c>
      <c r="D1187" s="9" t="n">
        <v>0.0110434027777778</v>
      </c>
      <c r="E1187" s="10" t="n">
        <v>1184</v>
      </c>
      <c r="F1187" s="11"/>
      <c r="G1187" s="12"/>
      <c r="H1187" s="11"/>
      <c r="I1187" s="12"/>
      <c r="J1187" s="14"/>
      <c r="K1187" s="14"/>
      <c r="L1187" s="14"/>
      <c r="M1187" s="13"/>
    </row>
    <row r="1188" customFormat="false" ht="15" hidden="false" customHeight="false" outlineLevel="0" collapsed="false">
      <c r="A1188" s="6" t="n">
        <v>1184</v>
      </c>
      <c r="B1188" s="7" t="s">
        <v>1893</v>
      </c>
      <c r="C1188" s="8" t="s">
        <v>138</v>
      </c>
      <c r="D1188" s="9" t="n">
        <v>0.01104375</v>
      </c>
      <c r="E1188" s="10" t="n">
        <v>1185</v>
      </c>
      <c r="F1188" s="11"/>
      <c r="G1188" s="12"/>
      <c r="H1188" s="11" t="n">
        <v>0.00279525462962963</v>
      </c>
      <c r="I1188" s="12" t="n">
        <v>260</v>
      </c>
      <c r="J1188" s="14"/>
      <c r="K1188" s="14"/>
      <c r="L1188" s="14"/>
      <c r="M1188" s="13"/>
    </row>
    <row r="1189" customFormat="false" ht="15" hidden="false" customHeight="false" outlineLevel="0" collapsed="false">
      <c r="A1189" s="6" t="n">
        <v>1185</v>
      </c>
      <c r="B1189" s="7" t="s">
        <v>1894</v>
      </c>
      <c r="C1189" s="8" t="s">
        <v>341</v>
      </c>
      <c r="D1189" s="9" t="n">
        <v>0.0110438657407407</v>
      </c>
      <c r="E1189" s="10" t="n">
        <v>1186</v>
      </c>
      <c r="F1189" s="11" t="n">
        <v>0.006571875</v>
      </c>
      <c r="G1189" s="12" t="n">
        <v>61</v>
      </c>
      <c r="H1189" s="11"/>
      <c r="I1189" s="12"/>
      <c r="J1189" s="14"/>
      <c r="K1189" s="14"/>
      <c r="L1189" s="14"/>
      <c r="M1189" s="13"/>
    </row>
    <row r="1190" customFormat="false" ht="15" hidden="false" customHeight="false" outlineLevel="0" collapsed="false">
      <c r="A1190" s="6" t="n">
        <v>1186</v>
      </c>
      <c r="B1190" s="7" t="s">
        <v>1895</v>
      </c>
      <c r="C1190" s="8" t="s">
        <v>456</v>
      </c>
      <c r="D1190" s="9" t="n">
        <v>0.0110439814814815</v>
      </c>
      <c r="E1190" s="10" t="n">
        <v>1187</v>
      </c>
      <c r="F1190" s="11" t="n">
        <v>0.00698113425925926</v>
      </c>
      <c r="G1190" s="12" t="n">
        <v>315</v>
      </c>
      <c r="H1190" s="11"/>
      <c r="I1190" s="12"/>
      <c r="J1190" s="14"/>
      <c r="K1190" s="14" t="s">
        <v>1896</v>
      </c>
      <c r="L1190" s="14"/>
      <c r="M1190" s="13"/>
    </row>
    <row r="1191" customFormat="false" ht="15" hidden="false" customHeight="false" outlineLevel="0" collapsed="false">
      <c r="A1191" s="6" t="n">
        <v>1187</v>
      </c>
      <c r="B1191" s="7" t="s">
        <v>1897</v>
      </c>
      <c r="C1191" s="8" t="s">
        <v>73</v>
      </c>
      <c r="D1191" s="9" t="n">
        <v>0.0110440972222222</v>
      </c>
      <c r="E1191" s="10" t="n">
        <v>1188</v>
      </c>
      <c r="F1191" s="11"/>
      <c r="G1191" s="12"/>
      <c r="H1191" s="11" t="n">
        <v>0.00296585648148148</v>
      </c>
      <c r="I1191" s="12" t="n">
        <v>1294</v>
      </c>
      <c r="J1191" s="14"/>
      <c r="K1191" s="14"/>
      <c r="L1191" s="14"/>
      <c r="M1191" s="13"/>
    </row>
    <row r="1192" customFormat="false" ht="15" hidden="false" customHeight="false" outlineLevel="0" collapsed="false">
      <c r="A1192" s="6" t="n">
        <v>1188</v>
      </c>
      <c r="B1192" s="7" t="s">
        <v>1898</v>
      </c>
      <c r="C1192" s="8" t="s">
        <v>1899</v>
      </c>
      <c r="D1192" s="9" t="n">
        <v>0.0110452546296296</v>
      </c>
      <c r="E1192" s="10" t="n">
        <v>1189</v>
      </c>
      <c r="F1192" s="11"/>
      <c r="G1192" s="12"/>
      <c r="H1192" s="11"/>
      <c r="I1192" s="12"/>
      <c r="J1192" s="14"/>
      <c r="K1192" s="14"/>
      <c r="L1192" s="14"/>
      <c r="M1192" s="13"/>
    </row>
    <row r="1193" customFormat="false" ht="15" hidden="false" customHeight="false" outlineLevel="0" collapsed="false">
      <c r="A1193" s="6" t="n">
        <v>1189</v>
      </c>
      <c r="B1193" s="7" t="s">
        <v>1900</v>
      </c>
      <c r="C1193" s="8" t="s">
        <v>1901</v>
      </c>
      <c r="D1193" s="9" t="n">
        <v>0.0110453703703704</v>
      </c>
      <c r="E1193" s="10" t="n">
        <v>1190</v>
      </c>
      <c r="F1193" s="11"/>
      <c r="G1193" s="12"/>
      <c r="H1193" s="11" t="n">
        <v>0.00288773148148148</v>
      </c>
      <c r="I1193" s="12" t="n">
        <v>841</v>
      </c>
      <c r="J1193" s="14"/>
      <c r="K1193" s="14"/>
      <c r="L1193" s="14"/>
      <c r="M1193" s="13"/>
    </row>
    <row r="1194" customFormat="false" ht="15" hidden="false" customHeight="false" outlineLevel="0" collapsed="false">
      <c r="A1194" s="6" t="n">
        <v>1190</v>
      </c>
      <c r="B1194" s="7" t="s">
        <v>1902</v>
      </c>
      <c r="C1194" s="8" t="s">
        <v>1110</v>
      </c>
      <c r="D1194" s="9" t="n">
        <v>0.0110453703703704</v>
      </c>
      <c r="E1194" s="10" t="n">
        <v>1191</v>
      </c>
      <c r="F1194" s="11"/>
      <c r="G1194" s="12"/>
      <c r="H1194" s="11"/>
      <c r="I1194" s="12"/>
      <c r="J1194" s="14"/>
      <c r="K1194" s="14"/>
      <c r="L1194" s="14"/>
      <c r="M1194" s="13"/>
    </row>
    <row r="1195" customFormat="false" ht="15" hidden="false" customHeight="false" outlineLevel="0" collapsed="false">
      <c r="A1195" s="6" t="n">
        <v>1191</v>
      </c>
      <c r="B1195" s="7" t="s">
        <v>1903</v>
      </c>
      <c r="C1195" s="8" t="s">
        <v>28</v>
      </c>
      <c r="D1195" s="9" t="n">
        <v>0.0110459490740741</v>
      </c>
      <c r="E1195" s="10" t="n">
        <v>1192</v>
      </c>
      <c r="F1195" s="11" t="n">
        <v>0.007</v>
      </c>
      <c r="G1195" s="12" t="n">
        <v>336</v>
      </c>
      <c r="H1195" s="11"/>
      <c r="I1195" s="12"/>
      <c r="J1195" s="14"/>
      <c r="K1195" s="14"/>
      <c r="L1195" s="14"/>
      <c r="M1195" s="13"/>
    </row>
    <row r="1196" customFormat="false" ht="15" hidden="false" customHeight="false" outlineLevel="0" collapsed="false">
      <c r="A1196" s="6" t="n">
        <v>1192</v>
      </c>
      <c r="B1196" s="7" t="s">
        <v>1904</v>
      </c>
      <c r="C1196" s="8" t="s">
        <v>1905</v>
      </c>
      <c r="D1196" s="9" t="n">
        <v>0.0110465277777778</v>
      </c>
      <c r="E1196" s="10" t="n">
        <v>1193</v>
      </c>
      <c r="F1196" s="11"/>
      <c r="G1196" s="12"/>
      <c r="H1196" s="11" t="n">
        <v>0.00296238425925926</v>
      </c>
      <c r="I1196" s="12" t="n">
        <v>1280</v>
      </c>
      <c r="J1196" s="14"/>
      <c r="K1196" s="14"/>
      <c r="L1196" s="14"/>
      <c r="M1196" s="13"/>
    </row>
    <row r="1197" customFormat="false" ht="15" hidden="false" customHeight="false" outlineLevel="0" collapsed="false">
      <c r="A1197" s="6" t="n">
        <v>1193</v>
      </c>
      <c r="B1197" s="7" t="s">
        <v>1906</v>
      </c>
      <c r="C1197" s="8" t="s">
        <v>1689</v>
      </c>
      <c r="D1197" s="9" t="n">
        <v>0.011046875</v>
      </c>
      <c r="E1197" s="10" t="n">
        <v>1194</v>
      </c>
      <c r="F1197" s="11"/>
      <c r="G1197" s="12"/>
      <c r="H1197" s="11" t="n">
        <v>0.0028505787037037</v>
      </c>
      <c r="I1197" s="12" t="n">
        <v>572</v>
      </c>
      <c r="J1197" s="14"/>
      <c r="K1197" s="14"/>
      <c r="L1197" s="14"/>
      <c r="M1197" s="13"/>
    </row>
    <row r="1198" customFormat="false" ht="15" hidden="false" customHeight="false" outlineLevel="0" collapsed="false">
      <c r="A1198" s="6" t="n">
        <v>1194</v>
      </c>
      <c r="B1198" s="7" t="s">
        <v>1907</v>
      </c>
      <c r="C1198" s="8" t="s">
        <v>158</v>
      </c>
      <c r="D1198" s="9" t="n">
        <v>0.0110471064814815</v>
      </c>
      <c r="E1198" s="10" t="n">
        <v>1195</v>
      </c>
      <c r="F1198" s="11"/>
      <c r="G1198" s="12"/>
      <c r="H1198" s="11"/>
      <c r="I1198" s="12"/>
      <c r="J1198" s="14"/>
      <c r="K1198" s="14"/>
      <c r="L1198" s="14"/>
      <c r="M1198" s="13"/>
    </row>
    <row r="1199" customFormat="false" ht="15" hidden="false" customHeight="false" outlineLevel="0" collapsed="false">
      <c r="A1199" s="6" t="n">
        <v>1195</v>
      </c>
      <c r="B1199" s="7" t="s">
        <v>1908</v>
      </c>
      <c r="C1199" s="8" t="s">
        <v>373</v>
      </c>
      <c r="D1199" s="9" t="n">
        <v>0.0110478009259259</v>
      </c>
      <c r="E1199" s="10" t="n">
        <v>1196</v>
      </c>
      <c r="F1199" s="11"/>
      <c r="G1199" s="12"/>
      <c r="H1199" s="11"/>
      <c r="I1199" s="12"/>
      <c r="J1199" s="14"/>
      <c r="K1199" s="14"/>
      <c r="L1199" s="14"/>
      <c r="M1199" s="13"/>
    </row>
    <row r="1200" customFormat="false" ht="15" hidden="false" customHeight="false" outlineLevel="0" collapsed="false">
      <c r="A1200" s="6" t="n">
        <v>1196</v>
      </c>
      <c r="B1200" s="7" t="s">
        <v>1909</v>
      </c>
      <c r="C1200" s="8" t="s">
        <v>1910</v>
      </c>
      <c r="D1200" s="9" t="n">
        <v>0.0110483796296296</v>
      </c>
      <c r="E1200" s="10" t="n">
        <v>1197</v>
      </c>
      <c r="F1200" s="11"/>
      <c r="G1200" s="12"/>
      <c r="H1200" s="11"/>
      <c r="I1200" s="12"/>
      <c r="J1200" s="14"/>
      <c r="K1200" s="14"/>
      <c r="L1200" s="14"/>
      <c r="M1200" s="13"/>
    </row>
    <row r="1201" customFormat="false" ht="15" hidden="false" customHeight="false" outlineLevel="0" collapsed="false">
      <c r="A1201" s="6" t="n">
        <v>1197</v>
      </c>
      <c r="B1201" s="7" t="s">
        <v>1911</v>
      </c>
      <c r="C1201" s="8" t="s">
        <v>410</v>
      </c>
      <c r="D1201" s="9" t="n">
        <v>0.011050462962963</v>
      </c>
      <c r="E1201" s="10" t="n">
        <v>1198</v>
      </c>
      <c r="F1201" s="11"/>
      <c r="G1201" s="12"/>
      <c r="H1201" s="11" t="n">
        <v>0.00297430555555556</v>
      </c>
      <c r="I1201" s="12" t="n">
        <v>1324</v>
      </c>
      <c r="J1201" s="14"/>
      <c r="K1201" s="14"/>
      <c r="L1201" s="14"/>
      <c r="M1201" s="13"/>
    </row>
    <row r="1202" customFormat="false" ht="15" hidden="false" customHeight="false" outlineLevel="0" collapsed="false">
      <c r="A1202" s="6" t="n">
        <v>1198</v>
      </c>
      <c r="B1202" s="7" t="s">
        <v>1912</v>
      </c>
      <c r="C1202" s="8" t="s">
        <v>118</v>
      </c>
      <c r="D1202" s="9" t="n">
        <v>0.0110515046296296</v>
      </c>
      <c r="E1202" s="10" t="n">
        <v>1199</v>
      </c>
      <c r="F1202" s="11" t="n">
        <v>0.00752384259259259</v>
      </c>
      <c r="G1202" s="12" t="n">
        <v>925</v>
      </c>
      <c r="H1202" s="11"/>
      <c r="I1202" s="12"/>
      <c r="J1202" s="14"/>
      <c r="K1202" s="14"/>
      <c r="L1202" s="14"/>
      <c r="M1202" s="13"/>
    </row>
    <row r="1203" customFormat="false" ht="15" hidden="false" customHeight="false" outlineLevel="0" collapsed="false">
      <c r="A1203" s="6" t="n">
        <v>1199</v>
      </c>
      <c r="B1203" s="7" t="s">
        <v>1913</v>
      </c>
      <c r="C1203" s="8" t="s">
        <v>1756</v>
      </c>
      <c r="D1203" s="9" t="n">
        <v>0.0110517361111111</v>
      </c>
      <c r="E1203" s="10" t="n">
        <v>1200</v>
      </c>
      <c r="F1203" s="11" t="n">
        <v>0.00734594907407408</v>
      </c>
      <c r="G1203" s="12" t="n">
        <v>706</v>
      </c>
      <c r="H1203" s="11" t="n">
        <v>0.00288194444444444</v>
      </c>
      <c r="I1203" s="12" t="n">
        <v>790</v>
      </c>
      <c r="J1203" s="14"/>
      <c r="K1203" s="14"/>
      <c r="L1203" s="14"/>
      <c r="M1203" s="13"/>
    </row>
    <row r="1204" customFormat="false" ht="15" hidden="false" customHeight="false" outlineLevel="0" collapsed="false">
      <c r="A1204" s="6" t="n">
        <v>1200</v>
      </c>
      <c r="B1204" s="7" t="s">
        <v>1914</v>
      </c>
      <c r="C1204" s="8" t="s">
        <v>1884</v>
      </c>
      <c r="D1204" s="9" t="n">
        <v>0.0110520833333333</v>
      </c>
      <c r="E1204" s="10" t="n">
        <v>1201</v>
      </c>
      <c r="F1204" s="11"/>
      <c r="G1204" s="12"/>
      <c r="H1204" s="11" t="n">
        <v>0.00295844907407407</v>
      </c>
      <c r="I1204" s="12" t="n">
        <v>1263</v>
      </c>
      <c r="J1204" s="14"/>
      <c r="K1204" s="14"/>
      <c r="L1204" s="14"/>
      <c r="M1204" s="13"/>
    </row>
    <row r="1205" customFormat="false" ht="15" hidden="false" customHeight="false" outlineLevel="0" collapsed="false">
      <c r="A1205" s="6" t="n">
        <v>1201</v>
      </c>
      <c r="B1205" s="7" t="s">
        <v>1915</v>
      </c>
      <c r="C1205" s="8" t="s">
        <v>730</v>
      </c>
      <c r="D1205" s="9" t="n">
        <v>0.0110524305555556</v>
      </c>
      <c r="E1205" s="10" t="n">
        <v>1202</v>
      </c>
      <c r="F1205" s="11" t="n">
        <v>0.00676064814814815</v>
      </c>
      <c r="G1205" s="12" t="n">
        <v>136</v>
      </c>
      <c r="H1205" s="11" t="n">
        <v>0.00297037037037037</v>
      </c>
      <c r="I1205" s="12" t="n">
        <v>1311</v>
      </c>
      <c r="J1205" s="14"/>
      <c r="K1205" s="14"/>
      <c r="L1205" s="14"/>
      <c r="M1205" s="13"/>
    </row>
    <row r="1206" customFormat="false" ht="15" hidden="false" customHeight="false" outlineLevel="0" collapsed="false">
      <c r="A1206" s="6" t="n">
        <v>1202</v>
      </c>
      <c r="B1206" s="7" t="s">
        <v>1916</v>
      </c>
      <c r="C1206" s="8" t="s">
        <v>537</v>
      </c>
      <c r="D1206" s="9" t="n">
        <v>0.0110524305555556</v>
      </c>
      <c r="E1206" s="10" t="n">
        <v>1203</v>
      </c>
      <c r="F1206" s="11" t="n">
        <v>0.00715798611111111</v>
      </c>
      <c r="G1206" s="12" t="n">
        <v>494</v>
      </c>
      <c r="H1206" s="11" t="n">
        <v>0.00292071759259259</v>
      </c>
      <c r="I1206" s="12" t="n">
        <v>1107</v>
      </c>
      <c r="J1206" s="14"/>
      <c r="K1206" s="14"/>
      <c r="L1206" s="14"/>
      <c r="M1206" s="13"/>
    </row>
    <row r="1207" customFormat="false" ht="15" hidden="false" customHeight="false" outlineLevel="0" collapsed="false">
      <c r="A1207" s="6" t="n">
        <v>1203</v>
      </c>
      <c r="B1207" s="7" t="s">
        <v>1917</v>
      </c>
      <c r="C1207" s="8" t="s">
        <v>344</v>
      </c>
      <c r="D1207" s="9" t="n">
        <v>0.011053125</v>
      </c>
      <c r="E1207" s="10" t="n">
        <v>1204</v>
      </c>
      <c r="F1207" s="11"/>
      <c r="G1207" s="12"/>
      <c r="H1207" s="11"/>
      <c r="I1207" s="12"/>
      <c r="J1207" s="14"/>
      <c r="K1207" s="14"/>
      <c r="L1207" s="14"/>
      <c r="M1207" s="13"/>
    </row>
    <row r="1208" customFormat="false" ht="15" hidden="false" customHeight="false" outlineLevel="0" collapsed="false">
      <c r="A1208" s="6" t="n">
        <v>1204</v>
      </c>
      <c r="B1208" s="7" t="s">
        <v>1918</v>
      </c>
      <c r="C1208" s="8" t="s">
        <v>1919</v>
      </c>
      <c r="D1208" s="9" t="n">
        <v>0.0110533564814815</v>
      </c>
      <c r="E1208" s="10" t="n">
        <v>1205</v>
      </c>
      <c r="F1208" s="11"/>
      <c r="G1208" s="12"/>
      <c r="H1208" s="11"/>
      <c r="I1208" s="12"/>
      <c r="J1208" s="14"/>
      <c r="K1208" s="14"/>
      <c r="L1208" s="14"/>
      <c r="M1208" s="13"/>
    </row>
    <row r="1209" customFormat="false" ht="15" hidden="false" customHeight="false" outlineLevel="0" collapsed="false">
      <c r="A1209" s="6" t="n">
        <v>1205</v>
      </c>
      <c r="B1209" s="7" t="s">
        <v>1920</v>
      </c>
      <c r="C1209" s="8" t="s">
        <v>1921</v>
      </c>
      <c r="D1209" s="9" t="n">
        <v>0.0110537037037037</v>
      </c>
      <c r="E1209" s="10" t="n">
        <v>1206</v>
      </c>
      <c r="F1209" s="11" t="n">
        <v>0.00686990740740741</v>
      </c>
      <c r="G1209" s="12" t="n">
        <v>218</v>
      </c>
      <c r="H1209" s="11"/>
      <c r="I1209" s="12"/>
      <c r="J1209" s="14"/>
      <c r="K1209" s="14"/>
      <c r="L1209" s="14"/>
      <c r="M1209" s="13"/>
    </row>
    <row r="1210" customFormat="false" ht="15" hidden="false" customHeight="false" outlineLevel="0" collapsed="false">
      <c r="A1210" s="6" t="n">
        <v>1206</v>
      </c>
      <c r="B1210" s="7" t="s">
        <v>1922</v>
      </c>
      <c r="C1210" s="8" t="s">
        <v>1923</v>
      </c>
      <c r="D1210" s="9" t="n">
        <v>0.0110538194444444</v>
      </c>
      <c r="E1210" s="10" t="n">
        <v>1207</v>
      </c>
      <c r="F1210" s="11" t="n">
        <v>0.00734479166666667</v>
      </c>
      <c r="G1210" s="12" t="n">
        <v>703</v>
      </c>
      <c r="H1210" s="11"/>
      <c r="I1210" s="12"/>
      <c r="J1210" s="14"/>
      <c r="K1210" s="14"/>
      <c r="L1210" s="14"/>
      <c r="M1210" s="13"/>
    </row>
    <row r="1211" customFormat="false" ht="15" hidden="false" customHeight="false" outlineLevel="0" collapsed="false">
      <c r="A1211" s="6" t="n">
        <v>1207</v>
      </c>
      <c r="B1211" s="7" t="s">
        <v>1924</v>
      </c>
      <c r="C1211" s="8" t="s">
        <v>130</v>
      </c>
      <c r="D1211" s="9" t="n">
        <v>0.0110539351851852</v>
      </c>
      <c r="E1211" s="10" t="n">
        <v>1208</v>
      </c>
      <c r="F1211" s="11"/>
      <c r="G1211" s="12"/>
      <c r="H1211" s="11" t="n">
        <v>0.00292546296296296</v>
      </c>
      <c r="I1211" s="12" t="n">
        <v>1152</v>
      </c>
      <c r="J1211" s="14"/>
      <c r="K1211" s="14"/>
      <c r="L1211" s="14"/>
      <c r="M1211" s="13"/>
    </row>
    <row r="1212" customFormat="false" ht="15" hidden="false" customHeight="false" outlineLevel="0" collapsed="false">
      <c r="A1212" s="6" t="n">
        <v>1208</v>
      </c>
      <c r="B1212" s="7" t="s">
        <v>1925</v>
      </c>
      <c r="C1212" s="8" t="s">
        <v>1926</v>
      </c>
      <c r="D1212" s="9" t="n">
        <v>0.0110541666666667</v>
      </c>
      <c r="E1212" s="10" t="n">
        <v>1209</v>
      </c>
      <c r="F1212" s="11"/>
      <c r="G1212" s="12"/>
      <c r="H1212" s="11" t="n">
        <v>0.00279490740740741</v>
      </c>
      <c r="I1212" s="12" t="n">
        <v>258</v>
      </c>
      <c r="J1212" s="14"/>
      <c r="K1212" s="14"/>
      <c r="L1212" s="14"/>
      <c r="M1212" s="13"/>
    </row>
    <row r="1213" customFormat="false" ht="15" hidden="false" customHeight="false" outlineLevel="0" collapsed="false">
      <c r="A1213" s="6" t="n">
        <v>1209</v>
      </c>
      <c r="B1213" s="7" t="s">
        <v>1927</v>
      </c>
      <c r="C1213" s="8" t="s">
        <v>1844</v>
      </c>
      <c r="D1213" s="9" t="n">
        <v>0.0110561342592593</v>
      </c>
      <c r="E1213" s="10" t="n">
        <v>1210</v>
      </c>
      <c r="F1213" s="11"/>
      <c r="G1213" s="12"/>
      <c r="H1213" s="11" t="n">
        <v>0.00292199074074074</v>
      </c>
      <c r="I1213" s="12" t="n">
        <v>1112</v>
      </c>
      <c r="J1213" s="14"/>
      <c r="K1213" s="14"/>
      <c r="L1213" s="14"/>
      <c r="M1213" s="13"/>
    </row>
    <row r="1214" customFormat="false" ht="15" hidden="false" customHeight="false" outlineLevel="0" collapsed="false">
      <c r="A1214" s="6" t="n">
        <v>1210</v>
      </c>
      <c r="B1214" s="7" t="s">
        <v>1928</v>
      </c>
      <c r="C1214" s="8" t="s">
        <v>1929</v>
      </c>
      <c r="D1214" s="9" t="n">
        <v>0.0110569444444445</v>
      </c>
      <c r="E1214" s="10" t="n">
        <v>1211</v>
      </c>
      <c r="F1214" s="11"/>
      <c r="G1214" s="12"/>
      <c r="H1214" s="11"/>
      <c r="I1214" s="12"/>
      <c r="J1214" s="14"/>
      <c r="K1214" s="14"/>
      <c r="L1214" s="14"/>
      <c r="M1214" s="13"/>
    </row>
    <row r="1215" customFormat="false" ht="15" hidden="false" customHeight="false" outlineLevel="0" collapsed="false">
      <c r="A1215" s="6" t="n">
        <v>1211</v>
      </c>
      <c r="B1215" s="7" t="s">
        <v>1930</v>
      </c>
      <c r="C1215" s="8" t="s">
        <v>1931</v>
      </c>
      <c r="D1215" s="9" t="n">
        <v>0.0110578703703704</v>
      </c>
      <c r="E1215" s="10" t="n">
        <v>1212</v>
      </c>
      <c r="F1215" s="11" t="n">
        <v>0.007896875</v>
      </c>
      <c r="G1215" s="12" t="n">
        <v>1162</v>
      </c>
      <c r="H1215" s="11"/>
      <c r="I1215" s="12"/>
      <c r="J1215" s="14"/>
      <c r="K1215" s="14"/>
      <c r="L1215" s="14"/>
      <c r="M1215" s="13"/>
    </row>
    <row r="1216" customFormat="false" ht="15" hidden="false" customHeight="false" outlineLevel="0" collapsed="false">
      <c r="A1216" s="6" t="n">
        <v>1212</v>
      </c>
      <c r="B1216" s="7" t="s">
        <v>1932</v>
      </c>
      <c r="C1216" s="8" t="s">
        <v>373</v>
      </c>
      <c r="D1216" s="9" t="n">
        <v>0.0110579861111111</v>
      </c>
      <c r="E1216" s="10" t="n">
        <v>1213</v>
      </c>
      <c r="F1216" s="11" t="n">
        <v>0.00686655092592593</v>
      </c>
      <c r="G1216" s="12" t="n">
        <v>215</v>
      </c>
      <c r="H1216" s="11"/>
      <c r="I1216" s="12"/>
      <c r="J1216" s="14"/>
      <c r="K1216" s="14"/>
      <c r="L1216" s="14"/>
      <c r="M1216" s="13"/>
    </row>
    <row r="1217" customFormat="false" ht="15" hidden="false" customHeight="false" outlineLevel="0" collapsed="false">
      <c r="A1217" s="6" t="n">
        <v>1213</v>
      </c>
      <c r="B1217" s="7" t="s">
        <v>1933</v>
      </c>
      <c r="C1217" s="8" t="s">
        <v>471</v>
      </c>
      <c r="D1217" s="9" t="n">
        <v>0.0110586805555556</v>
      </c>
      <c r="E1217" s="10" t="n">
        <v>1214</v>
      </c>
      <c r="F1217" s="11"/>
      <c r="G1217" s="12"/>
      <c r="H1217" s="11"/>
      <c r="I1217" s="12"/>
      <c r="J1217" s="14"/>
      <c r="K1217" s="14"/>
      <c r="L1217" s="14"/>
      <c r="M1217" s="13"/>
    </row>
    <row r="1218" customFormat="false" ht="15" hidden="false" customHeight="false" outlineLevel="0" collapsed="false">
      <c r="A1218" s="6" t="n">
        <v>1214</v>
      </c>
      <c r="B1218" s="7" t="s">
        <v>1934</v>
      </c>
      <c r="C1218" s="8" t="s">
        <v>1724</v>
      </c>
      <c r="D1218" s="9" t="n">
        <v>0.0110605324074074</v>
      </c>
      <c r="E1218" s="10" t="n">
        <v>1215</v>
      </c>
      <c r="F1218" s="11" t="n">
        <v>0.00772546296296296</v>
      </c>
      <c r="G1218" s="12" t="n">
        <v>1091</v>
      </c>
      <c r="H1218" s="11"/>
      <c r="I1218" s="12"/>
      <c r="J1218" s="14"/>
      <c r="K1218" s="14"/>
      <c r="L1218" s="14"/>
      <c r="M1218" s="13"/>
    </row>
    <row r="1219" customFormat="false" ht="15" hidden="false" customHeight="false" outlineLevel="0" collapsed="false">
      <c r="A1219" s="6" t="n">
        <v>1215</v>
      </c>
      <c r="B1219" s="7" t="s">
        <v>1935</v>
      </c>
      <c r="C1219" s="8" t="s">
        <v>1936</v>
      </c>
      <c r="D1219" s="9" t="n">
        <v>0.0110606481481482</v>
      </c>
      <c r="E1219" s="10" t="n">
        <v>1216</v>
      </c>
      <c r="F1219" s="11"/>
      <c r="G1219" s="12"/>
      <c r="H1219" s="11" t="n">
        <v>0.00284444444444444</v>
      </c>
      <c r="I1219" s="12" t="n">
        <v>530</v>
      </c>
      <c r="J1219" s="14"/>
      <c r="K1219" s="14"/>
      <c r="L1219" s="14"/>
      <c r="M1219" s="13"/>
    </row>
    <row r="1220" customFormat="false" ht="15" hidden="false" customHeight="false" outlineLevel="0" collapsed="false">
      <c r="A1220" s="6" t="n">
        <v>1216</v>
      </c>
      <c r="B1220" s="7" t="s">
        <v>1937</v>
      </c>
      <c r="C1220" s="8" t="s">
        <v>290</v>
      </c>
      <c r="D1220" s="9" t="n">
        <v>0.0110608796296296</v>
      </c>
      <c r="E1220" s="10" t="n">
        <v>1217</v>
      </c>
      <c r="F1220" s="11" t="n">
        <v>0.00682800925925926</v>
      </c>
      <c r="G1220" s="12" t="n">
        <v>191</v>
      </c>
      <c r="H1220" s="11"/>
      <c r="I1220" s="12"/>
      <c r="J1220" s="14"/>
      <c r="K1220" s="14"/>
      <c r="L1220" s="14"/>
      <c r="M1220" s="13"/>
    </row>
    <row r="1221" customFormat="false" ht="15" hidden="false" customHeight="false" outlineLevel="0" collapsed="false">
      <c r="A1221" s="6" t="n">
        <v>1217</v>
      </c>
      <c r="B1221" s="7" t="s">
        <v>1938</v>
      </c>
      <c r="C1221" s="8" t="s">
        <v>212</v>
      </c>
      <c r="D1221" s="9" t="n">
        <v>0.0110609953703704</v>
      </c>
      <c r="E1221" s="10" t="n">
        <v>1218</v>
      </c>
      <c r="F1221" s="11"/>
      <c r="G1221" s="12"/>
      <c r="H1221" s="11" t="n">
        <v>0.00280462962962963</v>
      </c>
      <c r="I1221" s="12" t="n">
        <v>301</v>
      </c>
      <c r="J1221" s="14"/>
      <c r="K1221" s="14"/>
      <c r="L1221" s="14"/>
      <c r="M1221" s="13"/>
    </row>
    <row r="1222" customFormat="false" ht="15" hidden="false" customHeight="false" outlineLevel="0" collapsed="false">
      <c r="A1222" s="6" t="n">
        <v>1218</v>
      </c>
      <c r="B1222" s="7" t="s">
        <v>1939</v>
      </c>
      <c r="C1222" s="8" t="s">
        <v>1940</v>
      </c>
      <c r="D1222" s="9" t="n">
        <v>0.0110611111111111</v>
      </c>
      <c r="E1222" s="10" t="n">
        <v>1219</v>
      </c>
      <c r="F1222" s="11"/>
      <c r="G1222" s="12"/>
      <c r="H1222" s="11"/>
      <c r="I1222" s="12"/>
      <c r="J1222" s="14"/>
      <c r="K1222" s="14"/>
      <c r="L1222" s="14"/>
      <c r="M1222" s="13"/>
    </row>
    <row r="1223" customFormat="false" ht="15" hidden="false" customHeight="false" outlineLevel="0" collapsed="false">
      <c r="A1223" s="6" t="n">
        <v>1219</v>
      </c>
      <c r="B1223" s="7" t="s">
        <v>1941</v>
      </c>
      <c r="C1223" s="8" t="s">
        <v>1942</v>
      </c>
      <c r="D1223" s="9" t="n">
        <v>0.0110612268518519</v>
      </c>
      <c r="E1223" s="10" t="n">
        <v>1220</v>
      </c>
      <c r="F1223" s="11" t="n">
        <v>0.00689340277777778</v>
      </c>
      <c r="G1223" s="12" t="n">
        <v>234</v>
      </c>
      <c r="H1223" s="11" t="n">
        <v>0.00296643518518519</v>
      </c>
      <c r="I1223" s="12" t="n">
        <v>1298</v>
      </c>
      <c r="J1223" s="14"/>
      <c r="K1223" s="14"/>
      <c r="L1223" s="14"/>
      <c r="M1223" s="13"/>
    </row>
    <row r="1224" customFormat="false" ht="15" hidden="false" customHeight="false" outlineLevel="0" collapsed="false">
      <c r="A1224" s="6" t="n">
        <v>1220</v>
      </c>
      <c r="B1224" s="7" t="s">
        <v>1943</v>
      </c>
      <c r="C1224" s="8" t="s">
        <v>1944</v>
      </c>
      <c r="D1224" s="9" t="n">
        <v>0.0110622685185185</v>
      </c>
      <c r="E1224" s="10" t="n">
        <v>1221</v>
      </c>
      <c r="F1224" s="11" t="n">
        <v>0.00730798611111111</v>
      </c>
      <c r="G1224" s="12" t="n">
        <v>657</v>
      </c>
      <c r="H1224" s="11"/>
      <c r="I1224" s="12"/>
      <c r="J1224" s="14"/>
      <c r="K1224" s="14"/>
      <c r="L1224" s="14"/>
      <c r="M1224" s="13"/>
    </row>
    <row r="1225" customFormat="false" ht="15" hidden="false" customHeight="false" outlineLevel="0" collapsed="false">
      <c r="A1225" s="6" t="n">
        <v>1221</v>
      </c>
      <c r="B1225" s="7" t="s">
        <v>1945</v>
      </c>
      <c r="C1225" s="8" t="s">
        <v>283</v>
      </c>
      <c r="D1225" s="9" t="n">
        <v>0.0110628472222222</v>
      </c>
      <c r="E1225" s="10" t="n">
        <v>1222</v>
      </c>
      <c r="F1225" s="11"/>
      <c r="G1225" s="12"/>
      <c r="H1225" s="11"/>
      <c r="I1225" s="12"/>
      <c r="J1225" s="14"/>
      <c r="K1225" s="14"/>
      <c r="L1225" s="14"/>
      <c r="M1225" s="13"/>
    </row>
    <row r="1226" customFormat="false" ht="15" hidden="false" customHeight="false" outlineLevel="0" collapsed="false">
      <c r="A1226" s="6" t="n">
        <v>1222</v>
      </c>
      <c r="B1226" s="7" t="s">
        <v>1946</v>
      </c>
      <c r="C1226" s="8" t="s">
        <v>399</v>
      </c>
      <c r="D1226" s="9" t="n">
        <v>0.0110631944444444</v>
      </c>
      <c r="E1226" s="10" t="n">
        <v>1223</v>
      </c>
      <c r="F1226" s="11"/>
      <c r="G1226" s="12"/>
      <c r="H1226" s="11"/>
      <c r="I1226" s="12"/>
      <c r="J1226" s="14"/>
      <c r="K1226" s="14"/>
      <c r="L1226" s="14"/>
      <c r="M1226" s="13"/>
    </row>
    <row r="1227" customFormat="false" ht="15" hidden="false" customHeight="false" outlineLevel="0" collapsed="false">
      <c r="A1227" s="6" t="n">
        <v>1223</v>
      </c>
      <c r="B1227" s="7" t="s">
        <v>1947</v>
      </c>
      <c r="C1227" s="8" t="s">
        <v>122</v>
      </c>
      <c r="D1227" s="9" t="n">
        <v>0.0110635416666667</v>
      </c>
      <c r="E1227" s="10" t="n">
        <v>1224</v>
      </c>
      <c r="F1227" s="11"/>
      <c r="G1227" s="12"/>
      <c r="H1227" s="11"/>
      <c r="I1227" s="12"/>
      <c r="J1227" s="14"/>
      <c r="K1227" s="14"/>
      <c r="L1227" s="14"/>
      <c r="M1227" s="13"/>
    </row>
    <row r="1228" customFormat="false" ht="15" hidden="false" customHeight="false" outlineLevel="0" collapsed="false">
      <c r="A1228" s="6" t="n">
        <v>1224</v>
      </c>
      <c r="B1228" s="7" t="s">
        <v>1948</v>
      </c>
      <c r="C1228" s="8" t="s">
        <v>1949</v>
      </c>
      <c r="D1228" s="9" t="n">
        <v>0.011065162037037</v>
      </c>
      <c r="E1228" s="10" t="n">
        <v>1225</v>
      </c>
      <c r="F1228" s="11"/>
      <c r="G1228" s="12"/>
      <c r="H1228" s="11"/>
      <c r="I1228" s="12"/>
      <c r="J1228" s="14"/>
      <c r="K1228" s="14"/>
      <c r="L1228" s="14"/>
      <c r="M1228" s="13"/>
    </row>
    <row r="1229" customFormat="false" ht="15" hidden="false" customHeight="false" outlineLevel="0" collapsed="false">
      <c r="A1229" s="6" t="n">
        <v>1225</v>
      </c>
      <c r="B1229" s="7" t="s">
        <v>1950</v>
      </c>
      <c r="C1229" s="8" t="s">
        <v>1339</v>
      </c>
      <c r="D1229" s="9" t="n">
        <v>0.0110658564814815</v>
      </c>
      <c r="E1229" s="10" t="n">
        <v>1226</v>
      </c>
      <c r="F1229" s="11"/>
      <c r="G1229" s="12"/>
      <c r="H1229" s="11"/>
      <c r="I1229" s="12"/>
      <c r="J1229" s="14"/>
      <c r="K1229" s="14"/>
      <c r="L1229" s="14"/>
      <c r="M1229" s="13"/>
    </row>
    <row r="1230" customFormat="false" ht="15" hidden="false" customHeight="false" outlineLevel="0" collapsed="false">
      <c r="A1230" s="6" t="n">
        <v>1226</v>
      </c>
      <c r="B1230" s="7" t="s">
        <v>1951</v>
      </c>
      <c r="C1230" s="8" t="s">
        <v>788</v>
      </c>
      <c r="D1230" s="9" t="n">
        <v>0.011066087962963</v>
      </c>
      <c r="E1230" s="10" t="n">
        <v>1227</v>
      </c>
      <c r="F1230" s="11" t="n">
        <v>0.0069525462962963</v>
      </c>
      <c r="G1230" s="12" t="n">
        <v>287</v>
      </c>
      <c r="H1230" s="11"/>
      <c r="I1230" s="12"/>
      <c r="J1230" s="14"/>
      <c r="K1230" s="14"/>
      <c r="L1230" s="14"/>
      <c r="M1230" s="13"/>
    </row>
    <row r="1231" customFormat="false" ht="15" hidden="false" customHeight="false" outlineLevel="0" collapsed="false">
      <c r="A1231" s="6" t="n">
        <v>1227</v>
      </c>
      <c r="B1231" s="7" t="s">
        <v>1952</v>
      </c>
      <c r="C1231" s="8" t="s">
        <v>1953</v>
      </c>
      <c r="D1231" s="9" t="n">
        <v>0.0110662037037037</v>
      </c>
      <c r="E1231" s="10" t="n">
        <v>1228</v>
      </c>
      <c r="F1231" s="11"/>
      <c r="G1231" s="12"/>
      <c r="H1231" s="11" t="n">
        <v>0.00284479166666667</v>
      </c>
      <c r="I1231" s="12" t="n">
        <v>534</v>
      </c>
      <c r="J1231" s="14"/>
      <c r="K1231" s="14"/>
      <c r="L1231" s="14"/>
      <c r="M1231" s="13"/>
    </row>
    <row r="1232" customFormat="false" ht="15" hidden="false" customHeight="false" outlineLevel="0" collapsed="false">
      <c r="A1232" s="6" t="n">
        <v>1228</v>
      </c>
      <c r="B1232" s="7" t="s">
        <v>1954</v>
      </c>
      <c r="C1232" s="8" t="s">
        <v>233</v>
      </c>
      <c r="D1232" s="9" t="n">
        <v>0.0110665509259259</v>
      </c>
      <c r="E1232" s="10" t="n">
        <v>1229</v>
      </c>
      <c r="F1232" s="11"/>
      <c r="G1232" s="12"/>
      <c r="H1232" s="11"/>
      <c r="I1232" s="12"/>
      <c r="J1232" s="14"/>
      <c r="K1232" s="14"/>
      <c r="L1232" s="14"/>
      <c r="M1232" s="13"/>
    </row>
    <row r="1233" customFormat="false" ht="15" hidden="false" customHeight="false" outlineLevel="0" collapsed="false">
      <c r="A1233" s="6" t="n">
        <v>1229</v>
      </c>
      <c r="B1233" s="7" t="s">
        <v>1955</v>
      </c>
      <c r="C1233" s="8" t="s">
        <v>1956</v>
      </c>
      <c r="D1233" s="9" t="n">
        <v>0.0110668981481482</v>
      </c>
      <c r="E1233" s="10" t="n">
        <v>1230</v>
      </c>
      <c r="F1233" s="11"/>
      <c r="G1233" s="12"/>
      <c r="H1233" s="11"/>
      <c r="I1233" s="12"/>
      <c r="J1233" s="14"/>
      <c r="K1233" s="14"/>
      <c r="L1233" s="14"/>
      <c r="M1233" s="13"/>
    </row>
    <row r="1234" customFormat="false" ht="15" hidden="false" customHeight="false" outlineLevel="0" collapsed="false">
      <c r="A1234" s="6" t="n">
        <v>1230</v>
      </c>
      <c r="B1234" s="7" t="s">
        <v>1957</v>
      </c>
      <c r="C1234" s="8" t="s">
        <v>274</v>
      </c>
      <c r="D1234" s="9" t="n">
        <v>0.0110670138888889</v>
      </c>
      <c r="E1234" s="10" t="n">
        <v>1231</v>
      </c>
      <c r="F1234" s="11"/>
      <c r="G1234" s="12"/>
      <c r="H1234" s="11"/>
      <c r="I1234" s="12"/>
      <c r="J1234" s="14"/>
      <c r="K1234" s="14"/>
      <c r="L1234" s="14"/>
      <c r="M1234" s="13"/>
    </row>
    <row r="1235" customFormat="false" ht="15" hidden="false" customHeight="false" outlineLevel="0" collapsed="false">
      <c r="A1235" s="6" t="n">
        <v>1231</v>
      </c>
      <c r="B1235" s="7" t="s">
        <v>1958</v>
      </c>
      <c r="C1235" s="8" t="s">
        <v>641</v>
      </c>
      <c r="D1235" s="9" t="n">
        <v>0.0110673611111111</v>
      </c>
      <c r="E1235" s="10" t="n">
        <v>1232</v>
      </c>
      <c r="F1235" s="11"/>
      <c r="G1235" s="12"/>
      <c r="H1235" s="11" t="n">
        <v>0.00284895833333333</v>
      </c>
      <c r="I1235" s="12" t="n">
        <v>564</v>
      </c>
      <c r="J1235" s="14"/>
      <c r="K1235" s="14"/>
      <c r="L1235" s="14"/>
      <c r="M1235" s="13"/>
    </row>
    <row r="1236" customFormat="false" ht="15" hidden="false" customHeight="false" outlineLevel="0" collapsed="false">
      <c r="A1236" s="6" t="n">
        <v>1232</v>
      </c>
      <c r="B1236" s="7" t="s">
        <v>1959</v>
      </c>
      <c r="C1236" s="8" t="s">
        <v>1960</v>
      </c>
      <c r="D1236" s="9" t="n">
        <v>0.0110694444444444</v>
      </c>
      <c r="E1236" s="10" t="n">
        <v>1233</v>
      </c>
      <c r="F1236" s="11"/>
      <c r="G1236" s="12"/>
      <c r="H1236" s="11"/>
      <c r="I1236" s="12"/>
      <c r="J1236" s="14"/>
      <c r="K1236" s="14"/>
      <c r="L1236" s="14"/>
      <c r="M1236" s="13"/>
    </row>
    <row r="1237" customFormat="false" ht="15" hidden="false" customHeight="false" outlineLevel="0" collapsed="false">
      <c r="A1237" s="6" t="n">
        <v>1233</v>
      </c>
      <c r="B1237" s="7" t="s">
        <v>1961</v>
      </c>
      <c r="C1237" s="8" t="s">
        <v>1402</v>
      </c>
      <c r="D1237" s="9" t="n">
        <v>0.0110696759259259</v>
      </c>
      <c r="E1237" s="10" t="n">
        <v>1234</v>
      </c>
      <c r="F1237" s="11"/>
      <c r="G1237" s="12"/>
      <c r="H1237" s="11"/>
      <c r="I1237" s="12"/>
      <c r="J1237" s="14"/>
      <c r="K1237" s="14"/>
      <c r="L1237" s="14"/>
      <c r="M1237" s="13"/>
    </row>
    <row r="1238" customFormat="false" ht="15" hidden="false" customHeight="false" outlineLevel="0" collapsed="false">
      <c r="A1238" s="6" t="n">
        <v>1234</v>
      </c>
      <c r="B1238" s="7" t="s">
        <v>1962</v>
      </c>
      <c r="C1238" s="8" t="s">
        <v>1963</v>
      </c>
      <c r="D1238" s="9" t="n">
        <v>0.0110702546296296</v>
      </c>
      <c r="E1238" s="10" t="n">
        <v>1235</v>
      </c>
      <c r="F1238" s="11"/>
      <c r="G1238" s="12"/>
      <c r="H1238" s="11"/>
      <c r="I1238" s="12"/>
      <c r="J1238" s="14"/>
      <c r="K1238" s="14"/>
      <c r="L1238" s="14"/>
      <c r="M1238" s="13"/>
    </row>
    <row r="1239" customFormat="false" ht="15" hidden="false" customHeight="false" outlineLevel="0" collapsed="false">
      <c r="A1239" s="6" t="n">
        <v>1235</v>
      </c>
      <c r="B1239" s="7" t="s">
        <v>1964</v>
      </c>
      <c r="C1239" s="8" t="s">
        <v>1205</v>
      </c>
      <c r="D1239" s="9" t="n">
        <v>0.0110709490740741</v>
      </c>
      <c r="E1239" s="10" t="n">
        <v>1236</v>
      </c>
      <c r="F1239" s="11"/>
      <c r="G1239" s="12"/>
      <c r="H1239" s="11" t="n">
        <v>0.00289212962962963</v>
      </c>
      <c r="I1239" s="12" t="n">
        <v>890</v>
      </c>
      <c r="J1239" s="14"/>
      <c r="K1239" s="14"/>
      <c r="L1239" s="14"/>
      <c r="M1239" s="13"/>
    </row>
    <row r="1240" customFormat="false" ht="15" hidden="false" customHeight="false" outlineLevel="0" collapsed="false">
      <c r="A1240" s="6" t="n">
        <v>1236</v>
      </c>
      <c r="B1240" s="7" t="s">
        <v>1965</v>
      </c>
      <c r="C1240" s="8" t="s">
        <v>1966</v>
      </c>
      <c r="D1240" s="9" t="n">
        <v>0.0110717592592593</v>
      </c>
      <c r="E1240" s="10" t="n">
        <v>1237</v>
      </c>
      <c r="F1240" s="11"/>
      <c r="G1240" s="12"/>
      <c r="H1240" s="11" t="n">
        <v>0.00289965277777778</v>
      </c>
      <c r="I1240" s="12" t="n">
        <v>942</v>
      </c>
      <c r="J1240" s="14"/>
      <c r="K1240" s="14"/>
      <c r="L1240" s="14"/>
      <c r="M1240" s="13"/>
    </row>
    <row r="1241" customFormat="false" ht="15" hidden="false" customHeight="false" outlineLevel="0" collapsed="false">
      <c r="A1241" s="6" t="n">
        <v>1237</v>
      </c>
      <c r="B1241" s="7" t="s">
        <v>1967</v>
      </c>
      <c r="C1241" s="8" t="s">
        <v>309</v>
      </c>
      <c r="D1241" s="9" t="n">
        <v>0.0110721064814815</v>
      </c>
      <c r="E1241" s="10" t="n">
        <v>1238</v>
      </c>
      <c r="F1241" s="11"/>
      <c r="G1241" s="12"/>
      <c r="H1241" s="11"/>
      <c r="I1241" s="12"/>
      <c r="J1241" s="14"/>
      <c r="K1241" s="14"/>
      <c r="L1241" s="14"/>
      <c r="M1241" s="13"/>
    </row>
    <row r="1242" customFormat="false" ht="15" hidden="false" customHeight="false" outlineLevel="0" collapsed="false">
      <c r="A1242" s="6" t="n">
        <v>1238</v>
      </c>
      <c r="B1242" s="7" t="s">
        <v>1968</v>
      </c>
      <c r="C1242" s="8" t="s">
        <v>423</v>
      </c>
      <c r="D1242" s="9" t="n">
        <v>0.0110722222222222</v>
      </c>
      <c r="E1242" s="10" t="n">
        <v>1239</v>
      </c>
      <c r="F1242" s="11" t="n">
        <v>0.00728298611111111</v>
      </c>
      <c r="G1242" s="12" t="n">
        <v>623</v>
      </c>
      <c r="H1242" s="11"/>
      <c r="I1242" s="12"/>
      <c r="J1242" s="14"/>
      <c r="K1242" s="14"/>
      <c r="L1242" s="14"/>
      <c r="M1242" s="13"/>
    </row>
    <row r="1243" customFormat="false" ht="15" hidden="false" customHeight="false" outlineLevel="0" collapsed="false">
      <c r="A1243" s="6" t="n">
        <v>1239</v>
      </c>
      <c r="B1243" s="7" t="s">
        <v>1969</v>
      </c>
      <c r="C1243" s="8" t="s">
        <v>1618</v>
      </c>
      <c r="D1243" s="9" t="n">
        <v>0.011072337962963</v>
      </c>
      <c r="E1243" s="10" t="n">
        <v>1240</v>
      </c>
      <c r="F1243" s="11"/>
      <c r="G1243" s="12"/>
      <c r="H1243" s="11" t="n">
        <v>0.00292546296296296</v>
      </c>
      <c r="I1243" s="12" t="n">
        <v>1153</v>
      </c>
      <c r="J1243" s="14"/>
      <c r="K1243" s="14"/>
      <c r="L1243" s="14"/>
      <c r="M1243" s="13"/>
    </row>
    <row r="1244" customFormat="false" ht="15" hidden="false" customHeight="false" outlineLevel="0" collapsed="false">
      <c r="A1244" s="6" t="n">
        <v>1240</v>
      </c>
      <c r="B1244" s="7" t="s">
        <v>1970</v>
      </c>
      <c r="C1244" s="8" t="s">
        <v>1308</v>
      </c>
      <c r="D1244" s="9" t="n">
        <v>0.0110730324074074</v>
      </c>
      <c r="E1244" s="10" t="n">
        <v>1241</v>
      </c>
      <c r="F1244" s="11"/>
      <c r="G1244" s="12"/>
      <c r="H1244" s="11" t="n">
        <v>0.00283981481481482</v>
      </c>
      <c r="I1244" s="12" t="n">
        <v>495</v>
      </c>
      <c r="J1244" s="14"/>
      <c r="K1244" s="14"/>
      <c r="L1244" s="14"/>
      <c r="M1244" s="13"/>
    </row>
    <row r="1245" customFormat="false" ht="15" hidden="false" customHeight="false" outlineLevel="0" collapsed="false">
      <c r="A1245" s="6" t="n">
        <v>1241</v>
      </c>
      <c r="B1245" s="7" t="s">
        <v>1971</v>
      </c>
      <c r="C1245" s="8" t="s">
        <v>118</v>
      </c>
      <c r="D1245" s="9" t="n">
        <v>0.0110730324074074</v>
      </c>
      <c r="E1245" s="10" t="n">
        <v>1242</v>
      </c>
      <c r="F1245" s="11" t="n">
        <v>0.00698055555555556</v>
      </c>
      <c r="G1245" s="12" t="n">
        <v>313</v>
      </c>
      <c r="H1245" s="11"/>
      <c r="I1245" s="12"/>
      <c r="J1245" s="14"/>
      <c r="K1245" s="14"/>
      <c r="L1245" s="14"/>
      <c r="M1245" s="13"/>
    </row>
    <row r="1246" customFormat="false" ht="15" hidden="false" customHeight="false" outlineLevel="0" collapsed="false">
      <c r="A1246" s="6" t="n">
        <v>1242</v>
      </c>
      <c r="B1246" s="7" t="s">
        <v>1972</v>
      </c>
      <c r="C1246" s="8" t="s">
        <v>1104</v>
      </c>
      <c r="D1246" s="9" t="n">
        <v>0.0110730324074074</v>
      </c>
      <c r="E1246" s="10" t="n">
        <v>1243</v>
      </c>
      <c r="F1246" s="11"/>
      <c r="G1246" s="12"/>
      <c r="H1246" s="11"/>
      <c r="I1246" s="12"/>
      <c r="J1246" s="14"/>
      <c r="K1246" s="14"/>
      <c r="L1246" s="14"/>
      <c r="M1246" s="13"/>
    </row>
    <row r="1247" customFormat="false" ht="15" hidden="false" customHeight="false" outlineLevel="0" collapsed="false">
      <c r="A1247" s="6" t="n">
        <v>1243</v>
      </c>
      <c r="B1247" s="7" t="s">
        <v>1973</v>
      </c>
      <c r="C1247" s="8" t="s">
        <v>1040</v>
      </c>
      <c r="D1247" s="9" t="n">
        <v>0.0110767361111111</v>
      </c>
      <c r="E1247" s="10" t="n">
        <v>1244</v>
      </c>
      <c r="F1247" s="11"/>
      <c r="G1247" s="12"/>
      <c r="H1247" s="11"/>
      <c r="I1247" s="12"/>
      <c r="J1247" s="14"/>
      <c r="K1247" s="14"/>
      <c r="L1247" s="14"/>
      <c r="M1247" s="13"/>
    </row>
    <row r="1248" customFormat="false" ht="15" hidden="false" customHeight="false" outlineLevel="0" collapsed="false">
      <c r="A1248" s="6" t="n">
        <v>1244</v>
      </c>
      <c r="B1248" s="7" t="s">
        <v>1974</v>
      </c>
      <c r="C1248" s="8" t="s">
        <v>1975</v>
      </c>
      <c r="D1248" s="9" t="n">
        <v>0.0110770833333333</v>
      </c>
      <c r="E1248" s="10" t="n">
        <v>1245</v>
      </c>
      <c r="F1248" s="11" t="n">
        <v>0.00696886574074074</v>
      </c>
      <c r="G1248" s="12" t="n">
        <v>303</v>
      </c>
      <c r="H1248" s="11" t="n">
        <v>0.0028494212962963</v>
      </c>
      <c r="I1248" s="12" t="n">
        <v>568</v>
      </c>
      <c r="J1248" s="14"/>
      <c r="K1248" s="14"/>
      <c r="L1248" s="14"/>
      <c r="M1248" s="13"/>
    </row>
    <row r="1249" customFormat="false" ht="15" hidden="false" customHeight="false" outlineLevel="0" collapsed="false">
      <c r="A1249" s="6" t="n">
        <v>1245</v>
      </c>
      <c r="B1249" s="7" t="s">
        <v>1976</v>
      </c>
      <c r="C1249" s="8" t="s">
        <v>1977</v>
      </c>
      <c r="D1249" s="9" t="n">
        <v>0.011078125</v>
      </c>
      <c r="E1249" s="10" t="n">
        <v>1246</v>
      </c>
      <c r="F1249" s="11" t="n">
        <v>0.00757974537037037</v>
      </c>
      <c r="G1249" s="12" t="n">
        <v>981</v>
      </c>
      <c r="H1249" s="11"/>
      <c r="I1249" s="12"/>
      <c r="J1249" s="14"/>
      <c r="K1249" s="14"/>
      <c r="L1249" s="14"/>
      <c r="M1249" s="13"/>
    </row>
    <row r="1250" customFormat="false" ht="15" hidden="false" customHeight="false" outlineLevel="0" collapsed="false">
      <c r="A1250" s="6" t="n">
        <v>1246</v>
      </c>
      <c r="B1250" s="7" t="s">
        <v>1978</v>
      </c>
      <c r="C1250" s="8" t="s">
        <v>1643</v>
      </c>
      <c r="D1250" s="9" t="n">
        <v>0.0110782407407407</v>
      </c>
      <c r="E1250" s="10" t="n">
        <v>1247</v>
      </c>
      <c r="F1250" s="11"/>
      <c r="G1250" s="12"/>
      <c r="H1250" s="11" t="n">
        <v>0.00284108796296296</v>
      </c>
      <c r="I1250" s="12" t="n">
        <v>509</v>
      </c>
      <c r="J1250" s="14"/>
      <c r="K1250" s="14"/>
      <c r="L1250" s="14"/>
      <c r="M1250" s="13"/>
    </row>
    <row r="1251" customFormat="false" ht="15" hidden="false" customHeight="false" outlineLevel="0" collapsed="false">
      <c r="A1251" s="6" t="n">
        <v>1247</v>
      </c>
      <c r="B1251" s="7" t="s">
        <v>1979</v>
      </c>
      <c r="C1251" s="8" t="s">
        <v>735</v>
      </c>
      <c r="D1251" s="9" t="n">
        <v>0.0110784722222222</v>
      </c>
      <c r="E1251" s="10" t="n">
        <v>1248</v>
      </c>
      <c r="F1251" s="11"/>
      <c r="G1251" s="12"/>
      <c r="H1251" s="11"/>
      <c r="I1251" s="12"/>
      <c r="J1251" s="14"/>
      <c r="K1251" s="14"/>
      <c r="L1251" s="14"/>
      <c r="M1251" s="13"/>
    </row>
    <row r="1252" customFormat="false" ht="15" hidden="false" customHeight="false" outlineLevel="0" collapsed="false">
      <c r="A1252" s="6" t="n">
        <v>1248</v>
      </c>
      <c r="B1252" s="7" t="s">
        <v>1980</v>
      </c>
      <c r="C1252" s="8" t="s">
        <v>160</v>
      </c>
      <c r="D1252" s="9" t="n">
        <v>0.0110791666666667</v>
      </c>
      <c r="E1252" s="10" t="n">
        <v>1249</v>
      </c>
      <c r="F1252" s="11" t="n">
        <v>0.00676053240740741</v>
      </c>
      <c r="G1252" s="12" t="n">
        <v>135</v>
      </c>
      <c r="H1252" s="11" t="n">
        <v>0.00285729166666667</v>
      </c>
      <c r="I1252" s="12" t="n">
        <v>617</v>
      </c>
      <c r="J1252" s="14"/>
      <c r="K1252" s="14" t="s">
        <v>1981</v>
      </c>
      <c r="L1252" s="14"/>
      <c r="M1252" s="13"/>
    </row>
    <row r="1253" customFormat="false" ht="15" hidden="false" customHeight="false" outlineLevel="0" collapsed="false">
      <c r="A1253" s="6" t="n">
        <v>1249</v>
      </c>
      <c r="B1253" s="7" t="s">
        <v>1982</v>
      </c>
      <c r="C1253" s="8" t="s">
        <v>541</v>
      </c>
      <c r="D1253" s="9" t="n">
        <v>0.0110797453703704</v>
      </c>
      <c r="E1253" s="10" t="n">
        <v>1250</v>
      </c>
      <c r="F1253" s="11" t="n">
        <v>0.00815219907407407</v>
      </c>
      <c r="G1253" s="12" t="n">
        <v>1219</v>
      </c>
      <c r="H1253" s="11"/>
      <c r="I1253" s="12"/>
      <c r="J1253" s="14" t="s">
        <v>1983</v>
      </c>
      <c r="K1253" s="14"/>
      <c r="L1253" s="14"/>
      <c r="M1253" s="13"/>
    </row>
    <row r="1254" customFormat="false" ht="15" hidden="false" customHeight="false" outlineLevel="0" collapsed="false">
      <c r="A1254" s="6" t="n">
        <v>1250</v>
      </c>
      <c r="B1254" s="7" t="s">
        <v>1984</v>
      </c>
      <c r="C1254" s="8" t="s">
        <v>1985</v>
      </c>
      <c r="D1254" s="9" t="n">
        <v>0.0110798611111111</v>
      </c>
      <c r="E1254" s="10" t="n">
        <v>1251</v>
      </c>
      <c r="F1254" s="11" t="n">
        <v>0.00696331018518519</v>
      </c>
      <c r="G1254" s="12" t="n">
        <v>297</v>
      </c>
      <c r="H1254" s="11" t="n">
        <v>0.00297743055555556</v>
      </c>
      <c r="I1254" s="12" t="n">
        <v>1343</v>
      </c>
      <c r="J1254" s="14"/>
      <c r="K1254" s="14"/>
      <c r="L1254" s="14"/>
      <c r="M1254" s="13"/>
    </row>
    <row r="1255" customFormat="false" ht="15" hidden="false" customHeight="false" outlineLevel="0" collapsed="false">
      <c r="A1255" s="6" t="n">
        <v>1251</v>
      </c>
      <c r="B1255" s="7" t="s">
        <v>1986</v>
      </c>
      <c r="C1255" s="8" t="s">
        <v>188</v>
      </c>
      <c r="D1255" s="9" t="n">
        <v>0.011080787037037</v>
      </c>
      <c r="E1255" s="10" t="n">
        <v>1252</v>
      </c>
      <c r="F1255" s="11"/>
      <c r="G1255" s="12"/>
      <c r="H1255" s="11" t="n">
        <v>0.00287696759259259</v>
      </c>
      <c r="I1255" s="12" t="n">
        <v>746</v>
      </c>
      <c r="J1255" s="14"/>
      <c r="K1255" s="14"/>
      <c r="L1255" s="14"/>
      <c r="M1255" s="13"/>
    </row>
    <row r="1256" customFormat="false" ht="15" hidden="false" customHeight="false" outlineLevel="0" collapsed="false">
      <c r="A1256" s="6" t="n">
        <v>1252</v>
      </c>
      <c r="B1256" s="7" t="s">
        <v>1987</v>
      </c>
      <c r="C1256" s="8" t="s">
        <v>721</v>
      </c>
      <c r="D1256" s="9" t="n">
        <v>0.011080787037037</v>
      </c>
      <c r="E1256" s="10" t="n">
        <v>1253</v>
      </c>
      <c r="F1256" s="11"/>
      <c r="G1256" s="12"/>
      <c r="H1256" s="11"/>
      <c r="I1256" s="12"/>
      <c r="J1256" s="14"/>
      <c r="K1256" s="14"/>
      <c r="L1256" s="14"/>
      <c r="M1256" s="13"/>
    </row>
    <row r="1257" customFormat="false" ht="15" hidden="false" customHeight="false" outlineLevel="0" collapsed="false">
      <c r="A1257" s="6" t="n">
        <v>1253</v>
      </c>
      <c r="B1257" s="7" t="s">
        <v>1988</v>
      </c>
      <c r="C1257" s="8" t="s">
        <v>1989</v>
      </c>
      <c r="D1257" s="9" t="n">
        <v>0.0110809027777778</v>
      </c>
      <c r="E1257" s="10" t="n">
        <v>1254</v>
      </c>
      <c r="F1257" s="11"/>
      <c r="G1257" s="12"/>
      <c r="H1257" s="11" t="n">
        <v>0.00293252314814815</v>
      </c>
      <c r="I1257" s="12" t="n">
        <v>1180</v>
      </c>
      <c r="J1257" s="14"/>
      <c r="K1257" s="14"/>
      <c r="L1257" s="14"/>
      <c r="M1257" s="13"/>
    </row>
    <row r="1258" customFormat="false" ht="15" hidden="false" customHeight="false" outlineLevel="0" collapsed="false">
      <c r="A1258" s="6" t="n">
        <v>1254</v>
      </c>
      <c r="B1258" s="7" t="s">
        <v>1990</v>
      </c>
      <c r="C1258" s="8" t="s">
        <v>1327</v>
      </c>
      <c r="D1258" s="9" t="n">
        <v>0.0110810185185185</v>
      </c>
      <c r="E1258" s="10" t="n">
        <v>1255</v>
      </c>
      <c r="F1258" s="11" t="n">
        <v>0.00678206018518519</v>
      </c>
      <c r="G1258" s="12" t="n">
        <v>157</v>
      </c>
      <c r="H1258" s="11" t="n">
        <v>0.00290636574074074</v>
      </c>
      <c r="I1258" s="12" t="n">
        <v>993</v>
      </c>
      <c r="J1258" s="14"/>
      <c r="K1258" s="14"/>
      <c r="L1258" s="14"/>
      <c r="M1258" s="13"/>
    </row>
    <row r="1259" customFormat="false" ht="15" hidden="false" customHeight="false" outlineLevel="0" collapsed="false">
      <c r="A1259" s="6" t="n">
        <v>1255</v>
      </c>
      <c r="B1259" s="7" t="s">
        <v>1991</v>
      </c>
      <c r="C1259" s="8" t="s">
        <v>558</v>
      </c>
      <c r="D1259" s="9" t="n">
        <v>0.0110813657407407</v>
      </c>
      <c r="E1259" s="10" t="n">
        <v>1256</v>
      </c>
      <c r="F1259" s="11"/>
      <c r="G1259" s="12"/>
      <c r="H1259" s="11"/>
      <c r="I1259" s="12"/>
      <c r="J1259" s="14"/>
      <c r="K1259" s="14"/>
      <c r="L1259" s="14"/>
      <c r="M1259" s="13"/>
    </row>
    <row r="1260" customFormat="false" ht="15" hidden="false" customHeight="false" outlineLevel="0" collapsed="false">
      <c r="A1260" s="6" t="n">
        <v>1256</v>
      </c>
      <c r="B1260" s="7" t="s">
        <v>1992</v>
      </c>
      <c r="C1260" s="8" t="s">
        <v>1475</v>
      </c>
      <c r="D1260" s="9" t="n">
        <v>0.0110846064814815</v>
      </c>
      <c r="E1260" s="10" t="n">
        <v>1257</v>
      </c>
      <c r="F1260" s="11"/>
      <c r="G1260" s="12"/>
      <c r="H1260" s="11" t="n">
        <v>0.00275856481481482</v>
      </c>
      <c r="I1260" s="12" t="n">
        <v>131</v>
      </c>
      <c r="J1260" s="14"/>
      <c r="K1260" s="14"/>
      <c r="L1260" s="14"/>
      <c r="M1260" s="13"/>
    </row>
    <row r="1261" customFormat="false" ht="15" hidden="false" customHeight="false" outlineLevel="0" collapsed="false">
      <c r="A1261" s="6" t="n">
        <v>1257</v>
      </c>
      <c r="B1261" s="7" t="s">
        <v>1993</v>
      </c>
      <c r="C1261" s="8" t="s">
        <v>1042</v>
      </c>
      <c r="D1261" s="9" t="n">
        <v>0.0110859953703704</v>
      </c>
      <c r="E1261" s="10" t="n">
        <v>1258</v>
      </c>
      <c r="F1261" s="11"/>
      <c r="G1261" s="12"/>
      <c r="H1261" s="11" t="n">
        <v>0.00296331018518519</v>
      </c>
      <c r="I1261" s="12" t="n">
        <v>1283</v>
      </c>
      <c r="J1261" s="14"/>
      <c r="K1261" s="14"/>
      <c r="L1261" s="14"/>
      <c r="M1261" s="13"/>
    </row>
    <row r="1262" customFormat="false" ht="15" hidden="false" customHeight="false" outlineLevel="0" collapsed="false">
      <c r="A1262" s="6" t="n">
        <v>1258</v>
      </c>
      <c r="B1262" s="7" t="s">
        <v>1994</v>
      </c>
      <c r="C1262" s="8" t="s">
        <v>1995</v>
      </c>
      <c r="D1262" s="9" t="n">
        <v>0.0110873842592593</v>
      </c>
      <c r="E1262" s="10" t="n">
        <v>1259</v>
      </c>
      <c r="F1262" s="11"/>
      <c r="G1262" s="12"/>
      <c r="H1262" s="11"/>
      <c r="I1262" s="12"/>
      <c r="J1262" s="14"/>
      <c r="K1262" s="14"/>
      <c r="L1262" s="14"/>
      <c r="M1262" s="13"/>
    </row>
    <row r="1263" customFormat="false" ht="15" hidden="false" customHeight="false" outlineLevel="0" collapsed="false">
      <c r="A1263" s="6" t="n">
        <v>1259</v>
      </c>
      <c r="B1263" s="7" t="s">
        <v>1996</v>
      </c>
      <c r="C1263" s="8" t="s">
        <v>192</v>
      </c>
      <c r="D1263" s="9" t="n">
        <v>0.0110885416666667</v>
      </c>
      <c r="E1263" s="10" t="n">
        <v>1260</v>
      </c>
      <c r="F1263" s="11"/>
      <c r="G1263" s="12"/>
      <c r="H1263" s="11"/>
      <c r="I1263" s="12"/>
      <c r="J1263" s="14"/>
      <c r="K1263" s="14"/>
      <c r="L1263" s="14"/>
      <c r="M1263" s="13"/>
    </row>
    <row r="1264" customFormat="false" ht="15" hidden="false" customHeight="false" outlineLevel="0" collapsed="false">
      <c r="A1264" s="6" t="n">
        <v>1260</v>
      </c>
      <c r="B1264" s="7" t="s">
        <v>1997</v>
      </c>
      <c r="C1264" s="8" t="s">
        <v>25</v>
      </c>
      <c r="D1264" s="9" t="n">
        <v>0.0110905092592593</v>
      </c>
      <c r="E1264" s="10" t="n">
        <v>1261</v>
      </c>
      <c r="F1264" s="11"/>
      <c r="G1264" s="12"/>
      <c r="H1264" s="11"/>
      <c r="I1264" s="12"/>
      <c r="J1264" s="14"/>
      <c r="K1264" s="14"/>
      <c r="L1264" s="14"/>
      <c r="M1264" s="13"/>
    </row>
    <row r="1265" customFormat="false" ht="15" hidden="false" customHeight="false" outlineLevel="0" collapsed="false">
      <c r="A1265" s="6" t="n">
        <v>1261</v>
      </c>
      <c r="B1265" s="7" t="s">
        <v>1998</v>
      </c>
      <c r="C1265" s="8" t="s">
        <v>508</v>
      </c>
      <c r="D1265" s="9" t="n">
        <v>0.0110917824074074</v>
      </c>
      <c r="E1265" s="10" t="n">
        <v>1262</v>
      </c>
      <c r="F1265" s="11" t="n">
        <v>0.0073556712962963</v>
      </c>
      <c r="G1265" s="12" t="n">
        <v>716</v>
      </c>
      <c r="H1265" s="11"/>
      <c r="I1265" s="12"/>
      <c r="J1265" s="14"/>
      <c r="K1265" s="14"/>
      <c r="L1265" s="14"/>
      <c r="M1265" s="13"/>
    </row>
    <row r="1266" customFormat="false" ht="15" hidden="false" customHeight="false" outlineLevel="0" collapsed="false">
      <c r="A1266" s="6" t="n">
        <v>1262</v>
      </c>
      <c r="B1266" s="7" t="s">
        <v>1999</v>
      </c>
      <c r="C1266" s="8" t="s">
        <v>661</v>
      </c>
      <c r="D1266" s="9" t="n">
        <v>0.0110930555555556</v>
      </c>
      <c r="E1266" s="10" t="n">
        <v>1263</v>
      </c>
      <c r="F1266" s="11"/>
      <c r="G1266" s="12"/>
      <c r="H1266" s="11"/>
      <c r="I1266" s="12"/>
      <c r="J1266" s="14"/>
      <c r="K1266" s="14"/>
      <c r="L1266" s="14"/>
      <c r="M1266" s="13"/>
    </row>
    <row r="1267" customFormat="false" ht="15" hidden="false" customHeight="false" outlineLevel="0" collapsed="false">
      <c r="A1267" s="6" t="n">
        <v>1263</v>
      </c>
      <c r="B1267" s="7" t="s">
        <v>2000</v>
      </c>
      <c r="C1267" s="8" t="s">
        <v>160</v>
      </c>
      <c r="D1267" s="9" t="n">
        <v>0.0110935185185185</v>
      </c>
      <c r="E1267" s="10" t="n">
        <v>1264</v>
      </c>
      <c r="F1267" s="11"/>
      <c r="G1267" s="12"/>
      <c r="H1267" s="11" t="n">
        <v>0.00294571759259259</v>
      </c>
      <c r="I1267" s="12" t="n">
        <v>1219</v>
      </c>
      <c r="J1267" s="14"/>
      <c r="K1267" s="14"/>
      <c r="L1267" s="14"/>
      <c r="M1267" s="13"/>
    </row>
    <row r="1268" customFormat="false" ht="15" hidden="false" customHeight="false" outlineLevel="0" collapsed="false">
      <c r="A1268" s="6" t="n">
        <v>1264</v>
      </c>
      <c r="B1268" s="7" t="s">
        <v>2001</v>
      </c>
      <c r="C1268" s="8" t="s">
        <v>197</v>
      </c>
      <c r="D1268" s="9" t="n">
        <v>0.0110959490740741</v>
      </c>
      <c r="E1268" s="10" t="n">
        <v>1265</v>
      </c>
      <c r="F1268" s="11"/>
      <c r="G1268" s="12"/>
      <c r="H1268" s="11"/>
      <c r="I1268" s="12"/>
      <c r="J1268" s="14"/>
      <c r="K1268" s="14"/>
      <c r="L1268" s="14"/>
      <c r="M1268" s="13"/>
    </row>
    <row r="1269" customFormat="false" ht="15" hidden="false" customHeight="false" outlineLevel="0" collapsed="false">
      <c r="A1269" s="6" t="n">
        <v>1265</v>
      </c>
      <c r="B1269" s="7" t="s">
        <v>2002</v>
      </c>
      <c r="C1269" s="8" t="s">
        <v>241</v>
      </c>
      <c r="D1269" s="9" t="n">
        <v>0.0110967592592593</v>
      </c>
      <c r="E1269" s="10" t="n">
        <v>1266</v>
      </c>
      <c r="F1269" s="11"/>
      <c r="G1269" s="12"/>
      <c r="H1269" s="11"/>
      <c r="I1269" s="12"/>
      <c r="J1269" s="14"/>
      <c r="K1269" s="14"/>
      <c r="L1269" s="14"/>
      <c r="M1269" s="13"/>
    </row>
    <row r="1270" customFormat="false" ht="15" hidden="false" customHeight="false" outlineLevel="0" collapsed="false">
      <c r="A1270" s="6" t="n">
        <v>1266</v>
      </c>
      <c r="B1270" s="7" t="s">
        <v>2003</v>
      </c>
      <c r="C1270" s="8" t="s">
        <v>221</v>
      </c>
      <c r="D1270" s="9" t="n">
        <v>0.0110979166666667</v>
      </c>
      <c r="E1270" s="10" t="n">
        <v>1267</v>
      </c>
      <c r="F1270" s="11"/>
      <c r="G1270" s="12"/>
      <c r="H1270" s="11"/>
      <c r="I1270" s="12"/>
      <c r="J1270" s="14"/>
      <c r="K1270" s="14"/>
      <c r="L1270" s="14"/>
      <c r="M1270" s="13"/>
    </row>
    <row r="1271" customFormat="false" ht="15" hidden="false" customHeight="false" outlineLevel="0" collapsed="false">
      <c r="A1271" s="6" t="n">
        <v>1267</v>
      </c>
      <c r="B1271" s="7" t="s">
        <v>2004</v>
      </c>
      <c r="C1271" s="8" t="s">
        <v>96</v>
      </c>
      <c r="D1271" s="9" t="n">
        <v>0.0110979166666667</v>
      </c>
      <c r="E1271" s="10" t="n">
        <v>1268</v>
      </c>
      <c r="F1271" s="11" t="n">
        <v>0.00742951388888889</v>
      </c>
      <c r="G1271" s="12" t="n">
        <v>804</v>
      </c>
      <c r="H1271" s="11" t="n">
        <v>0.00291412037037037</v>
      </c>
      <c r="I1271" s="12" t="n">
        <v>1051</v>
      </c>
      <c r="J1271" s="14"/>
      <c r="K1271" s="14"/>
      <c r="L1271" s="14"/>
      <c r="M1271" s="13"/>
    </row>
    <row r="1272" customFormat="false" ht="15" hidden="false" customHeight="false" outlineLevel="0" collapsed="false">
      <c r="A1272" s="6" t="n">
        <v>1268</v>
      </c>
      <c r="B1272" s="7" t="s">
        <v>2005</v>
      </c>
      <c r="C1272" s="8" t="s">
        <v>89</v>
      </c>
      <c r="D1272" s="9" t="n">
        <v>0.0110981481481482</v>
      </c>
      <c r="E1272" s="10" t="n">
        <v>1269</v>
      </c>
      <c r="F1272" s="11"/>
      <c r="G1272" s="12"/>
      <c r="H1272" s="11"/>
      <c r="I1272" s="12"/>
      <c r="J1272" s="14"/>
      <c r="K1272" s="14"/>
      <c r="L1272" s="14"/>
      <c r="M1272" s="13"/>
    </row>
    <row r="1273" customFormat="false" ht="15" hidden="false" customHeight="false" outlineLevel="0" collapsed="false">
      <c r="A1273" s="6" t="n">
        <v>1269</v>
      </c>
      <c r="B1273" s="7" t="s">
        <v>2006</v>
      </c>
      <c r="C1273" s="8" t="s">
        <v>1104</v>
      </c>
      <c r="D1273" s="9" t="n">
        <v>0.0110993055555556</v>
      </c>
      <c r="E1273" s="10" t="n">
        <v>1270</v>
      </c>
      <c r="F1273" s="11"/>
      <c r="G1273" s="12"/>
      <c r="H1273" s="11" t="n">
        <v>0.002871875</v>
      </c>
      <c r="I1273" s="12" t="n">
        <v>716</v>
      </c>
      <c r="J1273" s="14"/>
      <c r="K1273" s="14"/>
      <c r="L1273" s="14"/>
      <c r="M1273" s="13"/>
    </row>
    <row r="1274" customFormat="false" ht="15" hidden="false" customHeight="false" outlineLevel="0" collapsed="false">
      <c r="A1274" s="6" t="n">
        <v>1270</v>
      </c>
      <c r="B1274" s="7" t="s">
        <v>2007</v>
      </c>
      <c r="C1274" s="8" t="s">
        <v>1458</v>
      </c>
      <c r="D1274" s="9" t="n">
        <v>0.0111005787037037</v>
      </c>
      <c r="E1274" s="10" t="n">
        <v>1271</v>
      </c>
      <c r="F1274" s="11"/>
      <c r="G1274" s="12"/>
      <c r="H1274" s="11" t="n">
        <v>0.00292291666666667</v>
      </c>
      <c r="I1274" s="12" t="n">
        <v>1123</v>
      </c>
      <c r="J1274" s="14"/>
      <c r="K1274" s="14"/>
      <c r="L1274" s="14"/>
      <c r="M1274" s="13"/>
    </row>
    <row r="1275" customFormat="false" ht="15" hidden="false" customHeight="false" outlineLevel="0" collapsed="false">
      <c r="A1275" s="6" t="n">
        <v>1271</v>
      </c>
      <c r="B1275" s="7" t="s">
        <v>2008</v>
      </c>
      <c r="C1275" s="8" t="s">
        <v>128</v>
      </c>
      <c r="D1275" s="9" t="n">
        <v>0.0111009259259259</v>
      </c>
      <c r="E1275" s="10" t="n">
        <v>1272</v>
      </c>
      <c r="F1275" s="11"/>
      <c r="G1275" s="12"/>
      <c r="H1275" s="11"/>
      <c r="I1275" s="12"/>
      <c r="J1275" s="14"/>
      <c r="K1275" s="14"/>
      <c r="L1275" s="14"/>
      <c r="M1275" s="13"/>
    </row>
    <row r="1276" customFormat="false" ht="15" hidden="false" customHeight="false" outlineLevel="0" collapsed="false">
      <c r="A1276" s="6" t="n">
        <v>1272</v>
      </c>
      <c r="B1276" s="7" t="s">
        <v>2009</v>
      </c>
      <c r="C1276" s="8" t="s">
        <v>56</v>
      </c>
      <c r="D1276" s="9" t="n">
        <v>0.0111009259259259</v>
      </c>
      <c r="E1276" s="10" t="n">
        <v>1273</v>
      </c>
      <c r="F1276" s="11"/>
      <c r="G1276" s="12"/>
      <c r="H1276" s="11"/>
      <c r="I1276" s="12"/>
      <c r="J1276" s="14"/>
      <c r="K1276" s="14"/>
      <c r="L1276" s="14"/>
      <c r="M1276" s="13"/>
    </row>
    <row r="1277" customFormat="false" ht="15" hidden="false" customHeight="false" outlineLevel="0" collapsed="false">
      <c r="A1277" s="6" t="n">
        <v>1273</v>
      </c>
      <c r="B1277" s="7" t="s">
        <v>2010</v>
      </c>
      <c r="C1277" s="8" t="s">
        <v>450</v>
      </c>
      <c r="D1277" s="9" t="n">
        <v>0.0111020833333333</v>
      </c>
      <c r="E1277" s="10" t="n">
        <v>1274</v>
      </c>
      <c r="F1277" s="11"/>
      <c r="G1277" s="12"/>
      <c r="H1277" s="11"/>
      <c r="I1277" s="12"/>
      <c r="J1277" s="14"/>
      <c r="K1277" s="14"/>
      <c r="L1277" s="14"/>
      <c r="M1277" s="13"/>
    </row>
    <row r="1278" customFormat="false" ht="15" hidden="false" customHeight="false" outlineLevel="0" collapsed="false">
      <c r="A1278" s="6" t="n">
        <v>1274</v>
      </c>
      <c r="B1278" s="7" t="s">
        <v>2011</v>
      </c>
      <c r="C1278" s="8" t="s">
        <v>594</v>
      </c>
      <c r="D1278" s="9" t="n">
        <v>0.011102662037037</v>
      </c>
      <c r="E1278" s="10" t="n">
        <v>1275</v>
      </c>
      <c r="F1278" s="11"/>
      <c r="G1278" s="12"/>
      <c r="H1278" s="11"/>
      <c r="I1278" s="12"/>
      <c r="J1278" s="14"/>
      <c r="K1278" s="14"/>
      <c r="L1278" s="14"/>
      <c r="M1278" s="13"/>
    </row>
    <row r="1279" customFormat="false" ht="15" hidden="false" customHeight="false" outlineLevel="0" collapsed="false">
      <c r="A1279" s="6" t="n">
        <v>1275</v>
      </c>
      <c r="B1279" s="7" t="s">
        <v>2012</v>
      </c>
      <c r="C1279" s="8" t="s">
        <v>1308</v>
      </c>
      <c r="D1279" s="9" t="n">
        <v>0.0111055555555556</v>
      </c>
      <c r="E1279" s="10" t="n">
        <v>1276</v>
      </c>
      <c r="F1279" s="11"/>
      <c r="G1279" s="12"/>
      <c r="H1279" s="11" t="n">
        <v>0.00272905092592593</v>
      </c>
      <c r="I1279" s="12" t="n">
        <v>64</v>
      </c>
      <c r="J1279" s="14"/>
      <c r="K1279" s="14"/>
      <c r="L1279" s="14"/>
      <c r="M1279" s="13"/>
    </row>
    <row r="1280" customFormat="false" ht="15" hidden="false" customHeight="false" outlineLevel="0" collapsed="false">
      <c r="A1280" s="6" t="n">
        <v>1276</v>
      </c>
      <c r="B1280" s="7" t="s">
        <v>2013</v>
      </c>
      <c r="C1280" s="8" t="s">
        <v>721</v>
      </c>
      <c r="D1280" s="9" t="n">
        <v>0.0111061342592593</v>
      </c>
      <c r="E1280" s="10" t="n">
        <v>1277</v>
      </c>
      <c r="F1280" s="11" t="n">
        <v>0.00669803240740741</v>
      </c>
      <c r="G1280" s="12" t="n">
        <v>106</v>
      </c>
      <c r="H1280" s="11"/>
      <c r="I1280" s="12"/>
      <c r="J1280" s="14"/>
      <c r="K1280" s="14" t="s">
        <v>2014</v>
      </c>
      <c r="L1280" s="14"/>
      <c r="M1280" s="13"/>
    </row>
    <row r="1281" customFormat="false" ht="15" hidden="false" customHeight="false" outlineLevel="0" collapsed="false">
      <c r="A1281" s="6" t="n">
        <v>1277</v>
      </c>
      <c r="B1281" s="7" t="s">
        <v>2015</v>
      </c>
      <c r="C1281" s="8" t="s">
        <v>932</v>
      </c>
      <c r="D1281" s="9" t="n">
        <v>0.0111101851851852</v>
      </c>
      <c r="E1281" s="10" t="n">
        <v>1278</v>
      </c>
      <c r="F1281" s="11" t="n">
        <v>0.00699606481481482</v>
      </c>
      <c r="G1281" s="12" t="n">
        <v>330</v>
      </c>
      <c r="H1281" s="11"/>
      <c r="I1281" s="12"/>
      <c r="J1281" s="14"/>
      <c r="K1281" s="14"/>
      <c r="L1281" s="14"/>
      <c r="M1281" s="13"/>
    </row>
    <row r="1282" customFormat="false" ht="15" hidden="false" customHeight="false" outlineLevel="0" collapsed="false">
      <c r="A1282" s="6" t="n">
        <v>1278</v>
      </c>
      <c r="B1282" s="7" t="s">
        <v>2016</v>
      </c>
      <c r="C1282" s="8" t="s">
        <v>1458</v>
      </c>
      <c r="D1282" s="9" t="n">
        <v>0.0111123842592593</v>
      </c>
      <c r="E1282" s="10" t="n">
        <v>1279</v>
      </c>
      <c r="F1282" s="11"/>
      <c r="G1282" s="12"/>
      <c r="H1282" s="11" t="n">
        <v>0.00286469907407407</v>
      </c>
      <c r="I1282" s="12" t="n">
        <v>664</v>
      </c>
      <c r="J1282" s="14"/>
      <c r="K1282" s="14"/>
      <c r="L1282" s="14"/>
      <c r="M1282" s="13"/>
    </row>
    <row r="1283" customFormat="false" ht="15" hidden="false" customHeight="false" outlineLevel="0" collapsed="false">
      <c r="A1283" s="6" t="n">
        <v>1279</v>
      </c>
      <c r="B1283" s="7" t="s">
        <v>2017</v>
      </c>
      <c r="C1283" s="8" t="s">
        <v>1222</v>
      </c>
      <c r="D1283" s="9" t="n">
        <v>0.0111150462962963</v>
      </c>
      <c r="E1283" s="10" t="n">
        <v>1280</v>
      </c>
      <c r="F1283" s="11"/>
      <c r="G1283" s="12"/>
      <c r="H1283" s="11" t="n">
        <v>0.00288425925925926</v>
      </c>
      <c r="I1283" s="12" t="n">
        <v>809</v>
      </c>
      <c r="J1283" s="14"/>
      <c r="K1283" s="14"/>
      <c r="L1283" s="14"/>
      <c r="M1283" s="13"/>
    </row>
    <row r="1284" customFormat="false" ht="15" hidden="false" customHeight="false" outlineLevel="0" collapsed="false">
      <c r="A1284" s="6" t="n">
        <v>1280</v>
      </c>
      <c r="B1284" s="7" t="s">
        <v>2018</v>
      </c>
      <c r="C1284" s="8" t="s">
        <v>2019</v>
      </c>
      <c r="D1284" s="9" t="n">
        <v>0.0111152777777778</v>
      </c>
      <c r="E1284" s="10" t="n">
        <v>1281</v>
      </c>
      <c r="F1284" s="11"/>
      <c r="G1284" s="12"/>
      <c r="H1284" s="11" t="n">
        <v>0.00296331018518519</v>
      </c>
      <c r="I1284" s="12" t="n">
        <v>1284</v>
      </c>
      <c r="J1284" s="14"/>
      <c r="K1284" s="14" t="s">
        <v>2020</v>
      </c>
      <c r="L1284" s="14"/>
      <c r="M1284" s="13"/>
    </row>
    <row r="1285" customFormat="false" ht="15" hidden="false" customHeight="false" outlineLevel="0" collapsed="false">
      <c r="A1285" s="6" t="n">
        <v>1281</v>
      </c>
      <c r="B1285" s="7" t="s">
        <v>2021</v>
      </c>
      <c r="C1285" s="8" t="s">
        <v>1202</v>
      </c>
      <c r="D1285" s="9" t="n">
        <v>0.0111162037037037</v>
      </c>
      <c r="E1285" s="10" t="n">
        <v>1282</v>
      </c>
      <c r="F1285" s="11" t="n">
        <v>0.00705625</v>
      </c>
      <c r="G1285" s="12" t="n">
        <v>397</v>
      </c>
      <c r="H1285" s="11"/>
      <c r="I1285" s="12"/>
      <c r="J1285" s="14"/>
      <c r="K1285" s="14"/>
      <c r="L1285" s="14"/>
      <c r="M1285" s="13"/>
    </row>
    <row r="1286" customFormat="false" ht="15" hidden="false" customHeight="false" outlineLevel="0" collapsed="false">
      <c r="A1286" s="6" t="n">
        <v>1282</v>
      </c>
      <c r="B1286" s="7" t="s">
        <v>2022</v>
      </c>
      <c r="C1286" s="8" t="s">
        <v>900</v>
      </c>
      <c r="D1286" s="9" t="n">
        <v>0.0111163194444444</v>
      </c>
      <c r="E1286" s="10" t="n">
        <v>1283</v>
      </c>
      <c r="F1286" s="11"/>
      <c r="G1286" s="12"/>
      <c r="H1286" s="11" t="n">
        <v>0.00292488425925926</v>
      </c>
      <c r="I1286" s="12" t="n">
        <v>1147</v>
      </c>
      <c r="J1286" s="14"/>
      <c r="K1286" s="14"/>
      <c r="L1286" s="14"/>
      <c r="M1286" s="13"/>
    </row>
    <row r="1287" customFormat="false" ht="15" hidden="false" customHeight="false" outlineLevel="0" collapsed="false">
      <c r="A1287" s="6" t="n">
        <v>1283</v>
      </c>
      <c r="B1287" s="7" t="s">
        <v>2023</v>
      </c>
      <c r="C1287" s="8" t="s">
        <v>52</v>
      </c>
      <c r="D1287" s="9" t="n">
        <v>0.0111173611111111</v>
      </c>
      <c r="E1287" s="10" t="n">
        <v>1284</v>
      </c>
      <c r="F1287" s="11"/>
      <c r="G1287" s="12"/>
      <c r="H1287" s="11" t="n">
        <v>0.00283518518518519</v>
      </c>
      <c r="I1287" s="12" t="n">
        <v>463</v>
      </c>
      <c r="J1287" s="14"/>
      <c r="K1287" s="14"/>
      <c r="L1287" s="14"/>
      <c r="M1287" s="13"/>
    </row>
    <row r="1288" customFormat="false" ht="15" hidden="false" customHeight="false" outlineLevel="0" collapsed="false">
      <c r="A1288" s="6" t="n">
        <v>1284</v>
      </c>
      <c r="B1288" s="7" t="s">
        <v>2024</v>
      </c>
      <c r="C1288" s="8" t="s">
        <v>179</v>
      </c>
      <c r="D1288" s="9" t="n">
        <v>0.0111184027777778</v>
      </c>
      <c r="E1288" s="10" t="n">
        <v>1285</v>
      </c>
      <c r="F1288" s="11"/>
      <c r="G1288" s="12"/>
      <c r="H1288" s="11" t="n">
        <v>0.00284097222222222</v>
      </c>
      <c r="I1288" s="12" t="n">
        <v>508</v>
      </c>
      <c r="J1288" s="14"/>
      <c r="K1288" s="14"/>
      <c r="L1288" s="14"/>
      <c r="M1288" s="13"/>
    </row>
    <row r="1289" customFormat="false" ht="15" hidden="false" customHeight="false" outlineLevel="0" collapsed="false">
      <c r="A1289" s="6" t="n">
        <v>1285</v>
      </c>
      <c r="B1289" s="7" t="s">
        <v>2025</v>
      </c>
      <c r="C1289" s="8" t="s">
        <v>1120</v>
      </c>
      <c r="D1289" s="9" t="n">
        <v>0.0111196759259259</v>
      </c>
      <c r="E1289" s="10" t="n">
        <v>1286</v>
      </c>
      <c r="F1289" s="11" t="n">
        <v>0.00745601851851852</v>
      </c>
      <c r="G1289" s="12" t="n">
        <v>840</v>
      </c>
      <c r="H1289" s="11"/>
      <c r="I1289" s="12"/>
      <c r="J1289" s="14"/>
      <c r="K1289" s="14"/>
      <c r="L1289" s="14"/>
      <c r="M1289" s="13"/>
    </row>
    <row r="1290" customFormat="false" ht="15" hidden="false" customHeight="false" outlineLevel="0" collapsed="false">
      <c r="A1290" s="6" t="n">
        <v>1286</v>
      </c>
      <c r="B1290" s="7" t="s">
        <v>2026</v>
      </c>
      <c r="C1290" s="8" t="s">
        <v>2027</v>
      </c>
      <c r="D1290" s="9" t="n">
        <v>0.0111204861111111</v>
      </c>
      <c r="E1290" s="10" t="n">
        <v>1287</v>
      </c>
      <c r="F1290" s="11"/>
      <c r="G1290" s="12"/>
      <c r="H1290" s="11"/>
      <c r="I1290" s="12"/>
      <c r="J1290" s="14"/>
      <c r="K1290" s="14"/>
      <c r="L1290" s="14"/>
      <c r="M1290" s="13"/>
    </row>
    <row r="1291" customFormat="false" ht="15" hidden="false" customHeight="false" outlineLevel="0" collapsed="false">
      <c r="A1291" s="6" t="n">
        <v>1287</v>
      </c>
      <c r="B1291" s="7" t="s">
        <v>2028</v>
      </c>
      <c r="C1291" s="8" t="s">
        <v>2029</v>
      </c>
      <c r="D1291" s="9" t="n">
        <v>0.0111204861111111</v>
      </c>
      <c r="E1291" s="10" t="n">
        <v>1288</v>
      </c>
      <c r="F1291" s="11" t="n">
        <v>0.00681215277777778</v>
      </c>
      <c r="G1291" s="12" t="n">
        <v>181</v>
      </c>
      <c r="H1291" s="11"/>
      <c r="I1291" s="12"/>
      <c r="J1291" s="14"/>
      <c r="K1291" s="14"/>
      <c r="L1291" s="14"/>
      <c r="M1291" s="13"/>
    </row>
    <row r="1292" customFormat="false" ht="15" hidden="false" customHeight="false" outlineLevel="0" collapsed="false">
      <c r="A1292" s="6" t="n">
        <v>1288</v>
      </c>
      <c r="B1292" s="7" t="s">
        <v>2030</v>
      </c>
      <c r="C1292" s="8" t="s">
        <v>1640</v>
      </c>
      <c r="D1292" s="9" t="n">
        <v>0.0111210648148148</v>
      </c>
      <c r="E1292" s="10" t="n">
        <v>1289</v>
      </c>
      <c r="F1292" s="11"/>
      <c r="G1292" s="12"/>
      <c r="H1292" s="11"/>
      <c r="I1292" s="12"/>
      <c r="J1292" s="14"/>
      <c r="K1292" s="14"/>
      <c r="L1292" s="14"/>
      <c r="M1292" s="13"/>
    </row>
    <row r="1293" customFormat="false" ht="15" hidden="false" customHeight="false" outlineLevel="0" collapsed="false">
      <c r="A1293" s="6" t="n">
        <v>1289</v>
      </c>
      <c r="B1293" s="7" t="s">
        <v>2031</v>
      </c>
      <c r="C1293" s="8" t="s">
        <v>594</v>
      </c>
      <c r="D1293" s="9" t="n">
        <v>0.0111222222222222</v>
      </c>
      <c r="E1293" s="10" t="n">
        <v>1290</v>
      </c>
      <c r="F1293" s="11"/>
      <c r="G1293" s="12"/>
      <c r="H1293" s="11" t="n">
        <v>0.00288576388888889</v>
      </c>
      <c r="I1293" s="12" t="n">
        <v>823</v>
      </c>
      <c r="J1293" s="14"/>
      <c r="K1293" s="14"/>
      <c r="L1293" s="14"/>
      <c r="M1293" s="13"/>
    </row>
    <row r="1294" customFormat="false" ht="15" hidden="false" customHeight="false" outlineLevel="0" collapsed="false">
      <c r="A1294" s="6" t="n">
        <v>1290</v>
      </c>
      <c r="B1294" s="7" t="s">
        <v>2032</v>
      </c>
      <c r="C1294" s="8" t="s">
        <v>594</v>
      </c>
      <c r="D1294" s="9" t="n">
        <v>0.0111229166666667</v>
      </c>
      <c r="E1294" s="10" t="n">
        <v>1291</v>
      </c>
      <c r="F1294" s="11"/>
      <c r="G1294" s="12"/>
      <c r="H1294" s="11" t="n">
        <v>0.00275451388888889</v>
      </c>
      <c r="I1294" s="12" t="n">
        <v>117</v>
      </c>
      <c r="J1294" s="14"/>
      <c r="K1294" s="14"/>
      <c r="L1294" s="14"/>
      <c r="M1294" s="13"/>
    </row>
    <row r="1295" customFormat="false" ht="15" hidden="false" customHeight="false" outlineLevel="0" collapsed="false">
      <c r="A1295" s="6" t="n">
        <v>1291</v>
      </c>
      <c r="B1295" s="8" t="s">
        <v>2033</v>
      </c>
      <c r="C1295" s="8" t="s">
        <v>28</v>
      </c>
      <c r="D1295" s="9"/>
      <c r="E1295" s="10"/>
      <c r="F1295" s="11"/>
      <c r="G1295" s="12"/>
      <c r="H1295" s="11" t="n">
        <v>0.00265011574074074</v>
      </c>
      <c r="I1295" s="12" t="n">
        <v>4</v>
      </c>
      <c r="J1295" s="14"/>
      <c r="K1295" s="14"/>
      <c r="L1295" s="14"/>
      <c r="M1295" s="13"/>
    </row>
    <row r="1296" customFormat="false" ht="15" hidden="false" customHeight="false" outlineLevel="0" collapsed="false">
      <c r="A1296" s="6" t="n">
        <v>1292</v>
      </c>
      <c r="B1296" s="8" t="s">
        <v>2034</v>
      </c>
      <c r="C1296" s="8" t="s">
        <v>868</v>
      </c>
      <c r="D1296" s="9"/>
      <c r="E1296" s="10"/>
      <c r="F1296" s="11"/>
      <c r="G1296" s="12"/>
      <c r="H1296" s="11" t="n">
        <v>0.00269189814814815</v>
      </c>
      <c r="I1296" s="12" t="n">
        <v>20</v>
      </c>
      <c r="J1296" s="14"/>
      <c r="K1296" s="14"/>
      <c r="L1296" s="14"/>
      <c r="M1296" s="13"/>
    </row>
    <row r="1297" customFormat="false" ht="15" hidden="false" customHeight="false" outlineLevel="0" collapsed="false">
      <c r="A1297" s="6" t="n">
        <v>1293</v>
      </c>
      <c r="B1297" s="8" t="s">
        <v>2035</v>
      </c>
      <c r="C1297" s="8" t="s">
        <v>52</v>
      </c>
      <c r="D1297" s="9"/>
      <c r="E1297" s="10"/>
      <c r="F1297" s="11"/>
      <c r="G1297" s="12"/>
      <c r="H1297" s="11" t="n">
        <v>0.00271087962962963</v>
      </c>
      <c r="I1297" s="12" t="n">
        <v>36</v>
      </c>
      <c r="J1297" s="14"/>
      <c r="K1297" s="14"/>
      <c r="L1297" s="14"/>
      <c r="M1297" s="13"/>
    </row>
    <row r="1298" customFormat="false" ht="15" hidden="false" customHeight="false" outlineLevel="0" collapsed="false">
      <c r="A1298" s="6" t="n">
        <v>1294</v>
      </c>
      <c r="B1298" s="8" t="s">
        <v>2036</v>
      </c>
      <c r="C1298" s="8" t="s">
        <v>2037</v>
      </c>
      <c r="D1298" s="9"/>
      <c r="E1298" s="10"/>
      <c r="F1298" s="11" t="n">
        <v>0.00656701388888889</v>
      </c>
      <c r="G1298" s="12" t="n">
        <v>56</v>
      </c>
      <c r="H1298" s="11" t="n">
        <v>0.0028380787037037</v>
      </c>
      <c r="I1298" s="12" t="n">
        <v>483</v>
      </c>
      <c r="J1298" s="14"/>
      <c r="K1298" s="14"/>
      <c r="L1298" s="14"/>
      <c r="M1298" s="13"/>
    </row>
    <row r="1299" customFormat="false" ht="15" hidden="false" customHeight="false" outlineLevel="0" collapsed="false">
      <c r="A1299" s="6" t="n">
        <v>1295</v>
      </c>
      <c r="B1299" s="8" t="s">
        <v>2038</v>
      </c>
      <c r="C1299" s="8" t="s">
        <v>2039</v>
      </c>
      <c r="D1299" s="9"/>
      <c r="E1299" s="10"/>
      <c r="F1299" s="11" t="n">
        <v>0.00658125</v>
      </c>
      <c r="G1299" s="12" t="n">
        <v>63</v>
      </c>
      <c r="H1299" s="11" t="n">
        <v>0.00282916666666667</v>
      </c>
      <c r="I1299" s="12" t="n">
        <v>421</v>
      </c>
      <c r="J1299" s="14"/>
      <c r="K1299" s="14"/>
      <c r="L1299" s="14"/>
      <c r="M1299" s="13"/>
    </row>
    <row r="1300" customFormat="false" ht="15" hidden="false" customHeight="false" outlineLevel="0" collapsed="false">
      <c r="A1300" s="6" t="n">
        <v>1296</v>
      </c>
      <c r="B1300" s="8" t="s">
        <v>2040</v>
      </c>
      <c r="C1300" s="8" t="s">
        <v>1853</v>
      </c>
      <c r="D1300" s="9"/>
      <c r="E1300" s="10"/>
      <c r="F1300" s="11" t="n">
        <v>0.00658298611111111</v>
      </c>
      <c r="G1300" s="12" t="n">
        <v>64</v>
      </c>
      <c r="H1300" s="11"/>
      <c r="I1300" s="12"/>
      <c r="J1300" s="14"/>
      <c r="K1300" s="14"/>
      <c r="L1300" s="14"/>
      <c r="M1300" s="13"/>
    </row>
    <row r="1301" customFormat="false" ht="15" hidden="false" customHeight="false" outlineLevel="0" collapsed="false">
      <c r="A1301" s="6" t="n">
        <v>1297</v>
      </c>
      <c r="B1301" s="8" t="s">
        <v>2041</v>
      </c>
      <c r="C1301" s="8" t="s">
        <v>2042</v>
      </c>
      <c r="D1301" s="9"/>
      <c r="E1301" s="10"/>
      <c r="F1301" s="11" t="n">
        <v>0.00658587962962963</v>
      </c>
      <c r="G1301" s="12" t="n">
        <v>65</v>
      </c>
      <c r="H1301" s="11"/>
      <c r="I1301" s="12"/>
      <c r="J1301" s="14"/>
      <c r="K1301" s="14"/>
      <c r="L1301" s="14"/>
      <c r="M1301" s="13"/>
    </row>
    <row r="1302" customFormat="false" ht="15" hidden="false" customHeight="false" outlineLevel="0" collapsed="false">
      <c r="A1302" s="6" t="n">
        <v>1298</v>
      </c>
      <c r="B1302" s="8" t="s">
        <v>2043</v>
      </c>
      <c r="C1302" s="8" t="s">
        <v>2044</v>
      </c>
      <c r="D1302" s="9"/>
      <c r="E1302" s="10"/>
      <c r="F1302" s="11"/>
      <c r="G1302" s="12"/>
      <c r="H1302" s="11" t="n">
        <v>0.00273125</v>
      </c>
      <c r="I1302" s="12" t="n">
        <v>67</v>
      </c>
      <c r="J1302" s="14"/>
      <c r="K1302" s="14"/>
      <c r="L1302" s="14"/>
      <c r="M1302" s="13"/>
    </row>
    <row r="1303" customFormat="false" ht="15" hidden="false" customHeight="false" outlineLevel="0" collapsed="false">
      <c r="A1303" s="6" t="n">
        <v>1299</v>
      </c>
      <c r="B1303" s="8" t="s">
        <v>2045</v>
      </c>
      <c r="C1303" s="8" t="s">
        <v>2046</v>
      </c>
      <c r="D1303" s="9"/>
      <c r="E1303" s="10"/>
      <c r="F1303" s="11" t="n">
        <v>0.00662453703703704</v>
      </c>
      <c r="G1303" s="12" t="n">
        <v>72</v>
      </c>
      <c r="H1303" s="11"/>
      <c r="I1303" s="12"/>
      <c r="J1303" s="14"/>
      <c r="K1303" s="14"/>
      <c r="L1303" s="14"/>
      <c r="M1303" s="13"/>
    </row>
    <row r="1304" customFormat="false" ht="15" hidden="false" customHeight="false" outlineLevel="0" collapsed="false">
      <c r="A1304" s="6" t="n">
        <v>1300</v>
      </c>
      <c r="B1304" s="8" t="s">
        <v>2047</v>
      </c>
      <c r="C1304" s="8" t="s">
        <v>851</v>
      </c>
      <c r="D1304" s="9"/>
      <c r="E1304" s="10"/>
      <c r="F1304" s="11"/>
      <c r="G1304" s="12"/>
      <c r="H1304" s="11" t="n">
        <v>0.00273796296296296</v>
      </c>
      <c r="I1304" s="12" t="n">
        <v>81</v>
      </c>
      <c r="J1304" s="14"/>
      <c r="K1304" s="14"/>
      <c r="L1304" s="14"/>
      <c r="M1304" s="13"/>
    </row>
    <row r="1305" customFormat="false" ht="15" hidden="false" customHeight="false" outlineLevel="0" collapsed="false">
      <c r="A1305" s="6" t="n">
        <v>1301</v>
      </c>
      <c r="B1305" s="8" t="s">
        <v>2048</v>
      </c>
      <c r="C1305" s="8" t="s">
        <v>1252</v>
      </c>
      <c r="D1305" s="9"/>
      <c r="E1305" s="10"/>
      <c r="F1305" s="11"/>
      <c r="G1305" s="12"/>
      <c r="H1305" s="11" t="n">
        <v>0.00273969907407407</v>
      </c>
      <c r="I1305" s="12" t="n">
        <v>85</v>
      </c>
      <c r="J1305" s="14"/>
      <c r="K1305" s="14"/>
      <c r="L1305" s="14"/>
      <c r="M1305" s="13"/>
    </row>
    <row r="1306" customFormat="false" ht="15" hidden="false" customHeight="false" outlineLevel="0" collapsed="false">
      <c r="A1306" s="6" t="n">
        <v>1302</v>
      </c>
      <c r="B1306" s="8" t="s">
        <v>2049</v>
      </c>
      <c r="C1306" s="8" t="s">
        <v>1752</v>
      </c>
      <c r="D1306" s="9"/>
      <c r="E1306" s="10"/>
      <c r="F1306" s="11"/>
      <c r="G1306" s="12"/>
      <c r="H1306" s="11" t="n">
        <v>0.00274583333333333</v>
      </c>
      <c r="I1306" s="12" t="n">
        <v>92</v>
      </c>
      <c r="J1306" s="14"/>
      <c r="K1306" s="14"/>
      <c r="L1306" s="14"/>
      <c r="M1306" s="13"/>
    </row>
    <row r="1307" customFormat="false" ht="15" hidden="false" customHeight="false" outlineLevel="0" collapsed="false">
      <c r="A1307" s="6" t="n">
        <v>1303</v>
      </c>
      <c r="B1307" s="8" t="s">
        <v>2050</v>
      </c>
      <c r="C1307" s="8" t="s">
        <v>592</v>
      </c>
      <c r="D1307" s="9"/>
      <c r="E1307" s="10"/>
      <c r="F1307" s="11"/>
      <c r="G1307" s="12"/>
      <c r="H1307" s="11" t="n">
        <v>0.00274652777777778</v>
      </c>
      <c r="I1307" s="12" t="n">
        <v>93</v>
      </c>
      <c r="J1307" s="14"/>
      <c r="K1307" s="14"/>
      <c r="L1307" s="14"/>
      <c r="M1307" s="13"/>
    </row>
    <row r="1308" customFormat="false" ht="15" hidden="false" customHeight="false" outlineLevel="0" collapsed="false">
      <c r="A1308" s="6" t="n">
        <v>1304</v>
      </c>
      <c r="B1308" s="8" t="s">
        <v>2051</v>
      </c>
      <c r="C1308" s="8" t="s">
        <v>2052</v>
      </c>
      <c r="D1308" s="9"/>
      <c r="E1308" s="10"/>
      <c r="F1308" s="11" t="n">
        <v>0.00668229166666667</v>
      </c>
      <c r="G1308" s="12" t="n">
        <v>99</v>
      </c>
      <c r="H1308" s="11" t="n">
        <v>0.00280578703703704</v>
      </c>
      <c r="I1308" s="12" t="n">
        <v>305</v>
      </c>
      <c r="J1308" s="14"/>
      <c r="K1308" s="14"/>
      <c r="L1308" s="14"/>
      <c r="M1308" s="13"/>
    </row>
    <row r="1309" customFormat="false" ht="15" hidden="false" customHeight="false" outlineLevel="0" collapsed="false">
      <c r="A1309" s="6" t="n">
        <v>1305</v>
      </c>
      <c r="B1309" s="8" t="s">
        <v>2053</v>
      </c>
      <c r="C1309" s="8" t="s">
        <v>688</v>
      </c>
      <c r="D1309" s="9"/>
      <c r="E1309" s="10"/>
      <c r="F1309" s="11"/>
      <c r="G1309" s="12"/>
      <c r="H1309" s="11" t="n">
        <v>0.00274872685185185</v>
      </c>
      <c r="I1309" s="12" t="n">
        <v>100</v>
      </c>
      <c r="J1309" s="14"/>
      <c r="K1309" s="14"/>
      <c r="L1309" s="14"/>
      <c r="M1309" s="13"/>
    </row>
    <row r="1310" customFormat="false" ht="15" hidden="false" customHeight="false" outlineLevel="0" collapsed="false">
      <c r="A1310" s="6" t="n">
        <v>1306</v>
      </c>
      <c r="B1310" s="8" t="s">
        <v>2054</v>
      </c>
      <c r="C1310" s="8" t="s">
        <v>87</v>
      </c>
      <c r="D1310" s="9"/>
      <c r="E1310" s="10"/>
      <c r="F1310" s="11"/>
      <c r="G1310" s="12"/>
      <c r="H1310" s="11" t="n">
        <v>0.00274895833333333</v>
      </c>
      <c r="I1310" s="12" t="n">
        <v>101</v>
      </c>
      <c r="J1310" s="14"/>
      <c r="K1310" s="14"/>
      <c r="L1310" s="14"/>
      <c r="M1310" s="13"/>
    </row>
    <row r="1311" customFormat="false" ht="15" hidden="false" customHeight="false" outlineLevel="0" collapsed="false">
      <c r="A1311" s="6" t="n">
        <v>1307</v>
      </c>
      <c r="B1311" s="8" t="s">
        <v>2055</v>
      </c>
      <c r="C1311" s="8" t="s">
        <v>2056</v>
      </c>
      <c r="D1311" s="9"/>
      <c r="E1311" s="10"/>
      <c r="F1311" s="11" t="n">
        <v>0.00669270833333333</v>
      </c>
      <c r="G1311" s="12" t="n">
        <v>105</v>
      </c>
      <c r="H1311" s="11" t="n">
        <v>0.00284722222222222</v>
      </c>
      <c r="I1311" s="12" t="n">
        <v>553</v>
      </c>
      <c r="J1311" s="14"/>
      <c r="K1311" s="14"/>
      <c r="L1311" s="14"/>
      <c r="M1311" s="13"/>
    </row>
    <row r="1312" customFormat="false" ht="15" hidden="false" customHeight="false" outlineLevel="0" collapsed="false">
      <c r="A1312" s="6" t="n">
        <v>1308</v>
      </c>
      <c r="B1312" s="8" t="s">
        <v>2057</v>
      </c>
      <c r="C1312" s="8" t="s">
        <v>18</v>
      </c>
      <c r="D1312" s="9"/>
      <c r="E1312" s="10"/>
      <c r="F1312" s="11" t="n">
        <v>0.00669976851851852</v>
      </c>
      <c r="G1312" s="12" t="n">
        <v>108</v>
      </c>
      <c r="H1312" s="11"/>
      <c r="I1312" s="12"/>
      <c r="J1312" s="14"/>
      <c r="K1312" s="14"/>
      <c r="L1312" s="14"/>
      <c r="M1312" s="13"/>
    </row>
    <row r="1313" customFormat="false" ht="15" hidden="false" customHeight="false" outlineLevel="0" collapsed="false">
      <c r="A1313" s="6" t="n">
        <v>1309</v>
      </c>
      <c r="B1313" s="8" t="s">
        <v>2058</v>
      </c>
      <c r="C1313" s="8" t="s">
        <v>2059</v>
      </c>
      <c r="D1313" s="9"/>
      <c r="E1313" s="10"/>
      <c r="F1313" s="11" t="n">
        <v>0.00670486111111111</v>
      </c>
      <c r="G1313" s="12" t="n">
        <v>110</v>
      </c>
      <c r="H1313" s="11" t="n">
        <v>0.00292025462962963</v>
      </c>
      <c r="I1313" s="12" t="n">
        <v>1102</v>
      </c>
      <c r="J1313" s="14"/>
      <c r="K1313" s="14"/>
      <c r="L1313" s="14"/>
      <c r="M1313" s="13"/>
    </row>
    <row r="1314" customFormat="false" ht="15" hidden="false" customHeight="false" outlineLevel="0" collapsed="false">
      <c r="A1314" s="6" t="n">
        <v>1310</v>
      </c>
      <c r="B1314" s="8" t="s">
        <v>2060</v>
      </c>
      <c r="C1314" s="8" t="s">
        <v>588</v>
      </c>
      <c r="D1314" s="9"/>
      <c r="E1314" s="10"/>
      <c r="F1314" s="11"/>
      <c r="G1314" s="12"/>
      <c r="H1314" s="11" t="n">
        <v>0.00275439814814815</v>
      </c>
      <c r="I1314" s="12" t="n">
        <v>116</v>
      </c>
      <c r="J1314" s="14"/>
      <c r="K1314" s="14"/>
      <c r="L1314" s="14"/>
      <c r="M1314" s="13"/>
    </row>
    <row r="1315" customFormat="false" ht="15" hidden="false" customHeight="false" outlineLevel="0" collapsed="false">
      <c r="A1315" s="6" t="n">
        <v>1311</v>
      </c>
      <c r="B1315" s="8" t="s">
        <v>2061</v>
      </c>
      <c r="C1315" s="8" t="s">
        <v>788</v>
      </c>
      <c r="D1315" s="9"/>
      <c r="E1315" s="10"/>
      <c r="F1315" s="11" t="n">
        <v>0.00672592592592593</v>
      </c>
      <c r="G1315" s="12" t="n">
        <v>117</v>
      </c>
      <c r="H1315" s="11" t="n">
        <v>0.00285335648148148</v>
      </c>
      <c r="I1315" s="12" t="n">
        <v>587</v>
      </c>
      <c r="J1315" s="14"/>
      <c r="K1315" s="14"/>
      <c r="L1315" s="14"/>
      <c r="M1315" s="13"/>
    </row>
    <row r="1316" customFormat="false" ht="15" hidden="false" customHeight="false" outlineLevel="0" collapsed="false">
      <c r="A1316" s="6" t="n">
        <v>1312</v>
      </c>
      <c r="B1316" s="8" t="s">
        <v>2062</v>
      </c>
      <c r="C1316" s="8" t="s">
        <v>1337</v>
      </c>
      <c r="D1316" s="9"/>
      <c r="E1316" s="10"/>
      <c r="F1316" s="11" t="n">
        <v>0.00674641203703704</v>
      </c>
      <c r="G1316" s="12" t="n">
        <v>125</v>
      </c>
      <c r="H1316" s="11" t="n">
        <v>0.00295428240740741</v>
      </c>
      <c r="I1316" s="12" t="n">
        <v>1251</v>
      </c>
      <c r="J1316" s="14"/>
      <c r="K1316" s="14"/>
      <c r="L1316" s="14"/>
      <c r="M1316" s="13"/>
    </row>
    <row r="1317" customFormat="false" ht="15" hidden="false" customHeight="false" outlineLevel="0" collapsed="false">
      <c r="A1317" s="6" t="n">
        <v>1313</v>
      </c>
      <c r="B1317" s="8" t="s">
        <v>2063</v>
      </c>
      <c r="C1317" s="8" t="s">
        <v>278</v>
      </c>
      <c r="D1317" s="9"/>
      <c r="E1317" s="10"/>
      <c r="F1317" s="11" t="n">
        <v>0.00674988425925926</v>
      </c>
      <c r="G1317" s="12" t="n">
        <v>128</v>
      </c>
      <c r="H1317" s="11"/>
      <c r="I1317" s="12"/>
      <c r="J1317" s="14"/>
      <c r="K1317" s="14"/>
      <c r="L1317" s="14"/>
      <c r="M1317" s="13"/>
    </row>
    <row r="1318" customFormat="false" ht="15" hidden="false" customHeight="false" outlineLevel="0" collapsed="false">
      <c r="A1318" s="6" t="n">
        <v>1314</v>
      </c>
      <c r="B1318" s="8" t="s">
        <v>2064</v>
      </c>
      <c r="C1318" s="8" t="s">
        <v>2065</v>
      </c>
      <c r="D1318" s="9"/>
      <c r="E1318" s="10"/>
      <c r="F1318" s="11" t="n">
        <v>0.00675428240740741</v>
      </c>
      <c r="G1318" s="12" t="n">
        <v>131</v>
      </c>
      <c r="H1318" s="11" t="n">
        <v>0.0028306712962963</v>
      </c>
      <c r="I1318" s="12" t="n">
        <v>430</v>
      </c>
      <c r="J1318" s="14"/>
      <c r="K1318" s="14"/>
      <c r="L1318" s="14"/>
      <c r="M1318" s="13"/>
    </row>
    <row r="1319" customFormat="false" ht="15" hidden="false" customHeight="false" outlineLevel="0" collapsed="false">
      <c r="A1319" s="6" t="n">
        <v>1315</v>
      </c>
      <c r="B1319" s="8" t="s">
        <v>2066</v>
      </c>
      <c r="C1319" s="8" t="s">
        <v>2067</v>
      </c>
      <c r="D1319" s="9"/>
      <c r="E1319" s="10"/>
      <c r="F1319" s="11"/>
      <c r="G1319" s="12"/>
      <c r="H1319" s="11" t="n">
        <v>0.00276030092592593</v>
      </c>
      <c r="I1319" s="12" t="n">
        <v>136</v>
      </c>
      <c r="J1319" s="14"/>
      <c r="K1319" s="14"/>
      <c r="L1319" s="14"/>
      <c r="M1319" s="13"/>
    </row>
    <row r="1320" customFormat="false" ht="15" hidden="false" customHeight="false" outlineLevel="0" collapsed="false">
      <c r="A1320" s="6" t="n">
        <v>1316</v>
      </c>
      <c r="B1320" s="8" t="s">
        <v>2068</v>
      </c>
      <c r="C1320" s="8" t="s">
        <v>2069</v>
      </c>
      <c r="D1320" s="9"/>
      <c r="E1320" s="10"/>
      <c r="F1320" s="11" t="n">
        <v>0.00676597222222222</v>
      </c>
      <c r="G1320" s="12" t="n">
        <v>143</v>
      </c>
      <c r="H1320" s="11" t="n">
        <v>0.00289074074074074</v>
      </c>
      <c r="I1320" s="12" t="n">
        <v>872</v>
      </c>
      <c r="J1320" s="14"/>
      <c r="K1320" s="14"/>
      <c r="L1320" s="14"/>
      <c r="M1320" s="13"/>
    </row>
    <row r="1321" customFormat="false" ht="15" hidden="false" customHeight="false" outlineLevel="0" collapsed="false">
      <c r="A1321" s="6" t="n">
        <v>1317</v>
      </c>
      <c r="B1321" s="8" t="s">
        <v>2070</v>
      </c>
      <c r="C1321" s="8" t="s">
        <v>612</v>
      </c>
      <c r="D1321" s="9"/>
      <c r="E1321" s="10"/>
      <c r="F1321" s="11" t="n">
        <v>0.00771712962962963</v>
      </c>
      <c r="G1321" s="12" t="n">
        <v>1084</v>
      </c>
      <c r="H1321" s="11" t="n">
        <v>0.00276412037037037</v>
      </c>
      <c r="I1321" s="12" t="n">
        <v>145</v>
      </c>
      <c r="J1321" s="14"/>
      <c r="K1321" s="14"/>
      <c r="L1321" s="8" t="s">
        <v>2071</v>
      </c>
      <c r="M1321" s="13"/>
    </row>
    <row r="1322" customFormat="false" ht="15" hidden="false" customHeight="false" outlineLevel="0" collapsed="false">
      <c r="A1322" s="6" t="n">
        <v>1318</v>
      </c>
      <c r="B1322" s="8" t="s">
        <v>2072</v>
      </c>
      <c r="C1322" s="8" t="s">
        <v>390</v>
      </c>
      <c r="D1322" s="9"/>
      <c r="E1322" s="10"/>
      <c r="F1322" s="11" t="n">
        <v>0.00676759259259259</v>
      </c>
      <c r="G1322" s="12" t="n">
        <v>145</v>
      </c>
      <c r="H1322" s="11"/>
      <c r="I1322" s="12"/>
      <c r="J1322" s="14"/>
      <c r="K1322" s="14"/>
      <c r="L1322" s="14"/>
      <c r="M1322" s="13"/>
    </row>
    <row r="1323" customFormat="false" ht="15" hidden="false" customHeight="false" outlineLevel="0" collapsed="false">
      <c r="A1323" s="6" t="n">
        <v>1319</v>
      </c>
      <c r="B1323" s="8" t="s">
        <v>2073</v>
      </c>
      <c r="C1323" s="8" t="s">
        <v>484</v>
      </c>
      <c r="D1323" s="9"/>
      <c r="E1323" s="10"/>
      <c r="F1323" s="11" t="n">
        <v>0.00677511574074074</v>
      </c>
      <c r="G1323" s="12" t="n">
        <v>151</v>
      </c>
      <c r="H1323" s="11"/>
      <c r="I1323" s="12"/>
      <c r="J1323" s="14"/>
      <c r="K1323" s="14"/>
      <c r="L1323" s="14"/>
      <c r="M1323" s="13"/>
    </row>
    <row r="1324" customFormat="false" ht="15" hidden="false" customHeight="false" outlineLevel="0" collapsed="false">
      <c r="A1324" s="6" t="n">
        <v>1320</v>
      </c>
      <c r="B1324" s="8" t="s">
        <v>2074</v>
      </c>
      <c r="C1324" s="8" t="s">
        <v>946</v>
      </c>
      <c r="D1324" s="9"/>
      <c r="E1324" s="10"/>
      <c r="F1324" s="11" t="n">
        <v>0.00677997685185185</v>
      </c>
      <c r="G1324" s="12" t="n">
        <v>155</v>
      </c>
      <c r="H1324" s="11" t="n">
        <v>0.00287476851851852</v>
      </c>
      <c r="I1324" s="12" t="n">
        <v>732</v>
      </c>
      <c r="J1324" s="14"/>
      <c r="K1324" s="14"/>
      <c r="L1324" s="14"/>
      <c r="M1324" s="13"/>
    </row>
    <row r="1325" customFormat="false" ht="15" hidden="false" customHeight="false" outlineLevel="0" collapsed="false">
      <c r="A1325" s="6" t="n">
        <v>1321</v>
      </c>
      <c r="B1325" s="8" t="s">
        <v>2075</v>
      </c>
      <c r="C1325" s="8" t="s">
        <v>1835</v>
      </c>
      <c r="D1325" s="9"/>
      <c r="E1325" s="10"/>
      <c r="F1325" s="11"/>
      <c r="G1325" s="12"/>
      <c r="H1325" s="11" t="n">
        <v>0.00276805555555556</v>
      </c>
      <c r="I1325" s="12" t="n">
        <v>157</v>
      </c>
      <c r="J1325" s="14"/>
      <c r="K1325" s="14"/>
      <c r="L1325" s="14"/>
      <c r="M1325" s="13"/>
    </row>
    <row r="1326" customFormat="false" ht="15" hidden="false" customHeight="false" outlineLevel="0" collapsed="false">
      <c r="A1326" s="6" t="n">
        <v>1322</v>
      </c>
      <c r="B1326" s="8" t="s">
        <v>2076</v>
      </c>
      <c r="C1326" s="8" t="s">
        <v>2077</v>
      </c>
      <c r="D1326" s="9"/>
      <c r="E1326" s="10"/>
      <c r="F1326" s="11" t="n">
        <v>0.00678368055555556</v>
      </c>
      <c r="G1326" s="12" t="n">
        <v>159</v>
      </c>
      <c r="H1326" s="11" t="n">
        <v>0.00281643518518519</v>
      </c>
      <c r="I1326" s="12" t="n">
        <v>347</v>
      </c>
      <c r="J1326" s="14"/>
      <c r="K1326" s="14"/>
      <c r="L1326" s="14"/>
      <c r="M1326" s="13"/>
    </row>
    <row r="1327" customFormat="false" ht="15" hidden="false" customHeight="false" outlineLevel="0" collapsed="false">
      <c r="A1327" s="6" t="n">
        <v>1323</v>
      </c>
      <c r="B1327" s="8" t="s">
        <v>2078</v>
      </c>
      <c r="C1327" s="8" t="s">
        <v>1308</v>
      </c>
      <c r="D1327" s="9"/>
      <c r="E1327" s="10"/>
      <c r="F1327" s="11"/>
      <c r="G1327" s="12"/>
      <c r="H1327" s="11" t="n">
        <v>0.00276979166666667</v>
      </c>
      <c r="I1327" s="12" t="n">
        <v>160</v>
      </c>
      <c r="J1327" s="14"/>
      <c r="K1327" s="14"/>
      <c r="L1327" s="14"/>
      <c r="M1327" s="13"/>
    </row>
    <row r="1328" customFormat="false" ht="15" hidden="false" customHeight="false" outlineLevel="0" collapsed="false">
      <c r="A1328" s="6" t="n">
        <v>1324</v>
      </c>
      <c r="B1328" s="8" t="s">
        <v>2079</v>
      </c>
      <c r="C1328" s="8" t="s">
        <v>612</v>
      </c>
      <c r="D1328" s="9"/>
      <c r="E1328" s="10"/>
      <c r="F1328" s="11" t="n">
        <v>0.00678472222222222</v>
      </c>
      <c r="G1328" s="12" t="n">
        <v>161</v>
      </c>
      <c r="H1328" s="11" t="n">
        <v>0.00283680555555556</v>
      </c>
      <c r="I1328" s="12" t="n">
        <v>475</v>
      </c>
      <c r="J1328" s="14"/>
      <c r="K1328" s="14"/>
      <c r="L1328" s="14"/>
      <c r="M1328" s="13"/>
    </row>
    <row r="1329" customFormat="false" ht="15" hidden="false" customHeight="false" outlineLevel="0" collapsed="false">
      <c r="A1329" s="6" t="n">
        <v>1325</v>
      </c>
      <c r="B1329" s="8" t="s">
        <v>2080</v>
      </c>
      <c r="C1329" s="8" t="s">
        <v>1147</v>
      </c>
      <c r="D1329" s="9"/>
      <c r="E1329" s="10"/>
      <c r="F1329" s="11" t="n">
        <v>0.00678715277777778</v>
      </c>
      <c r="G1329" s="12" t="n">
        <v>162</v>
      </c>
      <c r="H1329" s="11"/>
      <c r="I1329" s="12"/>
      <c r="J1329" s="14"/>
      <c r="K1329" s="14"/>
      <c r="L1329" s="14"/>
      <c r="M1329" s="13"/>
    </row>
    <row r="1330" customFormat="false" ht="15" hidden="false" customHeight="false" outlineLevel="0" collapsed="false">
      <c r="A1330" s="6" t="n">
        <v>1326</v>
      </c>
      <c r="B1330" s="8" t="s">
        <v>2081</v>
      </c>
      <c r="C1330" s="8" t="s">
        <v>982</v>
      </c>
      <c r="D1330" s="9"/>
      <c r="E1330" s="10"/>
      <c r="F1330" s="11"/>
      <c r="G1330" s="12"/>
      <c r="H1330" s="11" t="n">
        <v>0.00276990740740741</v>
      </c>
      <c r="I1330" s="12" t="n">
        <v>162</v>
      </c>
      <c r="J1330" s="14"/>
      <c r="K1330" s="14"/>
      <c r="L1330" s="14"/>
      <c r="M1330" s="13"/>
    </row>
    <row r="1331" customFormat="false" ht="15" hidden="false" customHeight="false" outlineLevel="0" collapsed="false">
      <c r="A1331" s="6" t="n">
        <v>1327</v>
      </c>
      <c r="B1331" s="8" t="s">
        <v>2082</v>
      </c>
      <c r="C1331" s="8" t="s">
        <v>2083</v>
      </c>
      <c r="D1331" s="9"/>
      <c r="E1331" s="10"/>
      <c r="F1331" s="11"/>
      <c r="G1331" s="12"/>
      <c r="H1331" s="11" t="n">
        <v>0.00276990740740741</v>
      </c>
      <c r="I1331" s="12" t="n">
        <v>163</v>
      </c>
      <c r="J1331" s="14"/>
      <c r="K1331" s="14"/>
      <c r="L1331" s="14"/>
      <c r="M1331" s="13"/>
    </row>
    <row r="1332" customFormat="false" ht="15" hidden="false" customHeight="false" outlineLevel="0" collapsed="false">
      <c r="A1332" s="6" t="n">
        <v>1328</v>
      </c>
      <c r="B1332" s="8" t="s">
        <v>2084</v>
      </c>
      <c r="C1332" s="8" t="s">
        <v>1503</v>
      </c>
      <c r="D1332" s="9"/>
      <c r="E1332" s="10"/>
      <c r="F1332" s="11"/>
      <c r="G1332" s="12"/>
      <c r="H1332" s="11" t="n">
        <v>0.00277280092592593</v>
      </c>
      <c r="I1332" s="12" t="n">
        <v>167</v>
      </c>
      <c r="J1332" s="14"/>
      <c r="K1332" s="14"/>
      <c r="L1332" s="14"/>
      <c r="M1332" s="13"/>
    </row>
    <row r="1333" customFormat="false" ht="15" hidden="false" customHeight="false" outlineLevel="0" collapsed="false">
      <c r="A1333" s="6" t="n">
        <v>1329</v>
      </c>
      <c r="B1333" s="8" t="s">
        <v>2085</v>
      </c>
      <c r="C1333" s="8" t="s">
        <v>87</v>
      </c>
      <c r="D1333" s="9"/>
      <c r="E1333" s="10"/>
      <c r="F1333" s="11"/>
      <c r="G1333" s="12"/>
      <c r="H1333" s="11" t="n">
        <v>0.00277337962962963</v>
      </c>
      <c r="I1333" s="12" t="n">
        <v>169</v>
      </c>
      <c r="J1333" s="14"/>
      <c r="K1333" s="14"/>
      <c r="L1333" s="14"/>
      <c r="M1333" s="13"/>
    </row>
    <row r="1334" customFormat="false" ht="15" hidden="false" customHeight="false" outlineLevel="0" collapsed="false">
      <c r="A1334" s="6" t="n">
        <v>1330</v>
      </c>
      <c r="B1334" s="8" t="s">
        <v>2086</v>
      </c>
      <c r="C1334" s="8" t="s">
        <v>363</v>
      </c>
      <c r="D1334" s="9"/>
      <c r="E1334" s="10"/>
      <c r="F1334" s="11"/>
      <c r="G1334" s="12"/>
      <c r="H1334" s="11" t="n">
        <v>0.0027744212962963</v>
      </c>
      <c r="I1334" s="12" t="n">
        <v>173</v>
      </c>
      <c r="J1334" s="14"/>
      <c r="K1334" s="14"/>
      <c r="L1334" s="14"/>
      <c r="M1334" s="13"/>
    </row>
    <row r="1335" customFormat="false" ht="15" hidden="false" customHeight="false" outlineLevel="0" collapsed="false">
      <c r="A1335" s="6" t="n">
        <v>1331</v>
      </c>
      <c r="B1335" s="8" t="s">
        <v>2087</v>
      </c>
      <c r="C1335" s="8" t="s">
        <v>2088</v>
      </c>
      <c r="D1335" s="9"/>
      <c r="E1335" s="10"/>
      <c r="F1335" s="11" t="n">
        <v>0.00680185185185185</v>
      </c>
      <c r="G1335" s="12" t="n">
        <v>174</v>
      </c>
      <c r="H1335" s="11" t="n">
        <v>0.0029025462962963</v>
      </c>
      <c r="I1335" s="12" t="n">
        <v>967</v>
      </c>
      <c r="J1335" s="14"/>
      <c r="K1335" s="14"/>
      <c r="L1335" s="14"/>
      <c r="M1335" s="13"/>
    </row>
    <row r="1336" customFormat="false" ht="15" hidden="false" customHeight="false" outlineLevel="0" collapsed="false">
      <c r="A1336" s="6" t="n">
        <v>1332</v>
      </c>
      <c r="B1336" s="8" t="s">
        <v>2089</v>
      </c>
      <c r="C1336" s="8" t="s">
        <v>2067</v>
      </c>
      <c r="D1336" s="9"/>
      <c r="E1336" s="10"/>
      <c r="F1336" s="11"/>
      <c r="G1336" s="12"/>
      <c r="H1336" s="11" t="n">
        <v>0.00277453703703704</v>
      </c>
      <c r="I1336" s="12" t="n">
        <v>174</v>
      </c>
      <c r="J1336" s="14"/>
      <c r="K1336" s="14"/>
      <c r="L1336" s="14"/>
      <c r="M1336" s="13"/>
    </row>
    <row r="1337" customFormat="false" ht="15" hidden="false" customHeight="false" outlineLevel="0" collapsed="false">
      <c r="A1337" s="6" t="n">
        <v>1333</v>
      </c>
      <c r="B1337" s="8" t="s">
        <v>2090</v>
      </c>
      <c r="C1337" s="8" t="s">
        <v>2091</v>
      </c>
      <c r="D1337" s="9"/>
      <c r="E1337" s="10"/>
      <c r="F1337" s="11" t="n">
        <v>0.00680416666666667</v>
      </c>
      <c r="G1337" s="12" t="n">
        <v>175</v>
      </c>
      <c r="H1337" s="11" t="n">
        <v>0.00291759259259259</v>
      </c>
      <c r="I1337" s="12" t="n">
        <v>1071</v>
      </c>
      <c r="J1337" s="14" t="s">
        <v>2092</v>
      </c>
      <c r="K1337" s="14"/>
      <c r="L1337" s="14"/>
      <c r="M1337" s="13"/>
    </row>
    <row r="1338" customFormat="false" ht="15" hidden="false" customHeight="false" outlineLevel="0" collapsed="false">
      <c r="A1338" s="6" t="n">
        <v>1334</v>
      </c>
      <c r="B1338" s="8" t="s">
        <v>2093</v>
      </c>
      <c r="C1338" s="8" t="s">
        <v>2094</v>
      </c>
      <c r="D1338" s="9"/>
      <c r="E1338" s="10"/>
      <c r="F1338" s="11" t="n">
        <v>0.00680648148148148</v>
      </c>
      <c r="G1338" s="12" t="n">
        <v>176</v>
      </c>
      <c r="H1338" s="11"/>
      <c r="I1338" s="12"/>
      <c r="J1338" s="14"/>
      <c r="K1338" s="14"/>
      <c r="L1338" s="14"/>
      <c r="M1338" s="13"/>
    </row>
    <row r="1339" customFormat="false" ht="15" hidden="false" customHeight="false" outlineLevel="0" collapsed="false">
      <c r="A1339" s="6" t="n">
        <v>1335</v>
      </c>
      <c r="B1339" s="8" t="s">
        <v>2095</v>
      </c>
      <c r="C1339" s="8" t="s">
        <v>1853</v>
      </c>
      <c r="D1339" s="9"/>
      <c r="E1339" s="10"/>
      <c r="F1339" s="11"/>
      <c r="G1339" s="12"/>
      <c r="H1339" s="11" t="n">
        <v>0.00277569444444444</v>
      </c>
      <c r="I1339" s="12" t="n">
        <v>178</v>
      </c>
      <c r="J1339" s="14"/>
      <c r="K1339" s="14"/>
      <c r="L1339" s="14"/>
      <c r="M1339" s="13"/>
    </row>
    <row r="1340" customFormat="false" ht="15" hidden="false" customHeight="false" outlineLevel="0" collapsed="false">
      <c r="A1340" s="6" t="n">
        <v>1336</v>
      </c>
      <c r="B1340" s="8" t="s">
        <v>2096</v>
      </c>
      <c r="C1340" s="8" t="s">
        <v>2097</v>
      </c>
      <c r="D1340" s="9"/>
      <c r="E1340" s="10"/>
      <c r="F1340" s="11" t="n">
        <v>0.0068150462962963</v>
      </c>
      <c r="G1340" s="12" t="n">
        <v>182</v>
      </c>
      <c r="H1340" s="11" t="n">
        <v>0.00288391203703704</v>
      </c>
      <c r="I1340" s="12" t="n">
        <v>808</v>
      </c>
      <c r="J1340" s="14"/>
      <c r="K1340" s="14"/>
      <c r="L1340" s="14"/>
      <c r="M1340" s="13"/>
    </row>
    <row r="1341" customFormat="false" ht="15" hidden="false" customHeight="false" outlineLevel="0" collapsed="false">
      <c r="A1341" s="6" t="n">
        <v>1337</v>
      </c>
      <c r="B1341" s="8" t="s">
        <v>2098</v>
      </c>
      <c r="C1341" s="8" t="s">
        <v>294</v>
      </c>
      <c r="D1341" s="9"/>
      <c r="E1341" s="10"/>
      <c r="F1341" s="11" t="n">
        <v>0.00708506944444444</v>
      </c>
      <c r="G1341" s="12" t="n">
        <v>433</v>
      </c>
      <c r="H1341" s="11" t="n">
        <v>0.00277673611111111</v>
      </c>
      <c r="I1341" s="12" t="n">
        <v>185</v>
      </c>
      <c r="J1341" s="14"/>
      <c r="K1341" s="14"/>
      <c r="L1341" s="14"/>
      <c r="M1341" s="13"/>
    </row>
    <row r="1342" customFormat="false" ht="15" hidden="false" customHeight="false" outlineLevel="0" collapsed="false">
      <c r="A1342" s="6" t="n">
        <v>1338</v>
      </c>
      <c r="B1342" s="8" t="s">
        <v>2099</v>
      </c>
      <c r="C1342" s="8" t="s">
        <v>278</v>
      </c>
      <c r="D1342" s="9"/>
      <c r="E1342" s="10"/>
      <c r="F1342" s="11" t="n">
        <v>0.00681712962962963</v>
      </c>
      <c r="G1342" s="12" t="n">
        <v>185</v>
      </c>
      <c r="H1342" s="11"/>
      <c r="I1342" s="12"/>
      <c r="J1342" s="14"/>
      <c r="K1342" s="14" t="s">
        <v>2100</v>
      </c>
      <c r="L1342" s="14"/>
      <c r="M1342" s="13"/>
    </row>
    <row r="1343" customFormat="false" ht="15" hidden="false" customHeight="false" outlineLevel="0" collapsed="false">
      <c r="A1343" s="6" t="n">
        <v>1339</v>
      </c>
      <c r="B1343" s="8" t="s">
        <v>2101</v>
      </c>
      <c r="C1343" s="8" t="s">
        <v>363</v>
      </c>
      <c r="D1343" s="9"/>
      <c r="E1343" s="10"/>
      <c r="F1343" s="11" t="n">
        <v>0.00681759259259259</v>
      </c>
      <c r="G1343" s="12" t="n">
        <v>186</v>
      </c>
      <c r="H1343" s="11"/>
      <c r="I1343" s="12"/>
      <c r="J1343" s="14"/>
      <c r="K1343" s="14"/>
      <c r="L1343" s="14"/>
      <c r="M1343" s="13"/>
    </row>
    <row r="1344" customFormat="false" ht="15" hidden="false" customHeight="false" outlineLevel="0" collapsed="false">
      <c r="A1344" s="6" t="n">
        <v>1340</v>
      </c>
      <c r="B1344" s="8" t="s">
        <v>2102</v>
      </c>
      <c r="C1344" s="8" t="s">
        <v>1493</v>
      </c>
      <c r="D1344" s="9"/>
      <c r="E1344" s="10"/>
      <c r="F1344" s="11" t="n">
        <v>0.00682222222222222</v>
      </c>
      <c r="G1344" s="12" t="n">
        <v>187</v>
      </c>
      <c r="H1344" s="11"/>
      <c r="I1344" s="12"/>
      <c r="J1344" s="14"/>
      <c r="K1344" s="14"/>
      <c r="L1344" s="14"/>
      <c r="M1344" s="13"/>
    </row>
    <row r="1345" customFormat="false" ht="15" hidden="false" customHeight="false" outlineLevel="0" collapsed="false">
      <c r="A1345" s="6" t="n">
        <v>1341</v>
      </c>
      <c r="B1345" s="8" t="s">
        <v>2103</v>
      </c>
      <c r="C1345" s="8" t="s">
        <v>2104</v>
      </c>
      <c r="D1345" s="9"/>
      <c r="E1345" s="10"/>
      <c r="F1345" s="11" t="n">
        <v>0.00682488425925926</v>
      </c>
      <c r="G1345" s="12" t="n">
        <v>188</v>
      </c>
      <c r="H1345" s="11"/>
      <c r="I1345" s="12"/>
      <c r="J1345" s="14"/>
      <c r="K1345" s="14"/>
      <c r="L1345" s="14"/>
      <c r="M1345" s="13"/>
    </row>
    <row r="1346" customFormat="false" ht="15" hidden="false" customHeight="false" outlineLevel="0" collapsed="false">
      <c r="A1346" s="6" t="n">
        <v>1342</v>
      </c>
      <c r="B1346" s="8" t="s">
        <v>2105</v>
      </c>
      <c r="C1346" s="8" t="s">
        <v>2106</v>
      </c>
      <c r="D1346" s="9"/>
      <c r="E1346" s="10"/>
      <c r="F1346" s="11" t="n">
        <v>0.00682673611111111</v>
      </c>
      <c r="G1346" s="12" t="n">
        <v>189</v>
      </c>
      <c r="H1346" s="11" t="n">
        <v>0.00289930555555556</v>
      </c>
      <c r="I1346" s="12" t="n">
        <v>939</v>
      </c>
      <c r="J1346" s="14"/>
      <c r="K1346" s="14"/>
      <c r="L1346" s="14"/>
      <c r="M1346" s="13"/>
    </row>
    <row r="1347" customFormat="false" ht="15" hidden="false" customHeight="false" outlineLevel="0" collapsed="false">
      <c r="A1347" s="6" t="n">
        <v>1343</v>
      </c>
      <c r="B1347" s="8" t="s">
        <v>2107</v>
      </c>
      <c r="C1347" s="8" t="s">
        <v>802</v>
      </c>
      <c r="D1347" s="9"/>
      <c r="E1347" s="10"/>
      <c r="F1347" s="11"/>
      <c r="G1347" s="12"/>
      <c r="H1347" s="11" t="n">
        <v>0.00277824074074074</v>
      </c>
      <c r="I1347" s="12" t="n">
        <v>192</v>
      </c>
      <c r="J1347" s="14"/>
      <c r="K1347" s="14"/>
      <c r="L1347" s="14"/>
      <c r="M1347" s="13"/>
    </row>
    <row r="1348" customFormat="false" ht="15" hidden="false" customHeight="false" outlineLevel="0" collapsed="false">
      <c r="A1348" s="6" t="n">
        <v>1344</v>
      </c>
      <c r="B1348" s="8" t="s">
        <v>2108</v>
      </c>
      <c r="C1348" s="8" t="s">
        <v>2109</v>
      </c>
      <c r="D1348" s="9"/>
      <c r="E1348" s="10"/>
      <c r="F1348" s="11" t="n">
        <v>0.00682905092592593</v>
      </c>
      <c r="G1348" s="12" t="n">
        <v>193</v>
      </c>
      <c r="H1348" s="11" t="n">
        <v>0.00291747685185185</v>
      </c>
      <c r="I1348" s="12" t="n">
        <v>1070</v>
      </c>
      <c r="J1348" s="14"/>
      <c r="K1348" s="14"/>
      <c r="L1348" s="14"/>
      <c r="M1348" s="13"/>
    </row>
    <row r="1349" customFormat="false" ht="15" hidden="false" customHeight="false" outlineLevel="0" collapsed="false">
      <c r="A1349" s="6" t="n">
        <v>1345</v>
      </c>
      <c r="B1349" s="8" t="s">
        <v>2110</v>
      </c>
      <c r="C1349" s="8" t="s">
        <v>2111</v>
      </c>
      <c r="D1349" s="9"/>
      <c r="E1349" s="10"/>
      <c r="F1349" s="11"/>
      <c r="G1349" s="12"/>
      <c r="H1349" s="11" t="n">
        <v>0.0027787037037037</v>
      </c>
      <c r="I1349" s="12" t="n">
        <v>195</v>
      </c>
      <c r="J1349" s="14"/>
      <c r="K1349" s="14"/>
      <c r="L1349" s="14"/>
      <c r="M1349" s="13"/>
    </row>
    <row r="1350" customFormat="false" ht="15" hidden="false" customHeight="false" outlineLevel="0" collapsed="false">
      <c r="A1350" s="6" t="n">
        <v>1346</v>
      </c>
      <c r="B1350" s="8" t="s">
        <v>2112</v>
      </c>
      <c r="C1350" s="8" t="s">
        <v>2113</v>
      </c>
      <c r="D1350" s="9"/>
      <c r="E1350" s="10"/>
      <c r="F1350" s="11"/>
      <c r="G1350" s="12"/>
      <c r="H1350" s="11" t="n">
        <v>0.00277928240740741</v>
      </c>
      <c r="I1350" s="12" t="n">
        <v>197</v>
      </c>
      <c r="J1350" s="14"/>
      <c r="K1350" s="14"/>
      <c r="L1350" s="14"/>
      <c r="M1350" s="13"/>
    </row>
    <row r="1351" customFormat="false" ht="15" hidden="false" customHeight="false" outlineLevel="0" collapsed="false">
      <c r="A1351" s="6" t="n">
        <v>1347</v>
      </c>
      <c r="B1351" s="8" t="s">
        <v>2114</v>
      </c>
      <c r="C1351" s="8" t="s">
        <v>278</v>
      </c>
      <c r="D1351" s="9"/>
      <c r="E1351" s="10"/>
      <c r="F1351" s="11" t="n">
        <v>0.00684363425925926</v>
      </c>
      <c r="G1351" s="12" t="n">
        <v>198</v>
      </c>
      <c r="H1351" s="11"/>
      <c r="I1351" s="12"/>
      <c r="J1351" s="14"/>
      <c r="K1351" s="14"/>
      <c r="L1351" s="14"/>
      <c r="M1351" s="13"/>
    </row>
    <row r="1352" customFormat="false" ht="15" hidden="false" customHeight="false" outlineLevel="0" collapsed="false">
      <c r="A1352" s="6" t="n">
        <v>1348</v>
      </c>
      <c r="B1352" s="8" t="s">
        <v>2115</v>
      </c>
      <c r="C1352" s="8" t="s">
        <v>281</v>
      </c>
      <c r="D1352" s="9"/>
      <c r="E1352" s="10"/>
      <c r="F1352" s="11" t="n">
        <v>0.00684398148148148</v>
      </c>
      <c r="G1352" s="12" t="n">
        <v>199</v>
      </c>
      <c r="H1352" s="11"/>
      <c r="I1352" s="12"/>
      <c r="J1352" s="14"/>
      <c r="K1352" s="14"/>
      <c r="L1352" s="14"/>
      <c r="M1352" s="13"/>
    </row>
    <row r="1353" customFormat="false" ht="15" hidden="false" customHeight="false" outlineLevel="0" collapsed="false">
      <c r="A1353" s="6" t="n">
        <v>1349</v>
      </c>
      <c r="B1353" s="8" t="s">
        <v>2116</v>
      </c>
      <c r="C1353" s="8" t="s">
        <v>2117</v>
      </c>
      <c r="D1353" s="9"/>
      <c r="E1353" s="10"/>
      <c r="F1353" s="11" t="n">
        <v>0.00684768518518519</v>
      </c>
      <c r="G1353" s="12" t="n">
        <v>202</v>
      </c>
      <c r="H1353" s="11"/>
      <c r="I1353" s="12"/>
      <c r="J1353" s="14" t="s">
        <v>2118</v>
      </c>
      <c r="K1353" s="14"/>
      <c r="L1353" s="14"/>
      <c r="M1353" s="13"/>
    </row>
    <row r="1354" customFormat="false" ht="15" hidden="false" customHeight="false" outlineLevel="0" collapsed="false">
      <c r="A1354" s="6" t="n">
        <v>1350</v>
      </c>
      <c r="B1354" s="8" t="s">
        <v>2119</v>
      </c>
      <c r="C1354" s="8" t="s">
        <v>1159</v>
      </c>
      <c r="D1354" s="9"/>
      <c r="E1354" s="10"/>
      <c r="F1354" s="11" t="n">
        <v>0.00685393518518518</v>
      </c>
      <c r="G1354" s="12" t="n">
        <v>204</v>
      </c>
      <c r="H1354" s="11"/>
      <c r="I1354" s="12"/>
      <c r="J1354" s="14" t="s">
        <v>2120</v>
      </c>
      <c r="K1354" s="14"/>
      <c r="L1354" s="14"/>
      <c r="M1354" s="13"/>
    </row>
    <row r="1355" customFormat="false" ht="15" hidden="false" customHeight="false" outlineLevel="0" collapsed="false">
      <c r="A1355" s="6" t="n">
        <v>1351</v>
      </c>
      <c r="B1355" s="8" t="s">
        <v>2121</v>
      </c>
      <c r="C1355" s="8" t="s">
        <v>2122</v>
      </c>
      <c r="D1355" s="9"/>
      <c r="E1355" s="10"/>
      <c r="F1355" s="11"/>
      <c r="G1355" s="12"/>
      <c r="H1355" s="11" t="n">
        <v>0.00278113425925926</v>
      </c>
      <c r="I1355" s="12" t="n">
        <v>206</v>
      </c>
      <c r="J1355" s="14"/>
      <c r="K1355" s="14"/>
      <c r="L1355" s="14"/>
      <c r="M1355" s="13"/>
    </row>
    <row r="1356" customFormat="false" ht="15" hidden="false" customHeight="false" outlineLevel="0" collapsed="false">
      <c r="A1356" s="6" t="n">
        <v>1352</v>
      </c>
      <c r="B1356" s="8" t="s">
        <v>2123</v>
      </c>
      <c r="C1356" s="8" t="s">
        <v>2124</v>
      </c>
      <c r="D1356" s="9"/>
      <c r="E1356" s="10"/>
      <c r="F1356" s="11" t="n">
        <v>0.00685810185185185</v>
      </c>
      <c r="G1356" s="12" t="n">
        <v>208</v>
      </c>
      <c r="H1356" s="11"/>
      <c r="I1356" s="12"/>
      <c r="J1356" s="14"/>
      <c r="K1356" s="14"/>
      <c r="L1356" s="14"/>
      <c r="M1356" s="13"/>
    </row>
    <row r="1357" customFormat="false" ht="15" hidden="false" customHeight="false" outlineLevel="0" collapsed="false">
      <c r="A1357" s="6" t="n">
        <v>1353</v>
      </c>
      <c r="B1357" s="8" t="s">
        <v>2125</v>
      </c>
      <c r="C1357" s="8" t="s">
        <v>160</v>
      </c>
      <c r="D1357" s="9"/>
      <c r="E1357" s="10"/>
      <c r="F1357" s="11"/>
      <c r="G1357" s="12"/>
      <c r="H1357" s="11" t="n">
        <v>0.00278240740740741</v>
      </c>
      <c r="I1357" s="12" t="n">
        <v>211</v>
      </c>
      <c r="J1357" s="14"/>
      <c r="K1357" s="14"/>
      <c r="L1357" s="14"/>
      <c r="M1357" s="13"/>
    </row>
    <row r="1358" customFormat="false" ht="15" hidden="false" customHeight="false" outlineLevel="0" collapsed="false">
      <c r="A1358" s="6" t="n">
        <v>1354</v>
      </c>
      <c r="B1358" s="8" t="s">
        <v>2126</v>
      </c>
      <c r="C1358" s="8" t="s">
        <v>2127</v>
      </c>
      <c r="D1358" s="9"/>
      <c r="E1358" s="10"/>
      <c r="F1358" s="11" t="n">
        <v>0.00686296296296296</v>
      </c>
      <c r="G1358" s="12" t="n">
        <v>213</v>
      </c>
      <c r="H1358" s="11"/>
      <c r="I1358" s="12"/>
      <c r="J1358" s="14"/>
      <c r="K1358" s="14"/>
      <c r="L1358" s="14"/>
      <c r="M1358" s="13"/>
    </row>
    <row r="1359" customFormat="false" ht="15" hidden="false" customHeight="false" outlineLevel="0" collapsed="false">
      <c r="A1359" s="6" t="n">
        <v>1355</v>
      </c>
      <c r="B1359" s="8" t="s">
        <v>2128</v>
      </c>
      <c r="C1359" s="8" t="s">
        <v>2129</v>
      </c>
      <c r="D1359" s="9"/>
      <c r="E1359" s="10"/>
      <c r="F1359" s="11" t="n">
        <v>0.00686701388888889</v>
      </c>
      <c r="G1359" s="12" t="n">
        <v>216</v>
      </c>
      <c r="H1359" s="11"/>
      <c r="I1359" s="12"/>
      <c r="J1359" s="14"/>
      <c r="K1359" s="14"/>
      <c r="L1359" s="14"/>
      <c r="M1359" s="13"/>
    </row>
    <row r="1360" customFormat="false" ht="15" hidden="false" customHeight="false" outlineLevel="0" collapsed="false">
      <c r="A1360" s="6" t="n">
        <v>1356</v>
      </c>
      <c r="B1360" s="8" t="s">
        <v>2130</v>
      </c>
      <c r="C1360" s="8" t="s">
        <v>2131</v>
      </c>
      <c r="D1360" s="9"/>
      <c r="E1360" s="10"/>
      <c r="F1360" s="11" t="n">
        <v>0.00686840277777778</v>
      </c>
      <c r="G1360" s="12" t="n">
        <v>217</v>
      </c>
      <c r="H1360" s="11"/>
      <c r="I1360" s="12"/>
      <c r="J1360" s="14"/>
      <c r="K1360" s="14"/>
      <c r="L1360" s="14"/>
      <c r="M1360" s="13"/>
    </row>
    <row r="1361" customFormat="false" ht="15" hidden="false" customHeight="false" outlineLevel="0" collapsed="false">
      <c r="A1361" s="6" t="n">
        <v>1357</v>
      </c>
      <c r="B1361" s="8" t="s">
        <v>2132</v>
      </c>
      <c r="C1361" s="8" t="s">
        <v>1496</v>
      </c>
      <c r="D1361" s="9"/>
      <c r="E1361" s="10"/>
      <c r="F1361" s="11" t="n">
        <v>0.00692916666666667</v>
      </c>
      <c r="G1361" s="12" t="n">
        <v>271</v>
      </c>
      <c r="H1361" s="11" t="n">
        <v>0.00278564814814815</v>
      </c>
      <c r="I1361" s="12" t="n">
        <v>220</v>
      </c>
      <c r="J1361" s="14"/>
      <c r="K1361" s="14"/>
      <c r="L1361" s="14"/>
      <c r="M1361" s="13"/>
    </row>
    <row r="1362" customFormat="false" ht="15" hidden="false" customHeight="false" outlineLevel="0" collapsed="false">
      <c r="A1362" s="6" t="n">
        <v>1358</v>
      </c>
      <c r="B1362" s="8" t="s">
        <v>2133</v>
      </c>
      <c r="C1362" s="8" t="s">
        <v>1131</v>
      </c>
      <c r="D1362" s="9"/>
      <c r="E1362" s="10"/>
      <c r="F1362" s="11" t="n">
        <v>0.00687916666666667</v>
      </c>
      <c r="G1362" s="12" t="n">
        <v>222</v>
      </c>
      <c r="H1362" s="11" t="n">
        <v>0.00286956018518519</v>
      </c>
      <c r="I1362" s="12" t="n">
        <v>692</v>
      </c>
      <c r="J1362" s="14"/>
      <c r="K1362" s="14"/>
      <c r="L1362" s="14"/>
      <c r="M1362" s="13"/>
    </row>
    <row r="1363" customFormat="false" ht="15" hidden="false" customHeight="false" outlineLevel="0" collapsed="false">
      <c r="A1363" s="6" t="n">
        <v>1359</v>
      </c>
      <c r="B1363" s="8" t="s">
        <v>2134</v>
      </c>
      <c r="C1363" s="8" t="s">
        <v>1451</v>
      </c>
      <c r="D1363" s="9"/>
      <c r="E1363" s="10"/>
      <c r="F1363" s="11" t="n">
        <v>0.00688032407407407</v>
      </c>
      <c r="G1363" s="12" t="n">
        <v>223</v>
      </c>
      <c r="H1363" s="11" t="n">
        <v>0.00295289351851852</v>
      </c>
      <c r="I1363" s="12" t="n">
        <v>1248</v>
      </c>
      <c r="J1363" s="14"/>
      <c r="K1363" s="14"/>
      <c r="L1363" s="14"/>
      <c r="M1363" s="13"/>
    </row>
    <row r="1364" customFormat="false" ht="15" hidden="false" customHeight="false" outlineLevel="0" collapsed="false">
      <c r="A1364" s="6" t="n">
        <v>1360</v>
      </c>
      <c r="B1364" s="8" t="s">
        <v>2135</v>
      </c>
      <c r="C1364" s="8" t="s">
        <v>2136</v>
      </c>
      <c r="D1364" s="9"/>
      <c r="E1364" s="10"/>
      <c r="F1364" s="11" t="n">
        <v>0.00688159722222222</v>
      </c>
      <c r="G1364" s="12" t="n">
        <v>224</v>
      </c>
      <c r="H1364" s="11" t="n">
        <v>0.00295532407407407</v>
      </c>
      <c r="I1364" s="12" t="n">
        <v>1254</v>
      </c>
      <c r="J1364" s="14"/>
      <c r="K1364" s="14"/>
      <c r="L1364" s="14"/>
      <c r="M1364" s="13"/>
    </row>
    <row r="1365" customFormat="false" ht="15" hidden="false" customHeight="false" outlineLevel="0" collapsed="false">
      <c r="A1365" s="6" t="n">
        <v>1361</v>
      </c>
      <c r="B1365" s="8" t="s">
        <v>2137</v>
      </c>
      <c r="C1365" s="8" t="s">
        <v>1222</v>
      </c>
      <c r="D1365" s="9"/>
      <c r="E1365" s="10"/>
      <c r="F1365" s="11"/>
      <c r="G1365" s="12"/>
      <c r="H1365" s="11" t="n">
        <v>0.00278645833333333</v>
      </c>
      <c r="I1365" s="12" t="n">
        <v>224</v>
      </c>
      <c r="J1365" s="14"/>
      <c r="K1365" s="14"/>
      <c r="L1365" s="14"/>
      <c r="M1365" s="13"/>
    </row>
    <row r="1366" customFormat="false" ht="15" hidden="false" customHeight="false" outlineLevel="0" collapsed="false">
      <c r="A1366" s="6" t="n">
        <v>1362</v>
      </c>
      <c r="B1366" s="8" t="s">
        <v>2138</v>
      </c>
      <c r="C1366" s="8" t="s">
        <v>1042</v>
      </c>
      <c r="D1366" s="9"/>
      <c r="E1366" s="10"/>
      <c r="F1366" s="11" t="n">
        <v>0.00802141203703704</v>
      </c>
      <c r="G1366" s="12" t="n">
        <v>1195</v>
      </c>
      <c r="H1366" s="11" t="n">
        <v>0.00278668981481482</v>
      </c>
      <c r="I1366" s="12" t="n">
        <v>225</v>
      </c>
      <c r="J1366" s="14"/>
      <c r="K1366" s="14"/>
      <c r="L1366" s="14"/>
      <c r="M1366" s="13"/>
    </row>
    <row r="1367" customFormat="false" ht="15" hidden="false" customHeight="false" outlineLevel="0" collapsed="false">
      <c r="A1367" s="6" t="n">
        <v>1363</v>
      </c>
      <c r="B1367" s="8" t="s">
        <v>2139</v>
      </c>
      <c r="C1367" s="8" t="s">
        <v>683</v>
      </c>
      <c r="D1367" s="9"/>
      <c r="E1367" s="10"/>
      <c r="F1367" s="11" t="n">
        <v>0.00688541666666667</v>
      </c>
      <c r="G1367" s="12" t="n">
        <v>225</v>
      </c>
      <c r="H1367" s="11"/>
      <c r="I1367" s="12"/>
      <c r="J1367" s="14"/>
      <c r="K1367" s="14"/>
      <c r="L1367" s="14"/>
      <c r="M1367" s="13"/>
    </row>
    <row r="1368" customFormat="false" ht="15" hidden="false" customHeight="false" outlineLevel="0" collapsed="false">
      <c r="A1368" s="6" t="n">
        <v>1364</v>
      </c>
      <c r="B1368" s="8" t="s">
        <v>2140</v>
      </c>
      <c r="C1368" s="8" t="s">
        <v>2141</v>
      </c>
      <c r="D1368" s="9"/>
      <c r="E1368" s="10"/>
      <c r="F1368" s="11"/>
      <c r="G1368" s="12"/>
      <c r="H1368" s="11" t="n">
        <v>0.00278668981481482</v>
      </c>
      <c r="I1368" s="12" t="n">
        <v>226</v>
      </c>
      <c r="J1368" s="14"/>
      <c r="K1368" s="14"/>
      <c r="L1368" s="14"/>
      <c r="M1368" s="13"/>
    </row>
    <row r="1369" customFormat="false" ht="15" hidden="false" customHeight="false" outlineLevel="0" collapsed="false">
      <c r="A1369" s="6" t="n">
        <v>1365</v>
      </c>
      <c r="B1369" s="8" t="s">
        <v>2142</v>
      </c>
      <c r="C1369" s="8" t="s">
        <v>2143</v>
      </c>
      <c r="D1369" s="9"/>
      <c r="E1369" s="10"/>
      <c r="F1369" s="11" t="n">
        <v>0.006915625</v>
      </c>
      <c r="G1369" s="12" t="n">
        <v>251</v>
      </c>
      <c r="H1369" s="11" t="n">
        <v>0.00278680555555556</v>
      </c>
      <c r="I1369" s="12" t="n">
        <v>228</v>
      </c>
      <c r="J1369" s="14"/>
      <c r="K1369" s="14"/>
      <c r="L1369" s="14"/>
      <c r="M1369" s="13"/>
    </row>
    <row r="1370" customFormat="false" ht="15" hidden="false" customHeight="false" outlineLevel="0" collapsed="false">
      <c r="A1370" s="6" t="n">
        <v>1366</v>
      </c>
      <c r="B1370" s="8" t="s">
        <v>2144</v>
      </c>
      <c r="C1370" s="8" t="s">
        <v>1185</v>
      </c>
      <c r="D1370" s="9"/>
      <c r="E1370" s="10"/>
      <c r="F1370" s="11" t="n">
        <v>0.00688715277777778</v>
      </c>
      <c r="G1370" s="12" t="n">
        <v>228</v>
      </c>
      <c r="H1370" s="11"/>
      <c r="I1370" s="12"/>
      <c r="J1370" s="14"/>
      <c r="K1370" s="14"/>
      <c r="L1370" s="14"/>
      <c r="M1370" s="13"/>
    </row>
    <row r="1371" customFormat="false" ht="15" hidden="false" customHeight="false" outlineLevel="0" collapsed="false">
      <c r="A1371" s="6" t="n">
        <v>1367</v>
      </c>
      <c r="B1371" s="8" t="s">
        <v>2145</v>
      </c>
      <c r="C1371" s="8" t="s">
        <v>2146</v>
      </c>
      <c r="D1371" s="9"/>
      <c r="E1371" s="10"/>
      <c r="F1371" s="11" t="n">
        <v>0.00689131944444444</v>
      </c>
      <c r="G1371" s="12" t="n">
        <v>231</v>
      </c>
      <c r="H1371" s="11" t="n">
        <v>0.00291990740740741</v>
      </c>
      <c r="I1371" s="12" t="n">
        <v>1095</v>
      </c>
      <c r="J1371" s="14"/>
      <c r="K1371" s="14"/>
      <c r="L1371" s="14"/>
      <c r="M1371" s="13"/>
    </row>
    <row r="1372" customFormat="false" ht="15" hidden="false" customHeight="false" outlineLevel="0" collapsed="false">
      <c r="A1372" s="6" t="n">
        <v>1368</v>
      </c>
      <c r="B1372" s="8" t="s">
        <v>2147</v>
      </c>
      <c r="C1372" s="8" t="s">
        <v>363</v>
      </c>
      <c r="D1372" s="9"/>
      <c r="E1372" s="10"/>
      <c r="F1372" s="11" t="n">
        <v>0.00689178240740741</v>
      </c>
      <c r="G1372" s="12" t="n">
        <v>232</v>
      </c>
      <c r="H1372" s="11"/>
      <c r="I1372" s="12"/>
      <c r="J1372" s="14"/>
      <c r="K1372" s="14"/>
      <c r="L1372" s="14"/>
      <c r="M1372" s="13"/>
    </row>
    <row r="1373" customFormat="false" ht="15" hidden="false" customHeight="false" outlineLevel="0" collapsed="false">
      <c r="A1373" s="6" t="n">
        <v>1369</v>
      </c>
      <c r="B1373" s="8" t="s">
        <v>2148</v>
      </c>
      <c r="C1373" s="8" t="s">
        <v>730</v>
      </c>
      <c r="D1373" s="9"/>
      <c r="E1373" s="10"/>
      <c r="F1373" s="11" t="n">
        <v>0.00689236111111111</v>
      </c>
      <c r="G1373" s="12" t="n">
        <v>233</v>
      </c>
      <c r="H1373" s="11" t="n">
        <v>0.0029693287037037</v>
      </c>
      <c r="I1373" s="12" t="n">
        <v>1307</v>
      </c>
      <c r="J1373" s="14"/>
      <c r="K1373" s="14"/>
      <c r="L1373" s="14"/>
      <c r="M1373" s="13"/>
    </row>
    <row r="1374" customFormat="false" ht="15" hidden="false" customHeight="false" outlineLevel="0" collapsed="false">
      <c r="A1374" s="6" t="n">
        <v>1370</v>
      </c>
      <c r="B1374" s="8" t="s">
        <v>2149</v>
      </c>
      <c r="C1374" s="8" t="s">
        <v>730</v>
      </c>
      <c r="D1374" s="9"/>
      <c r="E1374" s="10"/>
      <c r="F1374" s="11" t="n">
        <v>0.00695833333333333</v>
      </c>
      <c r="G1374" s="12" t="n">
        <v>291</v>
      </c>
      <c r="H1374" s="11" t="n">
        <v>0.00278819444444445</v>
      </c>
      <c r="I1374" s="12" t="n">
        <v>234</v>
      </c>
      <c r="J1374" s="14" t="s">
        <v>324</v>
      </c>
      <c r="K1374" s="14"/>
      <c r="L1374" s="14"/>
      <c r="M1374" s="13"/>
    </row>
    <row r="1375" customFormat="false" ht="15" hidden="false" customHeight="false" outlineLevel="0" collapsed="false">
      <c r="A1375" s="6" t="n">
        <v>1371</v>
      </c>
      <c r="B1375" s="8" t="s">
        <v>2150</v>
      </c>
      <c r="C1375" s="8" t="s">
        <v>1353</v>
      </c>
      <c r="D1375" s="9"/>
      <c r="E1375" s="10"/>
      <c r="F1375" s="11"/>
      <c r="G1375" s="12"/>
      <c r="H1375" s="11" t="n">
        <v>0.00278842592592593</v>
      </c>
      <c r="I1375" s="12" t="n">
        <v>235</v>
      </c>
      <c r="J1375" s="14"/>
      <c r="K1375" s="14"/>
      <c r="L1375" s="14"/>
      <c r="M1375" s="13"/>
    </row>
    <row r="1376" customFormat="false" ht="15" hidden="false" customHeight="false" outlineLevel="0" collapsed="false">
      <c r="A1376" s="6" t="n">
        <v>1372</v>
      </c>
      <c r="B1376" s="8" t="s">
        <v>2151</v>
      </c>
      <c r="C1376" s="8" t="s">
        <v>306</v>
      </c>
      <c r="D1376" s="9"/>
      <c r="E1376" s="10"/>
      <c r="F1376" s="11" t="n">
        <v>0.00689525462962963</v>
      </c>
      <c r="G1376" s="12" t="n">
        <v>237</v>
      </c>
      <c r="H1376" s="11"/>
      <c r="I1376" s="12"/>
      <c r="J1376" s="14" t="s">
        <v>1330</v>
      </c>
      <c r="K1376" s="14"/>
      <c r="L1376" s="14"/>
      <c r="M1376" s="13"/>
    </row>
    <row r="1377" customFormat="false" ht="15" hidden="false" customHeight="false" outlineLevel="0" collapsed="false">
      <c r="A1377" s="6" t="n">
        <v>1373</v>
      </c>
      <c r="B1377" s="8" t="s">
        <v>2152</v>
      </c>
      <c r="C1377" s="8" t="s">
        <v>2153</v>
      </c>
      <c r="D1377" s="9"/>
      <c r="E1377" s="10"/>
      <c r="F1377" s="11" t="n">
        <v>0.00689710648148148</v>
      </c>
      <c r="G1377" s="12" t="n">
        <v>238</v>
      </c>
      <c r="H1377" s="11" t="n">
        <v>0.00291215277777778</v>
      </c>
      <c r="I1377" s="12" t="n">
        <v>1038</v>
      </c>
      <c r="J1377" s="14"/>
      <c r="K1377" s="14"/>
      <c r="L1377" s="14"/>
      <c r="M1377" s="13"/>
    </row>
    <row r="1378" customFormat="false" ht="15" hidden="false" customHeight="false" outlineLevel="0" collapsed="false">
      <c r="A1378" s="6" t="n">
        <v>1374</v>
      </c>
      <c r="B1378" s="8" t="s">
        <v>2154</v>
      </c>
      <c r="C1378" s="8" t="s">
        <v>594</v>
      </c>
      <c r="D1378" s="9"/>
      <c r="E1378" s="10"/>
      <c r="F1378" s="11"/>
      <c r="G1378" s="12"/>
      <c r="H1378" s="11" t="n">
        <v>0.00278923611111111</v>
      </c>
      <c r="I1378" s="12" t="n">
        <v>238</v>
      </c>
      <c r="J1378" s="14"/>
      <c r="K1378" s="14"/>
      <c r="L1378" s="14"/>
      <c r="M1378" s="13"/>
    </row>
    <row r="1379" customFormat="false" ht="15" hidden="false" customHeight="false" outlineLevel="0" collapsed="false">
      <c r="A1379" s="6" t="n">
        <v>1375</v>
      </c>
      <c r="B1379" s="8" t="s">
        <v>2155</v>
      </c>
      <c r="C1379" s="8" t="s">
        <v>515</v>
      </c>
      <c r="D1379" s="9"/>
      <c r="E1379" s="10"/>
      <c r="F1379" s="11"/>
      <c r="G1379" s="12"/>
      <c r="H1379" s="11" t="n">
        <v>0.00279027777777778</v>
      </c>
      <c r="I1379" s="12" t="n">
        <v>240</v>
      </c>
      <c r="J1379" s="14"/>
      <c r="K1379" s="14"/>
      <c r="L1379" s="14"/>
      <c r="M1379" s="13"/>
    </row>
    <row r="1380" customFormat="false" ht="15" hidden="false" customHeight="false" outlineLevel="0" collapsed="false">
      <c r="A1380" s="6" t="n">
        <v>1376</v>
      </c>
      <c r="B1380" s="8" t="s">
        <v>2156</v>
      </c>
      <c r="C1380" s="8" t="s">
        <v>382</v>
      </c>
      <c r="D1380" s="9"/>
      <c r="E1380" s="10"/>
      <c r="F1380" s="11" t="n">
        <v>0.00690069444444445</v>
      </c>
      <c r="G1380" s="12" t="n">
        <v>242</v>
      </c>
      <c r="H1380" s="11"/>
      <c r="I1380" s="12"/>
      <c r="J1380" s="14" t="s">
        <v>2157</v>
      </c>
      <c r="K1380" s="14"/>
      <c r="L1380" s="14"/>
      <c r="M1380" s="13"/>
    </row>
    <row r="1381" customFormat="false" ht="15" hidden="false" customHeight="false" outlineLevel="0" collapsed="false">
      <c r="A1381" s="6" t="n">
        <v>1377</v>
      </c>
      <c r="B1381" s="8" t="s">
        <v>2158</v>
      </c>
      <c r="C1381" s="8" t="s">
        <v>188</v>
      </c>
      <c r="D1381" s="9"/>
      <c r="E1381" s="10"/>
      <c r="F1381" s="11"/>
      <c r="G1381" s="12"/>
      <c r="H1381" s="11" t="n">
        <v>0.00279039351851852</v>
      </c>
      <c r="I1381" s="12" t="n">
        <v>242</v>
      </c>
      <c r="J1381" s="14"/>
      <c r="K1381" s="14"/>
      <c r="L1381" s="14"/>
      <c r="M1381" s="13"/>
    </row>
    <row r="1382" customFormat="false" ht="15" hidden="false" customHeight="false" outlineLevel="0" collapsed="false">
      <c r="A1382" s="6" t="n">
        <v>1378</v>
      </c>
      <c r="B1382" s="8" t="s">
        <v>2159</v>
      </c>
      <c r="C1382" s="8" t="s">
        <v>2160</v>
      </c>
      <c r="D1382" s="9"/>
      <c r="E1382" s="10"/>
      <c r="F1382" s="11" t="n">
        <v>0.00690162037037037</v>
      </c>
      <c r="G1382" s="12" t="n">
        <v>243</v>
      </c>
      <c r="H1382" s="11"/>
      <c r="I1382" s="12"/>
      <c r="J1382" s="14"/>
      <c r="K1382" s="14"/>
      <c r="L1382" s="14"/>
      <c r="M1382" s="13"/>
    </row>
    <row r="1383" customFormat="false" ht="15" hidden="false" customHeight="false" outlineLevel="0" collapsed="false">
      <c r="A1383" s="6" t="n">
        <v>1379</v>
      </c>
      <c r="B1383" s="8" t="s">
        <v>2161</v>
      </c>
      <c r="C1383" s="8" t="s">
        <v>76</v>
      </c>
      <c r="D1383" s="9"/>
      <c r="E1383" s="10"/>
      <c r="F1383" s="11"/>
      <c r="G1383" s="12"/>
      <c r="H1383" s="11" t="n">
        <v>0.0027912037037037</v>
      </c>
      <c r="I1383" s="12" t="n">
        <v>245</v>
      </c>
      <c r="J1383" s="14"/>
      <c r="K1383" s="14"/>
      <c r="L1383" s="14"/>
      <c r="M1383" s="13"/>
    </row>
    <row r="1384" customFormat="false" ht="15" hidden="false" customHeight="false" outlineLevel="0" collapsed="false">
      <c r="A1384" s="6" t="n">
        <v>1380</v>
      </c>
      <c r="B1384" s="8" t="s">
        <v>2162</v>
      </c>
      <c r="C1384" s="8" t="s">
        <v>2109</v>
      </c>
      <c r="D1384" s="9"/>
      <c r="E1384" s="10"/>
      <c r="F1384" s="11" t="n">
        <v>0.00690555555555556</v>
      </c>
      <c r="G1384" s="12" t="n">
        <v>246</v>
      </c>
      <c r="H1384" s="11"/>
      <c r="I1384" s="12"/>
      <c r="J1384" s="14"/>
      <c r="K1384" s="14"/>
      <c r="L1384" s="14"/>
      <c r="M1384" s="13"/>
    </row>
    <row r="1385" customFormat="false" ht="15" hidden="false" customHeight="false" outlineLevel="0" collapsed="false">
      <c r="A1385" s="6" t="n">
        <v>1381</v>
      </c>
      <c r="B1385" s="8" t="s">
        <v>2163</v>
      </c>
      <c r="C1385" s="8" t="s">
        <v>2164</v>
      </c>
      <c r="D1385" s="9"/>
      <c r="E1385" s="10"/>
      <c r="F1385" s="11" t="n">
        <v>0.00690659722222222</v>
      </c>
      <c r="G1385" s="12" t="n">
        <v>249</v>
      </c>
      <c r="H1385" s="11" t="n">
        <v>0.00287303240740741</v>
      </c>
      <c r="I1385" s="12" t="n">
        <v>721</v>
      </c>
      <c r="J1385" s="14"/>
      <c r="K1385" s="14"/>
      <c r="L1385" s="14"/>
      <c r="M1385" s="13"/>
    </row>
    <row r="1386" customFormat="false" ht="15" hidden="false" customHeight="false" outlineLevel="0" collapsed="false">
      <c r="A1386" s="6" t="n">
        <v>1382</v>
      </c>
      <c r="B1386" s="8" t="s">
        <v>2165</v>
      </c>
      <c r="C1386" s="8" t="s">
        <v>2166</v>
      </c>
      <c r="D1386" s="9"/>
      <c r="E1386" s="10"/>
      <c r="F1386" s="11" t="n">
        <v>0.00691018518518519</v>
      </c>
      <c r="G1386" s="12" t="n">
        <v>250</v>
      </c>
      <c r="H1386" s="11"/>
      <c r="I1386" s="12"/>
      <c r="J1386" s="14"/>
      <c r="K1386" s="14"/>
      <c r="L1386" s="14"/>
      <c r="M1386" s="13"/>
    </row>
    <row r="1387" customFormat="false" ht="15" hidden="false" customHeight="false" outlineLevel="0" collapsed="false">
      <c r="A1387" s="6" t="n">
        <v>1383</v>
      </c>
      <c r="B1387" s="8" t="s">
        <v>2167</v>
      </c>
      <c r="C1387" s="8" t="s">
        <v>2168</v>
      </c>
      <c r="D1387" s="9"/>
      <c r="E1387" s="10"/>
      <c r="F1387" s="11" t="n">
        <v>0.00691747685185185</v>
      </c>
      <c r="G1387" s="12" t="n">
        <v>253</v>
      </c>
      <c r="H1387" s="11" t="n">
        <v>0.00288518518518519</v>
      </c>
      <c r="I1387" s="12" t="n">
        <v>819</v>
      </c>
      <c r="J1387" s="14"/>
      <c r="K1387" s="14"/>
      <c r="L1387" s="14"/>
      <c r="M1387" s="13"/>
    </row>
    <row r="1388" customFormat="false" ht="15" hidden="false" customHeight="false" outlineLevel="0" collapsed="false">
      <c r="A1388" s="6" t="n">
        <v>1384</v>
      </c>
      <c r="B1388" s="8" t="s">
        <v>2169</v>
      </c>
      <c r="C1388" s="8" t="s">
        <v>735</v>
      </c>
      <c r="D1388" s="9"/>
      <c r="E1388" s="10"/>
      <c r="F1388" s="11"/>
      <c r="G1388" s="12"/>
      <c r="H1388" s="11" t="n">
        <v>0.00279409722222222</v>
      </c>
      <c r="I1388" s="12" t="n">
        <v>254</v>
      </c>
      <c r="J1388" s="14" t="s">
        <v>2170</v>
      </c>
      <c r="K1388" s="14"/>
      <c r="L1388" s="14"/>
      <c r="M1388" s="13"/>
    </row>
    <row r="1389" customFormat="false" ht="15" hidden="false" customHeight="false" outlineLevel="0" collapsed="false">
      <c r="A1389" s="6" t="n">
        <v>1385</v>
      </c>
      <c r="B1389" s="8" t="s">
        <v>2171</v>
      </c>
      <c r="C1389" s="8" t="s">
        <v>1087</v>
      </c>
      <c r="D1389" s="9"/>
      <c r="E1389" s="10"/>
      <c r="F1389" s="11" t="n">
        <v>0.0069193287037037</v>
      </c>
      <c r="G1389" s="12" t="n">
        <v>255</v>
      </c>
      <c r="H1389" s="11" t="n">
        <v>0.0028662037037037</v>
      </c>
      <c r="I1389" s="12" t="n">
        <v>671</v>
      </c>
      <c r="J1389" s="14"/>
      <c r="K1389" s="14"/>
      <c r="L1389" s="14"/>
      <c r="M1389" s="13"/>
    </row>
    <row r="1390" customFormat="false" ht="15" hidden="false" customHeight="false" outlineLevel="0" collapsed="false">
      <c r="A1390" s="6" t="n">
        <v>1386</v>
      </c>
      <c r="B1390" s="8" t="s">
        <v>2172</v>
      </c>
      <c r="C1390" s="8" t="s">
        <v>313</v>
      </c>
      <c r="D1390" s="9"/>
      <c r="E1390" s="10"/>
      <c r="F1390" s="11"/>
      <c r="G1390" s="12"/>
      <c r="H1390" s="11" t="n">
        <v>0.00279421296296296</v>
      </c>
      <c r="I1390" s="12" t="n">
        <v>255</v>
      </c>
      <c r="J1390" s="14"/>
      <c r="K1390" s="14"/>
      <c r="L1390" s="14"/>
      <c r="M1390" s="13"/>
    </row>
    <row r="1391" customFormat="false" ht="15" hidden="false" customHeight="false" outlineLevel="0" collapsed="false">
      <c r="A1391" s="6" t="n">
        <v>1387</v>
      </c>
      <c r="B1391" s="8" t="s">
        <v>2173</v>
      </c>
      <c r="C1391" s="8" t="s">
        <v>2174</v>
      </c>
      <c r="D1391" s="9"/>
      <c r="E1391" s="10"/>
      <c r="F1391" s="11" t="n">
        <v>0.00692048611111111</v>
      </c>
      <c r="G1391" s="12" t="n">
        <v>256</v>
      </c>
      <c r="H1391" s="11"/>
      <c r="I1391" s="12"/>
      <c r="J1391" s="14"/>
      <c r="K1391" s="14"/>
      <c r="L1391" s="14"/>
      <c r="M1391" s="13"/>
    </row>
    <row r="1392" customFormat="false" ht="15" hidden="false" customHeight="false" outlineLevel="0" collapsed="false">
      <c r="A1392" s="6" t="n">
        <v>1388</v>
      </c>
      <c r="B1392" s="8" t="s">
        <v>2175</v>
      </c>
      <c r="C1392" s="8" t="s">
        <v>207</v>
      </c>
      <c r="D1392" s="9"/>
      <c r="E1392" s="10"/>
      <c r="F1392" s="11"/>
      <c r="G1392" s="12"/>
      <c r="H1392" s="11" t="n">
        <v>0.0027943287037037</v>
      </c>
      <c r="I1392" s="12" t="n">
        <v>256</v>
      </c>
      <c r="J1392" s="14"/>
      <c r="K1392" s="14"/>
      <c r="L1392" s="14"/>
      <c r="M1392" s="13"/>
    </row>
    <row r="1393" customFormat="false" ht="15" hidden="false" customHeight="false" outlineLevel="0" collapsed="false">
      <c r="A1393" s="6" t="n">
        <v>1389</v>
      </c>
      <c r="B1393" s="8" t="s">
        <v>2176</v>
      </c>
      <c r="C1393" s="8" t="s">
        <v>2111</v>
      </c>
      <c r="D1393" s="9"/>
      <c r="E1393" s="10"/>
      <c r="F1393" s="11" t="n">
        <v>0.00692094907407407</v>
      </c>
      <c r="G1393" s="12" t="n">
        <v>258</v>
      </c>
      <c r="H1393" s="11"/>
      <c r="I1393" s="12"/>
      <c r="J1393" s="14"/>
      <c r="K1393" s="14"/>
      <c r="L1393" s="14"/>
      <c r="M1393" s="13"/>
    </row>
    <row r="1394" customFormat="false" ht="15" hidden="false" customHeight="false" outlineLevel="0" collapsed="false">
      <c r="A1394" s="6" t="n">
        <v>1390</v>
      </c>
      <c r="B1394" s="8" t="s">
        <v>2177</v>
      </c>
      <c r="C1394" s="8" t="s">
        <v>1099</v>
      </c>
      <c r="D1394" s="9"/>
      <c r="E1394" s="10"/>
      <c r="F1394" s="11"/>
      <c r="G1394" s="12"/>
      <c r="H1394" s="11" t="n">
        <v>0.00279525462962963</v>
      </c>
      <c r="I1394" s="12" t="n">
        <v>259</v>
      </c>
      <c r="J1394" s="14"/>
      <c r="K1394" s="14"/>
      <c r="L1394" s="14"/>
      <c r="M1394" s="13"/>
    </row>
    <row r="1395" customFormat="false" ht="15" hidden="false" customHeight="false" outlineLevel="0" collapsed="false">
      <c r="A1395" s="6" t="n">
        <v>1391</v>
      </c>
      <c r="B1395" s="8" t="s">
        <v>2178</v>
      </c>
      <c r="C1395" s="8" t="s">
        <v>2044</v>
      </c>
      <c r="D1395" s="9"/>
      <c r="E1395" s="10"/>
      <c r="F1395" s="11" t="n">
        <v>0.00692233796296296</v>
      </c>
      <c r="G1395" s="12" t="n">
        <v>260</v>
      </c>
      <c r="H1395" s="11"/>
      <c r="I1395" s="12"/>
      <c r="J1395" s="14"/>
      <c r="K1395" s="14"/>
      <c r="L1395" s="14"/>
      <c r="M1395" s="13"/>
    </row>
    <row r="1396" customFormat="false" ht="15" hidden="false" customHeight="false" outlineLevel="0" collapsed="false">
      <c r="A1396" s="6" t="n">
        <v>1392</v>
      </c>
      <c r="B1396" s="8" t="s">
        <v>2179</v>
      </c>
      <c r="C1396" s="8" t="s">
        <v>2180</v>
      </c>
      <c r="D1396" s="9"/>
      <c r="E1396" s="10"/>
      <c r="F1396" s="11" t="n">
        <v>0.00692268518518519</v>
      </c>
      <c r="G1396" s="12" t="n">
        <v>261</v>
      </c>
      <c r="H1396" s="11" t="n">
        <v>0.00291805555555556</v>
      </c>
      <c r="I1396" s="12" t="n">
        <v>1076</v>
      </c>
      <c r="J1396" s="14"/>
      <c r="K1396" s="14"/>
      <c r="L1396" s="14"/>
      <c r="M1396" s="13"/>
    </row>
    <row r="1397" customFormat="false" ht="15" hidden="false" customHeight="false" outlineLevel="0" collapsed="false">
      <c r="A1397" s="6" t="n">
        <v>1393</v>
      </c>
      <c r="B1397" s="8" t="s">
        <v>2181</v>
      </c>
      <c r="C1397" s="8" t="s">
        <v>1339</v>
      </c>
      <c r="D1397" s="9"/>
      <c r="E1397" s="10"/>
      <c r="F1397" s="11" t="n">
        <v>0.00692280092592593</v>
      </c>
      <c r="G1397" s="12" t="n">
        <v>262</v>
      </c>
      <c r="H1397" s="11"/>
      <c r="I1397" s="12"/>
      <c r="J1397" s="14"/>
      <c r="K1397" s="14"/>
      <c r="L1397" s="14"/>
      <c r="M1397" s="13"/>
    </row>
    <row r="1398" customFormat="false" ht="15" hidden="false" customHeight="false" outlineLevel="0" collapsed="false">
      <c r="A1398" s="6" t="n">
        <v>1394</v>
      </c>
      <c r="B1398" s="8" t="s">
        <v>2182</v>
      </c>
      <c r="C1398" s="8" t="s">
        <v>1684</v>
      </c>
      <c r="D1398" s="9"/>
      <c r="E1398" s="10"/>
      <c r="F1398" s="11" t="n">
        <v>0.00692361111111111</v>
      </c>
      <c r="G1398" s="12" t="n">
        <v>263</v>
      </c>
      <c r="H1398" s="11"/>
      <c r="I1398" s="12"/>
      <c r="J1398" s="14"/>
      <c r="K1398" s="14"/>
      <c r="L1398" s="14"/>
      <c r="M1398" s="13"/>
    </row>
    <row r="1399" customFormat="false" ht="15" hidden="false" customHeight="false" outlineLevel="0" collapsed="false">
      <c r="A1399" s="6" t="n">
        <v>1395</v>
      </c>
      <c r="B1399" s="8" t="s">
        <v>2183</v>
      </c>
      <c r="C1399" s="8" t="s">
        <v>2184</v>
      </c>
      <c r="D1399" s="9"/>
      <c r="E1399" s="10"/>
      <c r="F1399" s="11" t="n">
        <v>0.00692488425925926</v>
      </c>
      <c r="G1399" s="12" t="n">
        <v>264</v>
      </c>
      <c r="H1399" s="11"/>
      <c r="I1399" s="12"/>
      <c r="J1399" s="14"/>
      <c r="K1399" s="14"/>
      <c r="L1399" s="14"/>
      <c r="M1399" s="13"/>
    </row>
    <row r="1400" customFormat="false" ht="15" hidden="false" customHeight="false" outlineLevel="0" collapsed="false">
      <c r="A1400" s="6" t="n">
        <v>1396</v>
      </c>
      <c r="B1400" s="8" t="s">
        <v>2185</v>
      </c>
      <c r="C1400" s="8" t="s">
        <v>2186</v>
      </c>
      <c r="D1400" s="9"/>
      <c r="E1400" s="10"/>
      <c r="F1400" s="11" t="n">
        <v>0.00692604166666667</v>
      </c>
      <c r="G1400" s="12" t="n">
        <v>265</v>
      </c>
      <c r="H1400" s="11"/>
      <c r="I1400" s="12"/>
      <c r="J1400" s="14"/>
      <c r="K1400" s="14"/>
      <c r="L1400" s="14"/>
      <c r="M1400" s="13"/>
    </row>
    <row r="1401" customFormat="false" ht="15" hidden="false" customHeight="false" outlineLevel="0" collapsed="false">
      <c r="A1401" s="6" t="n">
        <v>1397</v>
      </c>
      <c r="B1401" s="8" t="s">
        <v>2187</v>
      </c>
      <c r="C1401" s="8" t="s">
        <v>2188</v>
      </c>
      <c r="D1401" s="9"/>
      <c r="E1401" s="10"/>
      <c r="F1401" s="11"/>
      <c r="G1401" s="12"/>
      <c r="H1401" s="11" t="n">
        <v>0.00279606481481482</v>
      </c>
      <c r="I1401" s="12" t="n">
        <v>265</v>
      </c>
      <c r="J1401" s="14"/>
      <c r="K1401" s="14"/>
      <c r="L1401" s="14"/>
      <c r="M1401" s="13"/>
    </row>
    <row r="1402" customFormat="false" ht="15" hidden="false" customHeight="false" outlineLevel="0" collapsed="false">
      <c r="A1402" s="6" t="n">
        <v>1398</v>
      </c>
      <c r="B1402" s="8" t="s">
        <v>2189</v>
      </c>
      <c r="C1402" s="8" t="s">
        <v>192</v>
      </c>
      <c r="D1402" s="9"/>
      <c r="E1402" s="10"/>
      <c r="F1402" s="11" t="n">
        <v>0.0069275462962963</v>
      </c>
      <c r="G1402" s="12" t="n">
        <v>268</v>
      </c>
      <c r="H1402" s="11"/>
      <c r="I1402" s="12"/>
      <c r="J1402" s="14"/>
      <c r="K1402" s="14"/>
      <c r="L1402" s="14"/>
      <c r="M1402" s="13"/>
    </row>
    <row r="1403" customFormat="false" ht="15" hidden="false" customHeight="false" outlineLevel="0" collapsed="false">
      <c r="A1403" s="6" t="n">
        <v>1399</v>
      </c>
      <c r="B1403" s="8" t="s">
        <v>2190</v>
      </c>
      <c r="C1403" s="8" t="s">
        <v>910</v>
      </c>
      <c r="D1403" s="9"/>
      <c r="E1403" s="10"/>
      <c r="F1403" s="11" t="n">
        <v>0.0069287037037037</v>
      </c>
      <c r="G1403" s="12" t="n">
        <v>269</v>
      </c>
      <c r="H1403" s="11"/>
      <c r="I1403" s="12"/>
      <c r="J1403" s="14"/>
      <c r="K1403" s="14"/>
      <c r="L1403" s="14"/>
      <c r="M1403" s="13"/>
    </row>
    <row r="1404" customFormat="false" ht="15" hidden="false" customHeight="false" outlineLevel="0" collapsed="false">
      <c r="A1404" s="6" t="n">
        <v>1400</v>
      </c>
      <c r="B1404" s="8" t="s">
        <v>2191</v>
      </c>
      <c r="C1404" s="8" t="s">
        <v>1825</v>
      </c>
      <c r="D1404" s="9"/>
      <c r="E1404" s="10"/>
      <c r="F1404" s="11" t="n">
        <v>0.00692916666666667</v>
      </c>
      <c r="G1404" s="12" t="n">
        <v>270</v>
      </c>
      <c r="H1404" s="11"/>
      <c r="I1404" s="12"/>
      <c r="J1404" s="14"/>
      <c r="K1404" s="14"/>
      <c r="L1404" s="14"/>
      <c r="M1404" s="13"/>
    </row>
    <row r="1405" customFormat="false" ht="15" hidden="false" customHeight="false" outlineLevel="0" collapsed="false">
      <c r="A1405" s="6" t="n">
        <v>1401</v>
      </c>
      <c r="B1405" s="8" t="s">
        <v>2192</v>
      </c>
      <c r="C1405" s="8" t="s">
        <v>2193</v>
      </c>
      <c r="D1405" s="9"/>
      <c r="E1405" s="10"/>
      <c r="F1405" s="11"/>
      <c r="G1405" s="12"/>
      <c r="H1405" s="11" t="n">
        <v>0.0027974537037037</v>
      </c>
      <c r="I1405" s="12" t="n">
        <v>271</v>
      </c>
      <c r="J1405" s="14"/>
      <c r="K1405" s="14"/>
      <c r="L1405" s="14"/>
      <c r="M1405" s="13"/>
    </row>
    <row r="1406" customFormat="false" ht="15" hidden="false" customHeight="false" outlineLevel="0" collapsed="false">
      <c r="A1406" s="6" t="n">
        <v>1402</v>
      </c>
      <c r="B1406" s="8" t="s">
        <v>2194</v>
      </c>
      <c r="C1406" s="8" t="s">
        <v>2195</v>
      </c>
      <c r="D1406" s="9"/>
      <c r="E1406" s="10"/>
      <c r="F1406" s="11" t="n">
        <v>0.00692986111111111</v>
      </c>
      <c r="G1406" s="12" t="n">
        <v>272</v>
      </c>
      <c r="H1406" s="11"/>
      <c r="I1406" s="12"/>
      <c r="J1406" s="14"/>
      <c r="K1406" s="14"/>
      <c r="L1406" s="14"/>
      <c r="M1406" s="13"/>
    </row>
    <row r="1407" customFormat="false" ht="15" hidden="false" customHeight="false" outlineLevel="0" collapsed="false">
      <c r="A1407" s="6" t="n">
        <v>1403</v>
      </c>
      <c r="B1407" s="8" t="s">
        <v>2196</v>
      </c>
      <c r="C1407" s="8" t="s">
        <v>982</v>
      </c>
      <c r="D1407" s="9"/>
      <c r="E1407" s="10"/>
      <c r="F1407" s="11" t="n">
        <v>0.00693159722222222</v>
      </c>
      <c r="G1407" s="12" t="n">
        <v>275</v>
      </c>
      <c r="H1407" s="11"/>
      <c r="I1407" s="12"/>
      <c r="J1407" s="14"/>
      <c r="K1407" s="14"/>
      <c r="L1407" s="14"/>
      <c r="M1407" s="13"/>
    </row>
    <row r="1408" customFormat="false" ht="15" hidden="false" customHeight="false" outlineLevel="0" collapsed="false">
      <c r="A1408" s="6" t="n">
        <v>1404</v>
      </c>
      <c r="B1408" s="8" t="s">
        <v>2197</v>
      </c>
      <c r="C1408" s="8" t="s">
        <v>1114</v>
      </c>
      <c r="D1408" s="9"/>
      <c r="E1408" s="10"/>
      <c r="F1408" s="11" t="n">
        <v>0.00693333333333333</v>
      </c>
      <c r="G1408" s="12" t="n">
        <v>276</v>
      </c>
      <c r="H1408" s="11"/>
      <c r="I1408" s="12"/>
      <c r="J1408" s="14"/>
      <c r="K1408" s="14"/>
      <c r="L1408" s="14"/>
      <c r="M1408" s="13"/>
    </row>
    <row r="1409" customFormat="false" ht="15" hidden="false" customHeight="false" outlineLevel="0" collapsed="false">
      <c r="A1409" s="6" t="n">
        <v>1405</v>
      </c>
      <c r="B1409" s="8" t="s">
        <v>2198</v>
      </c>
      <c r="C1409" s="8" t="s">
        <v>2199</v>
      </c>
      <c r="D1409" s="9"/>
      <c r="E1409" s="10"/>
      <c r="F1409" s="11" t="n">
        <v>0.00693425925925926</v>
      </c>
      <c r="G1409" s="12" t="n">
        <v>277</v>
      </c>
      <c r="H1409" s="11"/>
      <c r="I1409" s="12"/>
      <c r="J1409" s="14"/>
      <c r="K1409" s="14"/>
      <c r="L1409" s="14"/>
      <c r="M1409" s="13"/>
    </row>
    <row r="1410" customFormat="false" ht="15" hidden="false" customHeight="false" outlineLevel="0" collapsed="false">
      <c r="A1410" s="6" t="n">
        <v>1406</v>
      </c>
      <c r="B1410" s="8" t="s">
        <v>2200</v>
      </c>
      <c r="C1410" s="8" t="s">
        <v>390</v>
      </c>
      <c r="D1410" s="9"/>
      <c r="E1410" s="10"/>
      <c r="F1410" s="11" t="n">
        <v>0.00693668981481482</v>
      </c>
      <c r="G1410" s="12" t="n">
        <v>279</v>
      </c>
      <c r="H1410" s="11"/>
      <c r="I1410" s="12"/>
      <c r="J1410" s="14"/>
      <c r="K1410" s="14"/>
      <c r="L1410" s="14"/>
      <c r="M1410" s="13"/>
    </row>
    <row r="1411" customFormat="false" ht="15" hidden="false" customHeight="false" outlineLevel="0" collapsed="false">
      <c r="A1411" s="6" t="n">
        <v>1407</v>
      </c>
      <c r="B1411" s="8" t="s">
        <v>2201</v>
      </c>
      <c r="C1411" s="8" t="s">
        <v>1462</v>
      </c>
      <c r="D1411" s="9"/>
      <c r="E1411" s="10"/>
      <c r="F1411" s="11"/>
      <c r="G1411" s="12"/>
      <c r="H1411" s="11" t="n">
        <v>0.0027994212962963</v>
      </c>
      <c r="I1411" s="12" t="n">
        <v>280</v>
      </c>
      <c r="J1411" s="14"/>
      <c r="K1411" s="14"/>
      <c r="L1411" s="14"/>
      <c r="M1411" s="13"/>
    </row>
    <row r="1412" customFormat="false" ht="15" hidden="false" customHeight="false" outlineLevel="0" collapsed="false">
      <c r="A1412" s="6" t="n">
        <v>1408</v>
      </c>
      <c r="B1412" s="8" t="s">
        <v>2202</v>
      </c>
      <c r="C1412" s="8" t="s">
        <v>73</v>
      </c>
      <c r="D1412" s="9"/>
      <c r="E1412" s="10"/>
      <c r="F1412" s="11" t="n">
        <v>0.00693865740740741</v>
      </c>
      <c r="G1412" s="12" t="n">
        <v>281</v>
      </c>
      <c r="H1412" s="11" t="n">
        <v>0.00288761574074074</v>
      </c>
      <c r="I1412" s="12" t="n">
        <v>840</v>
      </c>
      <c r="J1412" s="14"/>
      <c r="K1412" s="14"/>
      <c r="L1412" s="14"/>
      <c r="M1412" s="13"/>
    </row>
    <row r="1413" customFormat="false" ht="15" hidden="false" customHeight="false" outlineLevel="0" collapsed="false">
      <c r="A1413" s="6" t="n">
        <v>1409</v>
      </c>
      <c r="B1413" s="8" t="s">
        <v>2203</v>
      </c>
      <c r="C1413" s="8" t="s">
        <v>2204</v>
      </c>
      <c r="D1413" s="9"/>
      <c r="E1413" s="10"/>
      <c r="F1413" s="11" t="n">
        <v>0.00693888888888889</v>
      </c>
      <c r="G1413" s="12" t="n">
        <v>282</v>
      </c>
      <c r="H1413" s="11" t="n">
        <v>0.00292488425925926</v>
      </c>
      <c r="I1413" s="12" t="n">
        <v>1146</v>
      </c>
      <c r="J1413" s="14"/>
      <c r="K1413" s="14"/>
      <c r="L1413" s="14"/>
      <c r="M1413" s="13"/>
    </row>
    <row r="1414" customFormat="false" ht="15" hidden="false" customHeight="false" outlineLevel="0" collapsed="false">
      <c r="A1414" s="6" t="n">
        <v>1410</v>
      </c>
      <c r="B1414" s="8" t="s">
        <v>2205</v>
      </c>
      <c r="C1414" s="8" t="s">
        <v>2206</v>
      </c>
      <c r="D1414" s="9"/>
      <c r="E1414" s="10"/>
      <c r="F1414" s="11" t="n">
        <v>0.00694189814814815</v>
      </c>
      <c r="G1414" s="12" t="n">
        <v>283</v>
      </c>
      <c r="H1414" s="11"/>
      <c r="I1414" s="12"/>
      <c r="J1414" s="14"/>
      <c r="K1414" s="14"/>
      <c r="L1414" s="14"/>
      <c r="M1414" s="13"/>
    </row>
    <row r="1415" customFormat="false" ht="15" hidden="false" customHeight="false" outlineLevel="0" collapsed="false">
      <c r="A1415" s="6" t="n">
        <v>1411</v>
      </c>
      <c r="B1415" s="8" t="s">
        <v>2207</v>
      </c>
      <c r="C1415" s="8" t="s">
        <v>94</v>
      </c>
      <c r="D1415" s="9"/>
      <c r="E1415" s="10"/>
      <c r="F1415" s="11" t="n">
        <v>0.00694768518518519</v>
      </c>
      <c r="G1415" s="12" t="n">
        <v>284</v>
      </c>
      <c r="H1415" s="11"/>
      <c r="I1415" s="12"/>
      <c r="J1415" s="14"/>
      <c r="K1415" s="14"/>
      <c r="L1415" s="14"/>
      <c r="M1415" s="13"/>
    </row>
    <row r="1416" customFormat="false" ht="15" hidden="false" customHeight="false" outlineLevel="0" collapsed="false">
      <c r="A1416" s="6" t="n">
        <v>1412</v>
      </c>
      <c r="B1416" s="8" t="s">
        <v>2208</v>
      </c>
      <c r="C1416" s="8" t="s">
        <v>2209</v>
      </c>
      <c r="D1416" s="9"/>
      <c r="E1416" s="10"/>
      <c r="F1416" s="11" t="n">
        <v>0.00695127314814815</v>
      </c>
      <c r="G1416" s="12" t="n">
        <v>286</v>
      </c>
      <c r="H1416" s="11" t="n">
        <v>0.00286909722222222</v>
      </c>
      <c r="I1416" s="12" t="n">
        <v>688</v>
      </c>
      <c r="J1416" s="14"/>
      <c r="K1416" s="14"/>
      <c r="L1416" s="14"/>
      <c r="M1416" s="13"/>
    </row>
    <row r="1417" customFormat="false" ht="15" hidden="false" customHeight="false" outlineLevel="0" collapsed="false">
      <c r="A1417" s="6" t="n">
        <v>1413</v>
      </c>
      <c r="B1417" s="8" t="s">
        <v>2210</v>
      </c>
      <c r="C1417" s="8" t="s">
        <v>294</v>
      </c>
      <c r="D1417" s="9"/>
      <c r="E1417" s="10"/>
      <c r="F1417" s="11"/>
      <c r="G1417" s="12"/>
      <c r="H1417" s="11" t="n">
        <v>0.0028005787037037</v>
      </c>
      <c r="I1417" s="12" t="n">
        <v>286</v>
      </c>
      <c r="J1417" s="14"/>
      <c r="K1417" s="14"/>
      <c r="L1417" s="14"/>
      <c r="M1417" s="13"/>
    </row>
    <row r="1418" customFormat="false" ht="15" hidden="false" customHeight="false" outlineLevel="0" collapsed="false">
      <c r="A1418" s="6" t="n">
        <v>1414</v>
      </c>
      <c r="B1418" s="8" t="s">
        <v>2211</v>
      </c>
      <c r="C1418" s="8" t="s">
        <v>2212</v>
      </c>
      <c r="D1418" s="9"/>
      <c r="E1418" s="10"/>
      <c r="F1418" s="11" t="n">
        <v>0.00695752314814815</v>
      </c>
      <c r="G1418" s="12" t="n">
        <v>290</v>
      </c>
      <c r="H1418" s="11" t="n">
        <v>0.00296608796296296</v>
      </c>
      <c r="I1418" s="12" t="n">
        <v>1295</v>
      </c>
      <c r="J1418" s="14"/>
      <c r="K1418" s="14"/>
      <c r="L1418" s="14"/>
      <c r="M1418" s="13"/>
    </row>
    <row r="1419" customFormat="false" ht="15" hidden="false" customHeight="false" outlineLevel="0" collapsed="false">
      <c r="A1419" s="6" t="n">
        <v>1415</v>
      </c>
      <c r="B1419" s="8" t="s">
        <v>2213</v>
      </c>
      <c r="C1419" s="8" t="s">
        <v>2214</v>
      </c>
      <c r="D1419" s="9"/>
      <c r="E1419" s="10"/>
      <c r="F1419" s="11" t="n">
        <v>0.00695972222222222</v>
      </c>
      <c r="G1419" s="12" t="n">
        <v>292</v>
      </c>
      <c r="H1419" s="11"/>
      <c r="I1419" s="12"/>
      <c r="J1419" s="14" t="s">
        <v>1819</v>
      </c>
      <c r="K1419" s="14"/>
      <c r="L1419" s="14"/>
      <c r="M1419" s="13"/>
    </row>
    <row r="1420" customFormat="false" ht="15" hidden="false" customHeight="false" outlineLevel="0" collapsed="false">
      <c r="A1420" s="6" t="n">
        <v>1416</v>
      </c>
      <c r="B1420" s="8" t="s">
        <v>2215</v>
      </c>
      <c r="C1420" s="8" t="s">
        <v>625</v>
      </c>
      <c r="D1420" s="9"/>
      <c r="E1420" s="10"/>
      <c r="F1420" s="11"/>
      <c r="G1420" s="12"/>
      <c r="H1420" s="11" t="n">
        <v>0.00280243055555556</v>
      </c>
      <c r="I1420" s="12" t="n">
        <v>292</v>
      </c>
      <c r="J1420" s="14" t="s">
        <v>208</v>
      </c>
      <c r="K1420" s="14"/>
      <c r="L1420" s="14"/>
      <c r="M1420" s="13"/>
    </row>
    <row r="1421" customFormat="false" ht="15" hidden="false" customHeight="false" outlineLevel="0" collapsed="false">
      <c r="A1421" s="6" t="n">
        <v>1417</v>
      </c>
      <c r="B1421" s="8" t="s">
        <v>2216</v>
      </c>
      <c r="C1421" s="8" t="s">
        <v>866</v>
      </c>
      <c r="D1421" s="9"/>
      <c r="E1421" s="10"/>
      <c r="F1421" s="11" t="n">
        <v>0.00696608796296296</v>
      </c>
      <c r="G1421" s="12" t="n">
        <v>298</v>
      </c>
      <c r="H1421" s="11"/>
      <c r="I1421" s="12"/>
      <c r="J1421" s="14"/>
      <c r="K1421" s="14"/>
      <c r="L1421" s="14"/>
      <c r="M1421" s="13"/>
    </row>
    <row r="1422" customFormat="false" ht="15" hidden="false" customHeight="false" outlineLevel="0" collapsed="false">
      <c r="A1422" s="6" t="n">
        <v>1418</v>
      </c>
      <c r="B1422" s="8" t="s">
        <v>2217</v>
      </c>
      <c r="C1422" s="8" t="s">
        <v>2218</v>
      </c>
      <c r="D1422" s="9"/>
      <c r="E1422" s="10"/>
      <c r="F1422" s="11"/>
      <c r="G1422" s="12"/>
      <c r="H1422" s="11" t="n">
        <v>0.00280358796296296</v>
      </c>
      <c r="I1422" s="12" t="n">
        <v>298</v>
      </c>
      <c r="J1422" s="14"/>
      <c r="K1422" s="14"/>
      <c r="L1422" s="14"/>
      <c r="M1422" s="13"/>
    </row>
    <row r="1423" customFormat="false" ht="15" hidden="false" customHeight="false" outlineLevel="0" collapsed="false">
      <c r="A1423" s="6" t="n">
        <v>1419</v>
      </c>
      <c r="B1423" s="8" t="s">
        <v>2219</v>
      </c>
      <c r="C1423" s="8" t="s">
        <v>2220</v>
      </c>
      <c r="D1423" s="9"/>
      <c r="E1423" s="10"/>
      <c r="F1423" s="11" t="n">
        <v>0.00696678240740741</v>
      </c>
      <c r="G1423" s="12" t="n">
        <v>299</v>
      </c>
      <c r="H1423" s="11" t="n">
        <v>0.00283912037037037</v>
      </c>
      <c r="I1423" s="12" t="n">
        <v>488</v>
      </c>
      <c r="J1423" s="14"/>
      <c r="K1423" s="14"/>
      <c r="L1423" s="8" t="s">
        <v>2221</v>
      </c>
      <c r="M1423" s="13"/>
    </row>
    <row r="1424" customFormat="false" ht="15" hidden="false" customHeight="false" outlineLevel="0" collapsed="false">
      <c r="A1424" s="6" t="n">
        <v>1420</v>
      </c>
      <c r="B1424" s="8" t="s">
        <v>2222</v>
      </c>
      <c r="C1424" s="8" t="s">
        <v>202</v>
      </c>
      <c r="D1424" s="9"/>
      <c r="E1424" s="10"/>
      <c r="F1424" s="11" t="n">
        <v>0.00696840277777778</v>
      </c>
      <c r="G1424" s="12" t="n">
        <v>301</v>
      </c>
      <c r="H1424" s="11"/>
      <c r="I1424" s="12"/>
      <c r="J1424" s="14"/>
      <c r="K1424" s="14"/>
      <c r="L1424" s="14"/>
      <c r="M1424" s="13"/>
    </row>
    <row r="1425" customFormat="false" ht="15" hidden="false" customHeight="false" outlineLevel="0" collapsed="false">
      <c r="A1425" s="6" t="n">
        <v>1421</v>
      </c>
      <c r="B1425" s="8" t="s">
        <v>2223</v>
      </c>
      <c r="C1425" s="8" t="s">
        <v>1339</v>
      </c>
      <c r="D1425" s="9"/>
      <c r="E1425" s="10"/>
      <c r="F1425" s="11" t="n">
        <v>0.00696851851851852</v>
      </c>
      <c r="G1425" s="12" t="n">
        <v>302</v>
      </c>
      <c r="H1425" s="11"/>
      <c r="I1425" s="12"/>
      <c r="J1425" s="14"/>
      <c r="K1425" s="14"/>
      <c r="L1425" s="14"/>
      <c r="M1425" s="13"/>
    </row>
    <row r="1426" customFormat="false" ht="15" hidden="false" customHeight="false" outlineLevel="0" collapsed="false">
      <c r="A1426" s="6" t="n">
        <v>1422</v>
      </c>
      <c r="B1426" s="8" t="s">
        <v>2224</v>
      </c>
      <c r="C1426" s="8" t="s">
        <v>484</v>
      </c>
      <c r="D1426" s="9"/>
      <c r="E1426" s="10"/>
      <c r="F1426" s="11"/>
      <c r="G1426" s="12"/>
      <c r="H1426" s="11" t="n">
        <v>0.00280578703703704</v>
      </c>
      <c r="I1426" s="12" t="n">
        <v>306</v>
      </c>
      <c r="J1426" s="14"/>
      <c r="K1426" s="14"/>
      <c r="L1426" s="14"/>
      <c r="M1426" s="13"/>
    </row>
    <row r="1427" customFormat="false" ht="15" hidden="false" customHeight="false" outlineLevel="0" collapsed="false">
      <c r="A1427" s="6" t="n">
        <v>1423</v>
      </c>
      <c r="B1427" s="8" t="s">
        <v>2225</v>
      </c>
      <c r="C1427" s="8" t="s">
        <v>2226</v>
      </c>
      <c r="D1427" s="9"/>
      <c r="E1427" s="10"/>
      <c r="F1427" s="11" t="n">
        <v>0.0069712962962963</v>
      </c>
      <c r="G1427" s="12" t="n">
        <v>307</v>
      </c>
      <c r="H1427" s="11" t="n">
        <v>0.002840625</v>
      </c>
      <c r="I1427" s="12" t="n">
        <v>502</v>
      </c>
      <c r="J1427" s="14"/>
      <c r="K1427" s="14"/>
      <c r="L1427" s="14"/>
      <c r="M1427" s="13"/>
    </row>
    <row r="1428" customFormat="false" ht="15" hidden="false" customHeight="false" outlineLevel="0" collapsed="false">
      <c r="A1428" s="6" t="n">
        <v>1424</v>
      </c>
      <c r="B1428" s="8" t="s">
        <v>2227</v>
      </c>
      <c r="C1428" s="8" t="s">
        <v>2228</v>
      </c>
      <c r="D1428" s="9"/>
      <c r="E1428" s="10"/>
      <c r="F1428" s="11" t="n">
        <v>0.00697789351851852</v>
      </c>
      <c r="G1428" s="12" t="n">
        <v>309</v>
      </c>
      <c r="H1428" s="11"/>
      <c r="I1428" s="12"/>
      <c r="J1428" s="14"/>
      <c r="K1428" s="14"/>
      <c r="L1428" s="14"/>
      <c r="M1428" s="13"/>
    </row>
    <row r="1429" customFormat="false" ht="15" hidden="false" customHeight="false" outlineLevel="0" collapsed="false">
      <c r="A1429" s="6" t="n">
        <v>1425</v>
      </c>
      <c r="B1429" s="8" t="s">
        <v>2229</v>
      </c>
      <c r="C1429" s="8" t="s">
        <v>87</v>
      </c>
      <c r="D1429" s="9"/>
      <c r="E1429" s="10"/>
      <c r="F1429" s="11" t="n">
        <v>0.00697835648148148</v>
      </c>
      <c r="G1429" s="12" t="n">
        <v>310</v>
      </c>
      <c r="H1429" s="11"/>
      <c r="I1429" s="12"/>
      <c r="J1429" s="14"/>
      <c r="K1429" s="14"/>
      <c r="L1429" s="14"/>
      <c r="M1429" s="13"/>
    </row>
    <row r="1430" customFormat="false" ht="15" hidden="false" customHeight="false" outlineLevel="0" collapsed="false">
      <c r="A1430" s="6" t="n">
        <v>1426</v>
      </c>
      <c r="B1430" s="8" t="s">
        <v>2230</v>
      </c>
      <c r="C1430" s="8" t="s">
        <v>2231</v>
      </c>
      <c r="D1430" s="9"/>
      <c r="E1430" s="10"/>
      <c r="F1430" s="11"/>
      <c r="G1430" s="12"/>
      <c r="H1430" s="11" t="n">
        <v>0.00280671296296296</v>
      </c>
      <c r="I1430" s="12" t="n">
        <v>311</v>
      </c>
      <c r="J1430" s="14"/>
      <c r="K1430" s="14"/>
      <c r="L1430" s="14"/>
      <c r="M1430" s="13"/>
    </row>
    <row r="1431" customFormat="false" ht="15" hidden="false" customHeight="false" outlineLevel="0" collapsed="false">
      <c r="A1431" s="6" t="n">
        <v>1427</v>
      </c>
      <c r="B1431" s="8" t="s">
        <v>2232</v>
      </c>
      <c r="C1431" s="8" t="s">
        <v>188</v>
      </c>
      <c r="D1431" s="9"/>
      <c r="E1431" s="10"/>
      <c r="F1431" s="11" t="n">
        <v>0.00697939814814815</v>
      </c>
      <c r="G1431" s="12" t="n">
        <v>312</v>
      </c>
      <c r="H1431" s="11"/>
      <c r="I1431" s="12"/>
      <c r="J1431" s="14"/>
      <c r="K1431" s="14"/>
      <c r="L1431" s="14"/>
      <c r="M1431" s="13"/>
    </row>
    <row r="1432" customFormat="false" ht="15" hidden="false" customHeight="false" outlineLevel="0" collapsed="false">
      <c r="A1432" s="6" t="n">
        <v>1428</v>
      </c>
      <c r="B1432" s="8" t="s">
        <v>2233</v>
      </c>
      <c r="C1432" s="8" t="s">
        <v>2234</v>
      </c>
      <c r="D1432" s="9"/>
      <c r="E1432" s="10"/>
      <c r="F1432" s="11"/>
      <c r="G1432" s="12"/>
      <c r="H1432" s="11" t="n">
        <v>0.00280740740740741</v>
      </c>
      <c r="I1432" s="12" t="n">
        <v>315</v>
      </c>
      <c r="J1432" s="14"/>
      <c r="K1432" s="14"/>
      <c r="L1432" s="14"/>
      <c r="M1432" s="13"/>
    </row>
    <row r="1433" customFormat="false" ht="15" hidden="false" customHeight="false" outlineLevel="0" collapsed="false">
      <c r="A1433" s="6" t="n">
        <v>1429</v>
      </c>
      <c r="B1433" s="8" t="s">
        <v>2235</v>
      </c>
      <c r="C1433" s="8" t="s">
        <v>2236</v>
      </c>
      <c r="D1433" s="9"/>
      <c r="E1433" s="10"/>
      <c r="F1433" s="11" t="n">
        <v>0.00698125</v>
      </c>
      <c r="G1433" s="12" t="n">
        <v>316</v>
      </c>
      <c r="H1433" s="11"/>
      <c r="I1433" s="12"/>
      <c r="J1433" s="14"/>
      <c r="K1433" s="14"/>
      <c r="L1433" s="14"/>
      <c r="M1433" s="13"/>
    </row>
    <row r="1434" customFormat="false" ht="15" hidden="false" customHeight="false" outlineLevel="0" collapsed="false">
      <c r="A1434" s="6" t="n">
        <v>1430</v>
      </c>
      <c r="B1434" s="8" t="s">
        <v>2237</v>
      </c>
      <c r="C1434" s="8" t="s">
        <v>2238</v>
      </c>
      <c r="D1434" s="9"/>
      <c r="E1434" s="10"/>
      <c r="F1434" s="11" t="n">
        <v>0.00698229166666667</v>
      </c>
      <c r="G1434" s="12" t="n">
        <v>317</v>
      </c>
      <c r="H1434" s="11"/>
      <c r="I1434" s="12"/>
      <c r="J1434" s="14"/>
      <c r="K1434" s="14"/>
      <c r="L1434" s="14"/>
      <c r="M1434" s="13"/>
    </row>
    <row r="1435" customFormat="false" ht="15" hidden="false" customHeight="false" outlineLevel="0" collapsed="false">
      <c r="A1435" s="6" t="n">
        <v>1431</v>
      </c>
      <c r="B1435" s="8" t="s">
        <v>2239</v>
      </c>
      <c r="C1435" s="8" t="s">
        <v>2240</v>
      </c>
      <c r="D1435" s="9"/>
      <c r="E1435" s="10"/>
      <c r="F1435" s="11" t="n">
        <v>0.00698252314814815</v>
      </c>
      <c r="G1435" s="12" t="n">
        <v>318</v>
      </c>
      <c r="H1435" s="11"/>
      <c r="I1435" s="12"/>
      <c r="J1435" s="14"/>
      <c r="K1435" s="14"/>
      <c r="L1435" s="14"/>
      <c r="M1435" s="13"/>
    </row>
    <row r="1436" customFormat="false" ht="15" hidden="false" customHeight="false" outlineLevel="0" collapsed="false">
      <c r="A1436" s="6" t="n">
        <v>1432</v>
      </c>
      <c r="B1436" s="8" t="s">
        <v>2241</v>
      </c>
      <c r="C1436" s="8" t="s">
        <v>152</v>
      </c>
      <c r="D1436" s="9"/>
      <c r="E1436" s="10"/>
      <c r="F1436" s="11" t="n">
        <v>0.00698356481481482</v>
      </c>
      <c r="G1436" s="12" t="n">
        <v>319</v>
      </c>
      <c r="H1436" s="11" t="n">
        <v>0.00283460648148148</v>
      </c>
      <c r="I1436" s="12" t="n">
        <v>454</v>
      </c>
      <c r="J1436" s="14"/>
      <c r="K1436" s="14"/>
      <c r="L1436" s="14"/>
      <c r="M1436" s="13"/>
    </row>
    <row r="1437" customFormat="false" ht="15" hidden="false" customHeight="false" outlineLevel="0" collapsed="false">
      <c r="A1437" s="6" t="n">
        <v>1433</v>
      </c>
      <c r="B1437" s="8" t="s">
        <v>2242</v>
      </c>
      <c r="C1437" s="8" t="s">
        <v>1308</v>
      </c>
      <c r="D1437" s="9"/>
      <c r="E1437" s="10"/>
      <c r="F1437" s="11"/>
      <c r="G1437" s="12"/>
      <c r="H1437" s="11" t="n">
        <v>0.00280844907407407</v>
      </c>
      <c r="I1437" s="12" t="n">
        <v>319</v>
      </c>
      <c r="J1437" s="14"/>
      <c r="K1437" s="14"/>
      <c r="L1437" s="14"/>
      <c r="M1437" s="13"/>
    </row>
    <row r="1438" customFormat="false" ht="15" hidden="false" customHeight="false" outlineLevel="0" collapsed="false">
      <c r="A1438" s="6" t="n">
        <v>1434</v>
      </c>
      <c r="B1438" s="8" t="s">
        <v>2243</v>
      </c>
      <c r="C1438" s="8" t="s">
        <v>2244</v>
      </c>
      <c r="D1438" s="9"/>
      <c r="E1438" s="10"/>
      <c r="F1438" s="11"/>
      <c r="G1438" s="12"/>
      <c r="H1438" s="11" t="n">
        <v>0.00280925925925926</v>
      </c>
      <c r="I1438" s="12" t="n">
        <v>322</v>
      </c>
      <c r="J1438" s="14"/>
      <c r="K1438" s="14"/>
      <c r="L1438" s="14"/>
      <c r="M1438" s="13"/>
    </row>
    <row r="1439" customFormat="false" ht="15" hidden="false" customHeight="false" outlineLevel="0" collapsed="false">
      <c r="A1439" s="6" t="n">
        <v>1435</v>
      </c>
      <c r="B1439" s="8" t="s">
        <v>2245</v>
      </c>
      <c r="C1439" s="8" t="s">
        <v>2246</v>
      </c>
      <c r="D1439" s="9"/>
      <c r="E1439" s="10"/>
      <c r="F1439" s="11" t="n">
        <v>0.00699039351851852</v>
      </c>
      <c r="G1439" s="12" t="n">
        <v>324</v>
      </c>
      <c r="H1439" s="11"/>
      <c r="I1439" s="12"/>
      <c r="J1439" s="14" t="s">
        <v>2247</v>
      </c>
      <c r="K1439" s="14"/>
      <c r="L1439" s="14"/>
      <c r="M1439" s="13"/>
    </row>
    <row r="1440" customFormat="false" ht="15" hidden="false" customHeight="false" outlineLevel="0" collapsed="false">
      <c r="A1440" s="6" t="n">
        <v>1436</v>
      </c>
      <c r="B1440" s="8" t="s">
        <v>2248</v>
      </c>
      <c r="C1440" s="8" t="s">
        <v>2249</v>
      </c>
      <c r="D1440" s="9"/>
      <c r="E1440" s="10"/>
      <c r="F1440" s="11" t="n">
        <v>0.00699490740740741</v>
      </c>
      <c r="G1440" s="12" t="n">
        <v>327</v>
      </c>
      <c r="H1440" s="11"/>
      <c r="I1440" s="12"/>
      <c r="J1440" s="14"/>
      <c r="K1440" s="14"/>
      <c r="L1440" s="14"/>
      <c r="M1440" s="13"/>
    </row>
    <row r="1441" customFormat="false" ht="15" hidden="false" customHeight="false" outlineLevel="0" collapsed="false">
      <c r="A1441" s="6" t="n">
        <v>1437</v>
      </c>
      <c r="B1441" s="8" t="s">
        <v>2250</v>
      </c>
      <c r="C1441" s="8" t="s">
        <v>2251</v>
      </c>
      <c r="D1441" s="9"/>
      <c r="E1441" s="10"/>
      <c r="F1441" s="11" t="n">
        <v>0.00699513888888889</v>
      </c>
      <c r="G1441" s="12" t="n">
        <v>329</v>
      </c>
      <c r="H1441" s="11"/>
      <c r="I1441" s="12"/>
      <c r="J1441" s="14"/>
      <c r="K1441" s="14"/>
      <c r="L1441" s="14"/>
      <c r="M1441" s="13"/>
    </row>
    <row r="1442" customFormat="false" ht="15" hidden="false" customHeight="false" outlineLevel="0" collapsed="false">
      <c r="A1442" s="6" t="n">
        <v>1438</v>
      </c>
      <c r="B1442" s="8" t="s">
        <v>2252</v>
      </c>
      <c r="C1442" s="8" t="s">
        <v>2253</v>
      </c>
      <c r="D1442" s="9"/>
      <c r="E1442" s="10"/>
      <c r="F1442" s="11" t="n">
        <v>0.00699652777777778</v>
      </c>
      <c r="G1442" s="12" t="n">
        <v>331</v>
      </c>
      <c r="H1442" s="11"/>
      <c r="I1442" s="12"/>
      <c r="J1442" s="14"/>
      <c r="K1442" s="14"/>
      <c r="L1442" s="14"/>
      <c r="M1442" s="13"/>
    </row>
    <row r="1443" customFormat="false" ht="15" hidden="false" customHeight="false" outlineLevel="0" collapsed="false">
      <c r="A1443" s="6" t="n">
        <v>1439</v>
      </c>
      <c r="B1443" s="8" t="s">
        <v>2254</v>
      </c>
      <c r="C1443" s="8" t="s">
        <v>868</v>
      </c>
      <c r="D1443" s="9"/>
      <c r="E1443" s="10"/>
      <c r="F1443" s="11"/>
      <c r="G1443" s="12"/>
      <c r="H1443" s="11" t="n">
        <v>0.00281273148148148</v>
      </c>
      <c r="I1443" s="12" t="n">
        <v>331</v>
      </c>
      <c r="J1443" s="14" t="s">
        <v>2255</v>
      </c>
      <c r="K1443" s="14"/>
      <c r="L1443" s="14"/>
      <c r="M1443" s="13"/>
    </row>
    <row r="1444" customFormat="false" ht="15" hidden="false" customHeight="false" outlineLevel="0" collapsed="false">
      <c r="A1444" s="6" t="n">
        <v>1440</v>
      </c>
      <c r="B1444" s="8" t="s">
        <v>2256</v>
      </c>
      <c r="C1444" s="8" t="s">
        <v>375</v>
      </c>
      <c r="D1444" s="9"/>
      <c r="E1444" s="10"/>
      <c r="F1444" s="11" t="n">
        <v>0.00699675925925926</v>
      </c>
      <c r="G1444" s="12" t="n">
        <v>332</v>
      </c>
      <c r="H1444" s="11" t="n">
        <v>0.00294293981481482</v>
      </c>
      <c r="I1444" s="12" t="n">
        <v>1210</v>
      </c>
      <c r="J1444" s="14"/>
      <c r="K1444" s="14"/>
      <c r="L1444" s="14"/>
      <c r="M1444" s="13"/>
    </row>
    <row r="1445" customFormat="false" ht="15" hidden="false" customHeight="false" outlineLevel="0" collapsed="false">
      <c r="A1445" s="6" t="n">
        <v>1441</v>
      </c>
      <c r="B1445" s="8" t="s">
        <v>2257</v>
      </c>
      <c r="C1445" s="8" t="s">
        <v>2258</v>
      </c>
      <c r="D1445" s="9"/>
      <c r="E1445" s="10"/>
      <c r="F1445" s="11" t="n">
        <v>0.00699722222222222</v>
      </c>
      <c r="G1445" s="12" t="n">
        <v>333</v>
      </c>
      <c r="H1445" s="11" t="n">
        <v>0.00292199074074074</v>
      </c>
      <c r="I1445" s="12" t="n">
        <v>1113</v>
      </c>
      <c r="J1445" s="14"/>
      <c r="K1445" s="14"/>
      <c r="L1445" s="14"/>
      <c r="M1445" s="13"/>
    </row>
    <row r="1446" customFormat="false" ht="15" hidden="false" customHeight="false" outlineLevel="0" collapsed="false">
      <c r="A1446" s="6" t="n">
        <v>1442</v>
      </c>
      <c r="B1446" s="8" t="s">
        <v>2259</v>
      </c>
      <c r="C1446" s="8" t="s">
        <v>2260</v>
      </c>
      <c r="D1446" s="9"/>
      <c r="E1446" s="10"/>
      <c r="F1446" s="11" t="n">
        <v>0.00699965277777778</v>
      </c>
      <c r="G1446" s="12" t="n">
        <v>335</v>
      </c>
      <c r="H1446" s="11"/>
      <c r="I1446" s="12"/>
      <c r="J1446" s="14"/>
      <c r="K1446" s="14"/>
      <c r="L1446" s="14"/>
      <c r="M1446" s="13"/>
    </row>
    <row r="1447" customFormat="false" ht="15" hidden="false" customHeight="false" outlineLevel="0" collapsed="false">
      <c r="A1447" s="6" t="n">
        <v>1443</v>
      </c>
      <c r="B1447" s="8" t="s">
        <v>2261</v>
      </c>
      <c r="C1447" s="8" t="s">
        <v>2262</v>
      </c>
      <c r="D1447" s="9"/>
      <c r="E1447" s="10"/>
      <c r="F1447" s="11" t="n">
        <v>0.00700046296296296</v>
      </c>
      <c r="G1447" s="12" t="n">
        <v>337</v>
      </c>
      <c r="H1447" s="11"/>
      <c r="I1447" s="12"/>
      <c r="J1447" s="14"/>
      <c r="K1447" s="14"/>
      <c r="L1447" s="14"/>
      <c r="M1447" s="13"/>
    </row>
    <row r="1448" customFormat="false" ht="15" hidden="false" customHeight="false" outlineLevel="0" collapsed="false">
      <c r="A1448" s="6" t="n">
        <v>1444</v>
      </c>
      <c r="B1448" s="8" t="s">
        <v>2263</v>
      </c>
      <c r="C1448" s="8" t="s">
        <v>2264</v>
      </c>
      <c r="D1448" s="9"/>
      <c r="E1448" s="10"/>
      <c r="F1448" s="11" t="n">
        <v>0.00700324074074074</v>
      </c>
      <c r="G1448" s="12" t="n">
        <v>339</v>
      </c>
      <c r="H1448" s="11"/>
      <c r="I1448" s="12"/>
      <c r="J1448" s="14"/>
      <c r="K1448" s="14"/>
      <c r="L1448" s="14"/>
      <c r="M1448" s="13"/>
    </row>
    <row r="1449" customFormat="false" ht="15" hidden="false" customHeight="false" outlineLevel="0" collapsed="false">
      <c r="A1449" s="6" t="n">
        <v>1445</v>
      </c>
      <c r="B1449" s="8" t="s">
        <v>2265</v>
      </c>
      <c r="C1449" s="8" t="s">
        <v>197</v>
      </c>
      <c r="D1449" s="9"/>
      <c r="E1449" s="10"/>
      <c r="F1449" s="11" t="n">
        <v>0.00700497685185185</v>
      </c>
      <c r="G1449" s="12" t="n">
        <v>342</v>
      </c>
      <c r="H1449" s="11"/>
      <c r="I1449" s="12"/>
      <c r="J1449" s="14"/>
      <c r="K1449" s="14"/>
      <c r="L1449" s="14"/>
      <c r="M1449" s="13"/>
    </row>
    <row r="1450" customFormat="false" ht="15" hidden="false" customHeight="false" outlineLevel="0" collapsed="false">
      <c r="A1450" s="6" t="n">
        <v>1446</v>
      </c>
      <c r="B1450" s="8" t="s">
        <v>2266</v>
      </c>
      <c r="C1450" s="8" t="s">
        <v>309</v>
      </c>
      <c r="D1450" s="9"/>
      <c r="E1450" s="10"/>
      <c r="F1450" s="11" t="n">
        <v>0.00711736111111111</v>
      </c>
      <c r="G1450" s="12" t="n">
        <v>463</v>
      </c>
      <c r="H1450" s="11" t="n">
        <v>0.00281493055555556</v>
      </c>
      <c r="I1450" s="12" t="n">
        <v>343</v>
      </c>
      <c r="J1450" s="14"/>
      <c r="K1450" s="14"/>
      <c r="L1450" s="14"/>
      <c r="M1450" s="13"/>
    </row>
    <row r="1451" customFormat="false" ht="15" hidden="false" customHeight="false" outlineLevel="0" collapsed="false">
      <c r="A1451" s="6" t="n">
        <v>1447</v>
      </c>
      <c r="B1451" s="8" t="s">
        <v>2267</v>
      </c>
      <c r="C1451" s="8" t="s">
        <v>1341</v>
      </c>
      <c r="D1451" s="9"/>
      <c r="E1451" s="10"/>
      <c r="F1451" s="11" t="n">
        <v>0.00700509259259259</v>
      </c>
      <c r="G1451" s="12" t="n">
        <v>343</v>
      </c>
      <c r="H1451" s="11"/>
      <c r="I1451" s="12"/>
      <c r="J1451" s="14"/>
      <c r="K1451" s="14"/>
      <c r="L1451" s="14"/>
      <c r="M1451" s="13"/>
    </row>
    <row r="1452" customFormat="false" ht="15" hidden="false" customHeight="false" outlineLevel="0" collapsed="false">
      <c r="A1452" s="6" t="n">
        <v>1448</v>
      </c>
      <c r="B1452" s="8" t="s">
        <v>2268</v>
      </c>
      <c r="C1452" s="8" t="s">
        <v>2269</v>
      </c>
      <c r="D1452" s="9"/>
      <c r="E1452" s="10"/>
      <c r="F1452" s="11" t="n">
        <v>0.00700601851851852</v>
      </c>
      <c r="G1452" s="12" t="n">
        <v>344</v>
      </c>
      <c r="H1452" s="11"/>
      <c r="I1452" s="12"/>
      <c r="J1452" s="14"/>
      <c r="K1452" s="14"/>
      <c r="L1452" s="14"/>
      <c r="M1452" s="13"/>
    </row>
    <row r="1453" customFormat="false" ht="15" hidden="false" customHeight="false" outlineLevel="0" collapsed="false">
      <c r="A1453" s="6" t="n">
        <v>1449</v>
      </c>
      <c r="B1453" s="8" t="s">
        <v>2270</v>
      </c>
      <c r="C1453" s="8" t="s">
        <v>2271</v>
      </c>
      <c r="D1453" s="9"/>
      <c r="E1453" s="10"/>
      <c r="F1453" s="11"/>
      <c r="G1453" s="12"/>
      <c r="H1453" s="11" t="n">
        <v>0.00281631944444445</v>
      </c>
      <c r="I1453" s="12" t="n">
        <v>345</v>
      </c>
      <c r="J1453" s="14"/>
      <c r="K1453" s="14"/>
      <c r="L1453" s="14"/>
      <c r="M1453" s="13"/>
    </row>
    <row r="1454" customFormat="false" ht="15" hidden="false" customHeight="false" outlineLevel="0" collapsed="false">
      <c r="A1454" s="6" t="n">
        <v>1450</v>
      </c>
      <c r="B1454" s="8" t="s">
        <v>2272</v>
      </c>
      <c r="C1454" s="8" t="s">
        <v>2273</v>
      </c>
      <c r="D1454" s="9"/>
      <c r="E1454" s="10"/>
      <c r="F1454" s="11" t="n">
        <v>0.00700949074074074</v>
      </c>
      <c r="G1454" s="12" t="n">
        <v>346</v>
      </c>
      <c r="H1454" s="11"/>
      <c r="I1454" s="12"/>
      <c r="J1454" s="14"/>
      <c r="K1454" s="14"/>
      <c r="L1454" s="14"/>
      <c r="M1454" s="13"/>
    </row>
    <row r="1455" customFormat="false" ht="15" hidden="false" customHeight="false" outlineLevel="0" collapsed="false">
      <c r="A1455" s="6" t="n">
        <v>1451</v>
      </c>
      <c r="B1455" s="8" t="s">
        <v>2274</v>
      </c>
      <c r="C1455" s="8" t="s">
        <v>2275</v>
      </c>
      <c r="D1455" s="9"/>
      <c r="E1455" s="10"/>
      <c r="F1455" s="11" t="n">
        <v>0.00701053240740741</v>
      </c>
      <c r="G1455" s="12" t="n">
        <v>347</v>
      </c>
      <c r="H1455" s="11"/>
      <c r="I1455" s="12"/>
      <c r="J1455" s="14"/>
      <c r="K1455" s="14"/>
      <c r="L1455" s="14"/>
      <c r="M1455" s="13"/>
    </row>
    <row r="1456" customFormat="false" ht="15" hidden="false" customHeight="false" outlineLevel="0" collapsed="false">
      <c r="A1456" s="6" t="n">
        <v>1452</v>
      </c>
      <c r="B1456" s="8" t="s">
        <v>2276</v>
      </c>
      <c r="C1456" s="8" t="s">
        <v>2277</v>
      </c>
      <c r="D1456" s="9"/>
      <c r="E1456" s="10"/>
      <c r="F1456" s="11" t="n">
        <v>0.00701053240740741</v>
      </c>
      <c r="G1456" s="12" t="n">
        <v>348</v>
      </c>
      <c r="H1456" s="11"/>
      <c r="I1456" s="12"/>
      <c r="J1456" s="14"/>
      <c r="K1456" s="14"/>
      <c r="L1456" s="14"/>
      <c r="M1456" s="13"/>
    </row>
    <row r="1457" customFormat="false" ht="15" hidden="false" customHeight="false" outlineLevel="0" collapsed="false">
      <c r="A1457" s="6" t="n">
        <v>1453</v>
      </c>
      <c r="B1457" s="8" t="s">
        <v>2278</v>
      </c>
      <c r="C1457" s="8" t="s">
        <v>2279</v>
      </c>
      <c r="D1457" s="9"/>
      <c r="E1457" s="10"/>
      <c r="F1457" s="11" t="n">
        <v>0.00701215277777778</v>
      </c>
      <c r="G1457" s="12" t="n">
        <v>349</v>
      </c>
      <c r="H1457" s="11"/>
      <c r="I1457" s="12"/>
      <c r="J1457" s="14"/>
      <c r="K1457" s="14"/>
      <c r="L1457" s="14"/>
      <c r="M1457" s="13"/>
    </row>
    <row r="1458" customFormat="false" ht="15" hidden="false" customHeight="false" outlineLevel="0" collapsed="false">
      <c r="A1458" s="6" t="n">
        <v>1454</v>
      </c>
      <c r="B1458" s="8" t="s">
        <v>2280</v>
      </c>
      <c r="C1458" s="8" t="s">
        <v>2281</v>
      </c>
      <c r="D1458" s="9"/>
      <c r="E1458" s="10"/>
      <c r="F1458" s="11"/>
      <c r="G1458" s="12"/>
      <c r="H1458" s="11" t="n">
        <v>0.00281689814814815</v>
      </c>
      <c r="I1458" s="12" t="n">
        <v>349</v>
      </c>
      <c r="J1458" s="14"/>
      <c r="K1458" s="14"/>
      <c r="L1458" s="14"/>
      <c r="M1458" s="13"/>
    </row>
    <row r="1459" customFormat="false" ht="15" hidden="false" customHeight="false" outlineLevel="0" collapsed="false">
      <c r="A1459" s="6" t="n">
        <v>1455</v>
      </c>
      <c r="B1459" s="8" t="s">
        <v>2282</v>
      </c>
      <c r="C1459" s="8" t="s">
        <v>2283</v>
      </c>
      <c r="D1459" s="9"/>
      <c r="E1459" s="10"/>
      <c r="F1459" s="11" t="n">
        <v>0.00701273148148148</v>
      </c>
      <c r="G1459" s="12" t="n">
        <v>350</v>
      </c>
      <c r="H1459" s="11"/>
      <c r="I1459" s="12"/>
      <c r="J1459" s="14"/>
      <c r="K1459" s="14"/>
      <c r="L1459" s="14"/>
      <c r="M1459" s="13"/>
    </row>
    <row r="1460" customFormat="false" ht="15" hidden="false" customHeight="false" outlineLevel="0" collapsed="false">
      <c r="A1460" s="6" t="n">
        <v>1456</v>
      </c>
      <c r="B1460" s="8" t="s">
        <v>2284</v>
      </c>
      <c r="C1460" s="8" t="s">
        <v>584</v>
      </c>
      <c r="D1460" s="9"/>
      <c r="E1460" s="10"/>
      <c r="F1460" s="11"/>
      <c r="G1460" s="12"/>
      <c r="H1460" s="11" t="n">
        <v>0.00281689814814815</v>
      </c>
      <c r="I1460" s="12" t="n">
        <v>350</v>
      </c>
      <c r="J1460" s="14"/>
      <c r="K1460" s="14"/>
      <c r="L1460" s="14"/>
      <c r="M1460" s="13"/>
    </row>
    <row r="1461" customFormat="false" ht="15" hidden="false" customHeight="false" outlineLevel="0" collapsed="false">
      <c r="A1461" s="6" t="n">
        <v>1457</v>
      </c>
      <c r="B1461" s="8" t="s">
        <v>2285</v>
      </c>
      <c r="C1461" s="8" t="s">
        <v>2286</v>
      </c>
      <c r="D1461" s="9"/>
      <c r="E1461" s="10"/>
      <c r="F1461" s="11" t="n">
        <v>0.00701516203703704</v>
      </c>
      <c r="G1461" s="12" t="n">
        <v>351</v>
      </c>
      <c r="H1461" s="11"/>
      <c r="I1461" s="12"/>
      <c r="J1461" s="14"/>
      <c r="K1461" s="14"/>
      <c r="L1461" s="14"/>
      <c r="M1461" s="13"/>
    </row>
    <row r="1462" customFormat="false" ht="15" hidden="false" customHeight="false" outlineLevel="0" collapsed="false">
      <c r="A1462" s="6" t="n">
        <v>1458</v>
      </c>
      <c r="B1462" s="8" t="s">
        <v>2287</v>
      </c>
      <c r="C1462" s="8" t="s">
        <v>1114</v>
      </c>
      <c r="D1462" s="9"/>
      <c r="E1462" s="10"/>
      <c r="F1462" s="11" t="n">
        <v>0.00701574074074074</v>
      </c>
      <c r="G1462" s="12" t="n">
        <v>352</v>
      </c>
      <c r="H1462" s="11"/>
      <c r="I1462" s="12"/>
      <c r="J1462" s="14"/>
      <c r="K1462" s="14"/>
      <c r="L1462" s="14"/>
      <c r="M1462" s="13"/>
    </row>
    <row r="1463" customFormat="false" ht="15" hidden="false" customHeight="false" outlineLevel="0" collapsed="false">
      <c r="A1463" s="6" t="n">
        <v>1459</v>
      </c>
      <c r="B1463" s="8" t="s">
        <v>2288</v>
      </c>
      <c r="C1463" s="8" t="s">
        <v>205</v>
      </c>
      <c r="D1463" s="9"/>
      <c r="E1463" s="10"/>
      <c r="F1463" s="11"/>
      <c r="G1463" s="12"/>
      <c r="H1463" s="11" t="n">
        <v>0.00281759259259259</v>
      </c>
      <c r="I1463" s="12" t="n">
        <v>352</v>
      </c>
      <c r="J1463" s="14"/>
      <c r="K1463" s="14"/>
      <c r="L1463" s="14"/>
      <c r="M1463" s="13"/>
    </row>
    <row r="1464" customFormat="false" ht="15" hidden="false" customHeight="false" outlineLevel="0" collapsed="false">
      <c r="A1464" s="6" t="n">
        <v>1460</v>
      </c>
      <c r="B1464" s="8" t="s">
        <v>2289</v>
      </c>
      <c r="C1464" s="8" t="s">
        <v>2290</v>
      </c>
      <c r="D1464" s="9"/>
      <c r="E1464" s="10"/>
      <c r="F1464" s="11" t="n">
        <v>0.0070224537037037</v>
      </c>
      <c r="G1464" s="12" t="n">
        <v>356</v>
      </c>
      <c r="H1464" s="11"/>
      <c r="I1464" s="12"/>
      <c r="J1464" s="14"/>
      <c r="K1464" s="14"/>
      <c r="L1464" s="14"/>
      <c r="M1464" s="13"/>
    </row>
    <row r="1465" customFormat="false" ht="15" hidden="false" customHeight="false" outlineLevel="0" collapsed="false">
      <c r="A1465" s="6" t="n">
        <v>1461</v>
      </c>
      <c r="B1465" s="8" t="s">
        <v>2291</v>
      </c>
      <c r="C1465" s="8" t="s">
        <v>2292</v>
      </c>
      <c r="D1465" s="9"/>
      <c r="E1465" s="10"/>
      <c r="F1465" s="11"/>
      <c r="G1465" s="12"/>
      <c r="H1465" s="11" t="n">
        <v>0.00281840277777778</v>
      </c>
      <c r="I1465" s="12" t="n">
        <v>356</v>
      </c>
      <c r="J1465" s="14"/>
      <c r="K1465" s="14"/>
      <c r="L1465" s="14"/>
      <c r="M1465" s="13"/>
    </row>
    <row r="1466" customFormat="false" ht="15" hidden="false" customHeight="false" outlineLevel="0" collapsed="false">
      <c r="A1466" s="6" t="n">
        <v>1462</v>
      </c>
      <c r="B1466" s="8" t="s">
        <v>2293</v>
      </c>
      <c r="C1466" s="8" t="s">
        <v>2294</v>
      </c>
      <c r="D1466" s="9"/>
      <c r="E1466" s="10"/>
      <c r="F1466" s="11" t="n">
        <v>0.00702291666666667</v>
      </c>
      <c r="G1466" s="12" t="n">
        <v>357</v>
      </c>
      <c r="H1466" s="11"/>
      <c r="I1466" s="12"/>
      <c r="J1466" s="14"/>
      <c r="K1466" s="14"/>
      <c r="L1466" s="14"/>
      <c r="M1466" s="13"/>
    </row>
    <row r="1467" customFormat="false" ht="15" hidden="false" customHeight="false" outlineLevel="0" collapsed="false">
      <c r="A1467" s="6" t="n">
        <v>1463</v>
      </c>
      <c r="B1467" s="8" t="s">
        <v>2295</v>
      </c>
      <c r="C1467" s="8" t="s">
        <v>2296</v>
      </c>
      <c r="D1467" s="9"/>
      <c r="E1467" s="10"/>
      <c r="F1467" s="11" t="n">
        <v>0.00702291666666667</v>
      </c>
      <c r="G1467" s="12" t="n">
        <v>358</v>
      </c>
      <c r="H1467" s="11"/>
      <c r="I1467" s="12"/>
      <c r="J1467" s="14"/>
      <c r="K1467" s="14"/>
      <c r="L1467" s="14"/>
      <c r="M1467" s="13"/>
    </row>
    <row r="1468" customFormat="false" ht="15" hidden="false" customHeight="false" outlineLevel="0" collapsed="false">
      <c r="A1468" s="6" t="n">
        <v>1464</v>
      </c>
      <c r="B1468" s="8" t="s">
        <v>2297</v>
      </c>
      <c r="C1468" s="8" t="s">
        <v>304</v>
      </c>
      <c r="D1468" s="9"/>
      <c r="E1468" s="10"/>
      <c r="F1468" s="11" t="n">
        <v>0.00702662037037037</v>
      </c>
      <c r="G1468" s="12" t="n">
        <v>361</v>
      </c>
      <c r="H1468" s="11"/>
      <c r="I1468" s="12"/>
      <c r="J1468" s="14"/>
      <c r="K1468" s="14"/>
      <c r="L1468" s="14"/>
      <c r="M1468" s="13"/>
    </row>
    <row r="1469" customFormat="false" ht="15" hidden="false" customHeight="false" outlineLevel="0" collapsed="false">
      <c r="A1469" s="6" t="n">
        <v>1465</v>
      </c>
      <c r="B1469" s="8" t="s">
        <v>2298</v>
      </c>
      <c r="C1469" s="8" t="s">
        <v>2299</v>
      </c>
      <c r="D1469" s="9"/>
      <c r="E1469" s="10"/>
      <c r="F1469" s="11" t="n">
        <v>0.00702708333333333</v>
      </c>
      <c r="G1469" s="12" t="n">
        <v>362</v>
      </c>
      <c r="H1469" s="11" t="n">
        <v>0.00290983796296296</v>
      </c>
      <c r="I1469" s="12" t="n">
        <v>1018</v>
      </c>
      <c r="J1469" s="14"/>
      <c r="K1469" s="14"/>
      <c r="L1469" s="14"/>
      <c r="M1469" s="13"/>
    </row>
    <row r="1470" customFormat="false" ht="15" hidden="false" customHeight="false" outlineLevel="0" collapsed="false">
      <c r="A1470" s="6" t="n">
        <v>1466</v>
      </c>
      <c r="B1470" s="8" t="s">
        <v>2300</v>
      </c>
      <c r="C1470" s="8" t="s">
        <v>1248</v>
      </c>
      <c r="D1470" s="9"/>
      <c r="E1470" s="10"/>
      <c r="F1470" s="11" t="n">
        <v>0.00702962962962963</v>
      </c>
      <c r="G1470" s="12" t="n">
        <v>363</v>
      </c>
      <c r="H1470" s="11"/>
      <c r="I1470" s="12"/>
      <c r="J1470" s="14"/>
      <c r="K1470" s="14"/>
      <c r="L1470" s="14"/>
      <c r="M1470" s="13"/>
    </row>
    <row r="1471" customFormat="false" ht="15" hidden="false" customHeight="false" outlineLevel="0" collapsed="false">
      <c r="A1471" s="6" t="n">
        <v>1467</v>
      </c>
      <c r="B1471" s="8" t="s">
        <v>2301</v>
      </c>
      <c r="C1471" s="8" t="s">
        <v>2302</v>
      </c>
      <c r="D1471" s="9"/>
      <c r="E1471" s="10"/>
      <c r="F1471" s="11" t="n">
        <v>0.00703206018518519</v>
      </c>
      <c r="G1471" s="12" t="n">
        <v>364</v>
      </c>
      <c r="H1471" s="11"/>
      <c r="I1471" s="12"/>
      <c r="J1471" s="14"/>
      <c r="K1471" s="14"/>
      <c r="L1471" s="14"/>
      <c r="M1471" s="13"/>
    </row>
    <row r="1472" customFormat="false" ht="15" hidden="false" customHeight="false" outlineLevel="0" collapsed="false">
      <c r="A1472" s="6" t="n">
        <v>1468</v>
      </c>
      <c r="B1472" s="8" t="s">
        <v>2303</v>
      </c>
      <c r="C1472" s="8" t="s">
        <v>2304</v>
      </c>
      <c r="D1472" s="9"/>
      <c r="E1472" s="10"/>
      <c r="F1472" s="11" t="n">
        <v>0.00703449074074074</v>
      </c>
      <c r="G1472" s="12" t="n">
        <v>365</v>
      </c>
      <c r="H1472" s="11"/>
      <c r="I1472" s="12"/>
      <c r="J1472" s="14"/>
      <c r="K1472" s="14"/>
      <c r="L1472" s="14"/>
      <c r="M1472" s="13"/>
    </row>
    <row r="1473" customFormat="false" ht="15" hidden="false" customHeight="false" outlineLevel="0" collapsed="false">
      <c r="A1473" s="6" t="n">
        <v>1469</v>
      </c>
      <c r="B1473" s="8" t="s">
        <v>2305</v>
      </c>
      <c r="C1473" s="8" t="s">
        <v>241</v>
      </c>
      <c r="D1473" s="9"/>
      <c r="E1473" s="10"/>
      <c r="F1473" s="11" t="n">
        <v>0.00703483796296296</v>
      </c>
      <c r="G1473" s="12" t="n">
        <v>366</v>
      </c>
      <c r="H1473" s="11"/>
      <c r="I1473" s="12"/>
      <c r="J1473" s="14"/>
      <c r="K1473" s="14"/>
      <c r="L1473" s="14"/>
      <c r="M1473" s="13"/>
    </row>
    <row r="1474" customFormat="false" ht="15" hidden="false" customHeight="false" outlineLevel="0" collapsed="false">
      <c r="A1474" s="6" t="n">
        <v>1470</v>
      </c>
      <c r="B1474" s="8" t="s">
        <v>2306</v>
      </c>
      <c r="C1474" s="8" t="s">
        <v>2307</v>
      </c>
      <c r="D1474" s="9"/>
      <c r="E1474" s="10"/>
      <c r="F1474" s="11"/>
      <c r="G1474" s="12"/>
      <c r="H1474" s="11" t="n">
        <v>0.00282071759259259</v>
      </c>
      <c r="I1474" s="12" t="n">
        <v>366</v>
      </c>
      <c r="J1474" s="14"/>
      <c r="K1474" s="14"/>
      <c r="L1474" s="14"/>
      <c r="M1474" s="13"/>
    </row>
    <row r="1475" customFormat="false" ht="15" hidden="false" customHeight="false" outlineLevel="0" collapsed="false">
      <c r="A1475" s="6" t="n">
        <v>1471</v>
      </c>
      <c r="B1475" s="8" t="s">
        <v>2308</v>
      </c>
      <c r="C1475" s="8" t="s">
        <v>61</v>
      </c>
      <c r="D1475" s="9"/>
      <c r="E1475" s="10"/>
      <c r="F1475" s="11" t="n">
        <v>0.00703738425925926</v>
      </c>
      <c r="G1475" s="12" t="n">
        <v>369</v>
      </c>
      <c r="H1475" s="11" t="n">
        <v>0.00290023148148148</v>
      </c>
      <c r="I1475" s="12" t="n">
        <v>948</v>
      </c>
      <c r="J1475" s="14"/>
      <c r="K1475" s="14"/>
      <c r="L1475" s="14"/>
      <c r="M1475" s="13"/>
    </row>
    <row r="1476" customFormat="false" ht="15" hidden="false" customHeight="false" outlineLevel="0" collapsed="false">
      <c r="A1476" s="6" t="n">
        <v>1472</v>
      </c>
      <c r="B1476" s="8" t="s">
        <v>2309</v>
      </c>
      <c r="C1476" s="8" t="s">
        <v>2310</v>
      </c>
      <c r="D1476" s="9"/>
      <c r="E1476" s="10"/>
      <c r="F1476" s="11" t="n">
        <v>0.00703854166666667</v>
      </c>
      <c r="G1476" s="12" t="n">
        <v>372</v>
      </c>
      <c r="H1476" s="11"/>
      <c r="I1476" s="12"/>
      <c r="J1476" s="14" t="s">
        <v>2311</v>
      </c>
      <c r="K1476" s="14"/>
      <c r="L1476" s="14"/>
      <c r="M1476" s="13"/>
    </row>
    <row r="1477" customFormat="false" ht="15" hidden="false" customHeight="false" outlineLevel="0" collapsed="false">
      <c r="A1477" s="6" t="n">
        <v>1473</v>
      </c>
      <c r="B1477" s="8" t="s">
        <v>2312</v>
      </c>
      <c r="C1477" s="8" t="s">
        <v>1689</v>
      </c>
      <c r="D1477" s="9"/>
      <c r="E1477" s="10"/>
      <c r="F1477" s="11" t="n">
        <v>0.00703935185185185</v>
      </c>
      <c r="G1477" s="12" t="n">
        <v>373</v>
      </c>
      <c r="H1477" s="11" t="n">
        <v>0.00291840277777778</v>
      </c>
      <c r="I1477" s="12" t="n">
        <v>1078</v>
      </c>
      <c r="J1477" s="14"/>
      <c r="K1477" s="14"/>
      <c r="L1477" s="14"/>
      <c r="M1477" s="13"/>
    </row>
    <row r="1478" customFormat="false" ht="15" hidden="false" customHeight="false" outlineLevel="0" collapsed="false">
      <c r="A1478" s="6" t="n">
        <v>1474</v>
      </c>
      <c r="B1478" s="8" t="s">
        <v>2313</v>
      </c>
      <c r="C1478" s="8" t="s">
        <v>2314</v>
      </c>
      <c r="D1478" s="9"/>
      <c r="E1478" s="10"/>
      <c r="F1478" s="11" t="n">
        <v>0.00703935185185185</v>
      </c>
      <c r="G1478" s="12" t="n">
        <v>374</v>
      </c>
      <c r="H1478" s="11"/>
      <c r="I1478" s="12"/>
      <c r="J1478" s="14"/>
      <c r="K1478" s="14"/>
      <c r="L1478" s="14"/>
      <c r="M1478" s="13"/>
    </row>
    <row r="1479" customFormat="false" ht="15" hidden="false" customHeight="false" outlineLevel="0" collapsed="false">
      <c r="A1479" s="6" t="n">
        <v>1475</v>
      </c>
      <c r="B1479" s="8" t="s">
        <v>2315</v>
      </c>
      <c r="C1479" s="8" t="s">
        <v>1248</v>
      </c>
      <c r="D1479" s="9"/>
      <c r="E1479" s="10"/>
      <c r="F1479" s="11"/>
      <c r="G1479" s="12"/>
      <c r="H1479" s="11" t="n">
        <v>0.00282199074074074</v>
      </c>
      <c r="I1479" s="12" t="n">
        <v>374</v>
      </c>
      <c r="J1479" s="14"/>
      <c r="K1479" s="14"/>
      <c r="L1479" s="14"/>
      <c r="M1479" s="13"/>
    </row>
    <row r="1480" customFormat="false" ht="15" hidden="false" customHeight="false" outlineLevel="0" collapsed="false">
      <c r="A1480" s="6" t="n">
        <v>1476</v>
      </c>
      <c r="B1480" s="8" t="s">
        <v>2316</v>
      </c>
      <c r="C1480" s="8" t="s">
        <v>229</v>
      </c>
      <c r="D1480" s="9"/>
      <c r="E1480" s="10"/>
      <c r="F1480" s="11" t="n">
        <v>0.00704027777777778</v>
      </c>
      <c r="G1480" s="12" t="n">
        <v>376</v>
      </c>
      <c r="H1480" s="11"/>
      <c r="I1480" s="12"/>
      <c r="J1480" s="14"/>
      <c r="K1480" s="14"/>
      <c r="L1480" s="14"/>
      <c r="M1480" s="13"/>
    </row>
    <row r="1481" customFormat="false" ht="15" hidden="false" customHeight="false" outlineLevel="0" collapsed="false">
      <c r="A1481" s="6" t="n">
        <v>1477</v>
      </c>
      <c r="B1481" s="8" t="s">
        <v>2317</v>
      </c>
      <c r="C1481" s="8" t="s">
        <v>878</v>
      </c>
      <c r="D1481" s="9"/>
      <c r="E1481" s="10"/>
      <c r="F1481" s="11"/>
      <c r="G1481" s="12"/>
      <c r="H1481" s="11" t="n">
        <v>0.00282233796296296</v>
      </c>
      <c r="I1481" s="12" t="n">
        <v>377</v>
      </c>
      <c r="J1481" s="14"/>
      <c r="K1481" s="14"/>
      <c r="L1481" s="14"/>
      <c r="M1481" s="13"/>
    </row>
    <row r="1482" customFormat="false" ht="15" hidden="false" customHeight="false" outlineLevel="0" collapsed="false">
      <c r="A1482" s="6" t="n">
        <v>1478</v>
      </c>
      <c r="B1482" s="8" t="s">
        <v>2318</v>
      </c>
      <c r="C1482" s="8" t="s">
        <v>2319</v>
      </c>
      <c r="D1482" s="9"/>
      <c r="E1482" s="10"/>
      <c r="F1482" s="11" t="n">
        <v>0.00704143518518519</v>
      </c>
      <c r="G1482" s="12" t="n">
        <v>379</v>
      </c>
      <c r="H1482" s="11" t="n">
        <v>0.0029400462962963</v>
      </c>
      <c r="I1482" s="12" t="n">
        <v>1200</v>
      </c>
      <c r="J1482" s="14"/>
      <c r="K1482" s="14"/>
      <c r="L1482" s="14"/>
      <c r="M1482" s="13"/>
    </row>
    <row r="1483" customFormat="false" ht="15" hidden="false" customHeight="false" outlineLevel="0" collapsed="false">
      <c r="A1483" s="6" t="n">
        <v>1479</v>
      </c>
      <c r="B1483" s="8" t="s">
        <v>2320</v>
      </c>
      <c r="C1483" s="8" t="s">
        <v>2321</v>
      </c>
      <c r="D1483" s="9"/>
      <c r="E1483" s="10"/>
      <c r="F1483" s="11" t="n">
        <v>0.00704282407407407</v>
      </c>
      <c r="G1483" s="12" t="n">
        <v>380</v>
      </c>
      <c r="H1483" s="11"/>
      <c r="I1483" s="12"/>
      <c r="J1483" s="14"/>
      <c r="K1483" s="14"/>
      <c r="L1483" s="14"/>
      <c r="M1483" s="13"/>
    </row>
    <row r="1484" customFormat="false" ht="15" hidden="false" customHeight="false" outlineLevel="0" collapsed="false">
      <c r="A1484" s="6" t="n">
        <v>1480</v>
      </c>
      <c r="B1484" s="8" t="s">
        <v>2322</v>
      </c>
      <c r="C1484" s="8" t="s">
        <v>2044</v>
      </c>
      <c r="D1484" s="9"/>
      <c r="E1484" s="10"/>
      <c r="F1484" s="11"/>
      <c r="G1484" s="12"/>
      <c r="H1484" s="11" t="n">
        <v>0.00282280092592593</v>
      </c>
      <c r="I1484" s="12" t="n">
        <v>380</v>
      </c>
      <c r="J1484" s="14"/>
      <c r="K1484" s="14"/>
      <c r="L1484" s="14"/>
      <c r="M1484" s="13"/>
    </row>
    <row r="1485" customFormat="false" ht="15" hidden="false" customHeight="false" outlineLevel="0" collapsed="false">
      <c r="A1485" s="6" t="n">
        <v>1481</v>
      </c>
      <c r="B1485" s="8" t="s">
        <v>2323</v>
      </c>
      <c r="C1485" s="8" t="s">
        <v>1985</v>
      </c>
      <c r="D1485" s="9"/>
      <c r="E1485" s="10"/>
      <c r="F1485" s="11" t="n">
        <v>0.00704282407407407</v>
      </c>
      <c r="G1485" s="12" t="n">
        <v>381</v>
      </c>
      <c r="H1485" s="11"/>
      <c r="I1485" s="12"/>
      <c r="J1485" s="14"/>
      <c r="K1485" s="14"/>
      <c r="L1485" s="14"/>
      <c r="M1485" s="13"/>
    </row>
    <row r="1486" customFormat="false" ht="15" hidden="false" customHeight="false" outlineLevel="0" collapsed="false">
      <c r="A1486" s="6" t="n">
        <v>1482</v>
      </c>
      <c r="B1486" s="8" t="s">
        <v>2324</v>
      </c>
      <c r="C1486" s="8" t="s">
        <v>2325</v>
      </c>
      <c r="D1486" s="9"/>
      <c r="E1486" s="10"/>
      <c r="F1486" s="11" t="n">
        <v>0.00704305555555556</v>
      </c>
      <c r="G1486" s="12" t="n">
        <v>382</v>
      </c>
      <c r="H1486" s="11"/>
      <c r="I1486" s="12"/>
      <c r="J1486" s="14"/>
      <c r="K1486" s="14"/>
      <c r="L1486" s="14"/>
      <c r="M1486" s="13"/>
    </row>
    <row r="1487" customFormat="false" ht="15" hidden="false" customHeight="false" outlineLevel="0" collapsed="false">
      <c r="A1487" s="6" t="n">
        <v>1483</v>
      </c>
      <c r="B1487" s="8" t="s">
        <v>2326</v>
      </c>
      <c r="C1487" s="8" t="s">
        <v>2327</v>
      </c>
      <c r="D1487" s="9"/>
      <c r="E1487" s="10"/>
      <c r="F1487" s="11"/>
      <c r="G1487" s="12"/>
      <c r="H1487" s="11" t="n">
        <v>0.00282326388888889</v>
      </c>
      <c r="I1487" s="12" t="n">
        <v>383</v>
      </c>
      <c r="J1487" s="14"/>
      <c r="K1487" s="14"/>
      <c r="L1487" s="14"/>
      <c r="M1487" s="13"/>
    </row>
    <row r="1488" customFormat="false" ht="15" hidden="false" customHeight="false" outlineLevel="0" collapsed="false">
      <c r="A1488" s="6" t="n">
        <v>1484</v>
      </c>
      <c r="B1488" s="8" t="s">
        <v>2328</v>
      </c>
      <c r="C1488" s="8" t="s">
        <v>2329</v>
      </c>
      <c r="D1488" s="9"/>
      <c r="E1488" s="10"/>
      <c r="F1488" s="11" t="n">
        <v>0.00704444444444444</v>
      </c>
      <c r="G1488" s="12" t="n">
        <v>384</v>
      </c>
      <c r="H1488" s="11"/>
      <c r="I1488" s="12"/>
      <c r="J1488" s="14"/>
      <c r="K1488" s="14"/>
      <c r="L1488" s="14"/>
      <c r="M1488" s="13"/>
    </row>
    <row r="1489" customFormat="false" ht="15" hidden="false" customHeight="false" outlineLevel="0" collapsed="false">
      <c r="A1489" s="6" t="n">
        <v>1485</v>
      </c>
      <c r="B1489" s="8" t="s">
        <v>2330</v>
      </c>
      <c r="C1489" s="8" t="s">
        <v>704</v>
      </c>
      <c r="D1489" s="9"/>
      <c r="E1489" s="10"/>
      <c r="F1489" s="11"/>
      <c r="G1489" s="12"/>
      <c r="H1489" s="11" t="n">
        <v>0.00282361111111111</v>
      </c>
      <c r="I1489" s="12" t="n">
        <v>384</v>
      </c>
      <c r="J1489" s="14"/>
      <c r="K1489" s="14"/>
      <c r="L1489" s="14"/>
      <c r="M1489" s="13"/>
    </row>
    <row r="1490" customFormat="false" ht="15" hidden="false" customHeight="false" outlineLevel="0" collapsed="false">
      <c r="A1490" s="6" t="n">
        <v>1486</v>
      </c>
      <c r="B1490" s="8" t="s">
        <v>2331</v>
      </c>
      <c r="C1490" s="8" t="s">
        <v>1353</v>
      </c>
      <c r="D1490" s="9"/>
      <c r="E1490" s="10"/>
      <c r="F1490" s="11" t="n">
        <v>0.00704467592592593</v>
      </c>
      <c r="G1490" s="12" t="n">
        <v>385</v>
      </c>
      <c r="H1490" s="11"/>
      <c r="I1490" s="12"/>
      <c r="J1490" s="14"/>
      <c r="K1490" s="14"/>
      <c r="L1490" s="14"/>
      <c r="M1490" s="13"/>
    </row>
    <row r="1491" customFormat="false" ht="15" hidden="false" customHeight="false" outlineLevel="0" collapsed="false">
      <c r="A1491" s="6" t="n">
        <v>1487</v>
      </c>
      <c r="B1491" s="8" t="s">
        <v>2332</v>
      </c>
      <c r="C1491" s="8" t="s">
        <v>900</v>
      </c>
      <c r="D1491" s="9"/>
      <c r="E1491" s="10"/>
      <c r="F1491" s="11" t="n">
        <v>0.00704675925925926</v>
      </c>
      <c r="G1491" s="12" t="n">
        <v>386</v>
      </c>
      <c r="H1491" s="11"/>
      <c r="I1491" s="12"/>
      <c r="J1491" s="14"/>
      <c r="K1491" s="14"/>
      <c r="L1491" s="14"/>
      <c r="M1491" s="13"/>
    </row>
    <row r="1492" customFormat="false" ht="15" hidden="false" customHeight="false" outlineLevel="0" collapsed="false">
      <c r="A1492" s="6" t="n">
        <v>1488</v>
      </c>
      <c r="B1492" s="8" t="s">
        <v>2333</v>
      </c>
      <c r="C1492" s="8" t="s">
        <v>1332</v>
      </c>
      <c r="D1492" s="9"/>
      <c r="E1492" s="10"/>
      <c r="F1492" s="11" t="n">
        <v>0.00704699074074074</v>
      </c>
      <c r="G1492" s="12" t="n">
        <v>388</v>
      </c>
      <c r="H1492" s="11"/>
      <c r="I1492" s="12"/>
      <c r="J1492" s="14"/>
      <c r="K1492" s="14"/>
      <c r="L1492" s="14"/>
      <c r="M1492" s="13"/>
    </row>
    <row r="1493" customFormat="false" ht="15" hidden="false" customHeight="false" outlineLevel="0" collapsed="false">
      <c r="A1493" s="6" t="n">
        <v>1489</v>
      </c>
      <c r="B1493" s="8" t="s">
        <v>2334</v>
      </c>
      <c r="C1493" s="8" t="s">
        <v>891</v>
      </c>
      <c r="D1493" s="9"/>
      <c r="E1493" s="10"/>
      <c r="F1493" s="11"/>
      <c r="G1493" s="12"/>
      <c r="H1493" s="11" t="n">
        <v>0.00282407407407407</v>
      </c>
      <c r="I1493" s="12" t="n">
        <v>388</v>
      </c>
      <c r="J1493" s="14" t="s">
        <v>1547</v>
      </c>
      <c r="K1493" s="14"/>
      <c r="L1493" s="14"/>
      <c r="M1493" s="13"/>
    </row>
    <row r="1494" customFormat="false" ht="15" hidden="false" customHeight="false" outlineLevel="0" collapsed="false">
      <c r="A1494" s="6" t="n">
        <v>1490</v>
      </c>
      <c r="B1494" s="8" t="s">
        <v>2335</v>
      </c>
      <c r="C1494" s="8" t="s">
        <v>197</v>
      </c>
      <c r="D1494" s="9"/>
      <c r="E1494" s="10"/>
      <c r="F1494" s="11" t="n">
        <v>0.00705023148148148</v>
      </c>
      <c r="G1494" s="12" t="n">
        <v>390</v>
      </c>
      <c r="H1494" s="11"/>
      <c r="I1494" s="12"/>
      <c r="J1494" s="14"/>
      <c r="K1494" s="14"/>
      <c r="L1494" s="14"/>
      <c r="M1494" s="13"/>
    </row>
    <row r="1495" customFormat="false" ht="15" hidden="false" customHeight="false" outlineLevel="0" collapsed="false">
      <c r="A1495" s="6" t="n">
        <v>1491</v>
      </c>
      <c r="B1495" s="8" t="s">
        <v>2336</v>
      </c>
      <c r="C1495" s="8" t="s">
        <v>136</v>
      </c>
      <c r="D1495" s="9"/>
      <c r="E1495" s="10"/>
      <c r="F1495" s="11" t="n">
        <v>0.00705046296296296</v>
      </c>
      <c r="G1495" s="12" t="n">
        <v>391</v>
      </c>
      <c r="H1495" s="11"/>
      <c r="I1495" s="12"/>
      <c r="J1495" s="14"/>
      <c r="K1495" s="14"/>
      <c r="L1495" s="14"/>
      <c r="M1495" s="13"/>
    </row>
    <row r="1496" customFormat="false" ht="15" hidden="false" customHeight="false" outlineLevel="0" collapsed="false">
      <c r="A1496" s="6" t="n">
        <v>1492</v>
      </c>
      <c r="B1496" s="8" t="s">
        <v>2337</v>
      </c>
      <c r="C1496" s="8" t="s">
        <v>810</v>
      </c>
      <c r="D1496" s="9"/>
      <c r="E1496" s="10"/>
      <c r="F1496" s="11" t="n">
        <v>0.00705092592592593</v>
      </c>
      <c r="G1496" s="12" t="n">
        <v>392</v>
      </c>
      <c r="H1496" s="11"/>
      <c r="I1496" s="12"/>
      <c r="J1496" s="14"/>
      <c r="K1496" s="14"/>
      <c r="L1496" s="14"/>
      <c r="M1496" s="13"/>
    </row>
    <row r="1497" customFormat="false" ht="15" hidden="false" customHeight="false" outlineLevel="0" collapsed="false">
      <c r="A1497" s="6" t="n">
        <v>1493</v>
      </c>
      <c r="B1497" s="8" t="s">
        <v>2338</v>
      </c>
      <c r="C1497" s="8" t="s">
        <v>2339</v>
      </c>
      <c r="D1497" s="9"/>
      <c r="E1497" s="10"/>
      <c r="F1497" s="11"/>
      <c r="G1497" s="12"/>
      <c r="H1497" s="11" t="n">
        <v>0.00282488425925926</v>
      </c>
      <c r="I1497" s="12" t="n">
        <v>392</v>
      </c>
      <c r="J1497" s="14"/>
      <c r="K1497" s="14"/>
      <c r="L1497" s="14"/>
      <c r="M1497" s="13"/>
    </row>
    <row r="1498" customFormat="false" ht="15" hidden="false" customHeight="false" outlineLevel="0" collapsed="false">
      <c r="A1498" s="6" t="n">
        <v>1494</v>
      </c>
      <c r="B1498" s="8" t="s">
        <v>2340</v>
      </c>
      <c r="C1498" s="8" t="s">
        <v>2341</v>
      </c>
      <c r="D1498" s="9"/>
      <c r="E1498" s="10"/>
      <c r="F1498" s="11" t="n">
        <v>0.00705416666666667</v>
      </c>
      <c r="G1498" s="12" t="n">
        <v>393</v>
      </c>
      <c r="H1498" s="11" t="n">
        <v>0.00295925925925926</v>
      </c>
      <c r="I1498" s="12" t="n">
        <v>1266</v>
      </c>
      <c r="J1498" s="14"/>
      <c r="K1498" s="14"/>
      <c r="L1498" s="14"/>
      <c r="M1498" s="13"/>
    </row>
    <row r="1499" customFormat="false" ht="15" hidden="false" customHeight="false" outlineLevel="0" collapsed="false">
      <c r="A1499" s="6" t="n">
        <v>1495</v>
      </c>
      <c r="B1499" s="8" t="s">
        <v>2342</v>
      </c>
      <c r="C1499" s="8" t="s">
        <v>891</v>
      </c>
      <c r="D1499" s="9"/>
      <c r="E1499" s="10"/>
      <c r="F1499" s="11" t="n">
        <v>0.00705462962962963</v>
      </c>
      <c r="G1499" s="12" t="n">
        <v>395</v>
      </c>
      <c r="H1499" s="11"/>
      <c r="I1499" s="12"/>
      <c r="J1499" s="14" t="s">
        <v>2343</v>
      </c>
      <c r="K1499" s="14"/>
      <c r="L1499" s="14"/>
      <c r="M1499" s="13"/>
    </row>
    <row r="1500" customFormat="false" ht="15" hidden="false" customHeight="false" outlineLevel="0" collapsed="false">
      <c r="A1500" s="6" t="n">
        <v>1496</v>
      </c>
      <c r="B1500" s="8" t="s">
        <v>2344</v>
      </c>
      <c r="C1500" s="8" t="s">
        <v>566</v>
      </c>
      <c r="D1500" s="9"/>
      <c r="E1500" s="10"/>
      <c r="F1500" s="11"/>
      <c r="G1500" s="12"/>
      <c r="H1500" s="11" t="n">
        <v>0.00282581018518519</v>
      </c>
      <c r="I1500" s="12" t="n">
        <v>397</v>
      </c>
      <c r="J1500" s="14"/>
      <c r="K1500" s="14"/>
      <c r="L1500" s="14"/>
      <c r="M1500" s="13"/>
    </row>
    <row r="1501" customFormat="false" ht="15" hidden="false" customHeight="false" outlineLevel="0" collapsed="false">
      <c r="A1501" s="6" t="n">
        <v>1497</v>
      </c>
      <c r="B1501" s="8" t="s">
        <v>2345</v>
      </c>
      <c r="C1501" s="8" t="s">
        <v>783</v>
      </c>
      <c r="D1501" s="9"/>
      <c r="E1501" s="10"/>
      <c r="F1501" s="11" t="n">
        <v>0.00705648148148148</v>
      </c>
      <c r="G1501" s="12" t="n">
        <v>398</v>
      </c>
      <c r="H1501" s="11"/>
      <c r="I1501" s="12"/>
      <c r="J1501" s="14"/>
      <c r="K1501" s="14"/>
      <c r="L1501" s="14"/>
      <c r="M1501" s="13"/>
    </row>
    <row r="1502" customFormat="false" ht="15" hidden="false" customHeight="false" outlineLevel="0" collapsed="false">
      <c r="A1502" s="6" t="n">
        <v>1498</v>
      </c>
      <c r="B1502" s="8" t="s">
        <v>2346</v>
      </c>
      <c r="C1502" s="8" t="s">
        <v>1708</v>
      </c>
      <c r="D1502" s="9"/>
      <c r="E1502" s="10"/>
      <c r="F1502" s="11" t="n">
        <v>0.00705925925925926</v>
      </c>
      <c r="G1502" s="12" t="n">
        <v>400</v>
      </c>
      <c r="H1502" s="11" t="n">
        <v>0.00286956018518519</v>
      </c>
      <c r="I1502" s="12" t="n">
        <v>690</v>
      </c>
      <c r="J1502" s="14"/>
      <c r="K1502" s="14"/>
      <c r="L1502" s="14"/>
      <c r="M1502" s="13"/>
    </row>
    <row r="1503" customFormat="false" ht="15" hidden="false" customHeight="false" outlineLevel="0" collapsed="false">
      <c r="A1503" s="6" t="n">
        <v>1499</v>
      </c>
      <c r="B1503" s="8" t="s">
        <v>2347</v>
      </c>
      <c r="C1503" s="8" t="s">
        <v>2253</v>
      </c>
      <c r="D1503" s="9"/>
      <c r="E1503" s="10"/>
      <c r="F1503" s="11"/>
      <c r="G1503" s="12"/>
      <c r="H1503" s="11" t="n">
        <v>0.00282627314814815</v>
      </c>
      <c r="I1503" s="12" t="n">
        <v>400</v>
      </c>
      <c r="J1503" s="14"/>
      <c r="K1503" s="14"/>
      <c r="L1503" s="14"/>
      <c r="M1503" s="13"/>
    </row>
    <row r="1504" customFormat="false" ht="15" hidden="false" customHeight="false" outlineLevel="0" collapsed="false">
      <c r="A1504" s="6" t="n">
        <v>1500</v>
      </c>
      <c r="B1504" s="8" t="s">
        <v>2348</v>
      </c>
      <c r="C1504" s="8" t="s">
        <v>1761</v>
      </c>
      <c r="D1504" s="9"/>
      <c r="E1504" s="10"/>
      <c r="F1504" s="11" t="n">
        <v>0.00705949074074074</v>
      </c>
      <c r="G1504" s="12" t="n">
        <v>401</v>
      </c>
      <c r="H1504" s="11"/>
      <c r="I1504" s="12"/>
      <c r="J1504" s="14"/>
      <c r="K1504" s="14"/>
      <c r="L1504" s="14"/>
      <c r="M1504" s="13"/>
    </row>
    <row r="1505" customFormat="false" ht="15" hidden="false" customHeight="false" outlineLevel="0" collapsed="false">
      <c r="A1505" s="6" t="n">
        <v>1501</v>
      </c>
      <c r="B1505" s="8" t="s">
        <v>2349</v>
      </c>
      <c r="C1505" s="8" t="s">
        <v>2350</v>
      </c>
      <c r="D1505" s="9"/>
      <c r="E1505" s="10"/>
      <c r="F1505" s="11" t="n">
        <v>0.00706284722222222</v>
      </c>
      <c r="G1505" s="12" t="n">
        <v>402</v>
      </c>
      <c r="H1505" s="11" t="n">
        <v>0.00284606481481482</v>
      </c>
      <c r="I1505" s="12" t="n">
        <v>544</v>
      </c>
      <c r="J1505" s="14"/>
      <c r="K1505" s="14"/>
      <c r="L1505" s="14"/>
      <c r="M1505" s="13"/>
    </row>
    <row r="1506" customFormat="false" ht="15" hidden="false" customHeight="false" outlineLevel="0" collapsed="false">
      <c r="A1506" s="6" t="n">
        <v>1502</v>
      </c>
      <c r="B1506" s="8" t="s">
        <v>2351</v>
      </c>
      <c r="C1506" s="8" t="s">
        <v>2352</v>
      </c>
      <c r="D1506" s="9"/>
      <c r="E1506" s="10"/>
      <c r="F1506" s="11" t="n">
        <v>0.0070630787037037</v>
      </c>
      <c r="G1506" s="12" t="n">
        <v>403</v>
      </c>
      <c r="H1506" s="11"/>
      <c r="I1506" s="12"/>
      <c r="J1506" s="14"/>
      <c r="K1506" s="14"/>
      <c r="L1506" s="14"/>
      <c r="M1506" s="13"/>
    </row>
    <row r="1507" customFormat="false" ht="15" hidden="false" customHeight="false" outlineLevel="0" collapsed="false">
      <c r="A1507" s="6" t="n">
        <v>1503</v>
      </c>
      <c r="B1507" s="8" t="s">
        <v>2353</v>
      </c>
      <c r="C1507" s="8" t="s">
        <v>2354</v>
      </c>
      <c r="D1507" s="9"/>
      <c r="E1507" s="10"/>
      <c r="F1507" s="11"/>
      <c r="G1507" s="12"/>
      <c r="H1507" s="11" t="n">
        <v>0.00282696759259259</v>
      </c>
      <c r="I1507" s="12" t="n">
        <v>404</v>
      </c>
      <c r="J1507" s="14"/>
      <c r="K1507" s="14"/>
      <c r="L1507" s="14"/>
      <c r="M1507" s="13"/>
    </row>
    <row r="1508" customFormat="false" ht="15" hidden="false" customHeight="false" outlineLevel="0" collapsed="false">
      <c r="A1508" s="6" t="n">
        <v>1504</v>
      </c>
      <c r="B1508" s="8" t="s">
        <v>2355</v>
      </c>
      <c r="C1508" s="8" t="s">
        <v>760</v>
      </c>
      <c r="D1508" s="9"/>
      <c r="E1508" s="10"/>
      <c r="F1508" s="11" t="n">
        <v>0.00706331018518519</v>
      </c>
      <c r="G1508" s="12" t="n">
        <v>405</v>
      </c>
      <c r="H1508" s="11"/>
      <c r="I1508" s="12"/>
      <c r="J1508" s="14"/>
      <c r="K1508" s="14"/>
      <c r="L1508" s="14"/>
      <c r="M1508" s="13"/>
    </row>
    <row r="1509" customFormat="false" ht="15" hidden="false" customHeight="false" outlineLevel="0" collapsed="false">
      <c r="A1509" s="6" t="n">
        <v>1505</v>
      </c>
      <c r="B1509" s="8" t="s">
        <v>2356</v>
      </c>
      <c r="C1509" s="8" t="s">
        <v>2357</v>
      </c>
      <c r="D1509" s="9"/>
      <c r="E1509" s="10"/>
      <c r="F1509" s="11"/>
      <c r="G1509" s="12"/>
      <c r="H1509" s="11" t="n">
        <v>0.00282719907407407</v>
      </c>
      <c r="I1509" s="12" t="n">
        <v>407</v>
      </c>
      <c r="J1509" s="14"/>
      <c r="K1509" s="14"/>
      <c r="L1509" s="14"/>
      <c r="M1509" s="13"/>
    </row>
    <row r="1510" customFormat="false" ht="15" hidden="false" customHeight="false" outlineLevel="0" collapsed="false">
      <c r="A1510" s="6" t="n">
        <v>1506</v>
      </c>
      <c r="B1510" s="8" t="s">
        <v>2358</v>
      </c>
      <c r="C1510" s="8" t="s">
        <v>212</v>
      </c>
      <c r="D1510" s="9"/>
      <c r="E1510" s="10"/>
      <c r="F1510" s="11" t="n">
        <v>0.0070650462962963</v>
      </c>
      <c r="G1510" s="12" t="n">
        <v>408</v>
      </c>
      <c r="H1510" s="11"/>
      <c r="I1510" s="12"/>
      <c r="J1510" s="14"/>
      <c r="K1510" s="14"/>
      <c r="L1510" s="14"/>
      <c r="M1510" s="13"/>
    </row>
    <row r="1511" customFormat="false" ht="15" hidden="false" customHeight="false" outlineLevel="0" collapsed="false">
      <c r="A1511" s="6" t="n">
        <v>1507</v>
      </c>
      <c r="B1511" s="8" t="s">
        <v>2359</v>
      </c>
      <c r="C1511" s="8" t="s">
        <v>2360</v>
      </c>
      <c r="D1511" s="9"/>
      <c r="E1511" s="10"/>
      <c r="F1511" s="11"/>
      <c r="G1511" s="12"/>
      <c r="H1511" s="11" t="n">
        <v>0.00282777777777778</v>
      </c>
      <c r="I1511" s="12" t="n">
        <v>408</v>
      </c>
      <c r="J1511" s="14"/>
      <c r="K1511" s="14"/>
      <c r="L1511" s="14"/>
      <c r="M1511" s="13"/>
    </row>
    <row r="1512" customFormat="false" ht="15" hidden="false" customHeight="false" outlineLevel="0" collapsed="false">
      <c r="A1512" s="6" t="n">
        <v>1508</v>
      </c>
      <c r="B1512" s="8" t="s">
        <v>2361</v>
      </c>
      <c r="C1512" s="8" t="s">
        <v>2362</v>
      </c>
      <c r="D1512" s="9"/>
      <c r="E1512" s="10"/>
      <c r="F1512" s="11" t="n">
        <v>0.00706539351851852</v>
      </c>
      <c r="G1512" s="12" t="n">
        <v>409</v>
      </c>
      <c r="H1512" s="11"/>
      <c r="I1512" s="12"/>
      <c r="J1512" s="14"/>
      <c r="K1512" s="14"/>
      <c r="L1512" s="14"/>
      <c r="M1512" s="13"/>
    </row>
    <row r="1513" customFormat="false" ht="15" hidden="false" customHeight="false" outlineLevel="0" collapsed="false">
      <c r="A1513" s="6" t="n">
        <v>1509</v>
      </c>
      <c r="B1513" s="8" t="s">
        <v>2363</v>
      </c>
      <c r="C1513" s="8" t="s">
        <v>2364</v>
      </c>
      <c r="D1513" s="9"/>
      <c r="E1513" s="10"/>
      <c r="F1513" s="11" t="n">
        <v>0.00706574074074074</v>
      </c>
      <c r="G1513" s="12" t="n">
        <v>411</v>
      </c>
      <c r="H1513" s="11"/>
      <c r="I1513" s="12"/>
      <c r="J1513" s="14"/>
      <c r="K1513" s="14"/>
      <c r="L1513" s="14"/>
      <c r="M1513" s="13"/>
    </row>
    <row r="1514" customFormat="false" ht="15" hidden="false" customHeight="false" outlineLevel="0" collapsed="false">
      <c r="A1514" s="6" t="n">
        <v>1510</v>
      </c>
      <c r="B1514" s="8" t="s">
        <v>2365</v>
      </c>
      <c r="C1514" s="8" t="s">
        <v>2366</v>
      </c>
      <c r="D1514" s="9"/>
      <c r="E1514" s="10"/>
      <c r="F1514" s="11"/>
      <c r="G1514" s="12"/>
      <c r="H1514" s="11" t="n">
        <v>0.002828125</v>
      </c>
      <c r="I1514" s="12" t="n">
        <v>411</v>
      </c>
      <c r="J1514" s="14"/>
      <c r="K1514" s="14"/>
      <c r="L1514" s="14"/>
      <c r="M1514" s="13"/>
    </row>
    <row r="1515" customFormat="false" ht="15" hidden="false" customHeight="false" outlineLevel="0" collapsed="false">
      <c r="A1515" s="6" t="n">
        <v>1511</v>
      </c>
      <c r="B1515" s="8" t="s">
        <v>2367</v>
      </c>
      <c r="C1515" s="8" t="s">
        <v>1308</v>
      </c>
      <c r="D1515" s="9"/>
      <c r="E1515" s="10"/>
      <c r="F1515" s="11" t="n">
        <v>0.00706863425925926</v>
      </c>
      <c r="G1515" s="12" t="n">
        <v>412</v>
      </c>
      <c r="H1515" s="11"/>
      <c r="I1515" s="12"/>
      <c r="J1515" s="14"/>
      <c r="K1515" s="14"/>
      <c r="L1515" s="14"/>
      <c r="M1515" s="13"/>
    </row>
    <row r="1516" customFormat="false" ht="15" hidden="false" customHeight="false" outlineLevel="0" collapsed="false">
      <c r="A1516" s="6" t="n">
        <v>1512</v>
      </c>
      <c r="B1516" s="8" t="s">
        <v>2368</v>
      </c>
      <c r="C1516" s="8" t="s">
        <v>1462</v>
      </c>
      <c r="D1516" s="9"/>
      <c r="E1516" s="10"/>
      <c r="F1516" s="11" t="n">
        <v>0.00706967592592593</v>
      </c>
      <c r="G1516" s="12" t="n">
        <v>414</v>
      </c>
      <c r="H1516" s="11"/>
      <c r="I1516" s="12"/>
      <c r="J1516" s="14"/>
      <c r="K1516" s="14"/>
      <c r="L1516" s="14"/>
      <c r="M1516" s="13"/>
    </row>
    <row r="1517" customFormat="false" ht="15" hidden="false" customHeight="false" outlineLevel="0" collapsed="false">
      <c r="A1517" s="6" t="n">
        <v>1513</v>
      </c>
      <c r="B1517" s="8" t="s">
        <v>2369</v>
      </c>
      <c r="C1517" s="8" t="s">
        <v>2304</v>
      </c>
      <c r="D1517" s="9"/>
      <c r="E1517" s="10"/>
      <c r="F1517" s="11" t="n">
        <v>0.00707071759259259</v>
      </c>
      <c r="G1517" s="12" t="n">
        <v>415</v>
      </c>
      <c r="H1517" s="11"/>
      <c r="I1517" s="12"/>
      <c r="J1517" s="14"/>
      <c r="K1517" s="14"/>
      <c r="L1517" s="14"/>
      <c r="M1517" s="13"/>
    </row>
    <row r="1518" customFormat="false" ht="15" hidden="false" customHeight="false" outlineLevel="0" collapsed="false">
      <c r="A1518" s="6" t="n">
        <v>1514</v>
      </c>
      <c r="B1518" s="8" t="s">
        <v>2370</v>
      </c>
      <c r="C1518" s="8" t="s">
        <v>2371</v>
      </c>
      <c r="D1518" s="9"/>
      <c r="E1518" s="10"/>
      <c r="F1518" s="11"/>
      <c r="G1518" s="12"/>
      <c r="H1518" s="11" t="n">
        <v>0.00282858796296296</v>
      </c>
      <c r="I1518" s="12" t="n">
        <v>415</v>
      </c>
      <c r="J1518" s="14"/>
      <c r="K1518" s="14"/>
      <c r="L1518" s="14"/>
      <c r="M1518" s="13"/>
    </row>
    <row r="1519" customFormat="false" ht="15" hidden="false" customHeight="false" outlineLevel="0" collapsed="false">
      <c r="A1519" s="6" t="n">
        <v>1515</v>
      </c>
      <c r="B1519" s="8" t="s">
        <v>2372</v>
      </c>
      <c r="C1519" s="8" t="s">
        <v>2373</v>
      </c>
      <c r="D1519" s="9"/>
      <c r="E1519" s="10"/>
      <c r="F1519" s="11" t="n">
        <v>0.00707083333333333</v>
      </c>
      <c r="G1519" s="12" t="n">
        <v>416</v>
      </c>
      <c r="H1519" s="11" t="n">
        <v>0.00288923611111111</v>
      </c>
      <c r="I1519" s="12" t="n">
        <v>857</v>
      </c>
      <c r="J1519" s="14"/>
      <c r="K1519" s="14"/>
      <c r="L1519" s="14"/>
      <c r="M1519" s="13"/>
    </row>
    <row r="1520" customFormat="false" ht="15" hidden="false" customHeight="false" outlineLevel="0" collapsed="false">
      <c r="A1520" s="6" t="n">
        <v>1516</v>
      </c>
      <c r="B1520" s="8" t="s">
        <v>2374</v>
      </c>
      <c r="C1520" s="8" t="s">
        <v>2375</v>
      </c>
      <c r="D1520" s="9"/>
      <c r="E1520" s="10"/>
      <c r="F1520" s="11" t="n">
        <v>0.00707233796296296</v>
      </c>
      <c r="G1520" s="12" t="n">
        <v>417</v>
      </c>
      <c r="H1520" s="11"/>
      <c r="I1520" s="12"/>
      <c r="J1520" s="14"/>
      <c r="K1520" s="14"/>
      <c r="L1520" s="14"/>
      <c r="M1520" s="13"/>
    </row>
    <row r="1521" customFormat="false" ht="15" hidden="false" customHeight="false" outlineLevel="0" collapsed="false">
      <c r="A1521" s="6" t="n">
        <v>1517</v>
      </c>
      <c r="B1521" s="8" t="s">
        <v>2376</v>
      </c>
      <c r="C1521" s="8" t="s">
        <v>2377</v>
      </c>
      <c r="D1521" s="9"/>
      <c r="E1521" s="10"/>
      <c r="F1521" s="11"/>
      <c r="G1521" s="12"/>
      <c r="H1521" s="11" t="n">
        <v>0.00282881944444445</v>
      </c>
      <c r="I1521" s="12" t="n">
        <v>417</v>
      </c>
      <c r="J1521" s="14"/>
      <c r="K1521" s="14"/>
      <c r="L1521" s="14"/>
      <c r="M1521" s="13"/>
    </row>
    <row r="1522" customFormat="false" ht="15" hidden="false" customHeight="false" outlineLevel="0" collapsed="false">
      <c r="A1522" s="6" t="n">
        <v>1518</v>
      </c>
      <c r="B1522" s="8" t="s">
        <v>2378</v>
      </c>
      <c r="C1522" s="8" t="s">
        <v>900</v>
      </c>
      <c r="D1522" s="9"/>
      <c r="E1522" s="10"/>
      <c r="F1522" s="11" t="n">
        <v>0.00707407407407408</v>
      </c>
      <c r="G1522" s="12" t="n">
        <v>419</v>
      </c>
      <c r="H1522" s="11"/>
      <c r="I1522" s="12"/>
      <c r="J1522" s="14"/>
      <c r="K1522" s="14"/>
      <c r="L1522" s="14"/>
      <c r="M1522" s="13"/>
    </row>
    <row r="1523" customFormat="false" ht="15" hidden="false" customHeight="false" outlineLevel="0" collapsed="false">
      <c r="A1523" s="6" t="n">
        <v>1519</v>
      </c>
      <c r="B1523" s="8" t="s">
        <v>2379</v>
      </c>
      <c r="C1523" s="8" t="s">
        <v>496</v>
      </c>
      <c r="D1523" s="9"/>
      <c r="E1523" s="10"/>
      <c r="F1523" s="11" t="n">
        <v>0.00707604166666667</v>
      </c>
      <c r="G1523" s="12" t="n">
        <v>422</v>
      </c>
      <c r="H1523" s="11"/>
      <c r="I1523" s="12"/>
      <c r="J1523" s="14"/>
      <c r="K1523" s="14"/>
      <c r="L1523" s="14"/>
      <c r="M1523" s="13"/>
    </row>
    <row r="1524" customFormat="false" ht="15" hidden="false" customHeight="false" outlineLevel="0" collapsed="false">
      <c r="A1524" s="6" t="n">
        <v>1520</v>
      </c>
      <c r="B1524" s="8" t="s">
        <v>2380</v>
      </c>
      <c r="C1524" s="8" t="s">
        <v>1790</v>
      </c>
      <c r="D1524" s="9"/>
      <c r="E1524" s="10"/>
      <c r="F1524" s="11"/>
      <c r="G1524" s="12"/>
      <c r="H1524" s="11" t="n">
        <v>0.00282928240740741</v>
      </c>
      <c r="I1524" s="12" t="n">
        <v>422</v>
      </c>
      <c r="J1524" s="14"/>
      <c r="K1524" s="14"/>
      <c r="L1524" s="14"/>
      <c r="M1524" s="13"/>
    </row>
    <row r="1525" customFormat="false" ht="15" hidden="false" customHeight="false" outlineLevel="0" collapsed="false">
      <c r="A1525" s="6" t="n">
        <v>1521</v>
      </c>
      <c r="B1525" s="8" t="s">
        <v>2381</v>
      </c>
      <c r="C1525" s="8" t="s">
        <v>202</v>
      </c>
      <c r="D1525" s="9"/>
      <c r="E1525" s="10"/>
      <c r="F1525" s="11" t="n">
        <v>0.00794456018518519</v>
      </c>
      <c r="G1525" s="12" t="n">
        <v>1178</v>
      </c>
      <c r="H1525" s="11" t="n">
        <v>0.00282939814814815</v>
      </c>
      <c r="I1525" s="12" t="n">
        <v>423</v>
      </c>
      <c r="J1525" s="14"/>
      <c r="K1525" s="14"/>
      <c r="L1525" s="14"/>
      <c r="M1525" s="13"/>
    </row>
    <row r="1526" customFormat="false" ht="15" hidden="false" customHeight="false" outlineLevel="0" collapsed="false">
      <c r="A1526" s="6" t="n">
        <v>1522</v>
      </c>
      <c r="B1526" s="8" t="s">
        <v>2382</v>
      </c>
      <c r="C1526" s="8" t="s">
        <v>2383</v>
      </c>
      <c r="D1526" s="9"/>
      <c r="E1526" s="10"/>
      <c r="F1526" s="11" t="n">
        <v>0.00707673611111111</v>
      </c>
      <c r="G1526" s="12" t="n">
        <v>423</v>
      </c>
      <c r="H1526" s="11"/>
      <c r="I1526" s="12"/>
      <c r="J1526" s="14"/>
      <c r="K1526" s="14"/>
      <c r="L1526" s="14"/>
      <c r="M1526" s="13"/>
    </row>
    <row r="1527" customFormat="false" ht="15" hidden="false" customHeight="false" outlineLevel="0" collapsed="false">
      <c r="A1527" s="6" t="n">
        <v>1523</v>
      </c>
      <c r="B1527" s="8" t="s">
        <v>2384</v>
      </c>
      <c r="C1527" s="8" t="s">
        <v>96</v>
      </c>
      <c r="D1527" s="9"/>
      <c r="E1527" s="10"/>
      <c r="F1527" s="11" t="n">
        <v>0.00707731481481482</v>
      </c>
      <c r="G1527" s="12" t="n">
        <v>424</v>
      </c>
      <c r="H1527" s="11"/>
      <c r="I1527" s="12"/>
      <c r="J1527" s="14"/>
      <c r="K1527" s="14"/>
      <c r="L1527" s="14"/>
      <c r="M1527" s="13"/>
    </row>
    <row r="1528" customFormat="false" ht="15" hidden="false" customHeight="false" outlineLevel="0" collapsed="false">
      <c r="A1528" s="6" t="n">
        <v>1524</v>
      </c>
      <c r="B1528" s="8" t="s">
        <v>2385</v>
      </c>
      <c r="C1528" s="8" t="s">
        <v>61</v>
      </c>
      <c r="D1528" s="9"/>
      <c r="E1528" s="10"/>
      <c r="F1528" s="11" t="n">
        <v>0.00707777777777778</v>
      </c>
      <c r="G1528" s="12" t="n">
        <v>425</v>
      </c>
      <c r="H1528" s="11" t="n">
        <v>0.00283368055555556</v>
      </c>
      <c r="I1528" s="12" t="n">
        <v>448</v>
      </c>
      <c r="J1528" s="14"/>
      <c r="K1528" s="14"/>
      <c r="L1528" s="14"/>
      <c r="M1528" s="13"/>
    </row>
    <row r="1529" customFormat="false" ht="15" hidden="false" customHeight="false" outlineLevel="0" collapsed="false">
      <c r="A1529" s="6" t="n">
        <v>1525</v>
      </c>
      <c r="B1529" s="8" t="s">
        <v>2386</v>
      </c>
      <c r="C1529" s="8" t="s">
        <v>2387</v>
      </c>
      <c r="D1529" s="9"/>
      <c r="E1529" s="10"/>
      <c r="F1529" s="11"/>
      <c r="G1529" s="12"/>
      <c r="H1529" s="11" t="n">
        <v>0.00282962962962963</v>
      </c>
      <c r="I1529" s="12" t="n">
        <v>425</v>
      </c>
      <c r="J1529" s="14"/>
      <c r="K1529" s="14"/>
      <c r="L1529" s="14"/>
      <c r="M1529" s="13"/>
    </row>
    <row r="1530" customFormat="false" ht="15" hidden="false" customHeight="false" outlineLevel="0" collapsed="false">
      <c r="A1530" s="6" t="n">
        <v>1526</v>
      </c>
      <c r="B1530" s="8" t="s">
        <v>2388</v>
      </c>
      <c r="C1530" s="8" t="s">
        <v>2389</v>
      </c>
      <c r="D1530" s="9"/>
      <c r="E1530" s="10"/>
      <c r="F1530" s="11" t="n">
        <v>0.00707916666666667</v>
      </c>
      <c r="G1530" s="12" t="n">
        <v>426</v>
      </c>
      <c r="H1530" s="11"/>
      <c r="I1530" s="12"/>
      <c r="J1530" s="14"/>
      <c r="K1530" s="14"/>
      <c r="L1530" s="14"/>
      <c r="M1530" s="13"/>
    </row>
    <row r="1531" customFormat="false" ht="15" hidden="false" customHeight="false" outlineLevel="0" collapsed="false">
      <c r="A1531" s="6" t="n">
        <v>1527</v>
      </c>
      <c r="B1531" s="8" t="s">
        <v>2390</v>
      </c>
      <c r="C1531" s="8" t="s">
        <v>2391</v>
      </c>
      <c r="D1531" s="9"/>
      <c r="E1531" s="10"/>
      <c r="F1531" s="11" t="n">
        <v>0.00708009259259259</v>
      </c>
      <c r="G1531" s="12" t="n">
        <v>428</v>
      </c>
      <c r="H1531" s="11"/>
      <c r="I1531" s="12"/>
      <c r="J1531" s="14"/>
      <c r="K1531" s="14"/>
      <c r="L1531" s="14"/>
      <c r="M1531" s="13"/>
    </row>
    <row r="1532" customFormat="false" ht="15" hidden="false" customHeight="false" outlineLevel="0" collapsed="false">
      <c r="A1532" s="6" t="n">
        <v>1528</v>
      </c>
      <c r="B1532" s="8" t="s">
        <v>2392</v>
      </c>
      <c r="C1532" s="8" t="s">
        <v>730</v>
      </c>
      <c r="D1532" s="9"/>
      <c r="E1532" s="10"/>
      <c r="F1532" s="11" t="n">
        <v>0.00708217592592593</v>
      </c>
      <c r="G1532" s="12" t="n">
        <v>429</v>
      </c>
      <c r="H1532" s="11"/>
      <c r="I1532" s="12"/>
      <c r="J1532" s="14"/>
      <c r="K1532" s="14"/>
      <c r="L1532" s="14"/>
      <c r="M1532" s="13"/>
    </row>
    <row r="1533" customFormat="false" ht="15" hidden="false" customHeight="false" outlineLevel="0" collapsed="false">
      <c r="A1533" s="6" t="n">
        <v>1529</v>
      </c>
      <c r="B1533" s="8" t="s">
        <v>2393</v>
      </c>
      <c r="C1533" s="8" t="s">
        <v>1124</v>
      </c>
      <c r="D1533" s="9"/>
      <c r="E1533" s="10"/>
      <c r="F1533" s="11" t="n">
        <v>0.00708263888888889</v>
      </c>
      <c r="G1533" s="12" t="n">
        <v>431</v>
      </c>
      <c r="H1533" s="11"/>
      <c r="I1533" s="12"/>
      <c r="J1533" s="14"/>
      <c r="K1533" s="14"/>
      <c r="L1533" s="14"/>
      <c r="M1533" s="13"/>
    </row>
    <row r="1534" customFormat="false" ht="15" hidden="false" customHeight="false" outlineLevel="0" collapsed="false">
      <c r="A1534" s="6" t="n">
        <v>1530</v>
      </c>
      <c r="B1534" s="8" t="s">
        <v>2394</v>
      </c>
      <c r="C1534" s="8" t="s">
        <v>120</v>
      </c>
      <c r="D1534" s="9"/>
      <c r="E1534" s="10"/>
      <c r="F1534" s="11"/>
      <c r="G1534" s="12"/>
      <c r="H1534" s="11" t="n">
        <v>0.00283101851851852</v>
      </c>
      <c r="I1534" s="12" t="n">
        <v>433</v>
      </c>
      <c r="J1534" s="14"/>
      <c r="K1534" s="14"/>
      <c r="L1534" s="14"/>
      <c r="M1534" s="13"/>
    </row>
    <row r="1535" customFormat="false" ht="15" hidden="false" customHeight="false" outlineLevel="0" collapsed="false">
      <c r="A1535" s="6" t="n">
        <v>1531</v>
      </c>
      <c r="B1535" s="8" t="s">
        <v>2395</v>
      </c>
      <c r="C1535" s="8" t="s">
        <v>1469</v>
      </c>
      <c r="D1535" s="9"/>
      <c r="E1535" s="10"/>
      <c r="F1535" s="11" t="n">
        <v>0.00708622685185185</v>
      </c>
      <c r="G1535" s="12" t="n">
        <v>434</v>
      </c>
      <c r="H1535" s="11"/>
      <c r="I1535" s="12"/>
      <c r="J1535" s="14"/>
      <c r="K1535" s="14" t="s">
        <v>2396</v>
      </c>
      <c r="L1535" s="14"/>
      <c r="M1535" s="13"/>
    </row>
    <row r="1536" customFormat="false" ht="15" hidden="false" customHeight="false" outlineLevel="0" collapsed="false">
      <c r="A1536" s="6" t="n">
        <v>1532</v>
      </c>
      <c r="B1536" s="8" t="s">
        <v>2397</v>
      </c>
      <c r="C1536" s="8" t="s">
        <v>1277</v>
      </c>
      <c r="D1536" s="9"/>
      <c r="E1536" s="10"/>
      <c r="F1536" s="11"/>
      <c r="G1536" s="12"/>
      <c r="H1536" s="11" t="n">
        <v>0.00283159722222222</v>
      </c>
      <c r="I1536" s="12" t="n">
        <v>434</v>
      </c>
      <c r="J1536" s="14"/>
      <c r="K1536" s="14"/>
      <c r="L1536" s="14"/>
      <c r="M1536" s="13"/>
    </row>
    <row r="1537" customFormat="false" ht="15" hidden="false" customHeight="false" outlineLevel="0" collapsed="false">
      <c r="A1537" s="6" t="n">
        <v>1533</v>
      </c>
      <c r="B1537" s="8" t="s">
        <v>2398</v>
      </c>
      <c r="C1537" s="8" t="s">
        <v>172</v>
      </c>
      <c r="D1537" s="9"/>
      <c r="E1537" s="10"/>
      <c r="F1537" s="11" t="n">
        <v>0.0070869212962963</v>
      </c>
      <c r="G1537" s="12" t="n">
        <v>436</v>
      </c>
      <c r="H1537" s="11"/>
      <c r="I1537" s="12"/>
      <c r="J1537" s="14"/>
      <c r="K1537" s="14"/>
      <c r="L1537" s="14"/>
      <c r="M1537" s="13"/>
    </row>
    <row r="1538" customFormat="false" ht="15" hidden="false" customHeight="false" outlineLevel="0" collapsed="false">
      <c r="A1538" s="6" t="n">
        <v>1534</v>
      </c>
      <c r="B1538" s="8" t="s">
        <v>2399</v>
      </c>
      <c r="C1538" s="8" t="s">
        <v>241</v>
      </c>
      <c r="D1538" s="9"/>
      <c r="E1538" s="10"/>
      <c r="F1538" s="11" t="n">
        <v>0.00709085648148148</v>
      </c>
      <c r="G1538" s="12" t="n">
        <v>438</v>
      </c>
      <c r="H1538" s="11"/>
      <c r="I1538" s="12"/>
      <c r="J1538" s="14"/>
      <c r="K1538" s="14"/>
      <c r="L1538" s="14"/>
      <c r="M1538" s="13"/>
    </row>
    <row r="1539" customFormat="false" ht="15" hidden="false" customHeight="false" outlineLevel="0" collapsed="false">
      <c r="A1539" s="6" t="n">
        <v>1535</v>
      </c>
      <c r="B1539" s="8" t="s">
        <v>2400</v>
      </c>
      <c r="C1539" s="8" t="s">
        <v>188</v>
      </c>
      <c r="D1539" s="9"/>
      <c r="E1539" s="10"/>
      <c r="F1539" s="11"/>
      <c r="G1539" s="12"/>
      <c r="H1539" s="11" t="n">
        <v>0.0028318287037037</v>
      </c>
      <c r="I1539" s="12" t="n">
        <v>438</v>
      </c>
      <c r="J1539" s="14"/>
      <c r="K1539" s="14"/>
      <c r="L1539" s="14"/>
      <c r="M1539" s="13"/>
    </row>
    <row r="1540" customFormat="false" ht="15" hidden="false" customHeight="false" outlineLevel="0" collapsed="false">
      <c r="A1540" s="6" t="n">
        <v>1536</v>
      </c>
      <c r="B1540" s="8" t="s">
        <v>2401</v>
      </c>
      <c r="C1540" s="8" t="s">
        <v>1335</v>
      </c>
      <c r="D1540" s="9"/>
      <c r="E1540" s="10"/>
      <c r="F1540" s="11" t="n">
        <v>0.00709201388888889</v>
      </c>
      <c r="G1540" s="12" t="n">
        <v>439</v>
      </c>
      <c r="H1540" s="11"/>
      <c r="I1540" s="12"/>
      <c r="J1540" s="14"/>
      <c r="K1540" s="14"/>
      <c r="L1540" s="14"/>
      <c r="M1540" s="13"/>
    </row>
    <row r="1541" customFormat="false" ht="15" hidden="false" customHeight="false" outlineLevel="0" collapsed="false">
      <c r="A1541" s="6" t="n">
        <v>1537</v>
      </c>
      <c r="B1541" s="8" t="s">
        <v>2402</v>
      </c>
      <c r="C1541" s="8" t="s">
        <v>1099</v>
      </c>
      <c r="D1541" s="9"/>
      <c r="E1541" s="10"/>
      <c r="F1541" s="11"/>
      <c r="G1541" s="12"/>
      <c r="H1541" s="11" t="n">
        <v>0.00283194444444445</v>
      </c>
      <c r="I1541" s="12" t="n">
        <v>439</v>
      </c>
      <c r="J1541" s="14"/>
      <c r="K1541" s="14"/>
      <c r="L1541" s="14"/>
      <c r="M1541" s="13"/>
    </row>
    <row r="1542" customFormat="false" ht="15" hidden="false" customHeight="false" outlineLevel="0" collapsed="false">
      <c r="A1542" s="6" t="n">
        <v>1538</v>
      </c>
      <c r="B1542" s="8" t="s">
        <v>2403</v>
      </c>
      <c r="C1542" s="8" t="s">
        <v>1303</v>
      </c>
      <c r="D1542" s="9"/>
      <c r="E1542" s="10"/>
      <c r="F1542" s="11" t="n">
        <v>0.00709409722222222</v>
      </c>
      <c r="G1542" s="12" t="n">
        <v>440</v>
      </c>
      <c r="H1542" s="11"/>
      <c r="I1542" s="12"/>
      <c r="J1542" s="14"/>
      <c r="K1542" s="14"/>
      <c r="L1542" s="14"/>
      <c r="M1542" s="13"/>
    </row>
    <row r="1543" customFormat="false" ht="15" hidden="false" customHeight="false" outlineLevel="0" collapsed="false">
      <c r="A1543" s="6" t="n">
        <v>1539</v>
      </c>
      <c r="B1543" s="8" t="s">
        <v>2404</v>
      </c>
      <c r="C1543" s="8" t="s">
        <v>1405</v>
      </c>
      <c r="D1543" s="9"/>
      <c r="E1543" s="10"/>
      <c r="F1543" s="11"/>
      <c r="G1543" s="12"/>
      <c r="H1543" s="11" t="n">
        <v>0.00283217592592593</v>
      </c>
      <c r="I1543" s="12" t="n">
        <v>440</v>
      </c>
      <c r="J1543" s="14"/>
      <c r="K1543" s="14"/>
      <c r="L1543" s="14"/>
      <c r="M1543" s="13"/>
    </row>
    <row r="1544" customFormat="false" ht="15" hidden="false" customHeight="false" outlineLevel="0" collapsed="false">
      <c r="A1544" s="6" t="n">
        <v>1540</v>
      </c>
      <c r="B1544" s="8" t="s">
        <v>2405</v>
      </c>
      <c r="C1544" s="8" t="s">
        <v>2406</v>
      </c>
      <c r="D1544" s="9"/>
      <c r="E1544" s="10"/>
      <c r="F1544" s="11" t="n">
        <v>0.0070943287037037</v>
      </c>
      <c r="G1544" s="12" t="n">
        <v>441</v>
      </c>
      <c r="H1544" s="11"/>
      <c r="I1544" s="12"/>
      <c r="J1544" s="14"/>
      <c r="K1544" s="14"/>
      <c r="L1544" s="14"/>
      <c r="M1544" s="13"/>
    </row>
    <row r="1545" customFormat="false" ht="15" hidden="false" customHeight="false" outlineLevel="0" collapsed="false">
      <c r="A1545" s="6" t="n">
        <v>1541</v>
      </c>
      <c r="B1545" s="8" t="s">
        <v>2407</v>
      </c>
      <c r="C1545" s="8" t="s">
        <v>52</v>
      </c>
      <c r="D1545" s="9"/>
      <c r="E1545" s="10"/>
      <c r="F1545" s="11" t="n">
        <v>0.00709722222222222</v>
      </c>
      <c r="G1545" s="12" t="n">
        <v>445</v>
      </c>
      <c r="H1545" s="11" t="n">
        <v>0.00292361111111111</v>
      </c>
      <c r="I1545" s="12" t="n">
        <v>1134</v>
      </c>
      <c r="J1545" s="14"/>
      <c r="K1545" s="14"/>
      <c r="L1545" s="14"/>
      <c r="M1545" s="13"/>
    </row>
    <row r="1546" customFormat="false" ht="15" hidden="false" customHeight="false" outlineLevel="0" collapsed="false">
      <c r="A1546" s="6" t="n">
        <v>1542</v>
      </c>
      <c r="B1546" s="8" t="s">
        <v>2408</v>
      </c>
      <c r="C1546" s="8" t="s">
        <v>683</v>
      </c>
      <c r="D1546" s="9"/>
      <c r="E1546" s="10"/>
      <c r="F1546" s="11"/>
      <c r="G1546" s="12"/>
      <c r="H1546" s="11" t="n">
        <v>0.00283298611111111</v>
      </c>
      <c r="I1546" s="12" t="n">
        <v>445</v>
      </c>
      <c r="J1546" s="14"/>
      <c r="K1546" s="14"/>
      <c r="L1546" s="14"/>
      <c r="M1546" s="13"/>
    </row>
    <row r="1547" customFormat="false" ht="15" hidden="false" customHeight="false" outlineLevel="0" collapsed="false">
      <c r="A1547" s="6" t="n">
        <v>1543</v>
      </c>
      <c r="B1547" s="8" t="s">
        <v>2409</v>
      </c>
      <c r="C1547" s="8" t="s">
        <v>2410</v>
      </c>
      <c r="D1547" s="9"/>
      <c r="E1547" s="10"/>
      <c r="F1547" s="11" t="n">
        <v>0.00709733796296296</v>
      </c>
      <c r="G1547" s="12" t="n">
        <v>446</v>
      </c>
      <c r="H1547" s="11"/>
      <c r="I1547" s="12"/>
      <c r="J1547" s="14"/>
      <c r="K1547" s="14"/>
      <c r="L1547" s="14"/>
      <c r="M1547" s="13"/>
    </row>
    <row r="1548" customFormat="false" ht="15" hidden="false" customHeight="false" outlineLevel="0" collapsed="false">
      <c r="A1548" s="6" t="n">
        <v>1544</v>
      </c>
      <c r="B1548" s="8" t="s">
        <v>2411</v>
      </c>
      <c r="C1548" s="8" t="s">
        <v>1224</v>
      </c>
      <c r="D1548" s="9"/>
      <c r="E1548" s="10"/>
      <c r="F1548" s="11" t="n">
        <v>0.00709780092592593</v>
      </c>
      <c r="G1548" s="12" t="n">
        <v>448</v>
      </c>
      <c r="H1548" s="11"/>
      <c r="I1548" s="12"/>
      <c r="J1548" s="14"/>
      <c r="K1548" s="14"/>
      <c r="L1548" s="14"/>
      <c r="M1548" s="13"/>
    </row>
    <row r="1549" customFormat="false" ht="15" hidden="false" customHeight="false" outlineLevel="0" collapsed="false">
      <c r="A1549" s="6" t="n">
        <v>1545</v>
      </c>
      <c r="B1549" s="8" t="s">
        <v>2412</v>
      </c>
      <c r="C1549" s="8" t="s">
        <v>2111</v>
      </c>
      <c r="D1549" s="9"/>
      <c r="E1549" s="10"/>
      <c r="F1549" s="11" t="n">
        <v>0.00709849537037037</v>
      </c>
      <c r="G1549" s="12" t="n">
        <v>449</v>
      </c>
      <c r="H1549" s="11" t="n">
        <v>0.00295694444444444</v>
      </c>
      <c r="I1549" s="12" t="n">
        <v>1259</v>
      </c>
      <c r="J1549" s="14"/>
      <c r="K1549" s="14"/>
      <c r="L1549" s="14"/>
      <c r="M1549" s="13"/>
    </row>
    <row r="1550" customFormat="false" ht="15" hidden="false" customHeight="false" outlineLevel="0" collapsed="false">
      <c r="A1550" s="6" t="n">
        <v>1546</v>
      </c>
      <c r="B1550" s="8" t="s">
        <v>2413</v>
      </c>
      <c r="C1550" s="8" t="s">
        <v>982</v>
      </c>
      <c r="D1550" s="9"/>
      <c r="E1550" s="10"/>
      <c r="F1550" s="11"/>
      <c r="G1550" s="12"/>
      <c r="H1550" s="11" t="n">
        <v>0.00283391203703704</v>
      </c>
      <c r="I1550" s="12" t="n">
        <v>449</v>
      </c>
      <c r="J1550" s="14"/>
      <c r="K1550" s="14"/>
      <c r="L1550" s="14"/>
      <c r="M1550" s="13"/>
    </row>
    <row r="1551" customFormat="false" ht="15" hidden="false" customHeight="false" outlineLevel="0" collapsed="false">
      <c r="A1551" s="6" t="n">
        <v>1547</v>
      </c>
      <c r="B1551" s="8" t="s">
        <v>2414</v>
      </c>
      <c r="C1551" s="8" t="s">
        <v>1116</v>
      </c>
      <c r="D1551" s="9"/>
      <c r="E1551" s="10"/>
      <c r="F1551" s="11" t="n">
        <v>0.00709872685185185</v>
      </c>
      <c r="G1551" s="12" t="n">
        <v>450</v>
      </c>
      <c r="H1551" s="11"/>
      <c r="I1551" s="12"/>
      <c r="J1551" s="14"/>
      <c r="K1551" s="14"/>
      <c r="L1551" s="14"/>
      <c r="M1551" s="13"/>
    </row>
    <row r="1552" customFormat="false" ht="15" hidden="false" customHeight="false" outlineLevel="0" collapsed="false">
      <c r="A1552" s="6" t="n">
        <v>1548</v>
      </c>
      <c r="B1552" s="8" t="s">
        <v>2415</v>
      </c>
      <c r="C1552" s="8" t="s">
        <v>1335</v>
      </c>
      <c r="D1552" s="9"/>
      <c r="E1552" s="10"/>
      <c r="F1552" s="11"/>
      <c r="G1552" s="12"/>
      <c r="H1552" s="11" t="n">
        <v>0.00283414351851852</v>
      </c>
      <c r="I1552" s="12" t="n">
        <v>450</v>
      </c>
      <c r="J1552" s="14"/>
      <c r="K1552" s="14"/>
      <c r="L1552" s="14"/>
      <c r="M1552" s="13"/>
    </row>
    <row r="1553" customFormat="false" ht="15" hidden="false" customHeight="false" outlineLevel="0" collapsed="false">
      <c r="A1553" s="6" t="n">
        <v>1549</v>
      </c>
      <c r="B1553" s="8" t="s">
        <v>2416</v>
      </c>
      <c r="C1553" s="8" t="s">
        <v>2417</v>
      </c>
      <c r="D1553" s="9"/>
      <c r="E1553" s="10"/>
      <c r="F1553" s="11" t="n">
        <v>0.00710266203703704</v>
      </c>
      <c r="G1553" s="12" t="n">
        <v>451</v>
      </c>
      <c r="H1553" s="11" t="n">
        <v>0.00288206018518519</v>
      </c>
      <c r="I1553" s="12" t="n">
        <v>794</v>
      </c>
      <c r="J1553" s="14"/>
      <c r="K1553" s="14"/>
      <c r="L1553" s="8" t="s">
        <v>2418</v>
      </c>
      <c r="M1553" s="13"/>
    </row>
    <row r="1554" customFormat="false" ht="15" hidden="false" customHeight="false" outlineLevel="0" collapsed="false">
      <c r="A1554" s="6" t="n">
        <v>1550</v>
      </c>
      <c r="B1554" s="8" t="s">
        <v>2419</v>
      </c>
      <c r="C1554" s="8" t="s">
        <v>274</v>
      </c>
      <c r="D1554" s="9"/>
      <c r="E1554" s="10"/>
      <c r="F1554" s="11" t="n">
        <v>0.00710428240740741</v>
      </c>
      <c r="G1554" s="12" t="n">
        <v>452</v>
      </c>
      <c r="H1554" s="11"/>
      <c r="I1554" s="12"/>
      <c r="J1554" s="14"/>
      <c r="K1554" s="14"/>
      <c r="L1554" s="14"/>
      <c r="M1554" s="13"/>
    </row>
    <row r="1555" customFormat="false" ht="15" hidden="false" customHeight="false" outlineLevel="0" collapsed="false">
      <c r="A1555" s="6" t="n">
        <v>1551</v>
      </c>
      <c r="B1555" s="8" t="s">
        <v>2420</v>
      </c>
      <c r="C1555" s="8" t="s">
        <v>2421</v>
      </c>
      <c r="D1555" s="9"/>
      <c r="E1555" s="10"/>
      <c r="F1555" s="11" t="n">
        <v>0.00711354166666667</v>
      </c>
      <c r="G1555" s="12" t="n">
        <v>458</v>
      </c>
      <c r="H1555" s="11"/>
      <c r="I1555" s="12"/>
      <c r="J1555" s="14"/>
      <c r="K1555" s="14"/>
      <c r="L1555" s="14"/>
      <c r="M1555" s="13"/>
    </row>
    <row r="1556" customFormat="false" ht="15" hidden="false" customHeight="false" outlineLevel="0" collapsed="false">
      <c r="A1556" s="6" t="n">
        <v>1552</v>
      </c>
      <c r="B1556" s="8" t="s">
        <v>2422</v>
      </c>
      <c r="C1556" s="8" t="s">
        <v>2423</v>
      </c>
      <c r="D1556" s="9"/>
      <c r="E1556" s="10"/>
      <c r="F1556" s="11" t="n">
        <v>0.00711597222222222</v>
      </c>
      <c r="G1556" s="12" t="n">
        <v>459</v>
      </c>
      <c r="H1556" s="11"/>
      <c r="I1556" s="12"/>
      <c r="J1556" s="14"/>
      <c r="K1556" s="14"/>
      <c r="L1556" s="14"/>
      <c r="M1556" s="13"/>
    </row>
    <row r="1557" customFormat="false" ht="15" hidden="false" customHeight="false" outlineLevel="0" collapsed="false">
      <c r="A1557" s="6" t="n">
        <v>1553</v>
      </c>
      <c r="B1557" s="8" t="s">
        <v>2424</v>
      </c>
      <c r="C1557" s="8" t="s">
        <v>1205</v>
      </c>
      <c r="D1557" s="9"/>
      <c r="E1557" s="10"/>
      <c r="F1557" s="11" t="n">
        <v>0.00711643518518519</v>
      </c>
      <c r="G1557" s="12" t="n">
        <v>461</v>
      </c>
      <c r="H1557" s="11" t="n">
        <v>0.00290520833333333</v>
      </c>
      <c r="I1557" s="12" t="n">
        <v>984</v>
      </c>
      <c r="J1557" s="14"/>
      <c r="K1557" s="14"/>
      <c r="L1557" s="14"/>
      <c r="M1557" s="13"/>
    </row>
    <row r="1558" customFormat="false" ht="15" hidden="false" customHeight="false" outlineLevel="0" collapsed="false">
      <c r="A1558" s="6" t="n">
        <v>1554</v>
      </c>
      <c r="B1558" s="8" t="s">
        <v>2425</v>
      </c>
      <c r="C1558" s="8" t="s">
        <v>2426</v>
      </c>
      <c r="D1558" s="9"/>
      <c r="E1558" s="10"/>
      <c r="F1558" s="11" t="n">
        <v>0.00711678240740741</v>
      </c>
      <c r="G1558" s="12" t="n">
        <v>462</v>
      </c>
      <c r="H1558" s="11"/>
      <c r="I1558" s="12"/>
      <c r="J1558" s="14"/>
      <c r="K1558" s="14"/>
      <c r="L1558" s="14"/>
      <c r="M1558" s="13"/>
    </row>
    <row r="1559" customFormat="false" ht="15" hidden="false" customHeight="false" outlineLevel="0" collapsed="false">
      <c r="A1559" s="6" t="n">
        <v>1555</v>
      </c>
      <c r="B1559" s="8" t="s">
        <v>2427</v>
      </c>
      <c r="C1559" s="8" t="s">
        <v>2428</v>
      </c>
      <c r="D1559" s="9"/>
      <c r="E1559" s="10"/>
      <c r="F1559" s="11"/>
      <c r="G1559" s="12"/>
      <c r="H1559" s="11" t="n">
        <v>0.00283541666666667</v>
      </c>
      <c r="I1559" s="12" t="n">
        <v>465</v>
      </c>
      <c r="J1559" s="14"/>
      <c r="K1559" s="14"/>
      <c r="L1559" s="14"/>
      <c r="M1559" s="13"/>
    </row>
    <row r="1560" customFormat="false" ht="15" hidden="false" customHeight="false" outlineLevel="0" collapsed="false">
      <c r="A1560" s="6" t="n">
        <v>1556</v>
      </c>
      <c r="B1560" s="8" t="s">
        <v>2429</v>
      </c>
      <c r="C1560" s="8" t="s">
        <v>2430</v>
      </c>
      <c r="D1560" s="9"/>
      <c r="E1560" s="10"/>
      <c r="F1560" s="11" t="n">
        <v>0.00712094907407407</v>
      </c>
      <c r="G1560" s="12" t="n">
        <v>466</v>
      </c>
      <c r="H1560" s="11"/>
      <c r="I1560" s="12"/>
      <c r="J1560" s="14"/>
      <c r="K1560" s="14"/>
      <c r="L1560" s="14"/>
      <c r="M1560" s="13"/>
    </row>
    <row r="1561" customFormat="false" ht="15" hidden="false" customHeight="false" outlineLevel="0" collapsed="false">
      <c r="A1561" s="6" t="n">
        <v>1557</v>
      </c>
      <c r="B1561" s="8" t="s">
        <v>2431</v>
      </c>
      <c r="C1561" s="8" t="s">
        <v>2432</v>
      </c>
      <c r="D1561" s="9"/>
      <c r="E1561" s="10"/>
      <c r="F1561" s="11" t="n">
        <v>0.0071224537037037</v>
      </c>
      <c r="G1561" s="12" t="n">
        <v>467</v>
      </c>
      <c r="H1561" s="11"/>
      <c r="I1561" s="12"/>
      <c r="J1561" s="14"/>
      <c r="K1561" s="14"/>
      <c r="L1561" s="14"/>
      <c r="M1561" s="13"/>
    </row>
    <row r="1562" customFormat="false" ht="15" hidden="false" customHeight="false" outlineLevel="0" collapsed="false">
      <c r="A1562" s="6" t="n">
        <v>1558</v>
      </c>
      <c r="B1562" s="8" t="s">
        <v>2433</v>
      </c>
      <c r="C1562" s="8" t="s">
        <v>2434</v>
      </c>
      <c r="D1562" s="9"/>
      <c r="E1562" s="10"/>
      <c r="F1562" s="11"/>
      <c r="G1562" s="12"/>
      <c r="H1562" s="11" t="n">
        <v>0.00283564814814815</v>
      </c>
      <c r="I1562" s="12" t="n">
        <v>467</v>
      </c>
      <c r="J1562" s="14"/>
      <c r="K1562" s="14"/>
      <c r="L1562" s="14"/>
      <c r="M1562" s="13"/>
    </row>
    <row r="1563" customFormat="false" ht="15" hidden="false" customHeight="false" outlineLevel="0" collapsed="false">
      <c r="A1563" s="6" t="n">
        <v>1559</v>
      </c>
      <c r="B1563" s="8" t="s">
        <v>2435</v>
      </c>
      <c r="C1563" s="8" t="s">
        <v>2436</v>
      </c>
      <c r="D1563" s="9"/>
      <c r="E1563" s="10"/>
      <c r="F1563" s="11" t="n">
        <v>0.00712291666666667</v>
      </c>
      <c r="G1563" s="12" t="n">
        <v>468</v>
      </c>
      <c r="H1563" s="11"/>
      <c r="I1563" s="12"/>
      <c r="J1563" s="14"/>
      <c r="K1563" s="14"/>
      <c r="L1563" s="14"/>
      <c r="M1563" s="13"/>
    </row>
    <row r="1564" customFormat="false" ht="15" hidden="false" customHeight="false" outlineLevel="0" collapsed="false">
      <c r="A1564" s="6" t="n">
        <v>1560</v>
      </c>
      <c r="B1564" s="8" t="s">
        <v>2437</v>
      </c>
      <c r="C1564" s="8" t="s">
        <v>2438</v>
      </c>
      <c r="D1564" s="9"/>
      <c r="E1564" s="10"/>
      <c r="F1564" s="11" t="n">
        <v>0.007125</v>
      </c>
      <c r="G1564" s="12" t="n">
        <v>469</v>
      </c>
      <c r="H1564" s="11" t="n">
        <v>0.00294166666666667</v>
      </c>
      <c r="I1564" s="12" t="n">
        <v>1207</v>
      </c>
      <c r="J1564" s="14"/>
      <c r="K1564" s="14"/>
      <c r="L1564" s="14"/>
      <c r="M1564" s="13"/>
    </row>
    <row r="1565" customFormat="false" ht="15" hidden="false" customHeight="false" outlineLevel="0" collapsed="false">
      <c r="A1565" s="6" t="n">
        <v>1561</v>
      </c>
      <c r="B1565" s="8" t="s">
        <v>2439</v>
      </c>
      <c r="C1565" s="8" t="s">
        <v>857</v>
      </c>
      <c r="D1565" s="9"/>
      <c r="E1565" s="10"/>
      <c r="F1565" s="11" t="n">
        <v>0.00712511574074074</v>
      </c>
      <c r="G1565" s="12" t="n">
        <v>470</v>
      </c>
      <c r="H1565" s="11"/>
      <c r="I1565" s="12"/>
      <c r="J1565" s="14"/>
      <c r="K1565" s="14" t="s">
        <v>2440</v>
      </c>
      <c r="L1565" s="14"/>
      <c r="M1565" s="13"/>
    </row>
    <row r="1566" customFormat="false" ht="15" hidden="false" customHeight="false" outlineLevel="0" collapsed="false">
      <c r="A1566" s="6" t="n">
        <v>1562</v>
      </c>
      <c r="B1566" s="8" t="s">
        <v>2441</v>
      </c>
      <c r="C1566" s="8" t="s">
        <v>290</v>
      </c>
      <c r="D1566" s="9"/>
      <c r="E1566" s="10"/>
      <c r="F1566" s="11" t="n">
        <v>0.0071255787037037</v>
      </c>
      <c r="G1566" s="12" t="n">
        <v>471</v>
      </c>
      <c r="H1566" s="11"/>
      <c r="I1566" s="12"/>
      <c r="J1566" s="14"/>
      <c r="K1566" s="14"/>
      <c r="L1566" s="14"/>
      <c r="M1566" s="13"/>
    </row>
    <row r="1567" customFormat="false" ht="15" hidden="false" customHeight="false" outlineLevel="0" collapsed="false">
      <c r="A1567" s="6" t="n">
        <v>1563</v>
      </c>
      <c r="B1567" s="8" t="s">
        <v>2442</v>
      </c>
      <c r="C1567" s="8" t="s">
        <v>2249</v>
      </c>
      <c r="D1567" s="9"/>
      <c r="E1567" s="10"/>
      <c r="F1567" s="11" t="n">
        <v>0.00712685185185185</v>
      </c>
      <c r="G1567" s="12" t="n">
        <v>472</v>
      </c>
      <c r="H1567" s="11"/>
      <c r="I1567" s="12"/>
      <c r="J1567" s="14"/>
      <c r="K1567" s="14"/>
      <c r="L1567" s="14"/>
      <c r="M1567" s="13"/>
    </row>
    <row r="1568" customFormat="false" ht="15" hidden="false" customHeight="false" outlineLevel="0" collapsed="false">
      <c r="A1568" s="6" t="n">
        <v>1564</v>
      </c>
      <c r="B1568" s="8" t="s">
        <v>2443</v>
      </c>
      <c r="C1568" s="8" t="s">
        <v>274</v>
      </c>
      <c r="D1568" s="9"/>
      <c r="E1568" s="10"/>
      <c r="F1568" s="11"/>
      <c r="G1568" s="12"/>
      <c r="H1568" s="11" t="n">
        <v>0.00283634259259259</v>
      </c>
      <c r="I1568" s="12" t="n">
        <v>473</v>
      </c>
      <c r="J1568" s="14"/>
      <c r="K1568" s="14"/>
      <c r="L1568" s="14"/>
      <c r="M1568" s="13"/>
    </row>
    <row r="1569" customFormat="false" ht="15" hidden="false" customHeight="false" outlineLevel="0" collapsed="false">
      <c r="A1569" s="6" t="n">
        <v>1565</v>
      </c>
      <c r="B1569" s="8" t="s">
        <v>2444</v>
      </c>
      <c r="C1569" s="8" t="s">
        <v>2445</v>
      </c>
      <c r="D1569" s="9"/>
      <c r="E1569" s="10"/>
      <c r="F1569" s="11" t="n">
        <v>0.00713171296296296</v>
      </c>
      <c r="G1569" s="12" t="n">
        <v>474</v>
      </c>
      <c r="H1569" s="11"/>
      <c r="I1569" s="12"/>
      <c r="J1569" s="14"/>
      <c r="K1569" s="14"/>
      <c r="L1569" s="14"/>
      <c r="M1569" s="13"/>
    </row>
    <row r="1570" customFormat="false" ht="15" hidden="false" customHeight="false" outlineLevel="0" collapsed="false">
      <c r="A1570" s="6" t="n">
        <v>1566</v>
      </c>
      <c r="B1570" s="8" t="s">
        <v>2446</v>
      </c>
      <c r="C1570" s="8" t="s">
        <v>2447</v>
      </c>
      <c r="D1570" s="9"/>
      <c r="E1570" s="10"/>
      <c r="F1570" s="11" t="n">
        <v>0.00713472222222222</v>
      </c>
      <c r="G1570" s="12" t="n">
        <v>476</v>
      </c>
      <c r="H1570" s="11"/>
      <c r="I1570" s="12"/>
      <c r="J1570" s="14"/>
      <c r="K1570" s="14"/>
      <c r="L1570" s="14"/>
      <c r="M1570" s="13"/>
    </row>
    <row r="1571" customFormat="false" ht="15" hidden="false" customHeight="false" outlineLevel="0" collapsed="false">
      <c r="A1571" s="6" t="n">
        <v>1567</v>
      </c>
      <c r="B1571" s="8" t="s">
        <v>2448</v>
      </c>
      <c r="C1571" s="8" t="s">
        <v>735</v>
      </c>
      <c r="D1571" s="9"/>
      <c r="E1571" s="10"/>
      <c r="F1571" s="11" t="n">
        <v>0.00713599537037037</v>
      </c>
      <c r="G1571" s="12" t="n">
        <v>477</v>
      </c>
      <c r="H1571" s="11"/>
      <c r="I1571" s="12"/>
      <c r="J1571" s="14"/>
      <c r="K1571" s="14"/>
      <c r="L1571" s="14"/>
      <c r="M1571" s="13"/>
    </row>
    <row r="1572" customFormat="false" ht="15" hidden="false" customHeight="false" outlineLevel="0" collapsed="false">
      <c r="A1572" s="6" t="n">
        <v>1568</v>
      </c>
      <c r="B1572" s="8" t="s">
        <v>2449</v>
      </c>
      <c r="C1572" s="8" t="s">
        <v>2364</v>
      </c>
      <c r="D1572" s="9"/>
      <c r="E1572" s="10"/>
      <c r="F1572" s="11"/>
      <c r="G1572" s="12"/>
      <c r="H1572" s="11" t="n">
        <v>0.00283680555555556</v>
      </c>
      <c r="I1572" s="12" t="n">
        <v>477</v>
      </c>
      <c r="J1572" s="14"/>
      <c r="K1572" s="14"/>
      <c r="L1572" s="14"/>
      <c r="M1572" s="13"/>
    </row>
    <row r="1573" customFormat="false" ht="15" hidden="false" customHeight="false" outlineLevel="0" collapsed="false">
      <c r="A1573" s="6" t="n">
        <v>1569</v>
      </c>
      <c r="B1573" s="8" t="s">
        <v>2450</v>
      </c>
      <c r="C1573" s="8" t="s">
        <v>582</v>
      </c>
      <c r="D1573" s="9"/>
      <c r="E1573" s="10"/>
      <c r="F1573" s="11" t="n">
        <v>0.00713900462962963</v>
      </c>
      <c r="G1573" s="12" t="n">
        <v>478</v>
      </c>
      <c r="H1573" s="11"/>
      <c r="I1573" s="12"/>
      <c r="J1573" s="14"/>
      <c r="K1573" s="14"/>
      <c r="L1573" s="14"/>
      <c r="M1573" s="13"/>
    </row>
    <row r="1574" customFormat="false" ht="15" hidden="false" customHeight="false" outlineLevel="0" collapsed="false">
      <c r="A1574" s="6" t="n">
        <v>1570</v>
      </c>
      <c r="B1574" s="8" t="s">
        <v>2451</v>
      </c>
      <c r="C1574" s="8" t="s">
        <v>456</v>
      </c>
      <c r="D1574" s="9"/>
      <c r="E1574" s="10"/>
      <c r="F1574" s="11" t="n">
        <v>0.00713900462962963</v>
      </c>
      <c r="G1574" s="12" t="n">
        <v>479</v>
      </c>
      <c r="H1574" s="11"/>
      <c r="I1574" s="12"/>
      <c r="J1574" s="14"/>
      <c r="K1574" s="14" t="s">
        <v>2452</v>
      </c>
      <c r="L1574" s="14"/>
      <c r="M1574" s="13"/>
    </row>
    <row r="1575" customFormat="false" ht="15" hidden="false" customHeight="false" outlineLevel="0" collapsed="false">
      <c r="A1575" s="6" t="n">
        <v>1571</v>
      </c>
      <c r="B1575" s="8" t="s">
        <v>2453</v>
      </c>
      <c r="C1575" s="8" t="s">
        <v>2454</v>
      </c>
      <c r="D1575" s="9"/>
      <c r="E1575" s="10"/>
      <c r="F1575" s="11" t="n">
        <v>0.00713969907407407</v>
      </c>
      <c r="G1575" s="12" t="n">
        <v>480</v>
      </c>
      <c r="H1575" s="11"/>
      <c r="I1575" s="12"/>
      <c r="J1575" s="14"/>
      <c r="K1575" s="14"/>
      <c r="L1575" s="14"/>
      <c r="M1575" s="13"/>
    </row>
    <row r="1576" customFormat="false" ht="15" hidden="false" customHeight="false" outlineLevel="0" collapsed="false">
      <c r="A1576" s="6" t="n">
        <v>1572</v>
      </c>
      <c r="B1576" s="8" t="s">
        <v>2455</v>
      </c>
      <c r="C1576" s="8" t="s">
        <v>1956</v>
      </c>
      <c r="D1576" s="9"/>
      <c r="E1576" s="10"/>
      <c r="F1576" s="11"/>
      <c r="G1576" s="12"/>
      <c r="H1576" s="11" t="n">
        <v>0.00283726851851852</v>
      </c>
      <c r="I1576" s="12" t="n">
        <v>480</v>
      </c>
      <c r="J1576" s="14"/>
      <c r="K1576" s="14"/>
      <c r="L1576" s="14"/>
      <c r="M1576" s="13"/>
    </row>
    <row r="1577" customFormat="false" ht="15" hidden="false" customHeight="false" outlineLevel="0" collapsed="false">
      <c r="A1577" s="6" t="n">
        <v>1573</v>
      </c>
      <c r="B1577" s="8" t="s">
        <v>2456</v>
      </c>
      <c r="C1577" s="8" t="s">
        <v>2457</v>
      </c>
      <c r="D1577" s="9"/>
      <c r="E1577" s="10"/>
      <c r="F1577" s="11" t="n">
        <v>0.00713993055555556</v>
      </c>
      <c r="G1577" s="12" t="n">
        <v>481</v>
      </c>
      <c r="H1577" s="11"/>
      <c r="I1577" s="12"/>
      <c r="J1577" s="14"/>
      <c r="K1577" s="14"/>
      <c r="L1577" s="14"/>
      <c r="M1577" s="13"/>
    </row>
    <row r="1578" customFormat="false" ht="15" hidden="false" customHeight="false" outlineLevel="0" collapsed="false">
      <c r="A1578" s="6" t="n">
        <v>1574</v>
      </c>
      <c r="B1578" s="8" t="s">
        <v>2458</v>
      </c>
      <c r="C1578" s="8" t="s">
        <v>2459</v>
      </c>
      <c r="D1578" s="9"/>
      <c r="E1578" s="10"/>
      <c r="F1578" s="11"/>
      <c r="G1578" s="12"/>
      <c r="H1578" s="11" t="n">
        <v>0.0028375</v>
      </c>
      <c r="I1578" s="12" t="n">
        <v>481</v>
      </c>
      <c r="J1578" s="14"/>
      <c r="K1578" s="14"/>
      <c r="L1578" s="14"/>
      <c r="M1578" s="13"/>
    </row>
    <row r="1579" customFormat="false" ht="15" hidden="false" customHeight="false" outlineLevel="0" collapsed="false">
      <c r="A1579" s="6" t="n">
        <v>1575</v>
      </c>
      <c r="B1579" s="8" t="s">
        <v>2460</v>
      </c>
      <c r="C1579" s="8" t="s">
        <v>188</v>
      </c>
      <c r="D1579" s="9"/>
      <c r="E1579" s="10"/>
      <c r="F1579" s="11" t="n">
        <v>0.00714247685185185</v>
      </c>
      <c r="G1579" s="12" t="n">
        <v>482</v>
      </c>
      <c r="H1579" s="11"/>
      <c r="I1579" s="12"/>
      <c r="J1579" s="14"/>
      <c r="K1579" s="14"/>
      <c r="L1579" s="14"/>
      <c r="M1579" s="13"/>
    </row>
    <row r="1580" customFormat="false" ht="15" hidden="false" customHeight="false" outlineLevel="0" collapsed="false">
      <c r="A1580" s="6" t="n">
        <v>1576</v>
      </c>
      <c r="B1580" s="8" t="s">
        <v>2461</v>
      </c>
      <c r="C1580" s="8" t="s">
        <v>2462</v>
      </c>
      <c r="D1580" s="9"/>
      <c r="E1580" s="10"/>
      <c r="F1580" s="11" t="n">
        <v>0.00714467592592593</v>
      </c>
      <c r="G1580" s="12" t="n">
        <v>483</v>
      </c>
      <c r="H1580" s="11"/>
      <c r="I1580" s="12"/>
      <c r="J1580" s="14"/>
      <c r="K1580" s="14"/>
      <c r="L1580" s="14"/>
      <c r="M1580" s="13"/>
    </row>
    <row r="1581" customFormat="false" ht="15" hidden="false" customHeight="false" outlineLevel="0" collapsed="false">
      <c r="A1581" s="6" t="n">
        <v>1577</v>
      </c>
      <c r="B1581" s="8" t="s">
        <v>2463</v>
      </c>
      <c r="C1581" s="8" t="s">
        <v>158</v>
      </c>
      <c r="D1581" s="9"/>
      <c r="E1581" s="10"/>
      <c r="F1581" s="11" t="n">
        <v>0.0071474537037037</v>
      </c>
      <c r="G1581" s="12" t="n">
        <v>484</v>
      </c>
      <c r="H1581" s="11"/>
      <c r="I1581" s="12"/>
      <c r="J1581" s="14"/>
      <c r="K1581" s="14"/>
      <c r="L1581" s="14"/>
      <c r="M1581" s="13"/>
    </row>
    <row r="1582" customFormat="false" ht="15" hidden="false" customHeight="false" outlineLevel="0" collapsed="false">
      <c r="A1582" s="6" t="n">
        <v>1578</v>
      </c>
      <c r="B1582" s="8" t="s">
        <v>2464</v>
      </c>
      <c r="C1582" s="8" t="s">
        <v>2465</v>
      </c>
      <c r="D1582" s="9"/>
      <c r="E1582" s="10"/>
      <c r="F1582" s="11"/>
      <c r="G1582" s="12"/>
      <c r="H1582" s="11" t="n">
        <v>0.0028380787037037</v>
      </c>
      <c r="I1582" s="12" t="n">
        <v>484</v>
      </c>
      <c r="J1582" s="14"/>
      <c r="K1582" s="14"/>
      <c r="L1582" s="14"/>
      <c r="M1582" s="13"/>
    </row>
    <row r="1583" customFormat="false" ht="15" hidden="false" customHeight="false" outlineLevel="0" collapsed="false">
      <c r="A1583" s="6" t="n">
        <v>1579</v>
      </c>
      <c r="B1583" s="8" t="s">
        <v>2466</v>
      </c>
      <c r="C1583" s="8" t="s">
        <v>1402</v>
      </c>
      <c r="D1583" s="9"/>
      <c r="E1583" s="10"/>
      <c r="F1583" s="11" t="n">
        <v>0.00714826388888889</v>
      </c>
      <c r="G1583" s="12" t="n">
        <v>485</v>
      </c>
      <c r="H1583" s="11"/>
      <c r="I1583" s="12"/>
      <c r="J1583" s="14"/>
      <c r="K1583" s="14"/>
      <c r="L1583" s="14"/>
      <c r="M1583" s="13"/>
    </row>
    <row r="1584" customFormat="false" ht="15" hidden="false" customHeight="false" outlineLevel="0" collapsed="false">
      <c r="A1584" s="6" t="n">
        <v>1580</v>
      </c>
      <c r="B1584" s="8" t="s">
        <v>2467</v>
      </c>
      <c r="C1584" s="8" t="s">
        <v>188</v>
      </c>
      <c r="D1584" s="9"/>
      <c r="E1584" s="10"/>
      <c r="F1584" s="11" t="n">
        <v>0.00714861111111111</v>
      </c>
      <c r="G1584" s="12" t="n">
        <v>486</v>
      </c>
      <c r="H1584" s="11"/>
      <c r="I1584" s="12"/>
      <c r="J1584" s="14"/>
      <c r="K1584" s="14"/>
      <c r="L1584" s="14"/>
      <c r="M1584" s="13"/>
    </row>
    <row r="1585" customFormat="false" ht="15" hidden="false" customHeight="false" outlineLevel="0" collapsed="false">
      <c r="A1585" s="6" t="n">
        <v>1581</v>
      </c>
      <c r="B1585" s="8" t="s">
        <v>2468</v>
      </c>
      <c r="C1585" s="8" t="s">
        <v>266</v>
      </c>
      <c r="D1585" s="9"/>
      <c r="E1585" s="10"/>
      <c r="F1585" s="11" t="n">
        <v>0.00714872685185185</v>
      </c>
      <c r="G1585" s="12" t="n">
        <v>487</v>
      </c>
      <c r="H1585" s="11"/>
      <c r="I1585" s="12"/>
      <c r="J1585" s="14"/>
      <c r="K1585" s="14"/>
      <c r="L1585" s="14"/>
      <c r="M1585" s="13"/>
    </row>
    <row r="1586" customFormat="false" ht="15" hidden="false" customHeight="false" outlineLevel="0" collapsed="false">
      <c r="A1586" s="6" t="n">
        <v>1582</v>
      </c>
      <c r="B1586" s="8" t="s">
        <v>2469</v>
      </c>
      <c r="C1586" s="8" t="s">
        <v>570</v>
      </c>
      <c r="D1586" s="9"/>
      <c r="E1586" s="10"/>
      <c r="F1586" s="11"/>
      <c r="G1586" s="12"/>
      <c r="H1586" s="11" t="n">
        <v>0.00283888888888889</v>
      </c>
      <c r="I1586" s="12" t="n">
        <v>487</v>
      </c>
      <c r="J1586" s="14"/>
      <c r="K1586" s="14"/>
      <c r="L1586" s="14"/>
      <c r="M1586" s="13"/>
    </row>
    <row r="1587" customFormat="false" ht="15" hidden="false" customHeight="false" outlineLevel="0" collapsed="false">
      <c r="A1587" s="6" t="n">
        <v>1583</v>
      </c>
      <c r="B1587" s="8" t="s">
        <v>2470</v>
      </c>
      <c r="C1587" s="8" t="s">
        <v>2471</v>
      </c>
      <c r="D1587" s="9"/>
      <c r="E1587" s="10"/>
      <c r="F1587" s="11" t="n">
        <v>0.00714895833333333</v>
      </c>
      <c r="G1587" s="12" t="n">
        <v>488</v>
      </c>
      <c r="H1587" s="11"/>
      <c r="I1587" s="12"/>
      <c r="J1587" s="14"/>
      <c r="K1587" s="14"/>
      <c r="L1587" s="14"/>
      <c r="M1587" s="13"/>
    </row>
    <row r="1588" customFormat="false" ht="15" hidden="false" customHeight="false" outlineLevel="0" collapsed="false">
      <c r="A1588" s="6" t="n">
        <v>1584</v>
      </c>
      <c r="B1588" s="8" t="s">
        <v>2472</v>
      </c>
      <c r="C1588" s="8" t="s">
        <v>2310</v>
      </c>
      <c r="D1588" s="9"/>
      <c r="E1588" s="10"/>
      <c r="F1588" s="11" t="n">
        <v>0.00741527777777778</v>
      </c>
      <c r="G1588" s="12" t="n">
        <v>788</v>
      </c>
      <c r="H1588" s="11" t="n">
        <v>0.00283912037037037</v>
      </c>
      <c r="I1588" s="12" t="n">
        <v>489</v>
      </c>
      <c r="J1588" s="14" t="s">
        <v>2473</v>
      </c>
      <c r="K1588" s="14"/>
      <c r="L1588" s="14"/>
      <c r="M1588" s="13"/>
    </row>
    <row r="1589" customFormat="false" ht="15" hidden="false" customHeight="false" outlineLevel="0" collapsed="false">
      <c r="A1589" s="6" t="n">
        <v>1585</v>
      </c>
      <c r="B1589" s="8" t="s">
        <v>2474</v>
      </c>
      <c r="C1589" s="8" t="s">
        <v>2475</v>
      </c>
      <c r="D1589" s="9"/>
      <c r="E1589" s="10"/>
      <c r="F1589" s="11" t="n">
        <v>0.00715034722222222</v>
      </c>
      <c r="G1589" s="12" t="n">
        <v>489</v>
      </c>
      <c r="H1589" s="11"/>
      <c r="I1589" s="12"/>
      <c r="J1589" s="14"/>
      <c r="K1589" s="14"/>
      <c r="L1589" s="14"/>
      <c r="M1589" s="13"/>
    </row>
    <row r="1590" customFormat="false" ht="15" hidden="false" customHeight="false" outlineLevel="0" collapsed="false">
      <c r="A1590" s="6" t="n">
        <v>1586</v>
      </c>
      <c r="B1590" s="8" t="s">
        <v>2476</v>
      </c>
      <c r="C1590" s="8" t="s">
        <v>2477</v>
      </c>
      <c r="D1590" s="9"/>
      <c r="E1590" s="10"/>
      <c r="F1590" s="11" t="n">
        <v>0.00715335648148148</v>
      </c>
      <c r="G1590" s="12" t="n">
        <v>490</v>
      </c>
      <c r="H1590" s="11"/>
      <c r="I1590" s="12"/>
      <c r="J1590" s="14"/>
      <c r="K1590" s="14"/>
      <c r="L1590" s="14"/>
      <c r="M1590" s="13"/>
    </row>
    <row r="1591" customFormat="false" ht="15" hidden="false" customHeight="false" outlineLevel="0" collapsed="false">
      <c r="A1591" s="6" t="n">
        <v>1587</v>
      </c>
      <c r="B1591" s="8" t="s">
        <v>2478</v>
      </c>
      <c r="C1591" s="8" t="s">
        <v>2479</v>
      </c>
      <c r="D1591" s="9"/>
      <c r="E1591" s="10"/>
      <c r="F1591" s="11" t="n">
        <v>0.00715613425925926</v>
      </c>
      <c r="G1591" s="12" t="n">
        <v>492</v>
      </c>
      <c r="H1591" s="11"/>
      <c r="I1591" s="12"/>
      <c r="J1591" s="14"/>
      <c r="K1591" s="14"/>
      <c r="L1591" s="14"/>
      <c r="M1591" s="13"/>
    </row>
    <row r="1592" customFormat="false" ht="15" hidden="false" customHeight="false" outlineLevel="0" collapsed="false">
      <c r="A1592" s="6" t="n">
        <v>1588</v>
      </c>
      <c r="B1592" s="8" t="s">
        <v>2480</v>
      </c>
      <c r="C1592" s="8" t="s">
        <v>2481</v>
      </c>
      <c r="D1592" s="9"/>
      <c r="E1592" s="10"/>
      <c r="F1592" s="11" t="n">
        <v>0.00715671296296296</v>
      </c>
      <c r="G1592" s="12" t="n">
        <v>493</v>
      </c>
      <c r="H1592" s="11"/>
      <c r="I1592" s="12"/>
      <c r="J1592" s="14"/>
      <c r="K1592" s="14"/>
      <c r="L1592" s="14"/>
      <c r="M1592" s="13"/>
    </row>
    <row r="1593" customFormat="false" ht="15" hidden="false" customHeight="false" outlineLevel="0" collapsed="false">
      <c r="A1593" s="6" t="n">
        <v>1589</v>
      </c>
      <c r="B1593" s="8" t="s">
        <v>2482</v>
      </c>
      <c r="C1593" s="8" t="s">
        <v>2483</v>
      </c>
      <c r="D1593" s="9"/>
      <c r="E1593" s="10"/>
      <c r="F1593" s="11" t="n">
        <v>0.00716053240740741</v>
      </c>
      <c r="G1593" s="12" t="n">
        <v>496</v>
      </c>
      <c r="H1593" s="11"/>
      <c r="I1593" s="12"/>
      <c r="J1593" s="14"/>
      <c r="K1593" s="14"/>
      <c r="L1593" s="14"/>
      <c r="M1593" s="13"/>
    </row>
    <row r="1594" customFormat="false" ht="15" hidden="false" customHeight="false" outlineLevel="0" collapsed="false">
      <c r="A1594" s="6" t="n">
        <v>1590</v>
      </c>
      <c r="B1594" s="8" t="s">
        <v>2484</v>
      </c>
      <c r="C1594" s="8" t="s">
        <v>1545</v>
      </c>
      <c r="D1594" s="9"/>
      <c r="E1594" s="10"/>
      <c r="F1594" s="11" t="n">
        <v>0.0071630787037037</v>
      </c>
      <c r="G1594" s="12" t="n">
        <v>498</v>
      </c>
      <c r="H1594" s="11"/>
      <c r="I1594" s="12"/>
      <c r="J1594" s="14"/>
      <c r="K1594" s="14"/>
      <c r="L1594" s="14"/>
      <c r="M1594" s="13"/>
    </row>
    <row r="1595" customFormat="false" ht="15" hidden="false" customHeight="false" outlineLevel="0" collapsed="false">
      <c r="A1595" s="6" t="n">
        <v>1591</v>
      </c>
      <c r="B1595" s="8" t="s">
        <v>2485</v>
      </c>
      <c r="C1595" s="8" t="s">
        <v>2486</v>
      </c>
      <c r="D1595" s="9"/>
      <c r="E1595" s="10"/>
      <c r="F1595" s="11" t="n">
        <v>0.00716331018518519</v>
      </c>
      <c r="G1595" s="12" t="n">
        <v>499</v>
      </c>
      <c r="H1595" s="11"/>
      <c r="I1595" s="12"/>
      <c r="J1595" s="14"/>
      <c r="K1595" s="14"/>
      <c r="L1595" s="14"/>
      <c r="M1595" s="13"/>
    </row>
    <row r="1596" customFormat="false" ht="15" hidden="false" customHeight="false" outlineLevel="0" collapsed="false">
      <c r="A1596" s="6" t="n">
        <v>1592</v>
      </c>
      <c r="B1596" s="8" t="s">
        <v>2487</v>
      </c>
      <c r="C1596" s="8" t="s">
        <v>2488</v>
      </c>
      <c r="D1596" s="9"/>
      <c r="E1596" s="10"/>
      <c r="F1596" s="11" t="n">
        <v>0.00716354166666667</v>
      </c>
      <c r="G1596" s="12" t="n">
        <v>500</v>
      </c>
      <c r="H1596" s="11"/>
      <c r="I1596" s="12"/>
      <c r="J1596" s="14"/>
      <c r="K1596" s="14"/>
      <c r="L1596" s="14"/>
      <c r="M1596" s="13"/>
    </row>
    <row r="1597" customFormat="false" ht="15" hidden="false" customHeight="false" outlineLevel="0" collapsed="false">
      <c r="A1597" s="6" t="n">
        <v>1593</v>
      </c>
      <c r="B1597" s="8" t="s">
        <v>2489</v>
      </c>
      <c r="C1597" s="8" t="s">
        <v>1484</v>
      </c>
      <c r="D1597" s="9"/>
      <c r="E1597" s="10"/>
      <c r="F1597" s="11" t="n">
        <v>0.00716458333333333</v>
      </c>
      <c r="G1597" s="12" t="n">
        <v>501</v>
      </c>
      <c r="H1597" s="11"/>
      <c r="I1597" s="12"/>
      <c r="J1597" s="14"/>
      <c r="K1597" s="14"/>
      <c r="L1597" s="14"/>
      <c r="M1597" s="13"/>
    </row>
    <row r="1598" customFormat="false" ht="15" hidden="false" customHeight="false" outlineLevel="0" collapsed="false">
      <c r="A1598" s="6" t="n">
        <v>1594</v>
      </c>
      <c r="B1598" s="8" t="s">
        <v>2490</v>
      </c>
      <c r="C1598" s="8" t="s">
        <v>1756</v>
      </c>
      <c r="D1598" s="9"/>
      <c r="E1598" s="10"/>
      <c r="F1598" s="11" t="n">
        <v>0.00716724537037037</v>
      </c>
      <c r="G1598" s="12" t="n">
        <v>502</v>
      </c>
      <c r="H1598" s="11"/>
      <c r="I1598" s="12"/>
      <c r="J1598" s="14"/>
      <c r="K1598" s="14"/>
      <c r="L1598" s="14"/>
      <c r="M1598" s="13"/>
    </row>
    <row r="1599" customFormat="false" ht="15" hidden="false" customHeight="false" outlineLevel="0" collapsed="false">
      <c r="A1599" s="6" t="n">
        <v>1595</v>
      </c>
      <c r="B1599" s="8" t="s">
        <v>2491</v>
      </c>
      <c r="C1599" s="8" t="s">
        <v>2492</v>
      </c>
      <c r="D1599" s="9"/>
      <c r="E1599" s="10"/>
      <c r="F1599" s="11" t="n">
        <v>0.00716736111111111</v>
      </c>
      <c r="G1599" s="12" t="n">
        <v>503</v>
      </c>
      <c r="H1599" s="11"/>
      <c r="I1599" s="12"/>
      <c r="J1599" s="14"/>
      <c r="K1599" s="14"/>
      <c r="L1599" s="14"/>
      <c r="M1599" s="13"/>
    </row>
    <row r="1600" customFormat="false" ht="15" hidden="false" customHeight="false" outlineLevel="0" collapsed="false">
      <c r="A1600" s="6" t="n">
        <v>1596</v>
      </c>
      <c r="B1600" s="8" t="s">
        <v>2493</v>
      </c>
      <c r="C1600" s="8" t="s">
        <v>2494</v>
      </c>
      <c r="D1600" s="9"/>
      <c r="E1600" s="10"/>
      <c r="F1600" s="11" t="n">
        <v>0.00716782407407407</v>
      </c>
      <c r="G1600" s="12" t="n">
        <v>504</v>
      </c>
      <c r="H1600" s="11"/>
      <c r="I1600" s="12"/>
      <c r="J1600" s="14"/>
      <c r="K1600" s="14"/>
      <c r="L1600" s="14"/>
      <c r="M1600" s="13"/>
    </row>
    <row r="1601" customFormat="false" ht="15" hidden="false" customHeight="false" outlineLevel="0" collapsed="false">
      <c r="A1601" s="6" t="n">
        <v>1597</v>
      </c>
      <c r="B1601" s="8" t="s">
        <v>2495</v>
      </c>
      <c r="C1601" s="8" t="s">
        <v>2496</v>
      </c>
      <c r="D1601" s="9"/>
      <c r="E1601" s="10"/>
      <c r="F1601" s="11" t="n">
        <v>0.00716782407407407</v>
      </c>
      <c r="G1601" s="12" t="n">
        <v>505</v>
      </c>
      <c r="H1601" s="11"/>
      <c r="I1601" s="12"/>
      <c r="J1601" s="14"/>
      <c r="K1601" s="14"/>
      <c r="L1601" s="14"/>
      <c r="M1601" s="13"/>
    </row>
    <row r="1602" customFormat="false" ht="15" hidden="false" customHeight="false" outlineLevel="0" collapsed="false">
      <c r="A1602" s="6" t="n">
        <v>1598</v>
      </c>
      <c r="B1602" s="8" t="s">
        <v>2497</v>
      </c>
      <c r="C1602" s="8" t="s">
        <v>1869</v>
      </c>
      <c r="D1602" s="9"/>
      <c r="E1602" s="10"/>
      <c r="F1602" s="11" t="n">
        <v>0.00716886574074074</v>
      </c>
      <c r="G1602" s="12" t="n">
        <v>506</v>
      </c>
      <c r="H1602" s="11"/>
      <c r="I1602" s="12"/>
      <c r="J1602" s="14"/>
      <c r="K1602" s="14"/>
      <c r="L1602" s="14"/>
      <c r="M1602" s="13"/>
    </row>
    <row r="1603" customFormat="false" ht="15" hidden="false" customHeight="false" outlineLevel="0" collapsed="false">
      <c r="A1603" s="6" t="n">
        <v>1599</v>
      </c>
      <c r="B1603" s="8" t="s">
        <v>2498</v>
      </c>
      <c r="C1603" s="8" t="s">
        <v>868</v>
      </c>
      <c r="D1603" s="9"/>
      <c r="E1603" s="10"/>
      <c r="F1603" s="11" t="n">
        <v>0.00716898148148148</v>
      </c>
      <c r="G1603" s="12" t="n">
        <v>507</v>
      </c>
      <c r="H1603" s="11"/>
      <c r="I1603" s="12"/>
      <c r="J1603" s="14" t="s">
        <v>2499</v>
      </c>
      <c r="K1603" s="14"/>
      <c r="L1603" s="14"/>
      <c r="M1603" s="13"/>
    </row>
    <row r="1604" customFormat="false" ht="15" hidden="false" customHeight="false" outlineLevel="0" collapsed="false">
      <c r="A1604" s="6" t="n">
        <v>1600</v>
      </c>
      <c r="B1604" s="8" t="s">
        <v>2500</v>
      </c>
      <c r="C1604" s="8" t="s">
        <v>2501</v>
      </c>
      <c r="D1604" s="9"/>
      <c r="E1604" s="10"/>
      <c r="F1604" s="11" t="n">
        <v>0.00716898148148148</v>
      </c>
      <c r="G1604" s="12" t="n">
        <v>508</v>
      </c>
      <c r="H1604" s="11"/>
      <c r="I1604" s="12"/>
      <c r="J1604" s="14"/>
      <c r="K1604" s="14"/>
      <c r="L1604" s="14"/>
      <c r="M1604" s="13"/>
    </row>
    <row r="1605" customFormat="false" ht="15" hidden="false" customHeight="false" outlineLevel="0" collapsed="false">
      <c r="A1605" s="6" t="n">
        <v>1601</v>
      </c>
      <c r="B1605" s="8" t="s">
        <v>2502</v>
      </c>
      <c r="C1605" s="8" t="s">
        <v>154</v>
      </c>
      <c r="D1605" s="9"/>
      <c r="E1605" s="10"/>
      <c r="F1605" s="11"/>
      <c r="G1605" s="12"/>
      <c r="H1605" s="11" t="n">
        <v>0.00284143518518519</v>
      </c>
      <c r="I1605" s="12" t="n">
        <v>510</v>
      </c>
      <c r="J1605" s="14"/>
      <c r="K1605" s="14"/>
      <c r="L1605" s="14"/>
      <c r="M1605" s="13"/>
    </row>
    <row r="1606" customFormat="false" ht="15" hidden="false" customHeight="false" outlineLevel="0" collapsed="false">
      <c r="A1606" s="6" t="n">
        <v>1602</v>
      </c>
      <c r="B1606" s="8" t="s">
        <v>2503</v>
      </c>
      <c r="C1606" s="8" t="s">
        <v>2504</v>
      </c>
      <c r="D1606" s="9"/>
      <c r="E1606" s="10"/>
      <c r="F1606" s="11" t="n">
        <v>0.0071712962962963</v>
      </c>
      <c r="G1606" s="12" t="n">
        <v>511</v>
      </c>
      <c r="H1606" s="11"/>
      <c r="I1606" s="12"/>
      <c r="J1606" s="14"/>
      <c r="K1606" s="14"/>
      <c r="L1606" s="14"/>
      <c r="M1606" s="13"/>
    </row>
    <row r="1607" customFormat="false" ht="15" hidden="false" customHeight="false" outlineLevel="0" collapsed="false">
      <c r="A1607" s="6" t="n">
        <v>1603</v>
      </c>
      <c r="B1607" s="8" t="s">
        <v>2505</v>
      </c>
      <c r="C1607" s="8" t="s">
        <v>2506</v>
      </c>
      <c r="D1607" s="9"/>
      <c r="E1607" s="10"/>
      <c r="F1607" s="11" t="n">
        <v>0.00752025462962963</v>
      </c>
      <c r="G1607" s="12" t="n">
        <v>919</v>
      </c>
      <c r="H1607" s="11" t="n">
        <v>0.00284224537037037</v>
      </c>
      <c r="I1607" s="12" t="n">
        <v>512</v>
      </c>
      <c r="J1607" s="14"/>
      <c r="K1607" s="14"/>
      <c r="L1607" s="14"/>
      <c r="M1607" s="13"/>
    </row>
    <row r="1608" customFormat="false" ht="15" hidden="false" customHeight="false" outlineLevel="0" collapsed="false">
      <c r="A1608" s="6" t="n">
        <v>1604</v>
      </c>
      <c r="B1608" s="8" t="s">
        <v>2507</v>
      </c>
      <c r="C1608" s="8" t="s">
        <v>1335</v>
      </c>
      <c r="D1608" s="9"/>
      <c r="E1608" s="10"/>
      <c r="F1608" s="11" t="n">
        <v>0.00717604166666667</v>
      </c>
      <c r="G1608" s="12" t="n">
        <v>513</v>
      </c>
      <c r="H1608" s="11"/>
      <c r="I1608" s="12"/>
      <c r="J1608" s="14"/>
      <c r="K1608" s="14"/>
      <c r="L1608" s="14"/>
      <c r="M1608" s="13"/>
    </row>
    <row r="1609" customFormat="false" ht="15" hidden="false" customHeight="false" outlineLevel="0" collapsed="false">
      <c r="A1609" s="6" t="n">
        <v>1605</v>
      </c>
      <c r="B1609" s="8" t="s">
        <v>2508</v>
      </c>
      <c r="C1609" s="8" t="s">
        <v>2509</v>
      </c>
      <c r="D1609" s="9"/>
      <c r="E1609" s="10"/>
      <c r="F1609" s="11" t="n">
        <v>0.0071775462962963</v>
      </c>
      <c r="G1609" s="12" t="n">
        <v>514</v>
      </c>
      <c r="H1609" s="11"/>
      <c r="I1609" s="12"/>
      <c r="J1609" s="14"/>
      <c r="K1609" s="14"/>
      <c r="L1609" s="14"/>
      <c r="M1609" s="13"/>
    </row>
    <row r="1610" customFormat="false" ht="15" hidden="false" customHeight="false" outlineLevel="0" collapsed="false">
      <c r="A1610" s="6" t="n">
        <v>1606</v>
      </c>
      <c r="B1610" s="8" t="s">
        <v>2510</v>
      </c>
      <c r="C1610" s="8" t="s">
        <v>255</v>
      </c>
      <c r="D1610" s="9"/>
      <c r="E1610" s="10"/>
      <c r="F1610" s="11" t="n">
        <v>0.00717858796296296</v>
      </c>
      <c r="G1610" s="12" t="n">
        <v>515</v>
      </c>
      <c r="H1610" s="11"/>
      <c r="I1610" s="12"/>
      <c r="J1610" s="14"/>
      <c r="K1610" s="14"/>
      <c r="L1610" s="14"/>
      <c r="M1610" s="13"/>
    </row>
    <row r="1611" customFormat="false" ht="15" hidden="false" customHeight="false" outlineLevel="0" collapsed="false">
      <c r="A1611" s="6" t="n">
        <v>1607</v>
      </c>
      <c r="B1611" s="8" t="s">
        <v>2511</v>
      </c>
      <c r="C1611" s="8" t="s">
        <v>2512</v>
      </c>
      <c r="D1611" s="9"/>
      <c r="E1611" s="10"/>
      <c r="F1611" s="11" t="n">
        <v>0.00717962962962963</v>
      </c>
      <c r="G1611" s="12" t="n">
        <v>516</v>
      </c>
      <c r="H1611" s="11"/>
      <c r="I1611" s="12"/>
      <c r="J1611" s="14"/>
      <c r="K1611" s="14"/>
      <c r="L1611" s="14"/>
      <c r="M1611" s="13"/>
    </row>
    <row r="1612" customFormat="false" ht="15" hidden="false" customHeight="false" outlineLevel="0" collapsed="false">
      <c r="A1612" s="6" t="n">
        <v>1608</v>
      </c>
      <c r="B1612" s="8" t="s">
        <v>2513</v>
      </c>
      <c r="C1612" s="8" t="s">
        <v>2514</v>
      </c>
      <c r="D1612" s="9"/>
      <c r="E1612" s="10"/>
      <c r="F1612" s="11" t="n">
        <v>0.00717974537037037</v>
      </c>
      <c r="G1612" s="12" t="n">
        <v>517</v>
      </c>
      <c r="H1612" s="11"/>
      <c r="I1612" s="12"/>
      <c r="J1612" s="14"/>
      <c r="K1612" s="14"/>
      <c r="L1612" s="14"/>
      <c r="M1612" s="13"/>
    </row>
    <row r="1613" customFormat="false" ht="15" hidden="false" customHeight="false" outlineLevel="0" collapsed="false">
      <c r="A1613" s="6" t="n">
        <v>1609</v>
      </c>
      <c r="B1613" s="8" t="s">
        <v>2515</v>
      </c>
      <c r="C1613" s="8" t="s">
        <v>2516</v>
      </c>
      <c r="D1613" s="9"/>
      <c r="E1613" s="10"/>
      <c r="F1613" s="11" t="n">
        <v>0.00718020833333333</v>
      </c>
      <c r="G1613" s="12" t="n">
        <v>518</v>
      </c>
      <c r="H1613" s="11"/>
      <c r="I1613" s="12"/>
      <c r="J1613" s="14"/>
      <c r="K1613" s="14"/>
      <c r="L1613" s="14"/>
      <c r="M1613" s="13"/>
    </row>
    <row r="1614" customFormat="false" ht="15" hidden="false" customHeight="false" outlineLevel="0" collapsed="false">
      <c r="A1614" s="6" t="n">
        <v>1610</v>
      </c>
      <c r="B1614" s="8" t="s">
        <v>2517</v>
      </c>
      <c r="C1614" s="8" t="s">
        <v>2518</v>
      </c>
      <c r="D1614" s="9"/>
      <c r="E1614" s="10"/>
      <c r="F1614" s="11" t="n">
        <v>0.00718032407407407</v>
      </c>
      <c r="G1614" s="12" t="n">
        <v>519</v>
      </c>
      <c r="H1614" s="11" t="n">
        <v>0.00292488425925926</v>
      </c>
      <c r="I1614" s="12" t="n">
        <v>1145</v>
      </c>
      <c r="J1614" s="14"/>
      <c r="K1614" s="14"/>
      <c r="L1614" s="14"/>
      <c r="M1614" s="13"/>
    </row>
    <row r="1615" customFormat="false" ht="15" hidden="false" customHeight="false" outlineLevel="0" collapsed="false">
      <c r="A1615" s="6" t="n">
        <v>1611</v>
      </c>
      <c r="B1615" s="8" t="s">
        <v>2519</v>
      </c>
      <c r="C1615" s="8" t="s">
        <v>2459</v>
      </c>
      <c r="D1615" s="9"/>
      <c r="E1615" s="10"/>
      <c r="F1615" s="11" t="n">
        <v>0.0071806712962963</v>
      </c>
      <c r="G1615" s="12" t="n">
        <v>520</v>
      </c>
      <c r="H1615" s="11"/>
      <c r="I1615" s="12"/>
      <c r="J1615" s="14"/>
      <c r="K1615" s="14"/>
      <c r="L1615" s="14"/>
      <c r="M1615" s="13"/>
    </row>
    <row r="1616" customFormat="false" ht="15" hidden="false" customHeight="false" outlineLevel="0" collapsed="false">
      <c r="A1616" s="6" t="n">
        <v>1612</v>
      </c>
      <c r="B1616" s="8" t="s">
        <v>2520</v>
      </c>
      <c r="C1616" s="8" t="s">
        <v>1618</v>
      </c>
      <c r="D1616" s="9"/>
      <c r="E1616" s="10"/>
      <c r="F1616" s="11" t="n">
        <v>0.00718287037037037</v>
      </c>
      <c r="G1616" s="12" t="n">
        <v>521</v>
      </c>
      <c r="H1616" s="11"/>
      <c r="I1616" s="12"/>
      <c r="J1616" s="14"/>
      <c r="K1616" s="14"/>
      <c r="L1616" s="14"/>
      <c r="M1616" s="13"/>
    </row>
    <row r="1617" customFormat="false" ht="15" hidden="false" customHeight="false" outlineLevel="0" collapsed="false">
      <c r="A1617" s="6" t="n">
        <v>1613</v>
      </c>
      <c r="B1617" s="8" t="s">
        <v>2521</v>
      </c>
      <c r="C1617" s="8" t="s">
        <v>2522</v>
      </c>
      <c r="D1617" s="9"/>
      <c r="E1617" s="10"/>
      <c r="F1617" s="11" t="n">
        <v>0.00718333333333333</v>
      </c>
      <c r="G1617" s="12" t="n">
        <v>522</v>
      </c>
      <c r="H1617" s="11"/>
      <c r="I1617" s="12"/>
      <c r="J1617" s="14"/>
      <c r="K1617" s="14"/>
      <c r="L1617" s="14"/>
      <c r="M1617" s="13"/>
    </row>
    <row r="1618" customFormat="false" ht="15" hidden="false" customHeight="false" outlineLevel="0" collapsed="false">
      <c r="A1618" s="6" t="n">
        <v>1614</v>
      </c>
      <c r="B1618" s="8" t="s">
        <v>2523</v>
      </c>
      <c r="C1618" s="8" t="s">
        <v>2524</v>
      </c>
      <c r="D1618" s="9"/>
      <c r="E1618" s="10"/>
      <c r="F1618" s="11" t="n">
        <v>0.00718472222222222</v>
      </c>
      <c r="G1618" s="12" t="n">
        <v>524</v>
      </c>
      <c r="H1618" s="11" t="n">
        <v>0.00292824074074074</v>
      </c>
      <c r="I1618" s="12" t="n">
        <v>1168</v>
      </c>
      <c r="J1618" s="14"/>
      <c r="K1618" s="14"/>
      <c r="L1618" s="14"/>
      <c r="M1618" s="13"/>
    </row>
    <row r="1619" customFormat="false" ht="15" hidden="false" customHeight="false" outlineLevel="0" collapsed="false">
      <c r="A1619" s="6" t="n">
        <v>1615</v>
      </c>
      <c r="B1619" s="8" t="s">
        <v>2525</v>
      </c>
      <c r="C1619" s="8" t="s">
        <v>2526</v>
      </c>
      <c r="D1619" s="9"/>
      <c r="E1619" s="10"/>
      <c r="F1619" s="11" t="n">
        <v>0.00718715277777778</v>
      </c>
      <c r="G1619" s="12" t="n">
        <v>525</v>
      </c>
      <c r="H1619" s="11"/>
      <c r="I1619" s="12"/>
      <c r="J1619" s="14"/>
      <c r="K1619" s="14"/>
      <c r="L1619" s="14"/>
      <c r="M1619" s="13"/>
    </row>
    <row r="1620" customFormat="false" ht="15" hidden="false" customHeight="false" outlineLevel="0" collapsed="false">
      <c r="A1620" s="6" t="n">
        <v>1616</v>
      </c>
      <c r="B1620" s="8" t="s">
        <v>2527</v>
      </c>
      <c r="C1620" s="8" t="s">
        <v>1905</v>
      </c>
      <c r="D1620" s="9"/>
      <c r="E1620" s="10"/>
      <c r="F1620" s="11"/>
      <c r="G1620" s="12"/>
      <c r="H1620" s="11" t="n">
        <v>0.00284386574074074</v>
      </c>
      <c r="I1620" s="12" t="n">
        <v>525</v>
      </c>
      <c r="J1620" s="14"/>
      <c r="K1620" s="14"/>
      <c r="L1620" s="14"/>
      <c r="M1620" s="13"/>
    </row>
    <row r="1621" customFormat="false" ht="15" hidden="false" customHeight="false" outlineLevel="0" collapsed="false">
      <c r="A1621" s="6" t="n">
        <v>1617</v>
      </c>
      <c r="B1621" s="8" t="s">
        <v>2528</v>
      </c>
      <c r="C1621" s="8" t="s">
        <v>817</v>
      </c>
      <c r="D1621" s="9"/>
      <c r="E1621" s="10"/>
      <c r="F1621" s="11" t="n">
        <v>0.00718784722222222</v>
      </c>
      <c r="G1621" s="12" t="n">
        <v>526</v>
      </c>
      <c r="H1621" s="11"/>
      <c r="I1621" s="12"/>
      <c r="J1621" s="14"/>
      <c r="K1621" s="14"/>
      <c r="L1621" s="14"/>
      <c r="M1621" s="13"/>
    </row>
    <row r="1622" customFormat="false" ht="15" hidden="false" customHeight="false" outlineLevel="0" collapsed="false">
      <c r="A1622" s="6" t="n">
        <v>1618</v>
      </c>
      <c r="B1622" s="8" t="s">
        <v>2529</v>
      </c>
      <c r="C1622" s="8" t="s">
        <v>290</v>
      </c>
      <c r="D1622" s="9"/>
      <c r="E1622" s="10"/>
      <c r="F1622" s="11" t="n">
        <v>0.00718831018518519</v>
      </c>
      <c r="G1622" s="12" t="n">
        <v>527</v>
      </c>
      <c r="H1622" s="11"/>
      <c r="I1622" s="12"/>
      <c r="J1622" s="14"/>
      <c r="K1622" s="14"/>
      <c r="L1622" s="14"/>
      <c r="M1622" s="13"/>
    </row>
    <row r="1623" customFormat="false" ht="15" hidden="false" customHeight="false" outlineLevel="0" collapsed="false">
      <c r="A1623" s="6" t="n">
        <v>1619</v>
      </c>
      <c r="B1623" s="8" t="s">
        <v>2530</v>
      </c>
      <c r="C1623" s="8" t="s">
        <v>1408</v>
      </c>
      <c r="D1623" s="9"/>
      <c r="E1623" s="10"/>
      <c r="F1623" s="11" t="n">
        <v>0.00719085648148148</v>
      </c>
      <c r="G1623" s="12" t="n">
        <v>528</v>
      </c>
      <c r="H1623" s="11"/>
      <c r="I1623" s="12"/>
      <c r="J1623" s="14"/>
      <c r="K1623" s="14"/>
      <c r="L1623" s="14"/>
      <c r="M1623" s="13"/>
    </row>
    <row r="1624" customFormat="false" ht="15" hidden="false" customHeight="false" outlineLevel="0" collapsed="false">
      <c r="A1624" s="6" t="n">
        <v>1620</v>
      </c>
      <c r="B1624" s="8" t="s">
        <v>2531</v>
      </c>
      <c r="C1624" s="8" t="s">
        <v>197</v>
      </c>
      <c r="D1624" s="9"/>
      <c r="E1624" s="10"/>
      <c r="F1624" s="11" t="n">
        <v>0.00719131944444445</v>
      </c>
      <c r="G1624" s="12" t="n">
        <v>530</v>
      </c>
      <c r="H1624" s="11"/>
      <c r="I1624" s="12"/>
      <c r="J1624" s="14"/>
      <c r="K1624" s="14"/>
      <c r="L1624" s="14"/>
      <c r="M1624" s="13"/>
    </row>
    <row r="1625" customFormat="false" ht="15" hidden="false" customHeight="false" outlineLevel="0" collapsed="false">
      <c r="A1625" s="6" t="n">
        <v>1621</v>
      </c>
      <c r="B1625" s="8" t="s">
        <v>2532</v>
      </c>
      <c r="C1625" s="8" t="s">
        <v>2533</v>
      </c>
      <c r="D1625" s="9"/>
      <c r="E1625" s="10"/>
      <c r="F1625" s="11" t="n">
        <v>0.00719386574074074</v>
      </c>
      <c r="G1625" s="12" t="n">
        <v>532</v>
      </c>
      <c r="H1625" s="11"/>
      <c r="I1625" s="12"/>
      <c r="J1625" s="14"/>
      <c r="K1625" s="14"/>
      <c r="L1625" s="14"/>
      <c r="M1625" s="13"/>
    </row>
    <row r="1626" customFormat="false" ht="15" hidden="false" customHeight="false" outlineLevel="0" collapsed="false">
      <c r="A1626" s="6" t="n">
        <v>1622</v>
      </c>
      <c r="B1626" s="8" t="s">
        <v>2534</v>
      </c>
      <c r="C1626" s="8" t="s">
        <v>1508</v>
      </c>
      <c r="D1626" s="9"/>
      <c r="E1626" s="10"/>
      <c r="F1626" s="11" t="n">
        <v>0.00719618055555556</v>
      </c>
      <c r="G1626" s="12" t="n">
        <v>533</v>
      </c>
      <c r="H1626" s="11"/>
      <c r="I1626" s="12"/>
      <c r="J1626" s="14"/>
      <c r="K1626" s="14"/>
      <c r="L1626" s="14"/>
      <c r="M1626" s="13"/>
    </row>
    <row r="1627" customFormat="false" ht="15" hidden="false" customHeight="false" outlineLevel="0" collapsed="false">
      <c r="A1627" s="6" t="n">
        <v>1623</v>
      </c>
      <c r="B1627" s="8" t="s">
        <v>2535</v>
      </c>
      <c r="C1627" s="8" t="s">
        <v>845</v>
      </c>
      <c r="D1627" s="9"/>
      <c r="E1627" s="10"/>
      <c r="F1627" s="11" t="n">
        <v>0.00719768518518519</v>
      </c>
      <c r="G1627" s="12" t="n">
        <v>534</v>
      </c>
      <c r="H1627" s="11"/>
      <c r="I1627" s="12"/>
      <c r="J1627" s="14"/>
      <c r="K1627" s="14"/>
      <c r="L1627" s="14"/>
      <c r="M1627" s="13"/>
    </row>
    <row r="1628" customFormat="false" ht="15" hidden="false" customHeight="false" outlineLevel="0" collapsed="false">
      <c r="A1628" s="6" t="n">
        <v>1624</v>
      </c>
      <c r="B1628" s="8" t="s">
        <v>2536</v>
      </c>
      <c r="C1628" s="8" t="s">
        <v>390</v>
      </c>
      <c r="D1628" s="9"/>
      <c r="E1628" s="10"/>
      <c r="F1628" s="11" t="n">
        <v>0.00719884259259259</v>
      </c>
      <c r="G1628" s="12" t="n">
        <v>535</v>
      </c>
      <c r="H1628" s="11"/>
      <c r="I1628" s="12"/>
      <c r="J1628" s="14"/>
      <c r="K1628" s="14"/>
      <c r="L1628" s="14"/>
      <c r="M1628" s="13"/>
    </row>
    <row r="1629" customFormat="false" ht="15" hidden="false" customHeight="false" outlineLevel="0" collapsed="false">
      <c r="A1629" s="6" t="n">
        <v>1625</v>
      </c>
      <c r="B1629" s="8" t="s">
        <v>2537</v>
      </c>
      <c r="C1629" s="8" t="s">
        <v>2538</v>
      </c>
      <c r="D1629" s="9"/>
      <c r="E1629" s="10"/>
      <c r="F1629" s="11" t="n">
        <v>0.00719988425925926</v>
      </c>
      <c r="G1629" s="12" t="n">
        <v>536</v>
      </c>
      <c r="H1629" s="11"/>
      <c r="I1629" s="12"/>
      <c r="J1629" s="14"/>
      <c r="K1629" s="14"/>
      <c r="L1629" s="14"/>
      <c r="M1629" s="13"/>
    </row>
    <row r="1630" customFormat="false" ht="15" hidden="false" customHeight="false" outlineLevel="0" collapsed="false">
      <c r="A1630" s="6" t="n">
        <v>1626</v>
      </c>
      <c r="B1630" s="8" t="s">
        <v>2539</v>
      </c>
      <c r="C1630" s="8" t="s">
        <v>408</v>
      </c>
      <c r="D1630" s="9"/>
      <c r="E1630" s="10"/>
      <c r="F1630" s="11"/>
      <c r="G1630" s="12"/>
      <c r="H1630" s="11" t="n">
        <v>0.00284490740740741</v>
      </c>
      <c r="I1630" s="12" t="n">
        <v>536</v>
      </c>
      <c r="J1630" s="14"/>
      <c r="K1630" s="14"/>
      <c r="L1630" s="14"/>
      <c r="M1630" s="13"/>
    </row>
    <row r="1631" customFormat="false" ht="15" hidden="false" customHeight="false" outlineLevel="0" collapsed="false">
      <c r="A1631" s="6" t="n">
        <v>1627</v>
      </c>
      <c r="B1631" s="8" t="s">
        <v>2540</v>
      </c>
      <c r="C1631" s="8" t="s">
        <v>2174</v>
      </c>
      <c r="D1631" s="9"/>
      <c r="E1631" s="10"/>
      <c r="F1631" s="11" t="n">
        <v>0.00720092592592593</v>
      </c>
      <c r="G1631" s="12" t="n">
        <v>537</v>
      </c>
      <c r="H1631" s="11"/>
      <c r="I1631" s="12"/>
      <c r="J1631" s="14"/>
      <c r="K1631" s="14"/>
      <c r="L1631" s="14"/>
      <c r="M1631" s="13"/>
    </row>
    <row r="1632" customFormat="false" ht="15" hidden="false" customHeight="false" outlineLevel="0" collapsed="false">
      <c r="A1632" s="6" t="n">
        <v>1628</v>
      </c>
      <c r="B1632" s="8" t="s">
        <v>2541</v>
      </c>
      <c r="C1632" s="8" t="s">
        <v>554</v>
      </c>
      <c r="D1632" s="9"/>
      <c r="E1632" s="10"/>
      <c r="F1632" s="11"/>
      <c r="G1632" s="12"/>
      <c r="H1632" s="11" t="n">
        <v>0.00284513888888889</v>
      </c>
      <c r="I1632" s="12" t="n">
        <v>537</v>
      </c>
      <c r="J1632" s="14"/>
      <c r="K1632" s="14"/>
      <c r="L1632" s="14"/>
      <c r="M1632" s="13"/>
    </row>
    <row r="1633" customFormat="false" ht="15" hidden="false" customHeight="false" outlineLevel="0" collapsed="false">
      <c r="A1633" s="6" t="n">
        <v>1629</v>
      </c>
      <c r="B1633" s="8" t="s">
        <v>2542</v>
      </c>
      <c r="C1633" s="8" t="s">
        <v>554</v>
      </c>
      <c r="D1633" s="9"/>
      <c r="E1633" s="10"/>
      <c r="F1633" s="11" t="n">
        <v>0.00720127314814815</v>
      </c>
      <c r="G1633" s="12" t="n">
        <v>538</v>
      </c>
      <c r="H1633" s="11" t="n">
        <v>0.0029755787037037</v>
      </c>
      <c r="I1633" s="12" t="n">
        <v>1329</v>
      </c>
      <c r="J1633" s="14"/>
      <c r="K1633" s="14"/>
      <c r="L1633" s="14"/>
      <c r="M1633" s="13"/>
    </row>
    <row r="1634" customFormat="false" ht="15" hidden="false" customHeight="false" outlineLevel="0" collapsed="false">
      <c r="A1634" s="6" t="n">
        <v>1630</v>
      </c>
      <c r="B1634" s="8" t="s">
        <v>2543</v>
      </c>
      <c r="C1634" s="8" t="s">
        <v>1835</v>
      </c>
      <c r="D1634" s="9"/>
      <c r="E1634" s="10"/>
      <c r="F1634" s="11" t="n">
        <v>0.00720127314814815</v>
      </c>
      <c r="G1634" s="12" t="n">
        <v>539</v>
      </c>
      <c r="H1634" s="11"/>
      <c r="I1634" s="12"/>
      <c r="J1634" s="14"/>
      <c r="K1634" s="14"/>
      <c r="L1634" s="14"/>
      <c r="M1634" s="13"/>
    </row>
    <row r="1635" customFormat="false" ht="15" hidden="false" customHeight="false" outlineLevel="0" collapsed="false">
      <c r="A1635" s="6" t="n">
        <v>1631</v>
      </c>
      <c r="B1635" s="8" t="s">
        <v>2544</v>
      </c>
      <c r="C1635" s="8" t="s">
        <v>2545</v>
      </c>
      <c r="D1635" s="9"/>
      <c r="E1635" s="10"/>
      <c r="F1635" s="11" t="n">
        <v>0.00720138888888889</v>
      </c>
      <c r="G1635" s="12" t="n">
        <v>540</v>
      </c>
      <c r="H1635" s="11"/>
      <c r="I1635" s="12"/>
      <c r="J1635" s="14"/>
      <c r="K1635" s="14"/>
      <c r="L1635" s="14"/>
      <c r="M1635" s="13"/>
    </row>
    <row r="1636" customFormat="false" ht="15" hidden="false" customHeight="false" outlineLevel="0" collapsed="false">
      <c r="A1636" s="6" t="n">
        <v>1632</v>
      </c>
      <c r="B1636" s="8" t="s">
        <v>2546</v>
      </c>
      <c r="C1636" s="8" t="s">
        <v>2547</v>
      </c>
      <c r="D1636" s="9"/>
      <c r="E1636" s="10"/>
      <c r="F1636" s="11"/>
      <c r="G1636" s="12"/>
      <c r="H1636" s="11" t="n">
        <v>0.00284594907407407</v>
      </c>
      <c r="I1636" s="12" t="n">
        <v>540</v>
      </c>
      <c r="J1636" s="14"/>
      <c r="K1636" s="14"/>
      <c r="L1636" s="14"/>
      <c r="M1636" s="13"/>
    </row>
    <row r="1637" customFormat="false" ht="15" hidden="false" customHeight="false" outlineLevel="0" collapsed="false">
      <c r="A1637" s="6" t="n">
        <v>1633</v>
      </c>
      <c r="B1637" s="8" t="s">
        <v>2548</v>
      </c>
      <c r="C1637" s="8" t="s">
        <v>2549</v>
      </c>
      <c r="D1637" s="9"/>
      <c r="E1637" s="10"/>
      <c r="F1637" s="11"/>
      <c r="G1637" s="12"/>
      <c r="H1637" s="11" t="n">
        <v>0.00284606481481482</v>
      </c>
      <c r="I1637" s="12" t="n">
        <v>541</v>
      </c>
      <c r="J1637" s="14"/>
      <c r="K1637" s="14"/>
      <c r="L1637" s="14"/>
      <c r="M1637" s="13"/>
    </row>
    <row r="1638" customFormat="false" ht="15" hidden="false" customHeight="false" outlineLevel="0" collapsed="false">
      <c r="A1638" s="6" t="n">
        <v>1634</v>
      </c>
      <c r="B1638" s="8" t="s">
        <v>2550</v>
      </c>
      <c r="C1638" s="8" t="s">
        <v>1503</v>
      </c>
      <c r="D1638" s="9"/>
      <c r="E1638" s="10"/>
      <c r="F1638" s="11" t="n">
        <v>0.00720474537037037</v>
      </c>
      <c r="G1638" s="12" t="n">
        <v>542</v>
      </c>
      <c r="H1638" s="11" t="n">
        <v>0.00292210648148148</v>
      </c>
      <c r="I1638" s="12" t="n">
        <v>1114</v>
      </c>
      <c r="J1638" s="14"/>
      <c r="K1638" s="14"/>
      <c r="L1638" s="14"/>
      <c r="M1638" s="13"/>
    </row>
    <row r="1639" customFormat="false" ht="15" hidden="false" customHeight="false" outlineLevel="0" collapsed="false">
      <c r="A1639" s="6" t="n">
        <v>1635</v>
      </c>
      <c r="B1639" s="8" t="s">
        <v>2551</v>
      </c>
      <c r="C1639" s="8" t="s">
        <v>2552</v>
      </c>
      <c r="D1639" s="9"/>
      <c r="E1639" s="10"/>
      <c r="F1639" s="11" t="n">
        <v>0.00720555555555556</v>
      </c>
      <c r="G1639" s="12" t="n">
        <v>543</v>
      </c>
      <c r="H1639" s="11"/>
      <c r="I1639" s="12"/>
      <c r="J1639" s="14"/>
      <c r="K1639" s="14"/>
      <c r="L1639" s="14"/>
      <c r="M1639" s="13"/>
    </row>
    <row r="1640" customFormat="false" ht="15" hidden="false" customHeight="false" outlineLevel="0" collapsed="false">
      <c r="A1640" s="6" t="n">
        <v>1636</v>
      </c>
      <c r="B1640" s="8" t="s">
        <v>2553</v>
      </c>
      <c r="C1640" s="8" t="s">
        <v>2554</v>
      </c>
      <c r="D1640" s="9"/>
      <c r="E1640" s="10"/>
      <c r="F1640" s="11" t="n">
        <v>0.00720856481481482</v>
      </c>
      <c r="G1640" s="12" t="n">
        <v>544</v>
      </c>
      <c r="H1640" s="11" t="n">
        <v>0.00297523148148148</v>
      </c>
      <c r="I1640" s="12" t="n">
        <v>1326</v>
      </c>
      <c r="J1640" s="14"/>
      <c r="K1640" s="14"/>
      <c r="L1640" s="14"/>
      <c r="M1640" s="13"/>
    </row>
    <row r="1641" customFormat="false" ht="15" hidden="false" customHeight="false" outlineLevel="0" collapsed="false">
      <c r="A1641" s="6" t="n">
        <v>1637</v>
      </c>
      <c r="B1641" s="8" t="s">
        <v>2555</v>
      </c>
      <c r="C1641" s="8" t="s">
        <v>2556</v>
      </c>
      <c r="D1641" s="9"/>
      <c r="E1641" s="10"/>
      <c r="F1641" s="11" t="n">
        <v>0.00721018518518519</v>
      </c>
      <c r="G1641" s="12" t="n">
        <v>547</v>
      </c>
      <c r="H1641" s="11"/>
      <c r="I1641" s="12"/>
      <c r="J1641" s="14"/>
      <c r="K1641" s="14"/>
      <c r="L1641" s="14"/>
      <c r="M1641" s="13"/>
    </row>
    <row r="1642" customFormat="false" ht="15" hidden="false" customHeight="false" outlineLevel="0" collapsed="false">
      <c r="A1642" s="6" t="n">
        <v>1638</v>
      </c>
      <c r="B1642" s="8" t="s">
        <v>2557</v>
      </c>
      <c r="C1642" s="8" t="s">
        <v>704</v>
      </c>
      <c r="D1642" s="9"/>
      <c r="E1642" s="10"/>
      <c r="F1642" s="11"/>
      <c r="G1642" s="12"/>
      <c r="H1642" s="11" t="n">
        <v>0.00284641203703704</v>
      </c>
      <c r="I1642" s="12" t="n">
        <v>547</v>
      </c>
      <c r="J1642" s="14"/>
      <c r="K1642" s="14"/>
      <c r="L1642" s="14"/>
      <c r="M1642" s="13"/>
    </row>
    <row r="1643" customFormat="false" ht="15" hidden="false" customHeight="false" outlineLevel="0" collapsed="false">
      <c r="A1643" s="6" t="n">
        <v>1639</v>
      </c>
      <c r="B1643" s="8" t="s">
        <v>2558</v>
      </c>
      <c r="C1643" s="8" t="s">
        <v>868</v>
      </c>
      <c r="D1643" s="9"/>
      <c r="E1643" s="10"/>
      <c r="F1643" s="11" t="n">
        <v>0.00721053240740741</v>
      </c>
      <c r="G1643" s="12" t="n">
        <v>548</v>
      </c>
      <c r="H1643" s="11"/>
      <c r="I1643" s="12"/>
      <c r="J1643" s="14"/>
      <c r="K1643" s="14"/>
      <c r="L1643" s="14"/>
      <c r="M1643" s="13"/>
    </row>
    <row r="1644" customFormat="false" ht="15" hidden="false" customHeight="false" outlineLevel="0" collapsed="false">
      <c r="A1644" s="6" t="n">
        <v>1640</v>
      </c>
      <c r="B1644" s="8" t="s">
        <v>2559</v>
      </c>
      <c r="C1644" s="8" t="s">
        <v>2560</v>
      </c>
      <c r="D1644" s="9"/>
      <c r="E1644" s="10"/>
      <c r="F1644" s="11"/>
      <c r="G1644" s="12"/>
      <c r="H1644" s="11" t="n">
        <v>0.00284652777777778</v>
      </c>
      <c r="I1644" s="12" t="n">
        <v>548</v>
      </c>
      <c r="J1644" s="14"/>
      <c r="K1644" s="14"/>
      <c r="L1644" s="14"/>
      <c r="M1644" s="13"/>
    </row>
    <row r="1645" customFormat="false" ht="15" hidden="false" customHeight="false" outlineLevel="0" collapsed="false">
      <c r="A1645" s="6" t="n">
        <v>1641</v>
      </c>
      <c r="B1645" s="8" t="s">
        <v>2561</v>
      </c>
      <c r="C1645" s="8" t="s">
        <v>2562</v>
      </c>
      <c r="D1645" s="9"/>
      <c r="E1645" s="10"/>
      <c r="F1645" s="11" t="n">
        <v>0.00721134259259259</v>
      </c>
      <c r="G1645" s="12" t="n">
        <v>549</v>
      </c>
      <c r="H1645" s="11"/>
      <c r="I1645" s="12"/>
      <c r="J1645" s="14"/>
      <c r="K1645" s="14"/>
      <c r="L1645" s="14"/>
      <c r="M1645" s="13"/>
    </row>
    <row r="1646" customFormat="false" ht="15" hidden="false" customHeight="false" outlineLevel="0" collapsed="false">
      <c r="A1646" s="6" t="n">
        <v>1642</v>
      </c>
      <c r="B1646" s="8" t="s">
        <v>2563</v>
      </c>
      <c r="C1646" s="8" t="s">
        <v>2564</v>
      </c>
      <c r="D1646" s="9"/>
      <c r="E1646" s="10"/>
      <c r="F1646" s="11"/>
      <c r="G1646" s="12"/>
      <c r="H1646" s="11" t="n">
        <v>0.00284675925925926</v>
      </c>
      <c r="I1646" s="12" t="n">
        <v>549</v>
      </c>
      <c r="J1646" s="14"/>
      <c r="K1646" s="14"/>
      <c r="L1646" s="14"/>
      <c r="M1646" s="13"/>
    </row>
    <row r="1647" customFormat="false" ht="15" hidden="false" customHeight="false" outlineLevel="0" collapsed="false">
      <c r="A1647" s="6" t="n">
        <v>1643</v>
      </c>
      <c r="B1647" s="8" t="s">
        <v>2565</v>
      </c>
      <c r="C1647" s="8" t="s">
        <v>2566</v>
      </c>
      <c r="D1647" s="9"/>
      <c r="E1647" s="10"/>
      <c r="F1647" s="11"/>
      <c r="G1647" s="12"/>
      <c r="H1647" s="11" t="n">
        <v>0.00284675925925926</v>
      </c>
      <c r="I1647" s="12" t="n">
        <v>550</v>
      </c>
      <c r="J1647" s="14"/>
      <c r="K1647" s="14"/>
      <c r="L1647" s="14"/>
      <c r="M1647" s="13"/>
    </row>
    <row r="1648" customFormat="false" ht="15" hidden="false" customHeight="false" outlineLevel="0" collapsed="false">
      <c r="A1648" s="6" t="n">
        <v>1644</v>
      </c>
      <c r="B1648" s="8" t="s">
        <v>2567</v>
      </c>
      <c r="C1648" s="8" t="s">
        <v>373</v>
      </c>
      <c r="D1648" s="9"/>
      <c r="E1648" s="10"/>
      <c r="F1648" s="11" t="n">
        <v>0.00721342592592593</v>
      </c>
      <c r="G1648" s="12" t="n">
        <v>551</v>
      </c>
      <c r="H1648" s="11"/>
      <c r="I1648" s="12"/>
      <c r="J1648" s="14"/>
      <c r="K1648" s="14"/>
      <c r="L1648" s="14"/>
      <c r="M1648" s="13"/>
    </row>
    <row r="1649" customFormat="false" ht="15" hidden="false" customHeight="false" outlineLevel="0" collapsed="false">
      <c r="A1649" s="6" t="n">
        <v>1645</v>
      </c>
      <c r="B1649" s="8" t="s">
        <v>2568</v>
      </c>
      <c r="C1649" s="8" t="s">
        <v>2569</v>
      </c>
      <c r="D1649" s="9"/>
      <c r="E1649" s="10"/>
      <c r="F1649" s="11" t="n">
        <v>0.00721365740740741</v>
      </c>
      <c r="G1649" s="12" t="n">
        <v>552</v>
      </c>
      <c r="H1649" s="11"/>
      <c r="I1649" s="12"/>
      <c r="J1649" s="14"/>
      <c r="K1649" s="14"/>
      <c r="L1649" s="14"/>
      <c r="M1649" s="13"/>
    </row>
    <row r="1650" customFormat="false" ht="15" hidden="false" customHeight="false" outlineLevel="0" collapsed="false">
      <c r="A1650" s="6" t="n">
        <v>1646</v>
      </c>
      <c r="B1650" s="8" t="s">
        <v>2570</v>
      </c>
      <c r="C1650" s="8" t="s">
        <v>2571</v>
      </c>
      <c r="D1650" s="9"/>
      <c r="E1650" s="10"/>
      <c r="F1650" s="11" t="n">
        <v>0.00721435185185185</v>
      </c>
      <c r="G1650" s="12" t="n">
        <v>553</v>
      </c>
      <c r="H1650" s="11"/>
      <c r="I1650" s="12"/>
      <c r="J1650" s="14"/>
      <c r="K1650" s="14"/>
      <c r="L1650" s="14"/>
      <c r="M1650" s="13"/>
    </row>
    <row r="1651" customFormat="false" ht="15" hidden="false" customHeight="false" outlineLevel="0" collapsed="false">
      <c r="A1651" s="6" t="n">
        <v>1647</v>
      </c>
      <c r="B1651" s="8" t="s">
        <v>2572</v>
      </c>
      <c r="C1651" s="8" t="s">
        <v>2573</v>
      </c>
      <c r="D1651" s="9"/>
      <c r="E1651" s="10"/>
      <c r="F1651" s="11" t="n">
        <v>0.00721539351851852</v>
      </c>
      <c r="G1651" s="12" t="n">
        <v>554</v>
      </c>
      <c r="H1651" s="11"/>
      <c r="I1651" s="12"/>
      <c r="J1651" s="14"/>
      <c r="K1651" s="14"/>
      <c r="L1651" s="14"/>
      <c r="M1651" s="13"/>
    </row>
    <row r="1652" customFormat="false" ht="15" hidden="false" customHeight="false" outlineLevel="0" collapsed="false">
      <c r="A1652" s="6" t="n">
        <v>1648</v>
      </c>
      <c r="B1652" s="8" t="s">
        <v>2574</v>
      </c>
      <c r="C1652" s="8" t="s">
        <v>2575</v>
      </c>
      <c r="D1652" s="9"/>
      <c r="E1652" s="10"/>
      <c r="F1652" s="11" t="n">
        <v>0.00721608796296296</v>
      </c>
      <c r="G1652" s="12" t="n">
        <v>555</v>
      </c>
      <c r="H1652" s="11"/>
      <c r="I1652" s="12"/>
      <c r="J1652" s="14"/>
      <c r="K1652" s="14"/>
      <c r="L1652" s="14"/>
      <c r="M1652" s="13"/>
    </row>
    <row r="1653" customFormat="false" ht="15" hidden="false" customHeight="false" outlineLevel="0" collapsed="false">
      <c r="A1653" s="6" t="n">
        <v>1649</v>
      </c>
      <c r="B1653" s="8" t="s">
        <v>2576</v>
      </c>
      <c r="C1653" s="8" t="s">
        <v>2377</v>
      </c>
      <c r="D1653" s="9"/>
      <c r="E1653" s="10"/>
      <c r="F1653" s="11" t="n">
        <v>0.00721655092592593</v>
      </c>
      <c r="G1653" s="12" t="n">
        <v>556</v>
      </c>
      <c r="H1653" s="11"/>
      <c r="I1653" s="12"/>
      <c r="J1653" s="14"/>
      <c r="K1653" s="14"/>
      <c r="L1653" s="14"/>
      <c r="M1653" s="13"/>
    </row>
    <row r="1654" customFormat="false" ht="15" hidden="false" customHeight="false" outlineLevel="0" collapsed="false">
      <c r="A1654" s="6" t="n">
        <v>1650</v>
      </c>
      <c r="B1654" s="8" t="s">
        <v>2577</v>
      </c>
      <c r="C1654" s="8" t="s">
        <v>1684</v>
      </c>
      <c r="D1654" s="9"/>
      <c r="E1654" s="10"/>
      <c r="F1654" s="11"/>
      <c r="G1654" s="12"/>
      <c r="H1654" s="11" t="n">
        <v>0.00284814814814815</v>
      </c>
      <c r="I1654" s="12" t="n">
        <v>556</v>
      </c>
      <c r="J1654" s="14"/>
      <c r="K1654" s="14"/>
      <c r="L1654" s="14"/>
      <c r="M1654" s="13"/>
    </row>
    <row r="1655" customFormat="false" ht="15" hidden="false" customHeight="false" outlineLevel="0" collapsed="false">
      <c r="A1655" s="6" t="n">
        <v>1651</v>
      </c>
      <c r="B1655" s="8" t="s">
        <v>2578</v>
      </c>
      <c r="C1655" s="8" t="s">
        <v>2579</v>
      </c>
      <c r="D1655" s="9"/>
      <c r="E1655" s="10"/>
      <c r="F1655" s="11" t="n">
        <v>0.00721712962962963</v>
      </c>
      <c r="G1655" s="12" t="n">
        <v>558</v>
      </c>
      <c r="H1655" s="11"/>
      <c r="I1655" s="12"/>
      <c r="J1655" s="14"/>
      <c r="K1655" s="14"/>
      <c r="L1655" s="14"/>
      <c r="M1655" s="13"/>
    </row>
    <row r="1656" customFormat="false" ht="15" hidden="false" customHeight="false" outlineLevel="0" collapsed="false">
      <c r="A1656" s="6" t="n">
        <v>1652</v>
      </c>
      <c r="B1656" s="8" t="s">
        <v>2580</v>
      </c>
      <c r="C1656" s="8" t="s">
        <v>2581</v>
      </c>
      <c r="D1656" s="9"/>
      <c r="E1656" s="10"/>
      <c r="F1656" s="11" t="n">
        <v>0.00722013888888889</v>
      </c>
      <c r="G1656" s="12" t="n">
        <v>559</v>
      </c>
      <c r="H1656" s="11"/>
      <c r="I1656" s="12"/>
      <c r="J1656" s="14"/>
      <c r="K1656" s="14"/>
      <c r="L1656" s="14"/>
      <c r="M1656" s="13"/>
    </row>
    <row r="1657" customFormat="false" ht="15" hidden="false" customHeight="false" outlineLevel="0" collapsed="false">
      <c r="A1657" s="6" t="n">
        <v>1653</v>
      </c>
      <c r="B1657" s="8" t="s">
        <v>2582</v>
      </c>
      <c r="C1657" s="8" t="s">
        <v>2304</v>
      </c>
      <c r="D1657" s="9"/>
      <c r="E1657" s="10"/>
      <c r="F1657" s="11" t="n">
        <v>0.00722094907407407</v>
      </c>
      <c r="G1657" s="12" t="n">
        <v>560</v>
      </c>
      <c r="H1657" s="11"/>
      <c r="I1657" s="12"/>
      <c r="J1657" s="14"/>
      <c r="K1657" s="14"/>
      <c r="L1657" s="14"/>
      <c r="M1657" s="13"/>
    </row>
    <row r="1658" customFormat="false" ht="15" hidden="false" customHeight="false" outlineLevel="0" collapsed="false">
      <c r="A1658" s="6" t="n">
        <v>1654</v>
      </c>
      <c r="B1658" s="8" t="s">
        <v>2583</v>
      </c>
      <c r="C1658" s="8" t="s">
        <v>1308</v>
      </c>
      <c r="D1658" s="9"/>
      <c r="E1658" s="10"/>
      <c r="F1658" s="11" t="n">
        <v>0.00722106481481482</v>
      </c>
      <c r="G1658" s="12" t="n">
        <v>561</v>
      </c>
      <c r="H1658" s="11" t="n">
        <v>0.00289560185185185</v>
      </c>
      <c r="I1658" s="12" t="n">
        <v>916</v>
      </c>
      <c r="J1658" s="14"/>
      <c r="K1658" s="14"/>
      <c r="L1658" s="14"/>
      <c r="M1658" s="13"/>
    </row>
    <row r="1659" customFormat="false" ht="15" hidden="false" customHeight="false" outlineLevel="0" collapsed="false">
      <c r="A1659" s="6" t="n">
        <v>1655</v>
      </c>
      <c r="B1659" s="8" t="s">
        <v>2584</v>
      </c>
      <c r="C1659" s="8" t="s">
        <v>2180</v>
      </c>
      <c r="D1659" s="9"/>
      <c r="E1659" s="10"/>
      <c r="F1659" s="11" t="n">
        <v>0.007221875</v>
      </c>
      <c r="G1659" s="12" t="n">
        <v>562</v>
      </c>
      <c r="H1659" s="11"/>
      <c r="I1659" s="12"/>
      <c r="J1659" s="14"/>
      <c r="K1659" s="14"/>
      <c r="L1659" s="14"/>
      <c r="M1659" s="13"/>
    </row>
    <row r="1660" customFormat="false" ht="15" hidden="false" customHeight="false" outlineLevel="0" collapsed="false">
      <c r="A1660" s="6" t="n">
        <v>1656</v>
      </c>
      <c r="B1660" s="8" t="s">
        <v>2585</v>
      </c>
      <c r="C1660" s="8" t="s">
        <v>2586</v>
      </c>
      <c r="D1660" s="9"/>
      <c r="E1660" s="10"/>
      <c r="F1660" s="11"/>
      <c r="G1660" s="12"/>
      <c r="H1660" s="11" t="n">
        <v>0.00284884259259259</v>
      </c>
      <c r="I1660" s="12" t="n">
        <v>562</v>
      </c>
      <c r="J1660" s="14"/>
      <c r="K1660" s="14"/>
      <c r="L1660" s="14"/>
      <c r="M1660" s="13"/>
    </row>
    <row r="1661" customFormat="false" ht="15" hidden="false" customHeight="false" outlineLevel="0" collapsed="false">
      <c r="A1661" s="6" t="n">
        <v>1657</v>
      </c>
      <c r="B1661" s="8" t="s">
        <v>2587</v>
      </c>
      <c r="C1661" s="8" t="s">
        <v>2588</v>
      </c>
      <c r="D1661" s="9"/>
      <c r="E1661" s="10"/>
      <c r="F1661" s="11" t="n">
        <v>0.00722326388888889</v>
      </c>
      <c r="G1661" s="12" t="n">
        <v>563</v>
      </c>
      <c r="H1661" s="11"/>
      <c r="I1661" s="12"/>
      <c r="J1661" s="14"/>
      <c r="K1661" s="14"/>
      <c r="L1661" s="14"/>
      <c r="M1661" s="13"/>
    </row>
    <row r="1662" customFormat="false" ht="15" hidden="false" customHeight="false" outlineLevel="0" collapsed="false">
      <c r="A1662" s="6" t="n">
        <v>1658</v>
      </c>
      <c r="B1662" s="8" t="s">
        <v>2589</v>
      </c>
      <c r="C1662" s="8" t="s">
        <v>2590</v>
      </c>
      <c r="D1662" s="9"/>
      <c r="E1662" s="10"/>
      <c r="F1662" s="11"/>
      <c r="G1662" s="12"/>
      <c r="H1662" s="11" t="n">
        <v>0.00284884259259259</v>
      </c>
      <c r="I1662" s="12" t="n">
        <v>563</v>
      </c>
      <c r="J1662" s="14"/>
      <c r="K1662" s="14"/>
      <c r="L1662" s="14"/>
      <c r="M1662" s="13"/>
    </row>
    <row r="1663" customFormat="false" ht="15" hidden="false" customHeight="false" outlineLevel="0" collapsed="false">
      <c r="A1663" s="6" t="n">
        <v>1659</v>
      </c>
      <c r="B1663" s="8" t="s">
        <v>2591</v>
      </c>
      <c r="C1663" s="8" t="s">
        <v>2592</v>
      </c>
      <c r="D1663" s="9"/>
      <c r="E1663" s="10"/>
      <c r="F1663" s="11" t="n">
        <v>0.00722395833333333</v>
      </c>
      <c r="G1663" s="12" t="n">
        <v>564</v>
      </c>
      <c r="H1663" s="11"/>
      <c r="I1663" s="12"/>
      <c r="J1663" s="14"/>
      <c r="K1663" s="14"/>
      <c r="L1663" s="14"/>
      <c r="M1663" s="13"/>
    </row>
    <row r="1664" customFormat="false" ht="15" hidden="false" customHeight="false" outlineLevel="0" collapsed="false">
      <c r="A1664" s="6" t="n">
        <v>1660</v>
      </c>
      <c r="B1664" s="8" t="s">
        <v>2593</v>
      </c>
      <c r="C1664" s="8" t="s">
        <v>1923</v>
      </c>
      <c r="D1664" s="9"/>
      <c r="E1664" s="10"/>
      <c r="F1664" s="11"/>
      <c r="G1664" s="12"/>
      <c r="H1664" s="11" t="n">
        <v>0.00284895833333333</v>
      </c>
      <c r="I1664" s="12" t="n">
        <v>565</v>
      </c>
      <c r="J1664" s="14"/>
      <c r="K1664" s="14"/>
      <c r="L1664" s="14"/>
      <c r="M1664" s="13"/>
    </row>
    <row r="1665" customFormat="false" ht="15" hidden="false" customHeight="false" outlineLevel="0" collapsed="false">
      <c r="A1665" s="6" t="n">
        <v>1661</v>
      </c>
      <c r="B1665" s="8" t="s">
        <v>2594</v>
      </c>
      <c r="C1665" s="8" t="s">
        <v>989</v>
      </c>
      <c r="D1665" s="9"/>
      <c r="E1665" s="10"/>
      <c r="F1665" s="11" t="n">
        <v>0.00722581018518519</v>
      </c>
      <c r="G1665" s="12" t="n">
        <v>566</v>
      </c>
      <c r="H1665" s="11"/>
      <c r="I1665" s="12"/>
      <c r="J1665" s="14"/>
      <c r="K1665" s="14"/>
      <c r="L1665" s="14"/>
      <c r="M1665" s="13"/>
    </row>
    <row r="1666" customFormat="false" ht="15" hidden="false" customHeight="false" outlineLevel="0" collapsed="false">
      <c r="A1666" s="6" t="n">
        <v>1662</v>
      </c>
      <c r="B1666" s="8" t="s">
        <v>2595</v>
      </c>
      <c r="C1666" s="8" t="s">
        <v>2434</v>
      </c>
      <c r="D1666" s="9"/>
      <c r="E1666" s="10"/>
      <c r="F1666" s="11"/>
      <c r="G1666" s="12"/>
      <c r="H1666" s="11" t="n">
        <v>0.00284907407407407</v>
      </c>
      <c r="I1666" s="12" t="n">
        <v>566</v>
      </c>
      <c r="J1666" s="14"/>
      <c r="K1666" s="14"/>
      <c r="L1666" s="14"/>
      <c r="M1666" s="13"/>
    </row>
    <row r="1667" customFormat="false" ht="15" hidden="false" customHeight="false" outlineLevel="0" collapsed="false">
      <c r="A1667" s="6" t="n">
        <v>1663</v>
      </c>
      <c r="B1667" s="8" t="s">
        <v>2596</v>
      </c>
      <c r="C1667" s="8" t="s">
        <v>252</v>
      </c>
      <c r="D1667" s="9"/>
      <c r="E1667" s="10"/>
      <c r="F1667" s="11" t="n">
        <v>0.00722604166666667</v>
      </c>
      <c r="G1667" s="12" t="n">
        <v>567</v>
      </c>
      <c r="H1667" s="11"/>
      <c r="I1667" s="12"/>
      <c r="J1667" s="14"/>
      <c r="K1667" s="14"/>
      <c r="L1667" s="14"/>
      <c r="M1667" s="13"/>
    </row>
    <row r="1668" customFormat="false" ht="15" hidden="false" customHeight="false" outlineLevel="0" collapsed="false">
      <c r="A1668" s="6" t="n">
        <v>1664</v>
      </c>
      <c r="B1668" s="8" t="s">
        <v>2597</v>
      </c>
      <c r="C1668" s="8" t="s">
        <v>1496</v>
      </c>
      <c r="D1668" s="9"/>
      <c r="E1668" s="10"/>
      <c r="F1668" s="11" t="n">
        <v>0.00722638888888889</v>
      </c>
      <c r="G1668" s="12" t="n">
        <v>568</v>
      </c>
      <c r="H1668" s="11"/>
      <c r="I1668" s="12"/>
      <c r="J1668" s="14"/>
      <c r="K1668" s="14"/>
      <c r="L1668" s="14"/>
      <c r="M1668" s="13"/>
    </row>
    <row r="1669" customFormat="false" ht="15" hidden="false" customHeight="false" outlineLevel="0" collapsed="false">
      <c r="A1669" s="6" t="n">
        <v>1665</v>
      </c>
      <c r="B1669" s="8" t="s">
        <v>2598</v>
      </c>
      <c r="C1669" s="8" t="s">
        <v>2599</v>
      </c>
      <c r="D1669" s="9"/>
      <c r="E1669" s="10"/>
      <c r="F1669" s="11" t="n">
        <v>0.00722743055555556</v>
      </c>
      <c r="G1669" s="12" t="n">
        <v>569</v>
      </c>
      <c r="H1669" s="11"/>
      <c r="I1669" s="12"/>
      <c r="J1669" s="14"/>
      <c r="K1669" s="14"/>
      <c r="L1669" s="14"/>
      <c r="M1669" s="13"/>
    </row>
    <row r="1670" customFormat="false" ht="15" hidden="false" customHeight="false" outlineLevel="0" collapsed="false">
      <c r="A1670" s="6" t="n">
        <v>1666</v>
      </c>
      <c r="B1670" s="8" t="s">
        <v>2600</v>
      </c>
      <c r="C1670" s="8" t="s">
        <v>2601</v>
      </c>
      <c r="D1670" s="9"/>
      <c r="E1670" s="10"/>
      <c r="F1670" s="11" t="n">
        <v>0.00722881944444445</v>
      </c>
      <c r="G1670" s="12" t="n">
        <v>570</v>
      </c>
      <c r="H1670" s="11"/>
      <c r="I1670" s="12"/>
      <c r="J1670" s="14"/>
      <c r="K1670" s="14"/>
      <c r="L1670" s="14"/>
      <c r="M1670" s="13"/>
    </row>
    <row r="1671" customFormat="false" ht="15" hidden="false" customHeight="false" outlineLevel="0" collapsed="false">
      <c r="A1671" s="6" t="n">
        <v>1667</v>
      </c>
      <c r="B1671" s="8" t="s">
        <v>2602</v>
      </c>
      <c r="C1671" s="8" t="s">
        <v>1919</v>
      </c>
      <c r="D1671" s="9"/>
      <c r="E1671" s="10"/>
      <c r="F1671" s="11" t="n">
        <v>0.00722905092592593</v>
      </c>
      <c r="G1671" s="12" t="n">
        <v>571</v>
      </c>
      <c r="H1671" s="11"/>
      <c r="I1671" s="12"/>
      <c r="J1671" s="14"/>
      <c r="K1671" s="14"/>
      <c r="L1671" s="14"/>
      <c r="M1671" s="13"/>
    </row>
    <row r="1672" customFormat="false" ht="15" hidden="false" customHeight="false" outlineLevel="0" collapsed="false">
      <c r="A1672" s="6" t="n">
        <v>1668</v>
      </c>
      <c r="B1672" s="8" t="s">
        <v>2603</v>
      </c>
      <c r="C1672" s="8" t="s">
        <v>2604</v>
      </c>
      <c r="D1672" s="9"/>
      <c r="E1672" s="10"/>
      <c r="F1672" s="11" t="n">
        <v>0.00722916666666667</v>
      </c>
      <c r="G1672" s="12" t="n">
        <v>572</v>
      </c>
      <c r="H1672" s="11"/>
      <c r="I1672" s="12"/>
      <c r="J1672" s="14"/>
      <c r="K1672" s="14"/>
      <c r="L1672" s="14"/>
      <c r="M1672" s="13"/>
    </row>
    <row r="1673" customFormat="false" ht="15" hidden="false" customHeight="false" outlineLevel="0" collapsed="false">
      <c r="A1673" s="6" t="n">
        <v>1669</v>
      </c>
      <c r="B1673" s="8" t="s">
        <v>2605</v>
      </c>
      <c r="C1673" s="8" t="s">
        <v>1042</v>
      </c>
      <c r="D1673" s="9"/>
      <c r="E1673" s="10"/>
      <c r="F1673" s="11" t="n">
        <v>0.00722951388888889</v>
      </c>
      <c r="G1673" s="12" t="n">
        <v>573</v>
      </c>
      <c r="H1673" s="11" t="n">
        <v>0.00286990740740741</v>
      </c>
      <c r="I1673" s="12" t="n">
        <v>695</v>
      </c>
      <c r="J1673" s="14"/>
      <c r="K1673" s="14"/>
      <c r="L1673" s="14"/>
      <c r="M1673" s="13"/>
    </row>
    <row r="1674" customFormat="false" ht="15" hidden="false" customHeight="false" outlineLevel="0" collapsed="false">
      <c r="A1674" s="6" t="n">
        <v>1670</v>
      </c>
      <c r="B1674" s="8" t="s">
        <v>2606</v>
      </c>
      <c r="C1674" s="8" t="s">
        <v>283</v>
      </c>
      <c r="D1674" s="9"/>
      <c r="E1674" s="10"/>
      <c r="F1674" s="11"/>
      <c r="G1674" s="12"/>
      <c r="H1674" s="11" t="n">
        <v>0.00285069444444445</v>
      </c>
      <c r="I1674" s="12" t="n">
        <v>573</v>
      </c>
      <c r="J1674" s="14"/>
      <c r="K1674" s="14"/>
      <c r="L1674" s="14"/>
      <c r="M1674" s="13"/>
    </row>
    <row r="1675" customFormat="false" ht="15" hidden="false" customHeight="false" outlineLevel="0" collapsed="false">
      <c r="A1675" s="6" t="n">
        <v>1671</v>
      </c>
      <c r="B1675" s="8" t="s">
        <v>2607</v>
      </c>
      <c r="C1675" s="8" t="s">
        <v>2608</v>
      </c>
      <c r="D1675" s="9"/>
      <c r="E1675" s="10"/>
      <c r="F1675" s="11"/>
      <c r="G1675" s="12"/>
      <c r="H1675" s="11" t="n">
        <v>0.00285092592592593</v>
      </c>
      <c r="I1675" s="12" t="n">
        <v>575</v>
      </c>
      <c r="J1675" s="14"/>
      <c r="K1675" s="14"/>
      <c r="L1675" s="14"/>
      <c r="M1675" s="13"/>
    </row>
    <row r="1676" customFormat="false" ht="15" hidden="false" customHeight="false" outlineLevel="0" collapsed="false">
      <c r="A1676" s="6" t="n">
        <v>1672</v>
      </c>
      <c r="B1676" s="8" t="s">
        <v>2609</v>
      </c>
      <c r="C1676" s="8" t="s">
        <v>667</v>
      </c>
      <c r="D1676" s="9"/>
      <c r="E1676" s="10"/>
      <c r="F1676" s="11" t="n">
        <v>0.00723217592592593</v>
      </c>
      <c r="G1676" s="12" t="n">
        <v>577</v>
      </c>
      <c r="H1676" s="11"/>
      <c r="I1676" s="12"/>
      <c r="J1676" s="14"/>
      <c r="K1676" s="14"/>
      <c r="L1676" s="14"/>
      <c r="M1676" s="13"/>
    </row>
    <row r="1677" customFormat="false" ht="15" hidden="false" customHeight="false" outlineLevel="0" collapsed="false">
      <c r="A1677" s="6" t="n">
        <v>1673</v>
      </c>
      <c r="B1677" s="8" t="s">
        <v>2610</v>
      </c>
      <c r="C1677" s="8" t="s">
        <v>2611</v>
      </c>
      <c r="D1677" s="9"/>
      <c r="E1677" s="10"/>
      <c r="F1677" s="11"/>
      <c r="G1677" s="12"/>
      <c r="H1677" s="11" t="n">
        <v>0.00285127314814815</v>
      </c>
      <c r="I1677" s="12" t="n">
        <v>577</v>
      </c>
      <c r="J1677" s="14"/>
      <c r="K1677" s="14"/>
      <c r="L1677" s="14"/>
      <c r="M1677" s="13"/>
    </row>
    <row r="1678" customFormat="false" ht="15" hidden="false" customHeight="false" outlineLevel="0" collapsed="false">
      <c r="A1678" s="6" t="n">
        <v>1674</v>
      </c>
      <c r="B1678" s="8" t="s">
        <v>2612</v>
      </c>
      <c r="C1678" s="8" t="s">
        <v>2613</v>
      </c>
      <c r="D1678" s="9"/>
      <c r="E1678" s="10"/>
      <c r="F1678" s="11" t="n">
        <v>0.00723321759259259</v>
      </c>
      <c r="G1678" s="12" t="n">
        <v>578</v>
      </c>
      <c r="H1678" s="11"/>
      <c r="I1678" s="12"/>
      <c r="J1678" s="14"/>
      <c r="K1678" s="14"/>
      <c r="L1678" s="14"/>
      <c r="M1678" s="13"/>
    </row>
    <row r="1679" customFormat="false" ht="15" hidden="false" customHeight="false" outlineLevel="0" collapsed="false">
      <c r="A1679" s="6" t="n">
        <v>1675</v>
      </c>
      <c r="B1679" s="8" t="s">
        <v>2614</v>
      </c>
      <c r="C1679" s="8" t="s">
        <v>839</v>
      </c>
      <c r="D1679" s="9"/>
      <c r="E1679" s="10"/>
      <c r="F1679" s="11" t="n">
        <v>0.0072337962962963</v>
      </c>
      <c r="G1679" s="12" t="n">
        <v>579</v>
      </c>
      <c r="H1679" s="11"/>
      <c r="I1679" s="12"/>
      <c r="J1679" s="14"/>
      <c r="K1679" s="14"/>
      <c r="L1679" s="14"/>
      <c r="M1679" s="13"/>
    </row>
    <row r="1680" customFormat="false" ht="15" hidden="false" customHeight="false" outlineLevel="0" collapsed="false">
      <c r="A1680" s="6" t="n">
        <v>1676</v>
      </c>
      <c r="B1680" s="8" t="s">
        <v>2615</v>
      </c>
      <c r="C1680" s="8" t="s">
        <v>2616</v>
      </c>
      <c r="D1680" s="9"/>
      <c r="E1680" s="10"/>
      <c r="F1680" s="11" t="n">
        <v>0.00723460648148148</v>
      </c>
      <c r="G1680" s="12" t="n">
        <v>580</v>
      </c>
      <c r="H1680" s="11"/>
      <c r="I1680" s="12"/>
      <c r="J1680" s="14"/>
      <c r="K1680" s="14"/>
      <c r="L1680" s="14"/>
      <c r="M1680" s="13"/>
    </row>
    <row r="1681" customFormat="false" ht="15" hidden="false" customHeight="false" outlineLevel="0" collapsed="false">
      <c r="A1681" s="6" t="n">
        <v>1677</v>
      </c>
      <c r="B1681" s="8" t="s">
        <v>2617</v>
      </c>
      <c r="C1681" s="8" t="s">
        <v>1308</v>
      </c>
      <c r="D1681" s="9"/>
      <c r="E1681" s="10"/>
      <c r="F1681" s="11"/>
      <c r="G1681" s="12"/>
      <c r="H1681" s="11" t="n">
        <v>0.00285185185185185</v>
      </c>
      <c r="I1681" s="12" t="n">
        <v>580</v>
      </c>
      <c r="J1681" s="14"/>
      <c r="K1681" s="14"/>
      <c r="L1681" s="14"/>
      <c r="M1681" s="13"/>
    </row>
    <row r="1682" customFormat="false" ht="15" hidden="false" customHeight="false" outlineLevel="0" collapsed="false">
      <c r="A1682" s="6" t="n">
        <v>1678</v>
      </c>
      <c r="B1682" s="8" t="s">
        <v>2618</v>
      </c>
      <c r="C1682" s="8" t="s">
        <v>1147</v>
      </c>
      <c r="D1682" s="9"/>
      <c r="E1682" s="10"/>
      <c r="F1682" s="11" t="n">
        <v>0.00723634259259259</v>
      </c>
      <c r="G1682" s="12" t="n">
        <v>582</v>
      </c>
      <c r="H1682" s="11"/>
      <c r="I1682" s="12"/>
      <c r="J1682" s="14"/>
      <c r="K1682" s="14"/>
      <c r="L1682" s="14"/>
      <c r="M1682" s="13"/>
    </row>
    <row r="1683" customFormat="false" ht="15" hidden="false" customHeight="false" outlineLevel="0" collapsed="false">
      <c r="A1683" s="6" t="n">
        <v>1679</v>
      </c>
      <c r="B1683" s="8" t="s">
        <v>2619</v>
      </c>
      <c r="C1683" s="8" t="s">
        <v>2620</v>
      </c>
      <c r="D1683" s="9"/>
      <c r="E1683" s="10"/>
      <c r="F1683" s="11" t="n">
        <v>0.00723761574074074</v>
      </c>
      <c r="G1683" s="12" t="n">
        <v>583</v>
      </c>
      <c r="H1683" s="11"/>
      <c r="I1683" s="12"/>
      <c r="J1683" s="14"/>
      <c r="K1683" s="14"/>
      <c r="L1683" s="14"/>
      <c r="M1683" s="13"/>
    </row>
    <row r="1684" customFormat="false" ht="15" hidden="false" customHeight="false" outlineLevel="0" collapsed="false">
      <c r="A1684" s="6" t="n">
        <v>1680</v>
      </c>
      <c r="B1684" s="8" t="s">
        <v>2621</v>
      </c>
      <c r="C1684" s="8" t="s">
        <v>1085</v>
      </c>
      <c r="D1684" s="9"/>
      <c r="E1684" s="10"/>
      <c r="F1684" s="11" t="n">
        <v>0.0072380787037037</v>
      </c>
      <c r="G1684" s="12" t="n">
        <v>584</v>
      </c>
      <c r="H1684" s="11"/>
      <c r="I1684" s="12"/>
      <c r="J1684" s="14"/>
      <c r="K1684" s="14"/>
      <c r="L1684" s="14"/>
      <c r="M1684" s="13"/>
    </row>
    <row r="1685" customFormat="false" ht="15" hidden="false" customHeight="false" outlineLevel="0" collapsed="false">
      <c r="A1685" s="6" t="n">
        <v>1681</v>
      </c>
      <c r="B1685" s="8" t="s">
        <v>2622</v>
      </c>
      <c r="C1685" s="8" t="s">
        <v>2623</v>
      </c>
      <c r="D1685" s="9"/>
      <c r="E1685" s="10"/>
      <c r="F1685" s="11" t="n">
        <v>0.00723854166666667</v>
      </c>
      <c r="G1685" s="12" t="n">
        <v>585</v>
      </c>
      <c r="H1685" s="11"/>
      <c r="I1685" s="12"/>
      <c r="J1685" s="14" t="s">
        <v>2624</v>
      </c>
      <c r="K1685" s="14"/>
      <c r="L1685" s="14"/>
      <c r="M1685" s="13"/>
    </row>
    <row r="1686" customFormat="false" ht="15" hidden="false" customHeight="false" outlineLevel="0" collapsed="false">
      <c r="A1686" s="6" t="n">
        <v>1682</v>
      </c>
      <c r="B1686" s="8" t="s">
        <v>2625</v>
      </c>
      <c r="C1686" s="8" t="s">
        <v>515</v>
      </c>
      <c r="D1686" s="9"/>
      <c r="E1686" s="10"/>
      <c r="F1686" s="11" t="n">
        <v>0.00724212962962963</v>
      </c>
      <c r="G1686" s="12" t="n">
        <v>587</v>
      </c>
      <c r="H1686" s="11"/>
      <c r="I1686" s="12"/>
      <c r="J1686" s="14"/>
      <c r="K1686" s="14"/>
      <c r="L1686" s="14"/>
      <c r="M1686" s="13"/>
    </row>
    <row r="1687" customFormat="false" ht="15" hidden="false" customHeight="false" outlineLevel="0" collapsed="false">
      <c r="A1687" s="6" t="n">
        <v>1683</v>
      </c>
      <c r="B1687" s="8" t="s">
        <v>2626</v>
      </c>
      <c r="C1687" s="8" t="s">
        <v>1963</v>
      </c>
      <c r="D1687" s="9"/>
      <c r="E1687" s="10"/>
      <c r="F1687" s="11" t="n">
        <v>0.00724328703703704</v>
      </c>
      <c r="G1687" s="12" t="n">
        <v>589</v>
      </c>
      <c r="H1687" s="11"/>
      <c r="I1687" s="12"/>
      <c r="J1687" s="14"/>
      <c r="K1687" s="14"/>
      <c r="L1687" s="14"/>
      <c r="M1687" s="13"/>
    </row>
    <row r="1688" customFormat="false" ht="15" hidden="false" customHeight="false" outlineLevel="0" collapsed="false">
      <c r="A1688" s="6" t="n">
        <v>1684</v>
      </c>
      <c r="B1688" s="8" t="s">
        <v>2627</v>
      </c>
      <c r="C1688" s="8" t="s">
        <v>2039</v>
      </c>
      <c r="D1688" s="9"/>
      <c r="E1688" s="10"/>
      <c r="F1688" s="11" t="n">
        <v>0.00724328703703704</v>
      </c>
      <c r="G1688" s="12" t="n">
        <v>590</v>
      </c>
      <c r="H1688" s="11"/>
      <c r="I1688" s="12"/>
      <c r="J1688" s="14"/>
      <c r="K1688" s="14"/>
      <c r="L1688" s="14"/>
      <c r="M1688" s="13"/>
    </row>
    <row r="1689" customFormat="false" ht="15" hidden="false" customHeight="false" outlineLevel="0" collapsed="false">
      <c r="A1689" s="6" t="n">
        <v>1685</v>
      </c>
      <c r="B1689" s="8" t="s">
        <v>2628</v>
      </c>
      <c r="C1689" s="8" t="s">
        <v>1732</v>
      </c>
      <c r="D1689" s="9"/>
      <c r="E1689" s="10"/>
      <c r="F1689" s="11" t="n">
        <v>0.0072443287037037</v>
      </c>
      <c r="G1689" s="12" t="n">
        <v>591</v>
      </c>
      <c r="H1689" s="11"/>
      <c r="I1689" s="12"/>
      <c r="J1689" s="14"/>
      <c r="K1689" s="14"/>
      <c r="L1689" s="14"/>
      <c r="M1689" s="13"/>
    </row>
    <row r="1690" customFormat="false" ht="15" hidden="false" customHeight="false" outlineLevel="0" collapsed="false">
      <c r="A1690" s="6" t="n">
        <v>1686</v>
      </c>
      <c r="B1690" s="8" t="s">
        <v>2629</v>
      </c>
      <c r="C1690" s="8" t="s">
        <v>2630</v>
      </c>
      <c r="D1690" s="9"/>
      <c r="E1690" s="10"/>
      <c r="F1690" s="11" t="n">
        <v>0.00724618055555556</v>
      </c>
      <c r="G1690" s="12" t="n">
        <v>592</v>
      </c>
      <c r="H1690" s="11"/>
      <c r="I1690" s="12"/>
      <c r="J1690" s="14"/>
      <c r="K1690" s="14"/>
      <c r="L1690" s="14"/>
      <c r="M1690" s="13"/>
    </row>
    <row r="1691" customFormat="false" ht="15" hidden="false" customHeight="false" outlineLevel="0" collapsed="false">
      <c r="A1691" s="6" t="n">
        <v>1687</v>
      </c>
      <c r="B1691" s="8" t="s">
        <v>2631</v>
      </c>
      <c r="C1691" s="8" t="s">
        <v>2153</v>
      </c>
      <c r="D1691" s="9"/>
      <c r="E1691" s="10"/>
      <c r="F1691" s="11" t="n">
        <v>0.00724722222222222</v>
      </c>
      <c r="G1691" s="12" t="n">
        <v>593</v>
      </c>
      <c r="H1691" s="11"/>
      <c r="I1691" s="12"/>
      <c r="J1691" s="14"/>
      <c r="K1691" s="14"/>
      <c r="L1691" s="14"/>
      <c r="M1691" s="13"/>
    </row>
    <row r="1692" customFormat="false" ht="15" hidden="false" customHeight="false" outlineLevel="0" collapsed="false">
      <c r="A1692" s="6" t="n">
        <v>1688</v>
      </c>
      <c r="B1692" s="8" t="s">
        <v>2632</v>
      </c>
      <c r="C1692" s="8" t="s">
        <v>1448</v>
      </c>
      <c r="D1692" s="9"/>
      <c r="E1692" s="10"/>
      <c r="F1692" s="11" t="n">
        <v>0.0072474537037037</v>
      </c>
      <c r="G1692" s="12" t="n">
        <v>594</v>
      </c>
      <c r="H1692" s="11"/>
      <c r="I1692" s="12"/>
      <c r="J1692" s="14"/>
      <c r="K1692" s="14"/>
      <c r="L1692" s="14"/>
      <c r="M1692" s="13"/>
    </row>
    <row r="1693" customFormat="false" ht="15" hidden="false" customHeight="false" outlineLevel="0" collapsed="false">
      <c r="A1693" s="6" t="n">
        <v>1689</v>
      </c>
      <c r="B1693" s="8" t="s">
        <v>2633</v>
      </c>
      <c r="C1693" s="8" t="s">
        <v>2634</v>
      </c>
      <c r="D1693" s="9"/>
      <c r="E1693" s="10"/>
      <c r="F1693" s="11"/>
      <c r="G1693" s="12"/>
      <c r="H1693" s="11" t="n">
        <v>0.00285405092592593</v>
      </c>
      <c r="I1693" s="12" t="n">
        <v>594</v>
      </c>
      <c r="J1693" s="14"/>
      <c r="K1693" s="14"/>
      <c r="L1693" s="14"/>
      <c r="M1693" s="13"/>
    </row>
    <row r="1694" customFormat="false" ht="15" hidden="false" customHeight="false" outlineLevel="0" collapsed="false">
      <c r="A1694" s="6" t="n">
        <v>1690</v>
      </c>
      <c r="B1694" s="8" t="s">
        <v>2635</v>
      </c>
      <c r="C1694" s="8" t="s">
        <v>2636</v>
      </c>
      <c r="D1694" s="9"/>
      <c r="E1694" s="10"/>
      <c r="F1694" s="11" t="n">
        <v>0.00724768518518519</v>
      </c>
      <c r="G1694" s="12" t="n">
        <v>595</v>
      </c>
      <c r="H1694" s="11"/>
      <c r="I1694" s="12"/>
      <c r="J1694" s="14"/>
      <c r="K1694" s="14"/>
      <c r="L1694" s="14"/>
      <c r="M1694" s="13"/>
    </row>
    <row r="1695" customFormat="false" ht="15" hidden="false" customHeight="false" outlineLevel="0" collapsed="false">
      <c r="A1695" s="6" t="n">
        <v>1691</v>
      </c>
      <c r="B1695" s="8" t="s">
        <v>2637</v>
      </c>
      <c r="C1695" s="8" t="s">
        <v>2638</v>
      </c>
      <c r="D1695" s="9"/>
      <c r="E1695" s="10"/>
      <c r="F1695" s="11"/>
      <c r="G1695" s="12"/>
      <c r="H1695" s="11" t="n">
        <v>0.00285405092592593</v>
      </c>
      <c r="I1695" s="12" t="n">
        <v>595</v>
      </c>
      <c r="J1695" s="14"/>
      <c r="K1695" s="14"/>
      <c r="L1695" s="14"/>
      <c r="M1695" s="13"/>
    </row>
    <row r="1696" customFormat="false" ht="15" hidden="false" customHeight="false" outlineLevel="0" collapsed="false">
      <c r="A1696" s="6" t="n">
        <v>1692</v>
      </c>
      <c r="B1696" s="8" t="s">
        <v>2639</v>
      </c>
      <c r="C1696" s="8" t="s">
        <v>1689</v>
      </c>
      <c r="D1696" s="9"/>
      <c r="E1696" s="10"/>
      <c r="F1696" s="11" t="n">
        <v>0.00724826388888889</v>
      </c>
      <c r="G1696" s="12" t="n">
        <v>596</v>
      </c>
      <c r="H1696" s="11" t="n">
        <v>0.00290162037037037</v>
      </c>
      <c r="I1696" s="12" t="n">
        <v>961</v>
      </c>
      <c r="J1696" s="14"/>
      <c r="K1696" s="14"/>
      <c r="L1696" s="14"/>
      <c r="M1696" s="13"/>
    </row>
    <row r="1697" customFormat="false" ht="15" hidden="false" customHeight="false" outlineLevel="0" collapsed="false">
      <c r="A1697" s="6" t="n">
        <v>1693</v>
      </c>
      <c r="B1697" s="8" t="s">
        <v>2640</v>
      </c>
      <c r="C1697" s="8" t="s">
        <v>2641</v>
      </c>
      <c r="D1697" s="9"/>
      <c r="E1697" s="10"/>
      <c r="F1697" s="11" t="n">
        <v>0.00725219907407407</v>
      </c>
      <c r="G1697" s="12" t="n">
        <v>598</v>
      </c>
      <c r="H1697" s="11"/>
      <c r="I1697" s="12"/>
      <c r="J1697" s="14"/>
      <c r="K1697" s="14"/>
      <c r="L1697" s="14"/>
      <c r="M1697" s="13"/>
    </row>
    <row r="1698" customFormat="false" ht="15" hidden="false" customHeight="false" outlineLevel="0" collapsed="false">
      <c r="A1698" s="6" t="n">
        <v>1694</v>
      </c>
      <c r="B1698" s="8" t="s">
        <v>2642</v>
      </c>
      <c r="C1698" s="8" t="s">
        <v>2643</v>
      </c>
      <c r="D1698" s="9"/>
      <c r="E1698" s="10"/>
      <c r="F1698" s="11" t="n">
        <v>0.0072525462962963</v>
      </c>
      <c r="G1698" s="12" t="n">
        <v>599</v>
      </c>
      <c r="H1698" s="11"/>
      <c r="I1698" s="12"/>
      <c r="J1698" s="14"/>
      <c r="K1698" s="14"/>
      <c r="L1698" s="14"/>
      <c r="M1698" s="13"/>
    </row>
    <row r="1699" customFormat="false" ht="15" hidden="false" customHeight="false" outlineLevel="0" collapsed="false">
      <c r="A1699" s="6" t="n">
        <v>1695</v>
      </c>
      <c r="B1699" s="8" t="s">
        <v>2644</v>
      </c>
      <c r="C1699" s="8" t="s">
        <v>1713</v>
      </c>
      <c r="D1699" s="9"/>
      <c r="E1699" s="10"/>
      <c r="F1699" s="11" t="n">
        <v>0.00725393518518519</v>
      </c>
      <c r="G1699" s="12" t="n">
        <v>600</v>
      </c>
      <c r="H1699" s="11"/>
      <c r="I1699" s="12"/>
      <c r="J1699" s="14"/>
      <c r="K1699" s="14" t="s">
        <v>2645</v>
      </c>
      <c r="L1699" s="14"/>
      <c r="M1699" s="13"/>
    </row>
    <row r="1700" customFormat="false" ht="15" hidden="false" customHeight="false" outlineLevel="0" collapsed="false">
      <c r="A1700" s="6" t="n">
        <v>1696</v>
      </c>
      <c r="B1700" s="8" t="s">
        <v>2646</v>
      </c>
      <c r="C1700" s="8" t="s">
        <v>2271</v>
      </c>
      <c r="D1700" s="9"/>
      <c r="E1700" s="10"/>
      <c r="F1700" s="11" t="n">
        <v>0.00725497685185185</v>
      </c>
      <c r="G1700" s="12" t="n">
        <v>601</v>
      </c>
      <c r="H1700" s="11"/>
      <c r="I1700" s="12"/>
      <c r="J1700" s="14"/>
      <c r="K1700" s="14"/>
      <c r="L1700" s="14"/>
      <c r="M1700" s="13"/>
    </row>
    <row r="1701" customFormat="false" ht="15" hidden="false" customHeight="false" outlineLevel="0" collapsed="false">
      <c r="A1701" s="6" t="n">
        <v>1697</v>
      </c>
      <c r="B1701" s="8" t="s">
        <v>2647</v>
      </c>
      <c r="C1701" s="8" t="s">
        <v>1174</v>
      </c>
      <c r="D1701" s="9"/>
      <c r="E1701" s="10"/>
      <c r="F1701" s="11" t="n">
        <v>0.00725659722222222</v>
      </c>
      <c r="G1701" s="12" t="n">
        <v>602</v>
      </c>
      <c r="H1701" s="11"/>
      <c r="I1701" s="12"/>
      <c r="J1701" s="14"/>
      <c r="K1701" s="14"/>
      <c r="L1701" s="14"/>
      <c r="M1701" s="13"/>
    </row>
    <row r="1702" customFormat="false" ht="15" hidden="false" customHeight="false" outlineLevel="0" collapsed="false">
      <c r="A1702" s="6" t="n">
        <v>1698</v>
      </c>
      <c r="B1702" s="8" t="s">
        <v>2648</v>
      </c>
      <c r="C1702" s="8" t="s">
        <v>2459</v>
      </c>
      <c r="D1702" s="9"/>
      <c r="E1702" s="10"/>
      <c r="F1702" s="11" t="n">
        <v>0.00725891203703704</v>
      </c>
      <c r="G1702" s="12" t="n">
        <v>603</v>
      </c>
      <c r="H1702" s="11"/>
      <c r="I1702" s="12"/>
      <c r="J1702" s="14"/>
      <c r="K1702" s="14"/>
      <c r="L1702" s="14"/>
      <c r="M1702" s="13"/>
    </row>
    <row r="1703" customFormat="false" ht="15" hidden="false" customHeight="false" outlineLevel="0" collapsed="false">
      <c r="A1703" s="6" t="n">
        <v>1699</v>
      </c>
      <c r="B1703" s="8" t="s">
        <v>2649</v>
      </c>
      <c r="C1703" s="8" t="s">
        <v>1422</v>
      </c>
      <c r="D1703" s="9"/>
      <c r="E1703" s="10"/>
      <c r="F1703" s="11" t="n">
        <v>0.00725925925925926</v>
      </c>
      <c r="G1703" s="12" t="n">
        <v>604</v>
      </c>
      <c r="H1703" s="11"/>
      <c r="I1703" s="12"/>
      <c r="J1703" s="14"/>
      <c r="K1703" s="14"/>
      <c r="L1703" s="14"/>
      <c r="M1703" s="13"/>
    </row>
    <row r="1704" customFormat="false" ht="15" hidden="false" customHeight="false" outlineLevel="0" collapsed="false">
      <c r="A1704" s="6" t="n">
        <v>1700</v>
      </c>
      <c r="B1704" s="8" t="s">
        <v>2650</v>
      </c>
      <c r="C1704" s="8" t="s">
        <v>2027</v>
      </c>
      <c r="D1704" s="9"/>
      <c r="E1704" s="10"/>
      <c r="F1704" s="11" t="n">
        <v>0.00726006944444444</v>
      </c>
      <c r="G1704" s="12" t="n">
        <v>605</v>
      </c>
      <c r="H1704" s="11"/>
      <c r="I1704" s="12"/>
      <c r="J1704" s="14"/>
      <c r="K1704" s="14"/>
      <c r="L1704" s="14"/>
      <c r="M1704" s="13"/>
    </row>
    <row r="1705" customFormat="false" ht="15" hidden="false" customHeight="false" outlineLevel="0" collapsed="false">
      <c r="A1705" s="6" t="n">
        <v>1701</v>
      </c>
      <c r="B1705" s="8" t="s">
        <v>2651</v>
      </c>
      <c r="C1705" s="8" t="s">
        <v>1726</v>
      </c>
      <c r="D1705" s="9"/>
      <c r="E1705" s="10"/>
      <c r="F1705" s="11" t="n">
        <v>0.00726018518518519</v>
      </c>
      <c r="G1705" s="12" t="n">
        <v>606</v>
      </c>
      <c r="H1705" s="11"/>
      <c r="I1705" s="12"/>
      <c r="J1705" s="14"/>
      <c r="K1705" s="14"/>
      <c r="L1705" s="14"/>
      <c r="M1705" s="13"/>
    </row>
    <row r="1706" customFormat="false" ht="15" hidden="false" customHeight="false" outlineLevel="0" collapsed="false">
      <c r="A1706" s="6" t="n">
        <v>1702</v>
      </c>
      <c r="B1706" s="8" t="s">
        <v>2652</v>
      </c>
      <c r="C1706" s="8" t="s">
        <v>2613</v>
      </c>
      <c r="D1706" s="9"/>
      <c r="E1706" s="10"/>
      <c r="F1706" s="11"/>
      <c r="G1706" s="12"/>
      <c r="H1706" s="11" t="n">
        <v>0.00285590277777778</v>
      </c>
      <c r="I1706" s="12" t="n">
        <v>606</v>
      </c>
      <c r="J1706" s="14"/>
      <c r="K1706" s="14"/>
      <c r="L1706" s="14"/>
      <c r="M1706" s="13"/>
    </row>
    <row r="1707" customFormat="false" ht="15" hidden="false" customHeight="false" outlineLevel="0" collapsed="false">
      <c r="A1707" s="6" t="n">
        <v>1703</v>
      </c>
      <c r="B1707" s="8" t="s">
        <v>2653</v>
      </c>
      <c r="C1707" s="8" t="s">
        <v>1583</v>
      </c>
      <c r="D1707" s="9"/>
      <c r="E1707" s="10"/>
      <c r="F1707" s="11" t="n">
        <v>0.00726076388888889</v>
      </c>
      <c r="G1707" s="12" t="n">
        <v>607</v>
      </c>
      <c r="H1707" s="11"/>
      <c r="I1707" s="12"/>
      <c r="J1707" s="14"/>
      <c r="K1707" s="14" t="s">
        <v>2654</v>
      </c>
      <c r="L1707" s="14"/>
      <c r="M1707" s="13"/>
    </row>
    <row r="1708" customFormat="false" ht="15" hidden="false" customHeight="false" outlineLevel="0" collapsed="false">
      <c r="A1708" s="6" t="n">
        <v>1704</v>
      </c>
      <c r="B1708" s="8" t="s">
        <v>2655</v>
      </c>
      <c r="C1708" s="8" t="s">
        <v>2111</v>
      </c>
      <c r="D1708" s="9"/>
      <c r="E1708" s="10"/>
      <c r="F1708" s="11" t="n">
        <v>0.00726273148148148</v>
      </c>
      <c r="G1708" s="12" t="n">
        <v>608</v>
      </c>
      <c r="H1708" s="11"/>
      <c r="I1708" s="12"/>
      <c r="J1708" s="14"/>
      <c r="K1708" s="14"/>
      <c r="L1708" s="14"/>
      <c r="M1708" s="13"/>
    </row>
    <row r="1709" customFormat="false" ht="15" hidden="false" customHeight="false" outlineLevel="0" collapsed="false">
      <c r="A1709" s="6" t="n">
        <v>1705</v>
      </c>
      <c r="B1709" s="8" t="s">
        <v>2656</v>
      </c>
      <c r="C1709" s="8" t="s">
        <v>2657</v>
      </c>
      <c r="D1709" s="9"/>
      <c r="E1709" s="10"/>
      <c r="F1709" s="11" t="n">
        <v>0.00726284722222222</v>
      </c>
      <c r="G1709" s="12" t="n">
        <v>609</v>
      </c>
      <c r="H1709" s="11"/>
      <c r="I1709" s="12"/>
      <c r="J1709" s="14"/>
      <c r="K1709" s="14"/>
      <c r="L1709" s="14"/>
      <c r="M1709" s="13"/>
    </row>
    <row r="1710" customFormat="false" ht="15" hidden="false" customHeight="false" outlineLevel="0" collapsed="false">
      <c r="A1710" s="6" t="n">
        <v>1706</v>
      </c>
      <c r="B1710" s="8" t="s">
        <v>2658</v>
      </c>
      <c r="C1710" s="8" t="s">
        <v>2659</v>
      </c>
      <c r="D1710" s="9"/>
      <c r="E1710" s="10"/>
      <c r="F1710" s="11" t="n">
        <v>0.00726354166666667</v>
      </c>
      <c r="G1710" s="12" t="n">
        <v>610</v>
      </c>
      <c r="H1710" s="11"/>
      <c r="I1710" s="12"/>
      <c r="J1710" s="14"/>
      <c r="K1710" s="14"/>
      <c r="L1710" s="14"/>
      <c r="M1710" s="13"/>
    </row>
    <row r="1711" customFormat="false" ht="15" hidden="false" customHeight="false" outlineLevel="0" collapsed="false">
      <c r="A1711" s="6" t="n">
        <v>1707</v>
      </c>
      <c r="B1711" s="8" t="s">
        <v>2660</v>
      </c>
      <c r="C1711" s="8" t="s">
        <v>2661</v>
      </c>
      <c r="D1711" s="9"/>
      <c r="E1711" s="10"/>
      <c r="F1711" s="11" t="n">
        <v>0.00726585648148148</v>
      </c>
      <c r="G1711" s="12" t="n">
        <v>611</v>
      </c>
      <c r="H1711" s="11"/>
      <c r="I1711" s="12"/>
      <c r="J1711" s="14"/>
      <c r="K1711" s="14"/>
      <c r="L1711" s="14"/>
      <c r="M1711" s="13"/>
    </row>
    <row r="1712" customFormat="false" ht="15" hidden="false" customHeight="false" outlineLevel="0" collapsed="false">
      <c r="A1712" s="6" t="n">
        <v>1708</v>
      </c>
      <c r="B1712" s="8" t="s">
        <v>2662</v>
      </c>
      <c r="C1712" s="8" t="s">
        <v>2663</v>
      </c>
      <c r="D1712" s="9"/>
      <c r="E1712" s="10"/>
      <c r="F1712" s="11" t="n">
        <v>0.00726747685185185</v>
      </c>
      <c r="G1712" s="12" t="n">
        <v>612</v>
      </c>
      <c r="H1712" s="11"/>
      <c r="I1712" s="12"/>
      <c r="J1712" s="14"/>
      <c r="K1712" s="14"/>
      <c r="L1712" s="14"/>
      <c r="M1712" s="13"/>
    </row>
    <row r="1713" customFormat="false" ht="15" hidden="false" customHeight="false" outlineLevel="0" collapsed="false">
      <c r="A1713" s="6" t="n">
        <v>1709</v>
      </c>
      <c r="B1713" s="8" t="s">
        <v>2664</v>
      </c>
      <c r="C1713" s="8" t="s">
        <v>1756</v>
      </c>
      <c r="D1713" s="9"/>
      <c r="E1713" s="10"/>
      <c r="F1713" s="11" t="n">
        <v>0.00726851851851852</v>
      </c>
      <c r="G1713" s="12" t="n">
        <v>613</v>
      </c>
      <c r="H1713" s="11"/>
      <c r="I1713" s="12"/>
      <c r="J1713" s="14"/>
      <c r="K1713" s="14"/>
      <c r="L1713" s="14"/>
      <c r="M1713" s="13"/>
    </row>
    <row r="1714" customFormat="false" ht="15" hidden="false" customHeight="false" outlineLevel="0" collapsed="false">
      <c r="A1714" s="6" t="n">
        <v>1710</v>
      </c>
      <c r="B1714" s="8" t="s">
        <v>2665</v>
      </c>
      <c r="C1714" s="8" t="s">
        <v>2166</v>
      </c>
      <c r="D1714" s="9"/>
      <c r="E1714" s="10"/>
      <c r="F1714" s="11" t="n">
        <v>0.00726851851851852</v>
      </c>
      <c r="G1714" s="12" t="n">
        <v>614</v>
      </c>
      <c r="H1714" s="11"/>
      <c r="I1714" s="12"/>
      <c r="J1714" s="14"/>
      <c r="K1714" s="14"/>
      <c r="L1714" s="14"/>
      <c r="M1714" s="13"/>
    </row>
    <row r="1715" customFormat="false" ht="15" hidden="false" customHeight="false" outlineLevel="0" collapsed="false">
      <c r="A1715" s="6" t="n">
        <v>1711</v>
      </c>
      <c r="B1715" s="8" t="s">
        <v>2666</v>
      </c>
      <c r="C1715" s="8" t="s">
        <v>2667</v>
      </c>
      <c r="D1715" s="9"/>
      <c r="E1715" s="10"/>
      <c r="F1715" s="11" t="n">
        <v>0.00726886574074074</v>
      </c>
      <c r="G1715" s="12" t="n">
        <v>615</v>
      </c>
      <c r="H1715" s="11"/>
      <c r="I1715" s="12"/>
      <c r="J1715" s="14"/>
      <c r="K1715" s="14"/>
      <c r="L1715" s="14"/>
      <c r="M1715" s="13"/>
    </row>
    <row r="1716" customFormat="false" ht="15" hidden="false" customHeight="false" outlineLevel="0" collapsed="false">
      <c r="A1716" s="6" t="n">
        <v>1712</v>
      </c>
      <c r="B1716" s="8" t="s">
        <v>2668</v>
      </c>
      <c r="C1716" s="8" t="s">
        <v>1451</v>
      </c>
      <c r="D1716" s="9"/>
      <c r="E1716" s="10"/>
      <c r="F1716" s="11"/>
      <c r="G1716" s="12"/>
      <c r="H1716" s="11" t="n">
        <v>0.0028568287037037</v>
      </c>
      <c r="I1716" s="12" t="n">
        <v>615</v>
      </c>
      <c r="J1716" s="14"/>
      <c r="K1716" s="14"/>
      <c r="L1716" s="14"/>
      <c r="M1716" s="13"/>
    </row>
    <row r="1717" customFormat="false" ht="15" hidden="false" customHeight="false" outlineLevel="0" collapsed="false">
      <c r="A1717" s="6" t="n">
        <v>1713</v>
      </c>
      <c r="B1717" s="8" t="s">
        <v>2669</v>
      </c>
      <c r="C1717" s="8" t="s">
        <v>2670</v>
      </c>
      <c r="D1717" s="9"/>
      <c r="E1717" s="10"/>
      <c r="F1717" s="11" t="n">
        <v>0.00727002314814815</v>
      </c>
      <c r="G1717" s="12" t="n">
        <v>616</v>
      </c>
      <c r="H1717" s="11"/>
      <c r="I1717" s="12"/>
      <c r="J1717" s="14"/>
      <c r="K1717" s="14"/>
      <c r="L1717" s="14"/>
      <c r="M1717" s="13"/>
    </row>
    <row r="1718" customFormat="false" ht="15" hidden="false" customHeight="false" outlineLevel="0" collapsed="false">
      <c r="A1718" s="6" t="n">
        <v>1714</v>
      </c>
      <c r="B1718" s="8" t="s">
        <v>2671</v>
      </c>
      <c r="C1718" s="8" t="s">
        <v>2672</v>
      </c>
      <c r="D1718" s="9"/>
      <c r="E1718" s="10"/>
      <c r="F1718" s="11" t="n">
        <v>0.00727025462962963</v>
      </c>
      <c r="G1718" s="12" t="n">
        <v>617</v>
      </c>
      <c r="H1718" s="11" t="n">
        <v>0.002909375</v>
      </c>
      <c r="I1718" s="12" t="n">
        <v>1012</v>
      </c>
      <c r="J1718" s="14"/>
      <c r="K1718" s="14"/>
      <c r="L1718" s="14"/>
      <c r="M1718" s="13"/>
    </row>
    <row r="1719" customFormat="false" ht="15" hidden="false" customHeight="false" outlineLevel="0" collapsed="false">
      <c r="A1719" s="6" t="n">
        <v>1715</v>
      </c>
      <c r="B1719" s="8" t="s">
        <v>2673</v>
      </c>
      <c r="C1719" s="8" t="s">
        <v>1087</v>
      </c>
      <c r="D1719" s="9"/>
      <c r="E1719" s="10"/>
      <c r="F1719" s="11" t="n">
        <v>0.00727291666666667</v>
      </c>
      <c r="G1719" s="12" t="n">
        <v>618</v>
      </c>
      <c r="H1719" s="11"/>
      <c r="I1719" s="12"/>
      <c r="J1719" s="14"/>
      <c r="K1719" s="14"/>
      <c r="L1719" s="14"/>
      <c r="M1719" s="13"/>
    </row>
    <row r="1720" customFormat="false" ht="15" hidden="false" customHeight="false" outlineLevel="0" collapsed="false">
      <c r="A1720" s="6" t="n">
        <v>1716</v>
      </c>
      <c r="B1720" s="8" t="s">
        <v>2674</v>
      </c>
      <c r="C1720" s="8" t="s">
        <v>2675</v>
      </c>
      <c r="D1720" s="9"/>
      <c r="E1720" s="10"/>
      <c r="F1720" s="11" t="n">
        <v>0.007278125</v>
      </c>
      <c r="G1720" s="12" t="n">
        <v>619</v>
      </c>
      <c r="H1720" s="11" t="n">
        <v>0.00296631944444445</v>
      </c>
      <c r="I1720" s="12" t="n">
        <v>1296</v>
      </c>
      <c r="J1720" s="14"/>
      <c r="K1720" s="14"/>
      <c r="L1720" s="8" t="s">
        <v>2676</v>
      </c>
      <c r="M1720" s="13"/>
    </row>
    <row r="1721" customFormat="false" ht="15" hidden="false" customHeight="false" outlineLevel="0" collapsed="false">
      <c r="A1721" s="6" t="n">
        <v>1717</v>
      </c>
      <c r="B1721" s="8" t="s">
        <v>2677</v>
      </c>
      <c r="C1721" s="8" t="s">
        <v>2678</v>
      </c>
      <c r="D1721" s="9"/>
      <c r="E1721" s="10"/>
      <c r="F1721" s="11"/>
      <c r="G1721" s="12"/>
      <c r="H1721" s="11" t="n">
        <v>0.00285740740740741</v>
      </c>
      <c r="I1721" s="12" t="n">
        <v>619</v>
      </c>
      <c r="J1721" s="14"/>
      <c r="K1721" s="14"/>
      <c r="L1721" s="14"/>
      <c r="M1721" s="13"/>
    </row>
    <row r="1722" customFormat="false" ht="15" hidden="false" customHeight="false" outlineLevel="0" collapsed="false">
      <c r="A1722" s="6" t="n">
        <v>1718</v>
      </c>
      <c r="B1722" s="8" t="s">
        <v>2679</v>
      </c>
      <c r="C1722" s="8" t="s">
        <v>2680</v>
      </c>
      <c r="D1722" s="9"/>
      <c r="E1722" s="10"/>
      <c r="F1722" s="11" t="n">
        <v>0.00727893518518519</v>
      </c>
      <c r="G1722" s="12" t="n">
        <v>620</v>
      </c>
      <c r="H1722" s="11"/>
      <c r="I1722" s="12"/>
      <c r="J1722" s="14"/>
      <c r="K1722" s="14"/>
      <c r="L1722" s="14"/>
      <c r="M1722" s="13"/>
    </row>
    <row r="1723" customFormat="false" ht="15" hidden="false" customHeight="false" outlineLevel="0" collapsed="false">
      <c r="A1723" s="6" t="n">
        <v>1719</v>
      </c>
      <c r="B1723" s="8" t="s">
        <v>2681</v>
      </c>
      <c r="C1723" s="8" t="s">
        <v>122</v>
      </c>
      <c r="D1723" s="9"/>
      <c r="E1723" s="10"/>
      <c r="F1723" s="11" t="n">
        <v>0.0072818287037037</v>
      </c>
      <c r="G1723" s="12" t="n">
        <v>622</v>
      </c>
      <c r="H1723" s="11"/>
      <c r="I1723" s="12"/>
      <c r="J1723" s="14"/>
      <c r="K1723" s="14"/>
      <c r="L1723" s="14"/>
      <c r="M1723" s="13"/>
    </row>
    <row r="1724" customFormat="false" ht="15" hidden="false" customHeight="false" outlineLevel="0" collapsed="false">
      <c r="A1724" s="6" t="n">
        <v>1720</v>
      </c>
      <c r="B1724" s="8" t="s">
        <v>2682</v>
      </c>
      <c r="C1724" s="8" t="s">
        <v>2373</v>
      </c>
      <c r="D1724" s="9"/>
      <c r="E1724" s="10"/>
      <c r="F1724" s="11" t="n">
        <v>0.00728321759259259</v>
      </c>
      <c r="G1724" s="12" t="n">
        <v>624</v>
      </c>
      <c r="H1724" s="11"/>
      <c r="I1724" s="12"/>
      <c r="J1724" s="14"/>
      <c r="K1724" s="14"/>
      <c r="L1724" s="14"/>
      <c r="M1724" s="13"/>
    </row>
    <row r="1725" customFormat="false" ht="15" hidden="false" customHeight="false" outlineLevel="0" collapsed="false">
      <c r="A1725" s="6" t="n">
        <v>1721</v>
      </c>
      <c r="B1725" s="8" t="s">
        <v>2683</v>
      </c>
      <c r="C1725" s="8" t="s">
        <v>2684</v>
      </c>
      <c r="D1725" s="9"/>
      <c r="E1725" s="10"/>
      <c r="F1725" s="11" t="n">
        <v>0.00728344907407407</v>
      </c>
      <c r="G1725" s="12" t="n">
        <v>625</v>
      </c>
      <c r="H1725" s="11"/>
      <c r="I1725" s="12"/>
      <c r="J1725" s="14"/>
      <c r="K1725" s="14"/>
      <c r="L1725" s="14"/>
      <c r="M1725" s="13"/>
    </row>
    <row r="1726" customFormat="false" ht="15" hidden="false" customHeight="false" outlineLevel="0" collapsed="false">
      <c r="A1726" s="6" t="n">
        <v>1722</v>
      </c>
      <c r="B1726" s="8" t="s">
        <v>2685</v>
      </c>
      <c r="C1726" s="8" t="s">
        <v>484</v>
      </c>
      <c r="D1726" s="9"/>
      <c r="E1726" s="10"/>
      <c r="F1726" s="11"/>
      <c r="G1726" s="12"/>
      <c r="H1726" s="11" t="n">
        <v>0.00285868055555556</v>
      </c>
      <c r="I1726" s="12" t="n">
        <v>625</v>
      </c>
      <c r="J1726" s="14"/>
      <c r="K1726" s="14"/>
      <c r="L1726" s="14"/>
      <c r="M1726" s="13"/>
    </row>
    <row r="1727" customFormat="false" ht="15" hidden="false" customHeight="false" outlineLevel="0" collapsed="false">
      <c r="A1727" s="6" t="n">
        <v>1723</v>
      </c>
      <c r="B1727" s="8" t="s">
        <v>2686</v>
      </c>
      <c r="C1727" s="8" t="s">
        <v>249</v>
      </c>
      <c r="D1727" s="9"/>
      <c r="E1727" s="10"/>
      <c r="F1727" s="11" t="n">
        <v>0.00728356481481481</v>
      </c>
      <c r="G1727" s="12" t="n">
        <v>626</v>
      </c>
      <c r="H1727" s="11"/>
      <c r="I1727" s="12"/>
      <c r="J1727" s="14"/>
      <c r="K1727" s="14"/>
      <c r="L1727" s="14"/>
      <c r="M1727" s="13"/>
    </row>
    <row r="1728" customFormat="false" ht="15" hidden="false" customHeight="false" outlineLevel="0" collapsed="false">
      <c r="A1728" s="6" t="n">
        <v>1724</v>
      </c>
      <c r="B1728" s="8" t="s">
        <v>2687</v>
      </c>
      <c r="C1728" s="8" t="s">
        <v>2117</v>
      </c>
      <c r="D1728" s="9"/>
      <c r="E1728" s="10"/>
      <c r="F1728" s="11"/>
      <c r="G1728" s="12"/>
      <c r="H1728" s="11" t="n">
        <v>0.0028587962962963</v>
      </c>
      <c r="I1728" s="12" t="n">
        <v>626</v>
      </c>
      <c r="J1728" s="14" t="s">
        <v>2688</v>
      </c>
      <c r="K1728" s="14"/>
      <c r="L1728" s="14"/>
      <c r="M1728" s="13"/>
    </row>
    <row r="1729" customFormat="false" ht="15" hidden="false" customHeight="false" outlineLevel="0" collapsed="false">
      <c r="A1729" s="6" t="n">
        <v>1725</v>
      </c>
      <c r="B1729" s="8" t="s">
        <v>2689</v>
      </c>
      <c r="C1729" s="8" t="s">
        <v>2680</v>
      </c>
      <c r="D1729" s="9"/>
      <c r="E1729" s="10"/>
      <c r="F1729" s="11" t="n">
        <v>0.00728414351851852</v>
      </c>
      <c r="G1729" s="12" t="n">
        <v>627</v>
      </c>
      <c r="H1729" s="11"/>
      <c r="I1729" s="12"/>
      <c r="J1729" s="14"/>
      <c r="K1729" s="14"/>
      <c r="L1729" s="14"/>
      <c r="M1729" s="13"/>
    </row>
    <row r="1730" customFormat="false" ht="15" hidden="false" customHeight="false" outlineLevel="0" collapsed="false">
      <c r="A1730" s="6" t="n">
        <v>1726</v>
      </c>
      <c r="B1730" s="8" t="s">
        <v>2690</v>
      </c>
      <c r="C1730" s="8" t="s">
        <v>1541</v>
      </c>
      <c r="D1730" s="9"/>
      <c r="E1730" s="10"/>
      <c r="F1730" s="11" t="n">
        <v>0.00728912037037037</v>
      </c>
      <c r="G1730" s="12" t="n">
        <v>629</v>
      </c>
      <c r="H1730" s="11"/>
      <c r="I1730" s="12"/>
      <c r="J1730" s="14"/>
      <c r="K1730" s="14"/>
      <c r="L1730" s="14"/>
      <c r="M1730" s="13"/>
    </row>
    <row r="1731" customFormat="false" ht="15" hidden="false" customHeight="false" outlineLevel="0" collapsed="false">
      <c r="A1731" s="6" t="n">
        <v>1727</v>
      </c>
      <c r="B1731" s="8" t="s">
        <v>2691</v>
      </c>
      <c r="C1731" s="8" t="s">
        <v>2533</v>
      </c>
      <c r="D1731" s="9"/>
      <c r="E1731" s="10"/>
      <c r="F1731" s="11"/>
      <c r="G1731" s="12"/>
      <c r="H1731" s="11" t="n">
        <v>0.00285914351851852</v>
      </c>
      <c r="I1731" s="12" t="n">
        <v>629</v>
      </c>
      <c r="J1731" s="14"/>
      <c r="K1731" s="14"/>
      <c r="L1731" s="14"/>
      <c r="M1731" s="13"/>
    </row>
    <row r="1732" customFormat="false" ht="15" hidden="false" customHeight="false" outlineLevel="0" collapsed="false">
      <c r="A1732" s="6" t="n">
        <v>1728</v>
      </c>
      <c r="B1732" s="8" t="s">
        <v>2692</v>
      </c>
      <c r="C1732" s="8" t="s">
        <v>2693</v>
      </c>
      <c r="D1732" s="9"/>
      <c r="E1732" s="10"/>
      <c r="F1732" s="11" t="n">
        <v>0.00729085648148148</v>
      </c>
      <c r="G1732" s="12" t="n">
        <v>631</v>
      </c>
      <c r="H1732" s="11" t="n">
        <v>0.00291111111111111</v>
      </c>
      <c r="I1732" s="12" t="n">
        <v>1030</v>
      </c>
      <c r="J1732" s="14"/>
      <c r="K1732" s="14"/>
      <c r="L1732" s="14"/>
      <c r="M1732" s="13"/>
    </row>
    <row r="1733" customFormat="false" ht="15" hidden="false" customHeight="false" outlineLevel="0" collapsed="false">
      <c r="A1733" s="6" t="n">
        <v>1729</v>
      </c>
      <c r="B1733" s="8" t="s">
        <v>2694</v>
      </c>
      <c r="C1733" s="8" t="s">
        <v>866</v>
      </c>
      <c r="D1733" s="9"/>
      <c r="E1733" s="10"/>
      <c r="F1733" s="11"/>
      <c r="G1733" s="12"/>
      <c r="H1733" s="11" t="n">
        <v>0.00285925925925926</v>
      </c>
      <c r="I1733" s="12" t="n">
        <v>631</v>
      </c>
      <c r="J1733" s="14"/>
      <c r="K1733" s="14"/>
      <c r="L1733" s="14"/>
      <c r="M1733" s="13"/>
    </row>
    <row r="1734" customFormat="false" ht="15" hidden="false" customHeight="false" outlineLevel="0" collapsed="false">
      <c r="A1734" s="6" t="n">
        <v>1730</v>
      </c>
      <c r="B1734" s="8" t="s">
        <v>2695</v>
      </c>
      <c r="C1734" s="8" t="s">
        <v>2696</v>
      </c>
      <c r="D1734" s="9"/>
      <c r="E1734" s="10"/>
      <c r="F1734" s="11" t="n">
        <v>0.00729189814814815</v>
      </c>
      <c r="G1734" s="12" t="n">
        <v>632</v>
      </c>
      <c r="H1734" s="11"/>
      <c r="I1734" s="12"/>
      <c r="J1734" s="14"/>
      <c r="K1734" s="14"/>
      <c r="L1734" s="14"/>
      <c r="M1734" s="13"/>
    </row>
    <row r="1735" customFormat="false" ht="15" hidden="false" customHeight="false" outlineLevel="0" collapsed="false">
      <c r="A1735" s="6" t="n">
        <v>1731</v>
      </c>
      <c r="B1735" s="8" t="s">
        <v>2697</v>
      </c>
      <c r="C1735" s="8" t="s">
        <v>2094</v>
      </c>
      <c r="D1735" s="9"/>
      <c r="E1735" s="10"/>
      <c r="F1735" s="11" t="n">
        <v>0.00729236111111111</v>
      </c>
      <c r="G1735" s="12" t="n">
        <v>633</v>
      </c>
      <c r="H1735" s="11"/>
      <c r="I1735" s="12"/>
      <c r="J1735" s="14"/>
      <c r="K1735" s="14"/>
      <c r="L1735" s="14"/>
      <c r="M1735" s="13"/>
    </row>
    <row r="1736" customFormat="false" ht="15" hidden="false" customHeight="false" outlineLevel="0" collapsed="false">
      <c r="A1736" s="6" t="n">
        <v>1732</v>
      </c>
      <c r="B1736" s="8" t="s">
        <v>2698</v>
      </c>
      <c r="C1736" s="8" t="s">
        <v>2204</v>
      </c>
      <c r="D1736" s="9"/>
      <c r="E1736" s="10"/>
      <c r="F1736" s="11" t="n">
        <v>0.00729236111111111</v>
      </c>
      <c r="G1736" s="12" t="n">
        <v>634</v>
      </c>
      <c r="H1736" s="11"/>
      <c r="I1736" s="12"/>
      <c r="J1736" s="14"/>
      <c r="K1736" s="14"/>
      <c r="L1736" s="14"/>
      <c r="M1736" s="13"/>
    </row>
    <row r="1737" customFormat="false" ht="15" hidden="false" customHeight="false" outlineLevel="0" collapsed="false">
      <c r="A1737" s="6" t="n">
        <v>1733</v>
      </c>
      <c r="B1737" s="8" t="s">
        <v>2699</v>
      </c>
      <c r="C1737" s="8" t="s">
        <v>1699</v>
      </c>
      <c r="D1737" s="9"/>
      <c r="E1737" s="10"/>
      <c r="F1737" s="11" t="n">
        <v>0.00729409722222222</v>
      </c>
      <c r="G1737" s="12" t="n">
        <v>635</v>
      </c>
      <c r="H1737" s="11"/>
      <c r="I1737" s="12"/>
      <c r="J1737" s="14"/>
      <c r="K1737" s="14"/>
      <c r="L1737" s="14"/>
      <c r="M1737" s="13"/>
    </row>
    <row r="1738" customFormat="false" ht="15" hidden="false" customHeight="false" outlineLevel="0" collapsed="false">
      <c r="A1738" s="6" t="n">
        <v>1734</v>
      </c>
      <c r="B1738" s="8" t="s">
        <v>2700</v>
      </c>
      <c r="C1738" s="8" t="s">
        <v>2701</v>
      </c>
      <c r="D1738" s="9"/>
      <c r="E1738" s="10"/>
      <c r="F1738" s="11" t="n">
        <v>0.00729421296296296</v>
      </c>
      <c r="G1738" s="12" t="n">
        <v>636</v>
      </c>
      <c r="H1738" s="11"/>
      <c r="I1738" s="12"/>
      <c r="J1738" s="14"/>
      <c r="K1738" s="14"/>
      <c r="L1738" s="14"/>
      <c r="M1738" s="13"/>
    </row>
    <row r="1739" customFormat="false" ht="15" hidden="false" customHeight="false" outlineLevel="0" collapsed="false">
      <c r="A1739" s="6" t="n">
        <v>1735</v>
      </c>
      <c r="B1739" s="8" t="s">
        <v>2702</v>
      </c>
      <c r="C1739" s="8" t="s">
        <v>2703</v>
      </c>
      <c r="D1739" s="9"/>
      <c r="E1739" s="10"/>
      <c r="F1739" s="11" t="n">
        <v>0.00729444444444445</v>
      </c>
      <c r="G1739" s="12" t="n">
        <v>637</v>
      </c>
      <c r="H1739" s="11"/>
      <c r="I1739" s="12"/>
      <c r="J1739" s="14"/>
      <c r="K1739" s="14"/>
      <c r="L1739" s="14"/>
      <c r="M1739" s="13"/>
    </row>
    <row r="1740" customFormat="false" ht="15" hidden="false" customHeight="false" outlineLevel="0" collapsed="false">
      <c r="A1740" s="6" t="n">
        <v>1736</v>
      </c>
      <c r="B1740" s="8" t="s">
        <v>2704</v>
      </c>
      <c r="C1740" s="8" t="s">
        <v>721</v>
      </c>
      <c r="D1740" s="9"/>
      <c r="E1740" s="10"/>
      <c r="F1740" s="11" t="n">
        <v>0.00729456018518519</v>
      </c>
      <c r="G1740" s="12" t="n">
        <v>638</v>
      </c>
      <c r="H1740" s="11"/>
      <c r="I1740" s="12"/>
      <c r="J1740" s="14"/>
      <c r="K1740" s="14"/>
      <c r="L1740" s="14"/>
      <c r="M1740" s="13"/>
    </row>
    <row r="1741" customFormat="false" ht="15" hidden="false" customHeight="false" outlineLevel="0" collapsed="false">
      <c r="A1741" s="6" t="n">
        <v>1737</v>
      </c>
      <c r="B1741" s="8" t="s">
        <v>2705</v>
      </c>
      <c r="C1741" s="8" t="s">
        <v>1901</v>
      </c>
      <c r="D1741" s="9"/>
      <c r="E1741" s="10"/>
      <c r="F1741" s="11"/>
      <c r="G1741" s="12"/>
      <c r="H1741" s="11" t="n">
        <v>0.00286087962962963</v>
      </c>
      <c r="I1741" s="12" t="n">
        <v>638</v>
      </c>
      <c r="J1741" s="14"/>
      <c r="K1741" s="14"/>
      <c r="L1741" s="14"/>
      <c r="M1741" s="13"/>
    </row>
    <row r="1742" customFormat="false" ht="15" hidden="false" customHeight="false" outlineLevel="0" collapsed="false">
      <c r="A1742" s="6" t="n">
        <v>1738</v>
      </c>
      <c r="B1742" s="8" t="s">
        <v>2706</v>
      </c>
      <c r="C1742" s="8" t="s">
        <v>2569</v>
      </c>
      <c r="D1742" s="9"/>
      <c r="E1742" s="10"/>
      <c r="F1742" s="11" t="n">
        <v>0.00729537037037037</v>
      </c>
      <c r="G1742" s="12" t="n">
        <v>639</v>
      </c>
      <c r="H1742" s="11"/>
      <c r="I1742" s="12"/>
      <c r="J1742" s="14"/>
      <c r="K1742" s="14"/>
      <c r="L1742" s="14"/>
      <c r="M1742" s="13"/>
    </row>
    <row r="1743" customFormat="false" ht="15" hidden="false" customHeight="false" outlineLevel="0" collapsed="false">
      <c r="A1743" s="6" t="n">
        <v>1739</v>
      </c>
      <c r="B1743" s="8" t="s">
        <v>2707</v>
      </c>
      <c r="C1743" s="8" t="s">
        <v>197</v>
      </c>
      <c r="D1743" s="9"/>
      <c r="E1743" s="10"/>
      <c r="F1743" s="11"/>
      <c r="G1743" s="12"/>
      <c r="H1743" s="11" t="n">
        <v>0.00286099537037037</v>
      </c>
      <c r="I1743" s="12" t="n">
        <v>639</v>
      </c>
      <c r="J1743" s="14" t="s">
        <v>2708</v>
      </c>
      <c r="K1743" s="14"/>
      <c r="L1743" s="14"/>
      <c r="M1743" s="13"/>
    </row>
    <row r="1744" customFormat="false" ht="15" hidden="false" customHeight="false" outlineLevel="0" collapsed="false">
      <c r="A1744" s="6" t="n">
        <v>1740</v>
      </c>
      <c r="B1744" s="8" t="s">
        <v>2709</v>
      </c>
      <c r="C1744" s="8" t="s">
        <v>2710</v>
      </c>
      <c r="D1744" s="9"/>
      <c r="E1744" s="10"/>
      <c r="F1744" s="11" t="n">
        <v>0.00729664351851852</v>
      </c>
      <c r="G1744" s="12" t="n">
        <v>640</v>
      </c>
      <c r="H1744" s="11"/>
      <c r="I1744" s="12"/>
      <c r="J1744" s="14"/>
      <c r="K1744" s="14"/>
      <c r="L1744" s="14"/>
      <c r="M1744" s="13"/>
    </row>
    <row r="1745" customFormat="false" ht="15" hidden="false" customHeight="false" outlineLevel="0" collapsed="false">
      <c r="A1745" s="6" t="n">
        <v>1741</v>
      </c>
      <c r="B1745" s="8" t="s">
        <v>2711</v>
      </c>
      <c r="C1745" s="8" t="s">
        <v>2712</v>
      </c>
      <c r="D1745" s="9"/>
      <c r="E1745" s="10"/>
      <c r="F1745" s="11" t="n">
        <v>0.00729849537037037</v>
      </c>
      <c r="G1745" s="12" t="n">
        <v>641</v>
      </c>
      <c r="H1745" s="11"/>
      <c r="I1745" s="12"/>
      <c r="J1745" s="14"/>
      <c r="K1745" s="14"/>
      <c r="L1745" s="14"/>
      <c r="M1745" s="13"/>
    </row>
    <row r="1746" customFormat="false" ht="15" hidden="false" customHeight="false" outlineLevel="0" collapsed="false">
      <c r="A1746" s="6" t="n">
        <v>1742</v>
      </c>
      <c r="B1746" s="8" t="s">
        <v>2713</v>
      </c>
      <c r="C1746" s="8" t="s">
        <v>94</v>
      </c>
      <c r="D1746" s="9"/>
      <c r="E1746" s="10"/>
      <c r="F1746" s="11" t="n">
        <v>0.00729849537037037</v>
      </c>
      <c r="G1746" s="12" t="n">
        <v>642</v>
      </c>
      <c r="H1746" s="11"/>
      <c r="I1746" s="12"/>
      <c r="J1746" s="14"/>
      <c r="K1746" s="14"/>
      <c r="L1746" s="14"/>
      <c r="M1746" s="13"/>
    </row>
    <row r="1747" customFormat="false" ht="15" hidden="false" customHeight="false" outlineLevel="0" collapsed="false">
      <c r="A1747" s="6" t="n">
        <v>1743</v>
      </c>
      <c r="B1747" s="8" t="s">
        <v>2714</v>
      </c>
      <c r="C1747" s="8" t="s">
        <v>2715</v>
      </c>
      <c r="D1747" s="9"/>
      <c r="E1747" s="10"/>
      <c r="F1747" s="11"/>
      <c r="G1747" s="12"/>
      <c r="H1747" s="11" t="n">
        <v>0.00286134259259259</v>
      </c>
      <c r="I1747" s="12" t="n">
        <v>642</v>
      </c>
      <c r="J1747" s="14"/>
      <c r="K1747" s="14"/>
      <c r="L1747" s="14"/>
      <c r="M1747" s="13"/>
    </row>
    <row r="1748" customFormat="false" ht="15" hidden="false" customHeight="false" outlineLevel="0" collapsed="false">
      <c r="A1748" s="6" t="n">
        <v>1744</v>
      </c>
      <c r="B1748" s="8" t="s">
        <v>2716</v>
      </c>
      <c r="C1748" s="8" t="s">
        <v>2643</v>
      </c>
      <c r="D1748" s="9"/>
      <c r="E1748" s="10"/>
      <c r="F1748" s="11" t="n">
        <v>0.00729872685185185</v>
      </c>
      <c r="G1748" s="12" t="n">
        <v>643</v>
      </c>
      <c r="H1748" s="11"/>
      <c r="I1748" s="12"/>
      <c r="J1748" s="14"/>
      <c r="K1748" s="14"/>
      <c r="L1748" s="14"/>
      <c r="M1748" s="13"/>
    </row>
    <row r="1749" customFormat="false" ht="15" hidden="false" customHeight="false" outlineLevel="0" collapsed="false">
      <c r="A1749" s="6" t="n">
        <v>1745</v>
      </c>
      <c r="B1749" s="8" t="s">
        <v>2717</v>
      </c>
      <c r="C1749" s="8" t="s">
        <v>2718</v>
      </c>
      <c r="D1749" s="9"/>
      <c r="E1749" s="10"/>
      <c r="F1749" s="11" t="n">
        <v>0.00729884259259259</v>
      </c>
      <c r="G1749" s="12" t="n">
        <v>644</v>
      </c>
      <c r="H1749" s="11"/>
      <c r="I1749" s="12"/>
      <c r="J1749" s="14"/>
      <c r="K1749" s="14"/>
      <c r="L1749" s="14"/>
      <c r="M1749" s="13"/>
    </row>
    <row r="1750" customFormat="false" ht="15" hidden="false" customHeight="false" outlineLevel="0" collapsed="false">
      <c r="A1750" s="6" t="n">
        <v>1746</v>
      </c>
      <c r="B1750" s="8" t="s">
        <v>2719</v>
      </c>
      <c r="C1750" s="8" t="s">
        <v>1680</v>
      </c>
      <c r="D1750" s="9"/>
      <c r="E1750" s="10"/>
      <c r="F1750" s="11" t="n">
        <v>0.00729930555555556</v>
      </c>
      <c r="G1750" s="12" t="n">
        <v>645</v>
      </c>
      <c r="H1750" s="11"/>
      <c r="I1750" s="12"/>
      <c r="J1750" s="14" t="s">
        <v>2720</v>
      </c>
      <c r="K1750" s="14"/>
      <c r="L1750" s="14"/>
      <c r="M1750" s="13"/>
    </row>
    <row r="1751" customFormat="false" ht="15" hidden="false" customHeight="false" outlineLevel="0" collapsed="false">
      <c r="A1751" s="6" t="n">
        <v>1747</v>
      </c>
      <c r="B1751" s="8" t="s">
        <v>2721</v>
      </c>
      <c r="C1751" s="8" t="s">
        <v>2231</v>
      </c>
      <c r="D1751" s="9"/>
      <c r="E1751" s="10"/>
      <c r="F1751" s="11"/>
      <c r="G1751" s="12"/>
      <c r="H1751" s="11" t="n">
        <v>0.0028619212962963</v>
      </c>
      <c r="I1751" s="12" t="n">
        <v>645</v>
      </c>
      <c r="J1751" s="14"/>
      <c r="K1751" s="14"/>
      <c r="L1751" s="14"/>
      <c r="M1751" s="13"/>
    </row>
    <row r="1752" customFormat="false" ht="15" hidden="false" customHeight="false" outlineLevel="0" collapsed="false">
      <c r="A1752" s="6" t="n">
        <v>1748</v>
      </c>
      <c r="B1752" s="8" t="s">
        <v>2722</v>
      </c>
      <c r="C1752" s="8" t="s">
        <v>2723</v>
      </c>
      <c r="D1752" s="9"/>
      <c r="E1752" s="10"/>
      <c r="F1752" s="11"/>
      <c r="G1752" s="12"/>
      <c r="H1752" s="11" t="n">
        <v>0.00286215277777778</v>
      </c>
      <c r="I1752" s="12" t="n">
        <v>646</v>
      </c>
      <c r="J1752" s="14"/>
      <c r="K1752" s="14"/>
      <c r="L1752" s="14"/>
      <c r="M1752" s="13"/>
    </row>
    <row r="1753" customFormat="false" ht="15" hidden="false" customHeight="false" outlineLevel="0" collapsed="false">
      <c r="A1753" s="6" t="n">
        <v>1749</v>
      </c>
      <c r="B1753" s="8" t="s">
        <v>2724</v>
      </c>
      <c r="C1753" s="8" t="s">
        <v>667</v>
      </c>
      <c r="D1753" s="9"/>
      <c r="E1753" s="10"/>
      <c r="F1753" s="11" t="n">
        <v>0.00729988425925926</v>
      </c>
      <c r="G1753" s="12" t="n">
        <v>647</v>
      </c>
      <c r="H1753" s="11"/>
      <c r="I1753" s="12"/>
      <c r="J1753" s="14" t="s">
        <v>2725</v>
      </c>
      <c r="K1753" s="14"/>
      <c r="L1753" s="14"/>
      <c r="M1753" s="13"/>
    </row>
    <row r="1754" customFormat="false" ht="15" hidden="false" customHeight="false" outlineLevel="0" collapsed="false">
      <c r="A1754" s="6" t="n">
        <v>1750</v>
      </c>
      <c r="B1754" s="8" t="s">
        <v>2726</v>
      </c>
      <c r="C1754" s="8" t="s">
        <v>2727</v>
      </c>
      <c r="D1754" s="9"/>
      <c r="E1754" s="10"/>
      <c r="F1754" s="11" t="n">
        <v>0.0073005787037037</v>
      </c>
      <c r="G1754" s="12" t="n">
        <v>648</v>
      </c>
      <c r="H1754" s="11"/>
      <c r="I1754" s="12"/>
      <c r="J1754" s="14"/>
      <c r="K1754" s="14"/>
      <c r="L1754" s="14"/>
      <c r="M1754" s="13"/>
    </row>
    <row r="1755" customFormat="false" ht="15" hidden="false" customHeight="false" outlineLevel="0" collapsed="false">
      <c r="A1755" s="6" t="n">
        <v>1751</v>
      </c>
      <c r="B1755" s="8" t="s">
        <v>2728</v>
      </c>
      <c r="C1755" s="8" t="s">
        <v>1689</v>
      </c>
      <c r="D1755" s="9"/>
      <c r="E1755" s="10"/>
      <c r="F1755" s="11" t="n">
        <v>0.00730069444444444</v>
      </c>
      <c r="G1755" s="12" t="n">
        <v>649</v>
      </c>
      <c r="H1755" s="11"/>
      <c r="I1755" s="12"/>
      <c r="J1755" s="14"/>
      <c r="K1755" s="14"/>
      <c r="L1755" s="14"/>
      <c r="M1755" s="13"/>
    </row>
    <row r="1756" customFormat="false" ht="15" hidden="false" customHeight="false" outlineLevel="0" collapsed="false">
      <c r="A1756" s="6" t="n">
        <v>1752</v>
      </c>
      <c r="B1756" s="8" t="s">
        <v>2729</v>
      </c>
      <c r="C1756" s="8" t="s">
        <v>1211</v>
      </c>
      <c r="D1756" s="9"/>
      <c r="E1756" s="10"/>
      <c r="F1756" s="11" t="n">
        <v>0.00730439814814815</v>
      </c>
      <c r="G1756" s="12" t="n">
        <v>653</v>
      </c>
      <c r="H1756" s="11"/>
      <c r="I1756" s="12"/>
      <c r="J1756" s="14"/>
      <c r="K1756" s="14"/>
      <c r="L1756" s="14"/>
      <c r="M1756" s="13"/>
    </row>
    <row r="1757" customFormat="false" ht="15" hidden="false" customHeight="false" outlineLevel="0" collapsed="false">
      <c r="A1757" s="6" t="n">
        <v>1753</v>
      </c>
      <c r="B1757" s="8" t="s">
        <v>2730</v>
      </c>
      <c r="C1757" s="8" t="s">
        <v>2731</v>
      </c>
      <c r="D1757" s="9"/>
      <c r="E1757" s="10"/>
      <c r="F1757" s="11" t="n">
        <v>0.00730578703703704</v>
      </c>
      <c r="G1757" s="12" t="n">
        <v>654</v>
      </c>
      <c r="H1757" s="11"/>
      <c r="I1757" s="12"/>
      <c r="J1757" s="14"/>
      <c r="K1757" s="14"/>
      <c r="L1757" s="14"/>
      <c r="M1757" s="13"/>
    </row>
    <row r="1758" customFormat="false" ht="15" hidden="false" customHeight="false" outlineLevel="0" collapsed="false">
      <c r="A1758" s="6" t="n">
        <v>1754</v>
      </c>
      <c r="B1758" s="8" t="s">
        <v>2732</v>
      </c>
      <c r="C1758" s="8" t="s">
        <v>2733</v>
      </c>
      <c r="D1758" s="9"/>
      <c r="E1758" s="10"/>
      <c r="F1758" s="11" t="n">
        <v>0.00730578703703704</v>
      </c>
      <c r="G1758" s="12" t="n">
        <v>655</v>
      </c>
      <c r="H1758" s="11"/>
      <c r="I1758" s="12"/>
      <c r="J1758" s="14"/>
      <c r="K1758" s="14"/>
      <c r="L1758" s="14"/>
      <c r="M1758" s="13"/>
    </row>
    <row r="1759" customFormat="false" ht="15" hidden="false" customHeight="false" outlineLevel="0" collapsed="false">
      <c r="A1759" s="6" t="n">
        <v>1755</v>
      </c>
      <c r="B1759" s="8" t="s">
        <v>2734</v>
      </c>
      <c r="C1759" s="8" t="s">
        <v>667</v>
      </c>
      <c r="D1759" s="9"/>
      <c r="E1759" s="10"/>
      <c r="F1759" s="11" t="n">
        <v>0.0073068287037037</v>
      </c>
      <c r="G1759" s="12" t="n">
        <v>656</v>
      </c>
      <c r="H1759" s="11"/>
      <c r="I1759" s="12"/>
      <c r="J1759" s="14" t="s">
        <v>2735</v>
      </c>
      <c r="K1759" s="14"/>
      <c r="L1759" s="14"/>
      <c r="M1759" s="13"/>
    </row>
    <row r="1760" customFormat="false" ht="15" hidden="false" customHeight="false" outlineLevel="0" collapsed="false">
      <c r="A1760" s="6" t="n">
        <v>1756</v>
      </c>
      <c r="B1760" s="8" t="s">
        <v>2736</v>
      </c>
      <c r="C1760" s="8" t="s">
        <v>120</v>
      </c>
      <c r="D1760" s="9"/>
      <c r="E1760" s="10"/>
      <c r="F1760" s="11"/>
      <c r="G1760" s="12"/>
      <c r="H1760" s="11" t="n">
        <v>0.00286342592592593</v>
      </c>
      <c r="I1760" s="12" t="n">
        <v>657</v>
      </c>
      <c r="J1760" s="14"/>
      <c r="K1760" s="14"/>
      <c r="L1760" s="14"/>
      <c r="M1760" s="13"/>
    </row>
    <row r="1761" customFormat="false" ht="15" hidden="false" customHeight="false" outlineLevel="0" collapsed="false">
      <c r="A1761" s="6" t="n">
        <v>1757</v>
      </c>
      <c r="B1761" s="8" t="s">
        <v>2737</v>
      </c>
      <c r="C1761" s="8" t="s">
        <v>1378</v>
      </c>
      <c r="D1761" s="9"/>
      <c r="E1761" s="10"/>
      <c r="F1761" s="11" t="n">
        <v>0.00730821759259259</v>
      </c>
      <c r="G1761" s="12" t="n">
        <v>658</v>
      </c>
      <c r="H1761" s="11"/>
      <c r="I1761" s="12"/>
      <c r="J1761" s="14"/>
      <c r="K1761" s="14"/>
      <c r="L1761" s="14"/>
      <c r="M1761" s="13"/>
    </row>
    <row r="1762" customFormat="false" ht="15" hidden="false" customHeight="false" outlineLevel="0" collapsed="false">
      <c r="A1762" s="6" t="n">
        <v>1758</v>
      </c>
      <c r="B1762" s="8" t="s">
        <v>2738</v>
      </c>
      <c r="C1762" s="8" t="s">
        <v>1835</v>
      </c>
      <c r="D1762" s="9"/>
      <c r="E1762" s="10"/>
      <c r="F1762" s="11" t="n">
        <v>0.00731238425925926</v>
      </c>
      <c r="G1762" s="12" t="n">
        <v>659</v>
      </c>
      <c r="H1762" s="11"/>
      <c r="I1762" s="12"/>
      <c r="J1762" s="14"/>
      <c r="K1762" s="14"/>
      <c r="L1762" s="14"/>
      <c r="M1762" s="13"/>
    </row>
    <row r="1763" customFormat="false" ht="15" hidden="false" customHeight="false" outlineLevel="0" collapsed="false">
      <c r="A1763" s="6" t="n">
        <v>1759</v>
      </c>
      <c r="B1763" s="8" t="s">
        <v>2739</v>
      </c>
      <c r="C1763" s="8" t="s">
        <v>1411</v>
      </c>
      <c r="D1763" s="9"/>
      <c r="E1763" s="10"/>
      <c r="F1763" s="11" t="n">
        <v>0.00731354166666667</v>
      </c>
      <c r="G1763" s="12" t="n">
        <v>660</v>
      </c>
      <c r="H1763" s="11"/>
      <c r="I1763" s="12"/>
      <c r="J1763" s="14"/>
      <c r="K1763" s="14"/>
      <c r="L1763" s="14"/>
      <c r="M1763" s="13"/>
    </row>
    <row r="1764" customFormat="false" ht="15" hidden="false" customHeight="false" outlineLevel="0" collapsed="false">
      <c r="A1764" s="6" t="n">
        <v>1760</v>
      </c>
      <c r="B1764" s="8" t="s">
        <v>2740</v>
      </c>
      <c r="C1764" s="8" t="s">
        <v>1630</v>
      </c>
      <c r="D1764" s="9"/>
      <c r="E1764" s="10"/>
      <c r="F1764" s="11"/>
      <c r="G1764" s="12"/>
      <c r="H1764" s="11" t="n">
        <v>0.00286400462962963</v>
      </c>
      <c r="I1764" s="12" t="n">
        <v>660</v>
      </c>
      <c r="J1764" s="14"/>
      <c r="K1764" s="14"/>
      <c r="L1764" s="14"/>
      <c r="M1764" s="13"/>
    </row>
    <row r="1765" customFormat="false" ht="15" hidden="false" customHeight="false" outlineLevel="0" collapsed="false">
      <c r="A1765" s="6" t="n">
        <v>1761</v>
      </c>
      <c r="B1765" s="8" t="s">
        <v>2741</v>
      </c>
      <c r="C1765" s="8" t="s">
        <v>2718</v>
      </c>
      <c r="D1765" s="9"/>
      <c r="E1765" s="10"/>
      <c r="F1765" s="11" t="n">
        <v>0.00731400462962963</v>
      </c>
      <c r="G1765" s="12" t="n">
        <v>661</v>
      </c>
      <c r="H1765" s="11" t="n">
        <v>0.00290173611111111</v>
      </c>
      <c r="I1765" s="12" t="n">
        <v>962</v>
      </c>
      <c r="J1765" s="14"/>
      <c r="K1765" s="14"/>
      <c r="L1765" s="14"/>
      <c r="M1765" s="13"/>
    </row>
    <row r="1766" customFormat="false" ht="15" hidden="false" customHeight="false" outlineLevel="0" collapsed="false">
      <c r="A1766" s="6" t="n">
        <v>1762</v>
      </c>
      <c r="B1766" s="8" t="s">
        <v>2742</v>
      </c>
      <c r="C1766" s="8" t="s">
        <v>2743</v>
      </c>
      <c r="D1766" s="9"/>
      <c r="E1766" s="10"/>
      <c r="F1766" s="11" t="n">
        <v>0.0073150462962963</v>
      </c>
      <c r="G1766" s="12" t="n">
        <v>662</v>
      </c>
      <c r="H1766" s="11"/>
      <c r="I1766" s="12"/>
      <c r="J1766" s="14"/>
      <c r="K1766" s="14"/>
      <c r="L1766" s="14"/>
      <c r="M1766" s="13"/>
    </row>
    <row r="1767" customFormat="false" ht="15" hidden="false" customHeight="false" outlineLevel="0" collapsed="false">
      <c r="A1767" s="6" t="n">
        <v>1763</v>
      </c>
      <c r="B1767" s="8" t="s">
        <v>2744</v>
      </c>
      <c r="C1767" s="8" t="s">
        <v>2556</v>
      </c>
      <c r="D1767" s="9"/>
      <c r="E1767" s="10"/>
      <c r="F1767" s="11"/>
      <c r="G1767" s="12"/>
      <c r="H1767" s="11" t="n">
        <v>0.00286446759259259</v>
      </c>
      <c r="I1767" s="12" t="n">
        <v>662</v>
      </c>
      <c r="J1767" s="14"/>
      <c r="K1767" s="14"/>
      <c r="L1767" s="14"/>
      <c r="M1767" s="13"/>
    </row>
    <row r="1768" customFormat="false" ht="15" hidden="false" customHeight="false" outlineLevel="0" collapsed="false">
      <c r="A1768" s="6" t="n">
        <v>1764</v>
      </c>
      <c r="B1768" s="8" t="s">
        <v>2745</v>
      </c>
      <c r="C1768" s="8" t="s">
        <v>1926</v>
      </c>
      <c r="D1768" s="9"/>
      <c r="E1768" s="10"/>
      <c r="F1768" s="11" t="n">
        <v>0.00731655092592593</v>
      </c>
      <c r="G1768" s="12" t="n">
        <v>663</v>
      </c>
      <c r="H1768" s="11"/>
      <c r="I1768" s="12"/>
      <c r="J1768" s="14"/>
      <c r="K1768" s="14"/>
      <c r="L1768" s="14"/>
      <c r="M1768" s="13"/>
    </row>
    <row r="1769" customFormat="false" ht="15" hidden="false" customHeight="false" outlineLevel="0" collapsed="false">
      <c r="A1769" s="6" t="n">
        <v>1765</v>
      </c>
      <c r="B1769" s="8" t="s">
        <v>2746</v>
      </c>
      <c r="C1769" s="8" t="s">
        <v>1183</v>
      </c>
      <c r="D1769" s="9"/>
      <c r="E1769" s="10"/>
      <c r="F1769" s="11" t="n">
        <v>0.00731689814814815</v>
      </c>
      <c r="G1769" s="12" t="n">
        <v>665</v>
      </c>
      <c r="H1769" s="11"/>
      <c r="I1769" s="12"/>
      <c r="J1769" s="14"/>
      <c r="K1769" s="14"/>
      <c r="L1769" s="14"/>
      <c r="M1769" s="13"/>
    </row>
    <row r="1770" customFormat="false" ht="15" hidden="false" customHeight="false" outlineLevel="0" collapsed="false">
      <c r="A1770" s="6" t="n">
        <v>1766</v>
      </c>
      <c r="B1770" s="8" t="s">
        <v>2747</v>
      </c>
      <c r="C1770" s="8" t="s">
        <v>2748</v>
      </c>
      <c r="D1770" s="9"/>
      <c r="E1770" s="10"/>
      <c r="F1770" s="11"/>
      <c r="G1770" s="12"/>
      <c r="H1770" s="11" t="n">
        <v>0.00286481481481482</v>
      </c>
      <c r="I1770" s="12" t="n">
        <v>665</v>
      </c>
      <c r="J1770" s="14"/>
      <c r="K1770" s="14"/>
      <c r="L1770" s="14"/>
      <c r="M1770" s="13"/>
    </row>
    <row r="1771" customFormat="false" ht="15" hidden="false" customHeight="false" outlineLevel="0" collapsed="false">
      <c r="A1771" s="6" t="n">
        <v>1767</v>
      </c>
      <c r="B1771" s="8" t="s">
        <v>2749</v>
      </c>
      <c r="C1771" s="8" t="s">
        <v>2623</v>
      </c>
      <c r="D1771" s="9"/>
      <c r="E1771" s="10"/>
      <c r="F1771" s="11" t="n">
        <v>0.00731724537037037</v>
      </c>
      <c r="G1771" s="12" t="n">
        <v>666</v>
      </c>
      <c r="H1771" s="11"/>
      <c r="I1771" s="12"/>
      <c r="J1771" s="14" t="s">
        <v>2750</v>
      </c>
      <c r="K1771" s="14"/>
      <c r="L1771" s="14"/>
      <c r="M1771" s="13"/>
    </row>
    <row r="1772" customFormat="false" ht="15" hidden="false" customHeight="false" outlineLevel="0" collapsed="false">
      <c r="A1772" s="6" t="n">
        <v>1768</v>
      </c>
      <c r="B1772" s="8" t="s">
        <v>2751</v>
      </c>
      <c r="C1772" s="8" t="s">
        <v>1713</v>
      </c>
      <c r="D1772" s="9"/>
      <c r="E1772" s="10"/>
      <c r="F1772" s="11" t="n">
        <v>0.00731782407407407</v>
      </c>
      <c r="G1772" s="12" t="n">
        <v>667</v>
      </c>
      <c r="H1772" s="11" t="n">
        <v>0.0028869212962963</v>
      </c>
      <c r="I1772" s="12" t="n">
        <v>832</v>
      </c>
      <c r="J1772" s="14"/>
      <c r="K1772" s="14" t="s">
        <v>2752</v>
      </c>
      <c r="L1772" s="14"/>
      <c r="M1772" s="13"/>
    </row>
    <row r="1773" customFormat="false" ht="15" hidden="false" customHeight="false" outlineLevel="0" collapsed="false">
      <c r="A1773" s="6" t="n">
        <v>1769</v>
      </c>
      <c r="B1773" s="8" t="s">
        <v>2753</v>
      </c>
      <c r="C1773" s="8" t="s">
        <v>2271</v>
      </c>
      <c r="D1773" s="9"/>
      <c r="E1773" s="10"/>
      <c r="F1773" s="11"/>
      <c r="G1773" s="12"/>
      <c r="H1773" s="11" t="n">
        <v>0.00286539351851852</v>
      </c>
      <c r="I1773" s="12" t="n">
        <v>667</v>
      </c>
      <c r="J1773" s="14"/>
      <c r="K1773" s="14"/>
      <c r="L1773" s="14"/>
      <c r="M1773" s="13"/>
    </row>
    <row r="1774" customFormat="false" ht="15" hidden="false" customHeight="false" outlineLevel="0" collapsed="false">
      <c r="A1774" s="6" t="n">
        <v>1770</v>
      </c>
      <c r="B1774" s="8" t="s">
        <v>1240</v>
      </c>
      <c r="C1774" s="8" t="s">
        <v>2754</v>
      </c>
      <c r="D1774" s="9"/>
      <c r="E1774" s="10"/>
      <c r="F1774" s="11" t="n">
        <v>0.00731805555555556</v>
      </c>
      <c r="G1774" s="12" t="n">
        <v>668</v>
      </c>
      <c r="H1774" s="11"/>
      <c r="I1774" s="12"/>
      <c r="J1774" s="14"/>
      <c r="K1774" s="14"/>
      <c r="L1774" s="8" t="s">
        <v>2755</v>
      </c>
      <c r="M1774" s="13"/>
    </row>
    <row r="1775" customFormat="false" ht="15" hidden="false" customHeight="false" outlineLevel="0" collapsed="false">
      <c r="A1775" s="6" t="n">
        <v>1771</v>
      </c>
      <c r="B1775" s="8" t="s">
        <v>2756</v>
      </c>
      <c r="C1775" s="8" t="s">
        <v>2757</v>
      </c>
      <c r="D1775" s="9"/>
      <c r="E1775" s="10"/>
      <c r="F1775" s="11" t="n">
        <v>0.00731840277777778</v>
      </c>
      <c r="G1775" s="12" t="n">
        <v>669</v>
      </c>
      <c r="H1775" s="11"/>
      <c r="I1775" s="12"/>
      <c r="J1775" s="14"/>
      <c r="K1775" s="14"/>
      <c r="L1775" s="14"/>
      <c r="M1775" s="13"/>
    </row>
    <row r="1776" customFormat="false" ht="15" hidden="false" customHeight="false" outlineLevel="0" collapsed="false">
      <c r="A1776" s="6" t="n">
        <v>1772</v>
      </c>
      <c r="B1776" s="8" t="s">
        <v>2758</v>
      </c>
      <c r="C1776" s="8" t="s">
        <v>2364</v>
      </c>
      <c r="D1776" s="9"/>
      <c r="E1776" s="10"/>
      <c r="F1776" s="11" t="n">
        <v>0.00731956018518519</v>
      </c>
      <c r="G1776" s="12" t="n">
        <v>670</v>
      </c>
      <c r="H1776" s="11"/>
      <c r="I1776" s="12"/>
      <c r="J1776" s="14"/>
      <c r="K1776" s="14"/>
      <c r="L1776" s="14"/>
      <c r="M1776" s="13"/>
    </row>
    <row r="1777" customFormat="false" ht="15" hidden="false" customHeight="false" outlineLevel="0" collapsed="false">
      <c r="A1777" s="6" t="n">
        <v>1773</v>
      </c>
      <c r="B1777" s="8" t="s">
        <v>2759</v>
      </c>
      <c r="C1777" s="8" t="s">
        <v>2362</v>
      </c>
      <c r="D1777" s="9"/>
      <c r="E1777" s="10"/>
      <c r="F1777" s="11" t="n">
        <v>0.00732141203703704</v>
      </c>
      <c r="G1777" s="12" t="n">
        <v>672</v>
      </c>
      <c r="H1777" s="11" t="n">
        <v>0.00292604166666667</v>
      </c>
      <c r="I1777" s="12" t="n">
        <v>1158</v>
      </c>
      <c r="J1777" s="14"/>
      <c r="K1777" s="14"/>
      <c r="L1777" s="14"/>
      <c r="M1777" s="13"/>
    </row>
    <row r="1778" customFormat="false" ht="15" hidden="false" customHeight="false" outlineLevel="0" collapsed="false">
      <c r="A1778" s="6" t="n">
        <v>1774</v>
      </c>
      <c r="B1778" s="8" t="s">
        <v>2760</v>
      </c>
      <c r="C1778" s="8" t="s">
        <v>2761</v>
      </c>
      <c r="D1778" s="9"/>
      <c r="E1778" s="10"/>
      <c r="F1778" s="11"/>
      <c r="G1778" s="12"/>
      <c r="H1778" s="11" t="n">
        <v>0.00286643518518519</v>
      </c>
      <c r="I1778" s="12" t="n">
        <v>672</v>
      </c>
      <c r="J1778" s="14" t="s">
        <v>2762</v>
      </c>
      <c r="K1778" s="14"/>
      <c r="L1778" s="14"/>
      <c r="M1778" s="13"/>
    </row>
    <row r="1779" customFormat="false" ht="15" hidden="false" customHeight="false" outlineLevel="0" collapsed="false">
      <c r="A1779" s="6" t="n">
        <v>1775</v>
      </c>
      <c r="B1779" s="8" t="s">
        <v>2763</v>
      </c>
      <c r="C1779" s="8" t="s">
        <v>2113</v>
      </c>
      <c r="D1779" s="9"/>
      <c r="E1779" s="10"/>
      <c r="F1779" s="11" t="n">
        <v>0.00732152777777778</v>
      </c>
      <c r="G1779" s="12" t="n">
        <v>673</v>
      </c>
      <c r="H1779" s="11"/>
      <c r="I1779" s="12"/>
      <c r="J1779" s="14"/>
      <c r="K1779" s="14"/>
      <c r="L1779" s="14"/>
      <c r="M1779" s="13"/>
    </row>
    <row r="1780" customFormat="false" ht="15" hidden="false" customHeight="false" outlineLevel="0" collapsed="false">
      <c r="A1780" s="6" t="n">
        <v>1776</v>
      </c>
      <c r="B1780" s="8" t="s">
        <v>2764</v>
      </c>
      <c r="C1780" s="8" t="s">
        <v>2765</v>
      </c>
      <c r="D1780" s="9"/>
      <c r="E1780" s="10"/>
      <c r="F1780" s="11" t="n">
        <v>0.00732175925925926</v>
      </c>
      <c r="G1780" s="12" t="n">
        <v>674</v>
      </c>
      <c r="H1780" s="11"/>
      <c r="I1780" s="12"/>
      <c r="J1780" s="14"/>
      <c r="K1780" s="14"/>
      <c r="L1780" s="14"/>
      <c r="M1780" s="13"/>
    </row>
    <row r="1781" customFormat="false" ht="15" hidden="false" customHeight="false" outlineLevel="0" collapsed="false">
      <c r="A1781" s="6" t="n">
        <v>1777</v>
      </c>
      <c r="B1781" s="8" t="s">
        <v>2766</v>
      </c>
      <c r="C1781" s="8" t="s">
        <v>2214</v>
      </c>
      <c r="D1781" s="9"/>
      <c r="E1781" s="10"/>
      <c r="F1781" s="11"/>
      <c r="G1781" s="12"/>
      <c r="H1781" s="11" t="n">
        <v>0.00286678240740741</v>
      </c>
      <c r="I1781" s="12" t="n">
        <v>674</v>
      </c>
      <c r="J1781" s="14"/>
      <c r="K1781" s="14"/>
      <c r="L1781" s="14"/>
      <c r="M1781" s="13"/>
    </row>
    <row r="1782" customFormat="false" ht="15" hidden="false" customHeight="false" outlineLevel="0" collapsed="false">
      <c r="A1782" s="6" t="n">
        <v>1778</v>
      </c>
      <c r="B1782" s="8" t="s">
        <v>2767</v>
      </c>
      <c r="C1782" s="8" t="s">
        <v>2768</v>
      </c>
      <c r="D1782" s="9"/>
      <c r="E1782" s="10"/>
      <c r="F1782" s="11" t="n">
        <v>0.00732361111111111</v>
      </c>
      <c r="G1782" s="12" t="n">
        <v>675</v>
      </c>
      <c r="H1782" s="11"/>
      <c r="I1782" s="12"/>
      <c r="J1782" s="14"/>
      <c r="K1782" s="14"/>
      <c r="L1782" s="14"/>
      <c r="M1782" s="13"/>
    </row>
    <row r="1783" customFormat="false" ht="15" hidden="false" customHeight="false" outlineLevel="0" collapsed="false">
      <c r="A1783" s="6" t="n">
        <v>1779</v>
      </c>
      <c r="B1783" s="8" t="s">
        <v>2769</v>
      </c>
      <c r="C1783" s="8" t="s">
        <v>2770</v>
      </c>
      <c r="D1783" s="9"/>
      <c r="E1783" s="10"/>
      <c r="F1783" s="11"/>
      <c r="G1783" s="12"/>
      <c r="H1783" s="11" t="n">
        <v>0.00286712962962963</v>
      </c>
      <c r="I1783" s="12" t="n">
        <v>675</v>
      </c>
      <c r="J1783" s="14"/>
      <c r="K1783" s="14"/>
      <c r="L1783" s="14"/>
      <c r="M1783" s="13"/>
    </row>
    <row r="1784" customFormat="false" ht="15" hidden="false" customHeight="false" outlineLevel="0" collapsed="false">
      <c r="A1784" s="6" t="n">
        <v>1780</v>
      </c>
      <c r="B1784" s="8" t="s">
        <v>2771</v>
      </c>
      <c r="C1784" s="8" t="s">
        <v>2772</v>
      </c>
      <c r="D1784" s="9"/>
      <c r="E1784" s="10"/>
      <c r="F1784" s="11" t="n">
        <v>0.00732384259259259</v>
      </c>
      <c r="G1784" s="12" t="n">
        <v>676</v>
      </c>
      <c r="H1784" s="11"/>
      <c r="I1784" s="12"/>
      <c r="J1784" s="14"/>
      <c r="K1784" s="14"/>
      <c r="L1784" s="14"/>
      <c r="M1784" s="13"/>
    </row>
    <row r="1785" customFormat="false" ht="15" hidden="false" customHeight="false" outlineLevel="0" collapsed="false">
      <c r="A1785" s="6" t="n">
        <v>1781</v>
      </c>
      <c r="B1785" s="8" t="s">
        <v>2773</v>
      </c>
      <c r="C1785" s="8" t="s">
        <v>2774</v>
      </c>
      <c r="D1785" s="9"/>
      <c r="E1785" s="10"/>
      <c r="F1785" s="11" t="n">
        <v>0.00732453703703704</v>
      </c>
      <c r="G1785" s="12" t="n">
        <v>677</v>
      </c>
      <c r="H1785" s="11"/>
      <c r="I1785" s="12"/>
      <c r="J1785" s="14"/>
      <c r="K1785" s="14"/>
      <c r="L1785" s="14"/>
      <c r="M1785" s="13"/>
    </row>
    <row r="1786" customFormat="false" ht="15" hidden="false" customHeight="false" outlineLevel="0" collapsed="false">
      <c r="A1786" s="6" t="n">
        <v>1782</v>
      </c>
      <c r="B1786" s="8" t="s">
        <v>2775</v>
      </c>
      <c r="C1786" s="8" t="s">
        <v>2514</v>
      </c>
      <c r="D1786" s="9"/>
      <c r="E1786" s="10"/>
      <c r="F1786" s="11"/>
      <c r="G1786" s="12"/>
      <c r="H1786" s="11" t="n">
        <v>0.00286724537037037</v>
      </c>
      <c r="I1786" s="12" t="n">
        <v>677</v>
      </c>
      <c r="J1786" s="14"/>
      <c r="K1786" s="14"/>
      <c r="L1786" s="14"/>
      <c r="M1786" s="13"/>
    </row>
    <row r="1787" customFormat="false" ht="15" hidden="false" customHeight="false" outlineLevel="0" collapsed="false">
      <c r="A1787" s="6" t="n">
        <v>1783</v>
      </c>
      <c r="B1787" s="8" t="s">
        <v>2776</v>
      </c>
      <c r="C1787" s="8" t="s">
        <v>2777</v>
      </c>
      <c r="D1787" s="9"/>
      <c r="E1787" s="10"/>
      <c r="F1787" s="11" t="n">
        <v>0.007325</v>
      </c>
      <c r="G1787" s="12" t="n">
        <v>678</v>
      </c>
      <c r="H1787" s="11"/>
      <c r="I1787" s="12"/>
      <c r="J1787" s="14"/>
      <c r="K1787" s="14"/>
      <c r="L1787" s="14"/>
      <c r="M1787" s="13"/>
    </row>
    <row r="1788" customFormat="false" ht="15" hidden="false" customHeight="false" outlineLevel="0" collapsed="false">
      <c r="A1788" s="6" t="n">
        <v>1784</v>
      </c>
      <c r="B1788" s="8" t="s">
        <v>2778</v>
      </c>
      <c r="C1788" s="8" t="s">
        <v>2779</v>
      </c>
      <c r="D1788" s="9"/>
      <c r="E1788" s="10"/>
      <c r="F1788" s="11"/>
      <c r="G1788" s="12"/>
      <c r="H1788" s="11" t="n">
        <v>0.00286724537037037</v>
      </c>
      <c r="I1788" s="12" t="n">
        <v>678</v>
      </c>
      <c r="J1788" s="14"/>
      <c r="K1788" s="14"/>
      <c r="L1788" s="14"/>
      <c r="M1788" s="13"/>
    </row>
    <row r="1789" customFormat="false" ht="15" hidden="false" customHeight="false" outlineLevel="0" collapsed="false">
      <c r="A1789" s="6" t="n">
        <v>1785</v>
      </c>
      <c r="B1789" s="8" t="s">
        <v>2780</v>
      </c>
      <c r="C1789" s="8" t="s">
        <v>2059</v>
      </c>
      <c r="D1789" s="9"/>
      <c r="E1789" s="10"/>
      <c r="F1789" s="11" t="n">
        <v>0.00732719907407408</v>
      </c>
      <c r="G1789" s="12" t="n">
        <v>679</v>
      </c>
      <c r="H1789" s="11" t="n">
        <v>0.00296273148148148</v>
      </c>
      <c r="I1789" s="12" t="n">
        <v>1282</v>
      </c>
      <c r="J1789" s="14"/>
      <c r="K1789" s="14"/>
      <c r="L1789" s="14"/>
      <c r="M1789" s="13"/>
    </row>
    <row r="1790" customFormat="false" ht="15" hidden="false" customHeight="false" outlineLevel="0" collapsed="false">
      <c r="A1790" s="6" t="n">
        <v>1786</v>
      </c>
      <c r="B1790" s="8" t="s">
        <v>2781</v>
      </c>
      <c r="C1790" s="8" t="s">
        <v>229</v>
      </c>
      <c r="D1790" s="9"/>
      <c r="E1790" s="10"/>
      <c r="F1790" s="11" t="n">
        <v>0.00732893518518519</v>
      </c>
      <c r="G1790" s="12" t="n">
        <v>680</v>
      </c>
      <c r="H1790" s="11"/>
      <c r="I1790" s="12"/>
      <c r="J1790" s="14"/>
      <c r="K1790" s="14"/>
      <c r="L1790" s="14"/>
      <c r="M1790" s="13"/>
    </row>
    <row r="1791" customFormat="false" ht="15" hidden="false" customHeight="false" outlineLevel="0" collapsed="false">
      <c r="A1791" s="6" t="n">
        <v>1787</v>
      </c>
      <c r="B1791" s="8" t="s">
        <v>2782</v>
      </c>
      <c r="C1791" s="8" t="s">
        <v>2783</v>
      </c>
      <c r="D1791" s="9"/>
      <c r="E1791" s="10"/>
      <c r="F1791" s="11"/>
      <c r="G1791" s="12"/>
      <c r="H1791" s="11" t="n">
        <v>0.00286805555555556</v>
      </c>
      <c r="I1791" s="12" t="n">
        <v>681</v>
      </c>
      <c r="J1791" s="14"/>
      <c r="K1791" s="14"/>
      <c r="L1791" s="14"/>
      <c r="M1791" s="13"/>
    </row>
    <row r="1792" customFormat="false" ht="15" hidden="false" customHeight="false" outlineLevel="0" collapsed="false">
      <c r="A1792" s="6" t="n">
        <v>1788</v>
      </c>
      <c r="B1792" s="8" t="s">
        <v>2784</v>
      </c>
      <c r="C1792" s="8" t="s">
        <v>2785</v>
      </c>
      <c r="D1792" s="9"/>
      <c r="E1792" s="10"/>
      <c r="F1792" s="11" t="n">
        <v>0.00732962962962963</v>
      </c>
      <c r="G1792" s="12" t="n">
        <v>682</v>
      </c>
      <c r="H1792" s="11"/>
      <c r="I1792" s="12"/>
      <c r="J1792" s="14"/>
      <c r="K1792" s="14"/>
      <c r="L1792" s="14"/>
      <c r="M1792" s="13"/>
    </row>
    <row r="1793" customFormat="false" ht="15" hidden="false" customHeight="false" outlineLevel="0" collapsed="false">
      <c r="A1793" s="6" t="n">
        <v>1789</v>
      </c>
      <c r="B1793" s="8" t="s">
        <v>2786</v>
      </c>
      <c r="C1793" s="8" t="s">
        <v>2383</v>
      </c>
      <c r="D1793" s="9"/>
      <c r="E1793" s="10"/>
      <c r="F1793" s="11" t="n">
        <v>0.00733078703703704</v>
      </c>
      <c r="G1793" s="12" t="n">
        <v>683</v>
      </c>
      <c r="H1793" s="11"/>
      <c r="I1793" s="12"/>
      <c r="J1793" s="14"/>
      <c r="K1793" s="14"/>
      <c r="L1793" s="14"/>
      <c r="M1793" s="13"/>
    </row>
    <row r="1794" customFormat="false" ht="15" hidden="false" customHeight="false" outlineLevel="0" collapsed="false">
      <c r="A1794" s="6" t="n">
        <v>1790</v>
      </c>
      <c r="B1794" s="8" t="s">
        <v>2787</v>
      </c>
      <c r="C1794" s="8" t="s">
        <v>2579</v>
      </c>
      <c r="D1794" s="9"/>
      <c r="E1794" s="10"/>
      <c r="F1794" s="11"/>
      <c r="G1794" s="12"/>
      <c r="H1794" s="11" t="n">
        <v>0.00286828703703704</v>
      </c>
      <c r="I1794" s="12" t="n">
        <v>683</v>
      </c>
      <c r="J1794" s="14"/>
      <c r="K1794" s="14"/>
      <c r="L1794" s="14"/>
      <c r="M1794" s="13"/>
    </row>
    <row r="1795" customFormat="false" ht="15" hidden="false" customHeight="false" outlineLevel="0" collapsed="false">
      <c r="A1795" s="6" t="n">
        <v>1791</v>
      </c>
      <c r="B1795" s="8" t="s">
        <v>2788</v>
      </c>
      <c r="C1795" s="8" t="s">
        <v>2188</v>
      </c>
      <c r="D1795" s="9"/>
      <c r="E1795" s="10"/>
      <c r="F1795" s="11" t="n">
        <v>0.00733136574074074</v>
      </c>
      <c r="G1795" s="12" t="n">
        <v>684</v>
      </c>
      <c r="H1795" s="11"/>
      <c r="I1795" s="12"/>
      <c r="J1795" s="14"/>
      <c r="K1795" s="14"/>
      <c r="L1795" s="14"/>
      <c r="M1795" s="13"/>
    </row>
    <row r="1796" customFormat="false" ht="15" hidden="false" customHeight="false" outlineLevel="0" collapsed="false">
      <c r="A1796" s="6" t="n">
        <v>1792</v>
      </c>
      <c r="B1796" s="8" t="s">
        <v>2789</v>
      </c>
      <c r="C1796" s="8" t="s">
        <v>2790</v>
      </c>
      <c r="D1796" s="9"/>
      <c r="E1796" s="10"/>
      <c r="F1796" s="11" t="n">
        <v>0.00733229166666667</v>
      </c>
      <c r="G1796" s="12" t="n">
        <v>685</v>
      </c>
      <c r="H1796" s="11"/>
      <c r="I1796" s="12"/>
      <c r="J1796" s="14"/>
      <c r="K1796" s="14"/>
      <c r="L1796" s="14"/>
      <c r="M1796" s="13"/>
    </row>
    <row r="1797" customFormat="false" ht="15" hidden="false" customHeight="false" outlineLevel="0" collapsed="false">
      <c r="A1797" s="6" t="n">
        <v>1793</v>
      </c>
      <c r="B1797" s="8" t="s">
        <v>2791</v>
      </c>
      <c r="C1797" s="8" t="s">
        <v>433</v>
      </c>
      <c r="D1797" s="9"/>
      <c r="E1797" s="10"/>
      <c r="F1797" s="11" t="n">
        <v>0.0073337962962963</v>
      </c>
      <c r="G1797" s="12" t="n">
        <v>686</v>
      </c>
      <c r="H1797" s="11"/>
      <c r="I1797" s="12"/>
      <c r="J1797" s="14"/>
      <c r="K1797" s="14"/>
      <c r="L1797" s="14"/>
      <c r="M1797" s="13"/>
    </row>
    <row r="1798" customFormat="false" ht="15" hidden="false" customHeight="false" outlineLevel="0" collapsed="false">
      <c r="A1798" s="6" t="n">
        <v>1794</v>
      </c>
      <c r="B1798" s="8" t="s">
        <v>2792</v>
      </c>
      <c r="C1798" s="8" t="s">
        <v>1563</v>
      </c>
      <c r="D1798" s="9"/>
      <c r="E1798" s="10"/>
      <c r="F1798" s="11" t="n">
        <v>0.00733449074074074</v>
      </c>
      <c r="G1798" s="12" t="n">
        <v>687</v>
      </c>
      <c r="H1798" s="11"/>
      <c r="I1798" s="12"/>
      <c r="J1798" s="14"/>
      <c r="K1798" s="14"/>
      <c r="L1798" s="14"/>
      <c r="M1798" s="13"/>
    </row>
    <row r="1799" customFormat="false" ht="15" hidden="false" customHeight="false" outlineLevel="0" collapsed="false">
      <c r="A1799" s="6" t="n">
        <v>1795</v>
      </c>
      <c r="B1799" s="8" t="s">
        <v>2793</v>
      </c>
      <c r="C1799" s="8" t="s">
        <v>2794</v>
      </c>
      <c r="D1799" s="9"/>
      <c r="E1799" s="10"/>
      <c r="F1799" s="11" t="n">
        <v>0.00733680555555556</v>
      </c>
      <c r="G1799" s="12" t="n">
        <v>688</v>
      </c>
      <c r="H1799" s="11"/>
      <c r="I1799" s="12"/>
      <c r="J1799" s="14"/>
      <c r="K1799" s="14"/>
      <c r="L1799" s="14"/>
      <c r="M1799" s="13"/>
    </row>
    <row r="1800" customFormat="false" ht="15" hidden="false" customHeight="false" outlineLevel="0" collapsed="false">
      <c r="A1800" s="6" t="n">
        <v>1796</v>
      </c>
      <c r="B1800" s="8" t="s">
        <v>2795</v>
      </c>
      <c r="C1800" s="8" t="s">
        <v>197</v>
      </c>
      <c r="D1800" s="9"/>
      <c r="E1800" s="10"/>
      <c r="F1800" s="11" t="n">
        <v>0.0073375</v>
      </c>
      <c r="G1800" s="12" t="n">
        <v>689</v>
      </c>
      <c r="H1800" s="11"/>
      <c r="I1800" s="12"/>
      <c r="J1800" s="14"/>
      <c r="K1800" s="14"/>
      <c r="L1800" s="14"/>
      <c r="M1800" s="13"/>
    </row>
    <row r="1801" customFormat="false" ht="15" hidden="false" customHeight="false" outlineLevel="0" collapsed="false">
      <c r="A1801" s="6" t="n">
        <v>1797</v>
      </c>
      <c r="B1801" s="8" t="s">
        <v>2796</v>
      </c>
      <c r="C1801" s="8" t="s">
        <v>2797</v>
      </c>
      <c r="D1801" s="9"/>
      <c r="E1801" s="10"/>
      <c r="F1801" s="11" t="n">
        <v>0.00733819444444444</v>
      </c>
      <c r="G1801" s="12" t="n">
        <v>691</v>
      </c>
      <c r="H1801" s="11"/>
      <c r="I1801" s="12"/>
      <c r="J1801" s="14"/>
      <c r="K1801" s="14"/>
      <c r="L1801" s="14"/>
      <c r="M1801" s="13"/>
    </row>
    <row r="1802" customFormat="false" ht="15" hidden="false" customHeight="false" outlineLevel="0" collapsed="false">
      <c r="A1802" s="6" t="n">
        <v>1798</v>
      </c>
      <c r="B1802" s="8" t="s">
        <v>2798</v>
      </c>
      <c r="C1802" s="8" t="s">
        <v>2799</v>
      </c>
      <c r="D1802" s="9"/>
      <c r="E1802" s="10"/>
      <c r="F1802" s="11" t="n">
        <v>0.00734178240740741</v>
      </c>
      <c r="G1802" s="12" t="n">
        <v>698</v>
      </c>
      <c r="H1802" s="11" t="n">
        <v>0.00286956018518519</v>
      </c>
      <c r="I1802" s="12" t="n">
        <v>693</v>
      </c>
      <c r="J1802" s="14"/>
      <c r="K1802" s="14"/>
      <c r="L1802" s="14"/>
      <c r="M1802" s="13"/>
    </row>
    <row r="1803" customFormat="false" ht="15" hidden="false" customHeight="false" outlineLevel="0" collapsed="false">
      <c r="A1803" s="6" t="n">
        <v>1799</v>
      </c>
      <c r="B1803" s="8" t="s">
        <v>2800</v>
      </c>
      <c r="C1803" s="8" t="s">
        <v>2106</v>
      </c>
      <c r="D1803" s="9"/>
      <c r="E1803" s="10"/>
      <c r="F1803" s="11" t="n">
        <v>0.00733969907407407</v>
      </c>
      <c r="G1803" s="12" t="n">
        <v>693</v>
      </c>
      <c r="H1803" s="11"/>
      <c r="I1803" s="12"/>
      <c r="J1803" s="14"/>
      <c r="K1803" s="14"/>
      <c r="L1803" s="14"/>
      <c r="M1803" s="13"/>
    </row>
    <row r="1804" customFormat="false" ht="15" hidden="false" customHeight="false" outlineLevel="0" collapsed="false">
      <c r="A1804" s="6" t="n">
        <v>1800</v>
      </c>
      <c r="B1804" s="8" t="s">
        <v>2801</v>
      </c>
      <c r="C1804" s="8" t="s">
        <v>2586</v>
      </c>
      <c r="D1804" s="9"/>
      <c r="E1804" s="10"/>
      <c r="F1804" s="11" t="n">
        <v>0.00733981481481482</v>
      </c>
      <c r="G1804" s="12" t="n">
        <v>694</v>
      </c>
      <c r="H1804" s="11"/>
      <c r="I1804" s="12"/>
      <c r="J1804" s="14"/>
      <c r="K1804" s="14"/>
      <c r="L1804" s="14"/>
      <c r="M1804" s="13"/>
    </row>
    <row r="1805" customFormat="false" ht="15" hidden="false" customHeight="false" outlineLevel="0" collapsed="false">
      <c r="A1805" s="6" t="n">
        <v>1801</v>
      </c>
      <c r="B1805" s="8" t="s">
        <v>2802</v>
      </c>
      <c r="C1805" s="8" t="s">
        <v>2803</v>
      </c>
      <c r="D1805" s="9"/>
      <c r="E1805" s="10"/>
      <c r="F1805" s="11" t="n">
        <v>0.00733981481481482</v>
      </c>
      <c r="G1805" s="12" t="n">
        <v>695</v>
      </c>
      <c r="H1805" s="11"/>
      <c r="I1805" s="12"/>
      <c r="J1805" s="14"/>
      <c r="K1805" s="14"/>
      <c r="L1805" s="14"/>
      <c r="M1805" s="13"/>
    </row>
    <row r="1806" customFormat="false" ht="15" hidden="false" customHeight="false" outlineLevel="0" collapsed="false">
      <c r="A1806" s="6" t="n">
        <v>1802</v>
      </c>
      <c r="B1806" s="8" t="s">
        <v>2804</v>
      </c>
      <c r="C1806" s="8" t="s">
        <v>2608</v>
      </c>
      <c r="D1806" s="9"/>
      <c r="E1806" s="10"/>
      <c r="F1806" s="11" t="n">
        <v>0.00734085648148148</v>
      </c>
      <c r="G1806" s="12" t="n">
        <v>696</v>
      </c>
      <c r="H1806" s="11"/>
      <c r="I1806" s="12"/>
      <c r="J1806" s="14"/>
      <c r="K1806" s="14"/>
      <c r="L1806" s="14"/>
      <c r="M1806" s="13"/>
    </row>
    <row r="1807" customFormat="false" ht="15" hidden="false" customHeight="false" outlineLevel="0" collapsed="false">
      <c r="A1807" s="6" t="n">
        <v>1803</v>
      </c>
      <c r="B1807" s="8" t="s">
        <v>2805</v>
      </c>
      <c r="C1807" s="8" t="s">
        <v>2806</v>
      </c>
      <c r="D1807" s="9"/>
      <c r="E1807" s="10"/>
      <c r="F1807" s="11"/>
      <c r="G1807" s="12"/>
      <c r="H1807" s="11" t="n">
        <v>0.00287013888888889</v>
      </c>
      <c r="I1807" s="12" t="n">
        <v>696</v>
      </c>
      <c r="J1807" s="14"/>
      <c r="K1807" s="14"/>
      <c r="L1807" s="14"/>
      <c r="M1807" s="13"/>
    </row>
    <row r="1808" customFormat="false" ht="15" hidden="false" customHeight="false" outlineLevel="0" collapsed="false">
      <c r="A1808" s="6" t="n">
        <v>1804</v>
      </c>
      <c r="B1808" s="8" t="s">
        <v>2807</v>
      </c>
      <c r="C1808" s="8" t="s">
        <v>2808</v>
      </c>
      <c r="D1808" s="9"/>
      <c r="E1808" s="10"/>
      <c r="F1808" s="11" t="n">
        <v>0.00734131944444444</v>
      </c>
      <c r="G1808" s="12" t="n">
        <v>697</v>
      </c>
      <c r="H1808" s="11"/>
      <c r="I1808" s="12"/>
      <c r="J1808" s="14"/>
      <c r="K1808" s="14"/>
      <c r="L1808" s="14"/>
      <c r="M1808" s="13"/>
    </row>
    <row r="1809" customFormat="false" ht="15" hidden="false" customHeight="false" outlineLevel="0" collapsed="false">
      <c r="A1809" s="6" t="n">
        <v>1805</v>
      </c>
      <c r="B1809" s="8" t="s">
        <v>2809</v>
      </c>
      <c r="C1809" s="8" t="s">
        <v>2810</v>
      </c>
      <c r="D1809" s="9"/>
      <c r="E1809" s="10"/>
      <c r="F1809" s="11"/>
      <c r="G1809" s="12"/>
      <c r="H1809" s="11" t="n">
        <v>0.00287048611111111</v>
      </c>
      <c r="I1809" s="12" t="n">
        <v>699</v>
      </c>
      <c r="J1809" s="14"/>
      <c r="K1809" s="14"/>
      <c r="L1809" s="14"/>
      <c r="M1809" s="13"/>
    </row>
    <row r="1810" customFormat="false" ht="15" hidden="false" customHeight="false" outlineLevel="0" collapsed="false">
      <c r="A1810" s="6" t="n">
        <v>1806</v>
      </c>
      <c r="B1810" s="8" t="s">
        <v>2811</v>
      </c>
      <c r="C1810" s="8" t="s">
        <v>2812</v>
      </c>
      <c r="D1810" s="9"/>
      <c r="E1810" s="10"/>
      <c r="F1810" s="11"/>
      <c r="G1810" s="12"/>
      <c r="H1810" s="11" t="n">
        <v>0.00287060185185185</v>
      </c>
      <c r="I1810" s="12" t="n">
        <v>700</v>
      </c>
      <c r="J1810" s="14"/>
      <c r="K1810" s="14"/>
      <c r="L1810" s="14"/>
      <c r="M1810" s="13"/>
    </row>
    <row r="1811" customFormat="false" ht="15" hidden="false" customHeight="false" outlineLevel="0" collapsed="false">
      <c r="A1811" s="6" t="n">
        <v>1807</v>
      </c>
      <c r="B1811" s="8" t="s">
        <v>2813</v>
      </c>
      <c r="C1811" s="8" t="s">
        <v>2814</v>
      </c>
      <c r="D1811" s="9"/>
      <c r="E1811" s="10"/>
      <c r="F1811" s="11" t="n">
        <v>0.00734363425925926</v>
      </c>
      <c r="G1811" s="12" t="n">
        <v>701</v>
      </c>
      <c r="H1811" s="11"/>
      <c r="I1811" s="12"/>
      <c r="J1811" s="14"/>
      <c r="K1811" s="14"/>
      <c r="L1811" s="14"/>
      <c r="M1811" s="13"/>
    </row>
    <row r="1812" customFormat="false" ht="15" hidden="false" customHeight="false" outlineLevel="0" collapsed="false">
      <c r="A1812" s="6" t="n">
        <v>1808</v>
      </c>
      <c r="B1812" s="8" t="s">
        <v>2815</v>
      </c>
      <c r="C1812" s="8" t="s">
        <v>570</v>
      </c>
      <c r="D1812" s="9"/>
      <c r="E1812" s="10"/>
      <c r="F1812" s="11" t="n">
        <v>0.00734363425925926</v>
      </c>
      <c r="G1812" s="12" t="n">
        <v>702</v>
      </c>
      <c r="H1812" s="11"/>
      <c r="I1812" s="12"/>
      <c r="J1812" s="14"/>
      <c r="K1812" s="14"/>
      <c r="L1812" s="14"/>
      <c r="M1812" s="13"/>
    </row>
    <row r="1813" customFormat="false" ht="15" hidden="false" customHeight="false" outlineLevel="0" collapsed="false">
      <c r="A1813" s="6" t="n">
        <v>1809</v>
      </c>
      <c r="B1813" s="8" t="s">
        <v>2816</v>
      </c>
      <c r="C1813" s="8" t="s">
        <v>2516</v>
      </c>
      <c r="D1813" s="9"/>
      <c r="E1813" s="10"/>
      <c r="F1813" s="11" t="n">
        <v>0.00734502314814815</v>
      </c>
      <c r="G1813" s="12" t="n">
        <v>704</v>
      </c>
      <c r="H1813" s="11"/>
      <c r="I1813" s="12"/>
      <c r="J1813" s="14"/>
      <c r="K1813" s="14"/>
      <c r="L1813" s="14"/>
      <c r="M1813" s="13"/>
    </row>
    <row r="1814" customFormat="false" ht="15" hidden="false" customHeight="false" outlineLevel="0" collapsed="false">
      <c r="A1814" s="6" t="n">
        <v>1810</v>
      </c>
      <c r="B1814" s="8" t="s">
        <v>2817</v>
      </c>
      <c r="C1814" s="8" t="s">
        <v>2818</v>
      </c>
      <c r="D1814" s="9"/>
      <c r="E1814" s="10"/>
      <c r="F1814" s="11" t="n">
        <v>0.00734513888888889</v>
      </c>
      <c r="G1814" s="12" t="n">
        <v>705</v>
      </c>
      <c r="H1814" s="11"/>
      <c r="I1814" s="12"/>
      <c r="J1814" s="14"/>
      <c r="K1814" s="14"/>
      <c r="L1814" s="14"/>
      <c r="M1814" s="13"/>
    </row>
    <row r="1815" customFormat="false" ht="15" hidden="false" customHeight="false" outlineLevel="0" collapsed="false">
      <c r="A1815" s="6" t="n">
        <v>1811</v>
      </c>
      <c r="B1815" s="8" t="s">
        <v>2819</v>
      </c>
      <c r="C1815" s="8" t="s">
        <v>1545</v>
      </c>
      <c r="D1815" s="9"/>
      <c r="E1815" s="10"/>
      <c r="F1815" s="11"/>
      <c r="G1815" s="12"/>
      <c r="H1815" s="11" t="n">
        <v>0.00287094907407407</v>
      </c>
      <c r="I1815" s="12" t="n">
        <v>705</v>
      </c>
      <c r="J1815" s="14"/>
      <c r="K1815" s="14"/>
      <c r="L1815" s="14"/>
      <c r="M1815" s="13"/>
    </row>
    <row r="1816" customFormat="false" ht="15" hidden="false" customHeight="false" outlineLevel="0" collapsed="false">
      <c r="A1816" s="6" t="n">
        <v>1812</v>
      </c>
      <c r="B1816" s="8" t="s">
        <v>2820</v>
      </c>
      <c r="C1816" s="8" t="s">
        <v>910</v>
      </c>
      <c r="D1816" s="9"/>
      <c r="E1816" s="10"/>
      <c r="F1816" s="11" t="n">
        <v>0.00734606481481482</v>
      </c>
      <c r="G1816" s="12" t="n">
        <v>707</v>
      </c>
      <c r="H1816" s="11"/>
      <c r="I1816" s="12"/>
      <c r="J1816" s="14"/>
      <c r="K1816" s="14"/>
      <c r="L1816" s="14"/>
      <c r="M1816" s="13"/>
    </row>
    <row r="1817" customFormat="false" ht="15" hidden="false" customHeight="false" outlineLevel="0" collapsed="false">
      <c r="A1817" s="6" t="n">
        <v>1813</v>
      </c>
      <c r="B1817" s="8" t="s">
        <v>2821</v>
      </c>
      <c r="C1817" s="8" t="s">
        <v>1839</v>
      </c>
      <c r="D1817" s="9"/>
      <c r="E1817" s="10"/>
      <c r="F1817" s="11"/>
      <c r="G1817" s="12"/>
      <c r="H1817" s="11" t="n">
        <v>0.00287106481481482</v>
      </c>
      <c r="I1817" s="12" t="n">
        <v>707</v>
      </c>
      <c r="J1817" s="14"/>
      <c r="K1817" s="14"/>
      <c r="L1817" s="14"/>
      <c r="M1817" s="13"/>
    </row>
    <row r="1818" customFormat="false" ht="15" hidden="false" customHeight="false" outlineLevel="0" collapsed="false">
      <c r="A1818" s="6" t="n">
        <v>1814</v>
      </c>
      <c r="B1818" s="8" t="s">
        <v>2822</v>
      </c>
      <c r="C1818" s="8" t="s">
        <v>2373</v>
      </c>
      <c r="D1818" s="9"/>
      <c r="E1818" s="10"/>
      <c r="F1818" s="11" t="n">
        <v>0.00734837962962963</v>
      </c>
      <c r="G1818" s="12" t="n">
        <v>708</v>
      </c>
      <c r="H1818" s="11"/>
      <c r="I1818" s="12"/>
      <c r="J1818" s="14"/>
      <c r="K1818" s="14"/>
      <c r="L1818" s="14"/>
      <c r="M1818" s="13"/>
    </row>
    <row r="1819" customFormat="false" ht="15" hidden="false" customHeight="false" outlineLevel="0" collapsed="false">
      <c r="A1819" s="6" t="n">
        <v>1815</v>
      </c>
      <c r="B1819" s="8" t="s">
        <v>2823</v>
      </c>
      <c r="C1819" s="8" t="s">
        <v>450</v>
      </c>
      <c r="D1819" s="9"/>
      <c r="E1819" s="10"/>
      <c r="F1819" s="11"/>
      <c r="G1819" s="12"/>
      <c r="H1819" s="11" t="n">
        <v>0.00287118055555556</v>
      </c>
      <c r="I1819" s="12" t="n">
        <v>708</v>
      </c>
      <c r="J1819" s="14"/>
      <c r="K1819" s="14"/>
      <c r="L1819" s="14"/>
      <c r="M1819" s="13"/>
    </row>
    <row r="1820" customFormat="false" ht="15" hidden="false" customHeight="false" outlineLevel="0" collapsed="false">
      <c r="A1820" s="6" t="n">
        <v>1816</v>
      </c>
      <c r="B1820" s="8" t="s">
        <v>2824</v>
      </c>
      <c r="C1820" s="8" t="s">
        <v>1484</v>
      </c>
      <c r="D1820" s="9"/>
      <c r="E1820" s="10"/>
      <c r="F1820" s="11" t="n">
        <v>0.00734884259259259</v>
      </c>
      <c r="G1820" s="12" t="n">
        <v>709</v>
      </c>
      <c r="H1820" s="11"/>
      <c r="I1820" s="12"/>
      <c r="J1820" s="14"/>
      <c r="K1820" s="14"/>
      <c r="L1820" s="14"/>
      <c r="M1820" s="13"/>
    </row>
    <row r="1821" customFormat="false" ht="15" hidden="false" customHeight="false" outlineLevel="0" collapsed="false">
      <c r="A1821" s="6" t="n">
        <v>1817</v>
      </c>
      <c r="B1821" s="8" t="s">
        <v>2825</v>
      </c>
      <c r="C1821" s="8" t="s">
        <v>2826</v>
      </c>
      <c r="D1821" s="9"/>
      <c r="E1821" s="10"/>
      <c r="F1821" s="11" t="n">
        <v>0.00734918981481482</v>
      </c>
      <c r="G1821" s="12" t="n">
        <v>710</v>
      </c>
      <c r="H1821" s="11"/>
      <c r="I1821" s="12"/>
      <c r="J1821" s="14" t="s">
        <v>2827</v>
      </c>
      <c r="K1821" s="14"/>
      <c r="L1821" s="14"/>
      <c r="M1821" s="13"/>
    </row>
    <row r="1822" customFormat="false" ht="15" hidden="false" customHeight="false" outlineLevel="0" collapsed="false">
      <c r="A1822" s="6" t="n">
        <v>1818</v>
      </c>
      <c r="B1822" s="8" t="s">
        <v>2828</v>
      </c>
      <c r="C1822" s="8" t="s">
        <v>34</v>
      </c>
      <c r="D1822" s="9"/>
      <c r="E1822" s="10"/>
      <c r="F1822" s="11"/>
      <c r="G1822" s="12"/>
      <c r="H1822" s="11" t="n">
        <v>0.00287141203703704</v>
      </c>
      <c r="I1822" s="12" t="n">
        <v>710</v>
      </c>
      <c r="J1822" s="14"/>
      <c r="K1822" s="14"/>
      <c r="L1822" s="14"/>
      <c r="M1822" s="13"/>
    </row>
    <row r="1823" customFormat="false" ht="15" hidden="false" customHeight="false" outlineLevel="0" collapsed="false">
      <c r="A1823" s="6" t="n">
        <v>1819</v>
      </c>
      <c r="B1823" s="8" t="s">
        <v>2829</v>
      </c>
      <c r="C1823" s="8" t="s">
        <v>2830</v>
      </c>
      <c r="D1823" s="9"/>
      <c r="E1823" s="10"/>
      <c r="F1823" s="11" t="n">
        <v>0.00735208333333333</v>
      </c>
      <c r="G1823" s="12" t="n">
        <v>711</v>
      </c>
      <c r="H1823" s="11"/>
      <c r="I1823" s="12"/>
      <c r="J1823" s="14"/>
      <c r="K1823" s="14"/>
      <c r="L1823" s="14"/>
      <c r="M1823" s="13"/>
    </row>
    <row r="1824" customFormat="false" ht="15" hidden="false" customHeight="false" outlineLevel="0" collapsed="false">
      <c r="A1824" s="6" t="n">
        <v>1820</v>
      </c>
      <c r="B1824" s="8" t="s">
        <v>1856</v>
      </c>
      <c r="C1824" s="8" t="s">
        <v>1213</v>
      </c>
      <c r="D1824" s="9"/>
      <c r="E1824" s="10"/>
      <c r="F1824" s="11" t="n">
        <v>0.00735243055555556</v>
      </c>
      <c r="G1824" s="12" t="n">
        <v>712</v>
      </c>
      <c r="H1824" s="11"/>
      <c r="I1824" s="12"/>
      <c r="J1824" s="14"/>
      <c r="K1824" s="14"/>
      <c r="L1824" s="8" t="s">
        <v>2831</v>
      </c>
      <c r="M1824" s="13"/>
    </row>
    <row r="1825" customFormat="false" ht="15" hidden="false" customHeight="false" outlineLevel="0" collapsed="false">
      <c r="A1825" s="6" t="n">
        <v>1821</v>
      </c>
      <c r="B1825" s="8" t="s">
        <v>2832</v>
      </c>
      <c r="C1825" s="8" t="s">
        <v>1795</v>
      </c>
      <c r="D1825" s="9"/>
      <c r="E1825" s="10"/>
      <c r="F1825" s="11" t="n">
        <v>0.00735289351851852</v>
      </c>
      <c r="G1825" s="12" t="n">
        <v>713</v>
      </c>
      <c r="H1825" s="11" t="n">
        <v>0.00287974537037037</v>
      </c>
      <c r="I1825" s="12" t="n">
        <v>768</v>
      </c>
      <c r="J1825" s="14" t="s">
        <v>2833</v>
      </c>
      <c r="K1825" s="14"/>
      <c r="L1825" s="14"/>
      <c r="M1825" s="13"/>
    </row>
    <row r="1826" customFormat="false" ht="15" hidden="false" customHeight="false" outlineLevel="0" collapsed="false">
      <c r="A1826" s="6" t="n">
        <v>1822</v>
      </c>
      <c r="B1826" s="8" t="s">
        <v>2834</v>
      </c>
      <c r="C1826" s="8" t="s">
        <v>1413</v>
      </c>
      <c r="D1826" s="9"/>
      <c r="E1826" s="10"/>
      <c r="F1826" s="11"/>
      <c r="G1826" s="12"/>
      <c r="H1826" s="11" t="n">
        <v>0.00287164351851852</v>
      </c>
      <c r="I1826" s="12" t="n">
        <v>714</v>
      </c>
      <c r="J1826" s="14"/>
      <c r="K1826" s="14"/>
      <c r="L1826" s="14"/>
      <c r="M1826" s="13"/>
    </row>
    <row r="1827" customFormat="false" ht="15" hidden="false" customHeight="false" outlineLevel="0" collapsed="false">
      <c r="A1827" s="6" t="n">
        <v>1823</v>
      </c>
      <c r="B1827" s="8" t="s">
        <v>2835</v>
      </c>
      <c r="C1827" s="8" t="s">
        <v>2836</v>
      </c>
      <c r="D1827" s="9"/>
      <c r="E1827" s="10"/>
      <c r="F1827" s="11" t="n">
        <v>0.00735601851851852</v>
      </c>
      <c r="G1827" s="12" t="n">
        <v>717</v>
      </c>
      <c r="H1827" s="11"/>
      <c r="I1827" s="12"/>
      <c r="J1827" s="14"/>
      <c r="K1827" s="14"/>
      <c r="L1827" s="14"/>
      <c r="M1827" s="13"/>
    </row>
    <row r="1828" customFormat="false" ht="15" hidden="false" customHeight="false" outlineLevel="0" collapsed="false">
      <c r="A1828" s="6" t="n">
        <v>1824</v>
      </c>
      <c r="B1828" s="8" t="s">
        <v>2837</v>
      </c>
      <c r="C1828" s="8" t="s">
        <v>2426</v>
      </c>
      <c r="D1828" s="9"/>
      <c r="E1828" s="10"/>
      <c r="F1828" s="11" t="n">
        <v>0.00736041666666667</v>
      </c>
      <c r="G1828" s="12" t="n">
        <v>718</v>
      </c>
      <c r="H1828" s="11"/>
      <c r="I1828" s="12"/>
      <c r="J1828" s="14"/>
      <c r="K1828" s="14"/>
      <c r="L1828" s="14"/>
      <c r="M1828" s="13"/>
    </row>
    <row r="1829" customFormat="false" ht="15" hidden="false" customHeight="false" outlineLevel="0" collapsed="false">
      <c r="A1829" s="6" t="n">
        <v>1825</v>
      </c>
      <c r="B1829" s="8" t="s">
        <v>2838</v>
      </c>
      <c r="C1829" s="8" t="s">
        <v>2839</v>
      </c>
      <c r="D1829" s="9"/>
      <c r="E1829" s="10"/>
      <c r="F1829" s="11" t="n">
        <v>0.00736041666666667</v>
      </c>
      <c r="G1829" s="12" t="n">
        <v>719</v>
      </c>
      <c r="H1829" s="11"/>
      <c r="I1829" s="12"/>
      <c r="J1829" s="14"/>
      <c r="K1829" s="14"/>
      <c r="L1829" s="14"/>
      <c r="M1829" s="13"/>
    </row>
    <row r="1830" customFormat="false" ht="15" hidden="false" customHeight="false" outlineLevel="0" collapsed="false">
      <c r="A1830" s="6" t="n">
        <v>1826</v>
      </c>
      <c r="B1830" s="8" t="s">
        <v>2840</v>
      </c>
      <c r="C1830" s="8" t="s">
        <v>408</v>
      </c>
      <c r="D1830" s="9"/>
      <c r="E1830" s="10"/>
      <c r="F1830" s="11" t="n">
        <v>0.00736053240740741</v>
      </c>
      <c r="G1830" s="12" t="n">
        <v>720</v>
      </c>
      <c r="H1830" s="11"/>
      <c r="I1830" s="12"/>
      <c r="J1830" s="14"/>
      <c r="K1830" s="14"/>
      <c r="L1830" s="14"/>
      <c r="M1830" s="13"/>
    </row>
    <row r="1831" customFormat="false" ht="15" hidden="false" customHeight="false" outlineLevel="0" collapsed="false">
      <c r="A1831" s="6" t="n">
        <v>1827</v>
      </c>
      <c r="B1831" s="8" t="s">
        <v>2841</v>
      </c>
      <c r="C1831" s="8" t="s">
        <v>1392</v>
      </c>
      <c r="D1831" s="9"/>
      <c r="E1831" s="10"/>
      <c r="F1831" s="11" t="n">
        <v>0.00736087962962963</v>
      </c>
      <c r="G1831" s="12" t="n">
        <v>721</v>
      </c>
      <c r="H1831" s="11"/>
      <c r="I1831" s="12"/>
      <c r="J1831" s="14" t="s">
        <v>2842</v>
      </c>
      <c r="K1831" s="14"/>
      <c r="L1831" s="14"/>
      <c r="M1831" s="13"/>
    </row>
    <row r="1832" customFormat="false" ht="15" hidden="false" customHeight="false" outlineLevel="0" collapsed="false">
      <c r="A1832" s="6" t="n">
        <v>1828</v>
      </c>
      <c r="B1832" s="8" t="s">
        <v>2843</v>
      </c>
      <c r="C1832" s="8" t="s">
        <v>2844</v>
      </c>
      <c r="D1832" s="9"/>
      <c r="E1832" s="10"/>
      <c r="F1832" s="11" t="n">
        <v>0.00736157407407407</v>
      </c>
      <c r="G1832" s="12" t="n">
        <v>722</v>
      </c>
      <c r="H1832" s="11"/>
      <c r="I1832" s="12"/>
      <c r="J1832" s="14"/>
      <c r="K1832" s="14"/>
      <c r="L1832" s="14"/>
      <c r="M1832" s="13"/>
    </row>
    <row r="1833" customFormat="false" ht="15" hidden="false" customHeight="false" outlineLevel="0" collapsed="false">
      <c r="A1833" s="6" t="n">
        <v>1829</v>
      </c>
      <c r="B1833" s="8" t="s">
        <v>2845</v>
      </c>
      <c r="C1833" s="8" t="s">
        <v>1503</v>
      </c>
      <c r="D1833" s="9"/>
      <c r="E1833" s="10"/>
      <c r="F1833" s="11"/>
      <c r="G1833" s="12"/>
      <c r="H1833" s="11" t="n">
        <v>0.00287303240740741</v>
      </c>
      <c r="I1833" s="12" t="n">
        <v>722</v>
      </c>
      <c r="J1833" s="14" t="s">
        <v>2846</v>
      </c>
      <c r="K1833" s="14"/>
      <c r="L1833" s="14"/>
      <c r="M1833" s="13"/>
    </row>
    <row r="1834" customFormat="false" ht="15" hidden="false" customHeight="false" outlineLevel="0" collapsed="false">
      <c r="A1834" s="6" t="n">
        <v>1830</v>
      </c>
      <c r="B1834" s="8" t="s">
        <v>2847</v>
      </c>
      <c r="C1834" s="8" t="s">
        <v>1579</v>
      </c>
      <c r="D1834" s="9"/>
      <c r="E1834" s="10"/>
      <c r="F1834" s="11" t="n">
        <v>0.00736273148148148</v>
      </c>
      <c r="G1834" s="12" t="n">
        <v>723</v>
      </c>
      <c r="H1834" s="11"/>
      <c r="I1834" s="12"/>
      <c r="J1834" s="14"/>
      <c r="K1834" s="14"/>
      <c r="L1834" s="14"/>
      <c r="M1834" s="13"/>
    </row>
    <row r="1835" customFormat="false" ht="15" hidden="false" customHeight="false" outlineLevel="0" collapsed="false">
      <c r="A1835" s="6" t="n">
        <v>1831</v>
      </c>
      <c r="B1835" s="8" t="s">
        <v>2848</v>
      </c>
      <c r="C1835" s="8" t="s">
        <v>375</v>
      </c>
      <c r="D1835" s="9"/>
      <c r="E1835" s="10"/>
      <c r="F1835" s="11"/>
      <c r="G1835" s="12"/>
      <c r="H1835" s="11" t="n">
        <v>0.00287326388888889</v>
      </c>
      <c r="I1835" s="12" t="n">
        <v>723</v>
      </c>
      <c r="J1835" s="14"/>
      <c r="K1835" s="14"/>
      <c r="L1835" s="14"/>
      <c r="M1835" s="13"/>
    </row>
    <row r="1836" customFormat="false" ht="15" hidden="false" customHeight="false" outlineLevel="0" collapsed="false">
      <c r="A1836" s="6" t="n">
        <v>1832</v>
      </c>
      <c r="B1836" s="8" t="s">
        <v>2849</v>
      </c>
      <c r="C1836" s="8" t="s">
        <v>2850</v>
      </c>
      <c r="D1836" s="9"/>
      <c r="E1836" s="10"/>
      <c r="F1836" s="11" t="n">
        <v>0.00736273148148148</v>
      </c>
      <c r="G1836" s="12" t="n">
        <v>724</v>
      </c>
      <c r="H1836" s="11"/>
      <c r="I1836" s="12"/>
      <c r="J1836" s="14"/>
      <c r="K1836" s="14"/>
      <c r="L1836" s="14"/>
      <c r="M1836" s="13"/>
    </row>
    <row r="1837" customFormat="false" ht="15" hidden="false" customHeight="false" outlineLevel="0" collapsed="false">
      <c r="A1837" s="6" t="n">
        <v>1833</v>
      </c>
      <c r="B1837" s="8" t="s">
        <v>2851</v>
      </c>
      <c r="C1837" s="8" t="s">
        <v>2852</v>
      </c>
      <c r="D1837" s="9"/>
      <c r="E1837" s="10"/>
      <c r="F1837" s="11"/>
      <c r="G1837" s="12"/>
      <c r="H1837" s="11" t="n">
        <v>0.00287372685185185</v>
      </c>
      <c r="I1837" s="12" t="n">
        <v>725</v>
      </c>
      <c r="J1837" s="14"/>
      <c r="K1837" s="14"/>
      <c r="L1837" s="14"/>
      <c r="M1837" s="13"/>
    </row>
    <row r="1838" customFormat="false" ht="15" hidden="false" customHeight="false" outlineLevel="0" collapsed="false">
      <c r="A1838" s="6" t="n">
        <v>1834</v>
      </c>
      <c r="B1838" s="8" t="s">
        <v>2853</v>
      </c>
      <c r="C1838" s="8" t="s">
        <v>1847</v>
      </c>
      <c r="D1838" s="9"/>
      <c r="E1838" s="10"/>
      <c r="F1838" s="11" t="n">
        <v>0.00736400462962963</v>
      </c>
      <c r="G1838" s="12" t="n">
        <v>726</v>
      </c>
      <c r="H1838" s="11"/>
      <c r="I1838" s="12"/>
      <c r="J1838" s="14"/>
      <c r="K1838" s="14"/>
      <c r="L1838" s="14"/>
      <c r="M1838" s="13"/>
    </row>
    <row r="1839" customFormat="false" ht="15" hidden="false" customHeight="false" outlineLevel="0" collapsed="false">
      <c r="A1839" s="6" t="n">
        <v>1835</v>
      </c>
      <c r="B1839" s="8" t="s">
        <v>2854</v>
      </c>
      <c r="C1839" s="8" t="s">
        <v>817</v>
      </c>
      <c r="D1839" s="9"/>
      <c r="E1839" s="10"/>
      <c r="F1839" s="11"/>
      <c r="G1839" s="12"/>
      <c r="H1839" s="11" t="n">
        <v>0.00287384259259259</v>
      </c>
      <c r="I1839" s="12" t="n">
        <v>726</v>
      </c>
      <c r="J1839" s="14"/>
      <c r="K1839" s="14"/>
      <c r="L1839" s="14"/>
      <c r="M1839" s="13"/>
    </row>
    <row r="1840" customFormat="false" ht="15" hidden="false" customHeight="false" outlineLevel="0" collapsed="false">
      <c r="A1840" s="6" t="n">
        <v>1836</v>
      </c>
      <c r="B1840" s="8" t="s">
        <v>2855</v>
      </c>
      <c r="C1840" s="8" t="s">
        <v>1062</v>
      </c>
      <c r="D1840" s="9"/>
      <c r="E1840" s="10"/>
      <c r="F1840" s="11" t="n">
        <v>0.00736446759259259</v>
      </c>
      <c r="G1840" s="12" t="n">
        <v>727</v>
      </c>
      <c r="H1840" s="11" t="n">
        <v>0.00290729166666667</v>
      </c>
      <c r="I1840" s="12" t="n">
        <v>995</v>
      </c>
      <c r="J1840" s="14"/>
      <c r="K1840" s="14"/>
      <c r="L1840" s="14"/>
      <c r="M1840" s="13"/>
    </row>
    <row r="1841" customFormat="false" ht="15" hidden="false" customHeight="false" outlineLevel="0" collapsed="false">
      <c r="A1841" s="6" t="n">
        <v>1837</v>
      </c>
      <c r="B1841" s="8" t="s">
        <v>2856</v>
      </c>
      <c r="C1841" s="8" t="s">
        <v>2857</v>
      </c>
      <c r="D1841" s="9"/>
      <c r="E1841" s="10"/>
      <c r="F1841" s="11" t="n">
        <v>0.00736469907407407</v>
      </c>
      <c r="G1841" s="12" t="n">
        <v>728</v>
      </c>
      <c r="H1841" s="11"/>
      <c r="I1841" s="12"/>
      <c r="J1841" s="14"/>
      <c r="K1841" s="14"/>
      <c r="L1841" s="14"/>
      <c r="M1841" s="13"/>
    </row>
    <row r="1842" customFormat="false" ht="15" hidden="false" customHeight="false" outlineLevel="0" collapsed="false">
      <c r="A1842" s="6" t="n">
        <v>1838</v>
      </c>
      <c r="B1842" s="8" t="s">
        <v>2858</v>
      </c>
      <c r="C1842" s="8" t="s">
        <v>2859</v>
      </c>
      <c r="D1842" s="9"/>
      <c r="E1842" s="10"/>
      <c r="F1842" s="11" t="n">
        <v>0.00736527777777778</v>
      </c>
      <c r="G1842" s="12" t="n">
        <v>729</v>
      </c>
      <c r="H1842" s="11"/>
      <c r="I1842" s="12"/>
      <c r="J1842" s="14"/>
      <c r="K1842" s="14"/>
      <c r="L1842" s="14"/>
      <c r="M1842" s="13"/>
    </row>
    <row r="1843" customFormat="false" ht="15" hidden="false" customHeight="false" outlineLevel="0" collapsed="false">
      <c r="A1843" s="6" t="n">
        <v>1839</v>
      </c>
      <c r="B1843" s="8" t="s">
        <v>2860</v>
      </c>
      <c r="C1843" s="8" t="s">
        <v>1159</v>
      </c>
      <c r="D1843" s="9"/>
      <c r="E1843" s="10"/>
      <c r="F1843" s="11"/>
      <c r="G1843" s="12"/>
      <c r="H1843" s="11" t="n">
        <v>0.00287430555555556</v>
      </c>
      <c r="I1843" s="12" t="n">
        <v>729</v>
      </c>
      <c r="J1843" s="14" t="s">
        <v>2861</v>
      </c>
      <c r="K1843" s="14"/>
      <c r="L1843" s="14"/>
      <c r="M1843" s="13"/>
    </row>
    <row r="1844" customFormat="false" ht="15" hidden="false" customHeight="false" outlineLevel="0" collapsed="false">
      <c r="A1844" s="6" t="n">
        <v>1840</v>
      </c>
      <c r="B1844" s="8" t="s">
        <v>2862</v>
      </c>
      <c r="C1844" s="8" t="s">
        <v>2863</v>
      </c>
      <c r="D1844" s="9"/>
      <c r="E1844" s="10"/>
      <c r="F1844" s="11" t="n">
        <v>0.00793425925925926</v>
      </c>
      <c r="G1844" s="12" t="n">
        <v>1174</v>
      </c>
      <c r="H1844" s="11" t="n">
        <v>0.00287453703703704</v>
      </c>
      <c r="I1844" s="12" t="n">
        <v>730</v>
      </c>
      <c r="J1844" s="14"/>
      <c r="K1844" s="14"/>
      <c r="L1844" s="14"/>
      <c r="M1844" s="13"/>
    </row>
    <row r="1845" customFormat="false" ht="15" hidden="false" customHeight="false" outlineLevel="0" collapsed="false">
      <c r="A1845" s="6" t="n">
        <v>1841</v>
      </c>
      <c r="B1845" s="8" t="s">
        <v>2864</v>
      </c>
      <c r="C1845" s="8" t="s">
        <v>2865</v>
      </c>
      <c r="D1845" s="9"/>
      <c r="E1845" s="10"/>
      <c r="F1845" s="11" t="n">
        <v>0.00736747685185185</v>
      </c>
      <c r="G1845" s="12" t="n">
        <v>730</v>
      </c>
      <c r="H1845" s="11"/>
      <c r="I1845" s="12"/>
      <c r="J1845" s="14"/>
      <c r="K1845" s="14"/>
      <c r="L1845" s="14"/>
      <c r="M1845" s="13"/>
    </row>
    <row r="1846" customFormat="false" ht="15" hidden="false" customHeight="false" outlineLevel="0" collapsed="false">
      <c r="A1846" s="6" t="n">
        <v>1842</v>
      </c>
      <c r="B1846" s="8" t="s">
        <v>2866</v>
      </c>
      <c r="C1846" s="8" t="s">
        <v>2867</v>
      </c>
      <c r="D1846" s="9"/>
      <c r="E1846" s="10"/>
      <c r="F1846" s="11" t="n">
        <v>0.00736921296296296</v>
      </c>
      <c r="G1846" s="12" t="n">
        <v>731</v>
      </c>
      <c r="H1846" s="11"/>
      <c r="I1846" s="12"/>
      <c r="J1846" s="14"/>
      <c r="K1846" s="14"/>
      <c r="L1846" s="14"/>
      <c r="M1846" s="13"/>
    </row>
    <row r="1847" customFormat="false" ht="15" hidden="false" customHeight="false" outlineLevel="0" collapsed="false">
      <c r="A1847" s="6" t="n">
        <v>1843</v>
      </c>
      <c r="B1847" s="8" t="s">
        <v>2868</v>
      </c>
      <c r="C1847" s="8" t="s">
        <v>1942</v>
      </c>
      <c r="D1847" s="9"/>
      <c r="E1847" s="10"/>
      <c r="F1847" s="11"/>
      <c r="G1847" s="12"/>
      <c r="H1847" s="11" t="n">
        <v>0.00287465277777778</v>
      </c>
      <c r="I1847" s="12" t="n">
        <v>731</v>
      </c>
      <c r="J1847" s="14"/>
      <c r="K1847" s="14"/>
      <c r="L1847" s="14"/>
      <c r="M1847" s="13"/>
    </row>
    <row r="1848" customFormat="false" ht="15" hidden="false" customHeight="false" outlineLevel="0" collapsed="false">
      <c r="A1848" s="6" t="n">
        <v>1844</v>
      </c>
      <c r="B1848" s="8" t="s">
        <v>2869</v>
      </c>
      <c r="C1848" s="8" t="s">
        <v>2678</v>
      </c>
      <c r="D1848" s="9"/>
      <c r="E1848" s="10"/>
      <c r="F1848" s="11" t="n">
        <v>0.0073693287037037</v>
      </c>
      <c r="G1848" s="12" t="n">
        <v>732</v>
      </c>
      <c r="H1848" s="11"/>
      <c r="I1848" s="12"/>
      <c r="J1848" s="14"/>
      <c r="K1848" s="14"/>
      <c r="L1848" s="14"/>
      <c r="M1848" s="13"/>
    </row>
    <row r="1849" customFormat="false" ht="15" hidden="false" customHeight="false" outlineLevel="0" collapsed="false">
      <c r="A1849" s="6" t="n">
        <v>1845</v>
      </c>
      <c r="B1849" s="8" t="s">
        <v>2870</v>
      </c>
      <c r="C1849" s="8" t="s">
        <v>975</v>
      </c>
      <c r="D1849" s="9"/>
      <c r="E1849" s="10"/>
      <c r="F1849" s="11" t="n">
        <v>0.00736979166666667</v>
      </c>
      <c r="G1849" s="12" t="n">
        <v>733</v>
      </c>
      <c r="H1849" s="11"/>
      <c r="I1849" s="12"/>
      <c r="J1849" s="14"/>
      <c r="K1849" s="14"/>
      <c r="L1849" s="14"/>
      <c r="M1849" s="13"/>
    </row>
    <row r="1850" customFormat="false" ht="15" hidden="false" customHeight="false" outlineLevel="0" collapsed="false">
      <c r="A1850" s="6" t="n">
        <v>1846</v>
      </c>
      <c r="B1850" s="8" t="s">
        <v>2871</v>
      </c>
      <c r="C1850" s="8" t="s">
        <v>2406</v>
      </c>
      <c r="D1850" s="9"/>
      <c r="E1850" s="10"/>
      <c r="F1850" s="11" t="n">
        <v>0.00737002314814815</v>
      </c>
      <c r="G1850" s="12" t="n">
        <v>734</v>
      </c>
      <c r="H1850" s="11"/>
      <c r="I1850" s="12"/>
      <c r="J1850" s="14"/>
      <c r="K1850" s="14"/>
      <c r="L1850" s="14"/>
      <c r="M1850" s="13"/>
    </row>
    <row r="1851" customFormat="false" ht="15" hidden="false" customHeight="false" outlineLevel="0" collapsed="false">
      <c r="A1851" s="6" t="n">
        <v>1847</v>
      </c>
      <c r="B1851" s="8" t="s">
        <v>2872</v>
      </c>
      <c r="C1851" s="8" t="s">
        <v>2863</v>
      </c>
      <c r="D1851" s="9"/>
      <c r="E1851" s="10"/>
      <c r="F1851" s="11" t="n">
        <v>0.00737037037037037</v>
      </c>
      <c r="G1851" s="12" t="n">
        <v>735</v>
      </c>
      <c r="H1851" s="11"/>
      <c r="I1851" s="12"/>
      <c r="J1851" s="14"/>
      <c r="K1851" s="14"/>
      <c r="L1851" s="14"/>
      <c r="M1851" s="13"/>
    </row>
    <row r="1852" customFormat="false" ht="15" hidden="false" customHeight="false" outlineLevel="0" collapsed="false">
      <c r="A1852" s="6" t="n">
        <v>1848</v>
      </c>
      <c r="B1852" s="8" t="s">
        <v>2873</v>
      </c>
      <c r="C1852" s="8" t="s">
        <v>1205</v>
      </c>
      <c r="D1852" s="9"/>
      <c r="E1852" s="10"/>
      <c r="F1852" s="11"/>
      <c r="G1852" s="12"/>
      <c r="H1852" s="11" t="n">
        <v>0.002875</v>
      </c>
      <c r="I1852" s="12" t="n">
        <v>735</v>
      </c>
      <c r="J1852" s="14"/>
      <c r="K1852" s="14"/>
      <c r="L1852" s="14"/>
      <c r="M1852" s="13"/>
    </row>
    <row r="1853" customFormat="false" ht="15" hidden="false" customHeight="false" outlineLevel="0" collapsed="false">
      <c r="A1853" s="6" t="n">
        <v>1849</v>
      </c>
      <c r="B1853" s="8" t="s">
        <v>2874</v>
      </c>
      <c r="C1853" s="8" t="s">
        <v>2875</v>
      </c>
      <c r="D1853" s="9"/>
      <c r="E1853" s="10"/>
      <c r="F1853" s="11" t="n">
        <v>0.00737210648148148</v>
      </c>
      <c r="G1853" s="12" t="n">
        <v>736</v>
      </c>
      <c r="H1853" s="11"/>
      <c r="I1853" s="12"/>
      <c r="J1853" s="14"/>
      <c r="K1853" s="14"/>
      <c r="L1853" s="14"/>
      <c r="M1853" s="13"/>
    </row>
    <row r="1854" customFormat="false" ht="15" hidden="false" customHeight="false" outlineLevel="0" collapsed="false">
      <c r="A1854" s="6" t="n">
        <v>1850</v>
      </c>
      <c r="B1854" s="8" t="s">
        <v>2876</v>
      </c>
      <c r="C1854" s="8" t="s">
        <v>1732</v>
      </c>
      <c r="D1854" s="9"/>
      <c r="E1854" s="10"/>
      <c r="F1854" s="11"/>
      <c r="G1854" s="12"/>
      <c r="H1854" s="11" t="n">
        <v>0.00287523148148148</v>
      </c>
      <c r="I1854" s="12" t="n">
        <v>736</v>
      </c>
      <c r="J1854" s="14"/>
      <c r="K1854" s="14"/>
      <c r="L1854" s="14"/>
      <c r="M1854" s="13"/>
    </row>
    <row r="1855" customFormat="false" ht="15" hidden="false" customHeight="false" outlineLevel="0" collapsed="false">
      <c r="A1855" s="6" t="n">
        <v>1851</v>
      </c>
      <c r="B1855" s="8" t="s">
        <v>2877</v>
      </c>
      <c r="C1855" s="8" t="s">
        <v>2878</v>
      </c>
      <c r="D1855" s="9"/>
      <c r="E1855" s="10"/>
      <c r="F1855" s="11"/>
      <c r="G1855" s="12"/>
      <c r="H1855" s="11" t="n">
        <v>0.00287546296296296</v>
      </c>
      <c r="I1855" s="12" t="n">
        <v>737</v>
      </c>
      <c r="J1855" s="14"/>
      <c r="K1855" s="14"/>
      <c r="L1855" s="14"/>
      <c r="M1855" s="13"/>
    </row>
    <row r="1856" customFormat="false" ht="15" hidden="false" customHeight="false" outlineLevel="0" collapsed="false">
      <c r="A1856" s="6" t="n">
        <v>1852</v>
      </c>
      <c r="B1856" s="8" t="s">
        <v>2879</v>
      </c>
      <c r="C1856" s="8" t="s">
        <v>582</v>
      </c>
      <c r="D1856" s="9"/>
      <c r="E1856" s="10"/>
      <c r="F1856" s="11" t="n">
        <v>0.00737280092592593</v>
      </c>
      <c r="G1856" s="12" t="n">
        <v>738</v>
      </c>
      <c r="H1856" s="11"/>
      <c r="I1856" s="12"/>
      <c r="J1856" s="14"/>
      <c r="K1856" s="14"/>
      <c r="L1856" s="14"/>
      <c r="M1856" s="13"/>
    </row>
    <row r="1857" customFormat="false" ht="15" hidden="false" customHeight="false" outlineLevel="0" collapsed="false">
      <c r="A1857" s="6" t="n">
        <v>1853</v>
      </c>
      <c r="B1857" s="8" t="s">
        <v>2880</v>
      </c>
      <c r="C1857" s="8" t="s">
        <v>1654</v>
      </c>
      <c r="D1857" s="9"/>
      <c r="E1857" s="10"/>
      <c r="F1857" s="11" t="n">
        <v>0.00737337962962963</v>
      </c>
      <c r="G1857" s="12" t="n">
        <v>739</v>
      </c>
      <c r="H1857" s="11"/>
      <c r="I1857" s="12"/>
      <c r="J1857" s="14"/>
      <c r="K1857" s="14"/>
      <c r="L1857" s="14"/>
      <c r="M1857" s="13"/>
    </row>
    <row r="1858" customFormat="false" ht="15" hidden="false" customHeight="false" outlineLevel="0" collapsed="false">
      <c r="A1858" s="6" t="n">
        <v>1854</v>
      </c>
      <c r="B1858" s="8" t="s">
        <v>2881</v>
      </c>
      <c r="C1858" s="8" t="s">
        <v>2882</v>
      </c>
      <c r="D1858" s="9"/>
      <c r="E1858" s="10"/>
      <c r="F1858" s="11"/>
      <c r="G1858" s="12"/>
      <c r="H1858" s="11" t="n">
        <v>0.00287581018518519</v>
      </c>
      <c r="I1858" s="12" t="n">
        <v>739</v>
      </c>
      <c r="J1858" s="14"/>
      <c r="K1858" s="14"/>
      <c r="L1858" s="14"/>
      <c r="M1858" s="13"/>
    </row>
    <row r="1859" customFormat="false" ht="15" hidden="false" customHeight="false" outlineLevel="0" collapsed="false">
      <c r="A1859" s="6" t="n">
        <v>1855</v>
      </c>
      <c r="B1859" s="8" t="s">
        <v>2883</v>
      </c>
      <c r="C1859" s="8" t="s">
        <v>2884</v>
      </c>
      <c r="D1859" s="9"/>
      <c r="E1859" s="10"/>
      <c r="F1859" s="11" t="n">
        <v>0.00737361111111111</v>
      </c>
      <c r="G1859" s="12" t="n">
        <v>740</v>
      </c>
      <c r="H1859" s="11"/>
      <c r="I1859" s="12"/>
      <c r="J1859" s="14"/>
      <c r="K1859" s="14"/>
      <c r="L1859" s="14"/>
      <c r="M1859" s="13"/>
    </row>
    <row r="1860" customFormat="false" ht="15" hidden="false" customHeight="false" outlineLevel="0" collapsed="false">
      <c r="A1860" s="6" t="n">
        <v>1856</v>
      </c>
      <c r="B1860" s="8" t="s">
        <v>2885</v>
      </c>
      <c r="C1860" s="8" t="s">
        <v>2886</v>
      </c>
      <c r="D1860" s="9"/>
      <c r="E1860" s="10"/>
      <c r="F1860" s="11"/>
      <c r="G1860" s="12"/>
      <c r="H1860" s="11" t="n">
        <v>0.00287592592592593</v>
      </c>
      <c r="I1860" s="12" t="n">
        <v>740</v>
      </c>
      <c r="J1860" s="14" t="s">
        <v>1013</v>
      </c>
      <c r="K1860" s="14"/>
      <c r="L1860" s="14"/>
      <c r="M1860" s="13"/>
    </row>
    <row r="1861" customFormat="false" ht="15" hidden="false" customHeight="false" outlineLevel="0" collapsed="false">
      <c r="A1861" s="6" t="n">
        <v>1857</v>
      </c>
      <c r="B1861" s="8" t="s">
        <v>2887</v>
      </c>
      <c r="C1861" s="8" t="s">
        <v>1056</v>
      </c>
      <c r="D1861" s="9"/>
      <c r="E1861" s="10"/>
      <c r="F1861" s="11" t="n">
        <v>0.00737418981481482</v>
      </c>
      <c r="G1861" s="12" t="n">
        <v>741</v>
      </c>
      <c r="H1861" s="11"/>
      <c r="I1861" s="12"/>
      <c r="J1861" s="14"/>
      <c r="K1861" s="14"/>
      <c r="L1861" s="14"/>
      <c r="M1861" s="13"/>
    </row>
    <row r="1862" customFormat="false" ht="15" hidden="false" customHeight="false" outlineLevel="0" collapsed="false">
      <c r="A1862" s="6" t="n">
        <v>1858</v>
      </c>
      <c r="B1862" s="8" t="s">
        <v>2888</v>
      </c>
      <c r="C1862" s="8" t="s">
        <v>2889</v>
      </c>
      <c r="D1862" s="9"/>
      <c r="E1862" s="10"/>
      <c r="F1862" s="11" t="n">
        <v>0.00737453703703704</v>
      </c>
      <c r="G1862" s="12" t="n">
        <v>742</v>
      </c>
      <c r="H1862" s="11"/>
      <c r="I1862" s="12"/>
      <c r="J1862" s="14"/>
      <c r="K1862" s="14"/>
      <c r="L1862" s="14"/>
      <c r="M1862" s="13"/>
    </row>
    <row r="1863" customFormat="false" ht="15" hidden="false" customHeight="false" outlineLevel="0" collapsed="false">
      <c r="A1863" s="6" t="n">
        <v>1859</v>
      </c>
      <c r="B1863" s="8" t="s">
        <v>2890</v>
      </c>
      <c r="C1863" s="8" t="s">
        <v>2891</v>
      </c>
      <c r="D1863" s="9"/>
      <c r="E1863" s="10"/>
      <c r="F1863" s="11"/>
      <c r="G1863" s="12"/>
      <c r="H1863" s="11" t="n">
        <v>0.00287638888888889</v>
      </c>
      <c r="I1863" s="12" t="n">
        <v>742</v>
      </c>
      <c r="J1863" s="14"/>
      <c r="K1863" s="14"/>
      <c r="L1863" s="14"/>
      <c r="M1863" s="13"/>
    </row>
    <row r="1864" customFormat="false" ht="15" hidden="false" customHeight="false" outlineLevel="0" collapsed="false">
      <c r="A1864" s="6" t="n">
        <v>1860</v>
      </c>
      <c r="B1864" s="8" t="s">
        <v>2892</v>
      </c>
      <c r="C1864" s="8" t="s">
        <v>2893</v>
      </c>
      <c r="D1864" s="9"/>
      <c r="E1864" s="10"/>
      <c r="F1864" s="11" t="n">
        <v>0.00737662037037037</v>
      </c>
      <c r="G1864" s="12" t="n">
        <v>744</v>
      </c>
      <c r="H1864" s="11"/>
      <c r="I1864" s="12"/>
      <c r="J1864" s="14"/>
      <c r="K1864" s="14"/>
      <c r="L1864" s="14"/>
      <c r="M1864" s="13"/>
    </row>
    <row r="1865" customFormat="false" ht="15" hidden="false" customHeight="false" outlineLevel="0" collapsed="false">
      <c r="A1865" s="6" t="n">
        <v>1861</v>
      </c>
      <c r="B1865" s="8" t="s">
        <v>2894</v>
      </c>
      <c r="C1865" s="8" t="s">
        <v>2895</v>
      </c>
      <c r="D1865" s="9"/>
      <c r="E1865" s="10"/>
      <c r="F1865" s="11"/>
      <c r="G1865" s="12"/>
      <c r="H1865" s="11" t="n">
        <v>0.00287673611111111</v>
      </c>
      <c r="I1865" s="12" t="n">
        <v>744</v>
      </c>
      <c r="J1865" s="14"/>
      <c r="K1865" s="14"/>
      <c r="L1865" s="14"/>
      <c r="M1865" s="13"/>
    </row>
    <row r="1866" customFormat="false" ht="15" hidden="false" customHeight="false" outlineLevel="0" collapsed="false">
      <c r="A1866" s="6" t="n">
        <v>1862</v>
      </c>
      <c r="B1866" s="8" t="s">
        <v>2896</v>
      </c>
      <c r="C1866" s="8" t="s">
        <v>316</v>
      </c>
      <c r="D1866" s="9"/>
      <c r="E1866" s="10"/>
      <c r="F1866" s="11" t="n">
        <v>0.00737662037037037</v>
      </c>
      <c r="G1866" s="12" t="n">
        <v>745</v>
      </c>
      <c r="H1866" s="11"/>
      <c r="I1866" s="12"/>
      <c r="J1866" s="14"/>
      <c r="K1866" s="14"/>
      <c r="L1866" s="14"/>
      <c r="M1866" s="13"/>
    </row>
    <row r="1867" customFormat="false" ht="15" hidden="false" customHeight="false" outlineLevel="0" collapsed="false">
      <c r="A1867" s="6" t="n">
        <v>1863</v>
      </c>
      <c r="B1867" s="8" t="s">
        <v>2897</v>
      </c>
      <c r="C1867" s="8" t="s">
        <v>2898</v>
      </c>
      <c r="D1867" s="9"/>
      <c r="E1867" s="10"/>
      <c r="F1867" s="11" t="n">
        <v>0.00737673611111111</v>
      </c>
      <c r="G1867" s="12" t="n">
        <v>746</v>
      </c>
      <c r="H1867" s="11"/>
      <c r="I1867" s="12"/>
      <c r="J1867" s="14"/>
      <c r="K1867" s="14"/>
      <c r="L1867" s="14"/>
      <c r="M1867" s="13"/>
    </row>
    <row r="1868" customFormat="false" ht="15" hidden="false" customHeight="false" outlineLevel="0" collapsed="false">
      <c r="A1868" s="6" t="n">
        <v>1864</v>
      </c>
      <c r="B1868" s="8" t="s">
        <v>2899</v>
      </c>
      <c r="C1868" s="8" t="s">
        <v>481</v>
      </c>
      <c r="D1868" s="9"/>
      <c r="E1868" s="10"/>
      <c r="F1868" s="11" t="n">
        <v>0.00737824074074074</v>
      </c>
      <c r="G1868" s="12" t="n">
        <v>747</v>
      </c>
      <c r="H1868" s="11"/>
      <c r="I1868" s="12"/>
      <c r="J1868" s="14"/>
      <c r="K1868" s="14"/>
      <c r="L1868" s="14"/>
      <c r="M1868" s="13"/>
    </row>
    <row r="1869" customFormat="false" ht="15" hidden="false" customHeight="false" outlineLevel="0" collapsed="false">
      <c r="A1869" s="6" t="n">
        <v>1865</v>
      </c>
      <c r="B1869" s="8" t="s">
        <v>2900</v>
      </c>
      <c r="C1869" s="8" t="s">
        <v>2901</v>
      </c>
      <c r="D1869" s="9"/>
      <c r="E1869" s="10"/>
      <c r="F1869" s="11" t="n">
        <v>0.00737824074074074</v>
      </c>
      <c r="G1869" s="12" t="n">
        <v>748</v>
      </c>
      <c r="H1869" s="11"/>
      <c r="I1869" s="12"/>
      <c r="J1869" s="14"/>
      <c r="K1869" s="14"/>
      <c r="L1869" s="14"/>
      <c r="M1869" s="13"/>
    </row>
    <row r="1870" customFormat="false" ht="15" hidden="false" customHeight="false" outlineLevel="0" collapsed="false">
      <c r="A1870" s="6" t="n">
        <v>1866</v>
      </c>
      <c r="B1870" s="8" t="s">
        <v>2902</v>
      </c>
      <c r="C1870" s="8" t="s">
        <v>2903</v>
      </c>
      <c r="D1870" s="9"/>
      <c r="E1870" s="10"/>
      <c r="F1870" s="11"/>
      <c r="G1870" s="12"/>
      <c r="H1870" s="11" t="n">
        <v>0.00287708333333333</v>
      </c>
      <c r="I1870" s="12" t="n">
        <v>748</v>
      </c>
      <c r="J1870" s="14"/>
      <c r="K1870" s="14"/>
      <c r="L1870" s="14"/>
      <c r="M1870" s="13"/>
    </row>
    <row r="1871" customFormat="false" ht="15" hidden="false" customHeight="false" outlineLevel="0" collapsed="false">
      <c r="A1871" s="6" t="n">
        <v>1867</v>
      </c>
      <c r="B1871" s="8" t="s">
        <v>2904</v>
      </c>
      <c r="C1871" s="8" t="s">
        <v>382</v>
      </c>
      <c r="D1871" s="9"/>
      <c r="E1871" s="10"/>
      <c r="F1871" s="11" t="n">
        <v>0.00737881944444444</v>
      </c>
      <c r="G1871" s="12" t="n">
        <v>749</v>
      </c>
      <c r="H1871" s="11"/>
      <c r="I1871" s="12"/>
      <c r="J1871" s="14"/>
      <c r="K1871" s="14"/>
      <c r="L1871" s="14"/>
      <c r="M1871" s="13"/>
    </row>
    <row r="1872" customFormat="false" ht="15" hidden="false" customHeight="false" outlineLevel="0" collapsed="false">
      <c r="A1872" s="6" t="n">
        <v>1868</v>
      </c>
      <c r="B1872" s="8" t="s">
        <v>2905</v>
      </c>
      <c r="C1872" s="8" t="s">
        <v>2906</v>
      </c>
      <c r="D1872" s="9"/>
      <c r="E1872" s="10"/>
      <c r="F1872" s="11" t="n">
        <v>0.00737939814814815</v>
      </c>
      <c r="G1872" s="12" t="n">
        <v>750</v>
      </c>
      <c r="H1872" s="11"/>
      <c r="I1872" s="12"/>
      <c r="J1872" s="14"/>
      <c r="K1872" s="14"/>
      <c r="L1872" s="14"/>
      <c r="M1872" s="13"/>
    </row>
    <row r="1873" customFormat="false" ht="15" hidden="false" customHeight="false" outlineLevel="0" collapsed="false">
      <c r="A1873" s="6" t="n">
        <v>1869</v>
      </c>
      <c r="B1873" s="8" t="s">
        <v>2907</v>
      </c>
      <c r="C1873" s="8" t="s">
        <v>2908</v>
      </c>
      <c r="D1873" s="9"/>
      <c r="E1873" s="10"/>
      <c r="F1873" s="11"/>
      <c r="G1873" s="12"/>
      <c r="H1873" s="11" t="n">
        <v>0.00287777777777778</v>
      </c>
      <c r="I1873" s="12" t="n">
        <v>750</v>
      </c>
      <c r="J1873" s="14"/>
      <c r="K1873" s="14"/>
      <c r="L1873" s="14"/>
      <c r="M1873" s="13"/>
    </row>
    <row r="1874" customFormat="false" ht="15" hidden="false" customHeight="false" outlineLevel="0" collapsed="false">
      <c r="A1874" s="6" t="n">
        <v>1870</v>
      </c>
      <c r="B1874" s="8" t="s">
        <v>2909</v>
      </c>
      <c r="C1874" s="8" t="s">
        <v>2910</v>
      </c>
      <c r="D1874" s="9"/>
      <c r="E1874" s="10"/>
      <c r="F1874" s="11" t="n">
        <v>0.00737986111111111</v>
      </c>
      <c r="G1874" s="12" t="n">
        <v>751</v>
      </c>
      <c r="H1874" s="11"/>
      <c r="I1874" s="12"/>
      <c r="J1874" s="14"/>
      <c r="K1874" s="14"/>
      <c r="L1874" s="14"/>
      <c r="M1874" s="13"/>
    </row>
    <row r="1875" customFormat="false" ht="15" hidden="false" customHeight="false" outlineLevel="0" collapsed="false">
      <c r="A1875" s="6" t="n">
        <v>1871</v>
      </c>
      <c r="B1875" s="8" t="s">
        <v>2911</v>
      </c>
      <c r="C1875" s="8" t="s">
        <v>1767</v>
      </c>
      <c r="D1875" s="9"/>
      <c r="E1875" s="10"/>
      <c r="F1875" s="11" t="n">
        <v>0.00738032407407407</v>
      </c>
      <c r="G1875" s="12" t="n">
        <v>752</v>
      </c>
      <c r="H1875" s="11" t="n">
        <v>0.00289409722222222</v>
      </c>
      <c r="I1875" s="12" t="n">
        <v>905</v>
      </c>
      <c r="J1875" s="14"/>
      <c r="K1875" s="14"/>
      <c r="L1875" s="14"/>
      <c r="M1875" s="13"/>
    </row>
    <row r="1876" customFormat="false" ht="15" hidden="false" customHeight="false" outlineLevel="0" collapsed="false">
      <c r="A1876" s="6" t="n">
        <v>1872</v>
      </c>
      <c r="B1876" s="8" t="s">
        <v>2912</v>
      </c>
      <c r="C1876" s="8" t="s">
        <v>2913</v>
      </c>
      <c r="D1876" s="9"/>
      <c r="E1876" s="10"/>
      <c r="F1876" s="11"/>
      <c r="G1876" s="12"/>
      <c r="H1876" s="11" t="n">
        <v>0.00287789351851852</v>
      </c>
      <c r="I1876" s="12" t="n">
        <v>752</v>
      </c>
      <c r="J1876" s="14"/>
      <c r="K1876" s="14"/>
      <c r="L1876" s="14"/>
      <c r="M1876" s="13"/>
    </row>
    <row r="1877" customFormat="false" ht="15" hidden="false" customHeight="false" outlineLevel="0" collapsed="false">
      <c r="A1877" s="6" t="n">
        <v>1873</v>
      </c>
      <c r="B1877" s="8" t="s">
        <v>2914</v>
      </c>
      <c r="C1877" s="8" t="s">
        <v>2915</v>
      </c>
      <c r="D1877" s="9"/>
      <c r="E1877" s="10"/>
      <c r="F1877" s="11" t="n">
        <v>0.00738055555555556</v>
      </c>
      <c r="G1877" s="12" t="n">
        <v>753</v>
      </c>
      <c r="H1877" s="11"/>
      <c r="I1877" s="12"/>
      <c r="J1877" s="14"/>
      <c r="K1877" s="14"/>
      <c r="L1877" s="14"/>
      <c r="M1877" s="13"/>
    </row>
    <row r="1878" customFormat="false" ht="15" hidden="false" customHeight="false" outlineLevel="0" collapsed="false">
      <c r="A1878" s="6" t="n">
        <v>1874</v>
      </c>
      <c r="B1878" s="8" t="s">
        <v>2916</v>
      </c>
      <c r="C1878" s="8" t="s">
        <v>2917</v>
      </c>
      <c r="D1878" s="9"/>
      <c r="E1878" s="10"/>
      <c r="F1878" s="11" t="n">
        <v>0.00738090277777778</v>
      </c>
      <c r="G1878" s="12" t="n">
        <v>754</v>
      </c>
      <c r="H1878" s="11"/>
      <c r="I1878" s="12"/>
      <c r="J1878" s="14"/>
      <c r="K1878" s="14"/>
      <c r="L1878" s="14"/>
      <c r="M1878" s="13"/>
    </row>
    <row r="1879" customFormat="false" ht="15" hidden="false" customHeight="false" outlineLevel="0" collapsed="false">
      <c r="A1879" s="6" t="n">
        <v>1875</v>
      </c>
      <c r="B1879" s="8" t="s">
        <v>2918</v>
      </c>
      <c r="C1879" s="8" t="s">
        <v>2919</v>
      </c>
      <c r="D1879" s="9"/>
      <c r="E1879" s="10"/>
      <c r="F1879" s="11"/>
      <c r="G1879" s="12"/>
      <c r="H1879" s="11" t="n">
        <v>0.002878125</v>
      </c>
      <c r="I1879" s="12" t="n">
        <v>754</v>
      </c>
      <c r="J1879" s="14"/>
      <c r="K1879" s="14"/>
      <c r="L1879" s="14"/>
      <c r="M1879" s="13"/>
    </row>
    <row r="1880" customFormat="false" ht="15" hidden="false" customHeight="false" outlineLevel="0" collapsed="false">
      <c r="A1880" s="6" t="n">
        <v>1876</v>
      </c>
      <c r="B1880" s="8" t="s">
        <v>2920</v>
      </c>
      <c r="C1880" s="8" t="s">
        <v>568</v>
      </c>
      <c r="D1880" s="9"/>
      <c r="E1880" s="10"/>
      <c r="F1880" s="11" t="n">
        <v>0.00738402777777778</v>
      </c>
      <c r="G1880" s="12" t="n">
        <v>755</v>
      </c>
      <c r="H1880" s="11"/>
      <c r="I1880" s="12"/>
      <c r="J1880" s="14"/>
      <c r="K1880" s="14"/>
      <c r="L1880" s="14"/>
      <c r="M1880" s="13"/>
    </row>
    <row r="1881" customFormat="false" ht="15" hidden="false" customHeight="false" outlineLevel="0" collapsed="false">
      <c r="A1881" s="6" t="n">
        <v>1877</v>
      </c>
      <c r="B1881" s="8" t="s">
        <v>2921</v>
      </c>
      <c r="C1881" s="8" t="s">
        <v>2922</v>
      </c>
      <c r="D1881" s="9"/>
      <c r="E1881" s="10"/>
      <c r="F1881" s="11" t="n">
        <v>0.00738414351851852</v>
      </c>
      <c r="G1881" s="12" t="n">
        <v>756</v>
      </c>
      <c r="H1881" s="11"/>
      <c r="I1881" s="12"/>
      <c r="J1881" s="14"/>
      <c r="K1881" s="14"/>
      <c r="L1881" s="14"/>
      <c r="M1881" s="13"/>
    </row>
    <row r="1882" customFormat="false" ht="15" hidden="false" customHeight="false" outlineLevel="0" collapsed="false">
      <c r="A1882" s="6" t="n">
        <v>1878</v>
      </c>
      <c r="B1882" s="8" t="s">
        <v>2923</v>
      </c>
      <c r="C1882" s="8" t="s">
        <v>2924</v>
      </c>
      <c r="D1882" s="9"/>
      <c r="E1882" s="10"/>
      <c r="F1882" s="11" t="n">
        <v>0.00739236111111111</v>
      </c>
      <c r="G1882" s="12" t="n">
        <v>757</v>
      </c>
      <c r="H1882" s="11"/>
      <c r="I1882" s="12"/>
      <c r="J1882" s="14"/>
      <c r="K1882" s="14"/>
      <c r="L1882" s="8" t="s">
        <v>2925</v>
      </c>
      <c r="M1882" s="13"/>
    </row>
    <row r="1883" customFormat="false" ht="15" hidden="false" customHeight="false" outlineLevel="0" collapsed="false">
      <c r="A1883" s="6" t="n">
        <v>1879</v>
      </c>
      <c r="B1883" s="8" t="s">
        <v>2926</v>
      </c>
      <c r="C1883" s="8" t="s">
        <v>2459</v>
      </c>
      <c r="D1883" s="9"/>
      <c r="E1883" s="10"/>
      <c r="F1883" s="11" t="n">
        <v>0.00738599537037037</v>
      </c>
      <c r="G1883" s="12" t="n">
        <v>758</v>
      </c>
      <c r="H1883" s="11"/>
      <c r="I1883" s="12"/>
      <c r="J1883" s="14"/>
      <c r="K1883" s="14"/>
      <c r="L1883" s="14"/>
      <c r="M1883" s="13"/>
    </row>
    <row r="1884" customFormat="false" ht="15" hidden="false" customHeight="false" outlineLevel="0" collapsed="false">
      <c r="A1884" s="6" t="n">
        <v>1880</v>
      </c>
      <c r="B1884" s="8" t="s">
        <v>2927</v>
      </c>
      <c r="C1884" s="8" t="s">
        <v>2928</v>
      </c>
      <c r="D1884" s="9"/>
      <c r="E1884" s="10"/>
      <c r="F1884" s="11"/>
      <c r="G1884" s="12"/>
      <c r="H1884" s="11" t="n">
        <v>0.00287847222222222</v>
      </c>
      <c r="I1884" s="12" t="n">
        <v>758</v>
      </c>
      <c r="J1884" s="14"/>
      <c r="K1884" s="14"/>
      <c r="L1884" s="14"/>
      <c r="M1884" s="13"/>
    </row>
    <row r="1885" customFormat="false" ht="15" hidden="false" customHeight="false" outlineLevel="0" collapsed="false">
      <c r="A1885" s="6" t="n">
        <v>1881</v>
      </c>
      <c r="B1885" s="8" t="s">
        <v>2929</v>
      </c>
      <c r="C1885" s="8" t="s">
        <v>2930</v>
      </c>
      <c r="D1885" s="9"/>
      <c r="E1885" s="10"/>
      <c r="F1885" s="11" t="n">
        <v>0.00738912037037037</v>
      </c>
      <c r="G1885" s="12" t="n">
        <v>759</v>
      </c>
      <c r="H1885" s="11"/>
      <c r="I1885" s="12"/>
      <c r="J1885" s="14"/>
      <c r="K1885" s="14"/>
      <c r="L1885" s="14"/>
      <c r="M1885" s="13"/>
    </row>
    <row r="1886" customFormat="false" ht="15" hidden="false" customHeight="false" outlineLevel="0" collapsed="false">
      <c r="A1886" s="6" t="n">
        <v>1882</v>
      </c>
      <c r="B1886" s="8" t="s">
        <v>2931</v>
      </c>
      <c r="C1886" s="8" t="s">
        <v>2932</v>
      </c>
      <c r="D1886" s="9"/>
      <c r="E1886" s="10"/>
      <c r="F1886" s="11"/>
      <c r="G1886" s="12"/>
      <c r="H1886" s="11" t="n">
        <v>0.0028787037037037</v>
      </c>
      <c r="I1886" s="12" t="n">
        <v>760</v>
      </c>
      <c r="J1886" s="14"/>
      <c r="K1886" s="14"/>
      <c r="L1886" s="14"/>
      <c r="M1886" s="13"/>
    </row>
    <row r="1887" customFormat="false" ht="15" hidden="false" customHeight="false" outlineLevel="0" collapsed="false">
      <c r="A1887" s="6" t="n">
        <v>1883</v>
      </c>
      <c r="B1887" s="8" t="s">
        <v>2933</v>
      </c>
      <c r="C1887" s="8" t="s">
        <v>2146</v>
      </c>
      <c r="D1887" s="9"/>
      <c r="E1887" s="10"/>
      <c r="F1887" s="11" t="n">
        <v>0.00738958333333333</v>
      </c>
      <c r="G1887" s="12" t="n">
        <v>761</v>
      </c>
      <c r="H1887" s="11"/>
      <c r="I1887" s="12"/>
      <c r="J1887" s="14"/>
      <c r="K1887" s="14"/>
      <c r="L1887" s="14"/>
      <c r="M1887" s="13"/>
    </row>
    <row r="1888" customFormat="false" ht="15" hidden="false" customHeight="false" outlineLevel="0" collapsed="false">
      <c r="A1888" s="6" t="n">
        <v>1884</v>
      </c>
      <c r="B1888" s="8" t="s">
        <v>2934</v>
      </c>
      <c r="C1888" s="8" t="s">
        <v>479</v>
      </c>
      <c r="D1888" s="9"/>
      <c r="E1888" s="10"/>
      <c r="F1888" s="11" t="n">
        <v>0.00738969907407408</v>
      </c>
      <c r="G1888" s="12" t="n">
        <v>762</v>
      </c>
      <c r="H1888" s="11" t="n">
        <v>0.00297581018518519</v>
      </c>
      <c r="I1888" s="12" t="n">
        <v>1333</v>
      </c>
      <c r="J1888" s="14"/>
      <c r="K1888" s="14"/>
      <c r="L1888" s="14"/>
      <c r="M1888" s="13"/>
    </row>
    <row r="1889" customFormat="false" ht="15" hidden="false" customHeight="false" outlineLevel="0" collapsed="false">
      <c r="A1889" s="6" t="n">
        <v>1885</v>
      </c>
      <c r="B1889" s="8" t="s">
        <v>2935</v>
      </c>
      <c r="C1889" s="8" t="s">
        <v>262</v>
      </c>
      <c r="D1889" s="9"/>
      <c r="E1889" s="10"/>
      <c r="F1889" s="11"/>
      <c r="G1889" s="12"/>
      <c r="H1889" s="11" t="n">
        <v>0.00287905092592593</v>
      </c>
      <c r="I1889" s="12" t="n">
        <v>762</v>
      </c>
      <c r="J1889" s="14"/>
      <c r="K1889" s="14"/>
      <c r="L1889" s="14"/>
      <c r="M1889" s="13"/>
    </row>
    <row r="1890" customFormat="false" ht="15" hidden="false" customHeight="false" outlineLevel="0" collapsed="false">
      <c r="A1890" s="6" t="n">
        <v>1886</v>
      </c>
      <c r="B1890" s="8" t="s">
        <v>2936</v>
      </c>
      <c r="C1890" s="8" t="s">
        <v>2937</v>
      </c>
      <c r="D1890" s="9"/>
      <c r="E1890" s="10"/>
      <c r="F1890" s="11" t="n">
        <v>0.00739143518518519</v>
      </c>
      <c r="G1890" s="12" t="n">
        <v>763</v>
      </c>
      <c r="H1890" s="11"/>
      <c r="I1890" s="12"/>
      <c r="J1890" s="14"/>
      <c r="K1890" s="14"/>
      <c r="L1890" s="14"/>
      <c r="M1890" s="13"/>
    </row>
    <row r="1891" customFormat="false" ht="15" hidden="false" customHeight="false" outlineLevel="0" collapsed="false">
      <c r="A1891" s="6" t="n">
        <v>1887</v>
      </c>
      <c r="B1891" s="8" t="s">
        <v>2938</v>
      </c>
      <c r="C1891" s="8" t="s">
        <v>973</v>
      </c>
      <c r="D1891" s="9"/>
      <c r="E1891" s="10"/>
      <c r="F1891" s="11"/>
      <c r="G1891" s="12"/>
      <c r="H1891" s="11" t="n">
        <v>0.00287916666666667</v>
      </c>
      <c r="I1891" s="12" t="n">
        <v>763</v>
      </c>
      <c r="J1891" s="14"/>
      <c r="K1891" s="14"/>
      <c r="L1891" s="14"/>
      <c r="M1891" s="13"/>
    </row>
    <row r="1892" customFormat="false" ht="15" hidden="false" customHeight="false" outlineLevel="0" collapsed="false">
      <c r="A1892" s="6" t="n">
        <v>1888</v>
      </c>
      <c r="B1892" s="8" t="s">
        <v>2939</v>
      </c>
      <c r="C1892" s="8" t="s">
        <v>772</v>
      </c>
      <c r="D1892" s="9"/>
      <c r="E1892" s="10"/>
      <c r="F1892" s="11" t="n">
        <v>0.00739247685185185</v>
      </c>
      <c r="G1892" s="12" t="n">
        <v>764</v>
      </c>
      <c r="H1892" s="11"/>
      <c r="I1892" s="12"/>
      <c r="J1892" s="14"/>
      <c r="K1892" s="14"/>
      <c r="L1892" s="14"/>
      <c r="M1892" s="13"/>
    </row>
    <row r="1893" customFormat="false" ht="15" hidden="false" customHeight="false" outlineLevel="0" collapsed="false">
      <c r="A1893" s="6" t="n">
        <v>1889</v>
      </c>
      <c r="B1893" s="8" t="s">
        <v>2940</v>
      </c>
      <c r="C1893" s="8" t="s">
        <v>150</v>
      </c>
      <c r="D1893" s="9"/>
      <c r="E1893" s="10"/>
      <c r="F1893" s="11"/>
      <c r="G1893" s="12"/>
      <c r="H1893" s="11" t="n">
        <v>0.00287916666666667</v>
      </c>
      <c r="I1893" s="12" t="n">
        <v>764</v>
      </c>
      <c r="J1893" s="14"/>
      <c r="K1893" s="14"/>
      <c r="L1893" s="14"/>
      <c r="M1893" s="13"/>
    </row>
    <row r="1894" customFormat="false" ht="15" hidden="false" customHeight="false" outlineLevel="0" collapsed="false">
      <c r="A1894" s="6" t="n">
        <v>1890</v>
      </c>
      <c r="B1894" s="8" t="s">
        <v>2941</v>
      </c>
      <c r="C1894" s="8" t="s">
        <v>152</v>
      </c>
      <c r="D1894" s="9"/>
      <c r="E1894" s="10"/>
      <c r="F1894" s="11"/>
      <c r="G1894" s="12"/>
      <c r="H1894" s="11" t="n">
        <v>0.00287951388888889</v>
      </c>
      <c r="I1894" s="12" t="n">
        <v>765</v>
      </c>
      <c r="J1894" s="14"/>
      <c r="K1894" s="14"/>
      <c r="L1894" s="14"/>
      <c r="M1894" s="13"/>
    </row>
    <row r="1895" customFormat="false" ht="15" hidden="false" customHeight="false" outlineLevel="0" collapsed="false">
      <c r="A1895" s="6" t="n">
        <v>1891</v>
      </c>
      <c r="B1895" s="8" t="s">
        <v>2942</v>
      </c>
      <c r="C1895" s="8" t="s">
        <v>2943</v>
      </c>
      <c r="D1895" s="9"/>
      <c r="E1895" s="10"/>
      <c r="F1895" s="11" t="n">
        <v>0.00739409722222222</v>
      </c>
      <c r="G1895" s="12" t="n">
        <v>766</v>
      </c>
      <c r="H1895" s="11"/>
      <c r="I1895" s="12"/>
      <c r="J1895" s="14"/>
      <c r="K1895" s="14"/>
      <c r="L1895" s="14"/>
      <c r="M1895" s="13"/>
    </row>
    <row r="1896" customFormat="false" ht="15" hidden="false" customHeight="false" outlineLevel="0" collapsed="false">
      <c r="A1896" s="6" t="n">
        <v>1892</v>
      </c>
      <c r="B1896" s="8" t="s">
        <v>2944</v>
      </c>
      <c r="C1896" s="8" t="s">
        <v>283</v>
      </c>
      <c r="D1896" s="9"/>
      <c r="E1896" s="10"/>
      <c r="F1896" s="11"/>
      <c r="G1896" s="12"/>
      <c r="H1896" s="11" t="n">
        <v>0.00287974537037037</v>
      </c>
      <c r="I1896" s="12" t="n">
        <v>766</v>
      </c>
      <c r="J1896" s="14"/>
      <c r="K1896" s="14"/>
      <c r="L1896" s="14"/>
      <c r="M1896" s="13"/>
    </row>
    <row r="1897" customFormat="false" ht="15" hidden="false" customHeight="false" outlineLevel="0" collapsed="false">
      <c r="A1897" s="6" t="n">
        <v>1893</v>
      </c>
      <c r="B1897" s="8" t="s">
        <v>2945</v>
      </c>
      <c r="C1897" s="8" t="s">
        <v>742</v>
      </c>
      <c r="D1897" s="9"/>
      <c r="E1897" s="10"/>
      <c r="F1897" s="11" t="n">
        <v>0.00739548611111111</v>
      </c>
      <c r="G1897" s="12" t="n">
        <v>767</v>
      </c>
      <c r="H1897" s="11"/>
      <c r="I1897" s="12"/>
      <c r="J1897" s="14"/>
      <c r="K1897" s="14"/>
      <c r="L1897" s="14"/>
      <c r="M1897" s="13"/>
    </row>
    <row r="1898" customFormat="false" ht="15" hidden="false" customHeight="false" outlineLevel="0" collapsed="false">
      <c r="A1898" s="6" t="n">
        <v>1894</v>
      </c>
      <c r="B1898" s="8" t="s">
        <v>2946</v>
      </c>
      <c r="C1898" s="8" t="s">
        <v>868</v>
      </c>
      <c r="D1898" s="9"/>
      <c r="E1898" s="10"/>
      <c r="F1898" s="11"/>
      <c r="G1898" s="12"/>
      <c r="H1898" s="11" t="n">
        <v>0.00287974537037037</v>
      </c>
      <c r="I1898" s="12" t="n">
        <v>767</v>
      </c>
      <c r="J1898" s="14" t="s">
        <v>2947</v>
      </c>
      <c r="K1898" s="14"/>
      <c r="L1898" s="14"/>
      <c r="M1898" s="13"/>
    </row>
    <row r="1899" customFormat="false" ht="15" hidden="false" customHeight="false" outlineLevel="0" collapsed="false">
      <c r="A1899" s="6" t="n">
        <v>1895</v>
      </c>
      <c r="B1899" s="8" t="s">
        <v>2948</v>
      </c>
      <c r="C1899" s="8" t="s">
        <v>2949</v>
      </c>
      <c r="D1899" s="9"/>
      <c r="E1899" s="10"/>
      <c r="F1899" s="11" t="n">
        <v>0.00739571759259259</v>
      </c>
      <c r="G1899" s="12" t="n">
        <v>768</v>
      </c>
      <c r="H1899" s="11"/>
      <c r="I1899" s="12"/>
      <c r="J1899" s="14"/>
      <c r="K1899" s="14"/>
      <c r="L1899" s="14"/>
      <c r="M1899" s="13"/>
    </row>
    <row r="1900" customFormat="false" ht="15" hidden="false" customHeight="false" outlineLevel="0" collapsed="false">
      <c r="A1900" s="6" t="n">
        <v>1896</v>
      </c>
      <c r="B1900" s="8" t="s">
        <v>2950</v>
      </c>
      <c r="C1900" s="8" t="s">
        <v>2951</v>
      </c>
      <c r="D1900" s="9"/>
      <c r="E1900" s="10"/>
      <c r="F1900" s="11" t="n">
        <v>0.007396875</v>
      </c>
      <c r="G1900" s="12" t="n">
        <v>769</v>
      </c>
      <c r="H1900" s="11"/>
      <c r="I1900" s="12"/>
      <c r="J1900" s="14"/>
      <c r="K1900" s="14"/>
      <c r="L1900" s="14"/>
      <c r="M1900" s="13"/>
    </row>
    <row r="1901" customFormat="false" ht="15" hidden="false" customHeight="false" outlineLevel="0" collapsed="false">
      <c r="A1901" s="6" t="n">
        <v>1897</v>
      </c>
      <c r="B1901" s="8" t="s">
        <v>2952</v>
      </c>
      <c r="C1901" s="8" t="s">
        <v>2426</v>
      </c>
      <c r="D1901" s="9"/>
      <c r="E1901" s="10"/>
      <c r="F1901" s="11" t="n">
        <v>0.00739780092592593</v>
      </c>
      <c r="G1901" s="12" t="n">
        <v>770</v>
      </c>
      <c r="H1901" s="11"/>
      <c r="I1901" s="12"/>
      <c r="J1901" s="14"/>
      <c r="K1901" s="14"/>
      <c r="L1901" s="14"/>
      <c r="M1901" s="13"/>
    </row>
    <row r="1902" customFormat="false" ht="15" hidden="false" customHeight="false" outlineLevel="0" collapsed="false">
      <c r="A1902" s="6" t="n">
        <v>1898</v>
      </c>
      <c r="B1902" s="8" t="s">
        <v>2953</v>
      </c>
      <c r="C1902" s="8" t="s">
        <v>2875</v>
      </c>
      <c r="D1902" s="9"/>
      <c r="E1902" s="10"/>
      <c r="F1902" s="11" t="n">
        <v>0.00739988425925926</v>
      </c>
      <c r="G1902" s="12" t="n">
        <v>771</v>
      </c>
      <c r="H1902" s="11"/>
      <c r="I1902" s="12"/>
      <c r="J1902" s="14"/>
      <c r="K1902" s="14"/>
      <c r="L1902" s="14"/>
      <c r="M1902" s="13"/>
    </row>
    <row r="1903" customFormat="false" ht="15" hidden="false" customHeight="false" outlineLevel="0" collapsed="false">
      <c r="A1903" s="6" t="n">
        <v>1899</v>
      </c>
      <c r="B1903" s="8" t="s">
        <v>2954</v>
      </c>
      <c r="C1903" s="8" t="s">
        <v>1335</v>
      </c>
      <c r="D1903" s="9"/>
      <c r="E1903" s="10"/>
      <c r="F1903" s="11" t="n">
        <v>0.00740138888888889</v>
      </c>
      <c r="G1903" s="12" t="n">
        <v>772</v>
      </c>
      <c r="H1903" s="11"/>
      <c r="I1903" s="12"/>
      <c r="J1903" s="14"/>
      <c r="K1903" s="14"/>
      <c r="L1903" s="14"/>
      <c r="M1903" s="13"/>
    </row>
    <row r="1904" customFormat="false" ht="15" hidden="false" customHeight="false" outlineLevel="0" collapsed="false">
      <c r="A1904" s="6" t="n">
        <v>1900</v>
      </c>
      <c r="B1904" s="8" t="s">
        <v>2955</v>
      </c>
      <c r="C1904" s="8" t="s">
        <v>2785</v>
      </c>
      <c r="D1904" s="9"/>
      <c r="E1904" s="10"/>
      <c r="F1904" s="11"/>
      <c r="G1904" s="12"/>
      <c r="H1904" s="11" t="n">
        <v>0.00288032407407407</v>
      </c>
      <c r="I1904" s="12" t="n">
        <v>772</v>
      </c>
      <c r="J1904" s="14"/>
      <c r="K1904" s="14"/>
      <c r="L1904" s="14"/>
      <c r="M1904" s="13"/>
    </row>
    <row r="1905" customFormat="false" ht="15" hidden="false" customHeight="false" outlineLevel="0" collapsed="false">
      <c r="A1905" s="6" t="n">
        <v>1901</v>
      </c>
      <c r="B1905" s="8" t="s">
        <v>2956</v>
      </c>
      <c r="C1905" s="8" t="s">
        <v>2957</v>
      </c>
      <c r="D1905" s="9"/>
      <c r="E1905" s="10"/>
      <c r="F1905" s="11"/>
      <c r="G1905" s="12"/>
      <c r="H1905" s="11" t="n">
        <v>0.00288032407407407</v>
      </c>
      <c r="I1905" s="12" t="n">
        <v>773</v>
      </c>
      <c r="J1905" s="14"/>
      <c r="K1905" s="14"/>
      <c r="L1905" s="14"/>
      <c r="M1905" s="13"/>
    </row>
    <row r="1906" customFormat="false" ht="15" hidden="false" customHeight="false" outlineLevel="0" collapsed="false">
      <c r="A1906" s="6" t="n">
        <v>1902</v>
      </c>
      <c r="B1906" s="8" t="s">
        <v>2958</v>
      </c>
      <c r="C1906" s="8" t="s">
        <v>2959</v>
      </c>
      <c r="D1906" s="9"/>
      <c r="E1906" s="10"/>
      <c r="F1906" s="11" t="n">
        <v>0.00740173611111111</v>
      </c>
      <c r="G1906" s="12" t="n">
        <v>774</v>
      </c>
      <c r="H1906" s="11"/>
      <c r="I1906" s="12"/>
      <c r="J1906" s="14"/>
      <c r="K1906" s="14"/>
      <c r="L1906" s="14"/>
      <c r="M1906" s="13"/>
    </row>
    <row r="1907" customFormat="false" ht="15" hidden="false" customHeight="false" outlineLevel="0" collapsed="false">
      <c r="A1907" s="6" t="n">
        <v>1903</v>
      </c>
      <c r="B1907" s="8" t="s">
        <v>2960</v>
      </c>
      <c r="C1907" s="8" t="s">
        <v>1222</v>
      </c>
      <c r="D1907" s="9"/>
      <c r="E1907" s="10"/>
      <c r="F1907" s="11"/>
      <c r="G1907" s="12"/>
      <c r="H1907" s="11" t="n">
        <v>0.00288055555555556</v>
      </c>
      <c r="I1907" s="12" t="n">
        <v>774</v>
      </c>
      <c r="J1907" s="14"/>
      <c r="K1907" s="14"/>
      <c r="L1907" s="14"/>
      <c r="M1907" s="13"/>
    </row>
    <row r="1908" customFormat="false" ht="15" hidden="false" customHeight="false" outlineLevel="0" collapsed="false">
      <c r="A1908" s="6" t="n">
        <v>1904</v>
      </c>
      <c r="B1908" s="8" t="s">
        <v>2961</v>
      </c>
      <c r="C1908" s="8" t="s">
        <v>2962</v>
      </c>
      <c r="D1908" s="9"/>
      <c r="E1908" s="10"/>
      <c r="F1908" s="11" t="n">
        <v>0.00740243055555556</v>
      </c>
      <c r="G1908" s="12" t="n">
        <v>775</v>
      </c>
      <c r="H1908" s="11"/>
      <c r="I1908" s="12"/>
      <c r="J1908" s="14"/>
      <c r="K1908" s="14"/>
      <c r="L1908" s="14"/>
      <c r="M1908" s="13"/>
    </row>
    <row r="1909" customFormat="false" ht="15" hidden="false" customHeight="false" outlineLevel="0" collapsed="false">
      <c r="A1909" s="6" t="n">
        <v>1905</v>
      </c>
      <c r="B1909" s="8" t="s">
        <v>2963</v>
      </c>
      <c r="C1909" s="8" t="s">
        <v>2275</v>
      </c>
      <c r="D1909" s="9"/>
      <c r="E1909" s="10"/>
      <c r="F1909" s="11" t="n">
        <v>0.00740381944444445</v>
      </c>
      <c r="G1909" s="12" t="n">
        <v>776</v>
      </c>
      <c r="H1909" s="11"/>
      <c r="I1909" s="12"/>
      <c r="J1909" s="14"/>
      <c r="K1909" s="14"/>
      <c r="L1909" s="14"/>
      <c r="M1909" s="13"/>
    </row>
    <row r="1910" customFormat="false" ht="15" hidden="false" customHeight="false" outlineLevel="0" collapsed="false">
      <c r="A1910" s="6" t="n">
        <v>1906</v>
      </c>
      <c r="B1910" s="8" t="s">
        <v>2964</v>
      </c>
      <c r="C1910" s="8" t="s">
        <v>1630</v>
      </c>
      <c r="D1910" s="9"/>
      <c r="E1910" s="10"/>
      <c r="F1910" s="11"/>
      <c r="G1910" s="12"/>
      <c r="H1910" s="11" t="n">
        <v>0.00288090277777778</v>
      </c>
      <c r="I1910" s="12" t="n">
        <v>776</v>
      </c>
      <c r="J1910" s="14"/>
      <c r="K1910" s="14"/>
      <c r="L1910" s="14"/>
      <c r="M1910" s="13"/>
    </row>
    <row r="1911" customFormat="false" ht="15" hidden="false" customHeight="false" outlineLevel="0" collapsed="false">
      <c r="A1911" s="6" t="n">
        <v>1907</v>
      </c>
      <c r="B1911" s="8" t="s">
        <v>2965</v>
      </c>
      <c r="C1911" s="8" t="s">
        <v>154</v>
      </c>
      <c r="D1911" s="9"/>
      <c r="E1911" s="10"/>
      <c r="F1911" s="11" t="n">
        <v>0.00740474537037037</v>
      </c>
      <c r="G1911" s="12" t="n">
        <v>778</v>
      </c>
      <c r="H1911" s="11"/>
      <c r="I1911" s="12"/>
      <c r="J1911" s="14"/>
      <c r="K1911" s="14"/>
      <c r="L1911" s="14"/>
      <c r="M1911" s="13"/>
    </row>
    <row r="1912" customFormat="false" ht="15" hidden="false" customHeight="false" outlineLevel="0" collapsed="false">
      <c r="A1912" s="6" t="n">
        <v>1908</v>
      </c>
      <c r="B1912" s="8" t="s">
        <v>2966</v>
      </c>
      <c r="C1912" s="8" t="s">
        <v>2967</v>
      </c>
      <c r="D1912" s="9"/>
      <c r="E1912" s="10"/>
      <c r="F1912" s="11" t="n">
        <v>0.00740509259259259</v>
      </c>
      <c r="G1912" s="12" t="n">
        <v>779</v>
      </c>
      <c r="H1912" s="11"/>
      <c r="I1912" s="12"/>
      <c r="J1912" s="14"/>
      <c r="K1912" s="14"/>
      <c r="L1912" s="14"/>
      <c r="M1912" s="13"/>
    </row>
    <row r="1913" customFormat="false" ht="15" hidden="false" customHeight="false" outlineLevel="0" collapsed="false">
      <c r="A1913" s="6" t="n">
        <v>1909</v>
      </c>
      <c r="B1913" s="8" t="s">
        <v>2968</v>
      </c>
      <c r="C1913" s="8" t="s">
        <v>1248</v>
      </c>
      <c r="D1913" s="9"/>
      <c r="E1913" s="10"/>
      <c r="F1913" s="11"/>
      <c r="G1913" s="12"/>
      <c r="H1913" s="11" t="n">
        <v>0.00288113425925926</v>
      </c>
      <c r="I1913" s="12" t="n">
        <v>779</v>
      </c>
      <c r="J1913" s="14"/>
      <c r="K1913" s="14"/>
      <c r="L1913" s="14"/>
      <c r="M1913" s="13"/>
    </row>
    <row r="1914" customFormat="false" ht="15" hidden="false" customHeight="false" outlineLevel="0" collapsed="false">
      <c r="A1914" s="6" t="n">
        <v>1910</v>
      </c>
      <c r="B1914" s="8" t="s">
        <v>2969</v>
      </c>
      <c r="C1914" s="8" t="s">
        <v>1385</v>
      </c>
      <c r="D1914" s="9"/>
      <c r="E1914" s="10"/>
      <c r="F1914" s="11" t="n">
        <v>0.00740555555555556</v>
      </c>
      <c r="G1914" s="12" t="n">
        <v>780</v>
      </c>
      <c r="H1914" s="11"/>
      <c r="I1914" s="12"/>
      <c r="J1914" s="14"/>
      <c r="K1914" s="14"/>
      <c r="L1914" s="14"/>
      <c r="M1914" s="13"/>
    </row>
    <row r="1915" customFormat="false" ht="15" hidden="false" customHeight="false" outlineLevel="0" collapsed="false">
      <c r="A1915" s="6" t="n">
        <v>1911</v>
      </c>
      <c r="B1915" s="8" t="s">
        <v>2970</v>
      </c>
      <c r="C1915" s="8" t="s">
        <v>1697</v>
      </c>
      <c r="D1915" s="9"/>
      <c r="E1915" s="10"/>
      <c r="F1915" s="11"/>
      <c r="G1915" s="12"/>
      <c r="H1915" s="11" t="n">
        <v>0.00288125</v>
      </c>
      <c r="I1915" s="12" t="n">
        <v>780</v>
      </c>
      <c r="J1915" s="14"/>
      <c r="K1915" s="14"/>
      <c r="L1915" s="14"/>
      <c r="M1915" s="13"/>
    </row>
    <row r="1916" customFormat="false" ht="15" hidden="false" customHeight="false" outlineLevel="0" collapsed="false">
      <c r="A1916" s="6" t="n">
        <v>1912</v>
      </c>
      <c r="B1916" s="8" t="s">
        <v>2971</v>
      </c>
      <c r="C1916" s="8" t="s">
        <v>961</v>
      </c>
      <c r="D1916" s="9"/>
      <c r="E1916" s="10"/>
      <c r="F1916" s="11" t="n">
        <v>0.00740868055555556</v>
      </c>
      <c r="G1916" s="12" t="n">
        <v>782</v>
      </c>
      <c r="H1916" s="11"/>
      <c r="I1916" s="12"/>
      <c r="J1916" s="14"/>
      <c r="K1916" s="14"/>
      <c r="L1916" s="14"/>
      <c r="M1916" s="13"/>
    </row>
    <row r="1917" customFormat="false" ht="15" hidden="false" customHeight="false" outlineLevel="0" collapsed="false">
      <c r="A1917" s="6" t="n">
        <v>1913</v>
      </c>
      <c r="B1917" s="8" t="s">
        <v>2972</v>
      </c>
      <c r="C1917" s="8" t="s">
        <v>1851</v>
      </c>
      <c r="D1917" s="9"/>
      <c r="E1917" s="10"/>
      <c r="F1917" s="11"/>
      <c r="G1917" s="12"/>
      <c r="H1917" s="11" t="n">
        <v>0.00288136574074074</v>
      </c>
      <c r="I1917" s="12" t="n">
        <v>782</v>
      </c>
      <c r="J1917" s="14"/>
      <c r="K1917" s="14"/>
      <c r="L1917" s="14"/>
      <c r="M1917" s="13"/>
    </row>
    <row r="1918" customFormat="false" ht="15" hidden="false" customHeight="false" outlineLevel="0" collapsed="false">
      <c r="A1918" s="6" t="n">
        <v>1914</v>
      </c>
      <c r="B1918" s="8" t="s">
        <v>2973</v>
      </c>
      <c r="C1918" s="8" t="s">
        <v>2974</v>
      </c>
      <c r="D1918" s="9"/>
      <c r="E1918" s="10"/>
      <c r="F1918" s="11" t="n">
        <v>0.00740949074074074</v>
      </c>
      <c r="G1918" s="12" t="n">
        <v>783</v>
      </c>
      <c r="H1918" s="11"/>
      <c r="I1918" s="12"/>
      <c r="J1918" s="14"/>
      <c r="K1918" s="14"/>
      <c r="L1918" s="14"/>
      <c r="M1918" s="13"/>
    </row>
    <row r="1919" customFormat="false" ht="15" hidden="false" customHeight="false" outlineLevel="0" collapsed="false">
      <c r="A1919" s="6" t="n">
        <v>1915</v>
      </c>
      <c r="B1919" s="8" t="s">
        <v>2975</v>
      </c>
      <c r="C1919" s="8" t="s">
        <v>2641</v>
      </c>
      <c r="D1919" s="9"/>
      <c r="E1919" s="10"/>
      <c r="F1919" s="11" t="n">
        <v>0.00741122685185185</v>
      </c>
      <c r="G1919" s="12" t="n">
        <v>784</v>
      </c>
      <c r="H1919" s="11"/>
      <c r="I1919" s="12"/>
      <c r="J1919" s="14"/>
      <c r="K1919" s="14"/>
      <c r="L1919" s="14"/>
      <c r="M1919" s="13"/>
    </row>
    <row r="1920" customFormat="false" ht="15" hidden="false" customHeight="false" outlineLevel="0" collapsed="false">
      <c r="A1920" s="6" t="n">
        <v>1916</v>
      </c>
      <c r="B1920" s="8" t="s">
        <v>2976</v>
      </c>
      <c r="C1920" s="8" t="s">
        <v>2579</v>
      </c>
      <c r="D1920" s="9"/>
      <c r="E1920" s="10"/>
      <c r="F1920" s="11" t="n">
        <v>0.00741226851851852</v>
      </c>
      <c r="G1920" s="12" t="n">
        <v>785</v>
      </c>
      <c r="H1920" s="11"/>
      <c r="I1920" s="12"/>
      <c r="J1920" s="14"/>
      <c r="K1920" s="14"/>
      <c r="L1920" s="14"/>
      <c r="M1920" s="13"/>
    </row>
    <row r="1921" customFormat="false" ht="15" hidden="false" customHeight="false" outlineLevel="0" collapsed="false">
      <c r="A1921" s="6" t="n">
        <v>1917</v>
      </c>
      <c r="B1921" s="8" t="s">
        <v>2977</v>
      </c>
      <c r="C1921" s="8" t="s">
        <v>641</v>
      </c>
      <c r="D1921" s="9"/>
      <c r="E1921" s="10"/>
      <c r="F1921" s="11"/>
      <c r="G1921" s="12"/>
      <c r="H1921" s="11" t="n">
        <v>0.00288171296296296</v>
      </c>
      <c r="I1921" s="12" t="n">
        <v>786</v>
      </c>
      <c r="J1921" s="14"/>
      <c r="K1921" s="14"/>
      <c r="L1921" s="14"/>
      <c r="M1921" s="13"/>
    </row>
    <row r="1922" customFormat="false" ht="15" hidden="false" customHeight="false" outlineLevel="0" collapsed="false">
      <c r="A1922" s="6" t="n">
        <v>1918</v>
      </c>
      <c r="B1922" s="8" t="s">
        <v>2978</v>
      </c>
      <c r="C1922" s="8" t="s">
        <v>1258</v>
      </c>
      <c r="D1922" s="9"/>
      <c r="E1922" s="10"/>
      <c r="F1922" s="11" t="n">
        <v>0.00741493055555556</v>
      </c>
      <c r="G1922" s="12" t="n">
        <v>787</v>
      </c>
      <c r="H1922" s="11"/>
      <c r="I1922" s="12"/>
      <c r="J1922" s="14"/>
      <c r="K1922" s="14"/>
      <c r="L1922" s="14"/>
      <c r="M1922" s="13"/>
    </row>
    <row r="1923" customFormat="false" ht="15" hidden="false" customHeight="false" outlineLevel="0" collapsed="false">
      <c r="A1923" s="6" t="n">
        <v>1919</v>
      </c>
      <c r="B1923" s="8" t="s">
        <v>2979</v>
      </c>
      <c r="C1923" s="8" t="s">
        <v>2564</v>
      </c>
      <c r="D1923" s="9"/>
      <c r="E1923" s="10"/>
      <c r="F1923" s="11"/>
      <c r="G1923" s="12"/>
      <c r="H1923" s="11" t="n">
        <v>0.00288194444444444</v>
      </c>
      <c r="I1923" s="12" t="n">
        <v>788</v>
      </c>
      <c r="J1923" s="14"/>
      <c r="K1923" s="14"/>
      <c r="L1923" s="8" t="s">
        <v>2980</v>
      </c>
      <c r="M1923" s="13"/>
    </row>
    <row r="1924" customFormat="false" ht="15" hidden="false" customHeight="false" outlineLevel="0" collapsed="false">
      <c r="A1924" s="6" t="n">
        <v>1920</v>
      </c>
      <c r="B1924" s="8" t="s">
        <v>2981</v>
      </c>
      <c r="C1924" s="8" t="s">
        <v>584</v>
      </c>
      <c r="D1924" s="9"/>
      <c r="E1924" s="10"/>
      <c r="F1924" s="11" t="n">
        <v>0.00741678240740741</v>
      </c>
      <c r="G1924" s="12" t="n">
        <v>789</v>
      </c>
      <c r="H1924" s="11"/>
      <c r="I1924" s="12"/>
      <c r="J1924" s="14"/>
      <c r="K1924" s="14"/>
      <c r="L1924" s="14"/>
      <c r="M1924" s="13"/>
    </row>
    <row r="1925" customFormat="false" ht="15" hidden="false" customHeight="false" outlineLevel="0" collapsed="false">
      <c r="A1925" s="6" t="n">
        <v>1921</v>
      </c>
      <c r="B1925" s="8" t="s">
        <v>2982</v>
      </c>
      <c r="C1925" s="8" t="s">
        <v>437</v>
      </c>
      <c r="D1925" s="9"/>
      <c r="E1925" s="10"/>
      <c r="F1925" s="11"/>
      <c r="G1925" s="12"/>
      <c r="H1925" s="11" t="n">
        <v>0.00288194444444444</v>
      </c>
      <c r="I1925" s="12" t="n">
        <v>789</v>
      </c>
      <c r="J1925" s="14"/>
      <c r="K1925" s="14"/>
      <c r="L1925" s="14"/>
      <c r="M1925" s="13"/>
    </row>
    <row r="1926" customFormat="false" ht="15" hidden="false" customHeight="false" outlineLevel="0" collapsed="false">
      <c r="A1926" s="6" t="n">
        <v>1922</v>
      </c>
      <c r="B1926" s="8" t="s">
        <v>2983</v>
      </c>
      <c r="C1926" s="8" t="s">
        <v>2984</v>
      </c>
      <c r="D1926" s="9"/>
      <c r="E1926" s="10"/>
      <c r="F1926" s="11" t="n">
        <v>0.00741724537037037</v>
      </c>
      <c r="G1926" s="12" t="n">
        <v>790</v>
      </c>
      <c r="H1926" s="11"/>
      <c r="I1926" s="12"/>
      <c r="J1926" s="14"/>
      <c r="K1926" s="14"/>
      <c r="L1926" s="14"/>
      <c r="M1926" s="13"/>
    </row>
    <row r="1927" customFormat="false" ht="15" hidden="false" customHeight="false" outlineLevel="0" collapsed="false">
      <c r="A1927" s="6" t="n">
        <v>1923</v>
      </c>
      <c r="B1927" s="8" t="s">
        <v>2985</v>
      </c>
      <c r="C1927" s="8" t="s">
        <v>1042</v>
      </c>
      <c r="D1927" s="9"/>
      <c r="E1927" s="10"/>
      <c r="F1927" s="11" t="n">
        <v>0.00741736111111111</v>
      </c>
      <c r="G1927" s="12" t="n">
        <v>791</v>
      </c>
      <c r="H1927" s="11"/>
      <c r="I1927" s="12"/>
      <c r="J1927" s="14"/>
      <c r="K1927" s="14"/>
      <c r="L1927" s="14"/>
      <c r="M1927" s="13"/>
    </row>
    <row r="1928" customFormat="false" ht="15" hidden="false" customHeight="false" outlineLevel="0" collapsed="false">
      <c r="A1928" s="6" t="n">
        <v>1924</v>
      </c>
      <c r="B1928" s="8" t="s">
        <v>2986</v>
      </c>
      <c r="C1928" s="8" t="s">
        <v>1028</v>
      </c>
      <c r="D1928" s="9"/>
      <c r="E1928" s="10"/>
      <c r="F1928" s="11" t="n">
        <v>0.00741747685185185</v>
      </c>
      <c r="G1928" s="12" t="n">
        <v>792</v>
      </c>
      <c r="H1928" s="11"/>
      <c r="I1928" s="12"/>
      <c r="J1928" s="14"/>
      <c r="K1928" s="14"/>
      <c r="L1928" s="14"/>
      <c r="M1928" s="13"/>
    </row>
    <row r="1929" customFormat="false" ht="15" hidden="false" customHeight="false" outlineLevel="0" collapsed="false">
      <c r="A1929" s="6" t="n">
        <v>1925</v>
      </c>
      <c r="B1929" s="8" t="s">
        <v>2987</v>
      </c>
      <c r="C1929" s="8" t="s">
        <v>49</v>
      </c>
      <c r="D1929" s="9"/>
      <c r="E1929" s="10"/>
      <c r="F1929" s="11"/>
      <c r="G1929" s="12"/>
      <c r="H1929" s="11" t="n">
        <v>0.00288194444444444</v>
      </c>
      <c r="I1929" s="12" t="n">
        <v>792</v>
      </c>
      <c r="J1929" s="14"/>
      <c r="K1929" s="14"/>
      <c r="L1929" s="14"/>
      <c r="M1929" s="13"/>
    </row>
    <row r="1930" customFormat="false" ht="15" hidden="false" customHeight="false" outlineLevel="0" collapsed="false">
      <c r="A1930" s="6" t="n">
        <v>1926</v>
      </c>
      <c r="B1930" s="8" t="s">
        <v>2988</v>
      </c>
      <c r="C1930" s="8" t="s">
        <v>1676</v>
      </c>
      <c r="D1930" s="9"/>
      <c r="E1930" s="10"/>
      <c r="F1930" s="11" t="n">
        <v>0.00741886574074074</v>
      </c>
      <c r="G1930" s="12" t="n">
        <v>793</v>
      </c>
      <c r="H1930" s="11"/>
      <c r="I1930" s="12"/>
      <c r="J1930" s="14"/>
      <c r="K1930" s="14"/>
      <c r="L1930" s="14"/>
      <c r="M1930" s="13"/>
    </row>
    <row r="1931" customFormat="false" ht="15" hidden="false" customHeight="false" outlineLevel="0" collapsed="false">
      <c r="A1931" s="6" t="n">
        <v>1927</v>
      </c>
      <c r="B1931" s="8" t="s">
        <v>2989</v>
      </c>
      <c r="C1931" s="8" t="s">
        <v>2990</v>
      </c>
      <c r="D1931" s="9"/>
      <c r="E1931" s="10"/>
      <c r="F1931" s="11" t="n">
        <v>0.00742025462962963</v>
      </c>
      <c r="G1931" s="12" t="n">
        <v>794</v>
      </c>
      <c r="H1931" s="11"/>
      <c r="I1931" s="12"/>
      <c r="J1931" s="14"/>
      <c r="K1931" s="14"/>
      <c r="L1931" s="14"/>
      <c r="M1931" s="13"/>
    </row>
    <row r="1932" customFormat="false" ht="15" hidden="false" customHeight="false" outlineLevel="0" collapsed="false">
      <c r="A1932" s="6" t="n">
        <v>1928</v>
      </c>
      <c r="B1932" s="8" t="s">
        <v>2991</v>
      </c>
      <c r="C1932" s="8" t="s">
        <v>290</v>
      </c>
      <c r="D1932" s="9"/>
      <c r="E1932" s="10"/>
      <c r="F1932" s="11"/>
      <c r="G1932" s="12"/>
      <c r="H1932" s="11" t="n">
        <v>0.00288217592592593</v>
      </c>
      <c r="I1932" s="12" t="n">
        <v>795</v>
      </c>
      <c r="J1932" s="14"/>
      <c r="K1932" s="14"/>
      <c r="L1932" s="14"/>
      <c r="M1932" s="13"/>
    </row>
    <row r="1933" customFormat="false" ht="15" hidden="false" customHeight="false" outlineLevel="0" collapsed="false">
      <c r="A1933" s="6" t="n">
        <v>1929</v>
      </c>
      <c r="B1933" s="8" t="s">
        <v>2992</v>
      </c>
      <c r="C1933" s="8" t="s">
        <v>1669</v>
      </c>
      <c r="D1933" s="9"/>
      <c r="E1933" s="10"/>
      <c r="F1933" s="11" t="n">
        <v>0.00742118055555556</v>
      </c>
      <c r="G1933" s="12" t="n">
        <v>796</v>
      </c>
      <c r="H1933" s="11"/>
      <c r="I1933" s="12"/>
      <c r="J1933" s="14"/>
      <c r="K1933" s="14"/>
      <c r="L1933" s="14"/>
      <c r="M1933" s="13"/>
    </row>
    <row r="1934" customFormat="false" ht="15" hidden="false" customHeight="false" outlineLevel="0" collapsed="false">
      <c r="A1934" s="6" t="n">
        <v>1930</v>
      </c>
      <c r="B1934" s="8" t="s">
        <v>2993</v>
      </c>
      <c r="C1934" s="8" t="s">
        <v>294</v>
      </c>
      <c r="D1934" s="9"/>
      <c r="E1934" s="10"/>
      <c r="F1934" s="11"/>
      <c r="G1934" s="12"/>
      <c r="H1934" s="11" t="n">
        <v>0.00288240740740741</v>
      </c>
      <c r="I1934" s="12" t="n">
        <v>796</v>
      </c>
      <c r="J1934" s="14"/>
      <c r="K1934" s="14"/>
      <c r="L1934" s="14"/>
      <c r="M1934" s="13"/>
    </row>
    <row r="1935" customFormat="false" ht="15" hidden="false" customHeight="false" outlineLevel="0" collapsed="false">
      <c r="A1935" s="6" t="n">
        <v>1931</v>
      </c>
      <c r="B1935" s="8" t="s">
        <v>2994</v>
      </c>
      <c r="C1935" s="8" t="s">
        <v>810</v>
      </c>
      <c r="D1935" s="9"/>
      <c r="E1935" s="10"/>
      <c r="F1935" s="11" t="n">
        <v>0.00742372685185185</v>
      </c>
      <c r="G1935" s="12" t="n">
        <v>798</v>
      </c>
      <c r="H1935" s="11"/>
      <c r="I1935" s="12"/>
      <c r="J1935" s="14"/>
      <c r="K1935" s="14"/>
      <c r="L1935" s="14"/>
      <c r="M1935" s="13"/>
    </row>
    <row r="1936" customFormat="false" ht="15" hidden="false" customHeight="false" outlineLevel="0" collapsed="false">
      <c r="A1936" s="6" t="n">
        <v>1932</v>
      </c>
      <c r="B1936" s="8" t="s">
        <v>577</v>
      </c>
      <c r="C1936" s="8" t="s">
        <v>249</v>
      </c>
      <c r="D1936" s="9"/>
      <c r="E1936" s="10"/>
      <c r="F1936" s="11"/>
      <c r="G1936" s="12"/>
      <c r="H1936" s="11" t="n">
        <v>0.00288263888888889</v>
      </c>
      <c r="I1936" s="12" t="n">
        <v>798</v>
      </c>
      <c r="J1936" s="14"/>
      <c r="K1936" s="14"/>
      <c r="L1936" s="8" t="s">
        <v>2995</v>
      </c>
      <c r="M1936" s="13"/>
    </row>
    <row r="1937" customFormat="false" ht="15" hidden="false" customHeight="false" outlineLevel="0" collapsed="false">
      <c r="A1937" s="6" t="n">
        <v>1933</v>
      </c>
      <c r="B1937" s="8" t="s">
        <v>2996</v>
      </c>
      <c r="C1937" s="8" t="s">
        <v>606</v>
      </c>
      <c r="D1937" s="9"/>
      <c r="E1937" s="10"/>
      <c r="F1937" s="11" t="n">
        <v>0.0074244212962963</v>
      </c>
      <c r="G1937" s="12" t="n">
        <v>799</v>
      </c>
      <c r="H1937" s="11"/>
      <c r="I1937" s="12"/>
      <c r="J1937" s="14"/>
      <c r="K1937" s="14"/>
      <c r="L1937" s="14"/>
      <c r="M1937" s="13"/>
    </row>
    <row r="1938" customFormat="false" ht="15" hidden="false" customHeight="false" outlineLevel="0" collapsed="false">
      <c r="A1938" s="6" t="n">
        <v>1934</v>
      </c>
      <c r="B1938" s="8" t="s">
        <v>2997</v>
      </c>
      <c r="C1938" s="8" t="s">
        <v>2998</v>
      </c>
      <c r="D1938" s="9"/>
      <c r="E1938" s="10"/>
      <c r="F1938" s="11" t="n">
        <v>0.00742638888888889</v>
      </c>
      <c r="G1938" s="12" t="n">
        <v>800</v>
      </c>
      <c r="H1938" s="11"/>
      <c r="I1938" s="12"/>
      <c r="J1938" s="14"/>
      <c r="K1938" s="14"/>
      <c r="L1938" s="14"/>
      <c r="M1938" s="13"/>
    </row>
    <row r="1939" customFormat="false" ht="15" hidden="false" customHeight="false" outlineLevel="0" collapsed="false">
      <c r="A1939" s="6" t="n">
        <v>1935</v>
      </c>
      <c r="B1939" s="8" t="s">
        <v>2999</v>
      </c>
      <c r="C1939" s="8" t="s">
        <v>61</v>
      </c>
      <c r="D1939" s="9"/>
      <c r="E1939" s="10"/>
      <c r="F1939" s="11"/>
      <c r="G1939" s="12"/>
      <c r="H1939" s="11" t="n">
        <v>0.00288275462962963</v>
      </c>
      <c r="I1939" s="12" t="n">
        <v>800</v>
      </c>
      <c r="J1939" s="14"/>
      <c r="K1939" s="14"/>
      <c r="L1939" s="14"/>
      <c r="M1939" s="13"/>
    </row>
    <row r="1940" customFormat="false" ht="15" hidden="false" customHeight="false" outlineLevel="0" collapsed="false">
      <c r="A1940" s="6" t="n">
        <v>1936</v>
      </c>
      <c r="B1940" s="8" t="s">
        <v>3000</v>
      </c>
      <c r="C1940" s="8" t="s">
        <v>3001</v>
      </c>
      <c r="D1940" s="9"/>
      <c r="E1940" s="10"/>
      <c r="F1940" s="11" t="n">
        <v>0.00742743055555556</v>
      </c>
      <c r="G1940" s="12" t="n">
        <v>801</v>
      </c>
      <c r="H1940" s="11"/>
      <c r="I1940" s="12"/>
      <c r="J1940" s="14"/>
      <c r="K1940" s="14"/>
      <c r="L1940" s="14"/>
      <c r="M1940" s="13"/>
    </row>
    <row r="1941" customFormat="false" ht="15" hidden="false" customHeight="false" outlineLevel="0" collapsed="false">
      <c r="A1941" s="6" t="n">
        <v>1937</v>
      </c>
      <c r="B1941" s="8" t="s">
        <v>3002</v>
      </c>
      <c r="C1941" s="8" t="s">
        <v>946</v>
      </c>
      <c r="D1941" s="9"/>
      <c r="E1941" s="10"/>
      <c r="F1941" s="11" t="n">
        <v>0.00742905092592593</v>
      </c>
      <c r="G1941" s="12" t="n">
        <v>802</v>
      </c>
      <c r="H1941" s="11"/>
      <c r="I1941" s="12"/>
      <c r="J1941" s="14"/>
      <c r="K1941" s="14"/>
      <c r="L1941" s="14"/>
      <c r="M1941" s="13"/>
    </row>
    <row r="1942" customFormat="false" ht="15" hidden="false" customHeight="false" outlineLevel="0" collapsed="false">
      <c r="A1942" s="6" t="n">
        <v>1938</v>
      </c>
      <c r="B1942" s="8" t="s">
        <v>3003</v>
      </c>
      <c r="C1942" s="8" t="s">
        <v>3004</v>
      </c>
      <c r="D1942" s="9"/>
      <c r="E1942" s="10"/>
      <c r="F1942" s="11" t="n">
        <v>0.00742916666666667</v>
      </c>
      <c r="G1942" s="12" t="n">
        <v>803</v>
      </c>
      <c r="H1942" s="11"/>
      <c r="I1942" s="12"/>
      <c r="J1942" s="14"/>
      <c r="K1942" s="14"/>
      <c r="L1942" s="14"/>
      <c r="M1942" s="13"/>
    </row>
    <row r="1943" customFormat="false" ht="15" hidden="false" customHeight="false" outlineLevel="0" collapsed="false">
      <c r="A1943" s="6" t="n">
        <v>1939</v>
      </c>
      <c r="B1943" s="8" t="s">
        <v>3005</v>
      </c>
      <c r="C1943" s="8" t="s">
        <v>1262</v>
      </c>
      <c r="D1943" s="9"/>
      <c r="E1943" s="10"/>
      <c r="F1943" s="11"/>
      <c r="G1943" s="12"/>
      <c r="H1943" s="11" t="n">
        <v>0.00288368055555556</v>
      </c>
      <c r="I1943" s="12" t="n">
        <v>805</v>
      </c>
      <c r="J1943" s="14"/>
      <c r="K1943" s="14"/>
      <c r="L1943" s="14"/>
      <c r="M1943" s="13"/>
    </row>
    <row r="1944" customFormat="false" ht="15" hidden="false" customHeight="false" outlineLevel="0" collapsed="false">
      <c r="A1944" s="6" t="n">
        <v>1940</v>
      </c>
      <c r="B1944" s="8" t="s">
        <v>3006</v>
      </c>
      <c r="C1944" s="8" t="s">
        <v>1869</v>
      </c>
      <c r="D1944" s="9"/>
      <c r="E1944" s="10"/>
      <c r="F1944" s="11" t="n">
        <v>0.00743032407407407</v>
      </c>
      <c r="G1944" s="12" t="n">
        <v>806</v>
      </c>
      <c r="H1944" s="11"/>
      <c r="I1944" s="12"/>
      <c r="J1944" s="14"/>
      <c r="K1944" s="14"/>
      <c r="L1944" s="14"/>
      <c r="M1944" s="13"/>
    </row>
    <row r="1945" customFormat="false" ht="15" hidden="false" customHeight="false" outlineLevel="0" collapsed="false">
      <c r="A1945" s="6" t="n">
        <v>1941</v>
      </c>
      <c r="B1945" s="8" t="s">
        <v>3007</v>
      </c>
      <c r="C1945" s="8" t="s">
        <v>3008</v>
      </c>
      <c r="D1945" s="9"/>
      <c r="E1945" s="10"/>
      <c r="F1945" s="11"/>
      <c r="G1945" s="12"/>
      <c r="H1945" s="11" t="n">
        <v>0.0028837962962963</v>
      </c>
      <c r="I1945" s="12" t="n">
        <v>806</v>
      </c>
      <c r="J1945" s="14"/>
      <c r="K1945" s="14"/>
      <c r="L1945" s="14"/>
      <c r="M1945" s="13"/>
    </row>
    <row r="1946" customFormat="false" ht="15" hidden="false" customHeight="false" outlineLevel="0" collapsed="false">
      <c r="A1946" s="6" t="n">
        <v>1942</v>
      </c>
      <c r="B1946" s="8" t="s">
        <v>3009</v>
      </c>
      <c r="C1946" s="8" t="s">
        <v>3010</v>
      </c>
      <c r="D1946" s="9"/>
      <c r="E1946" s="10"/>
      <c r="F1946" s="11" t="n">
        <v>0.00743148148148148</v>
      </c>
      <c r="G1946" s="12" t="n">
        <v>807</v>
      </c>
      <c r="H1946" s="11"/>
      <c r="I1946" s="12"/>
      <c r="J1946" s="14"/>
      <c r="K1946" s="14"/>
      <c r="L1946" s="14"/>
      <c r="M1946" s="13"/>
    </row>
    <row r="1947" customFormat="false" ht="15" hidden="false" customHeight="false" outlineLevel="0" collapsed="false">
      <c r="A1947" s="6" t="n">
        <v>1943</v>
      </c>
      <c r="B1947" s="8" t="s">
        <v>3011</v>
      </c>
      <c r="C1947" s="8" t="s">
        <v>667</v>
      </c>
      <c r="D1947" s="9"/>
      <c r="E1947" s="10"/>
      <c r="F1947" s="11"/>
      <c r="G1947" s="12"/>
      <c r="H1947" s="11" t="n">
        <v>0.00288391203703704</v>
      </c>
      <c r="I1947" s="12" t="n">
        <v>807</v>
      </c>
      <c r="J1947" s="14" t="s">
        <v>3012</v>
      </c>
      <c r="K1947" s="14"/>
      <c r="L1947" s="14"/>
      <c r="M1947" s="13"/>
    </row>
    <row r="1948" customFormat="false" ht="15" hidden="false" customHeight="false" outlineLevel="0" collapsed="false">
      <c r="A1948" s="6" t="n">
        <v>1944</v>
      </c>
      <c r="B1948" s="8" t="s">
        <v>3013</v>
      </c>
      <c r="C1948" s="8" t="s">
        <v>3014</v>
      </c>
      <c r="D1948" s="9"/>
      <c r="E1948" s="10"/>
      <c r="F1948" s="11" t="n">
        <v>0.00743240740740741</v>
      </c>
      <c r="G1948" s="12" t="n">
        <v>808</v>
      </c>
      <c r="H1948" s="11"/>
      <c r="I1948" s="12"/>
      <c r="J1948" s="14"/>
      <c r="K1948" s="14"/>
      <c r="L1948" s="14"/>
      <c r="M1948" s="13"/>
    </row>
    <row r="1949" customFormat="false" ht="15" hidden="false" customHeight="false" outlineLevel="0" collapsed="false">
      <c r="A1949" s="6" t="n">
        <v>1945</v>
      </c>
      <c r="B1949" s="8" t="s">
        <v>3015</v>
      </c>
      <c r="C1949" s="8" t="s">
        <v>3016</v>
      </c>
      <c r="D1949" s="9"/>
      <c r="E1949" s="10"/>
      <c r="F1949" s="11" t="n">
        <v>0.00743252314814815</v>
      </c>
      <c r="G1949" s="12" t="n">
        <v>809</v>
      </c>
      <c r="H1949" s="11"/>
      <c r="I1949" s="12"/>
      <c r="J1949" s="14"/>
      <c r="K1949" s="14"/>
      <c r="L1949" s="14"/>
      <c r="M1949" s="13"/>
    </row>
    <row r="1950" customFormat="false" ht="15" hidden="false" customHeight="false" outlineLevel="0" collapsed="false">
      <c r="A1950" s="6" t="n">
        <v>1946</v>
      </c>
      <c r="B1950" s="8" t="s">
        <v>3017</v>
      </c>
      <c r="C1950" s="8" t="s">
        <v>3018</v>
      </c>
      <c r="D1950" s="9"/>
      <c r="E1950" s="10"/>
      <c r="F1950" s="11" t="n">
        <v>0.00743310185185185</v>
      </c>
      <c r="G1950" s="12" t="n">
        <v>810</v>
      </c>
      <c r="H1950" s="11"/>
      <c r="I1950" s="12"/>
      <c r="J1950" s="14"/>
      <c r="K1950" s="14"/>
      <c r="L1950" s="14"/>
      <c r="M1950" s="13"/>
    </row>
    <row r="1951" customFormat="false" ht="15" hidden="false" customHeight="false" outlineLevel="0" collapsed="false">
      <c r="A1951" s="6" t="n">
        <v>1947</v>
      </c>
      <c r="B1951" s="8" t="s">
        <v>3019</v>
      </c>
      <c r="C1951" s="8" t="s">
        <v>3020</v>
      </c>
      <c r="D1951" s="9"/>
      <c r="E1951" s="10"/>
      <c r="F1951" s="11" t="n">
        <v>0.00743321759259259</v>
      </c>
      <c r="G1951" s="12" t="n">
        <v>811</v>
      </c>
      <c r="H1951" s="11"/>
      <c r="I1951" s="12"/>
      <c r="J1951" s="14"/>
      <c r="K1951" s="14"/>
      <c r="L1951" s="14"/>
      <c r="M1951" s="13"/>
    </row>
    <row r="1952" customFormat="false" ht="15" hidden="false" customHeight="false" outlineLevel="0" collapsed="false">
      <c r="A1952" s="6" t="n">
        <v>1948</v>
      </c>
      <c r="B1952" s="8" t="s">
        <v>3021</v>
      </c>
      <c r="C1952" s="8" t="s">
        <v>2790</v>
      </c>
      <c r="D1952" s="9"/>
      <c r="E1952" s="10"/>
      <c r="F1952" s="11" t="n">
        <v>0.00743333333333333</v>
      </c>
      <c r="G1952" s="12" t="n">
        <v>812</v>
      </c>
      <c r="H1952" s="11"/>
      <c r="I1952" s="12"/>
      <c r="J1952" s="14"/>
      <c r="K1952" s="14"/>
      <c r="L1952" s="14"/>
      <c r="M1952" s="13"/>
    </row>
    <row r="1953" customFormat="false" ht="15" hidden="false" customHeight="false" outlineLevel="0" collapsed="false">
      <c r="A1953" s="6" t="n">
        <v>1949</v>
      </c>
      <c r="B1953" s="8" t="s">
        <v>3022</v>
      </c>
      <c r="C1953" s="8" t="s">
        <v>87</v>
      </c>
      <c r="D1953" s="9"/>
      <c r="E1953" s="10"/>
      <c r="F1953" s="11"/>
      <c r="G1953" s="12"/>
      <c r="H1953" s="11" t="n">
        <v>0.00288460648148148</v>
      </c>
      <c r="I1953" s="12" t="n">
        <v>812</v>
      </c>
      <c r="J1953" s="14"/>
      <c r="K1953" s="14"/>
      <c r="L1953" s="14"/>
      <c r="M1953" s="13"/>
    </row>
    <row r="1954" customFormat="false" ht="15" hidden="false" customHeight="false" outlineLevel="0" collapsed="false">
      <c r="A1954" s="6" t="n">
        <v>1950</v>
      </c>
      <c r="B1954" s="8" t="s">
        <v>1372</v>
      </c>
      <c r="C1954" s="8" t="s">
        <v>1835</v>
      </c>
      <c r="D1954" s="9"/>
      <c r="E1954" s="10"/>
      <c r="F1954" s="11" t="n">
        <v>0.00743541666666667</v>
      </c>
      <c r="G1954" s="12" t="n">
        <v>813</v>
      </c>
      <c r="H1954" s="11"/>
      <c r="I1954" s="12"/>
      <c r="J1954" s="14"/>
      <c r="K1954" s="14"/>
      <c r="L1954" s="8" t="s">
        <v>3023</v>
      </c>
      <c r="M1954" s="13"/>
    </row>
    <row r="1955" customFormat="false" ht="15" hidden="false" customHeight="false" outlineLevel="0" collapsed="false">
      <c r="A1955" s="6" t="n">
        <v>1951</v>
      </c>
      <c r="B1955" s="8" t="s">
        <v>3024</v>
      </c>
      <c r="C1955" s="8" t="s">
        <v>73</v>
      </c>
      <c r="D1955" s="9"/>
      <c r="E1955" s="10"/>
      <c r="F1955" s="11" t="n">
        <v>0.00743738425925926</v>
      </c>
      <c r="G1955" s="12" t="n">
        <v>814</v>
      </c>
      <c r="H1955" s="11"/>
      <c r="I1955" s="12"/>
      <c r="J1955" s="14"/>
      <c r="K1955" s="14"/>
      <c r="L1955" s="14"/>
      <c r="M1955" s="13"/>
    </row>
    <row r="1956" customFormat="false" ht="15" hidden="false" customHeight="false" outlineLevel="0" collapsed="false">
      <c r="A1956" s="6" t="n">
        <v>1952</v>
      </c>
      <c r="B1956" s="8" t="s">
        <v>3025</v>
      </c>
      <c r="C1956" s="8" t="s">
        <v>3026</v>
      </c>
      <c r="D1956" s="9"/>
      <c r="E1956" s="10"/>
      <c r="F1956" s="11" t="n">
        <v>0.00743738425925926</v>
      </c>
      <c r="G1956" s="12" t="n">
        <v>815</v>
      </c>
      <c r="H1956" s="11"/>
      <c r="I1956" s="12"/>
      <c r="J1956" s="14"/>
      <c r="K1956" s="14"/>
      <c r="L1956" s="14"/>
      <c r="M1956" s="13"/>
    </row>
    <row r="1957" customFormat="false" ht="15" hidden="false" customHeight="false" outlineLevel="0" collapsed="false">
      <c r="A1957" s="6" t="n">
        <v>1953</v>
      </c>
      <c r="B1957" s="8" t="s">
        <v>3027</v>
      </c>
      <c r="C1957" s="8" t="s">
        <v>304</v>
      </c>
      <c r="D1957" s="9"/>
      <c r="E1957" s="10"/>
      <c r="F1957" s="11" t="n">
        <v>0.00743819444444444</v>
      </c>
      <c r="G1957" s="12" t="n">
        <v>816</v>
      </c>
      <c r="H1957" s="11"/>
      <c r="I1957" s="12"/>
      <c r="J1957" s="14"/>
      <c r="K1957" s="14"/>
      <c r="L1957" s="14"/>
      <c r="M1957" s="13"/>
    </row>
    <row r="1958" customFormat="false" ht="15" hidden="false" customHeight="false" outlineLevel="0" collapsed="false">
      <c r="A1958" s="6" t="n">
        <v>1954</v>
      </c>
      <c r="B1958" s="8" t="s">
        <v>3028</v>
      </c>
      <c r="C1958" s="8" t="s">
        <v>2214</v>
      </c>
      <c r="D1958" s="9"/>
      <c r="E1958" s="10"/>
      <c r="F1958" s="11"/>
      <c r="G1958" s="12"/>
      <c r="H1958" s="11" t="n">
        <v>0.00288506944444444</v>
      </c>
      <c r="I1958" s="12" t="n">
        <v>816</v>
      </c>
      <c r="J1958" s="14" t="s">
        <v>3029</v>
      </c>
      <c r="K1958" s="14"/>
      <c r="L1958" s="14"/>
      <c r="M1958" s="13"/>
    </row>
    <row r="1959" customFormat="false" ht="15" hidden="false" customHeight="false" outlineLevel="0" collapsed="false">
      <c r="A1959" s="6" t="n">
        <v>1955</v>
      </c>
      <c r="B1959" s="8" t="s">
        <v>3030</v>
      </c>
      <c r="C1959" s="8" t="s">
        <v>1209</v>
      </c>
      <c r="D1959" s="9"/>
      <c r="E1959" s="10"/>
      <c r="F1959" s="11" t="n">
        <v>0.00743900462962963</v>
      </c>
      <c r="G1959" s="12" t="n">
        <v>817</v>
      </c>
      <c r="H1959" s="11"/>
      <c r="I1959" s="12"/>
      <c r="J1959" s="14"/>
      <c r="K1959" s="14"/>
      <c r="L1959" s="14"/>
      <c r="M1959" s="13"/>
    </row>
    <row r="1960" customFormat="false" ht="15" hidden="false" customHeight="false" outlineLevel="0" collapsed="false">
      <c r="A1960" s="6" t="n">
        <v>1956</v>
      </c>
      <c r="B1960" s="8" t="s">
        <v>3031</v>
      </c>
      <c r="C1960" s="8" t="s">
        <v>3032</v>
      </c>
      <c r="D1960" s="9"/>
      <c r="E1960" s="10"/>
      <c r="F1960" s="11" t="n">
        <v>0.00744016203703704</v>
      </c>
      <c r="G1960" s="12" t="n">
        <v>818</v>
      </c>
      <c r="H1960" s="11"/>
      <c r="I1960" s="12"/>
      <c r="J1960" s="14"/>
      <c r="K1960" s="14"/>
      <c r="L1960" s="14"/>
      <c r="M1960" s="13"/>
    </row>
    <row r="1961" customFormat="false" ht="15" hidden="false" customHeight="false" outlineLevel="0" collapsed="false">
      <c r="A1961" s="6" t="n">
        <v>1957</v>
      </c>
      <c r="B1961" s="8" t="s">
        <v>3033</v>
      </c>
      <c r="C1961" s="8" t="s">
        <v>1835</v>
      </c>
      <c r="D1961" s="9"/>
      <c r="E1961" s="10"/>
      <c r="F1961" s="11"/>
      <c r="G1961" s="12"/>
      <c r="H1961" s="11" t="n">
        <v>0.00288518518518519</v>
      </c>
      <c r="I1961" s="12" t="n">
        <v>818</v>
      </c>
      <c r="J1961" s="14"/>
      <c r="K1961" s="14"/>
      <c r="L1961" s="14"/>
      <c r="M1961" s="13"/>
    </row>
    <row r="1962" customFormat="false" ht="15" hidden="false" customHeight="false" outlineLevel="0" collapsed="false">
      <c r="A1962" s="6" t="n">
        <v>1958</v>
      </c>
      <c r="B1962" s="8" t="s">
        <v>3034</v>
      </c>
      <c r="C1962" s="8" t="s">
        <v>3035</v>
      </c>
      <c r="D1962" s="9"/>
      <c r="E1962" s="10"/>
      <c r="F1962" s="11" t="n">
        <v>0.00744039351851852</v>
      </c>
      <c r="G1962" s="12" t="n">
        <v>819</v>
      </c>
      <c r="H1962" s="11"/>
      <c r="I1962" s="12"/>
      <c r="J1962" s="14"/>
      <c r="K1962" s="14"/>
      <c r="L1962" s="14"/>
      <c r="M1962" s="13"/>
    </row>
    <row r="1963" customFormat="false" ht="15" hidden="false" customHeight="false" outlineLevel="0" collapsed="false">
      <c r="A1963" s="6" t="n">
        <v>1959</v>
      </c>
      <c r="B1963" s="8" t="s">
        <v>3036</v>
      </c>
      <c r="C1963" s="8" t="s">
        <v>2174</v>
      </c>
      <c r="D1963" s="9"/>
      <c r="E1963" s="10"/>
      <c r="F1963" s="11" t="n">
        <v>0.00744305555555556</v>
      </c>
      <c r="G1963" s="12" t="n">
        <v>820</v>
      </c>
      <c r="H1963" s="11"/>
      <c r="I1963" s="12"/>
      <c r="J1963" s="14"/>
      <c r="K1963" s="14"/>
      <c r="L1963" s="14"/>
      <c r="M1963" s="13"/>
    </row>
    <row r="1964" customFormat="false" ht="15" hidden="false" customHeight="false" outlineLevel="0" collapsed="false">
      <c r="A1964" s="6" t="n">
        <v>1960</v>
      </c>
      <c r="B1964" s="8" t="s">
        <v>3037</v>
      </c>
      <c r="C1964" s="8" t="s">
        <v>2445</v>
      </c>
      <c r="D1964" s="9"/>
      <c r="E1964" s="10"/>
      <c r="F1964" s="11" t="n">
        <v>0.00744328703703704</v>
      </c>
      <c r="G1964" s="12" t="n">
        <v>821</v>
      </c>
      <c r="H1964" s="11"/>
      <c r="I1964" s="12"/>
      <c r="J1964" s="14"/>
      <c r="K1964" s="14"/>
      <c r="L1964" s="14"/>
      <c r="M1964" s="13"/>
    </row>
    <row r="1965" customFormat="false" ht="15" hidden="false" customHeight="false" outlineLevel="0" collapsed="false">
      <c r="A1965" s="6" t="n">
        <v>1961</v>
      </c>
      <c r="B1965" s="8" t="s">
        <v>3038</v>
      </c>
      <c r="C1965" s="8" t="s">
        <v>3039</v>
      </c>
      <c r="D1965" s="9"/>
      <c r="E1965" s="10"/>
      <c r="F1965" s="11" t="n">
        <v>0.00744490740740741</v>
      </c>
      <c r="G1965" s="12" t="n">
        <v>822</v>
      </c>
      <c r="H1965" s="11"/>
      <c r="I1965" s="12"/>
      <c r="J1965" s="14"/>
      <c r="K1965" s="14"/>
      <c r="L1965" s="14"/>
      <c r="M1965" s="13"/>
    </row>
    <row r="1966" customFormat="false" ht="15" hidden="false" customHeight="false" outlineLevel="0" collapsed="false">
      <c r="A1966" s="6" t="n">
        <v>1962</v>
      </c>
      <c r="B1966" s="8" t="s">
        <v>3040</v>
      </c>
      <c r="C1966" s="8" t="s">
        <v>1634</v>
      </c>
      <c r="D1966" s="9"/>
      <c r="E1966" s="10"/>
      <c r="F1966" s="11" t="n">
        <v>0.00744571759259259</v>
      </c>
      <c r="G1966" s="12" t="n">
        <v>823</v>
      </c>
      <c r="H1966" s="11"/>
      <c r="I1966" s="12"/>
      <c r="J1966" s="14"/>
      <c r="K1966" s="14"/>
      <c r="L1966" s="14"/>
      <c r="M1966" s="13"/>
    </row>
    <row r="1967" customFormat="false" ht="15" hidden="false" customHeight="false" outlineLevel="0" collapsed="false">
      <c r="A1967" s="6" t="n">
        <v>1963</v>
      </c>
      <c r="B1967" s="8" t="s">
        <v>3041</v>
      </c>
      <c r="C1967" s="8" t="s">
        <v>2919</v>
      </c>
      <c r="D1967" s="9"/>
      <c r="E1967" s="10"/>
      <c r="F1967" s="11" t="n">
        <v>0.00744675925925926</v>
      </c>
      <c r="G1967" s="12" t="n">
        <v>824</v>
      </c>
      <c r="H1967" s="11"/>
      <c r="I1967" s="12"/>
      <c r="J1967" s="14"/>
      <c r="K1967" s="14"/>
      <c r="L1967" s="14"/>
      <c r="M1967" s="13"/>
    </row>
    <row r="1968" customFormat="false" ht="15" hidden="false" customHeight="false" outlineLevel="0" collapsed="false">
      <c r="A1968" s="6" t="n">
        <v>1964</v>
      </c>
      <c r="B1968" s="8" t="s">
        <v>3042</v>
      </c>
      <c r="C1968" s="8" t="s">
        <v>1202</v>
      </c>
      <c r="D1968" s="9"/>
      <c r="E1968" s="10"/>
      <c r="F1968" s="11" t="n">
        <v>0.00744768518518519</v>
      </c>
      <c r="G1968" s="12" t="n">
        <v>825</v>
      </c>
      <c r="H1968" s="11"/>
      <c r="I1968" s="12"/>
      <c r="J1968" s="14"/>
      <c r="K1968" s="14"/>
      <c r="L1968" s="14"/>
      <c r="M1968" s="13"/>
    </row>
    <row r="1969" customFormat="false" ht="15" hidden="false" customHeight="false" outlineLevel="0" collapsed="false">
      <c r="A1969" s="6" t="n">
        <v>1965</v>
      </c>
      <c r="B1969" s="8" t="s">
        <v>3043</v>
      </c>
      <c r="C1969" s="8" t="s">
        <v>197</v>
      </c>
      <c r="D1969" s="9"/>
      <c r="E1969" s="10"/>
      <c r="F1969" s="11"/>
      <c r="G1969" s="12"/>
      <c r="H1969" s="11" t="n">
        <v>0.00288611111111111</v>
      </c>
      <c r="I1969" s="12" t="n">
        <v>825</v>
      </c>
      <c r="J1969" s="14"/>
      <c r="K1969" s="14"/>
      <c r="L1969" s="14"/>
      <c r="M1969" s="13"/>
    </row>
    <row r="1970" customFormat="false" ht="15" hidden="false" customHeight="false" outlineLevel="0" collapsed="false">
      <c r="A1970" s="6" t="n">
        <v>1966</v>
      </c>
      <c r="B1970" s="8" t="s">
        <v>3044</v>
      </c>
      <c r="C1970" s="8" t="s">
        <v>1327</v>
      </c>
      <c r="D1970" s="9"/>
      <c r="E1970" s="10"/>
      <c r="F1970" s="11" t="n">
        <v>0.00744791666666667</v>
      </c>
      <c r="G1970" s="12" t="n">
        <v>826</v>
      </c>
      <c r="H1970" s="11"/>
      <c r="I1970" s="12"/>
      <c r="J1970" s="14"/>
      <c r="K1970" s="14"/>
      <c r="L1970" s="14"/>
      <c r="M1970" s="13"/>
    </row>
    <row r="1971" customFormat="false" ht="15" hidden="false" customHeight="false" outlineLevel="0" collapsed="false">
      <c r="A1971" s="6" t="n">
        <v>1967</v>
      </c>
      <c r="B1971" s="8" t="s">
        <v>3045</v>
      </c>
      <c r="C1971" s="8" t="s">
        <v>2106</v>
      </c>
      <c r="D1971" s="9"/>
      <c r="E1971" s="10"/>
      <c r="F1971" s="11" t="n">
        <v>0.00825486111111111</v>
      </c>
      <c r="G1971" s="12" t="n">
        <v>1244</v>
      </c>
      <c r="H1971" s="11" t="n">
        <v>0.00288657407407407</v>
      </c>
      <c r="I1971" s="12" t="n">
        <v>827</v>
      </c>
      <c r="J1971" s="14"/>
      <c r="K1971" s="14"/>
      <c r="L1971" s="14"/>
      <c r="M1971" s="13"/>
    </row>
    <row r="1972" customFormat="false" ht="15" hidden="false" customHeight="false" outlineLevel="0" collapsed="false">
      <c r="A1972" s="6" t="n">
        <v>1968</v>
      </c>
      <c r="B1972" s="8" t="s">
        <v>3046</v>
      </c>
      <c r="C1972" s="8" t="s">
        <v>3047</v>
      </c>
      <c r="D1972" s="9"/>
      <c r="E1972" s="10"/>
      <c r="F1972" s="11" t="n">
        <v>0.00744826388888889</v>
      </c>
      <c r="G1972" s="12" t="n">
        <v>827</v>
      </c>
      <c r="H1972" s="11"/>
      <c r="I1972" s="12"/>
      <c r="J1972" s="14"/>
      <c r="K1972" s="14"/>
      <c r="L1972" s="14"/>
      <c r="M1972" s="13"/>
    </row>
    <row r="1973" customFormat="false" ht="15" hidden="false" customHeight="false" outlineLevel="0" collapsed="false">
      <c r="A1973" s="6" t="n">
        <v>1969</v>
      </c>
      <c r="B1973" s="8" t="s">
        <v>3048</v>
      </c>
      <c r="C1973" s="8" t="s">
        <v>3049</v>
      </c>
      <c r="D1973" s="9"/>
      <c r="E1973" s="10"/>
      <c r="F1973" s="11" t="n">
        <v>0.00744872685185185</v>
      </c>
      <c r="G1973" s="12" t="n">
        <v>828</v>
      </c>
      <c r="H1973" s="11" t="n">
        <v>0.00295092592592593</v>
      </c>
      <c r="I1973" s="12" t="n">
        <v>1243</v>
      </c>
      <c r="J1973" s="14"/>
      <c r="K1973" s="14"/>
      <c r="L1973" s="14"/>
      <c r="M1973" s="13"/>
    </row>
    <row r="1974" customFormat="false" ht="15" hidden="false" customHeight="false" outlineLevel="0" collapsed="false">
      <c r="A1974" s="6" t="n">
        <v>1970</v>
      </c>
      <c r="B1974" s="8" t="s">
        <v>3050</v>
      </c>
      <c r="C1974" s="8" t="s">
        <v>3051</v>
      </c>
      <c r="D1974" s="9"/>
      <c r="E1974" s="10"/>
      <c r="F1974" s="11" t="n">
        <v>0.00744953703703704</v>
      </c>
      <c r="G1974" s="12" t="n">
        <v>829</v>
      </c>
      <c r="H1974" s="11"/>
      <c r="I1974" s="12"/>
      <c r="J1974" s="14"/>
      <c r="K1974" s="14"/>
      <c r="L1974" s="14"/>
      <c r="M1974" s="13"/>
    </row>
    <row r="1975" customFormat="false" ht="15" hidden="false" customHeight="false" outlineLevel="0" collapsed="false">
      <c r="A1975" s="6" t="n">
        <v>1971</v>
      </c>
      <c r="B1975" s="8" t="s">
        <v>3052</v>
      </c>
      <c r="C1975" s="8" t="s">
        <v>2803</v>
      </c>
      <c r="D1975" s="9"/>
      <c r="E1975" s="10"/>
      <c r="F1975" s="11" t="n">
        <v>0.00745011574074074</v>
      </c>
      <c r="G1975" s="12" t="n">
        <v>830</v>
      </c>
      <c r="H1975" s="11"/>
      <c r="I1975" s="12"/>
      <c r="J1975" s="14"/>
      <c r="K1975" s="14"/>
      <c r="L1975" s="14"/>
      <c r="M1975" s="13"/>
    </row>
    <row r="1976" customFormat="false" ht="15" hidden="false" customHeight="false" outlineLevel="0" collapsed="false">
      <c r="A1976" s="6" t="n">
        <v>1972</v>
      </c>
      <c r="B1976" s="8" t="s">
        <v>3053</v>
      </c>
      <c r="C1976" s="8" t="s">
        <v>3054</v>
      </c>
      <c r="D1976" s="9"/>
      <c r="E1976" s="10"/>
      <c r="F1976" s="11"/>
      <c r="G1976" s="12"/>
      <c r="H1976" s="11" t="n">
        <v>0.00288668981481482</v>
      </c>
      <c r="I1976" s="12" t="n">
        <v>830</v>
      </c>
      <c r="J1976" s="14"/>
      <c r="K1976" s="14"/>
      <c r="L1976" s="14"/>
      <c r="M1976" s="13"/>
    </row>
    <row r="1977" customFormat="false" ht="15" hidden="false" customHeight="false" outlineLevel="0" collapsed="false">
      <c r="A1977" s="6" t="n">
        <v>1973</v>
      </c>
      <c r="B1977" s="8" t="s">
        <v>3055</v>
      </c>
      <c r="C1977" s="8" t="s">
        <v>3056</v>
      </c>
      <c r="D1977" s="9"/>
      <c r="E1977" s="10"/>
      <c r="F1977" s="11" t="n">
        <v>0.00745162037037037</v>
      </c>
      <c r="G1977" s="12" t="n">
        <v>831</v>
      </c>
      <c r="H1977" s="11"/>
      <c r="I1977" s="12"/>
      <c r="J1977" s="14"/>
      <c r="K1977" s="14"/>
      <c r="L1977" s="14"/>
      <c r="M1977" s="13"/>
    </row>
    <row r="1978" customFormat="false" ht="15" hidden="false" customHeight="false" outlineLevel="0" collapsed="false">
      <c r="A1978" s="6" t="n">
        <v>1974</v>
      </c>
      <c r="B1978" s="8" t="s">
        <v>3057</v>
      </c>
      <c r="C1978" s="8" t="s">
        <v>525</v>
      </c>
      <c r="D1978" s="9"/>
      <c r="E1978" s="10"/>
      <c r="F1978" s="11"/>
      <c r="G1978" s="12"/>
      <c r="H1978" s="11" t="n">
        <v>0.00288680555555556</v>
      </c>
      <c r="I1978" s="12" t="n">
        <v>831</v>
      </c>
      <c r="J1978" s="14"/>
      <c r="K1978" s="14"/>
      <c r="L1978" s="14"/>
      <c r="M1978" s="13"/>
    </row>
    <row r="1979" customFormat="false" ht="15" hidden="false" customHeight="false" outlineLevel="0" collapsed="false">
      <c r="A1979" s="6" t="n">
        <v>1975</v>
      </c>
      <c r="B1979" s="8" t="s">
        <v>3058</v>
      </c>
      <c r="C1979" s="8" t="s">
        <v>851</v>
      </c>
      <c r="D1979" s="9"/>
      <c r="E1979" s="10"/>
      <c r="F1979" s="11" t="n">
        <v>0.0074525462962963</v>
      </c>
      <c r="G1979" s="12" t="n">
        <v>832</v>
      </c>
      <c r="H1979" s="11"/>
      <c r="I1979" s="12"/>
      <c r="J1979" s="14"/>
      <c r="K1979" s="14"/>
      <c r="L1979" s="14"/>
      <c r="M1979" s="13"/>
    </row>
    <row r="1980" customFormat="false" ht="15" hidden="false" customHeight="false" outlineLevel="0" collapsed="false">
      <c r="A1980" s="6" t="n">
        <v>1976</v>
      </c>
      <c r="B1980" s="8" t="s">
        <v>3059</v>
      </c>
      <c r="C1980" s="8" t="s">
        <v>2264</v>
      </c>
      <c r="D1980" s="9"/>
      <c r="E1980" s="10"/>
      <c r="F1980" s="11" t="n">
        <v>0.00745277777777778</v>
      </c>
      <c r="G1980" s="12" t="n">
        <v>833</v>
      </c>
      <c r="H1980" s="11"/>
      <c r="I1980" s="12"/>
      <c r="J1980" s="14"/>
      <c r="K1980" s="14"/>
      <c r="L1980" s="14"/>
      <c r="M1980" s="13"/>
    </row>
    <row r="1981" customFormat="false" ht="15" hidden="false" customHeight="false" outlineLevel="0" collapsed="false">
      <c r="A1981" s="6" t="n">
        <v>1977</v>
      </c>
      <c r="B1981" s="8" t="s">
        <v>3060</v>
      </c>
      <c r="C1981" s="8" t="s">
        <v>3061</v>
      </c>
      <c r="D1981" s="9"/>
      <c r="E1981" s="10"/>
      <c r="F1981" s="11" t="n">
        <v>0.00745289351851852</v>
      </c>
      <c r="G1981" s="12" t="n">
        <v>834</v>
      </c>
      <c r="H1981" s="11"/>
      <c r="I1981" s="12"/>
      <c r="J1981" s="14"/>
      <c r="K1981" s="14"/>
      <c r="L1981" s="14"/>
      <c r="M1981" s="13"/>
    </row>
    <row r="1982" customFormat="false" ht="15" hidden="false" customHeight="false" outlineLevel="0" collapsed="false">
      <c r="A1982" s="6" t="n">
        <v>1978</v>
      </c>
      <c r="B1982" s="8" t="s">
        <v>3062</v>
      </c>
      <c r="C1982" s="8" t="s">
        <v>2496</v>
      </c>
      <c r="D1982" s="9"/>
      <c r="E1982" s="10"/>
      <c r="F1982" s="11"/>
      <c r="G1982" s="12"/>
      <c r="H1982" s="11" t="n">
        <v>0.00288703703703704</v>
      </c>
      <c r="I1982" s="12" t="n">
        <v>834</v>
      </c>
      <c r="J1982" s="14"/>
      <c r="K1982" s="14"/>
      <c r="L1982" s="14"/>
      <c r="M1982" s="13"/>
    </row>
    <row r="1983" customFormat="false" ht="15" hidden="false" customHeight="false" outlineLevel="0" collapsed="false">
      <c r="A1983" s="6" t="n">
        <v>1979</v>
      </c>
      <c r="B1983" s="8" t="s">
        <v>3063</v>
      </c>
      <c r="C1983" s="8" t="s">
        <v>2552</v>
      </c>
      <c r="D1983" s="9"/>
      <c r="E1983" s="10"/>
      <c r="F1983" s="11" t="n">
        <v>0.00745289351851852</v>
      </c>
      <c r="G1983" s="12" t="n">
        <v>835</v>
      </c>
      <c r="H1983" s="11"/>
      <c r="I1983" s="12"/>
      <c r="J1983" s="14"/>
      <c r="K1983" s="14"/>
      <c r="L1983" s="14"/>
      <c r="M1983" s="13"/>
    </row>
    <row r="1984" customFormat="false" ht="15" hidden="false" customHeight="false" outlineLevel="0" collapsed="false">
      <c r="A1984" s="6" t="n">
        <v>1980</v>
      </c>
      <c r="B1984" s="8" t="s">
        <v>3064</v>
      </c>
      <c r="C1984" s="8" t="s">
        <v>3065</v>
      </c>
      <c r="D1984" s="9"/>
      <c r="E1984" s="10"/>
      <c r="F1984" s="11" t="n">
        <v>0.00745347222222222</v>
      </c>
      <c r="G1984" s="12" t="n">
        <v>836</v>
      </c>
      <c r="H1984" s="11"/>
      <c r="I1984" s="12"/>
      <c r="J1984" s="14"/>
      <c r="K1984" s="14"/>
      <c r="L1984" s="14"/>
      <c r="M1984" s="13"/>
    </row>
    <row r="1985" customFormat="false" ht="15" hidden="false" customHeight="false" outlineLevel="0" collapsed="false">
      <c r="A1985" s="6" t="n">
        <v>1981</v>
      </c>
      <c r="B1985" s="8" t="s">
        <v>3066</v>
      </c>
      <c r="C1985" s="8" t="s">
        <v>145</v>
      </c>
      <c r="D1985" s="9"/>
      <c r="E1985" s="10"/>
      <c r="F1985" s="11"/>
      <c r="G1985" s="12"/>
      <c r="H1985" s="11" t="n">
        <v>0.00288703703703704</v>
      </c>
      <c r="I1985" s="12" t="n">
        <v>836</v>
      </c>
      <c r="J1985" s="14"/>
      <c r="K1985" s="14"/>
      <c r="L1985" s="14"/>
      <c r="M1985" s="13"/>
    </row>
    <row r="1986" customFormat="false" ht="15" hidden="false" customHeight="false" outlineLevel="0" collapsed="false">
      <c r="A1986" s="6" t="n">
        <v>1982</v>
      </c>
      <c r="B1986" s="8" t="s">
        <v>3067</v>
      </c>
      <c r="C1986" s="8" t="s">
        <v>3068</v>
      </c>
      <c r="D1986" s="9"/>
      <c r="E1986" s="10"/>
      <c r="F1986" s="11" t="n">
        <v>0.00745405092592593</v>
      </c>
      <c r="G1986" s="12" t="n">
        <v>837</v>
      </c>
      <c r="H1986" s="11"/>
      <c r="I1986" s="12"/>
      <c r="J1986" s="14"/>
      <c r="K1986" s="14"/>
      <c r="L1986" s="14"/>
      <c r="M1986" s="13"/>
    </row>
    <row r="1987" customFormat="false" ht="15" hidden="false" customHeight="false" outlineLevel="0" collapsed="false">
      <c r="A1987" s="6" t="n">
        <v>1983</v>
      </c>
      <c r="B1987" s="8" t="s">
        <v>3069</v>
      </c>
      <c r="C1987" s="8" t="s">
        <v>3070</v>
      </c>
      <c r="D1987" s="9"/>
      <c r="E1987" s="10"/>
      <c r="F1987" s="11" t="n">
        <v>0.00745451388888889</v>
      </c>
      <c r="G1987" s="12" t="n">
        <v>838</v>
      </c>
      <c r="H1987" s="11"/>
      <c r="I1987" s="12"/>
      <c r="J1987" s="14"/>
      <c r="K1987" s="14"/>
      <c r="L1987" s="14"/>
      <c r="M1987" s="13"/>
    </row>
    <row r="1988" customFormat="false" ht="15" hidden="false" customHeight="false" outlineLevel="0" collapsed="false">
      <c r="A1988" s="6" t="n">
        <v>1984</v>
      </c>
      <c r="B1988" s="8" t="s">
        <v>3071</v>
      </c>
      <c r="C1988" s="8" t="s">
        <v>1134</v>
      </c>
      <c r="D1988" s="9"/>
      <c r="E1988" s="10"/>
      <c r="F1988" s="11"/>
      <c r="G1988" s="12"/>
      <c r="H1988" s="11" t="n">
        <v>0.00288738425925926</v>
      </c>
      <c r="I1988" s="12" t="n">
        <v>838</v>
      </c>
      <c r="J1988" s="14"/>
      <c r="K1988" s="14"/>
      <c r="L1988" s="14"/>
      <c r="M1988" s="13"/>
    </row>
    <row r="1989" customFormat="false" ht="15" hidden="false" customHeight="false" outlineLevel="0" collapsed="false">
      <c r="A1989" s="6" t="n">
        <v>1985</v>
      </c>
      <c r="B1989" s="8" t="s">
        <v>3072</v>
      </c>
      <c r="C1989" s="8" t="s">
        <v>3073</v>
      </c>
      <c r="D1989" s="9"/>
      <c r="E1989" s="10"/>
      <c r="F1989" s="11" t="n">
        <v>0.00745520833333333</v>
      </c>
      <c r="G1989" s="12" t="n">
        <v>839</v>
      </c>
      <c r="H1989" s="11"/>
      <c r="I1989" s="12"/>
      <c r="J1989" s="14"/>
      <c r="K1989" s="14"/>
      <c r="L1989" s="14"/>
      <c r="M1989" s="13"/>
    </row>
    <row r="1990" customFormat="false" ht="15" hidden="false" customHeight="false" outlineLevel="0" collapsed="false">
      <c r="A1990" s="6" t="n">
        <v>1986</v>
      </c>
      <c r="B1990" s="8" t="s">
        <v>3074</v>
      </c>
      <c r="C1990" s="8" t="s">
        <v>3075</v>
      </c>
      <c r="D1990" s="9"/>
      <c r="E1990" s="10"/>
      <c r="F1990" s="11" t="n">
        <v>0.00745717592592593</v>
      </c>
      <c r="G1990" s="12" t="n">
        <v>842</v>
      </c>
      <c r="H1990" s="11"/>
      <c r="I1990" s="12"/>
      <c r="J1990" s="14"/>
      <c r="K1990" s="14"/>
      <c r="L1990" s="14"/>
      <c r="M1990" s="13"/>
    </row>
    <row r="1991" customFormat="false" ht="15" hidden="false" customHeight="false" outlineLevel="0" collapsed="false">
      <c r="A1991" s="6" t="n">
        <v>1987</v>
      </c>
      <c r="B1991" s="8" t="s">
        <v>3076</v>
      </c>
      <c r="C1991" s="8" t="s">
        <v>1721</v>
      </c>
      <c r="D1991" s="9"/>
      <c r="E1991" s="10"/>
      <c r="F1991" s="11"/>
      <c r="G1991" s="12"/>
      <c r="H1991" s="11" t="n">
        <v>0.00288773148148148</v>
      </c>
      <c r="I1991" s="12" t="n">
        <v>842</v>
      </c>
      <c r="J1991" s="14"/>
      <c r="K1991" s="14"/>
      <c r="L1991" s="14"/>
      <c r="M1991" s="13"/>
    </row>
    <row r="1992" customFormat="false" ht="15" hidden="false" customHeight="false" outlineLevel="0" collapsed="false">
      <c r="A1992" s="6" t="n">
        <v>1988</v>
      </c>
      <c r="B1992" s="8" t="s">
        <v>3077</v>
      </c>
      <c r="C1992" s="8" t="s">
        <v>447</v>
      </c>
      <c r="D1992" s="9"/>
      <c r="E1992" s="10"/>
      <c r="F1992" s="11" t="n">
        <v>0.00745833333333333</v>
      </c>
      <c r="G1992" s="12" t="n">
        <v>843</v>
      </c>
      <c r="H1992" s="11"/>
      <c r="I1992" s="12"/>
      <c r="J1992" s="14"/>
      <c r="K1992" s="14"/>
      <c r="L1992" s="14"/>
      <c r="M1992" s="13"/>
    </row>
    <row r="1993" customFormat="false" ht="15" hidden="false" customHeight="false" outlineLevel="0" collapsed="false">
      <c r="A1993" s="6" t="n">
        <v>1989</v>
      </c>
      <c r="B1993" s="8" t="s">
        <v>3078</v>
      </c>
      <c r="C1993" s="8" t="s">
        <v>3079</v>
      </c>
      <c r="D1993" s="9"/>
      <c r="E1993" s="10"/>
      <c r="F1993" s="11"/>
      <c r="G1993" s="12"/>
      <c r="H1993" s="11" t="n">
        <v>0.00288784722222222</v>
      </c>
      <c r="I1993" s="12" t="n">
        <v>843</v>
      </c>
      <c r="J1993" s="14"/>
      <c r="K1993" s="14"/>
      <c r="L1993" s="14"/>
      <c r="M1993" s="13"/>
    </row>
    <row r="1994" customFormat="false" ht="15" hidden="false" customHeight="false" outlineLevel="0" collapsed="false">
      <c r="A1994" s="6" t="n">
        <v>1990</v>
      </c>
      <c r="B1994" s="8" t="s">
        <v>3080</v>
      </c>
      <c r="C1994" s="8" t="s">
        <v>1541</v>
      </c>
      <c r="D1994" s="9"/>
      <c r="E1994" s="10"/>
      <c r="F1994" s="11" t="n">
        <v>0.00745972222222222</v>
      </c>
      <c r="G1994" s="12" t="n">
        <v>844</v>
      </c>
      <c r="H1994" s="11"/>
      <c r="I1994" s="12"/>
      <c r="J1994" s="14"/>
      <c r="K1994" s="14"/>
      <c r="L1994" s="14"/>
      <c r="M1994" s="13"/>
    </row>
    <row r="1995" customFormat="false" ht="15" hidden="false" customHeight="false" outlineLevel="0" collapsed="false">
      <c r="A1995" s="6" t="n">
        <v>1991</v>
      </c>
      <c r="B1995" s="8" t="s">
        <v>3081</v>
      </c>
      <c r="C1995" s="8" t="s">
        <v>3082</v>
      </c>
      <c r="D1995" s="9"/>
      <c r="E1995" s="10"/>
      <c r="F1995" s="11" t="n">
        <v>0.00746041666666667</v>
      </c>
      <c r="G1995" s="12" t="n">
        <v>845</v>
      </c>
      <c r="H1995" s="11"/>
      <c r="I1995" s="12"/>
      <c r="J1995" s="14"/>
      <c r="K1995" s="14"/>
      <c r="L1995" s="14"/>
      <c r="M1995" s="13"/>
    </row>
    <row r="1996" customFormat="false" ht="15" hidden="false" customHeight="false" outlineLevel="0" collapsed="false">
      <c r="A1996" s="6" t="n">
        <v>1992</v>
      </c>
      <c r="B1996" s="8" t="s">
        <v>3083</v>
      </c>
      <c r="C1996" s="8" t="s">
        <v>1248</v>
      </c>
      <c r="D1996" s="9"/>
      <c r="E1996" s="10"/>
      <c r="F1996" s="11" t="n">
        <v>0.00746122685185185</v>
      </c>
      <c r="G1996" s="12" t="n">
        <v>846</v>
      </c>
      <c r="H1996" s="11"/>
      <c r="I1996" s="12"/>
      <c r="J1996" s="14"/>
      <c r="K1996" s="14"/>
      <c r="L1996" s="14"/>
      <c r="M1996" s="13"/>
    </row>
    <row r="1997" customFormat="false" ht="15" hidden="false" customHeight="false" outlineLevel="0" collapsed="false">
      <c r="A1997" s="6" t="n">
        <v>1993</v>
      </c>
      <c r="B1997" s="8" t="s">
        <v>3084</v>
      </c>
      <c r="C1997" s="8" t="s">
        <v>1689</v>
      </c>
      <c r="D1997" s="9"/>
      <c r="E1997" s="10"/>
      <c r="F1997" s="11"/>
      <c r="G1997" s="12"/>
      <c r="H1997" s="11" t="n">
        <v>0.00288784722222222</v>
      </c>
      <c r="I1997" s="12" t="n">
        <v>846</v>
      </c>
      <c r="J1997" s="14"/>
      <c r="K1997" s="14"/>
      <c r="L1997" s="14"/>
      <c r="M1997" s="13"/>
    </row>
    <row r="1998" customFormat="false" ht="15" hidden="false" customHeight="false" outlineLevel="0" collapsed="false">
      <c r="A1998" s="6" t="n">
        <v>1994</v>
      </c>
      <c r="B1998" s="8" t="s">
        <v>3085</v>
      </c>
      <c r="C1998" s="8" t="s">
        <v>3086</v>
      </c>
      <c r="D1998" s="9"/>
      <c r="E1998" s="10"/>
      <c r="F1998" s="11" t="n">
        <v>0.0074619212962963</v>
      </c>
      <c r="G1998" s="12" t="n">
        <v>847</v>
      </c>
      <c r="H1998" s="11"/>
      <c r="I1998" s="12"/>
      <c r="J1998" s="14"/>
      <c r="K1998" s="14"/>
      <c r="L1998" s="14"/>
      <c r="M1998" s="13"/>
    </row>
    <row r="1999" customFormat="false" ht="15" hidden="false" customHeight="false" outlineLevel="0" collapsed="false">
      <c r="A1999" s="6" t="n">
        <v>1995</v>
      </c>
      <c r="B1999" s="8" t="s">
        <v>3087</v>
      </c>
      <c r="C1999" s="8" t="s">
        <v>3088</v>
      </c>
      <c r="D1999" s="9"/>
      <c r="E1999" s="10"/>
      <c r="F1999" s="11" t="n">
        <v>0.00746203703703704</v>
      </c>
      <c r="G1999" s="12" t="n">
        <v>848</v>
      </c>
      <c r="H1999" s="11"/>
      <c r="I1999" s="12"/>
      <c r="J1999" s="14"/>
      <c r="K1999" s="14"/>
      <c r="L1999" s="14"/>
      <c r="M1999" s="13"/>
    </row>
    <row r="2000" customFormat="false" ht="15" hidden="false" customHeight="false" outlineLevel="0" collapsed="false">
      <c r="A2000" s="6" t="n">
        <v>1996</v>
      </c>
      <c r="B2000" s="8" t="s">
        <v>3089</v>
      </c>
      <c r="C2000" s="8" t="s">
        <v>3090</v>
      </c>
      <c r="D2000" s="9"/>
      <c r="E2000" s="10"/>
      <c r="F2000" s="11" t="n">
        <v>0.0074625</v>
      </c>
      <c r="G2000" s="12" t="n">
        <v>849</v>
      </c>
      <c r="H2000" s="11"/>
      <c r="I2000" s="12"/>
      <c r="J2000" s="14"/>
      <c r="K2000" s="14"/>
      <c r="L2000" s="14"/>
      <c r="M2000" s="13"/>
    </row>
    <row r="2001" customFormat="false" ht="15" hidden="false" customHeight="false" outlineLevel="0" collapsed="false">
      <c r="A2001" s="6" t="n">
        <v>1997</v>
      </c>
      <c r="B2001" s="8" t="s">
        <v>3091</v>
      </c>
      <c r="C2001" s="8" t="s">
        <v>25</v>
      </c>
      <c r="D2001" s="9"/>
      <c r="E2001" s="10"/>
      <c r="F2001" s="11"/>
      <c r="G2001" s="12"/>
      <c r="H2001" s="11" t="n">
        <v>0.00288819444444445</v>
      </c>
      <c r="I2001" s="12" t="n">
        <v>849</v>
      </c>
      <c r="J2001" s="14"/>
      <c r="K2001" s="14"/>
      <c r="L2001" s="14"/>
      <c r="M2001" s="13"/>
    </row>
    <row r="2002" customFormat="false" ht="15" hidden="false" customHeight="false" outlineLevel="0" collapsed="false">
      <c r="A2002" s="6" t="n">
        <v>1998</v>
      </c>
      <c r="B2002" s="8" t="s">
        <v>3092</v>
      </c>
      <c r="C2002" s="8" t="s">
        <v>2290</v>
      </c>
      <c r="D2002" s="9"/>
      <c r="E2002" s="10"/>
      <c r="F2002" s="11" t="n">
        <v>0.0074625</v>
      </c>
      <c r="G2002" s="12" t="n">
        <v>850</v>
      </c>
      <c r="H2002" s="11"/>
      <c r="I2002" s="12"/>
      <c r="J2002" s="14"/>
      <c r="K2002" s="14"/>
      <c r="L2002" s="14"/>
      <c r="M2002" s="13"/>
    </row>
    <row r="2003" customFormat="false" ht="15" hidden="false" customHeight="false" outlineLevel="0" collapsed="false">
      <c r="A2003" s="6" t="n">
        <v>1999</v>
      </c>
      <c r="B2003" s="8" t="s">
        <v>3093</v>
      </c>
      <c r="C2003" s="8" t="s">
        <v>3094</v>
      </c>
      <c r="D2003" s="9"/>
      <c r="E2003" s="10"/>
      <c r="F2003" s="11"/>
      <c r="G2003" s="12"/>
      <c r="H2003" s="11" t="n">
        <v>0.00288819444444445</v>
      </c>
      <c r="I2003" s="12" t="n">
        <v>850</v>
      </c>
      <c r="J2003" s="14"/>
      <c r="K2003" s="14"/>
      <c r="L2003" s="14"/>
      <c r="M2003" s="13"/>
    </row>
    <row r="2004" customFormat="false" ht="15" hidden="false" customHeight="false" outlineLevel="0" collapsed="false">
      <c r="A2004" s="6" t="n">
        <v>2000</v>
      </c>
      <c r="B2004" s="8" t="s">
        <v>3095</v>
      </c>
      <c r="C2004" s="8" t="s">
        <v>3096</v>
      </c>
      <c r="D2004" s="9"/>
      <c r="E2004" s="10"/>
      <c r="F2004" s="11" t="n">
        <v>0.0074630787037037</v>
      </c>
      <c r="G2004" s="12" t="n">
        <v>851</v>
      </c>
      <c r="H2004" s="11"/>
      <c r="I2004" s="12"/>
      <c r="J2004" s="14"/>
      <c r="K2004" s="14"/>
      <c r="L2004" s="14"/>
      <c r="M2004" s="13"/>
    </row>
    <row r="2005" customFormat="false" ht="15" hidden="false" customHeight="false" outlineLevel="0" collapsed="false">
      <c r="A2005" s="6" t="n">
        <v>2001</v>
      </c>
      <c r="B2005" s="8" t="s">
        <v>3097</v>
      </c>
      <c r="C2005" s="8" t="s">
        <v>1520</v>
      </c>
      <c r="D2005" s="9"/>
      <c r="E2005" s="10"/>
      <c r="F2005" s="11" t="n">
        <v>0.00746377314814815</v>
      </c>
      <c r="G2005" s="12" t="n">
        <v>852</v>
      </c>
      <c r="H2005" s="11"/>
      <c r="I2005" s="12"/>
      <c r="J2005" s="14"/>
      <c r="K2005" s="14"/>
      <c r="L2005" s="14"/>
      <c r="M2005" s="13"/>
    </row>
    <row r="2006" customFormat="false" ht="15" hidden="false" customHeight="false" outlineLevel="0" collapsed="false">
      <c r="A2006" s="6" t="n">
        <v>2002</v>
      </c>
      <c r="B2006" s="8" t="s">
        <v>3098</v>
      </c>
      <c r="C2006" s="8" t="s">
        <v>3099</v>
      </c>
      <c r="D2006" s="9"/>
      <c r="E2006" s="10"/>
      <c r="F2006" s="11" t="n">
        <v>0.00746412037037037</v>
      </c>
      <c r="G2006" s="12" t="n">
        <v>853</v>
      </c>
      <c r="H2006" s="11"/>
      <c r="I2006" s="12"/>
      <c r="J2006" s="14"/>
      <c r="K2006" s="14"/>
      <c r="L2006" s="14"/>
      <c r="M2006" s="13"/>
    </row>
    <row r="2007" customFormat="false" ht="15" hidden="false" customHeight="false" outlineLevel="0" collapsed="false">
      <c r="A2007" s="6" t="n">
        <v>2003</v>
      </c>
      <c r="B2007" s="8" t="s">
        <v>3100</v>
      </c>
      <c r="C2007" s="8" t="s">
        <v>3101</v>
      </c>
      <c r="D2007" s="9"/>
      <c r="E2007" s="10"/>
      <c r="F2007" s="11" t="n">
        <v>0.00746412037037037</v>
      </c>
      <c r="G2007" s="12" t="n">
        <v>854</v>
      </c>
      <c r="H2007" s="11"/>
      <c r="I2007" s="12"/>
      <c r="J2007" s="14"/>
      <c r="K2007" s="14"/>
      <c r="L2007" s="14"/>
      <c r="M2007" s="13"/>
    </row>
    <row r="2008" customFormat="false" ht="15" hidden="false" customHeight="false" outlineLevel="0" collapsed="false">
      <c r="A2008" s="6" t="n">
        <v>2004</v>
      </c>
      <c r="B2008" s="8" t="s">
        <v>3102</v>
      </c>
      <c r="C2008" s="8" t="s">
        <v>1761</v>
      </c>
      <c r="D2008" s="9"/>
      <c r="E2008" s="10"/>
      <c r="F2008" s="11" t="n">
        <v>0.00746527777777778</v>
      </c>
      <c r="G2008" s="12" t="n">
        <v>855</v>
      </c>
      <c r="H2008" s="11"/>
      <c r="I2008" s="12"/>
      <c r="J2008" s="14"/>
      <c r="K2008" s="14"/>
      <c r="L2008" s="14"/>
      <c r="M2008" s="13"/>
    </row>
    <row r="2009" customFormat="false" ht="15" hidden="false" customHeight="false" outlineLevel="0" collapsed="false">
      <c r="A2009" s="6" t="n">
        <v>2005</v>
      </c>
      <c r="B2009" s="8" t="s">
        <v>3103</v>
      </c>
      <c r="C2009" s="8" t="s">
        <v>866</v>
      </c>
      <c r="D2009" s="9"/>
      <c r="E2009" s="10"/>
      <c r="F2009" s="11" t="n">
        <v>0.00746666666666667</v>
      </c>
      <c r="G2009" s="12" t="n">
        <v>856</v>
      </c>
      <c r="H2009" s="11"/>
      <c r="I2009" s="12"/>
      <c r="J2009" s="14"/>
      <c r="K2009" s="14"/>
      <c r="L2009" s="14"/>
      <c r="M2009" s="13"/>
    </row>
    <row r="2010" customFormat="false" ht="15" hidden="false" customHeight="false" outlineLevel="0" collapsed="false">
      <c r="A2010" s="6" t="n">
        <v>2006</v>
      </c>
      <c r="B2010" s="8" t="s">
        <v>3104</v>
      </c>
      <c r="C2010" s="8" t="s">
        <v>3105</v>
      </c>
      <c r="D2010" s="9"/>
      <c r="E2010" s="10"/>
      <c r="F2010" s="11"/>
      <c r="G2010" s="12"/>
      <c r="H2010" s="11" t="n">
        <v>0.00288912037037037</v>
      </c>
      <c r="I2010" s="12" t="n">
        <v>856</v>
      </c>
      <c r="J2010" s="14"/>
      <c r="K2010" s="14"/>
      <c r="L2010" s="14"/>
      <c r="M2010" s="13"/>
    </row>
    <row r="2011" customFormat="false" ht="15" hidden="false" customHeight="false" outlineLevel="0" collapsed="false">
      <c r="A2011" s="6" t="n">
        <v>2007</v>
      </c>
      <c r="B2011" s="8" t="s">
        <v>3106</v>
      </c>
      <c r="C2011" s="8" t="s">
        <v>1116</v>
      </c>
      <c r="D2011" s="9"/>
      <c r="E2011" s="10"/>
      <c r="F2011" s="11" t="n">
        <v>0.00746793981481482</v>
      </c>
      <c r="G2011" s="12" t="n">
        <v>858</v>
      </c>
      <c r="H2011" s="11"/>
      <c r="I2011" s="12"/>
      <c r="J2011" s="14"/>
      <c r="K2011" s="14"/>
      <c r="L2011" s="14"/>
      <c r="M2011" s="13"/>
    </row>
    <row r="2012" customFormat="false" ht="15" hidden="false" customHeight="false" outlineLevel="0" collapsed="false">
      <c r="A2012" s="6" t="n">
        <v>2008</v>
      </c>
      <c r="B2012" s="8" t="s">
        <v>3107</v>
      </c>
      <c r="C2012" s="8" t="s">
        <v>922</v>
      </c>
      <c r="D2012" s="9"/>
      <c r="E2012" s="10"/>
      <c r="F2012" s="11" t="n">
        <v>0.00746956018518519</v>
      </c>
      <c r="G2012" s="12" t="n">
        <v>859</v>
      </c>
      <c r="H2012" s="11"/>
      <c r="I2012" s="12"/>
      <c r="J2012" s="14"/>
      <c r="K2012" s="14"/>
      <c r="L2012" s="14"/>
      <c r="M2012" s="13"/>
    </row>
    <row r="2013" customFormat="false" ht="15" hidden="false" customHeight="false" outlineLevel="0" collapsed="false">
      <c r="A2013" s="6" t="n">
        <v>2009</v>
      </c>
      <c r="B2013" s="8" t="s">
        <v>3108</v>
      </c>
      <c r="C2013" s="8" t="s">
        <v>2195</v>
      </c>
      <c r="D2013" s="9"/>
      <c r="E2013" s="10"/>
      <c r="F2013" s="11" t="n">
        <v>0.00747141203703704</v>
      </c>
      <c r="G2013" s="12" t="n">
        <v>860</v>
      </c>
      <c r="H2013" s="11" t="n">
        <v>0.00292881944444444</v>
      </c>
      <c r="I2013" s="12" t="n">
        <v>1170</v>
      </c>
      <c r="J2013" s="14"/>
      <c r="K2013" s="14"/>
      <c r="L2013" s="14"/>
      <c r="M2013" s="13"/>
    </row>
    <row r="2014" customFormat="false" ht="15" hidden="false" customHeight="false" outlineLevel="0" collapsed="false">
      <c r="A2014" s="6" t="n">
        <v>2010</v>
      </c>
      <c r="B2014" s="8" t="s">
        <v>3109</v>
      </c>
      <c r="C2014" s="8" t="s">
        <v>375</v>
      </c>
      <c r="D2014" s="9"/>
      <c r="E2014" s="10"/>
      <c r="F2014" s="11"/>
      <c r="G2014" s="12"/>
      <c r="H2014" s="11" t="n">
        <v>0.00288946759259259</v>
      </c>
      <c r="I2014" s="12" t="n">
        <v>860</v>
      </c>
      <c r="J2014" s="14"/>
      <c r="K2014" s="14"/>
      <c r="L2014" s="14"/>
      <c r="M2014" s="13"/>
    </row>
    <row r="2015" customFormat="false" ht="15" hidden="false" customHeight="false" outlineLevel="0" collapsed="false">
      <c r="A2015" s="6" t="n">
        <v>2011</v>
      </c>
      <c r="B2015" s="8" t="s">
        <v>3110</v>
      </c>
      <c r="C2015" s="8" t="s">
        <v>1669</v>
      </c>
      <c r="D2015" s="9"/>
      <c r="E2015" s="10"/>
      <c r="F2015" s="11" t="n">
        <v>0.00747418981481482</v>
      </c>
      <c r="G2015" s="12" t="n">
        <v>861</v>
      </c>
      <c r="H2015" s="11"/>
      <c r="I2015" s="12"/>
      <c r="J2015" s="14"/>
      <c r="K2015" s="14"/>
      <c r="L2015" s="14"/>
      <c r="M2015" s="13"/>
    </row>
    <row r="2016" customFormat="false" ht="15" hidden="false" customHeight="false" outlineLevel="0" collapsed="false">
      <c r="A2016" s="6" t="n">
        <v>2012</v>
      </c>
      <c r="B2016" s="8" t="s">
        <v>3111</v>
      </c>
      <c r="C2016" s="8" t="s">
        <v>1323</v>
      </c>
      <c r="D2016" s="9"/>
      <c r="E2016" s="10"/>
      <c r="F2016" s="11"/>
      <c r="G2016" s="12"/>
      <c r="H2016" s="11" t="n">
        <v>0.00288958333333333</v>
      </c>
      <c r="I2016" s="12" t="n">
        <v>861</v>
      </c>
      <c r="J2016" s="14"/>
      <c r="K2016" s="14"/>
      <c r="L2016" s="14"/>
      <c r="M2016" s="13"/>
    </row>
    <row r="2017" customFormat="false" ht="15" hidden="false" customHeight="false" outlineLevel="0" collapsed="false">
      <c r="A2017" s="6" t="n">
        <v>2013</v>
      </c>
      <c r="B2017" s="8" t="s">
        <v>3112</v>
      </c>
      <c r="C2017" s="8" t="s">
        <v>3113</v>
      </c>
      <c r="D2017" s="9"/>
      <c r="E2017" s="10"/>
      <c r="F2017" s="11" t="n">
        <v>0.0074744212962963</v>
      </c>
      <c r="G2017" s="12" t="n">
        <v>862</v>
      </c>
      <c r="H2017" s="11"/>
      <c r="I2017" s="12"/>
      <c r="J2017" s="14"/>
      <c r="K2017" s="14"/>
      <c r="L2017" s="14"/>
      <c r="M2017" s="13"/>
    </row>
    <row r="2018" customFormat="false" ht="15" hidden="false" customHeight="false" outlineLevel="0" collapsed="false">
      <c r="A2018" s="6" t="n">
        <v>2014</v>
      </c>
      <c r="B2018" s="8" t="s">
        <v>3114</v>
      </c>
      <c r="C2018" s="8" t="s">
        <v>616</v>
      </c>
      <c r="D2018" s="9"/>
      <c r="E2018" s="10"/>
      <c r="F2018" s="11" t="n">
        <v>0.00747476851851852</v>
      </c>
      <c r="G2018" s="12" t="n">
        <v>863</v>
      </c>
      <c r="H2018" s="11"/>
      <c r="I2018" s="12"/>
      <c r="J2018" s="14"/>
      <c r="K2018" s="14"/>
      <c r="L2018" s="14"/>
      <c r="M2018" s="13"/>
    </row>
    <row r="2019" customFormat="false" ht="15" hidden="false" customHeight="false" outlineLevel="0" collapsed="false">
      <c r="A2019" s="6" t="n">
        <v>2015</v>
      </c>
      <c r="B2019" s="8" t="s">
        <v>3115</v>
      </c>
      <c r="C2019" s="8" t="s">
        <v>266</v>
      </c>
      <c r="D2019" s="9"/>
      <c r="E2019" s="10"/>
      <c r="F2019" s="11"/>
      <c r="G2019" s="12"/>
      <c r="H2019" s="11" t="n">
        <v>0.00288981481481482</v>
      </c>
      <c r="I2019" s="12" t="n">
        <v>863</v>
      </c>
      <c r="J2019" s="14"/>
      <c r="K2019" s="14"/>
      <c r="L2019" s="14"/>
      <c r="M2019" s="13"/>
    </row>
    <row r="2020" customFormat="false" ht="15" hidden="false" customHeight="false" outlineLevel="0" collapsed="false">
      <c r="A2020" s="6" t="n">
        <v>2016</v>
      </c>
      <c r="B2020" s="8" t="s">
        <v>3116</v>
      </c>
      <c r="C2020" s="8" t="s">
        <v>2029</v>
      </c>
      <c r="D2020" s="9"/>
      <c r="E2020" s="10"/>
      <c r="F2020" s="11" t="n">
        <v>0.007475</v>
      </c>
      <c r="G2020" s="12" t="n">
        <v>864</v>
      </c>
      <c r="H2020" s="11"/>
      <c r="I2020" s="12"/>
      <c r="J2020" s="14"/>
      <c r="K2020" s="14"/>
      <c r="L2020" s="14"/>
      <c r="M2020" s="13"/>
    </row>
    <row r="2021" customFormat="false" ht="15" hidden="false" customHeight="false" outlineLevel="0" collapsed="false">
      <c r="A2021" s="6" t="n">
        <v>2017</v>
      </c>
      <c r="B2021" s="8" t="s">
        <v>3117</v>
      </c>
      <c r="C2021" s="8" t="s">
        <v>479</v>
      </c>
      <c r="D2021" s="9"/>
      <c r="E2021" s="10"/>
      <c r="F2021" s="11" t="n">
        <v>0.00747627314814815</v>
      </c>
      <c r="G2021" s="12" t="n">
        <v>865</v>
      </c>
      <c r="H2021" s="11"/>
      <c r="I2021" s="12"/>
      <c r="J2021" s="14"/>
      <c r="K2021" s="14"/>
      <c r="L2021" s="14"/>
      <c r="M2021" s="13"/>
    </row>
    <row r="2022" customFormat="false" ht="15" hidden="false" customHeight="false" outlineLevel="0" collapsed="false">
      <c r="A2022" s="6" t="n">
        <v>2018</v>
      </c>
      <c r="B2022" s="8" t="s">
        <v>3118</v>
      </c>
      <c r="C2022" s="8" t="s">
        <v>363</v>
      </c>
      <c r="D2022" s="9"/>
      <c r="E2022" s="10"/>
      <c r="F2022" s="11"/>
      <c r="G2022" s="12"/>
      <c r="H2022" s="11" t="n">
        <v>0.00288993055555556</v>
      </c>
      <c r="I2022" s="12" t="n">
        <v>865</v>
      </c>
      <c r="J2022" s="14"/>
      <c r="K2022" s="14"/>
      <c r="L2022" s="14"/>
      <c r="M2022" s="13"/>
    </row>
    <row r="2023" customFormat="false" ht="15" hidden="false" customHeight="false" outlineLevel="0" collapsed="false">
      <c r="A2023" s="6" t="n">
        <v>2019</v>
      </c>
      <c r="B2023" s="8" t="s">
        <v>3119</v>
      </c>
      <c r="C2023" s="8" t="s">
        <v>3120</v>
      </c>
      <c r="D2023" s="9"/>
      <c r="E2023" s="10"/>
      <c r="F2023" s="11" t="n">
        <v>0.00747708333333333</v>
      </c>
      <c r="G2023" s="12" t="n">
        <v>866</v>
      </c>
      <c r="H2023" s="11"/>
      <c r="I2023" s="12"/>
      <c r="J2023" s="14"/>
      <c r="K2023" s="14"/>
      <c r="L2023" s="14"/>
      <c r="M2023" s="13"/>
    </row>
    <row r="2024" customFormat="false" ht="15" hidden="false" customHeight="false" outlineLevel="0" collapsed="false">
      <c r="A2024" s="6" t="n">
        <v>2020</v>
      </c>
      <c r="B2024" s="8" t="s">
        <v>3121</v>
      </c>
      <c r="C2024" s="8" t="s">
        <v>3049</v>
      </c>
      <c r="D2024" s="9"/>
      <c r="E2024" s="10"/>
      <c r="F2024" s="11" t="n">
        <v>0.00747708333333333</v>
      </c>
      <c r="G2024" s="12" t="n">
        <v>867</v>
      </c>
      <c r="H2024" s="11"/>
      <c r="I2024" s="12"/>
      <c r="J2024" s="14"/>
      <c r="K2024" s="14"/>
      <c r="L2024" s="14"/>
      <c r="M2024" s="13"/>
    </row>
    <row r="2025" customFormat="false" ht="15" hidden="false" customHeight="false" outlineLevel="0" collapsed="false">
      <c r="A2025" s="6" t="n">
        <v>2021</v>
      </c>
      <c r="B2025" s="8" t="s">
        <v>3122</v>
      </c>
      <c r="C2025" s="8" t="s">
        <v>973</v>
      </c>
      <c r="D2025" s="9"/>
      <c r="E2025" s="10"/>
      <c r="F2025" s="11"/>
      <c r="G2025" s="12"/>
      <c r="H2025" s="11" t="n">
        <v>0.00289016203703704</v>
      </c>
      <c r="I2025" s="12" t="n">
        <v>867</v>
      </c>
      <c r="J2025" s="14"/>
      <c r="K2025" s="14" t="s">
        <v>3123</v>
      </c>
      <c r="L2025" s="14"/>
      <c r="M2025" s="13"/>
    </row>
    <row r="2026" customFormat="false" ht="15" hidden="false" customHeight="false" outlineLevel="0" collapsed="false">
      <c r="A2026" s="6" t="n">
        <v>2022</v>
      </c>
      <c r="B2026" s="8" t="s">
        <v>3124</v>
      </c>
      <c r="C2026" s="8" t="s">
        <v>3125</v>
      </c>
      <c r="D2026" s="9"/>
      <c r="E2026" s="10"/>
      <c r="F2026" s="11" t="n">
        <v>0.0074775462962963</v>
      </c>
      <c r="G2026" s="12" t="n">
        <v>868</v>
      </c>
      <c r="H2026" s="11"/>
      <c r="I2026" s="12"/>
      <c r="J2026" s="14"/>
      <c r="K2026" s="14"/>
      <c r="L2026" s="14"/>
      <c r="M2026" s="13"/>
    </row>
    <row r="2027" customFormat="false" ht="15" hidden="false" customHeight="false" outlineLevel="0" collapsed="false">
      <c r="A2027" s="6" t="n">
        <v>2023</v>
      </c>
      <c r="B2027" s="8" t="s">
        <v>3126</v>
      </c>
      <c r="C2027" s="8" t="s">
        <v>3127</v>
      </c>
      <c r="D2027" s="9"/>
      <c r="E2027" s="10"/>
      <c r="F2027" s="11"/>
      <c r="G2027" s="12"/>
      <c r="H2027" s="11" t="n">
        <v>0.00289027777777778</v>
      </c>
      <c r="I2027" s="12" t="n">
        <v>869</v>
      </c>
      <c r="J2027" s="14"/>
      <c r="K2027" s="14"/>
      <c r="L2027" s="14"/>
      <c r="M2027" s="13"/>
    </row>
    <row r="2028" customFormat="false" ht="15" hidden="false" customHeight="false" outlineLevel="0" collapsed="false">
      <c r="A2028" s="6" t="n">
        <v>2024</v>
      </c>
      <c r="B2028" s="8" t="s">
        <v>3128</v>
      </c>
      <c r="C2028" s="8" t="s">
        <v>3129</v>
      </c>
      <c r="D2028" s="9"/>
      <c r="E2028" s="10"/>
      <c r="F2028" s="11" t="n">
        <v>0.00748043981481481</v>
      </c>
      <c r="G2028" s="12" t="n">
        <v>870</v>
      </c>
      <c r="H2028" s="11"/>
      <c r="I2028" s="12"/>
      <c r="J2028" s="14"/>
      <c r="K2028" s="14"/>
      <c r="L2028" s="14"/>
      <c r="M2028" s="13"/>
    </row>
    <row r="2029" customFormat="false" ht="15" hidden="false" customHeight="false" outlineLevel="0" collapsed="false">
      <c r="A2029" s="6" t="n">
        <v>2025</v>
      </c>
      <c r="B2029" s="8" t="s">
        <v>3130</v>
      </c>
      <c r="C2029" s="8" t="s">
        <v>1323</v>
      </c>
      <c r="D2029" s="9"/>
      <c r="E2029" s="10"/>
      <c r="F2029" s="11"/>
      <c r="G2029" s="12"/>
      <c r="H2029" s="11" t="n">
        <v>0.00289039351851852</v>
      </c>
      <c r="I2029" s="12" t="n">
        <v>870</v>
      </c>
      <c r="J2029" s="14"/>
      <c r="K2029" s="14"/>
      <c r="L2029" s="14"/>
      <c r="M2029" s="13"/>
    </row>
    <row r="2030" customFormat="false" ht="15" hidden="false" customHeight="false" outlineLevel="0" collapsed="false">
      <c r="A2030" s="6" t="n">
        <v>2026</v>
      </c>
      <c r="B2030" s="8" t="s">
        <v>3131</v>
      </c>
      <c r="C2030" s="8" t="s">
        <v>3132</v>
      </c>
      <c r="D2030" s="9"/>
      <c r="E2030" s="10"/>
      <c r="F2030" s="11" t="n">
        <v>0.00748101851851852</v>
      </c>
      <c r="G2030" s="12" t="n">
        <v>871</v>
      </c>
      <c r="H2030" s="11"/>
      <c r="I2030" s="12"/>
      <c r="J2030" s="14"/>
      <c r="K2030" s="14"/>
      <c r="L2030" s="14"/>
      <c r="M2030" s="13"/>
    </row>
    <row r="2031" customFormat="false" ht="15" hidden="false" customHeight="false" outlineLevel="0" collapsed="false">
      <c r="A2031" s="6" t="n">
        <v>2027</v>
      </c>
      <c r="B2031" s="8" t="s">
        <v>3133</v>
      </c>
      <c r="C2031" s="8" t="s">
        <v>3134</v>
      </c>
      <c r="D2031" s="9"/>
      <c r="E2031" s="10"/>
      <c r="F2031" s="11" t="n">
        <v>0.00748101851851852</v>
      </c>
      <c r="G2031" s="12" t="n">
        <v>872</v>
      </c>
      <c r="H2031" s="11"/>
      <c r="I2031" s="12"/>
      <c r="J2031" s="14"/>
      <c r="K2031" s="14"/>
      <c r="L2031" s="14"/>
      <c r="M2031" s="13"/>
    </row>
    <row r="2032" customFormat="false" ht="15" hidden="false" customHeight="false" outlineLevel="0" collapsed="false">
      <c r="A2032" s="6" t="n">
        <v>2028</v>
      </c>
      <c r="B2032" s="8" t="s">
        <v>3135</v>
      </c>
      <c r="C2032" s="8" t="s">
        <v>3136</v>
      </c>
      <c r="D2032" s="9"/>
      <c r="E2032" s="10"/>
      <c r="F2032" s="11" t="n">
        <v>0.0074818287037037</v>
      </c>
      <c r="G2032" s="12" t="n">
        <v>873</v>
      </c>
      <c r="H2032" s="11"/>
      <c r="I2032" s="12"/>
      <c r="J2032" s="14"/>
      <c r="K2032" s="14"/>
      <c r="L2032" s="14"/>
      <c r="M2032" s="13"/>
    </row>
    <row r="2033" customFormat="false" ht="15" hidden="false" customHeight="false" outlineLevel="0" collapsed="false">
      <c r="A2033" s="6" t="n">
        <v>2029</v>
      </c>
      <c r="B2033" s="8" t="s">
        <v>3137</v>
      </c>
      <c r="C2033" s="8" t="s">
        <v>1795</v>
      </c>
      <c r="D2033" s="9"/>
      <c r="E2033" s="10"/>
      <c r="F2033" s="11"/>
      <c r="G2033" s="12"/>
      <c r="H2033" s="11" t="n">
        <v>0.00289085648148148</v>
      </c>
      <c r="I2033" s="12" t="n">
        <v>873</v>
      </c>
      <c r="J2033" s="14" t="s">
        <v>3138</v>
      </c>
      <c r="K2033" s="14"/>
      <c r="L2033" s="14"/>
      <c r="M2033" s="13"/>
    </row>
    <row r="2034" customFormat="false" ht="15" hidden="false" customHeight="false" outlineLevel="0" collapsed="false">
      <c r="A2034" s="6" t="n">
        <v>2030</v>
      </c>
      <c r="B2034" s="8" t="s">
        <v>3139</v>
      </c>
      <c r="C2034" s="8" t="s">
        <v>3140</v>
      </c>
      <c r="D2034" s="9"/>
      <c r="E2034" s="10"/>
      <c r="F2034" s="11" t="n">
        <v>0.00748194444444445</v>
      </c>
      <c r="G2034" s="12" t="n">
        <v>874</v>
      </c>
      <c r="H2034" s="11"/>
      <c r="I2034" s="12"/>
      <c r="J2034" s="14"/>
      <c r="K2034" s="14"/>
      <c r="L2034" s="14"/>
      <c r="M2034" s="13"/>
    </row>
    <row r="2035" customFormat="false" ht="15" hidden="false" customHeight="false" outlineLevel="0" collapsed="false">
      <c r="A2035" s="6" t="n">
        <v>2031</v>
      </c>
      <c r="B2035" s="8" t="s">
        <v>3141</v>
      </c>
      <c r="C2035" s="8" t="s">
        <v>2106</v>
      </c>
      <c r="D2035" s="9"/>
      <c r="E2035" s="10"/>
      <c r="F2035" s="11"/>
      <c r="G2035" s="12"/>
      <c r="H2035" s="11" t="n">
        <v>0.00289085648148148</v>
      </c>
      <c r="I2035" s="12" t="n">
        <v>874</v>
      </c>
      <c r="J2035" s="14"/>
      <c r="K2035" s="14"/>
      <c r="L2035" s="14"/>
      <c r="M2035" s="13"/>
    </row>
    <row r="2036" customFormat="false" ht="15" hidden="false" customHeight="false" outlineLevel="0" collapsed="false">
      <c r="A2036" s="6" t="n">
        <v>2032</v>
      </c>
      <c r="B2036" s="8" t="s">
        <v>3142</v>
      </c>
      <c r="C2036" s="8" t="s">
        <v>3143</v>
      </c>
      <c r="D2036" s="9"/>
      <c r="E2036" s="10"/>
      <c r="F2036" s="11" t="n">
        <v>0.00748391203703704</v>
      </c>
      <c r="G2036" s="12" t="n">
        <v>875</v>
      </c>
      <c r="H2036" s="11"/>
      <c r="I2036" s="12"/>
      <c r="J2036" s="14" t="s">
        <v>3144</v>
      </c>
      <c r="K2036" s="14"/>
      <c r="L2036" s="14"/>
      <c r="M2036" s="13"/>
    </row>
    <row r="2037" customFormat="false" ht="15" hidden="false" customHeight="false" outlineLevel="0" collapsed="false">
      <c r="A2037" s="6" t="n">
        <v>2033</v>
      </c>
      <c r="B2037" s="8" t="s">
        <v>3145</v>
      </c>
      <c r="C2037" s="8" t="s">
        <v>3146</v>
      </c>
      <c r="D2037" s="9"/>
      <c r="E2037" s="10"/>
      <c r="F2037" s="11" t="n">
        <v>0.00748449074074074</v>
      </c>
      <c r="G2037" s="12" t="n">
        <v>876</v>
      </c>
      <c r="H2037" s="11"/>
      <c r="I2037" s="12"/>
      <c r="J2037" s="14"/>
      <c r="K2037" s="14"/>
      <c r="L2037" s="14"/>
      <c r="M2037" s="13"/>
    </row>
    <row r="2038" customFormat="false" ht="15" hidden="false" customHeight="false" outlineLevel="0" collapsed="false">
      <c r="A2038" s="6" t="n">
        <v>2034</v>
      </c>
      <c r="B2038" s="8" t="s">
        <v>3147</v>
      </c>
      <c r="C2038" s="8" t="s">
        <v>1989</v>
      </c>
      <c r="D2038" s="9"/>
      <c r="E2038" s="10"/>
      <c r="F2038" s="11"/>
      <c r="G2038" s="12"/>
      <c r="H2038" s="11" t="n">
        <v>0.00289108796296296</v>
      </c>
      <c r="I2038" s="12" t="n">
        <v>876</v>
      </c>
      <c r="J2038" s="14"/>
      <c r="K2038" s="14"/>
      <c r="L2038" s="14"/>
      <c r="M2038" s="13"/>
    </row>
    <row r="2039" customFormat="false" ht="15" hidden="false" customHeight="false" outlineLevel="0" collapsed="false">
      <c r="A2039" s="6" t="n">
        <v>2035</v>
      </c>
      <c r="B2039" s="8" t="s">
        <v>3148</v>
      </c>
      <c r="C2039" s="8" t="s">
        <v>3149</v>
      </c>
      <c r="D2039" s="9"/>
      <c r="E2039" s="10"/>
      <c r="F2039" s="11" t="n">
        <v>0.00748564814814815</v>
      </c>
      <c r="G2039" s="12" t="n">
        <v>877</v>
      </c>
      <c r="H2039" s="11"/>
      <c r="I2039" s="12"/>
      <c r="J2039" s="14"/>
      <c r="K2039" s="14"/>
      <c r="L2039" s="14"/>
      <c r="M2039" s="13"/>
    </row>
    <row r="2040" customFormat="false" ht="15" hidden="false" customHeight="false" outlineLevel="0" collapsed="false">
      <c r="A2040" s="6" t="n">
        <v>2036</v>
      </c>
      <c r="B2040" s="8" t="s">
        <v>3150</v>
      </c>
      <c r="C2040" s="8" t="s">
        <v>3151</v>
      </c>
      <c r="D2040" s="9"/>
      <c r="E2040" s="10"/>
      <c r="F2040" s="11"/>
      <c r="G2040" s="12"/>
      <c r="H2040" s="11" t="n">
        <v>0.00289108796296296</v>
      </c>
      <c r="I2040" s="12" t="n">
        <v>877</v>
      </c>
      <c r="J2040" s="14"/>
      <c r="K2040" s="14"/>
      <c r="L2040" s="14"/>
      <c r="M2040" s="13"/>
    </row>
    <row r="2041" customFormat="false" ht="15" hidden="false" customHeight="false" outlineLevel="0" collapsed="false">
      <c r="A2041" s="6" t="n">
        <v>2037</v>
      </c>
      <c r="B2041" s="8" t="s">
        <v>3152</v>
      </c>
      <c r="C2041" s="8" t="s">
        <v>3153</v>
      </c>
      <c r="D2041" s="9"/>
      <c r="E2041" s="10"/>
      <c r="F2041" s="11" t="n">
        <v>0.00748726851851852</v>
      </c>
      <c r="G2041" s="12" t="n">
        <v>878</v>
      </c>
      <c r="H2041" s="11"/>
      <c r="I2041" s="12"/>
      <c r="J2041" s="14"/>
      <c r="K2041" s="14"/>
      <c r="L2041" s="14"/>
      <c r="M2041" s="13"/>
    </row>
    <row r="2042" customFormat="false" ht="15" hidden="false" customHeight="false" outlineLevel="0" collapsed="false">
      <c r="A2042" s="6" t="n">
        <v>2038</v>
      </c>
      <c r="B2042" s="8" t="s">
        <v>3154</v>
      </c>
      <c r="C2042" s="8" t="s">
        <v>2494</v>
      </c>
      <c r="D2042" s="9"/>
      <c r="E2042" s="10"/>
      <c r="F2042" s="11" t="n">
        <v>0.00748738425925926</v>
      </c>
      <c r="G2042" s="12" t="n">
        <v>879</v>
      </c>
      <c r="H2042" s="11"/>
      <c r="I2042" s="12"/>
      <c r="J2042" s="14"/>
      <c r="K2042" s="14"/>
      <c r="L2042" s="14"/>
      <c r="M2042" s="13"/>
    </row>
    <row r="2043" customFormat="false" ht="15" hidden="false" customHeight="false" outlineLevel="0" collapsed="false">
      <c r="A2043" s="6" t="n">
        <v>2039</v>
      </c>
      <c r="B2043" s="8" t="s">
        <v>3155</v>
      </c>
      <c r="C2043" s="8" t="s">
        <v>3156</v>
      </c>
      <c r="D2043" s="9"/>
      <c r="E2043" s="10"/>
      <c r="F2043" s="11" t="n">
        <v>0.00749016203703704</v>
      </c>
      <c r="G2043" s="12" t="n">
        <v>880</v>
      </c>
      <c r="H2043" s="11"/>
      <c r="I2043" s="12"/>
      <c r="J2043" s="14"/>
      <c r="K2043" s="14"/>
      <c r="L2043" s="14"/>
      <c r="M2043" s="13"/>
    </row>
    <row r="2044" customFormat="false" ht="15" hidden="false" customHeight="false" outlineLevel="0" collapsed="false">
      <c r="A2044" s="6" t="n">
        <v>2040</v>
      </c>
      <c r="B2044" s="8" t="s">
        <v>3157</v>
      </c>
      <c r="C2044" s="8" t="s">
        <v>2406</v>
      </c>
      <c r="D2044" s="9"/>
      <c r="E2044" s="10"/>
      <c r="F2044" s="11" t="n">
        <v>0.00749016203703704</v>
      </c>
      <c r="G2044" s="12" t="n">
        <v>881</v>
      </c>
      <c r="H2044" s="11"/>
      <c r="I2044" s="12"/>
      <c r="J2044" s="14"/>
      <c r="K2044" s="14"/>
      <c r="L2044" s="14"/>
      <c r="M2044" s="13"/>
    </row>
    <row r="2045" customFormat="false" ht="15" hidden="false" customHeight="false" outlineLevel="0" collapsed="false">
      <c r="A2045" s="6" t="n">
        <v>2041</v>
      </c>
      <c r="B2045" s="8" t="s">
        <v>3158</v>
      </c>
      <c r="C2045" s="8" t="s">
        <v>3159</v>
      </c>
      <c r="D2045" s="9"/>
      <c r="E2045" s="10"/>
      <c r="F2045" s="11" t="n">
        <v>0.00749189814814815</v>
      </c>
      <c r="G2045" s="12" t="n">
        <v>882</v>
      </c>
      <c r="H2045" s="11"/>
      <c r="I2045" s="12"/>
      <c r="J2045" s="14"/>
      <c r="K2045" s="14"/>
      <c r="L2045" s="14"/>
      <c r="M2045" s="13"/>
    </row>
    <row r="2046" customFormat="false" ht="15" hidden="false" customHeight="false" outlineLevel="0" collapsed="false">
      <c r="A2046" s="6" t="n">
        <v>2042</v>
      </c>
      <c r="B2046" s="8" t="s">
        <v>3160</v>
      </c>
      <c r="C2046" s="8" t="s">
        <v>1926</v>
      </c>
      <c r="D2046" s="9"/>
      <c r="E2046" s="10"/>
      <c r="F2046" s="11"/>
      <c r="G2046" s="12"/>
      <c r="H2046" s="11" t="n">
        <v>0.00289143518518519</v>
      </c>
      <c r="I2046" s="12" t="n">
        <v>882</v>
      </c>
      <c r="J2046" s="14"/>
      <c r="K2046" s="14"/>
      <c r="L2046" s="14"/>
      <c r="M2046" s="13"/>
    </row>
    <row r="2047" customFormat="false" ht="15" hidden="false" customHeight="false" outlineLevel="0" collapsed="false">
      <c r="A2047" s="6" t="n">
        <v>2043</v>
      </c>
      <c r="B2047" s="8" t="s">
        <v>3161</v>
      </c>
      <c r="C2047" s="8" t="s">
        <v>3136</v>
      </c>
      <c r="D2047" s="9"/>
      <c r="E2047" s="10"/>
      <c r="F2047" s="11" t="n">
        <v>0.00749212962962963</v>
      </c>
      <c r="G2047" s="12" t="n">
        <v>883</v>
      </c>
      <c r="H2047" s="11"/>
      <c r="I2047" s="12"/>
      <c r="J2047" s="14"/>
      <c r="K2047" s="14"/>
      <c r="L2047" s="14"/>
      <c r="M2047" s="13"/>
    </row>
    <row r="2048" customFormat="false" ht="15" hidden="false" customHeight="false" outlineLevel="0" collapsed="false">
      <c r="A2048" s="6" t="n">
        <v>2044</v>
      </c>
      <c r="B2048" s="8" t="s">
        <v>3162</v>
      </c>
      <c r="C2048" s="8" t="s">
        <v>49</v>
      </c>
      <c r="D2048" s="9"/>
      <c r="E2048" s="10"/>
      <c r="F2048" s="11" t="n">
        <v>0.00749490740740741</v>
      </c>
      <c r="G2048" s="12" t="n">
        <v>884</v>
      </c>
      <c r="H2048" s="11"/>
      <c r="I2048" s="12"/>
      <c r="J2048" s="14"/>
      <c r="K2048" s="14"/>
      <c r="L2048" s="14"/>
      <c r="M2048" s="13"/>
    </row>
    <row r="2049" customFormat="false" ht="15" hidden="false" customHeight="false" outlineLevel="0" collapsed="false">
      <c r="A2049" s="6" t="n">
        <v>2045</v>
      </c>
      <c r="B2049" s="8" t="s">
        <v>3163</v>
      </c>
      <c r="C2049" s="8" t="s">
        <v>3164</v>
      </c>
      <c r="D2049" s="9"/>
      <c r="E2049" s="10"/>
      <c r="F2049" s="11" t="n">
        <v>0.00749675925925926</v>
      </c>
      <c r="G2049" s="12" t="n">
        <v>885</v>
      </c>
      <c r="H2049" s="11"/>
      <c r="I2049" s="12"/>
      <c r="J2049" s="14"/>
      <c r="K2049" s="14"/>
      <c r="L2049" s="14"/>
      <c r="M2049" s="13"/>
    </row>
    <row r="2050" customFormat="false" ht="15" hidden="false" customHeight="false" outlineLevel="0" collapsed="false">
      <c r="A2050" s="6" t="n">
        <v>2046</v>
      </c>
      <c r="B2050" s="8" t="s">
        <v>3165</v>
      </c>
      <c r="C2050" s="8" t="s">
        <v>3166</v>
      </c>
      <c r="D2050" s="9"/>
      <c r="E2050" s="10"/>
      <c r="F2050" s="11"/>
      <c r="G2050" s="12"/>
      <c r="H2050" s="11" t="n">
        <v>0.00289178240740741</v>
      </c>
      <c r="I2050" s="12" t="n">
        <v>885</v>
      </c>
      <c r="J2050" s="14"/>
      <c r="K2050" s="14"/>
      <c r="L2050" s="14"/>
      <c r="M2050" s="13"/>
    </row>
    <row r="2051" customFormat="false" ht="15" hidden="false" customHeight="false" outlineLevel="0" collapsed="false">
      <c r="A2051" s="6" t="n">
        <v>2047</v>
      </c>
      <c r="B2051" s="8" t="s">
        <v>3167</v>
      </c>
      <c r="C2051" s="8" t="s">
        <v>2124</v>
      </c>
      <c r="D2051" s="9"/>
      <c r="E2051" s="10"/>
      <c r="F2051" s="11" t="n">
        <v>0.00750069444444444</v>
      </c>
      <c r="G2051" s="12" t="n">
        <v>886</v>
      </c>
      <c r="H2051" s="11"/>
      <c r="I2051" s="12"/>
      <c r="J2051" s="14"/>
      <c r="K2051" s="14"/>
      <c r="L2051" s="14"/>
      <c r="M2051" s="13"/>
    </row>
    <row r="2052" customFormat="false" ht="15" hidden="false" customHeight="false" outlineLevel="0" collapsed="false">
      <c r="A2052" s="6" t="n">
        <v>2048</v>
      </c>
      <c r="B2052" s="8" t="s">
        <v>3168</v>
      </c>
      <c r="C2052" s="8" t="s">
        <v>2373</v>
      </c>
      <c r="D2052" s="9"/>
      <c r="E2052" s="10"/>
      <c r="F2052" s="11" t="n">
        <v>0.00750208333333333</v>
      </c>
      <c r="G2052" s="12" t="n">
        <v>887</v>
      </c>
      <c r="H2052" s="11"/>
      <c r="I2052" s="12"/>
      <c r="J2052" s="14"/>
      <c r="K2052" s="14"/>
      <c r="L2052" s="14"/>
      <c r="M2052" s="13"/>
    </row>
    <row r="2053" customFormat="false" ht="15" hidden="false" customHeight="false" outlineLevel="0" collapsed="false">
      <c r="A2053" s="6" t="n">
        <v>2049</v>
      </c>
      <c r="B2053" s="8" t="s">
        <v>3169</v>
      </c>
      <c r="C2053" s="8" t="s">
        <v>2186</v>
      </c>
      <c r="D2053" s="9"/>
      <c r="E2053" s="10"/>
      <c r="F2053" s="11" t="n">
        <v>0.00750451388888889</v>
      </c>
      <c r="G2053" s="12" t="n">
        <v>888</v>
      </c>
      <c r="H2053" s="11"/>
      <c r="I2053" s="12"/>
      <c r="J2053" s="14"/>
      <c r="K2053" s="14"/>
      <c r="L2053" s="14"/>
      <c r="M2053" s="13"/>
    </row>
    <row r="2054" customFormat="false" ht="15" hidden="false" customHeight="false" outlineLevel="0" collapsed="false">
      <c r="A2054" s="6" t="n">
        <v>2050</v>
      </c>
      <c r="B2054" s="8" t="s">
        <v>3170</v>
      </c>
      <c r="C2054" s="8" t="s">
        <v>2659</v>
      </c>
      <c r="D2054" s="9"/>
      <c r="E2054" s="10"/>
      <c r="F2054" s="11"/>
      <c r="G2054" s="12"/>
      <c r="H2054" s="11" t="n">
        <v>0.00289201388888889</v>
      </c>
      <c r="I2054" s="12" t="n">
        <v>888</v>
      </c>
      <c r="J2054" s="14"/>
      <c r="K2054" s="14"/>
      <c r="L2054" s="14"/>
      <c r="M2054" s="13"/>
    </row>
    <row r="2055" customFormat="false" ht="15" hidden="false" customHeight="false" outlineLevel="0" collapsed="false">
      <c r="A2055" s="6" t="n">
        <v>2051</v>
      </c>
      <c r="B2055" s="8" t="s">
        <v>3171</v>
      </c>
      <c r="C2055" s="8" t="s">
        <v>2765</v>
      </c>
      <c r="D2055" s="9"/>
      <c r="E2055" s="10"/>
      <c r="F2055" s="11" t="n">
        <v>0.00750462962962963</v>
      </c>
      <c r="G2055" s="12" t="n">
        <v>889</v>
      </c>
      <c r="H2055" s="11"/>
      <c r="I2055" s="12"/>
      <c r="J2055" s="14"/>
      <c r="K2055" s="14"/>
      <c r="L2055" s="14"/>
      <c r="M2055" s="13"/>
    </row>
    <row r="2056" customFormat="false" ht="15" hidden="false" customHeight="false" outlineLevel="0" collapsed="false">
      <c r="A2056" s="6" t="n">
        <v>2052</v>
      </c>
      <c r="B2056" s="8" t="s">
        <v>3172</v>
      </c>
      <c r="C2056" s="8" t="s">
        <v>3173</v>
      </c>
      <c r="D2056" s="9"/>
      <c r="E2056" s="10"/>
      <c r="F2056" s="11"/>
      <c r="G2056" s="12"/>
      <c r="H2056" s="11" t="n">
        <v>0.00289201388888889</v>
      </c>
      <c r="I2056" s="12" t="n">
        <v>889</v>
      </c>
      <c r="J2056" s="14"/>
      <c r="K2056" s="14"/>
      <c r="L2056" s="14"/>
      <c r="M2056" s="13"/>
    </row>
    <row r="2057" customFormat="false" ht="15" hidden="false" customHeight="false" outlineLevel="0" collapsed="false">
      <c r="A2057" s="6" t="n">
        <v>2053</v>
      </c>
      <c r="B2057" s="8" t="s">
        <v>3174</v>
      </c>
      <c r="C2057" s="8" t="s">
        <v>3175</v>
      </c>
      <c r="D2057" s="9"/>
      <c r="E2057" s="10"/>
      <c r="F2057" s="11" t="n">
        <v>0.00750520833333333</v>
      </c>
      <c r="G2057" s="12" t="n">
        <v>890</v>
      </c>
      <c r="H2057" s="11"/>
      <c r="I2057" s="12"/>
      <c r="J2057" s="14"/>
      <c r="K2057" s="14"/>
      <c r="L2057" s="14"/>
      <c r="M2057" s="13"/>
    </row>
    <row r="2058" customFormat="false" ht="15" hidden="false" customHeight="false" outlineLevel="0" collapsed="false">
      <c r="A2058" s="6" t="n">
        <v>2054</v>
      </c>
      <c r="B2058" s="8" t="s">
        <v>3176</v>
      </c>
      <c r="C2058" s="8" t="s">
        <v>2153</v>
      </c>
      <c r="D2058" s="9"/>
      <c r="E2058" s="10"/>
      <c r="F2058" s="11" t="n">
        <v>0.00750625</v>
      </c>
      <c r="G2058" s="12" t="n">
        <v>891</v>
      </c>
      <c r="H2058" s="11"/>
      <c r="I2058" s="12"/>
      <c r="J2058" s="14"/>
      <c r="K2058" s="14"/>
      <c r="L2058" s="14"/>
      <c r="M2058" s="13"/>
    </row>
    <row r="2059" customFormat="false" ht="15" hidden="false" customHeight="false" outlineLevel="0" collapsed="false">
      <c r="A2059" s="6" t="n">
        <v>2055</v>
      </c>
      <c r="B2059" s="8" t="s">
        <v>3177</v>
      </c>
      <c r="C2059" s="8" t="s">
        <v>594</v>
      </c>
      <c r="D2059" s="9"/>
      <c r="E2059" s="10"/>
      <c r="F2059" s="11" t="n">
        <v>0.00750636574074074</v>
      </c>
      <c r="G2059" s="12" t="n">
        <v>892</v>
      </c>
      <c r="H2059" s="11"/>
      <c r="I2059" s="12"/>
      <c r="J2059" s="14"/>
      <c r="K2059" s="14"/>
      <c r="L2059" s="14"/>
      <c r="M2059" s="13"/>
    </row>
    <row r="2060" customFormat="false" ht="15" hidden="false" customHeight="false" outlineLevel="0" collapsed="false">
      <c r="A2060" s="6" t="n">
        <v>2056</v>
      </c>
      <c r="B2060" s="8" t="s">
        <v>3178</v>
      </c>
      <c r="C2060" s="8" t="s">
        <v>683</v>
      </c>
      <c r="D2060" s="9"/>
      <c r="E2060" s="10"/>
      <c r="F2060" s="11" t="n">
        <v>0.00750729166666667</v>
      </c>
      <c r="G2060" s="12" t="n">
        <v>893</v>
      </c>
      <c r="H2060" s="11"/>
      <c r="I2060" s="12"/>
      <c r="J2060" s="14"/>
      <c r="K2060" s="14"/>
      <c r="L2060" s="14"/>
      <c r="M2060" s="13"/>
    </row>
    <row r="2061" customFormat="false" ht="15" hidden="false" customHeight="false" outlineLevel="0" collapsed="false">
      <c r="A2061" s="6" t="n">
        <v>2057</v>
      </c>
      <c r="B2061" s="8" t="s">
        <v>3179</v>
      </c>
      <c r="C2061" s="8" t="s">
        <v>3180</v>
      </c>
      <c r="D2061" s="9"/>
      <c r="E2061" s="10"/>
      <c r="F2061" s="11" t="n">
        <v>0.00750740740740741</v>
      </c>
      <c r="G2061" s="12" t="n">
        <v>894</v>
      </c>
      <c r="H2061" s="11"/>
      <c r="I2061" s="12"/>
      <c r="J2061" s="14"/>
      <c r="K2061" s="14"/>
      <c r="L2061" s="14"/>
      <c r="M2061" s="13"/>
    </row>
    <row r="2062" customFormat="false" ht="15" hidden="false" customHeight="false" outlineLevel="0" collapsed="false">
      <c r="A2062" s="6" t="n">
        <v>2058</v>
      </c>
      <c r="B2062" s="8" t="s">
        <v>3181</v>
      </c>
      <c r="C2062" s="8" t="s">
        <v>3182</v>
      </c>
      <c r="D2062" s="9"/>
      <c r="E2062" s="10"/>
      <c r="F2062" s="11"/>
      <c r="G2062" s="12"/>
      <c r="H2062" s="11" t="n">
        <v>0.00289247685185185</v>
      </c>
      <c r="I2062" s="12" t="n">
        <v>894</v>
      </c>
      <c r="J2062" s="14" t="s">
        <v>3183</v>
      </c>
      <c r="K2062" s="14"/>
      <c r="L2062" s="14"/>
      <c r="M2062" s="13"/>
    </row>
    <row r="2063" customFormat="false" ht="15" hidden="false" customHeight="false" outlineLevel="0" collapsed="false">
      <c r="A2063" s="6" t="n">
        <v>2059</v>
      </c>
      <c r="B2063" s="8" t="s">
        <v>3184</v>
      </c>
      <c r="C2063" s="8" t="s">
        <v>3185</v>
      </c>
      <c r="D2063" s="9"/>
      <c r="E2063" s="10"/>
      <c r="F2063" s="11" t="n">
        <v>0.00750763888888889</v>
      </c>
      <c r="G2063" s="12" t="n">
        <v>895</v>
      </c>
      <c r="H2063" s="11"/>
      <c r="I2063" s="12"/>
      <c r="J2063" s="14"/>
      <c r="K2063" s="14"/>
      <c r="L2063" s="14"/>
      <c r="M2063" s="13"/>
    </row>
    <row r="2064" customFormat="false" ht="15" hidden="false" customHeight="false" outlineLevel="0" collapsed="false">
      <c r="A2064" s="6" t="n">
        <v>2060</v>
      </c>
      <c r="B2064" s="8" t="s">
        <v>3186</v>
      </c>
      <c r="C2064" s="8" t="s">
        <v>2127</v>
      </c>
      <c r="D2064" s="9"/>
      <c r="E2064" s="10"/>
      <c r="F2064" s="11" t="n">
        <v>0.00750798611111111</v>
      </c>
      <c r="G2064" s="12" t="n">
        <v>896</v>
      </c>
      <c r="H2064" s="11"/>
      <c r="I2064" s="12"/>
      <c r="J2064" s="14"/>
      <c r="K2064" s="14"/>
      <c r="L2064" s="14"/>
      <c r="M2064" s="13"/>
    </row>
    <row r="2065" customFormat="false" ht="15" hidden="false" customHeight="false" outlineLevel="0" collapsed="false">
      <c r="A2065" s="6" t="n">
        <v>2061</v>
      </c>
      <c r="B2065" s="8" t="s">
        <v>3187</v>
      </c>
      <c r="C2065" s="8" t="s">
        <v>3188</v>
      </c>
      <c r="D2065" s="9"/>
      <c r="E2065" s="10"/>
      <c r="F2065" s="11"/>
      <c r="G2065" s="12"/>
      <c r="H2065" s="11" t="n">
        <v>0.00289293981481482</v>
      </c>
      <c r="I2065" s="12" t="n">
        <v>896</v>
      </c>
      <c r="J2065" s="14"/>
      <c r="K2065" s="14"/>
      <c r="L2065" s="14"/>
      <c r="M2065" s="13"/>
    </row>
    <row r="2066" customFormat="false" ht="15" hidden="false" customHeight="false" outlineLevel="0" collapsed="false">
      <c r="A2066" s="6" t="n">
        <v>2062</v>
      </c>
      <c r="B2066" s="8" t="s">
        <v>3189</v>
      </c>
      <c r="C2066" s="8" t="s">
        <v>2184</v>
      </c>
      <c r="D2066" s="9"/>
      <c r="E2066" s="10"/>
      <c r="F2066" s="11"/>
      <c r="G2066" s="12"/>
      <c r="H2066" s="11" t="n">
        <v>0.00289293981481482</v>
      </c>
      <c r="I2066" s="12" t="n">
        <v>897</v>
      </c>
      <c r="J2066" s="14"/>
      <c r="K2066" s="14"/>
      <c r="L2066" s="14"/>
      <c r="M2066" s="13"/>
    </row>
    <row r="2067" customFormat="false" ht="15" hidden="false" customHeight="false" outlineLevel="0" collapsed="false">
      <c r="A2067" s="6" t="n">
        <v>2063</v>
      </c>
      <c r="B2067" s="8" t="s">
        <v>3190</v>
      </c>
      <c r="C2067" s="8" t="s">
        <v>433</v>
      </c>
      <c r="D2067" s="9"/>
      <c r="E2067" s="10"/>
      <c r="F2067" s="11" t="n">
        <v>0.00750821759259259</v>
      </c>
      <c r="G2067" s="12" t="n">
        <v>898</v>
      </c>
      <c r="H2067" s="11"/>
      <c r="I2067" s="12"/>
      <c r="J2067" s="14"/>
      <c r="K2067" s="14"/>
      <c r="L2067" s="14"/>
      <c r="M2067" s="13"/>
    </row>
    <row r="2068" customFormat="false" ht="15" hidden="false" customHeight="false" outlineLevel="0" collapsed="false">
      <c r="A2068" s="6" t="n">
        <v>2064</v>
      </c>
      <c r="B2068" s="8" t="s">
        <v>3191</v>
      </c>
      <c r="C2068" s="8" t="s">
        <v>3192</v>
      </c>
      <c r="D2068" s="9"/>
      <c r="E2068" s="10"/>
      <c r="F2068" s="11" t="n">
        <v>0.00750833333333333</v>
      </c>
      <c r="G2068" s="12" t="n">
        <v>899</v>
      </c>
      <c r="H2068" s="11"/>
      <c r="I2068" s="12"/>
      <c r="J2068" s="14"/>
      <c r="K2068" s="14"/>
      <c r="L2068" s="14"/>
      <c r="M2068" s="13"/>
    </row>
    <row r="2069" customFormat="false" ht="15" hidden="false" customHeight="false" outlineLevel="0" collapsed="false">
      <c r="A2069" s="6" t="n">
        <v>2065</v>
      </c>
      <c r="B2069" s="8" t="s">
        <v>3193</v>
      </c>
      <c r="C2069" s="8" t="s">
        <v>3194</v>
      </c>
      <c r="D2069" s="9"/>
      <c r="E2069" s="10"/>
      <c r="F2069" s="11" t="n">
        <v>0.0075099537037037</v>
      </c>
      <c r="G2069" s="12" t="n">
        <v>900</v>
      </c>
      <c r="H2069" s="11"/>
      <c r="I2069" s="12"/>
      <c r="J2069" s="14"/>
      <c r="K2069" s="14"/>
      <c r="L2069" s="14"/>
      <c r="M2069" s="13"/>
    </row>
    <row r="2070" customFormat="false" ht="15" hidden="false" customHeight="false" outlineLevel="0" collapsed="false">
      <c r="A2070" s="6" t="n">
        <v>2066</v>
      </c>
      <c r="B2070" s="8" t="s">
        <v>3195</v>
      </c>
      <c r="C2070" s="8" t="s">
        <v>3196</v>
      </c>
      <c r="D2070" s="9"/>
      <c r="E2070" s="10"/>
      <c r="F2070" s="11"/>
      <c r="G2070" s="12"/>
      <c r="H2070" s="11" t="n">
        <v>0.00289340277777778</v>
      </c>
      <c r="I2070" s="12" t="n">
        <v>900</v>
      </c>
      <c r="J2070" s="14"/>
      <c r="K2070" s="14"/>
      <c r="L2070" s="14"/>
      <c r="M2070" s="13"/>
    </row>
    <row r="2071" customFormat="false" ht="15" hidden="false" customHeight="false" outlineLevel="0" collapsed="false">
      <c r="A2071" s="6" t="n">
        <v>2067</v>
      </c>
      <c r="B2071" s="8" t="s">
        <v>3197</v>
      </c>
      <c r="C2071" s="8" t="s">
        <v>3198</v>
      </c>
      <c r="D2071" s="9"/>
      <c r="E2071" s="10"/>
      <c r="F2071" s="11" t="n">
        <v>0.00751018518518519</v>
      </c>
      <c r="G2071" s="12" t="n">
        <v>901</v>
      </c>
      <c r="H2071" s="11"/>
      <c r="I2071" s="12"/>
      <c r="J2071" s="14"/>
      <c r="K2071" s="14"/>
      <c r="L2071" s="14"/>
      <c r="M2071" s="13"/>
    </row>
    <row r="2072" customFormat="false" ht="15" hidden="false" customHeight="false" outlineLevel="0" collapsed="false">
      <c r="A2072" s="6" t="n">
        <v>2068</v>
      </c>
      <c r="B2072" s="8" t="s">
        <v>3199</v>
      </c>
      <c r="C2072" s="8" t="s">
        <v>3143</v>
      </c>
      <c r="D2072" s="9"/>
      <c r="E2072" s="10"/>
      <c r="F2072" s="11" t="n">
        <v>0.00751053240740741</v>
      </c>
      <c r="G2072" s="12" t="n">
        <v>902</v>
      </c>
      <c r="H2072" s="11"/>
      <c r="I2072" s="12"/>
      <c r="J2072" s="14" t="s">
        <v>3200</v>
      </c>
      <c r="K2072" s="14"/>
      <c r="L2072" s="14"/>
      <c r="M2072" s="13"/>
    </row>
    <row r="2073" customFormat="false" ht="15" hidden="false" customHeight="false" outlineLevel="0" collapsed="false">
      <c r="A2073" s="6" t="n">
        <v>2069</v>
      </c>
      <c r="B2073" s="8" t="s">
        <v>3201</v>
      </c>
      <c r="C2073" s="8" t="s">
        <v>3202</v>
      </c>
      <c r="D2073" s="9"/>
      <c r="E2073" s="10"/>
      <c r="F2073" s="11"/>
      <c r="G2073" s="12"/>
      <c r="H2073" s="11" t="n">
        <v>0.00289351851851852</v>
      </c>
      <c r="I2073" s="12" t="n">
        <v>902</v>
      </c>
      <c r="J2073" s="14"/>
      <c r="K2073" s="14"/>
      <c r="L2073" s="14"/>
      <c r="M2073" s="13"/>
    </row>
    <row r="2074" customFormat="false" ht="15" hidden="false" customHeight="false" outlineLevel="0" collapsed="false">
      <c r="A2074" s="6" t="n">
        <v>2070</v>
      </c>
      <c r="B2074" s="8" t="s">
        <v>3203</v>
      </c>
      <c r="C2074" s="8" t="s">
        <v>1592</v>
      </c>
      <c r="D2074" s="9"/>
      <c r="E2074" s="10"/>
      <c r="F2074" s="11" t="n">
        <v>0.00751099537037037</v>
      </c>
      <c r="G2074" s="12" t="n">
        <v>903</v>
      </c>
      <c r="H2074" s="11"/>
      <c r="I2074" s="12"/>
      <c r="J2074" s="14"/>
      <c r="K2074" s="14"/>
      <c r="L2074" s="8" t="s">
        <v>3204</v>
      </c>
      <c r="M2074" s="13"/>
    </row>
    <row r="2075" customFormat="false" ht="15" hidden="false" customHeight="false" outlineLevel="0" collapsed="false">
      <c r="A2075" s="6" t="n">
        <v>2071</v>
      </c>
      <c r="B2075" s="8" t="s">
        <v>3205</v>
      </c>
      <c r="C2075" s="8" t="s">
        <v>3206</v>
      </c>
      <c r="D2075" s="9"/>
      <c r="E2075" s="10"/>
      <c r="F2075" s="11"/>
      <c r="G2075" s="12"/>
      <c r="H2075" s="11" t="n">
        <v>0.00289363425925926</v>
      </c>
      <c r="I2075" s="12" t="n">
        <v>903</v>
      </c>
      <c r="J2075" s="14"/>
      <c r="K2075" s="14"/>
      <c r="L2075" s="14"/>
      <c r="M2075" s="13"/>
    </row>
    <row r="2076" customFormat="false" ht="15" hidden="false" customHeight="false" outlineLevel="0" collapsed="false">
      <c r="A2076" s="6" t="n">
        <v>2072</v>
      </c>
      <c r="B2076" s="8" t="s">
        <v>3207</v>
      </c>
      <c r="C2076" s="8" t="s">
        <v>3208</v>
      </c>
      <c r="D2076" s="9"/>
      <c r="E2076" s="10"/>
      <c r="F2076" s="11" t="n">
        <v>0.00751215277777778</v>
      </c>
      <c r="G2076" s="12" t="n">
        <v>904</v>
      </c>
      <c r="H2076" s="11"/>
      <c r="I2076" s="12"/>
      <c r="J2076" s="14"/>
      <c r="K2076" s="14"/>
      <c r="L2076" s="14"/>
      <c r="M2076" s="13"/>
    </row>
    <row r="2077" customFormat="false" ht="15" hidden="false" customHeight="false" outlineLevel="0" collapsed="false">
      <c r="A2077" s="6" t="n">
        <v>2073</v>
      </c>
      <c r="B2077" s="8" t="s">
        <v>3209</v>
      </c>
      <c r="C2077" s="8" t="s">
        <v>2249</v>
      </c>
      <c r="D2077" s="9"/>
      <c r="E2077" s="10"/>
      <c r="F2077" s="11" t="n">
        <v>0.00751377314814815</v>
      </c>
      <c r="G2077" s="12" t="n">
        <v>905</v>
      </c>
      <c r="H2077" s="11"/>
      <c r="I2077" s="12"/>
      <c r="J2077" s="14"/>
      <c r="K2077" s="14"/>
      <c r="L2077" s="14"/>
      <c r="M2077" s="13"/>
    </row>
    <row r="2078" customFormat="false" ht="15" hidden="false" customHeight="false" outlineLevel="0" collapsed="false">
      <c r="A2078" s="6" t="n">
        <v>2074</v>
      </c>
      <c r="B2078" s="8" t="s">
        <v>3210</v>
      </c>
      <c r="C2078" s="8" t="s">
        <v>500</v>
      </c>
      <c r="D2078" s="9"/>
      <c r="E2078" s="10"/>
      <c r="F2078" s="11" t="n">
        <v>0.00751435185185185</v>
      </c>
      <c r="G2078" s="12" t="n">
        <v>906</v>
      </c>
      <c r="H2078" s="11"/>
      <c r="I2078" s="12"/>
      <c r="J2078" s="14"/>
      <c r="K2078" s="14"/>
      <c r="L2078" s="14"/>
      <c r="M2078" s="13"/>
    </row>
    <row r="2079" customFormat="false" ht="15" hidden="false" customHeight="false" outlineLevel="0" collapsed="false">
      <c r="A2079" s="6" t="n">
        <v>2075</v>
      </c>
      <c r="B2079" s="8" t="s">
        <v>3211</v>
      </c>
      <c r="C2079" s="8" t="s">
        <v>3212</v>
      </c>
      <c r="D2079" s="9"/>
      <c r="E2079" s="10"/>
      <c r="F2079" s="11" t="n">
        <v>0.00751481481481481</v>
      </c>
      <c r="G2079" s="12" t="n">
        <v>907</v>
      </c>
      <c r="H2079" s="11"/>
      <c r="I2079" s="12"/>
      <c r="J2079" s="14"/>
      <c r="K2079" s="14"/>
      <c r="L2079" s="14"/>
      <c r="M2079" s="13"/>
    </row>
    <row r="2080" customFormat="false" ht="15" hidden="false" customHeight="false" outlineLevel="0" collapsed="false">
      <c r="A2080" s="6" t="n">
        <v>2076</v>
      </c>
      <c r="B2080" s="8" t="s">
        <v>3213</v>
      </c>
      <c r="C2080" s="8" t="s">
        <v>3214</v>
      </c>
      <c r="D2080" s="9"/>
      <c r="E2080" s="10"/>
      <c r="F2080" s="11"/>
      <c r="G2080" s="12"/>
      <c r="H2080" s="11" t="n">
        <v>0.00289444444444445</v>
      </c>
      <c r="I2080" s="12" t="n">
        <v>907</v>
      </c>
      <c r="J2080" s="14"/>
      <c r="K2080" s="14"/>
      <c r="L2080" s="14"/>
      <c r="M2080" s="13"/>
    </row>
    <row r="2081" customFormat="false" ht="15" hidden="false" customHeight="false" outlineLevel="0" collapsed="false">
      <c r="A2081" s="6" t="n">
        <v>2077</v>
      </c>
      <c r="B2081" s="8" t="s">
        <v>3215</v>
      </c>
      <c r="C2081" s="8" t="s">
        <v>3216</v>
      </c>
      <c r="D2081" s="9"/>
      <c r="E2081" s="10"/>
      <c r="F2081" s="11" t="n">
        <v>0.00751516203703704</v>
      </c>
      <c r="G2081" s="12" t="n">
        <v>908</v>
      </c>
      <c r="H2081" s="11"/>
      <c r="I2081" s="12"/>
      <c r="J2081" s="14"/>
      <c r="K2081" s="14"/>
      <c r="L2081" s="14"/>
      <c r="M2081" s="13"/>
    </row>
    <row r="2082" customFormat="false" ht="15" hidden="false" customHeight="false" outlineLevel="0" collapsed="false">
      <c r="A2082" s="6" t="n">
        <v>2078</v>
      </c>
      <c r="B2082" s="8" t="s">
        <v>3217</v>
      </c>
      <c r="C2082" s="8" t="s">
        <v>3218</v>
      </c>
      <c r="D2082" s="9"/>
      <c r="E2082" s="10"/>
      <c r="F2082" s="11" t="n">
        <v>0.00751527777777778</v>
      </c>
      <c r="G2082" s="12" t="n">
        <v>909</v>
      </c>
      <c r="H2082" s="11"/>
      <c r="I2082" s="12"/>
      <c r="J2082" s="14"/>
      <c r="K2082" s="14"/>
      <c r="L2082" s="14"/>
      <c r="M2082" s="13"/>
    </row>
    <row r="2083" customFormat="false" ht="15" hidden="false" customHeight="false" outlineLevel="0" collapsed="false">
      <c r="A2083" s="6" t="n">
        <v>2079</v>
      </c>
      <c r="B2083" s="8" t="s">
        <v>3219</v>
      </c>
      <c r="C2083" s="8" t="s">
        <v>622</v>
      </c>
      <c r="D2083" s="9"/>
      <c r="E2083" s="10"/>
      <c r="F2083" s="11"/>
      <c r="G2083" s="12"/>
      <c r="H2083" s="11" t="n">
        <v>0.00289467592592593</v>
      </c>
      <c r="I2083" s="12" t="n">
        <v>909</v>
      </c>
      <c r="J2083" s="14"/>
      <c r="K2083" s="14"/>
      <c r="L2083" s="14"/>
      <c r="M2083" s="13"/>
    </row>
    <row r="2084" customFormat="false" ht="15" hidden="false" customHeight="false" outlineLevel="0" collapsed="false">
      <c r="A2084" s="6" t="n">
        <v>2080</v>
      </c>
      <c r="B2084" s="8" t="s">
        <v>3220</v>
      </c>
      <c r="C2084" s="8" t="s">
        <v>306</v>
      </c>
      <c r="D2084" s="9"/>
      <c r="E2084" s="10"/>
      <c r="F2084" s="11" t="n">
        <v>0.007515625</v>
      </c>
      <c r="G2084" s="12" t="n">
        <v>910</v>
      </c>
      <c r="H2084" s="11"/>
      <c r="I2084" s="12"/>
      <c r="J2084" s="14"/>
      <c r="K2084" s="14"/>
      <c r="L2084" s="14"/>
      <c r="M2084" s="13"/>
    </row>
    <row r="2085" customFormat="false" ht="15" hidden="false" customHeight="false" outlineLevel="0" collapsed="false">
      <c r="A2085" s="6" t="n">
        <v>2081</v>
      </c>
      <c r="B2085" s="8" t="s">
        <v>3221</v>
      </c>
      <c r="C2085" s="8" t="s">
        <v>3075</v>
      </c>
      <c r="D2085" s="9"/>
      <c r="E2085" s="10"/>
      <c r="F2085" s="11" t="n">
        <v>0.00751585648148148</v>
      </c>
      <c r="G2085" s="12" t="n">
        <v>911</v>
      </c>
      <c r="H2085" s="11"/>
      <c r="I2085" s="12"/>
      <c r="J2085" s="14"/>
      <c r="K2085" s="14"/>
      <c r="L2085" s="14"/>
      <c r="M2085" s="13"/>
    </row>
    <row r="2086" customFormat="false" ht="15" hidden="false" customHeight="false" outlineLevel="0" collapsed="false">
      <c r="A2086" s="6" t="n">
        <v>2082</v>
      </c>
      <c r="B2086" s="8" t="s">
        <v>3222</v>
      </c>
      <c r="C2086" s="8" t="s">
        <v>2249</v>
      </c>
      <c r="D2086" s="9"/>
      <c r="E2086" s="10"/>
      <c r="F2086" s="11"/>
      <c r="G2086" s="12"/>
      <c r="H2086" s="11" t="n">
        <v>0.00289490740740741</v>
      </c>
      <c r="I2086" s="12" t="n">
        <v>911</v>
      </c>
      <c r="J2086" s="14"/>
      <c r="K2086" s="14"/>
      <c r="L2086" s="14"/>
      <c r="M2086" s="13"/>
    </row>
    <row r="2087" customFormat="false" ht="15" hidden="false" customHeight="false" outlineLevel="0" collapsed="false">
      <c r="A2087" s="6" t="n">
        <v>2083</v>
      </c>
      <c r="B2087" s="8" t="s">
        <v>3223</v>
      </c>
      <c r="C2087" s="8" t="s">
        <v>3224</v>
      </c>
      <c r="D2087" s="9"/>
      <c r="E2087" s="10"/>
      <c r="F2087" s="11" t="n">
        <v>0.00751608796296296</v>
      </c>
      <c r="G2087" s="12" t="n">
        <v>912</v>
      </c>
      <c r="H2087" s="11"/>
      <c r="I2087" s="12"/>
      <c r="J2087" s="14"/>
      <c r="K2087" s="14"/>
      <c r="L2087" s="14"/>
      <c r="M2087" s="13"/>
    </row>
    <row r="2088" customFormat="false" ht="15" hidden="false" customHeight="false" outlineLevel="0" collapsed="false">
      <c r="A2088" s="6" t="n">
        <v>2084</v>
      </c>
      <c r="B2088" s="8" t="s">
        <v>3225</v>
      </c>
      <c r="C2088" s="8" t="s">
        <v>3226</v>
      </c>
      <c r="D2088" s="9"/>
      <c r="E2088" s="10"/>
      <c r="F2088" s="11" t="n">
        <v>0.00751631944444444</v>
      </c>
      <c r="G2088" s="12" t="n">
        <v>913</v>
      </c>
      <c r="H2088" s="11"/>
      <c r="I2088" s="12"/>
      <c r="J2088" s="14"/>
      <c r="K2088" s="14"/>
      <c r="L2088" s="14"/>
      <c r="M2088" s="13"/>
    </row>
    <row r="2089" customFormat="false" ht="15" hidden="false" customHeight="false" outlineLevel="0" collapsed="false">
      <c r="A2089" s="6" t="n">
        <v>2085</v>
      </c>
      <c r="B2089" s="8" t="s">
        <v>3227</v>
      </c>
      <c r="C2089" s="8" t="s">
        <v>839</v>
      </c>
      <c r="D2089" s="9"/>
      <c r="E2089" s="10"/>
      <c r="F2089" s="11" t="n">
        <v>0.00751689814814815</v>
      </c>
      <c r="G2089" s="12" t="n">
        <v>914</v>
      </c>
      <c r="H2089" s="11"/>
      <c r="I2089" s="12"/>
      <c r="J2089" s="14"/>
      <c r="K2089" s="14"/>
      <c r="L2089" s="14"/>
      <c r="M2089" s="13"/>
    </row>
    <row r="2090" customFormat="false" ht="15" hidden="false" customHeight="false" outlineLevel="0" collapsed="false">
      <c r="A2090" s="6" t="n">
        <v>2086</v>
      </c>
      <c r="B2090" s="8" t="s">
        <v>3228</v>
      </c>
      <c r="C2090" s="8" t="s">
        <v>1545</v>
      </c>
      <c r="D2090" s="9"/>
      <c r="E2090" s="10"/>
      <c r="F2090" s="11"/>
      <c r="G2090" s="12"/>
      <c r="H2090" s="11" t="n">
        <v>0.00289537037037037</v>
      </c>
      <c r="I2090" s="12" t="n">
        <v>914</v>
      </c>
      <c r="J2090" s="14"/>
      <c r="K2090" s="14"/>
      <c r="L2090" s="14"/>
      <c r="M2090" s="13"/>
    </row>
    <row r="2091" customFormat="false" ht="15" hidden="false" customHeight="false" outlineLevel="0" collapsed="false">
      <c r="A2091" s="6" t="n">
        <v>2087</v>
      </c>
      <c r="B2091" s="8" t="s">
        <v>3229</v>
      </c>
      <c r="C2091" s="8" t="s">
        <v>3230</v>
      </c>
      <c r="D2091" s="9"/>
      <c r="E2091" s="10"/>
      <c r="F2091" s="11" t="n">
        <v>0.00751724537037037</v>
      </c>
      <c r="G2091" s="12" t="n">
        <v>915</v>
      </c>
      <c r="H2091" s="11"/>
      <c r="I2091" s="12"/>
      <c r="J2091" s="14"/>
      <c r="K2091" s="14"/>
      <c r="L2091" s="14"/>
      <c r="M2091" s="13"/>
    </row>
    <row r="2092" customFormat="false" ht="15" hidden="false" customHeight="false" outlineLevel="0" collapsed="false">
      <c r="A2092" s="6" t="n">
        <v>2088</v>
      </c>
      <c r="B2092" s="8" t="s">
        <v>3231</v>
      </c>
      <c r="C2092" s="8" t="s">
        <v>868</v>
      </c>
      <c r="D2092" s="9"/>
      <c r="E2092" s="10"/>
      <c r="F2092" s="11"/>
      <c r="G2092" s="12"/>
      <c r="H2092" s="11" t="n">
        <v>0.00289548611111111</v>
      </c>
      <c r="I2092" s="12" t="n">
        <v>915</v>
      </c>
      <c r="J2092" s="14"/>
      <c r="K2092" s="14"/>
      <c r="L2092" s="14"/>
      <c r="M2092" s="13"/>
    </row>
    <row r="2093" customFormat="false" ht="15" hidden="false" customHeight="false" outlineLevel="0" collapsed="false">
      <c r="A2093" s="6" t="n">
        <v>2089</v>
      </c>
      <c r="B2093" s="8" t="s">
        <v>3232</v>
      </c>
      <c r="C2093" s="8" t="s">
        <v>3233</v>
      </c>
      <c r="D2093" s="9"/>
      <c r="E2093" s="10"/>
      <c r="F2093" s="11" t="n">
        <v>0.00751782407407407</v>
      </c>
      <c r="G2093" s="12" t="n">
        <v>916</v>
      </c>
      <c r="H2093" s="11"/>
      <c r="I2093" s="12"/>
      <c r="J2093" s="14"/>
      <c r="K2093" s="14"/>
      <c r="L2093" s="14"/>
      <c r="M2093" s="13"/>
    </row>
    <row r="2094" customFormat="false" ht="15" hidden="false" customHeight="false" outlineLevel="0" collapsed="false">
      <c r="A2094" s="6" t="n">
        <v>2090</v>
      </c>
      <c r="B2094" s="8" t="s">
        <v>3234</v>
      </c>
      <c r="C2094" s="8" t="s">
        <v>3235</v>
      </c>
      <c r="D2094" s="9"/>
      <c r="E2094" s="10"/>
      <c r="F2094" s="11" t="n">
        <v>0.00751793981481481</v>
      </c>
      <c r="G2094" s="12" t="n">
        <v>917</v>
      </c>
      <c r="H2094" s="11"/>
      <c r="I2094" s="12"/>
      <c r="J2094" s="14"/>
      <c r="K2094" s="14"/>
      <c r="L2094" s="14"/>
      <c r="M2094" s="13"/>
    </row>
    <row r="2095" customFormat="false" ht="15" hidden="false" customHeight="false" outlineLevel="0" collapsed="false">
      <c r="A2095" s="6" t="n">
        <v>2091</v>
      </c>
      <c r="B2095" s="8" t="s">
        <v>3236</v>
      </c>
      <c r="C2095" s="8" t="s">
        <v>1339</v>
      </c>
      <c r="D2095" s="9"/>
      <c r="E2095" s="10"/>
      <c r="F2095" s="11"/>
      <c r="G2095" s="12"/>
      <c r="H2095" s="11" t="n">
        <v>0.00289571759259259</v>
      </c>
      <c r="I2095" s="12" t="n">
        <v>917</v>
      </c>
      <c r="J2095" s="14"/>
      <c r="K2095" s="14"/>
      <c r="L2095" s="14"/>
      <c r="M2095" s="13"/>
    </row>
    <row r="2096" customFormat="false" ht="15" hidden="false" customHeight="false" outlineLevel="0" collapsed="false">
      <c r="A2096" s="6" t="n">
        <v>2092</v>
      </c>
      <c r="B2096" s="8" t="s">
        <v>3237</v>
      </c>
      <c r="C2096" s="8" t="s">
        <v>1347</v>
      </c>
      <c r="D2096" s="9"/>
      <c r="E2096" s="10"/>
      <c r="F2096" s="11" t="n">
        <v>0.00751805555555556</v>
      </c>
      <c r="G2096" s="12" t="n">
        <v>918</v>
      </c>
      <c r="H2096" s="11"/>
      <c r="I2096" s="12"/>
      <c r="J2096" s="14"/>
      <c r="K2096" s="14"/>
      <c r="L2096" s="14"/>
      <c r="M2096" s="13"/>
    </row>
    <row r="2097" customFormat="false" ht="15" hidden="false" customHeight="false" outlineLevel="0" collapsed="false">
      <c r="A2097" s="6" t="n">
        <v>2093</v>
      </c>
      <c r="B2097" s="8" t="s">
        <v>3238</v>
      </c>
      <c r="C2097" s="8" t="s">
        <v>2214</v>
      </c>
      <c r="D2097" s="9"/>
      <c r="E2097" s="10"/>
      <c r="F2097" s="11"/>
      <c r="G2097" s="12"/>
      <c r="H2097" s="11" t="n">
        <v>0.00289571759259259</v>
      </c>
      <c r="I2097" s="12" t="n">
        <v>918</v>
      </c>
      <c r="J2097" s="14"/>
      <c r="K2097" s="14"/>
      <c r="L2097" s="14"/>
      <c r="M2097" s="13"/>
    </row>
    <row r="2098" customFormat="false" ht="15" hidden="false" customHeight="false" outlineLevel="0" collapsed="false">
      <c r="A2098" s="6" t="n">
        <v>2094</v>
      </c>
      <c r="B2098" s="8" t="s">
        <v>3239</v>
      </c>
      <c r="C2098" s="8" t="s">
        <v>2643</v>
      </c>
      <c r="D2098" s="9"/>
      <c r="E2098" s="10"/>
      <c r="F2098" s="11"/>
      <c r="G2098" s="12"/>
      <c r="H2098" s="11" t="n">
        <v>0.00289583333333333</v>
      </c>
      <c r="I2098" s="12" t="n">
        <v>919</v>
      </c>
      <c r="J2098" s="14"/>
      <c r="K2098" s="14"/>
      <c r="L2098" s="14"/>
      <c r="M2098" s="13"/>
    </row>
    <row r="2099" customFormat="false" ht="15" hidden="false" customHeight="false" outlineLevel="0" collapsed="false">
      <c r="A2099" s="6" t="n">
        <v>2095</v>
      </c>
      <c r="B2099" s="8" t="s">
        <v>3240</v>
      </c>
      <c r="C2099" s="8" t="s">
        <v>3241</v>
      </c>
      <c r="D2099" s="9"/>
      <c r="E2099" s="10"/>
      <c r="F2099" s="11" t="n">
        <v>0.00752094907407407</v>
      </c>
      <c r="G2099" s="12" t="n">
        <v>920</v>
      </c>
      <c r="H2099" s="11"/>
      <c r="I2099" s="12"/>
      <c r="J2099" s="14"/>
      <c r="K2099" s="14"/>
      <c r="L2099" s="14"/>
      <c r="M2099" s="13"/>
    </row>
    <row r="2100" customFormat="false" ht="15" hidden="false" customHeight="false" outlineLevel="0" collapsed="false">
      <c r="A2100" s="6" t="n">
        <v>2096</v>
      </c>
      <c r="B2100" s="8" t="s">
        <v>3242</v>
      </c>
      <c r="C2100" s="8" t="s">
        <v>3243</v>
      </c>
      <c r="D2100" s="9"/>
      <c r="E2100" s="10"/>
      <c r="F2100" s="11" t="n">
        <v>0.00752164351851852</v>
      </c>
      <c r="G2100" s="12" t="n">
        <v>921</v>
      </c>
      <c r="H2100" s="11"/>
      <c r="I2100" s="12"/>
      <c r="J2100" s="14"/>
      <c r="K2100" s="14"/>
      <c r="L2100" s="14"/>
      <c r="M2100" s="13"/>
    </row>
    <row r="2101" customFormat="false" ht="15" hidden="false" customHeight="false" outlineLevel="0" collapsed="false">
      <c r="A2101" s="6" t="n">
        <v>2097</v>
      </c>
      <c r="B2101" s="8" t="s">
        <v>3244</v>
      </c>
      <c r="C2101" s="8" t="s">
        <v>3245</v>
      </c>
      <c r="D2101" s="9"/>
      <c r="E2101" s="10"/>
      <c r="F2101" s="11" t="n">
        <v>0.007521875</v>
      </c>
      <c r="G2101" s="12" t="n">
        <v>922</v>
      </c>
      <c r="H2101" s="11"/>
      <c r="I2101" s="12"/>
      <c r="J2101" s="14"/>
      <c r="K2101" s="14"/>
      <c r="L2101" s="14"/>
      <c r="M2101" s="13"/>
    </row>
    <row r="2102" customFormat="false" ht="15" hidden="false" customHeight="false" outlineLevel="0" collapsed="false">
      <c r="A2102" s="6" t="n">
        <v>2098</v>
      </c>
      <c r="B2102" s="8" t="s">
        <v>3246</v>
      </c>
      <c r="C2102" s="8" t="s">
        <v>1408</v>
      </c>
      <c r="D2102" s="9"/>
      <c r="E2102" s="10"/>
      <c r="F2102" s="11"/>
      <c r="G2102" s="12"/>
      <c r="H2102" s="11" t="n">
        <v>0.00289618055555556</v>
      </c>
      <c r="I2102" s="12" t="n">
        <v>923</v>
      </c>
      <c r="J2102" s="14" t="s">
        <v>3247</v>
      </c>
      <c r="K2102" s="14"/>
      <c r="L2102" s="14"/>
      <c r="M2102" s="13"/>
    </row>
    <row r="2103" customFormat="false" ht="15" hidden="false" customHeight="false" outlineLevel="0" collapsed="false">
      <c r="A2103" s="6" t="n">
        <v>2099</v>
      </c>
      <c r="B2103" s="8" t="s">
        <v>3248</v>
      </c>
      <c r="C2103" s="8" t="s">
        <v>3249</v>
      </c>
      <c r="D2103" s="9"/>
      <c r="E2103" s="10"/>
      <c r="F2103" s="11" t="n">
        <v>0.00752222222222222</v>
      </c>
      <c r="G2103" s="12" t="n">
        <v>924</v>
      </c>
      <c r="H2103" s="11"/>
      <c r="I2103" s="12"/>
      <c r="J2103" s="14"/>
      <c r="K2103" s="14"/>
      <c r="L2103" s="14"/>
      <c r="M2103" s="13"/>
    </row>
    <row r="2104" customFormat="false" ht="15" hidden="false" customHeight="false" outlineLevel="0" collapsed="false">
      <c r="A2104" s="6" t="n">
        <v>2100</v>
      </c>
      <c r="B2104" s="8" t="s">
        <v>3250</v>
      </c>
      <c r="C2104" s="8" t="s">
        <v>1308</v>
      </c>
      <c r="D2104" s="9"/>
      <c r="E2104" s="10"/>
      <c r="F2104" s="11"/>
      <c r="G2104" s="12"/>
      <c r="H2104" s="11" t="n">
        <v>0.00289652777777778</v>
      </c>
      <c r="I2104" s="12" t="n">
        <v>924</v>
      </c>
      <c r="J2104" s="14"/>
      <c r="K2104" s="14"/>
      <c r="L2104" s="14"/>
      <c r="M2104" s="13"/>
    </row>
    <row r="2105" customFormat="false" ht="15" hidden="false" customHeight="false" outlineLevel="0" collapsed="false">
      <c r="A2105" s="6" t="n">
        <v>2101</v>
      </c>
      <c r="B2105" s="8" t="s">
        <v>3251</v>
      </c>
      <c r="C2105" s="8" t="s">
        <v>1183</v>
      </c>
      <c r="D2105" s="9"/>
      <c r="E2105" s="10"/>
      <c r="F2105" s="11"/>
      <c r="G2105" s="12"/>
      <c r="H2105" s="11" t="n">
        <v>0.00289722222222222</v>
      </c>
      <c r="I2105" s="12" t="n">
        <v>925</v>
      </c>
      <c r="J2105" s="14"/>
      <c r="K2105" s="14"/>
      <c r="L2105" s="14"/>
      <c r="M2105" s="13"/>
    </row>
    <row r="2106" customFormat="false" ht="15" hidden="false" customHeight="false" outlineLevel="0" collapsed="false">
      <c r="A2106" s="6" t="n">
        <v>2102</v>
      </c>
      <c r="B2106" s="8" t="s">
        <v>3252</v>
      </c>
      <c r="C2106" s="8" t="s">
        <v>1411</v>
      </c>
      <c r="D2106" s="9"/>
      <c r="E2106" s="10"/>
      <c r="F2106" s="11" t="n">
        <v>0.00752534722222222</v>
      </c>
      <c r="G2106" s="12" t="n">
        <v>926</v>
      </c>
      <c r="H2106" s="11"/>
      <c r="I2106" s="12"/>
      <c r="J2106" s="14"/>
      <c r="K2106" s="14"/>
      <c r="L2106" s="14"/>
      <c r="M2106" s="13"/>
    </row>
    <row r="2107" customFormat="false" ht="15" hidden="false" customHeight="false" outlineLevel="0" collapsed="false">
      <c r="A2107" s="6" t="n">
        <v>2103</v>
      </c>
      <c r="B2107" s="8" t="s">
        <v>3253</v>
      </c>
      <c r="C2107" s="8" t="s">
        <v>3254</v>
      </c>
      <c r="D2107" s="9"/>
      <c r="E2107" s="10"/>
      <c r="F2107" s="11" t="n">
        <v>0.0075275462962963</v>
      </c>
      <c r="G2107" s="12" t="n">
        <v>927</v>
      </c>
      <c r="H2107" s="11"/>
      <c r="I2107" s="12"/>
      <c r="J2107" s="14"/>
      <c r="K2107" s="14"/>
      <c r="L2107" s="14"/>
      <c r="M2107" s="13"/>
    </row>
    <row r="2108" customFormat="false" ht="15" hidden="false" customHeight="false" outlineLevel="0" collapsed="false">
      <c r="A2108" s="6" t="n">
        <v>2104</v>
      </c>
      <c r="B2108" s="8" t="s">
        <v>3255</v>
      </c>
      <c r="C2108" s="8" t="s">
        <v>2533</v>
      </c>
      <c r="D2108" s="9"/>
      <c r="E2108" s="10"/>
      <c r="F2108" s="11" t="n">
        <v>0.00752858796296296</v>
      </c>
      <c r="G2108" s="12" t="n">
        <v>929</v>
      </c>
      <c r="H2108" s="11"/>
      <c r="I2108" s="12"/>
      <c r="J2108" s="14"/>
      <c r="K2108" s="14"/>
      <c r="L2108" s="14"/>
      <c r="M2108" s="13"/>
    </row>
    <row r="2109" customFormat="false" ht="15" hidden="false" customHeight="false" outlineLevel="0" collapsed="false">
      <c r="A2109" s="6" t="n">
        <v>2105</v>
      </c>
      <c r="B2109" s="8" t="s">
        <v>3256</v>
      </c>
      <c r="C2109" s="8" t="s">
        <v>3233</v>
      </c>
      <c r="D2109" s="9"/>
      <c r="E2109" s="10"/>
      <c r="F2109" s="11" t="n">
        <v>0.00752974537037037</v>
      </c>
      <c r="G2109" s="12" t="n">
        <v>930</v>
      </c>
      <c r="H2109" s="11"/>
      <c r="I2109" s="12"/>
      <c r="J2109" s="14"/>
      <c r="K2109" s="14"/>
      <c r="L2109" s="14"/>
      <c r="M2109" s="13"/>
    </row>
    <row r="2110" customFormat="false" ht="15" hidden="false" customHeight="false" outlineLevel="0" collapsed="false">
      <c r="A2110" s="6" t="n">
        <v>2106</v>
      </c>
      <c r="B2110" s="8" t="s">
        <v>3257</v>
      </c>
      <c r="C2110" s="8" t="s">
        <v>3258</v>
      </c>
      <c r="D2110" s="9"/>
      <c r="E2110" s="10"/>
      <c r="F2110" s="11"/>
      <c r="G2110" s="12"/>
      <c r="H2110" s="11" t="n">
        <v>0.0028974537037037</v>
      </c>
      <c r="I2110" s="12" t="n">
        <v>930</v>
      </c>
      <c r="J2110" s="14"/>
      <c r="K2110" s="14"/>
      <c r="L2110" s="14"/>
      <c r="M2110" s="13"/>
    </row>
    <row r="2111" customFormat="false" ht="15" hidden="false" customHeight="false" outlineLevel="0" collapsed="false">
      <c r="A2111" s="6" t="n">
        <v>2107</v>
      </c>
      <c r="B2111" s="8" t="s">
        <v>3259</v>
      </c>
      <c r="C2111" s="8" t="s">
        <v>306</v>
      </c>
      <c r="D2111" s="9"/>
      <c r="E2111" s="10"/>
      <c r="F2111" s="11" t="n">
        <v>0.0075306712962963</v>
      </c>
      <c r="G2111" s="12" t="n">
        <v>931</v>
      </c>
      <c r="H2111" s="11"/>
      <c r="I2111" s="12"/>
      <c r="J2111" s="14"/>
      <c r="K2111" s="14"/>
      <c r="L2111" s="14"/>
      <c r="M2111" s="13"/>
    </row>
    <row r="2112" customFormat="false" ht="15" hidden="false" customHeight="false" outlineLevel="0" collapsed="false">
      <c r="A2112" s="6" t="n">
        <v>2108</v>
      </c>
      <c r="B2112" s="8" t="s">
        <v>3260</v>
      </c>
      <c r="C2112" s="8" t="s">
        <v>3261</v>
      </c>
      <c r="D2112" s="9"/>
      <c r="E2112" s="10"/>
      <c r="F2112" s="11" t="n">
        <v>0.00753159722222222</v>
      </c>
      <c r="G2112" s="12" t="n">
        <v>932</v>
      </c>
      <c r="H2112" s="11"/>
      <c r="I2112" s="12"/>
      <c r="J2112" s="14"/>
      <c r="K2112" s="14"/>
      <c r="L2112" s="14"/>
      <c r="M2112" s="13"/>
    </row>
    <row r="2113" customFormat="false" ht="15" hidden="false" customHeight="false" outlineLevel="0" collapsed="false">
      <c r="A2113" s="6" t="n">
        <v>2109</v>
      </c>
      <c r="B2113" s="8" t="s">
        <v>3262</v>
      </c>
      <c r="C2113" s="8" t="s">
        <v>3263</v>
      </c>
      <c r="D2113" s="9"/>
      <c r="E2113" s="10"/>
      <c r="F2113" s="11" t="n">
        <v>0.00753298611111111</v>
      </c>
      <c r="G2113" s="12" t="n">
        <v>933</v>
      </c>
      <c r="H2113" s="11"/>
      <c r="I2113" s="12"/>
      <c r="J2113" s="14"/>
      <c r="K2113" s="14"/>
      <c r="L2113" s="14"/>
      <c r="M2113" s="13"/>
    </row>
    <row r="2114" customFormat="false" ht="15" hidden="false" customHeight="false" outlineLevel="0" collapsed="false">
      <c r="A2114" s="6" t="n">
        <v>2110</v>
      </c>
      <c r="B2114" s="8" t="s">
        <v>3264</v>
      </c>
      <c r="C2114" s="8" t="s">
        <v>3265</v>
      </c>
      <c r="D2114" s="9"/>
      <c r="E2114" s="10"/>
      <c r="F2114" s="11"/>
      <c r="G2114" s="12"/>
      <c r="H2114" s="11" t="n">
        <v>0.00289814814814815</v>
      </c>
      <c r="I2114" s="12" t="n">
        <v>933</v>
      </c>
      <c r="J2114" s="14"/>
      <c r="K2114" s="14"/>
      <c r="L2114" s="14"/>
      <c r="M2114" s="13"/>
    </row>
    <row r="2115" customFormat="false" ht="15" hidden="false" customHeight="false" outlineLevel="0" collapsed="false">
      <c r="A2115" s="6" t="n">
        <v>2111</v>
      </c>
      <c r="B2115" s="8" t="s">
        <v>3266</v>
      </c>
      <c r="C2115" s="8" t="s">
        <v>3267</v>
      </c>
      <c r="D2115" s="9"/>
      <c r="E2115" s="10"/>
      <c r="F2115" s="11" t="n">
        <v>0.00753333333333333</v>
      </c>
      <c r="G2115" s="12" t="n">
        <v>934</v>
      </c>
      <c r="H2115" s="11"/>
      <c r="I2115" s="12"/>
      <c r="J2115" s="14"/>
      <c r="K2115" s="14"/>
      <c r="L2115" s="14"/>
      <c r="M2115" s="13"/>
    </row>
    <row r="2116" customFormat="false" ht="15" hidden="false" customHeight="false" outlineLevel="0" collapsed="false">
      <c r="A2116" s="6" t="n">
        <v>2112</v>
      </c>
      <c r="B2116" s="8" t="s">
        <v>3268</v>
      </c>
      <c r="C2116" s="8" t="s">
        <v>3269</v>
      </c>
      <c r="D2116" s="9"/>
      <c r="E2116" s="10"/>
      <c r="F2116" s="11" t="n">
        <v>0.00753356481481482</v>
      </c>
      <c r="G2116" s="12" t="n">
        <v>935</v>
      </c>
      <c r="H2116" s="11"/>
      <c r="I2116" s="12"/>
      <c r="J2116" s="14"/>
      <c r="K2116" s="14"/>
      <c r="L2116" s="14"/>
      <c r="M2116" s="13"/>
    </row>
    <row r="2117" customFormat="false" ht="15" hidden="false" customHeight="false" outlineLevel="0" collapsed="false">
      <c r="A2117" s="6" t="n">
        <v>2113</v>
      </c>
      <c r="B2117" s="8" t="s">
        <v>3270</v>
      </c>
      <c r="C2117" s="8" t="s">
        <v>2279</v>
      </c>
      <c r="D2117" s="9"/>
      <c r="E2117" s="10"/>
      <c r="F2117" s="11" t="n">
        <v>0.00753518518518519</v>
      </c>
      <c r="G2117" s="12" t="n">
        <v>936</v>
      </c>
      <c r="H2117" s="11"/>
      <c r="I2117" s="12"/>
      <c r="J2117" s="14"/>
      <c r="K2117" s="14"/>
      <c r="L2117" s="14"/>
      <c r="M2117" s="13"/>
    </row>
    <row r="2118" customFormat="false" ht="15" hidden="false" customHeight="false" outlineLevel="0" collapsed="false">
      <c r="A2118" s="6" t="n">
        <v>2114</v>
      </c>
      <c r="B2118" s="8" t="s">
        <v>3271</v>
      </c>
      <c r="C2118" s="8" t="s">
        <v>3272</v>
      </c>
      <c r="D2118" s="9"/>
      <c r="E2118" s="10"/>
      <c r="F2118" s="11"/>
      <c r="G2118" s="12"/>
      <c r="H2118" s="11" t="n">
        <v>0.00289849537037037</v>
      </c>
      <c r="I2118" s="12" t="n">
        <v>936</v>
      </c>
      <c r="J2118" s="14"/>
      <c r="K2118" s="14"/>
      <c r="L2118" s="14"/>
      <c r="M2118" s="13"/>
    </row>
    <row r="2119" customFormat="false" ht="15" hidden="false" customHeight="false" outlineLevel="0" collapsed="false">
      <c r="A2119" s="6" t="n">
        <v>2115</v>
      </c>
      <c r="B2119" s="8" t="s">
        <v>3273</v>
      </c>
      <c r="C2119" s="8" t="s">
        <v>1588</v>
      </c>
      <c r="D2119" s="9"/>
      <c r="E2119" s="10"/>
      <c r="F2119" s="11" t="n">
        <v>0.00753541666666667</v>
      </c>
      <c r="G2119" s="12" t="n">
        <v>937</v>
      </c>
      <c r="H2119" s="11"/>
      <c r="I2119" s="12"/>
      <c r="J2119" s="14"/>
      <c r="K2119" s="14"/>
      <c r="L2119" s="14"/>
      <c r="M2119" s="13"/>
    </row>
    <row r="2120" customFormat="false" ht="15" hidden="false" customHeight="false" outlineLevel="0" collapsed="false">
      <c r="A2120" s="6" t="n">
        <v>2116</v>
      </c>
      <c r="B2120" s="8" t="s">
        <v>3274</v>
      </c>
      <c r="C2120" s="8" t="s">
        <v>363</v>
      </c>
      <c r="D2120" s="9"/>
      <c r="E2120" s="10"/>
      <c r="F2120" s="11"/>
      <c r="G2120" s="12"/>
      <c r="H2120" s="11" t="n">
        <v>0.00289849537037037</v>
      </c>
      <c r="I2120" s="12" t="n">
        <v>937</v>
      </c>
      <c r="J2120" s="14"/>
      <c r="K2120" s="14"/>
      <c r="L2120" s="14"/>
      <c r="M2120" s="13"/>
    </row>
    <row r="2121" customFormat="false" ht="15" hidden="false" customHeight="false" outlineLevel="0" collapsed="false">
      <c r="A2121" s="6" t="n">
        <v>2117</v>
      </c>
      <c r="B2121" s="8" t="s">
        <v>3275</v>
      </c>
      <c r="C2121" s="8" t="s">
        <v>2808</v>
      </c>
      <c r="D2121" s="9"/>
      <c r="E2121" s="10"/>
      <c r="F2121" s="11" t="n">
        <v>0.00753564814814815</v>
      </c>
      <c r="G2121" s="12" t="n">
        <v>938</v>
      </c>
      <c r="H2121" s="11"/>
      <c r="I2121" s="12"/>
      <c r="J2121" s="14"/>
      <c r="K2121" s="14"/>
      <c r="L2121" s="14"/>
      <c r="M2121" s="13"/>
    </row>
    <row r="2122" customFormat="false" ht="15" hidden="false" customHeight="false" outlineLevel="0" collapsed="false">
      <c r="A2122" s="6" t="n">
        <v>2118</v>
      </c>
      <c r="B2122" s="8" t="s">
        <v>3276</v>
      </c>
      <c r="C2122" s="8" t="s">
        <v>3277</v>
      </c>
      <c r="D2122" s="9"/>
      <c r="E2122" s="10"/>
      <c r="F2122" s="11" t="n">
        <v>0.00753599537037037</v>
      </c>
      <c r="G2122" s="12" t="n">
        <v>939</v>
      </c>
      <c r="H2122" s="11"/>
      <c r="I2122" s="12"/>
      <c r="J2122" s="14"/>
      <c r="K2122" s="14"/>
      <c r="L2122" s="14"/>
      <c r="M2122" s="13"/>
    </row>
    <row r="2123" customFormat="false" ht="15" hidden="false" customHeight="false" outlineLevel="0" collapsed="false">
      <c r="A2123" s="6" t="n">
        <v>2119</v>
      </c>
      <c r="B2123" s="8" t="s">
        <v>3278</v>
      </c>
      <c r="C2123" s="8" t="s">
        <v>281</v>
      </c>
      <c r="D2123" s="9"/>
      <c r="E2123" s="10"/>
      <c r="F2123" s="11"/>
      <c r="G2123" s="12"/>
      <c r="H2123" s="11" t="n">
        <v>0.00289953703703704</v>
      </c>
      <c r="I2123" s="12" t="n">
        <v>940</v>
      </c>
      <c r="J2123" s="14"/>
      <c r="K2123" s="14"/>
      <c r="L2123" s="14"/>
      <c r="M2123" s="13"/>
    </row>
    <row r="2124" customFormat="false" ht="15" hidden="false" customHeight="false" outlineLevel="0" collapsed="false">
      <c r="A2124" s="6" t="n">
        <v>2120</v>
      </c>
      <c r="B2124" s="8" t="s">
        <v>3279</v>
      </c>
      <c r="C2124" s="8" t="s">
        <v>3280</v>
      </c>
      <c r="D2124" s="9"/>
      <c r="E2124" s="10"/>
      <c r="F2124" s="11" t="n">
        <v>0.00753657407407407</v>
      </c>
      <c r="G2124" s="12" t="n">
        <v>941</v>
      </c>
      <c r="H2124" s="11"/>
      <c r="I2124" s="12"/>
      <c r="J2124" s="14"/>
      <c r="K2124" s="14"/>
      <c r="L2124" s="14"/>
      <c r="M2124" s="13"/>
    </row>
    <row r="2125" customFormat="false" ht="15" hidden="false" customHeight="false" outlineLevel="0" collapsed="false">
      <c r="A2125" s="6" t="n">
        <v>2121</v>
      </c>
      <c r="B2125" s="8" t="s">
        <v>3281</v>
      </c>
      <c r="C2125" s="8" t="s">
        <v>3282</v>
      </c>
      <c r="D2125" s="9"/>
      <c r="E2125" s="10"/>
      <c r="F2125" s="11" t="n">
        <v>0.00753773148148148</v>
      </c>
      <c r="G2125" s="12" t="n">
        <v>942</v>
      </c>
      <c r="H2125" s="11" t="n">
        <v>0.00295590277777778</v>
      </c>
      <c r="I2125" s="12" t="n">
        <v>1257</v>
      </c>
      <c r="J2125" s="14"/>
      <c r="K2125" s="14"/>
      <c r="L2125" s="8" t="s">
        <v>3283</v>
      </c>
      <c r="M2125" s="13"/>
    </row>
    <row r="2126" customFormat="false" ht="15" hidden="false" customHeight="false" outlineLevel="0" collapsed="false">
      <c r="A2126" s="6" t="n">
        <v>2122</v>
      </c>
      <c r="B2126" s="8" t="s">
        <v>3284</v>
      </c>
      <c r="C2126" s="8" t="s">
        <v>1767</v>
      </c>
      <c r="D2126" s="9"/>
      <c r="E2126" s="10"/>
      <c r="F2126" s="11" t="n">
        <v>0.00753854166666667</v>
      </c>
      <c r="G2126" s="12" t="n">
        <v>943</v>
      </c>
      <c r="H2126" s="11"/>
      <c r="I2126" s="12"/>
      <c r="J2126" s="14"/>
      <c r="K2126" s="14"/>
      <c r="L2126" s="14"/>
      <c r="M2126" s="13"/>
    </row>
    <row r="2127" customFormat="false" ht="15" hidden="false" customHeight="false" outlineLevel="0" collapsed="false">
      <c r="A2127" s="6" t="n">
        <v>2123</v>
      </c>
      <c r="B2127" s="8" t="s">
        <v>3285</v>
      </c>
      <c r="C2127" s="8" t="s">
        <v>3286</v>
      </c>
      <c r="D2127" s="9"/>
      <c r="E2127" s="10"/>
      <c r="F2127" s="11"/>
      <c r="G2127" s="12"/>
      <c r="H2127" s="11" t="n">
        <v>0.00289976851851852</v>
      </c>
      <c r="I2127" s="12" t="n">
        <v>943</v>
      </c>
      <c r="J2127" s="14"/>
      <c r="K2127" s="14"/>
      <c r="L2127" s="14"/>
      <c r="M2127" s="13"/>
    </row>
    <row r="2128" customFormat="false" ht="15" hidden="false" customHeight="false" outlineLevel="0" collapsed="false">
      <c r="A2128" s="6" t="n">
        <v>2124</v>
      </c>
      <c r="B2128" s="8" t="s">
        <v>3287</v>
      </c>
      <c r="C2128" s="8" t="s">
        <v>3288</v>
      </c>
      <c r="D2128" s="9"/>
      <c r="E2128" s="10"/>
      <c r="F2128" s="11" t="n">
        <v>0.00753946759259259</v>
      </c>
      <c r="G2128" s="12" t="n">
        <v>944</v>
      </c>
      <c r="H2128" s="11"/>
      <c r="I2128" s="12"/>
      <c r="J2128" s="14"/>
      <c r="K2128" s="14"/>
      <c r="L2128" s="14"/>
      <c r="M2128" s="13"/>
    </row>
    <row r="2129" customFormat="false" ht="15" hidden="false" customHeight="false" outlineLevel="0" collapsed="false">
      <c r="A2129" s="6" t="n">
        <v>2125</v>
      </c>
      <c r="B2129" s="8" t="s">
        <v>3289</v>
      </c>
      <c r="C2129" s="8" t="s">
        <v>3290</v>
      </c>
      <c r="D2129" s="9"/>
      <c r="E2129" s="10"/>
      <c r="F2129" s="11" t="n">
        <v>0.00753946759259259</v>
      </c>
      <c r="G2129" s="12" t="n">
        <v>945</v>
      </c>
      <c r="H2129" s="11"/>
      <c r="I2129" s="12"/>
      <c r="J2129" s="14"/>
      <c r="K2129" s="14"/>
      <c r="L2129" s="14"/>
      <c r="M2129" s="13"/>
    </row>
    <row r="2130" customFormat="false" ht="15" hidden="false" customHeight="false" outlineLevel="0" collapsed="false">
      <c r="A2130" s="6" t="n">
        <v>2126</v>
      </c>
      <c r="B2130" s="8" t="s">
        <v>3291</v>
      </c>
      <c r="C2130" s="8" t="s">
        <v>1583</v>
      </c>
      <c r="D2130" s="9"/>
      <c r="E2130" s="10"/>
      <c r="F2130" s="11"/>
      <c r="G2130" s="12"/>
      <c r="H2130" s="11" t="n">
        <v>0.00289988425925926</v>
      </c>
      <c r="I2130" s="12" t="n">
        <v>945</v>
      </c>
      <c r="J2130" s="14"/>
      <c r="K2130" s="14" t="s">
        <v>3292</v>
      </c>
      <c r="L2130" s="14"/>
      <c r="M2130" s="13"/>
    </row>
    <row r="2131" customFormat="false" ht="15" hidden="false" customHeight="false" outlineLevel="0" collapsed="false">
      <c r="A2131" s="6" t="n">
        <v>2127</v>
      </c>
      <c r="B2131" s="8" t="s">
        <v>3293</v>
      </c>
      <c r="C2131" s="8" t="s">
        <v>608</v>
      </c>
      <c r="D2131" s="9"/>
      <c r="E2131" s="10"/>
      <c r="F2131" s="11" t="n">
        <v>0.00754155092592593</v>
      </c>
      <c r="G2131" s="12" t="n">
        <v>946</v>
      </c>
      <c r="H2131" s="11"/>
      <c r="I2131" s="12"/>
      <c r="J2131" s="14"/>
      <c r="K2131" s="14"/>
      <c r="L2131" s="14"/>
      <c r="M2131" s="13"/>
    </row>
    <row r="2132" customFormat="false" ht="15" hidden="false" customHeight="false" outlineLevel="0" collapsed="false">
      <c r="A2132" s="6" t="n">
        <v>2128</v>
      </c>
      <c r="B2132" s="8" t="s">
        <v>3294</v>
      </c>
      <c r="C2132" s="8" t="s">
        <v>3295</v>
      </c>
      <c r="D2132" s="9"/>
      <c r="E2132" s="10"/>
      <c r="F2132" s="11" t="n">
        <v>0.00754236111111111</v>
      </c>
      <c r="G2132" s="12" t="n">
        <v>947</v>
      </c>
      <c r="H2132" s="11"/>
      <c r="I2132" s="12"/>
      <c r="J2132" s="14"/>
      <c r="K2132" s="14"/>
      <c r="L2132" s="14"/>
      <c r="M2132" s="13"/>
    </row>
    <row r="2133" customFormat="false" ht="15" hidden="false" customHeight="false" outlineLevel="0" collapsed="false">
      <c r="A2133" s="6" t="n">
        <v>2129</v>
      </c>
      <c r="B2133" s="8" t="s">
        <v>3296</v>
      </c>
      <c r="C2133" s="8" t="s">
        <v>2445</v>
      </c>
      <c r="D2133" s="9"/>
      <c r="E2133" s="10"/>
      <c r="F2133" s="11" t="n">
        <v>0.00754363425925926</v>
      </c>
      <c r="G2133" s="12" t="n">
        <v>948</v>
      </c>
      <c r="H2133" s="11"/>
      <c r="I2133" s="12"/>
      <c r="J2133" s="14"/>
      <c r="K2133" s="14"/>
      <c r="L2133" s="14"/>
      <c r="M2133" s="13"/>
    </row>
    <row r="2134" customFormat="false" ht="15" hidden="false" customHeight="false" outlineLevel="0" collapsed="false">
      <c r="A2134" s="6" t="n">
        <v>2130</v>
      </c>
      <c r="B2134" s="8" t="s">
        <v>3297</v>
      </c>
      <c r="C2134" s="8" t="s">
        <v>3298</v>
      </c>
      <c r="D2134" s="9"/>
      <c r="E2134" s="10"/>
      <c r="F2134" s="11" t="n">
        <v>0.00754421296296296</v>
      </c>
      <c r="G2134" s="12" t="n">
        <v>949</v>
      </c>
      <c r="H2134" s="11"/>
      <c r="I2134" s="12"/>
      <c r="J2134" s="14"/>
      <c r="K2134" s="14"/>
      <c r="L2134" s="14"/>
      <c r="M2134" s="13"/>
    </row>
    <row r="2135" customFormat="false" ht="15" hidden="false" customHeight="false" outlineLevel="0" collapsed="false">
      <c r="A2135" s="6" t="n">
        <v>2131</v>
      </c>
      <c r="B2135" s="8" t="s">
        <v>3299</v>
      </c>
      <c r="C2135" s="8" t="s">
        <v>197</v>
      </c>
      <c r="D2135" s="9"/>
      <c r="E2135" s="10"/>
      <c r="F2135" s="11"/>
      <c r="G2135" s="12"/>
      <c r="H2135" s="11" t="n">
        <v>0.00290023148148148</v>
      </c>
      <c r="I2135" s="12" t="n">
        <v>949</v>
      </c>
      <c r="J2135" s="14"/>
      <c r="K2135" s="14"/>
      <c r="L2135" s="14"/>
      <c r="M2135" s="13"/>
    </row>
    <row r="2136" customFormat="false" ht="15" hidden="false" customHeight="false" outlineLevel="0" collapsed="false">
      <c r="A2136" s="6" t="n">
        <v>2132</v>
      </c>
      <c r="B2136" s="8" t="s">
        <v>3300</v>
      </c>
      <c r="C2136" s="8" t="s">
        <v>1389</v>
      </c>
      <c r="D2136" s="9"/>
      <c r="E2136" s="10"/>
      <c r="F2136" s="11" t="n">
        <v>0.00754513888888889</v>
      </c>
      <c r="G2136" s="12" t="n">
        <v>950</v>
      </c>
      <c r="H2136" s="11"/>
      <c r="I2136" s="12"/>
      <c r="J2136" s="14"/>
      <c r="K2136" s="14"/>
      <c r="L2136" s="14"/>
      <c r="M2136" s="13"/>
    </row>
    <row r="2137" customFormat="false" ht="15" hidden="false" customHeight="false" outlineLevel="0" collapsed="false">
      <c r="A2137" s="6" t="n">
        <v>2133</v>
      </c>
      <c r="B2137" s="8" t="s">
        <v>3301</v>
      </c>
      <c r="C2137" s="8" t="s">
        <v>2641</v>
      </c>
      <c r="D2137" s="9"/>
      <c r="E2137" s="10"/>
      <c r="F2137" s="11" t="n">
        <v>0.00754537037037037</v>
      </c>
      <c r="G2137" s="12" t="n">
        <v>951</v>
      </c>
      <c r="H2137" s="11"/>
      <c r="I2137" s="12"/>
      <c r="J2137" s="14"/>
      <c r="K2137" s="14"/>
      <c r="L2137" s="14"/>
      <c r="M2137" s="13"/>
    </row>
    <row r="2138" customFormat="false" ht="15" hidden="false" customHeight="false" outlineLevel="0" collapsed="false">
      <c r="A2138" s="6" t="n">
        <v>2134</v>
      </c>
      <c r="B2138" s="8" t="s">
        <v>3302</v>
      </c>
      <c r="C2138" s="8" t="s">
        <v>3303</v>
      </c>
      <c r="D2138" s="9"/>
      <c r="E2138" s="10"/>
      <c r="F2138" s="11" t="n">
        <v>0.00754594907407408</v>
      </c>
      <c r="G2138" s="12" t="n">
        <v>952</v>
      </c>
      <c r="H2138" s="11"/>
      <c r="I2138" s="12"/>
      <c r="J2138" s="14"/>
      <c r="K2138" s="14"/>
      <c r="L2138" s="14"/>
      <c r="M2138" s="13"/>
    </row>
    <row r="2139" customFormat="false" ht="15" hidden="false" customHeight="false" outlineLevel="0" collapsed="false">
      <c r="A2139" s="6" t="n">
        <v>2135</v>
      </c>
      <c r="B2139" s="8" t="s">
        <v>3304</v>
      </c>
      <c r="C2139" s="8" t="s">
        <v>1424</v>
      </c>
      <c r="D2139" s="9"/>
      <c r="E2139" s="10"/>
      <c r="F2139" s="11"/>
      <c r="G2139" s="12"/>
      <c r="H2139" s="11" t="n">
        <v>0.0029005787037037</v>
      </c>
      <c r="I2139" s="12" t="n">
        <v>952</v>
      </c>
      <c r="J2139" s="14"/>
      <c r="K2139" s="14"/>
      <c r="L2139" s="14"/>
      <c r="M2139" s="13"/>
    </row>
    <row r="2140" customFormat="false" ht="15" hidden="false" customHeight="false" outlineLevel="0" collapsed="false">
      <c r="A2140" s="6" t="n">
        <v>2136</v>
      </c>
      <c r="B2140" s="8" t="s">
        <v>3305</v>
      </c>
      <c r="C2140" s="8" t="s">
        <v>2168</v>
      </c>
      <c r="D2140" s="9"/>
      <c r="E2140" s="10"/>
      <c r="F2140" s="11" t="n">
        <v>0.00754768518518519</v>
      </c>
      <c r="G2140" s="12" t="n">
        <v>953</v>
      </c>
      <c r="H2140" s="11"/>
      <c r="I2140" s="12"/>
      <c r="J2140" s="14"/>
      <c r="K2140" s="14"/>
      <c r="L2140" s="14"/>
      <c r="M2140" s="13"/>
    </row>
    <row r="2141" customFormat="false" ht="15" hidden="false" customHeight="false" outlineLevel="0" collapsed="false">
      <c r="A2141" s="6" t="n">
        <v>2137</v>
      </c>
      <c r="B2141" s="8" t="s">
        <v>3306</v>
      </c>
      <c r="C2141" s="8" t="s">
        <v>1408</v>
      </c>
      <c r="D2141" s="9"/>
      <c r="E2141" s="10"/>
      <c r="F2141" s="11" t="n">
        <v>0.00754861111111111</v>
      </c>
      <c r="G2141" s="12" t="n">
        <v>954</v>
      </c>
      <c r="H2141" s="11"/>
      <c r="I2141" s="12"/>
      <c r="J2141" s="14"/>
      <c r="K2141" s="14"/>
      <c r="L2141" s="14"/>
      <c r="M2141" s="13"/>
    </row>
    <row r="2142" customFormat="false" ht="15" hidden="false" customHeight="false" outlineLevel="0" collapsed="false">
      <c r="A2142" s="6" t="n">
        <v>2138</v>
      </c>
      <c r="B2142" s="8" t="s">
        <v>3307</v>
      </c>
      <c r="C2142" s="8" t="s">
        <v>989</v>
      </c>
      <c r="D2142" s="9"/>
      <c r="E2142" s="10"/>
      <c r="F2142" s="11" t="n">
        <v>0.00754884259259259</v>
      </c>
      <c r="G2142" s="12" t="n">
        <v>955</v>
      </c>
      <c r="H2142" s="11"/>
      <c r="I2142" s="12"/>
      <c r="J2142" s="14"/>
      <c r="K2142" s="14"/>
      <c r="L2142" s="14"/>
      <c r="M2142" s="13"/>
    </row>
    <row r="2143" customFormat="false" ht="15" hidden="false" customHeight="false" outlineLevel="0" collapsed="false">
      <c r="A2143" s="6" t="n">
        <v>2139</v>
      </c>
      <c r="B2143" s="8" t="s">
        <v>3308</v>
      </c>
      <c r="C2143" s="8" t="s">
        <v>3309</v>
      </c>
      <c r="D2143" s="9"/>
      <c r="E2143" s="10"/>
      <c r="F2143" s="11"/>
      <c r="G2143" s="12"/>
      <c r="H2143" s="11" t="n">
        <v>0.00290104166666667</v>
      </c>
      <c r="I2143" s="12" t="n">
        <v>955</v>
      </c>
      <c r="J2143" s="14"/>
      <c r="K2143" s="14"/>
      <c r="L2143" s="14"/>
      <c r="M2143" s="13"/>
    </row>
    <row r="2144" customFormat="false" ht="15" hidden="false" customHeight="false" outlineLevel="0" collapsed="false">
      <c r="A2144" s="6" t="n">
        <v>2140</v>
      </c>
      <c r="B2144" s="8" t="s">
        <v>3310</v>
      </c>
      <c r="C2144" s="8" t="s">
        <v>172</v>
      </c>
      <c r="D2144" s="9"/>
      <c r="E2144" s="10"/>
      <c r="F2144" s="11" t="n">
        <v>0.00754907407407407</v>
      </c>
      <c r="G2144" s="12" t="n">
        <v>956</v>
      </c>
      <c r="H2144" s="11"/>
      <c r="I2144" s="12"/>
      <c r="J2144" s="14"/>
      <c r="K2144" s="14"/>
      <c r="L2144" s="14"/>
      <c r="M2144" s="13"/>
    </row>
    <row r="2145" customFormat="false" ht="15" hidden="false" customHeight="false" outlineLevel="0" collapsed="false">
      <c r="A2145" s="6" t="n">
        <v>2141</v>
      </c>
      <c r="B2145" s="8" t="s">
        <v>3311</v>
      </c>
      <c r="C2145" s="8" t="s">
        <v>313</v>
      </c>
      <c r="D2145" s="9"/>
      <c r="E2145" s="10"/>
      <c r="F2145" s="11"/>
      <c r="G2145" s="12"/>
      <c r="H2145" s="11" t="n">
        <v>0.00290138888888889</v>
      </c>
      <c r="I2145" s="12" t="n">
        <v>957</v>
      </c>
      <c r="J2145" s="14"/>
      <c r="K2145" s="14" t="s">
        <v>3312</v>
      </c>
      <c r="L2145" s="14"/>
      <c r="M2145" s="13"/>
    </row>
    <row r="2146" customFormat="false" ht="15" hidden="false" customHeight="false" outlineLevel="0" collapsed="false">
      <c r="A2146" s="6" t="n">
        <v>2142</v>
      </c>
      <c r="B2146" s="8" t="s">
        <v>3313</v>
      </c>
      <c r="C2146" s="8" t="s">
        <v>3314</v>
      </c>
      <c r="D2146" s="9"/>
      <c r="E2146" s="10"/>
      <c r="F2146" s="11" t="n">
        <v>0.00755219907407407</v>
      </c>
      <c r="G2146" s="12" t="n">
        <v>958</v>
      </c>
      <c r="H2146" s="11"/>
      <c r="I2146" s="12"/>
      <c r="J2146" s="14"/>
      <c r="K2146" s="14"/>
      <c r="L2146" s="14"/>
      <c r="M2146" s="13"/>
    </row>
    <row r="2147" customFormat="false" ht="15" hidden="false" customHeight="false" outlineLevel="0" collapsed="false">
      <c r="A2147" s="6" t="n">
        <v>2143</v>
      </c>
      <c r="B2147" s="8" t="s">
        <v>3315</v>
      </c>
      <c r="C2147" s="8" t="s">
        <v>1844</v>
      </c>
      <c r="D2147" s="9"/>
      <c r="E2147" s="10"/>
      <c r="F2147" s="11" t="n">
        <v>0.00755289351851852</v>
      </c>
      <c r="G2147" s="12" t="n">
        <v>959</v>
      </c>
      <c r="H2147" s="11"/>
      <c r="I2147" s="12"/>
      <c r="J2147" s="14"/>
      <c r="K2147" s="14"/>
      <c r="L2147" s="14"/>
      <c r="M2147" s="13"/>
    </row>
    <row r="2148" customFormat="false" ht="15" hidden="false" customHeight="false" outlineLevel="0" collapsed="false">
      <c r="A2148" s="6" t="n">
        <v>2144</v>
      </c>
      <c r="B2148" s="8" t="s">
        <v>3316</v>
      </c>
      <c r="C2148" s="8" t="s">
        <v>3032</v>
      </c>
      <c r="D2148" s="9"/>
      <c r="E2148" s="10"/>
      <c r="F2148" s="11"/>
      <c r="G2148" s="12"/>
      <c r="H2148" s="11" t="n">
        <v>0.00290162037037037</v>
      </c>
      <c r="I2148" s="12" t="n">
        <v>959</v>
      </c>
      <c r="J2148" s="14"/>
      <c r="K2148" s="14"/>
      <c r="L2148" s="14"/>
      <c r="M2148" s="13"/>
    </row>
    <row r="2149" customFormat="false" ht="15" hidden="false" customHeight="false" outlineLevel="0" collapsed="false">
      <c r="A2149" s="6" t="n">
        <v>2145</v>
      </c>
      <c r="B2149" s="8" t="s">
        <v>3317</v>
      </c>
      <c r="C2149" s="8" t="s">
        <v>3318</v>
      </c>
      <c r="D2149" s="9"/>
      <c r="E2149" s="10"/>
      <c r="F2149" s="11" t="n">
        <v>0.00755347222222222</v>
      </c>
      <c r="G2149" s="12" t="n">
        <v>960</v>
      </c>
      <c r="H2149" s="11"/>
      <c r="I2149" s="12"/>
      <c r="J2149" s="14"/>
      <c r="K2149" s="14"/>
      <c r="L2149" s="14"/>
      <c r="M2149" s="13"/>
    </row>
    <row r="2150" customFormat="false" ht="15" hidden="false" customHeight="false" outlineLevel="0" collapsed="false">
      <c r="A2150" s="6" t="n">
        <v>2146</v>
      </c>
      <c r="B2150" s="8" t="s">
        <v>3319</v>
      </c>
      <c r="C2150" s="8" t="s">
        <v>2501</v>
      </c>
      <c r="D2150" s="9"/>
      <c r="E2150" s="10"/>
      <c r="F2150" s="11" t="n">
        <v>0.00755636574074074</v>
      </c>
      <c r="G2150" s="12" t="n">
        <v>961</v>
      </c>
      <c r="H2150" s="11"/>
      <c r="I2150" s="12"/>
      <c r="J2150" s="14"/>
      <c r="K2150" s="14"/>
      <c r="L2150" s="14"/>
      <c r="M2150" s="13"/>
    </row>
    <row r="2151" customFormat="false" ht="15" hidden="false" customHeight="false" outlineLevel="0" collapsed="false">
      <c r="A2151" s="6" t="n">
        <v>2147</v>
      </c>
      <c r="B2151" s="8" t="s">
        <v>3320</v>
      </c>
      <c r="C2151" s="8" t="s">
        <v>2056</v>
      </c>
      <c r="D2151" s="9"/>
      <c r="E2151" s="10"/>
      <c r="F2151" s="11" t="n">
        <v>0.00755798611111111</v>
      </c>
      <c r="G2151" s="12" t="n">
        <v>962</v>
      </c>
      <c r="H2151" s="11"/>
      <c r="I2151" s="12"/>
      <c r="J2151" s="14"/>
      <c r="K2151" s="14"/>
      <c r="L2151" s="14"/>
      <c r="M2151" s="13"/>
    </row>
    <row r="2152" customFormat="false" ht="15" hidden="false" customHeight="false" outlineLevel="0" collapsed="false">
      <c r="A2152" s="6" t="n">
        <v>2148</v>
      </c>
      <c r="B2152" s="8" t="s">
        <v>3321</v>
      </c>
      <c r="C2152" s="8" t="s">
        <v>3322</v>
      </c>
      <c r="D2152" s="9"/>
      <c r="E2152" s="10"/>
      <c r="F2152" s="11" t="n">
        <v>0.007559375</v>
      </c>
      <c r="G2152" s="12" t="n">
        <v>963</v>
      </c>
      <c r="H2152" s="11"/>
      <c r="I2152" s="12"/>
      <c r="J2152" s="14"/>
      <c r="K2152" s="14"/>
      <c r="L2152" s="14"/>
      <c r="M2152" s="13"/>
    </row>
    <row r="2153" customFormat="false" ht="15" hidden="false" customHeight="false" outlineLevel="0" collapsed="false">
      <c r="A2153" s="6" t="n">
        <v>2149</v>
      </c>
      <c r="B2153" s="8" t="s">
        <v>3323</v>
      </c>
      <c r="C2153" s="8" t="s">
        <v>3324</v>
      </c>
      <c r="D2153" s="9"/>
      <c r="E2153" s="10"/>
      <c r="F2153" s="11"/>
      <c r="G2153" s="12"/>
      <c r="H2153" s="11" t="n">
        <v>0.00290173611111111</v>
      </c>
      <c r="I2153" s="12" t="n">
        <v>963</v>
      </c>
      <c r="J2153" s="14"/>
      <c r="K2153" s="14"/>
      <c r="L2153" s="14"/>
      <c r="M2153" s="13"/>
    </row>
    <row r="2154" customFormat="false" ht="15" hidden="false" customHeight="false" outlineLevel="0" collapsed="false">
      <c r="A2154" s="6" t="n">
        <v>2150</v>
      </c>
      <c r="B2154" s="8" t="s">
        <v>3325</v>
      </c>
      <c r="C2154" s="8" t="s">
        <v>3326</v>
      </c>
      <c r="D2154" s="9"/>
      <c r="E2154" s="10"/>
      <c r="F2154" s="11" t="n">
        <v>0.00756030092592593</v>
      </c>
      <c r="G2154" s="12" t="n">
        <v>964</v>
      </c>
      <c r="H2154" s="11" t="n">
        <v>0.00290856481481482</v>
      </c>
      <c r="I2154" s="12" t="n">
        <v>1005</v>
      </c>
      <c r="J2154" s="14"/>
      <c r="K2154" s="14"/>
      <c r="L2154" s="14"/>
      <c r="M2154" s="13"/>
    </row>
    <row r="2155" customFormat="false" ht="15" hidden="false" customHeight="false" outlineLevel="0" collapsed="false">
      <c r="A2155" s="6" t="n">
        <v>2151</v>
      </c>
      <c r="B2155" s="8" t="s">
        <v>3327</v>
      </c>
      <c r="C2155" s="8" t="s">
        <v>427</v>
      </c>
      <c r="D2155" s="9"/>
      <c r="E2155" s="10"/>
      <c r="F2155" s="11" t="n">
        <v>0.00756261574074074</v>
      </c>
      <c r="G2155" s="12" t="n">
        <v>965</v>
      </c>
      <c r="H2155" s="11" t="n">
        <v>0.00294131944444444</v>
      </c>
      <c r="I2155" s="12" t="n">
        <v>1204</v>
      </c>
      <c r="J2155" s="14"/>
      <c r="K2155" s="14"/>
      <c r="L2155" s="14"/>
      <c r="M2155" s="13"/>
    </row>
    <row r="2156" customFormat="false" ht="15" hidden="false" customHeight="false" outlineLevel="0" collapsed="false">
      <c r="A2156" s="6" t="n">
        <v>2152</v>
      </c>
      <c r="B2156" s="8" t="s">
        <v>3328</v>
      </c>
      <c r="C2156" s="8" t="s">
        <v>3329</v>
      </c>
      <c r="D2156" s="9"/>
      <c r="E2156" s="10"/>
      <c r="F2156" s="11" t="n">
        <v>0.00756273148148148</v>
      </c>
      <c r="G2156" s="12" t="n">
        <v>966</v>
      </c>
      <c r="H2156" s="11"/>
      <c r="I2156" s="12"/>
      <c r="J2156" s="14"/>
      <c r="K2156" s="14"/>
      <c r="L2156" s="14"/>
      <c r="M2156" s="13"/>
    </row>
    <row r="2157" customFormat="false" ht="15" hidden="false" customHeight="false" outlineLevel="0" collapsed="false">
      <c r="A2157" s="6" t="n">
        <v>2153</v>
      </c>
      <c r="B2157" s="8" t="s">
        <v>3330</v>
      </c>
      <c r="C2157" s="8" t="s">
        <v>1262</v>
      </c>
      <c r="D2157" s="9"/>
      <c r="E2157" s="10"/>
      <c r="F2157" s="11"/>
      <c r="G2157" s="12"/>
      <c r="H2157" s="11" t="n">
        <v>0.00290231481481482</v>
      </c>
      <c r="I2157" s="12" t="n">
        <v>966</v>
      </c>
      <c r="J2157" s="14"/>
      <c r="K2157" s="14"/>
      <c r="L2157" s="14"/>
      <c r="M2157" s="13"/>
    </row>
    <row r="2158" customFormat="false" ht="15" hidden="false" customHeight="false" outlineLevel="0" collapsed="false">
      <c r="A2158" s="6" t="n">
        <v>2154</v>
      </c>
      <c r="B2158" s="8" t="s">
        <v>3331</v>
      </c>
      <c r="C2158" s="8" t="s">
        <v>3332</v>
      </c>
      <c r="D2158" s="9"/>
      <c r="E2158" s="10"/>
      <c r="F2158" s="11" t="n">
        <v>0.00756342592592593</v>
      </c>
      <c r="G2158" s="12" t="n">
        <v>967</v>
      </c>
      <c r="H2158" s="11"/>
      <c r="I2158" s="12"/>
      <c r="J2158" s="14"/>
      <c r="K2158" s="14"/>
      <c r="L2158" s="14"/>
      <c r="M2158" s="13"/>
    </row>
    <row r="2159" customFormat="false" ht="15" hidden="false" customHeight="false" outlineLevel="0" collapsed="false">
      <c r="A2159" s="6" t="n">
        <v>2155</v>
      </c>
      <c r="B2159" s="8" t="s">
        <v>3333</v>
      </c>
      <c r="C2159" s="8" t="s">
        <v>3334</v>
      </c>
      <c r="D2159" s="9"/>
      <c r="E2159" s="10"/>
      <c r="F2159" s="11" t="n">
        <v>0.00756400462962963</v>
      </c>
      <c r="G2159" s="12" t="n">
        <v>968</v>
      </c>
      <c r="H2159" s="11"/>
      <c r="I2159" s="12"/>
      <c r="J2159" s="14"/>
      <c r="K2159" s="14"/>
      <c r="L2159" s="14"/>
      <c r="M2159" s="13"/>
    </row>
    <row r="2160" customFormat="false" ht="15" hidden="false" customHeight="false" outlineLevel="0" collapsed="false">
      <c r="A2160" s="6" t="n">
        <v>2156</v>
      </c>
      <c r="B2160" s="8" t="s">
        <v>3335</v>
      </c>
      <c r="C2160" s="8" t="s">
        <v>3202</v>
      </c>
      <c r="D2160" s="9"/>
      <c r="E2160" s="10"/>
      <c r="F2160" s="11"/>
      <c r="G2160" s="12"/>
      <c r="H2160" s="11" t="n">
        <v>0.00290266203703704</v>
      </c>
      <c r="I2160" s="12" t="n">
        <v>968</v>
      </c>
      <c r="J2160" s="14"/>
      <c r="K2160" s="14"/>
      <c r="L2160" s="14"/>
      <c r="M2160" s="13"/>
    </row>
    <row r="2161" customFormat="false" ht="15" hidden="false" customHeight="false" outlineLevel="0" collapsed="false">
      <c r="A2161" s="6" t="n">
        <v>2157</v>
      </c>
      <c r="B2161" s="8" t="s">
        <v>3336</v>
      </c>
      <c r="C2161" s="8" t="s">
        <v>3337</v>
      </c>
      <c r="D2161" s="9"/>
      <c r="E2161" s="10"/>
      <c r="F2161" s="11" t="n">
        <v>0.00756423611111111</v>
      </c>
      <c r="G2161" s="12" t="n">
        <v>969</v>
      </c>
      <c r="H2161" s="11"/>
      <c r="I2161" s="12"/>
      <c r="J2161" s="14"/>
      <c r="K2161" s="14"/>
      <c r="L2161" s="14"/>
      <c r="M2161" s="13"/>
    </row>
    <row r="2162" customFormat="false" ht="15" hidden="false" customHeight="false" outlineLevel="0" collapsed="false">
      <c r="A2162" s="6" t="n">
        <v>2158</v>
      </c>
      <c r="B2162" s="8" t="s">
        <v>3338</v>
      </c>
      <c r="C2162" s="8" t="s">
        <v>3339</v>
      </c>
      <c r="D2162" s="9"/>
      <c r="E2162" s="10"/>
      <c r="F2162" s="11"/>
      <c r="G2162" s="12"/>
      <c r="H2162" s="11" t="n">
        <v>0.00290277777777778</v>
      </c>
      <c r="I2162" s="12" t="n">
        <v>969</v>
      </c>
      <c r="J2162" s="14"/>
      <c r="K2162" s="14"/>
      <c r="L2162" s="14"/>
      <c r="M2162" s="13"/>
    </row>
    <row r="2163" customFormat="false" ht="15" hidden="false" customHeight="false" outlineLevel="0" collapsed="false">
      <c r="A2163" s="6" t="n">
        <v>2159</v>
      </c>
      <c r="B2163" s="8" t="s">
        <v>3340</v>
      </c>
      <c r="C2163" s="8" t="s">
        <v>3341</v>
      </c>
      <c r="D2163" s="9"/>
      <c r="E2163" s="10"/>
      <c r="F2163" s="11" t="n">
        <v>0.00756446759259259</v>
      </c>
      <c r="G2163" s="12" t="n">
        <v>970</v>
      </c>
      <c r="H2163" s="11"/>
      <c r="I2163" s="12"/>
      <c r="J2163" s="14"/>
      <c r="K2163" s="14"/>
      <c r="L2163" s="14"/>
      <c r="M2163" s="13"/>
    </row>
    <row r="2164" customFormat="false" ht="15" hidden="false" customHeight="false" outlineLevel="0" collapsed="false">
      <c r="A2164" s="6" t="n">
        <v>2160</v>
      </c>
      <c r="B2164" s="8" t="s">
        <v>3342</v>
      </c>
      <c r="C2164" s="8" t="s">
        <v>2052</v>
      </c>
      <c r="D2164" s="9"/>
      <c r="E2164" s="10"/>
      <c r="F2164" s="11"/>
      <c r="G2164" s="12"/>
      <c r="H2164" s="11" t="n">
        <v>0.00290289351851852</v>
      </c>
      <c r="I2164" s="12" t="n">
        <v>971</v>
      </c>
      <c r="J2164" s="14"/>
      <c r="K2164" s="14"/>
      <c r="L2164" s="14"/>
      <c r="M2164" s="13"/>
    </row>
    <row r="2165" customFormat="false" ht="15" hidden="false" customHeight="false" outlineLevel="0" collapsed="false">
      <c r="A2165" s="6" t="n">
        <v>2161</v>
      </c>
      <c r="B2165" s="8" t="s">
        <v>3343</v>
      </c>
      <c r="C2165" s="8" t="s">
        <v>2111</v>
      </c>
      <c r="D2165" s="9"/>
      <c r="E2165" s="10"/>
      <c r="F2165" s="11" t="n">
        <v>0.00756678240740741</v>
      </c>
      <c r="G2165" s="12" t="n">
        <v>972</v>
      </c>
      <c r="H2165" s="11"/>
      <c r="I2165" s="12"/>
      <c r="J2165" s="14"/>
      <c r="K2165" s="14"/>
      <c r="L2165" s="14"/>
      <c r="M2165" s="13"/>
    </row>
    <row r="2166" customFormat="false" ht="15" hidden="false" customHeight="false" outlineLevel="0" collapsed="false">
      <c r="A2166" s="6" t="n">
        <v>2162</v>
      </c>
      <c r="B2166" s="8" t="s">
        <v>3344</v>
      </c>
      <c r="C2166" s="8" t="s">
        <v>592</v>
      </c>
      <c r="D2166" s="9"/>
      <c r="E2166" s="10"/>
      <c r="F2166" s="11"/>
      <c r="G2166" s="12"/>
      <c r="H2166" s="11" t="n">
        <v>0.00290324074074074</v>
      </c>
      <c r="I2166" s="12" t="n">
        <v>972</v>
      </c>
      <c r="J2166" s="14"/>
      <c r="K2166" s="14"/>
      <c r="L2166" s="14"/>
      <c r="M2166" s="13"/>
    </row>
    <row r="2167" customFormat="false" ht="15" hidden="false" customHeight="false" outlineLevel="0" collapsed="false">
      <c r="A2167" s="6" t="n">
        <v>2163</v>
      </c>
      <c r="B2167" s="8" t="s">
        <v>3345</v>
      </c>
      <c r="C2167" s="8" t="s">
        <v>1942</v>
      </c>
      <c r="D2167" s="9"/>
      <c r="E2167" s="10"/>
      <c r="F2167" s="11" t="n">
        <v>0.00757106481481481</v>
      </c>
      <c r="G2167" s="12" t="n">
        <v>973</v>
      </c>
      <c r="H2167" s="11"/>
      <c r="I2167" s="12"/>
      <c r="J2167" s="14"/>
      <c r="K2167" s="14"/>
      <c r="L2167" s="14"/>
      <c r="M2167" s="13"/>
    </row>
    <row r="2168" customFormat="false" ht="15" hidden="false" customHeight="false" outlineLevel="0" collapsed="false">
      <c r="A2168" s="6" t="n">
        <v>2164</v>
      </c>
      <c r="B2168" s="8" t="s">
        <v>3346</v>
      </c>
      <c r="C2168" s="8" t="s">
        <v>566</v>
      </c>
      <c r="D2168" s="9"/>
      <c r="E2168" s="10"/>
      <c r="F2168" s="11"/>
      <c r="G2168" s="12"/>
      <c r="H2168" s="11" t="n">
        <v>0.00290324074074074</v>
      </c>
      <c r="I2168" s="12" t="n">
        <v>973</v>
      </c>
      <c r="J2168" s="14"/>
      <c r="K2168" s="14"/>
      <c r="L2168" s="14"/>
      <c r="M2168" s="13"/>
    </row>
    <row r="2169" customFormat="false" ht="15" hidden="false" customHeight="false" outlineLevel="0" collapsed="false">
      <c r="A2169" s="6" t="n">
        <v>2165</v>
      </c>
      <c r="B2169" s="8" t="s">
        <v>3347</v>
      </c>
      <c r="C2169" s="8" t="s">
        <v>1120</v>
      </c>
      <c r="D2169" s="9"/>
      <c r="E2169" s="10"/>
      <c r="F2169" s="11" t="n">
        <v>0.00757141203703704</v>
      </c>
      <c r="G2169" s="12" t="n">
        <v>974</v>
      </c>
      <c r="H2169" s="11"/>
      <c r="I2169" s="12"/>
      <c r="J2169" s="14"/>
      <c r="K2169" s="14"/>
      <c r="L2169" s="14"/>
      <c r="M2169" s="13"/>
    </row>
    <row r="2170" customFormat="false" ht="15" hidden="false" customHeight="false" outlineLevel="0" collapsed="false">
      <c r="A2170" s="6" t="n">
        <v>2166</v>
      </c>
      <c r="B2170" s="8" t="s">
        <v>3348</v>
      </c>
      <c r="C2170" s="8" t="s">
        <v>857</v>
      </c>
      <c r="D2170" s="9"/>
      <c r="E2170" s="10"/>
      <c r="F2170" s="11"/>
      <c r="G2170" s="12"/>
      <c r="H2170" s="11" t="n">
        <v>0.00290335648148148</v>
      </c>
      <c r="I2170" s="12" t="n">
        <v>974</v>
      </c>
      <c r="J2170" s="14"/>
      <c r="K2170" s="14" t="s">
        <v>3349</v>
      </c>
      <c r="L2170" s="14"/>
      <c r="M2170" s="13"/>
    </row>
    <row r="2171" customFormat="false" ht="15" hidden="false" customHeight="false" outlineLevel="0" collapsed="false">
      <c r="A2171" s="6" t="n">
        <v>2167</v>
      </c>
      <c r="B2171" s="8" t="s">
        <v>3350</v>
      </c>
      <c r="C2171" s="8" t="s">
        <v>1177</v>
      </c>
      <c r="D2171" s="9"/>
      <c r="E2171" s="10"/>
      <c r="F2171" s="11" t="n">
        <v>0.00757326388888889</v>
      </c>
      <c r="G2171" s="12" t="n">
        <v>975</v>
      </c>
      <c r="H2171" s="11"/>
      <c r="I2171" s="12"/>
      <c r="J2171" s="14"/>
      <c r="K2171" s="14"/>
      <c r="L2171" s="14"/>
      <c r="M2171" s="13"/>
    </row>
    <row r="2172" customFormat="false" ht="15" hidden="false" customHeight="false" outlineLevel="0" collapsed="false">
      <c r="A2172" s="6" t="n">
        <v>2168</v>
      </c>
      <c r="B2172" s="8" t="s">
        <v>3351</v>
      </c>
      <c r="C2172" s="8" t="s">
        <v>433</v>
      </c>
      <c r="D2172" s="9"/>
      <c r="E2172" s="10"/>
      <c r="F2172" s="11" t="n">
        <v>0.00757337962962963</v>
      </c>
      <c r="G2172" s="12" t="n">
        <v>976</v>
      </c>
      <c r="H2172" s="11"/>
      <c r="I2172" s="12"/>
      <c r="J2172" s="14"/>
      <c r="K2172" s="14"/>
      <c r="L2172" s="14"/>
      <c r="M2172" s="13"/>
    </row>
    <row r="2173" customFormat="false" ht="15" hidden="false" customHeight="false" outlineLevel="0" collapsed="false">
      <c r="A2173" s="6" t="n">
        <v>2169</v>
      </c>
      <c r="B2173" s="8" t="s">
        <v>3352</v>
      </c>
      <c r="C2173" s="8" t="s">
        <v>192</v>
      </c>
      <c r="D2173" s="9"/>
      <c r="E2173" s="10"/>
      <c r="F2173" s="11" t="n">
        <v>0.00757511574074074</v>
      </c>
      <c r="G2173" s="12" t="n">
        <v>977</v>
      </c>
      <c r="H2173" s="11"/>
      <c r="I2173" s="12"/>
      <c r="J2173" s="14"/>
      <c r="K2173" s="14"/>
      <c r="L2173" s="14"/>
      <c r="M2173" s="13"/>
    </row>
    <row r="2174" customFormat="false" ht="15" hidden="false" customHeight="false" outlineLevel="0" collapsed="false">
      <c r="A2174" s="6" t="n">
        <v>2170</v>
      </c>
      <c r="B2174" s="8" t="s">
        <v>3353</v>
      </c>
      <c r="C2174" s="8" t="s">
        <v>3354</v>
      </c>
      <c r="D2174" s="9"/>
      <c r="E2174" s="10"/>
      <c r="F2174" s="11"/>
      <c r="G2174" s="12"/>
      <c r="H2174" s="11" t="n">
        <v>0.00290393518518519</v>
      </c>
      <c r="I2174" s="12" t="n">
        <v>977</v>
      </c>
      <c r="J2174" s="14"/>
      <c r="K2174" s="14"/>
      <c r="L2174" s="14"/>
      <c r="M2174" s="13"/>
    </row>
    <row r="2175" customFormat="false" ht="15" hidden="false" customHeight="false" outlineLevel="0" collapsed="false">
      <c r="A2175" s="6" t="n">
        <v>2171</v>
      </c>
      <c r="B2175" s="8" t="s">
        <v>3355</v>
      </c>
      <c r="C2175" s="8" t="s">
        <v>1042</v>
      </c>
      <c r="D2175" s="9"/>
      <c r="E2175" s="10"/>
      <c r="F2175" s="11" t="n">
        <v>0.00757627314814815</v>
      </c>
      <c r="G2175" s="12" t="n">
        <v>978</v>
      </c>
      <c r="H2175" s="11" t="n">
        <v>0.00295902777777778</v>
      </c>
      <c r="I2175" s="12" t="n">
        <v>1264</v>
      </c>
      <c r="J2175" s="14"/>
      <c r="K2175" s="14"/>
      <c r="L2175" s="14"/>
      <c r="M2175" s="13"/>
    </row>
    <row r="2176" customFormat="false" ht="15" hidden="false" customHeight="false" outlineLevel="0" collapsed="false">
      <c r="A2176" s="6" t="n">
        <v>2172</v>
      </c>
      <c r="B2176" s="8" t="s">
        <v>3356</v>
      </c>
      <c r="C2176" s="8" t="s">
        <v>294</v>
      </c>
      <c r="D2176" s="9"/>
      <c r="E2176" s="10"/>
      <c r="F2176" s="11"/>
      <c r="G2176" s="12"/>
      <c r="H2176" s="11" t="n">
        <v>0.00290405092592593</v>
      </c>
      <c r="I2176" s="12" t="n">
        <v>978</v>
      </c>
      <c r="J2176" s="14"/>
      <c r="K2176" s="14"/>
      <c r="L2176" s="14"/>
      <c r="M2176" s="13"/>
    </row>
    <row r="2177" customFormat="false" ht="15" hidden="false" customHeight="false" outlineLevel="0" collapsed="false">
      <c r="A2177" s="6" t="n">
        <v>2173</v>
      </c>
      <c r="B2177" s="8" t="s">
        <v>3357</v>
      </c>
      <c r="C2177" s="8" t="s">
        <v>3358</v>
      </c>
      <c r="D2177" s="9"/>
      <c r="E2177" s="10"/>
      <c r="F2177" s="11" t="n">
        <v>0.00757916666666667</v>
      </c>
      <c r="G2177" s="12" t="n">
        <v>979</v>
      </c>
      <c r="H2177" s="11"/>
      <c r="I2177" s="12"/>
      <c r="J2177" s="14"/>
      <c r="K2177" s="14"/>
      <c r="L2177" s="14"/>
      <c r="M2177" s="13"/>
    </row>
    <row r="2178" customFormat="false" ht="15" hidden="false" customHeight="false" outlineLevel="0" collapsed="false">
      <c r="A2178" s="6" t="n">
        <v>2174</v>
      </c>
      <c r="B2178" s="8" t="s">
        <v>3359</v>
      </c>
      <c r="C2178" s="8" t="s">
        <v>3096</v>
      </c>
      <c r="D2178" s="9"/>
      <c r="E2178" s="10"/>
      <c r="F2178" s="11"/>
      <c r="G2178" s="12"/>
      <c r="H2178" s="11" t="n">
        <v>0.00290405092592593</v>
      </c>
      <c r="I2178" s="12" t="n">
        <v>979</v>
      </c>
      <c r="J2178" s="14"/>
      <c r="K2178" s="14"/>
      <c r="L2178" s="14"/>
      <c r="M2178" s="13"/>
    </row>
    <row r="2179" customFormat="false" ht="15" hidden="false" customHeight="false" outlineLevel="0" collapsed="false">
      <c r="A2179" s="6" t="n">
        <v>2175</v>
      </c>
      <c r="B2179" s="8" t="s">
        <v>3360</v>
      </c>
      <c r="C2179" s="8" t="s">
        <v>1699</v>
      </c>
      <c r="D2179" s="9"/>
      <c r="E2179" s="10"/>
      <c r="F2179" s="11" t="n">
        <v>0.00757939814814815</v>
      </c>
      <c r="G2179" s="12" t="n">
        <v>980</v>
      </c>
      <c r="H2179" s="11"/>
      <c r="I2179" s="12"/>
      <c r="J2179" s="14"/>
      <c r="K2179" s="14"/>
      <c r="L2179" s="14"/>
      <c r="M2179" s="13"/>
    </row>
    <row r="2180" customFormat="false" ht="15" hidden="false" customHeight="false" outlineLevel="0" collapsed="false">
      <c r="A2180" s="6" t="n">
        <v>2176</v>
      </c>
      <c r="B2180" s="8" t="s">
        <v>3361</v>
      </c>
      <c r="C2180" s="8" t="s">
        <v>3096</v>
      </c>
      <c r="D2180" s="9"/>
      <c r="E2180" s="10"/>
      <c r="F2180" s="11" t="n">
        <v>0.00757997685185185</v>
      </c>
      <c r="G2180" s="12" t="n">
        <v>982</v>
      </c>
      <c r="H2180" s="11"/>
      <c r="I2180" s="12"/>
      <c r="J2180" s="14"/>
      <c r="K2180" s="14"/>
      <c r="L2180" s="14"/>
      <c r="M2180" s="13"/>
    </row>
    <row r="2181" customFormat="false" ht="15" hidden="false" customHeight="false" outlineLevel="0" collapsed="false">
      <c r="A2181" s="6" t="n">
        <v>2177</v>
      </c>
      <c r="B2181" s="8" t="s">
        <v>3362</v>
      </c>
      <c r="C2181" s="8" t="s">
        <v>2659</v>
      </c>
      <c r="D2181" s="9"/>
      <c r="E2181" s="10"/>
      <c r="F2181" s="11" t="n">
        <v>0.00758136574074074</v>
      </c>
      <c r="G2181" s="12" t="n">
        <v>983</v>
      </c>
      <c r="H2181" s="11"/>
      <c r="I2181" s="12"/>
      <c r="J2181" s="14"/>
      <c r="K2181" s="14"/>
      <c r="L2181" s="14"/>
      <c r="M2181" s="13"/>
    </row>
    <row r="2182" customFormat="false" ht="15" hidden="false" customHeight="false" outlineLevel="0" collapsed="false">
      <c r="A2182" s="6" t="n">
        <v>2178</v>
      </c>
      <c r="B2182" s="8" t="s">
        <v>3363</v>
      </c>
      <c r="C2182" s="8" t="s">
        <v>3364</v>
      </c>
      <c r="D2182" s="9"/>
      <c r="E2182" s="10"/>
      <c r="F2182" s="11" t="n">
        <v>0.00758541666666667</v>
      </c>
      <c r="G2182" s="12" t="n">
        <v>984</v>
      </c>
      <c r="H2182" s="11"/>
      <c r="I2182" s="12"/>
      <c r="J2182" s="14"/>
      <c r="K2182" s="14"/>
      <c r="L2182" s="14"/>
      <c r="M2182" s="13"/>
    </row>
    <row r="2183" customFormat="false" ht="15" hidden="false" customHeight="false" outlineLevel="0" collapsed="false">
      <c r="A2183" s="6" t="n">
        <v>2179</v>
      </c>
      <c r="B2183" s="8" t="s">
        <v>3365</v>
      </c>
      <c r="C2183" s="8" t="s">
        <v>2538</v>
      </c>
      <c r="D2183" s="9"/>
      <c r="E2183" s="10"/>
      <c r="F2183" s="11" t="n">
        <v>0.00758645833333333</v>
      </c>
      <c r="G2183" s="12" t="n">
        <v>985</v>
      </c>
      <c r="H2183" s="11"/>
      <c r="I2183" s="12"/>
      <c r="J2183" s="14"/>
      <c r="K2183" s="14"/>
      <c r="L2183" s="14"/>
      <c r="M2183" s="13"/>
    </row>
    <row r="2184" customFormat="false" ht="15" hidden="false" customHeight="false" outlineLevel="0" collapsed="false">
      <c r="A2184" s="6" t="n">
        <v>2180</v>
      </c>
      <c r="B2184" s="8" t="s">
        <v>3366</v>
      </c>
      <c r="C2184" s="8" t="s">
        <v>700</v>
      </c>
      <c r="D2184" s="9"/>
      <c r="E2184" s="10"/>
      <c r="F2184" s="11" t="n">
        <v>0.00758900462962963</v>
      </c>
      <c r="G2184" s="12" t="n">
        <v>986</v>
      </c>
      <c r="H2184" s="11"/>
      <c r="I2184" s="12"/>
      <c r="J2184" s="14"/>
      <c r="K2184" s="14"/>
      <c r="L2184" s="14"/>
      <c r="M2184" s="13"/>
    </row>
    <row r="2185" customFormat="false" ht="15" hidden="false" customHeight="false" outlineLevel="0" collapsed="false">
      <c r="A2185" s="6" t="n">
        <v>2181</v>
      </c>
      <c r="B2185" s="8" t="s">
        <v>3367</v>
      </c>
      <c r="C2185" s="8" t="s">
        <v>1356</v>
      </c>
      <c r="D2185" s="9"/>
      <c r="E2185" s="10"/>
      <c r="F2185" s="11" t="n">
        <v>0.00759097222222222</v>
      </c>
      <c r="G2185" s="12" t="n">
        <v>987</v>
      </c>
      <c r="H2185" s="11"/>
      <c r="I2185" s="12"/>
      <c r="J2185" s="14" t="s">
        <v>3368</v>
      </c>
      <c r="K2185" s="14"/>
      <c r="L2185" s="14"/>
      <c r="M2185" s="13"/>
    </row>
    <row r="2186" customFormat="false" ht="15" hidden="false" customHeight="false" outlineLevel="0" collapsed="false">
      <c r="A2186" s="6" t="n">
        <v>2182</v>
      </c>
      <c r="B2186" s="8" t="s">
        <v>3369</v>
      </c>
      <c r="C2186" s="8" t="s">
        <v>2271</v>
      </c>
      <c r="D2186" s="9"/>
      <c r="E2186" s="10"/>
      <c r="F2186" s="11"/>
      <c r="G2186" s="12"/>
      <c r="H2186" s="11" t="n">
        <v>0.00290543981481482</v>
      </c>
      <c r="I2186" s="12" t="n">
        <v>987</v>
      </c>
      <c r="J2186" s="14"/>
      <c r="K2186" s="14"/>
      <c r="L2186" s="14"/>
      <c r="M2186" s="13"/>
    </row>
    <row r="2187" customFormat="false" ht="15" hidden="false" customHeight="false" outlineLevel="0" collapsed="false">
      <c r="A2187" s="6" t="n">
        <v>2183</v>
      </c>
      <c r="B2187" s="8" t="s">
        <v>3370</v>
      </c>
      <c r="C2187" s="8" t="s">
        <v>3371</v>
      </c>
      <c r="D2187" s="9"/>
      <c r="E2187" s="10"/>
      <c r="F2187" s="11" t="n">
        <v>0.00759189814814815</v>
      </c>
      <c r="G2187" s="12" t="n">
        <v>988</v>
      </c>
      <c r="H2187" s="11"/>
      <c r="I2187" s="12"/>
      <c r="J2187" s="14"/>
      <c r="K2187" s="14"/>
      <c r="L2187" s="14"/>
      <c r="M2187" s="13"/>
    </row>
    <row r="2188" customFormat="false" ht="15" hidden="false" customHeight="false" outlineLevel="0" collapsed="false">
      <c r="A2188" s="6" t="n">
        <v>2184</v>
      </c>
      <c r="B2188" s="8" t="s">
        <v>3372</v>
      </c>
      <c r="C2188" s="8" t="s">
        <v>3373</v>
      </c>
      <c r="D2188" s="9"/>
      <c r="E2188" s="10"/>
      <c r="F2188" s="11" t="n">
        <v>0.00759305555555556</v>
      </c>
      <c r="G2188" s="12" t="n">
        <v>989</v>
      </c>
      <c r="H2188" s="11"/>
      <c r="I2188" s="12"/>
      <c r="J2188" s="14"/>
      <c r="K2188" s="14"/>
      <c r="L2188" s="14"/>
      <c r="M2188" s="13"/>
    </row>
    <row r="2189" customFormat="false" ht="15" hidden="false" customHeight="false" outlineLevel="0" collapsed="false">
      <c r="A2189" s="6" t="n">
        <v>2185</v>
      </c>
      <c r="B2189" s="8" t="s">
        <v>3374</v>
      </c>
      <c r="C2189" s="8" t="s">
        <v>3375</v>
      </c>
      <c r="D2189" s="9"/>
      <c r="E2189" s="10"/>
      <c r="F2189" s="11"/>
      <c r="G2189" s="12"/>
      <c r="H2189" s="11" t="n">
        <v>0.00290601851851852</v>
      </c>
      <c r="I2189" s="12" t="n">
        <v>989</v>
      </c>
      <c r="J2189" s="14"/>
      <c r="K2189" s="14"/>
      <c r="L2189" s="14"/>
      <c r="M2189" s="13"/>
    </row>
    <row r="2190" customFormat="false" ht="15" hidden="false" customHeight="false" outlineLevel="0" collapsed="false">
      <c r="A2190" s="6" t="n">
        <v>2186</v>
      </c>
      <c r="B2190" s="8" t="s">
        <v>3376</v>
      </c>
      <c r="C2190" s="8" t="s">
        <v>3377</v>
      </c>
      <c r="D2190" s="9"/>
      <c r="E2190" s="10"/>
      <c r="F2190" s="11" t="n">
        <v>0.0075931712962963</v>
      </c>
      <c r="G2190" s="12" t="n">
        <v>990</v>
      </c>
      <c r="H2190" s="11"/>
      <c r="I2190" s="12"/>
      <c r="J2190" s="14"/>
      <c r="K2190" s="14"/>
      <c r="L2190" s="14"/>
      <c r="M2190" s="13"/>
    </row>
    <row r="2191" customFormat="false" ht="15" hidden="false" customHeight="false" outlineLevel="0" collapsed="false">
      <c r="A2191" s="6" t="n">
        <v>2187</v>
      </c>
      <c r="B2191" s="8" t="s">
        <v>3378</v>
      </c>
      <c r="C2191" s="8" t="s">
        <v>3379</v>
      </c>
      <c r="D2191" s="9"/>
      <c r="E2191" s="10"/>
      <c r="F2191" s="11" t="n">
        <v>0.00759328703703704</v>
      </c>
      <c r="G2191" s="12" t="n">
        <v>991</v>
      </c>
      <c r="H2191" s="11"/>
      <c r="I2191" s="12"/>
      <c r="J2191" s="14"/>
      <c r="K2191" s="14"/>
      <c r="L2191" s="14"/>
      <c r="M2191" s="13"/>
    </row>
    <row r="2192" customFormat="false" ht="15" hidden="false" customHeight="false" outlineLevel="0" collapsed="false">
      <c r="A2192" s="6" t="n">
        <v>2188</v>
      </c>
      <c r="B2192" s="8" t="s">
        <v>3380</v>
      </c>
      <c r="C2192" s="8" t="s">
        <v>3381</v>
      </c>
      <c r="D2192" s="9"/>
      <c r="E2192" s="10"/>
      <c r="F2192" s="11" t="n">
        <v>0.00759328703703704</v>
      </c>
      <c r="G2192" s="12" t="n">
        <v>992</v>
      </c>
      <c r="H2192" s="11"/>
      <c r="I2192" s="12"/>
      <c r="J2192" s="14"/>
      <c r="K2192" s="14"/>
      <c r="L2192" s="14"/>
      <c r="M2192" s="13"/>
    </row>
    <row r="2193" customFormat="false" ht="15" hidden="false" customHeight="false" outlineLevel="0" collapsed="false">
      <c r="A2193" s="6" t="n">
        <v>2189</v>
      </c>
      <c r="B2193" s="8" t="s">
        <v>3382</v>
      </c>
      <c r="C2193" s="8" t="s">
        <v>3383</v>
      </c>
      <c r="D2193" s="9"/>
      <c r="E2193" s="10"/>
      <c r="F2193" s="11" t="n">
        <v>0.00759479166666667</v>
      </c>
      <c r="G2193" s="12" t="n">
        <v>993</v>
      </c>
      <c r="H2193" s="11"/>
      <c r="I2193" s="12"/>
      <c r="J2193" s="14"/>
      <c r="K2193" s="14"/>
      <c r="L2193" s="14"/>
      <c r="M2193" s="13"/>
    </row>
    <row r="2194" customFormat="false" ht="15" hidden="false" customHeight="false" outlineLevel="0" collapsed="false">
      <c r="A2194" s="6" t="n">
        <v>2190</v>
      </c>
      <c r="B2194" s="8" t="s">
        <v>3384</v>
      </c>
      <c r="C2194" s="8" t="s">
        <v>3385</v>
      </c>
      <c r="D2194" s="9"/>
      <c r="E2194" s="10"/>
      <c r="F2194" s="11" t="n">
        <v>0.00759895833333333</v>
      </c>
      <c r="G2194" s="12" t="n">
        <v>994</v>
      </c>
      <c r="H2194" s="11"/>
      <c r="I2194" s="12"/>
      <c r="J2194" s="14"/>
      <c r="K2194" s="14"/>
      <c r="L2194" s="14"/>
      <c r="M2194" s="13"/>
    </row>
    <row r="2195" customFormat="false" ht="15" hidden="false" customHeight="false" outlineLevel="0" collapsed="false">
      <c r="A2195" s="6" t="n">
        <v>2191</v>
      </c>
      <c r="B2195" s="8" t="s">
        <v>3386</v>
      </c>
      <c r="C2195" s="8" t="s">
        <v>3387</v>
      </c>
      <c r="D2195" s="9"/>
      <c r="E2195" s="10"/>
      <c r="F2195" s="11"/>
      <c r="G2195" s="12"/>
      <c r="H2195" s="11" t="n">
        <v>0.00290659722222222</v>
      </c>
      <c r="I2195" s="12" t="n">
        <v>994</v>
      </c>
      <c r="J2195" s="14"/>
      <c r="K2195" s="14"/>
      <c r="L2195" s="14"/>
      <c r="M2195" s="13"/>
    </row>
    <row r="2196" customFormat="false" ht="15" hidden="false" customHeight="false" outlineLevel="0" collapsed="false">
      <c r="A2196" s="6" t="n">
        <v>2192</v>
      </c>
      <c r="B2196" s="8" t="s">
        <v>3388</v>
      </c>
      <c r="C2196" s="8" t="s">
        <v>3389</v>
      </c>
      <c r="D2196" s="9"/>
      <c r="E2196" s="10"/>
      <c r="F2196" s="11" t="n">
        <v>0.00759953703703704</v>
      </c>
      <c r="G2196" s="12" t="n">
        <v>995</v>
      </c>
      <c r="H2196" s="11"/>
      <c r="I2196" s="12"/>
      <c r="J2196" s="14"/>
      <c r="K2196" s="14"/>
      <c r="L2196" s="14"/>
      <c r="M2196" s="13"/>
    </row>
    <row r="2197" customFormat="false" ht="15" hidden="false" customHeight="false" outlineLevel="0" collapsed="false">
      <c r="A2197" s="6" t="n">
        <v>2193</v>
      </c>
      <c r="B2197" s="8" t="s">
        <v>3390</v>
      </c>
      <c r="C2197" s="8" t="s">
        <v>2930</v>
      </c>
      <c r="D2197" s="9"/>
      <c r="E2197" s="10"/>
      <c r="F2197" s="11" t="n">
        <v>0.00760289351851852</v>
      </c>
      <c r="G2197" s="12" t="n">
        <v>996</v>
      </c>
      <c r="H2197" s="11"/>
      <c r="I2197" s="12"/>
      <c r="J2197" s="14"/>
      <c r="K2197" s="14"/>
      <c r="L2197" s="14"/>
      <c r="M2197" s="13"/>
    </row>
    <row r="2198" customFormat="false" ht="15" hidden="false" customHeight="false" outlineLevel="0" collapsed="false">
      <c r="A2198" s="6" t="n">
        <v>2194</v>
      </c>
      <c r="B2198" s="8" t="s">
        <v>3391</v>
      </c>
      <c r="C2198" s="8" t="s">
        <v>1456</v>
      </c>
      <c r="D2198" s="9"/>
      <c r="E2198" s="10"/>
      <c r="F2198" s="11" t="n">
        <v>0.00760613425925926</v>
      </c>
      <c r="G2198" s="12" t="n">
        <v>997</v>
      </c>
      <c r="H2198" s="11"/>
      <c r="I2198" s="12"/>
      <c r="J2198" s="14"/>
      <c r="K2198" s="14"/>
      <c r="L2198" s="14"/>
      <c r="M2198" s="13"/>
    </row>
    <row r="2199" customFormat="false" ht="15" hidden="false" customHeight="false" outlineLevel="0" collapsed="false">
      <c r="A2199" s="6" t="n">
        <v>2195</v>
      </c>
      <c r="B2199" s="8" t="s">
        <v>3392</v>
      </c>
      <c r="C2199" s="8" t="s">
        <v>1192</v>
      </c>
      <c r="D2199" s="9"/>
      <c r="E2199" s="10"/>
      <c r="F2199" s="11" t="n">
        <v>0.0076068287037037</v>
      </c>
      <c r="G2199" s="12" t="n">
        <v>998</v>
      </c>
      <c r="H2199" s="11"/>
      <c r="I2199" s="12"/>
      <c r="J2199" s="14"/>
      <c r="K2199" s="14"/>
      <c r="L2199" s="14"/>
      <c r="M2199" s="13"/>
    </row>
    <row r="2200" customFormat="false" ht="15" hidden="false" customHeight="false" outlineLevel="0" collapsed="false">
      <c r="A2200" s="6" t="n">
        <v>2196</v>
      </c>
      <c r="B2200" s="8" t="s">
        <v>3393</v>
      </c>
      <c r="C2200" s="8" t="s">
        <v>2387</v>
      </c>
      <c r="D2200" s="9"/>
      <c r="E2200" s="10"/>
      <c r="F2200" s="11" t="n">
        <v>0.00760740740740741</v>
      </c>
      <c r="G2200" s="12" t="n">
        <v>999</v>
      </c>
      <c r="H2200" s="11"/>
      <c r="I2200" s="12"/>
      <c r="J2200" s="14"/>
      <c r="K2200" s="14"/>
      <c r="L2200" s="14"/>
      <c r="M2200" s="13"/>
    </row>
    <row r="2201" customFormat="false" ht="15" hidden="false" customHeight="false" outlineLevel="0" collapsed="false">
      <c r="A2201" s="6" t="n">
        <v>2197</v>
      </c>
      <c r="B2201" s="8" t="s">
        <v>3394</v>
      </c>
      <c r="C2201" s="8" t="s">
        <v>172</v>
      </c>
      <c r="D2201" s="9"/>
      <c r="E2201" s="10"/>
      <c r="F2201" s="11" t="n">
        <v>0.00760763888888889</v>
      </c>
      <c r="G2201" s="12" t="n">
        <v>1000</v>
      </c>
      <c r="H2201" s="11"/>
      <c r="I2201" s="12"/>
      <c r="J2201" s="14"/>
      <c r="K2201" s="14"/>
      <c r="L2201" s="14"/>
      <c r="M2201" s="13"/>
    </row>
    <row r="2202" customFormat="false" ht="15" hidden="false" customHeight="false" outlineLevel="0" collapsed="false">
      <c r="A2202" s="6" t="n">
        <v>2198</v>
      </c>
      <c r="B2202" s="8" t="s">
        <v>3395</v>
      </c>
      <c r="C2202" s="8" t="s">
        <v>192</v>
      </c>
      <c r="D2202" s="9"/>
      <c r="E2202" s="10"/>
      <c r="F2202" s="11" t="n">
        <v>0.00760798611111111</v>
      </c>
      <c r="G2202" s="12" t="n">
        <v>1001</v>
      </c>
      <c r="H2202" s="11"/>
      <c r="I2202" s="12"/>
      <c r="J2202" s="14"/>
      <c r="K2202" s="14"/>
      <c r="L2202" s="14"/>
      <c r="M2202" s="13"/>
    </row>
    <row r="2203" customFormat="false" ht="15" hidden="false" customHeight="false" outlineLevel="0" collapsed="false">
      <c r="A2203" s="6" t="n">
        <v>2199</v>
      </c>
      <c r="B2203" s="8" t="s">
        <v>3396</v>
      </c>
      <c r="C2203" s="8" t="s">
        <v>3397</v>
      </c>
      <c r="D2203" s="9"/>
      <c r="E2203" s="10"/>
      <c r="F2203" s="11"/>
      <c r="G2203" s="12"/>
      <c r="H2203" s="11" t="n">
        <v>0.00290798611111111</v>
      </c>
      <c r="I2203" s="12" t="n">
        <v>1001</v>
      </c>
      <c r="J2203" s="14"/>
      <c r="K2203" s="14"/>
      <c r="L2203" s="14"/>
      <c r="M2203" s="13"/>
    </row>
    <row r="2204" customFormat="false" ht="15" hidden="false" customHeight="false" outlineLevel="0" collapsed="false">
      <c r="A2204" s="6" t="n">
        <v>2200</v>
      </c>
      <c r="B2204" s="8" t="s">
        <v>3398</v>
      </c>
      <c r="C2204" s="8" t="s">
        <v>1901</v>
      </c>
      <c r="D2204" s="9"/>
      <c r="E2204" s="10"/>
      <c r="F2204" s="11" t="n">
        <v>0.00760821759259259</v>
      </c>
      <c r="G2204" s="12" t="n">
        <v>1002</v>
      </c>
      <c r="H2204" s="11"/>
      <c r="I2204" s="12"/>
      <c r="J2204" s="14"/>
      <c r="K2204" s="14"/>
      <c r="L2204" s="14"/>
      <c r="M2204" s="13"/>
    </row>
    <row r="2205" customFormat="false" ht="15" hidden="false" customHeight="false" outlineLevel="0" collapsed="false">
      <c r="A2205" s="6" t="n">
        <v>2201</v>
      </c>
      <c r="B2205" s="8" t="s">
        <v>3399</v>
      </c>
      <c r="C2205" s="8" t="s">
        <v>932</v>
      </c>
      <c r="D2205" s="9"/>
      <c r="E2205" s="10"/>
      <c r="F2205" s="11"/>
      <c r="G2205" s="12"/>
      <c r="H2205" s="11" t="n">
        <v>0.00290821759259259</v>
      </c>
      <c r="I2205" s="12" t="n">
        <v>1002</v>
      </c>
      <c r="J2205" s="14"/>
      <c r="K2205" s="14" t="s">
        <v>3400</v>
      </c>
      <c r="L2205" s="14"/>
      <c r="M2205" s="13"/>
    </row>
    <row r="2206" customFormat="false" ht="15" hidden="false" customHeight="false" outlineLevel="0" collapsed="false">
      <c r="A2206" s="6" t="n">
        <v>2202</v>
      </c>
      <c r="B2206" s="8" t="s">
        <v>3401</v>
      </c>
      <c r="C2206" s="8" t="s">
        <v>2867</v>
      </c>
      <c r="D2206" s="9"/>
      <c r="E2206" s="10"/>
      <c r="F2206" s="11" t="n">
        <v>0.00761168981481481</v>
      </c>
      <c r="G2206" s="12" t="n">
        <v>1003</v>
      </c>
      <c r="H2206" s="11"/>
      <c r="I2206" s="12"/>
      <c r="J2206" s="14"/>
      <c r="K2206" s="14"/>
      <c r="L2206" s="14"/>
      <c r="M2206" s="13"/>
    </row>
    <row r="2207" customFormat="false" ht="15" hidden="false" customHeight="false" outlineLevel="0" collapsed="false">
      <c r="A2207" s="6" t="n">
        <v>2203</v>
      </c>
      <c r="B2207" s="8" t="s">
        <v>3402</v>
      </c>
      <c r="C2207" s="8" t="s">
        <v>3403</v>
      </c>
      <c r="D2207" s="9"/>
      <c r="E2207" s="10"/>
      <c r="F2207" s="11" t="n">
        <v>0.00761354166666667</v>
      </c>
      <c r="G2207" s="12" t="n">
        <v>1004</v>
      </c>
      <c r="H2207" s="11"/>
      <c r="I2207" s="12"/>
      <c r="J2207" s="14"/>
      <c r="K2207" s="14"/>
      <c r="L2207" s="14"/>
      <c r="M2207" s="13"/>
    </row>
    <row r="2208" customFormat="false" ht="15" hidden="false" customHeight="false" outlineLevel="0" collapsed="false">
      <c r="A2208" s="6" t="n">
        <v>2204</v>
      </c>
      <c r="B2208" s="8" t="s">
        <v>3404</v>
      </c>
      <c r="C2208" s="8" t="s">
        <v>3405</v>
      </c>
      <c r="D2208" s="9"/>
      <c r="E2208" s="10"/>
      <c r="F2208" s="11"/>
      <c r="G2208" s="12"/>
      <c r="H2208" s="11" t="n">
        <v>0.00290833333333333</v>
      </c>
      <c r="I2208" s="12" t="n">
        <v>1004</v>
      </c>
      <c r="J2208" s="14"/>
      <c r="K2208" s="14"/>
      <c r="L2208" s="14"/>
      <c r="M2208" s="13"/>
    </row>
    <row r="2209" customFormat="false" ht="15" hidden="false" customHeight="false" outlineLevel="0" collapsed="false">
      <c r="A2209" s="6" t="n">
        <v>2205</v>
      </c>
      <c r="B2209" s="8" t="s">
        <v>3406</v>
      </c>
      <c r="C2209" s="8" t="s">
        <v>2586</v>
      </c>
      <c r="D2209" s="9"/>
      <c r="E2209" s="10"/>
      <c r="F2209" s="11" t="n">
        <v>0.00761446759259259</v>
      </c>
      <c r="G2209" s="12" t="n">
        <v>1005</v>
      </c>
      <c r="H2209" s="11"/>
      <c r="I2209" s="12"/>
      <c r="J2209" s="14"/>
      <c r="K2209" s="14"/>
      <c r="L2209" s="14"/>
      <c r="M2209" s="13"/>
    </row>
    <row r="2210" customFormat="false" ht="15" hidden="false" customHeight="false" outlineLevel="0" collapsed="false">
      <c r="A2210" s="6" t="n">
        <v>2206</v>
      </c>
      <c r="B2210" s="8" t="s">
        <v>3407</v>
      </c>
      <c r="C2210" s="8" t="s">
        <v>1224</v>
      </c>
      <c r="D2210" s="9"/>
      <c r="E2210" s="10"/>
      <c r="F2210" s="11" t="n">
        <v>0.00761481481481482</v>
      </c>
      <c r="G2210" s="12" t="n">
        <v>1006</v>
      </c>
      <c r="H2210" s="11"/>
      <c r="I2210" s="12"/>
      <c r="J2210" s="14"/>
      <c r="K2210" s="14"/>
      <c r="L2210" s="14"/>
      <c r="M2210" s="13"/>
    </row>
    <row r="2211" customFormat="false" ht="15" hidden="false" customHeight="false" outlineLevel="0" collapsed="false">
      <c r="A2211" s="6" t="n">
        <v>2207</v>
      </c>
      <c r="B2211" s="8" t="s">
        <v>3408</v>
      </c>
      <c r="C2211" s="8" t="s">
        <v>1949</v>
      </c>
      <c r="D2211" s="9"/>
      <c r="E2211" s="10"/>
      <c r="F2211" s="11"/>
      <c r="G2211" s="12"/>
      <c r="H2211" s="11" t="n">
        <v>0.00290856481481482</v>
      </c>
      <c r="I2211" s="12" t="n">
        <v>1006</v>
      </c>
      <c r="J2211" s="14"/>
      <c r="K2211" s="14"/>
      <c r="L2211" s="14"/>
      <c r="M2211" s="13"/>
    </row>
    <row r="2212" customFormat="false" ht="15" hidden="false" customHeight="false" outlineLevel="0" collapsed="false">
      <c r="A2212" s="6" t="n">
        <v>2208</v>
      </c>
      <c r="B2212" s="8" t="s">
        <v>3409</v>
      </c>
      <c r="C2212" s="8" t="s">
        <v>2262</v>
      </c>
      <c r="D2212" s="9"/>
      <c r="E2212" s="10"/>
      <c r="F2212" s="11" t="n">
        <v>0.00761678240740741</v>
      </c>
      <c r="G2212" s="12" t="n">
        <v>1007</v>
      </c>
      <c r="H2212" s="11"/>
      <c r="I2212" s="12"/>
      <c r="J2212" s="14"/>
      <c r="K2212" s="14"/>
      <c r="L2212" s="14"/>
      <c r="M2212" s="13"/>
    </row>
    <row r="2213" customFormat="false" ht="15" hidden="false" customHeight="false" outlineLevel="0" collapsed="false">
      <c r="A2213" s="6" t="n">
        <v>2209</v>
      </c>
      <c r="B2213" s="8" t="s">
        <v>3410</v>
      </c>
      <c r="C2213" s="8" t="s">
        <v>160</v>
      </c>
      <c r="D2213" s="9"/>
      <c r="E2213" s="10"/>
      <c r="F2213" s="11"/>
      <c r="G2213" s="12"/>
      <c r="H2213" s="11" t="n">
        <v>0.00290868055555556</v>
      </c>
      <c r="I2213" s="12" t="n">
        <v>1007</v>
      </c>
      <c r="J2213" s="14"/>
      <c r="K2213" s="14"/>
      <c r="L2213" s="14"/>
      <c r="M2213" s="13"/>
    </row>
    <row r="2214" customFormat="false" ht="15" hidden="false" customHeight="false" outlineLevel="0" collapsed="false">
      <c r="A2214" s="6" t="n">
        <v>2210</v>
      </c>
      <c r="B2214" s="8" t="s">
        <v>3411</v>
      </c>
      <c r="C2214" s="8" t="s">
        <v>2757</v>
      </c>
      <c r="D2214" s="9"/>
      <c r="E2214" s="10"/>
      <c r="F2214" s="11" t="n">
        <v>0.00761759259259259</v>
      </c>
      <c r="G2214" s="12" t="n">
        <v>1008</v>
      </c>
      <c r="H2214" s="11"/>
      <c r="I2214" s="12"/>
      <c r="J2214" s="14"/>
      <c r="K2214" s="14"/>
      <c r="L2214" s="14"/>
      <c r="M2214" s="13"/>
    </row>
    <row r="2215" customFormat="false" ht="15" hidden="false" customHeight="false" outlineLevel="0" collapsed="false">
      <c r="A2215" s="6" t="n">
        <v>2211</v>
      </c>
      <c r="B2215" s="8" t="s">
        <v>3412</v>
      </c>
      <c r="C2215" s="8" t="s">
        <v>1563</v>
      </c>
      <c r="D2215" s="9"/>
      <c r="E2215" s="10"/>
      <c r="F2215" s="11"/>
      <c r="G2215" s="12"/>
      <c r="H2215" s="11" t="n">
        <v>0.0029087962962963</v>
      </c>
      <c r="I2215" s="12" t="n">
        <v>1008</v>
      </c>
      <c r="J2215" s="14"/>
      <c r="K2215" s="14"/>
      <c r="L2215" s="14"/>
      <c r="M2215" s="13"/>
    </row>
    <row r="2216" customFormat="false" ht="15" hidden="false" customHeight="false" outlineLevel="0" collapsed="false">
      <c r="A2216" s="6" t="n">
        <v>2212</v>
      </c>
      <c r="B2216" s="8" t="s">
        <v>3413</v>
      </c>
      <c r="C2216" s="8" t="s">
        <v>427</v>
      </c>
      <c r="D2216" s="9"/>
      <c r="E2216" s="10"/>
      <c r="F2216" s="11" t="n">
        <v>0.00761956018518519</v>
      </c>
      <c r="G2216" s="12" t="n">
        <v>1009</v>
      </c>
      <c r="H2216" s="11"/>
      <c r="I2216" s="12"/>
      <c r="J2216" s="14"/>
      <c r="K2216" s="14"/>
      <c r="L2216" s="14"/>
      <c r="M2216" s="13"/>
    </row>
    <row r="2217" customFormat="false" ht="15" hidden="false" customHeight="false" outlineLevel="0" collapsed="false">
      <c r="A2217" s="6" t="n">
        <v>2213</v>
      </c>
      <c r="B2217" s="8" t="s">
        <v>3414</v>
      </c>
      <c r="C2217" s="8" t="s">
        <v>3415</v>
      </c>
      <c r="D2217" s="9"/>
      <c r="E2217" s="10"/>
      <c r="F2217" s="11" t="n">
        <v>0.00762222222222222</v>
      </c>
      <c r="G2217" s="12" t="n">
        <v>1010</v>
      </c>
      <c r="H2217" s="11"/>
      <c r="I2217" s="12"/>
      <c r="J2217" s="14"/>
      <c r="K2217" s="14"/>
      <c r="L2217" s="14"/>
      <c r="M2217" s="13"/>
    </row>
    <row r="2218" customFormat="false" ht="15" hidden="false" customHeight="false" outlineLevel="0" collapsed="false">
      <c r="A2218" s="6" t="n">
        <v>2214</v>
      </c>
      <c r="B2218" s="8" t="s">
        <v>3416</v>
      </c>
      <c r="C2218" s="8" t="s">
        <v>2214</v>
      </c>
      <c r="D2218" s="9"/>
      <c r="E2218" s="10"/>
      <c r="F2218" s="11"/>
      <c r="G2218" s="12"/>
      <c r="H2218" s="11" t="n">
        <v>0.00290902777777778</v>
      </c>
      <c r="I2218" s="12" t="n">
        <v>1010</v>
      </c>
      <c r="J2218" s="14"/>
      <c r="K2218" s="14"/>
      <c r="L2218" s="14"/>
      <c r="M2218" s="13"/>
    </row>
    <row r="2219" customFormat="false" ht="15" hidden="false" customHeight="false" outlineLevel="0" collapsed="false">
      <c r="A2219" s="6" t="n">
        <v>2215</v>
      </c>
      <c r="B2219" s="8" t="s">
        <v>3417</v>
      </c>
      <c r="C2219" s="8" t="s">
        <v>3418</v>
      </c>
      <c r="D2219" s="9"/>
      <c r="E2219" s="10"/>
      <c r="F2219" s="11" t="n">
        <v>0.00762233796296296</v>
      </c>
      <c r="G2219" s="12" t="n">
        <v>1011</v>
      </c>
      <c r="H2219" s="11"/>
      <c r="I2219" s="12"/>
      <c r="J2219" s="14"/>
      <c r="K2219" s="14"/>
      <c r="L2219" s="14"/>
      <c r="M2219" s="13"/>
    </row>
    <row r="2220" customFormat="false" ht="15" hidden="false" customHeight="false" outlineLevel="0" collapsed="false">
      <c r="A2220" s="6" t="n">
        <v>2216</v>
      </c>
      <c r="B2220" s="8" t="s">
        <v>3419</v>
      </c>
      <c r="C2220" s="8" t="s">
        <v>2188</v>
      </c>
      <c r="D2220" s="9"/>
      <c r="E2220" s="10"/>
      <c r="F2220" s="11"/>
      <c r="G2220" s="12"/>
      <c r="H2220" s="11" t="n">
        <v>0.00290914351851852</v>
      </c>
      <c r="I2220" s="12" t="n">
        <v>1011</v>
      </c>
      <c r="J2220" s="14"/>
      <c r="K2220" s="14"/>
      <c r="L2220" s="14"/>
      <c r="M2220" s="13"/>
    </row>
    <row r="2221" customFormat="false" ht="15" hidden="false" customHeight="false" outlineLevel="0" collapsed="false">
      <c r="A2221" s="6" t="n">
        <v>2217</v>
      </c>
      <c r="B2221" s="8" t="s">
        <v>3420</v>
      </c>
      <c r="C2221" s="8" t="s">
        <v>1248</v>
      </c>
      <c r="D2221" s="9"/>
      <c r="E2221" s="10"/>
      <c r="F2221" s="11" t="n">
        <v>0.00762511574074074</v>
      </c>
      <c r="G2221" s="12" t="n">
        <v>1012</v>
      </c>
      <c r="H2221" s="11"/>
      <c r="I2221" s="12"/>
      <c r="J2221" s="14"/>
      <c r="K2221" s="14"/>
      <c r="L2221" s="14"/>
      <c r="M2221" s="13"/>
    </row>
    <row r="2222" customFormat="false" ht="15" hidden="false" customHeight="false" outlineLevel="0" collapsed="false">
      <c r="A2222" s="6" t="n">
        <v>2218</v>
      </c>
      <c r="B2222" s="8" t="s">
        <v>3421</v>
      </c>
      <c r="C2222" s="8" t="s">
        <v>2814</v>
      </c>
      <c r="D2222" s="9"/>
      <c r="E2222" s="10"/>
      <c r="F2222" s="11" t="n">
        <v>0.00762534722222222</v>
      </c>
      <c r="G2222" s="12" t="n">
        <v>1013</v>
      </c>
      <c r="H2222" s="11"/>
      <c r="I2222" s="12"/>
      <c r="J2222" s="14"/>
      <c r="K2222" s="14"/>
      <c r="L2222" s="14"/>
      <c r="M2222" s="13"/>
    </row>
    <row r="2223" customFormat="false" ht="15" hidden="false" customHeight="false" outlineLevel="0" collapsed="false">
      <c r="A2223" s="6" t="n">
        <v>2219</v>
      </c>
      <c r="B2223" s="8" t="s">
        <v>3422</v>
      </c>
      <c r="C2223" s="8" t="s">
        <v>399</v>
      </c>
      <c r="D2223" s="9"/>
      <c r="E2223" s="10"/>
      <c r="F2223" s="11" t="n">
        <v>0.00762673611111111</v>
      </c>
      <c r="G2223" s="12" t="n">
        <v>1014</v>
      </c>
      <c r="H2223" s="11"/>
      <c r="I2223" s="12"/>
      <c r="J2223" s="14"/>
      <c r="K2223" s="14"/>
      <c r="L2223" s="14"/>
      <c r="M2223" s="13"/>
    </row>
    <row r="2224" customFormat="false" ht="15" hidden="false" customHeight="false" outlineLevel="0" collapsed="false">
      <c r="A2224" s="6" t="n">
        <v>2220</v>
      </c>
      <c r="B2224" s="8" t="s">
        <v>3423</v>
      </c>
      <c r="C2224" s="8" t="s">
        <v>3424</v>
      </c>
      <c r="D2224" s="9"/>
      <c r="E2224" s="10"/>
      <c r="F2224" s="11"/>
      <c r="G2224" s="12"/>
      <c r="H2224" s="11" t="n">
        <v>0.00290960648148148</v>
      </c>
      <c r="I2224" s="12" t="n">
        <v>1014</v>
      </c>
      <c r="J2224" s="14"/>
      <c r="K2224" s="14"/>
      <c r="L2224" s="14"/>
      <c r="M2224" s="13"/>
    </row>
    <row r="2225" customFormat="false" ht="15" hidden="false" customHeight="false" outlineLevel="0" collapsed="false">
      <c r="A2225" s="6" t="n">
        <v>2221</v>
      </c>
      <c r="B2225" s="8" t="s">
        <v>3425</v>
      </c>
      <c r="C2225" s="8" t="s">
        <v>2799</v>
      </c>
      <c r="D2225" s="9"/>
      <c r="E2225" s="10"/>
      <c r="F2225" s="11" t="n">
        <v>0.00762766203703704</v>
      </c>
      <c r="G2225" s="12" t="n">
        <v>1015</v>
      </c>
      <c r="H2225" s="11"/>
      <c r="I2225" s="12"/>
      <c r="J2225" s="14"/>
      <c r="K2225" s="14"/>
      <c r="L2225" s="14"/>
      <c r="M2225" s="13"/>
    </row>
    <row r="2226" customFormat="false" ht="15" hidden="false" customHeight="false" outlineLevel="0" collapsed="false">
      <c r="A2226" s="6" t="n">
        <v>2222</v>
      </c>
      <c r="B2226" s="8" t="s">
        <v>3426</v>
      </c>
      <c r="C2226" s="8" t="s">
        <v>3427</v>
      </c>
      <c r="D2226" s="9"/>
      <c r="E2226" s="10"/>
      <c r="F2226" s="11" t="n">
        <v>0.00762777777777778</v>
      </c>
      <c r="G2226" s="12" t="n">
        <v>1016</v>
      </c>
      <c r="H2226" s="11"/>
      <c r="I2226" s="12"/>
      <c r="J2226" s="14"/>
      <c r="K2226" s="14"/>
      <c r="L2226" s="14"/>
      <c r="M2226" s="13"/>
    </row>
    <row r="2227" customFormat="false" ht="15" hidden="false" customHeight="false" outlineLevel="0" collapsed="false">
      <c r="A2227" s="6" t="n">
        <v>2223</v>
      </c>
      <c r="B2227" s="8" t="s">
        <v>3428</v>
      </c>
      <c r="C2227" s="8" t="s">
        <v>3429</v>
      </c>
      <c r="D2227" s="9"/>
      <c r="E2227" s="10"/>
      <c r="F2227" s="11"/>
      <c r="G2227" s="12"/>
      <c r="H2227" s="11" t="n">
        <v>0.00290972222222222</v>
      </c>
      <c r="I2227" s="12" t="n">
        <v>1016</v>
      </c>
      <c r="J2227" s="14"/>
      <c r="K2227" s="14"/>
      <c r="L2227" s="14"/>
      <c r="M2227" s="13"/>
    </row>
    <row r="2228" customFormat="false" ht="15" hidden="false" customHeight="false" outlineLevel="0" collapsed="false">
      <c r="A2228" s="6" t="n">
        <v>2224</v>
      </c>
      <c r="B2228" s="8" t="s">
        <v>3430</v>
      </c>
      <c r="C2228" s="8" t="s">
        <v>3431</v>
      </c>
      <c r="D2228" s="9"/>
      <c r="E2228" s="10"/>
      <c r="F2228" s="11" t="n">
        <v>0.00762905092592593</v>
      </c>
      <c r="G2228" s="12" t="n">
        <v>1017</v>
      </c>
      <c r="H2228" s="11"/>
      <c r="I2228" s="12"/>
      <c r="J2228" s="14"/>
      <c r="K2228" s="14"/>
      <c r="L2228" s="14"/>
      <c r="M2228" s="13"/>
    </row>
    <row r="2229" customFormat="false" ht="15" hidden="false" customHeight="false" outlineLevel="0" collapsed="false">
      <c r="A2229" s="6" t="n">
        <v>2225</v>
      </c>
      <c r="B2229" s="8" t="s">
        <v>3432</v>
      </c>
      <c r="C2229" s="8" t="s">
        <v>304</v>
      </c>
      <c r="D2229" s="9"/>
      <c r="E2229" s="10"/>
      <c r="F2229" s="11"/>
      <c r="G2229" s="12"/>
      <c r="H2229" s="11" t="n">
        <v>0.00290972222222222</v>
      </c>
      <c r="I2229" s="12" t="n">
        <v>1017</v>
      </c>
      <c r="J2229" s="14"/>
      <c r="K2229" s="14"/>
      <c r="L2229" s="14"/>
      <c r="M2229" s="13"/>
    </row>
    <row r="2230" customFormat="false" ht="15" hidden="false" customHeight="false" outlineLevel="0" collapsed="false">
      <c r="A2230" s="6" t="n">
        <v>2226</v>
      </c>
      <c r="B2230" s="8" t="s">
        <v>3433</v>
      </c>
      <c r="C2230" s="8" t="s">
        <v>3434</v>
      </c>
      <c r="D2230" s="9"/>
      <c r="E2230" s="10"/>
      <c r="F2230" s="11" t="n">
        <v>0.00762939814814815</v>
      </c>
      <c r="G2230" s="12" t="n">
        <v>1018</v>
      </c>
      <c r="H2230" s="11"/>
      <c r="I2230" s="12"/>
      <c r="J2230" s="14"/>
      <c r="K2230" s="14"/>
      <c r="L2230" s="14"/>
      <c r="M2230" s="13"/>
    </row>
    <row r="2231" customFormat="false" ht="15" hidden="false" customHeight="false" outlineLevel="0" collapsed="false">
      <c r="A2231" s="6" t="n">
        <v>2227</v>
      </c>
      <c r="B2231" s="8" t="s">
        <v>3435</v>
      </c>
      <c r="C2231" s="8" t="s">
        <v>3436</v>
      </c>
      <c r="D2231" s="9"/>
      <c r="E2231" s="10"/>
      <c r="F2231" s="11" t="n">
        <v>0.00762962962962963</v>
      </c>
      <c r="G2231" s="12" t="n">
        <v>1019</v>
      </c>
      <c r="H2231" s="11"/>
      <c r="I2231" s="12"/>
      <c r="J2231" s="14"/>
      <c r="K2231" s="14"/>
      <c r="L2231" s="14"/>
      <c r="M2231" s="13"/>
    </row>
    <row r="2232" customFormat="false" ht="15" hidden="false" customHeight="false" outlineLevel="0" collapsed="false">
      <c r="A2232" s="6" t="n">
        <v>2228</v>
      </c>
      <c r="B2232" s="8" t="s">
        <v>3437</v>
      </c>
      <c r="C2232" s="8" t="s">
        <v>3438</v>
      </c>
      <c r="D2232" s="9"/>
      <c r="E2232" s="10"/>
      <c r="F2232" s="11" t="n">
        <v>0.00763043981481482</v>
      </c>
      <c r="G2232" s="12" t="n">
        <v>1020</v>
      </c>
      <c r="H2232" s="11"/>
      <c r="I2232" s="12"/>
      <c r="J2232" s="14"/>
      <c r="K2232" s="14"/>
      <c r="L2232" s="14"/>
      <c r="M2232" s="13"/>
    </row>
    <row r="2233" customFormat="false" ht="15" hidden="false" customHeight="false" outlineLevel="0" collapsed="false">
      <c r="A2233" s="6" t="n">
        <v>2229</v>
      </c>
      <c r="B2233" s="8" t="s">
        <v>3439</v>
      </c>
      <c r="C2233" s="8" t="s">
        <v>2111</v>
      </c>
      <c r="D2233" s="9"/>
      <c r="E2233" s="10"/>
      <c r="F2233" s="11"/>
      <c r="G2233" s="12"/>
      <c r="H2233" s="11" t="n">
        <v>0.00291006944444445</v>
      </c>
      <c r="I2233" s="12" t="n">
        <v>1020</v>
      </c>
      <c r="J2233" s="14"/>
      <c r="K2233" s="14"/>
      <c r="L2233" s="14"/>
      <c r="M2233" s="13"/>
    </row>
    <row r="2234" customFormat="false" ht="15" hidden="false" customHeight="false" outlineLevel="0" collapsed="false">
      <c r="A2234" s="6" t="n">
        <v>2230</v>
      </c>
      <c r="B2234" s="8" t="s">
        <v>3440</v>
      </c>
      <c r="C2234" s="8" t="s">
        <v>783</v>
      </c>
      <c r="D2234" s="9"/>
      <c r="E2234" s="10"/>
      <c r="F2234" s="11" t="n">
        <v>0.00763333333333333</v>
      </c>
      <c r="G2234" s="12" t="n">
        <v>1021</v>
      </c>
      <c r="H2234" s="11"/>
      <c r="I2234" s="12"/>
      <c r="J2234" s="14"/>
      <c r="K2234" s="14"/>
      <c r="L2234" s="14"/>
      <c r="M2234" s="13"/>
    </row>
    <row r="2235" customFormat="false" ht="15" hidden="false" customHeight="false" outlineLevel="0" collapsed="false">
      <c r="A2235" s="6" t="n">
        <v>2231</v>
      </c>
      <c r="B2235" s="8" t="s">
        <v>3441</v>
      </c>
      <c r="C2235" s="8" t="s">
        <v>3442</v>
      </c>
      <c r="D2235" s="9"/>
      <c r="E2235" s="10"/>
      <c r="F2235" s="11"/>
      <c r="G2235" s="12"/>
      <c r="H2235" s="11" t="n">
        <v>0.00291006944444445</v>
      </c>
      <c r="I2235" s="12" t="n">
        <v>1021</v>
      </c>
      <c r="J2235" s="14"/>
      <c r="K2235" s="14"/>
      <c r="L2235" s="14"/>
      <c r="M2235" s="13"/>
    </row>
    <row r="2236" customFormat="false" ht="15" hidden="false" customHeight="false" outlineLevel="0" collapsed="false">
      <c r="A2236" s="6" t="n">
        <v>2232</v>
      </c>
      <c r="B2236" s="8" t="s">
        <v>3443</v>
      </c>
      <c r="C2236" s="8" t="s">
        <v>3444</v>
      </c>
      <c r="D2236" s="9"/>
      <c r="E2236" s="10"/>
      <c r="F2236" s="11" t="n">
        <v>0.00763344907407407</v>
      </c>
      <c r="G2236" s="12" t="n">
        <v>1022</v>
      </c>
      <c r="H2236" s="11"/>
      <c r="I2236" s="12"/>
      <c r="J2236" s="14"/>
      <c r="K2236" s="14"/>
      <c r="L2236" s="14"/>
      <c r="M2236" s="13"/>
    </row>
    <row r="2237" customFormat="false" ht="15" hidden="false" customHeight="false" outlineLevel="0" collapsed="false">
      <c r="A2237" s="6" t="n">
        <v>2233</v>
      </c>
      <c r="B2237" s="8" t="s">
        <v>3445</v>
      </c>
      <c r="C2237" s="8" t="s">
        <v>2891</v>
      </c>
      <c r="D2237" s="9"/>
      <c r="E2237" s="10"/>
      <c r="F2237" s="11"/>
      <c r="G2237" s="12"/>
      <c r="H2237" s="11" t="n">
        <v>0.00291030092592593</v>
      </c>
      <c r="I2237" s="12" t="n">
        <v>1022</v>
      </c>
      <c r="J2237" s="14"/>
      <c r="K2237" s="14"/>
      <c r="L2237" s="14"/>
      <c r="M2237" s="13"/>
    </row>
    <row r="2238" customFormat="false" ht="15" hidden="false" customHeight="false" outlineLevel="0" collapsed="false">
      <c r="A2238" s="6" t="n">
        <v>2234</v>
      </c>
      <c r="B2238" s="8" t="s">
        <v>3446</v>
      </c>
      <c r="C2238" s="8" t="s">
        <v>3447</v>
      </c>
      <c r="D2238" s="9"/>
      <c r="E2238" s="10"/>
      <c r="F2238" s="11" t="n">
        <v>0.00763449074074074</v>
      </c>
      <c r="G2238" s="12" t="n">
        <v>1023</v>
      </c>
      <c r="H2238" s="11"/>
      <c r="I2238" s="12"/>
      <c r="J2238" s="14"/>
      <c r="K2238" s="14"/>
      <c r="L2238" s="14"/>
      <c r="M2238" s="13"/>
    </row>
    <row r="2239" customFormat="false" ht="15" hidden="false" customHeight="false" outlineLevel="0" collapsed="false">
      <c r="A2239" s="6" t="n">
        <v>2235</v>
      </c>
      <c r="B2239" s="8" t="s">
        <v>3448</v>
      </c>
      <c r="C2239" s="8" t="s">
        <v>3449</v>
      </c>
      <c r="D2239" s="9"/>
      <c r="E2239" s="10"/>
      <c r="F2239" s="11"/>
      <c r="G2239" s="12"/>
      <c r="H2239" s="11" t="n">
        <v>0.00291030092592593</v>
      </c>
      <c r="I2239" s="12" t="n">
        <v>1023</v>
      </c>
      <c r="J2239" s="14"/>
      <c r="K2239" s="14"/>
      <c r="L2239" s="14"/>
      <c r="M2239" s="13"/>
    </row>
    <row r="2240" customFormat="false" ht="15" hidden="false" customHeight="false" outlineLevel="0" collapsed="false">
      <c r="A2240" s="6" t="n">
        <v>2236</v>
      </c>
      <c r="B2240" s="8" t="s">
        <v>3450</v>
      </c>
      <c r="C2240" s="8" t="s">
        <v>3451</v>
      </c>
      <c r="D2240" s="9"/>
      <c r="E2240" s="10"/>
      <c r="F2240" s="11" t="n">
        <v>0.00763564814814815</v>
      </c>
      <c r="G2240" s="12" t="n">
        <v>1024</v>
      </c>
      <c r="H2240" s="11"/>
      <c r="I2240" s="12"/>
      <c r="J2240" s="14"/>
      <c r="K2240" s="14"/>
      <c r="L2240" s="14"/>
      <c r="M2240" s="13"/>
    </row>
    <row r="2241" customFormat="false" ht="15" hidden="false" customHeight="false" outlineLevel="0" collapsed="false">
      <c r="A2241" s="6" t="n">
        <v>2237</v>
      </c>
      <c r="B2241" s="8" t="s">
        <v>3452</v>
      </c>
      <c r="C2241" s="8" t="s">
        <v>1551</v>
      </c>
      <c r="D2241" s="9"/>
      <c r="E2241" s="10"/>
      <c r="F2241" s="11" t="n">
        <v>0.00763576388888889</v>
      </c>
      <c r="G2241" s="12" t="n">
        <v>1025</v>
      </c>
      <c r="H2241" s="11"/>
      <c r="I2241" s="12"/>
      <c r="J2241" s="14"/>
      <c r="K2241" s="14"/>
      <c r="L2241" s="14"/>
      <c r="M2241" s="13"/>
    </row>
    <row r="2242" customFormat="false" ht="15" hidden="false" customHeight="false" outlineLevel="0" collapsed="false">
      <c r="A2242" s="6" t="n">
        <v>2238</v>
      </c>
      <c r="B2242" s="8" t="s">
        <v>3453</v>
      </c>
      <c r="C2242" s="8" t="s">
        <v>3454</v>
      </c>
      <c r="D2242" s="9"/>
      <c r="E2242" s="10"/>
      <c r="F2242" s="11" t="n">
        <v>0.00763831018518519</v>
      </c>
      <c r="G2242" s="12" t="n">
        <v>1026</v>
      </c>
      <c r="H2242" s="11"/>
      <c r="I2242" s="12"/>
      <c r="J2242" s="14"/>
      <c r="K2242" s="14"/>
      <c r="L2242" s="14"/>
      <c r="M2242" s="13"/>
    </row>
    <row r="2243" customFormat="false" ht="15" hidden="false" customHeight="false" outlineLevel="0" collapsed="false">
      <c r="A2243" s="6" t="n">
        <v>2239</v>
      </c>
      <c r="B2243" s="8" t="s">
        <v>3455</v>
      </c>
      <c r="C2243" s="8" t="s">
        <v>3456</v>
      </c>
      <c r="D2243" s="9"/>
      <c r="E2243" s="10"/>
      <c r="F2243" s="11" t="n">
        <v>0.00764224537037037</v>
      </c>
      <c r="G2243" s="12" t="n">
        <v>1027</v>
      </c>
      <c r="H2243" s="11"/>
      <c r="I2243" s="12"/>
      <c r="J2243" s="14"/>
      <c r="K2243" s="14"/>
      <c r="L2243" s="14"/>
      <c r="M2243" s="13"/>
    </row>
    <row r="2244" customFormat="false" ht="15" hidden="false" customHeight="false" outlineLevel="0" collapsed="false">
      <c r="A2244" s="6" t="n">
        <v>2240</v>
      </c>
      <c r="B2244" s="8" t="s">
        <v>3457</v>
      </c>
      <c r="C2244" s="8" t="s">
        <v>1028</v>
      </c>
      <c r="D2244" s="9"/>
      <c r="E2244" s="10"/>
      <c r="F2244" s="11" t="n">
        <v>0.00764247685185185</v>
      </c>
      <c r="G2244" s="12" t="n">
        <v>1028</v>
      </c>
      <c r="H2244" s="11"/>
      <c r="I2244" s="12"/>
      <c r="J2244" s="14"/>
      <c r="K2244" s="14"/>
      <c r="L2244" s="14"/>
      <c r="M2244" s="13"/>
    </row>
    <row r="2245" customFormat="false" ht="15" hidden="false" customHeight="false" outlineLevel="0" collapsed="false">
      <c r="A2245" s="6" t="n">
        <v>2241</v>
      </c>
      <c r="B2245" s="8" t="s">
        <v>3458</v>
      </c>
      <c r="C2245" s="8" t="s">
        <v>3459</v>
      </c>
      <c r="D2245" s="9"/>
      <c r="E2245" s="10"/>
      <c r="F2245" s="11" t="n">
        <v>0.00764270833333333</v>
      </c>
      <c r="G2245" s="12" t="n">
        <v>1029</v>
      </c>
      <c r="H2245" s="11"/>
      <c r="I2245" s="12"/>
      <c r="J2245" s="14"/>
      <c r="K2245" s="14"/>
      <c r="L2245" s="14"/>
      <c r="M2245" s="13"/>
    </row>
    <row r="2246" customFormat="false" ht="15" hidden="false" customHeight="false" outlineLevel="0" collapsed="false">
      <c r="A2246" s="6" t="n">
        <v>2242</v>
      </c>
      <c r="B2246" s="8" t="s">
        <v>3460</v>
      </c>
      <c r="C2246" s="8" t="s">
        <v>3461</v>
      </c>
      <c r="D2246" s="9"/>
      <c r="E2246" s="10"/>
      <c r="F2246" s="11" t="n">
        <v>0.0076443287037037</v>
      </c>
      <c r="G2246" s="12" t="n">
        <v>1030</v>
      </c>
      <c r="H2246" s="11"/>
      <c r="I2246" s="12"/>
      <c r="J2246" s="14"/>
      <c r="K2246" s="14"/>
      <c r="L2246" s="14"/>
      <c r="M2246" s="13"/>
    </row>
    <row r="2247" customFormat="false" ht="15" hidden="false" customHeight="false" outlineLevel="0" collapsed="false">
      <c r="A2247" s="6" t="n">
        <v>2243</v>
      </c>
      <c r="B2247" s="8" t="s">
        <v>3462</v>
      </c>
      <c r="C2247" s="8" t="s">
        <v>3463</v>
      </c>
      <c r="D2247" s="9"/>
      <c r="E2247" s="10"/>
      <c r="F2247" s="11" t="n">
        <v>0.00764456018518519</v>
      </c>
      <c r="G2247" s="12" t="n">
        <v>1031</v>
      </c>
      <c r="H2247" s="11"/>
      <c r="I2247" s="12"/>
      <c r="J2247" s="14"/>
      <c r="K2247" s="14"/>
      <c r="L2247" s="14"/>
      <c r="M2247" s="13"/>
    </row>
    <row r="2248" customFormat="false" ht="15" hidden="false" customHeight="false" outlineLevel="0" collapsed="false">
      <c r="A2248" s="6" t="n">
        <v>2244</v>
      </c>
      <c r="B2248" s="8" t="s">
        <v>3464</v>
      </c>
      <c r="C2248" s="8" t="s">
        <v>3465</v>
      </c>
      <c r="D2248" s="9"/>
      <c r="E2248" s="10"/>
      <c r="F2248" s="11"/>
      <c r="G2248" s="12"/>
      <c r="H2248" s="11" t="n">
        <v>0.00291134259259259</v>
      </c>
      <c r="I2248" s="12" t="n">
        <v>1031</v>
      </c>
      <c r="J2248" s="14"/>
      <c r="K2248" s="14"/>
      <c r="L2248" s="14"/>
      <c r="M2248" s="13"/>
    </row>
    <row r="2249" customFormat="false" ht="15" hidden="false" customHeight="false" outlineLevel="0" collapsed="false">
      <c r="A2249" s="6" t="n">
        <v>2245</v>
      </c>
      <c r="B2249" s="8" t="s">
        <v>3466</v>
      </c>
      <c r="C2249" s="8" t="s">
        <v>3467</v>
      </c>
      <c r="D2249" s="9"/>
      <c r="E2249" s="10"/>
      <c r="F2249" s="11" t="n">
        <v>0.00764571759259259</v>
      </c>
      <c r="G2249" s="12" t="n">
        <v>1032</v>
      </c>
      <c r="H2249" s="11"/>
      <c r="I2249" s="12"/>
      <c r="J2249" s="14"/>
      <c r="K2249" s="14"/>
      <c r="L2249" s="14"/>
      <c r="M2249" s="13"/>
    </row>
    <row r="2250" customFormat="false" ht="15" hidden="false" customHeight="false" outlineLevel="0" collapsed="false">
      <c r="A2250" s="6" t="n">
        <v>2246</v>
      </c>
      <c r="B2250" s="8" t="s">
        <v>3468</v>
      </c>
      <c r="C2250" s="8" t="s">
        <v>802</v>
      </c>
      <c r="D2250" s="9"/>
      <c r="E2250" s="10"/>
      <c r="F2250" s="11" t="n">
        <v>0.00764710648148148</v>
      </c>
      <c r="G2250" s="12" t="n">
        <v>1033</v>
      </c>
      <c r="H2250" s="11"/>
      <c r="I2250" s="12"/>
      <c r="J2250" s="14"/>
      <c r="K2250" s="14"/>
      <c r="L2250" s="14"/>
      <c r="M2250" s="13"/>
    </row>
    <row r="2251" customFormat="false" ht="15" hidden="false" customHeight="false" outlineLevel="0" collapsed="false">
      <c r="A2251" s="6" t="n">
        <v>2247</v>
      </c>
      <c r="B2251" s="8" t="s">
        <v>3469</v>
      </c>
      <c r="C2251" s="8" t="s">
        <v>3470</v>
      </c>
      <c r="D2251" s="9"/>
      <c r="E2251" s="10"/>
      <c r="F2251" s="11" t="n">
        <v>0.00764814814814815</v>
      </c>
      <c r="G2251" s="12" t="n">
        <v>1034</v>
      </c>
      <c r="H2251" s="11"/>
      <c r="I2251" s="12"/>
      <c r="J2251" s="14"/>
      <c r="K2251" s="14"/>
      <c r="L2251" s="14"/>
      <c r="M2251" s="13"/>
    </row>
    <row r="2252" customFormat="false" ht="15" hidden="false" customHeight="false" outlineLevel="0" collapsed="false">
      <c r="A2252" s="6" t="n">
        <v>2248</v>
      </c>
      <c r="B2252" s="8" t="s">
        <v>3203</v>
      </c>
      <c r="C2252" s="8" t="s">
        <v>3471</v>
      </c>
      <c r="D2252" s="9"/>
      <c r="E2252" s="10"/>
      <c r="F2252" s="11"/>
      <c r="G2252" s="12"/>
      <c r="H2252" s="11" t="n">
        <v>0.00291157407407407</v>
      </c>
      <c r="I2252" s="12" t="n">
        <v>1034</v>
      </c>
      <c r="J2252" s="14"/>
      <c r="K2252" s="14"/>
      <c r="L2252" s="8" t="s">
        <v>3472</v>
      </c>
      <c r="M2252" s="13"/>
    </row>
    <row r="2253" customFormat="false" ht="15" hidden="false" customHeight="false" outlineLevel="0" collapsed="false">
      <c r="A2253" s="6" t="n">
        <v>2249</v>
      </c>
      <c r="B2253" s="8" t="s">
        <v>3473</v>
      </c>
      <c r="C2253" s="8" t="s">
        <v>2575</v>
      </c>
      <c r="D2253" s="9"/>
      <c r="E2253" s="10"/>
      <c r="F2253" s="11" t="n">
        <v>0.00764988425925926</v>
      </c>
      <c r="G2253" s="12" t="n">
        <v>1035</v>
      </c>
      <c r="H2253" s="11"/>
      <c r="I2253" s="12"/>
      <c r="J2253" s="14"/>
      <c r="K2253" s="14"/>
      <c r="L2253" s="14"/>
      <c r="M2253" s="13"/>
    </row>
    <row r="2254" customFormat="false" ht="15" hidden="false" customHeight="false" outlineLevel="0" collapsed="false">
      <c r="A2254" s="6" t="n">
        <v>2250</v>
      </c>
      <c r="B2254" s="8" t="s">
        <v>3474</v>
      </c>
      <c r="C2254" s="8" t="s">
        <v>1308</v>
      </c>
      <c r="D2254" s="9"/>
      <c r="E2254" s="10"/>
      <c r="F2254" s="11"/>
      <c r="G2254" s="12"/>
      <c r="H2254" s="11" t="n">
        <v>0.00291157407407407</v>
      </c>
      <c r="I2254" s="12" t="n">
        <v>1035</v>
      </c>
      <c r="J2254" s="14"/>
      <c r="K2254" s="14"/>
      <c r="L2254" s="14"/>
      <c r="M2254" s="13"/>
    </row>
    <row r="2255" customFormat="false" ht="15" hidden="false" customHeight="false" outlineLevel="0" collapsed="false">
      <c r="A2255" s="6" t="n">
        <v>2251</v>
      </c>
      <c r="B2255" s="8" t="s">
        <v>3475</v>
      </c>
      <c r="C2255" s="8" t="s">
        <v>2410</v>
      </c>
      <c r="D2255" s="9"/>
      <c r="E2255" s="10"/>
      <c r="F2255" s="11" t="n">
        <v>0.00765138888888889</v>
      </c>
      <c r="G2255" s="12" t="n">
        <v>1036</v>
      </c>
      <c r="H2255" s="11"/>
      <c r="I2255" s="12"/>
      <c r="J2255" s="14"/>
      <c r="K2255" s="14"/>
      <c r="L2255" s="14"/>
      <c r="M2255" s="13"/>
    </row>
    <row r="2256" customFormat="false" ht="15" hidden="false" customHeight="false" outlineLevel="0" collapsed="false">
      <c r="A2256" s="6" t="n">
        <v>2252</v>
      </c>
      <c r="B2256" s="8" t="s">
        <v>3476</v>
      </c>
      <c r="C2256" s="8" t="s">
        <v>3477</v>
      </c>
      <c r="D2256" s="9"/>
      <c r="E2256" s="10"/>
      <c r="F2256" s="11"/>
      <c r="G2256" s="12"/>
      <c r="H2256" s="11" t="n">
        <v>0.00291180555555556</v>
      </c>
      <c r="I2256" s="12" t="n">
        <v>1036</v>
      </c>
      <c r="J2256" s="14"/>
      <c r="K2256" s="14"/>
      <c r="L2256" s="14"/>
      <c r="M2256" s="13"/>
    </row>
    <row r="2257" customFormat="false" ht="15" hidden="false" customHeight="false" outlineLevel="0" collapsed="false">
      <c r="A2257" s="6" t="n">
        <v>2253</v>
      </c>
      <c r="B2257" s="8" t="s">
        <v>3478</v>
      </c>
      <c r="C2257" s="8" t="s">
        <v>370</v>
      </c>
      <c r="D2257" s="9"/>
      <c r="E2257" s="10"/>
      <c r="F2257" s="11" t="n">
        <v>0.00765416666666667</v>
      </c>
      <c r="G2257" s="12" t="n">
        <v>1037</v>
      </c>
      <c r="H2257" s="11"/>
      <c r="I2257" s="12"/>
      <c r="J2257" s="14"/>
      <c r="K2257" s="14"/>
      <c r="L2257" s="14"/>
      <c r="M2257" s="13"/>
    </row>
    <row r="2258" customFormat="false" ht="15" hidden="false" customHeight="false" outlineLevel="0" collapsed="false">
      <c r="A2258" s="6" t="n">
        <v>2254</v>
      </c>
      <c r="B2258" s="8" t="s">
        <v>3479</v>
      </c>
      <c r="C2258" s="8" t="s">
        <v>866</v>
      </c>
      <c r="D2258" s="9"/>
      <c r="E2258" s="10"/>
      <c r="F2258" s="11"/>
      <c r="G2258" s="12"/>
      <c r="H2258" s="11" t="n">
        <v>0.00291180555555556</v>
      </c>
      <c r="I2258" s="12" t="n">
        <v>1037</v>
      </c>
      <c r="J2258" s="14"/>
      <c r="K2258" s="14"/>
      <c r="L2258" s="14"/>
      <c r="M2258" s="13"/>
    </row>
    <row r="2259" customFormat="false" ht="15" hidden="false" customHeight="false" outlineLevel="0" collapsed="false">
      <c r="A2259" s="6" t="n">
        <v>2255</v>
      </c>
      <c r="B2259" s="8" t="s">
        <v>3480</v>
      </c>
      <c r="C2259" s="8" t="s">
        <v>2859</v>
      </c>
      <c r="D2259" s="9"/>
      <c r="E2259" s="10"/>
      <c r="F2259" s="11" t="n">
        <v>0.00765451388888889</v>
      </c>
      <c r="G2259" s="12" t="n">
        <v>1038</v>
      </c>
      <c r="H2259" s="11"/>
      <c r="I2259" s="12"/>
      <c r="J2259" s="14"/>
      <c r="K2259" s="14"/>
      <c r="L2259" s="14"/>
      <c r="M2259" s="13"/>
    </row>
    <row r="2260" customFormat="false" ht="15" hidden="false" customHeight="false" outlineLevel="0" collapsed="false">
      <c r="A2260" s="6" t="n">
        <v>2256</v>
      </c>
      <c r="B2260" s="8" t="s">
        <v>3481</v>
      </c>
      <c r="C2260" s="8" t="s">
        <v>2579</v>
      </c>
      <c r="D2260" s="9"/>
      <c r="E2260" s="10"/>
      <c r="F2260" s="11" t="n">
        <v>0.00765810185185185</v>
      </c>
      <c r="G2260" s="12" t="n">
        <v>1039</v>
      </c>
      <c r="H2260" s="11"/>
      <c r="I2260" s="12"/>
      <c r="J2260" s="14"/>
      <c r="K2260" s="14"/>
      <c r="L2260" s="14"/>
      <c r="M2260" s="13"/>
    </row>
    <row r="2261" customFormat="false" ht="15" hidden="false" customHeight="false" outlineLevel="0" collapsed="false">
      <c r="A2261" s="6" t="n">
        <v>2257</v>
      </c>
      <c r="B2261" s="8" t="s">
        <v>3482</v>
      </c>
      <c r="C2261" s="8" t="s">
        <v>3483</v>
      </c>
      <c r="D2261" s="9"/>
      <c r="E2261" s="10"/>
      <c r="F2261" s="11"/>
      <c r="G2261" s="12"/>
      <c r="H2261" s="11" t="n">
        <v>0.00291226851851852</v>
      </c>
      <c r="I2261" s="12" t="n">
        <v>1039</v>
      </c>
      <c r="J2261" s="14"/>
      <c r="K2261" s="14"/>
      <c r="L2261" s="14"/>
      <c r="M2261" s="13"/>
    </row>
    <row r="2262" customFormat="false" ht="15" hidden="false" customHeight="false" outlineLevel="0" collapsed="false">
      <c r="A2262" s="6" t="n">
        <v>2258</v>
      </c>
      <c r="B2262" s="8" t="s">
        <v>3484</v>
      </c>
      <c r="C2262" s="8" t="s">
        <v>3485</v>
      </c>
      <c r="D2262" s="9"/>
      <c r="E2262" s="10"/>
      <c r="F2262" s="11" t="n">
        <v>0.00765856481481482</v>
      </c>
      <c r="G2262" s="12" t="n">
        <v>1040</v>
      </c>
      <c r="H2262" s="11"/>
      <c r="I2262" s="12"/>
      <c r="J2262" s="14"/>
      <c r="K2262" s="14"/>
      <c r="L2262" s="14"/>
      <c r="M2262" s="13"/>
    </row>
    <row r="2263" customFormat="false" ht="15" hidden="false" customHeight="false" outlineLevel="0" collapsed="false">
      <c r="A2263" s="6" t="n">
        <v>2259</v>
      </c>
      <c r="B2263" s="8" t="s">
        <v>3486</v>
      </c>
      <c r="C2263" s="8" t="s">
        <v>3303</v>
      </c>
      <c r="D2263" s="9"/>
      <c r="E2263" s="10"/>
      <c r="F2263" s="11" t="n">
        <v>0.00766550925925926</v>
      </c>
      <c r="G2263" s="12" t="n">
        <v>1041</v>
      </c>
      <c r="H2263" s="11"/>
      <c r="I2263" s="12"/>
      <c r="J2263" s="14"/>
      <c r="K2263" s="14"/>
      <c r="L2263" s="14"/>
      <c r="M2263" s="13"/>
    </row>
    <row r="2264" customFormat="false" ht="15" hidden="false" customHeight="false" outlineLevel="0" collapsed="false">
      <c r="A2264" s="6" t="n">
        <v>2260</v>
      </c>
      <c r="B2264" s="8" t="s">
        <v>3487</v>
      </c>
      <c r="C2264" s="8" t="s">
        <v>89</v>
      </c>
      <c r="D2264" s="9"/>
      <c r="E2264" s="10"/>
      <c r="F2264" s="11"/>
      <c r="G2264" s="12"/>
      <c r="H2264" s="11" t="n">
        <v>0.00291273148148148</v>
      </c>
      <c r="I2264" s="12" t="n">
        <v>1041</v>
      </c>
      <c r="J2264" s="14"/>
      <c r="K2264" s="14"/>
      <c r="L2264" s="14"/>
      <c r="M2264" s="13"/>
    </row>
    <row r="2265" customFormat="false" ht="15" hidden="false" customHeight="false" outlineLevel="0" collapsed="false">
      <c r="A2265" s="6" t="n">
        <v>2261</v>
      </c>
      <c r="B2265" s="8" t="s">
        <v>3488</v>
      </c>
      <c r="C2265" s="8" t="s">
        <v>3489</v>
      </c>
      <c r="D2265" s="9"/>
      <c r="E2265" s="10"/>
      <c r="F2265" s="11" t="n">
        <v>0.00766608796296296</v>
      </c>
      <c r="G2265" s="12" t="n">
        <v>1042</v>
      </c>
      <c r="H2265" s="11"/>
      <c r="I2265" s="12"/>
      <c r="J2265" s="14"/>
      <c r="K2265" s="14"/>
      <c r="L2265" s="14"/>
      <c r="M2265" s="13"/>
    </row>
    <row r="2266" customFormat="false" ht="15" hidden="false" customHeight="false" outlineLevel="0" collapsed="false">
      <c r="A2266" s="6" t="n">
        <v>2262</v>
      </c>
      <c r="B2266" s="8" t="s">
        <v>3490</v>
      </c>
      <c r="C2266" s="8" t="s">
        <v>1869</v>
      </c>
      <c r="D2266" s="9"/>
      <c r="E2266" s="10"/>
      <c r="F2266" s="11" t="n">
        <v>0.00766689814814815</v>
      </c>
      <c r="G2266" s="12" t="n">
        <v>1043</v>
      </c>
      <c r="H2266" s="11"/>
      <c r="I2266" s="12"/>
      <c r="J2266" s="14"/>
      <c r="K2266" s="14"/>
      <c r="L2266" s="14"/>
      <c r="M2266" s="13"/>
    </row>
    <row r="2267" customFormat="false" ht="15" hidden="false" customHeight="false" outlineLevel="0" collapsed="false">
      <c r="A2267" s="6" t="n">
        <v>2263</v>
      </c>
      <c r="B2267" s="8" t="s">
        <v>3491</v>
      </c>
      <c r="C2267" s="8" t="s">
        <v>735</v>
      </c>
      <c r="D2267" s="9"/>
      <c r="E2267" s="10"/>
      <c r="F2267" s="11" t="n">
        <v>0.0076681712962963</v>
      </c>
      <c r="G2267" s="12" t="n">
        <v>1044</v>
      </c>
      <c r="H2267" s="11"/>
      <c r="I2267" s="12"/>
      <c r="J2267" s="14"/>
      <c r="K2267" s="14"/>
      <c r="L2267" s="14"/>
      <c r="M2267" s="13"/>
    </row>
    <row r="2268" customFormat="false" ht="15" hidden="false" customHeight="false" outlineLevel="0" collapsed="false">
      <c r="A2268" s="6" t="n">
        <v>2264</v>
      </c>
      <c r="B2268" s="8" t="s">
        <v>3492</v>
      </c>
      <c r="C2268" s="8" t="s">
        <v>2277</v>
      </c>
      <c r="D2268" s="9"/>
      <c r="E2268" s="10"/>
      <c r="F2268" s="11"/>
      <c r="G2268" s="12"/>
      <c r="H2268" s="11" t="n">
        <v>0.00291331018518519</v>
      </c>
      <c r="I2268" s="12" t="n">
        <v>1044</v>
      </c>
      <c r="J2268" s="14"/>
      <c r="K2268" s="14"/>
      <c r="L2268" s="14"/>
      <c r="M2268" s="13"/>
    </row>
    <row r="2269" customFormat="false" ht="15" hidden="false" customHeight="false" outlineLevel="0" collapsed="false">
      <c r="A2269" s="6" t="n">
        <v>2265</v>
      </c>
      <c r="B2269" s="8" t="s">
        <v>3493</v>
      </c>
      <c r="C2269" s="8" t="s">
        <v>3088</v>
      </c>
      <c r="D2269" s="9"/>
      <c r="E2269" s="10"/>
      <c r="F2269" s="11" t="n">
        <v>0.00767013888888889</v>
      </c>
      <c r="G2269" s="12" t="n">
        <v>1045</v>
      </c>
      <c r="H2269" s="11"/>
      <c r="I2269" s="12"/>
      <c r="J2269" s="14"/>
      <c r="K2269" s="14"/>
      <c r="L2269" s="14"/>
      <c r="M2269" s="13"/>
    </row>
    <row r="2270" customFormat="false" ht="15" hidden="false" customHeight="false" outlineLevel="0" collapsed="false">
      <c r="A2270" s="6" t="n">
        <v>2266</v>
      </c>
      <c r="B2270" s="8" t="s">
        <v>3494</v>
      </c>
      <c r="C2270" s="8" t="s">
        <v>2910</v>
      </c>
      <c r="D2270" s="9"/>
      <c r="E2270" s="10"/>
      <c r="F2270" s="11"/>
      <c r="G2270" s="12"/>
      <c r="H2270" s="11" t="n">
        <v>0.00291331018518519</v>
      </c>
      <c r="I2270" s="12" t="n">
        <v>1045</v>
      </c>
      <c r="J2270" s="14"/>
      <c r="K2270" s="14"/>
      <c r="L2270" s="14"/>
      <c r="M2270" s="13"/>
    </row>
    <row r="2271" customFormat="false" ht="15" hidden="false" customHeight="false" outlineLevel="0" collapsed="false">
      <c r="A2271" s="6" t="n">
        <v>2267</v>
      </c>
      <c r="B2271" s="8" t="s">
        <v>3495</v>
      </c>
      <c r="C2271" s="8" t="s">
        <v>3496</v>
      </c>
      <c r="D2271" s="9"/>
      <c r="E2271" s="10"/>
      <c r="F2271" s="11" t="n">
        <v>0.00767106481481482</v>
      </c>
      <c r="G2271" s="12" t="n">
        <v>1046</v>
      </c>
      <c r="H2271" s="11"/>
      <c r="I2271" s="12"/>
      <c r="J2271" s="14"/>
      <c r="K2271" s="14"/>
      <c r="L2271" s="14"/>
      <c r="M2271" s="13"/>
    </row>
    <row r="2272" customFormat="false" ht="15" hidden="false" customHeight="false" outlineLevel="0" collapsed="false">
      <c r="A2272" s="6" t="n">
        <v>2268</v>
      </c>
      <c r="B2272" s="8" t="s">
        <v>3497</v>
      </c>
      <c r="C2272" s="8" t="s">
        <v>3498</v>
      </c>
      <c r="D2272" s="9"/>
      <c r="E2272" s="10"/>
      <c r="F2272" s="11" t="n">
        <v>0.00767118055555556</v>
      </c>
      <c r="G2272" s="12" t="n">
        <v>1047</v>
      </c>
      <c r="H2272" s="11"/>
      <c r="I2272" s="12"/>
      <c r="J2272" s="14"/>
      <c r="K2272" s="14"/>
      <c r="L2272" s="14"/>
      <c r="M2272" s="13"/>
    </row>
    <row r="2273" customFormat="false" ht="15" hidden="false" customHeight="false" outlineLevel="0" collapsed="false">
      <c r="A2273" s="6" t="n">
        <v>2269</v>
      </c>
      <c r="B2273" s="8" t="s">
        <v>3499</v>
      </c>
      <c r="C2273" s="8" t="s">
        <v>641</v>
      </c>
      <c r="D2273" s="9"/>
      <c r="E2273" s="10"/>
      <c r="F2273" s="11"/>
      <c r="G2273" s="12"/>
      <c r="H2273" s="11" t="n">
        <v>0.00291365740740741</v>
      </c>
      <c r="I2273" s="12" t="n">
        <v>1047</v>
      </c>
      <c r="J2273" s="14"/>
      <c r="K2273" s="14"/>
      <c r="L2273" s="14"/>
      <c r="M2273" s="13"/>
    </row>
    <row r="2274" customFormat="false" ht="15" hidden="false" customHeight="false" outlineLevel="0" collapsed="false">
      <c r="A2274" s="6" t="n">
        <v>2270</v>
      </c>
      <c r="B2274" s="8" t="s">
        <v>3500</v>
      </c>
      <c r="C2274" s="8" t="s">
        <v>447</v>
      </c>
      <c r="D2274" s="9"/>
      <c r="E2274" s="10"/>
      <c r="F2274" s="11" t="n">
        <v>0.00767199074074074</v>
      </c>
      <c r="G2274" s="12" t="n">
        <v>1048</v>
      </c>
      <c r="H2274" s="11"/>
      <c r="I2274" s="12"/>
      <c r="J2274" s="14"/>
      <c r="K2274" s="14"/>
      <c r="L2274" s="14"/>
      <c r="M2274" s="13"/>
    </row>
    <row r="2275" customFormat="false" ht="15" hidden="false" customHeight="false" outlineLevel="0" collapsed="false">
      <c r="A2275" s="6" t="n">
        <v>2271</v>
      </c>
      <c r="B2275" s="8" t="s">
        <v>3501</v>
      </c>
      <c r="C2275" s="8" t="s">
        <v>3502</v>
      </c>
      <c r="D2275" s="9"/>
      <c r="E2275" s="10"/>
      <c r="F2275" s="11" t="n">
        <v>0.00767210648148148</v>
      </c>
      <c r="G2275" s="12" t="n">
        <v>1049</v>
      </c>
      <c r="H2275" s="11"/>
      <c r="I2275" s="12"/>
      <c r="J2275" s="14"/>
      <c r="K2275" s="14"/>
      <c r="L2275" s="14"/>
      <c r="M2275" s="13"/>
    </row>
    <row r="2276" customFormat="false" ht="15" hidden="false" customHeight="false" outlineLevel="0" collapsed="false">
      <c r="A2276" s="6" t="n">
        <v>2272</v>
      </c>
      <c r="B2276" s="8" t="s">
        <v>3503</v>
      </c>
      <c r="C2276" s="8" t="s">
        <v>212</v>
      </c>
      <c r="D2276" s="9"/>
      <c r="E2276" s="10"/>
      <c r="F2276" s="11" t="n">
        <v>0.00767291666666667</v>
      </c>
      <c r="G2276" s="12" t="n">
        <v>1050</v>
      </c>
      <c r="H2276" s="11"/>
      <c r="I2276" s="12"/>
      <c r="J2276" s="14"/>
      <c r="K2276" s="14"/>
      <c r="L2276" s="14"/>
      <c r="M2276" s="13"/>
    </row>
    <row r="2277" customFormat="false" ht="15" hidden="false" customHeight="false" outlineLevel="0" collapsed="false">
      <c r="A2277" s="6" t="n">
        <v>2273</v>
      </c>
      <c r="B2277" s="8" t="s">
        <v>3504</v>
      </c>
      <c r="C2277" s="8" t="s">
        <v>3505</v>
      </c>
      <c r="D2277" s="9"/>
      <c r="E2277" s="10"/>
      <c r="F2277" s="11" t="n">
        <v>0.00767326388888889</v>
      </c>
      <c r="G2277" s="12" t="n">
        <v>1051</v>
      </c>
      <c r="H2277" s="11"/>
      <c r="I2277" s="12"/>
      <c r="J2277" s="14"/>
      <c r="K2277" s="14"/>
      <c r="L2277" s="14"/>
      <c r="M2277" s="13"/>
    </row>
    <row r="2278" customFormat="false" ht="15" hidden="false" customHeight="false" outlineLevel="0" collapsed="false">
      <c r="A2278" s="6" t="n">
        <v>2274</v>
      </c>
      <c r="B2278" s="8" t="s">
        <v>3506</v>
      </c>
      <c r="C2278" s="8" t="s">
        <v>3507</v>
      </c>
      <c r="D2278" s="9"/>
      <c r="E2278" s="10"/>
      <c r="F2278" s="11" t="n">
        <v>0.00767407407407407</v>
      </c>
      <c r="G2278" s="12" t="n">
        <v>1052</v>
      </c>
      <c r="H2278" s="11"/>
      <c r="I2278" s="12"/>
      <c r="J2278" s="14"/>
      <c r="K2278" s="14"/>
      <c r="L2278" s="14"/>
      <c r="M2278" s="13"/>
    </row>
    <row r="2279" customFormat="false" ht="15" hidden="false" customHeight="false" outlineLevel="0" collapsed="false">
      <c r="A2279" s="6" t="n">
        <v>2275</v>
      </c>
      <c r="B2279" s="8" t="s">
        <v>3508</v>
      </c>
      <c r="C2279" s="8" t="s">
        <v>3509</v>
      </c>
      <c r="D2279" s="9"/>
      <c r="E2279" s="10"/>
      <c r="F2279" s="11"/>
      <c r="G2279" s="12"/>
      <c r="H2279" s="11" t="n">
        <v>0.00291435185185185</v>
      </c>
      <c r="I2279" s="12" t="n">
        <v>1052</v>
      </c>
      <c r="J2279" s="14"/>
      <c r="K2279" s="14"/>
      <c r="L2279" s="14"/>
      <c r="M2279" s="13"/>
    </row>
    <row r="2280" customFormat="false" ht="15" hidden="false" customHeight="false" outlineLevel="0" collapsed="false">
      <c r="A2280" s="6" t="n">
        <v>2276</v>
      </c>
      <c r="B2280" s="8" t="s">
        <v>3510</v>
      </c>
      <c r="C2280" s="8" t="s">
        <v>582</v>
      </c>
      <c r="D2280" s="9"/>
      <c r="E2280" s="10"/>
      <c r="F2280" s="11" t="n">
        <v>0.00767488425925926</v>
      </c>
      <c r="G2280" s="12" t="n">
        <v>1053</v>
      </c>
      <c r="H2280" s="11"/>
      <c r="I2280" s="12"/>
      <c r="J2280" s="14"/>
      <c r="K2280" s="14"/>
      <c r="L2280" s="14"/>
      <c r="M2280" s="13"/>
    </row>
    <row r="2281" customFormat="false" ht="15" hidden="false" customHeight="false" outlineLevel="0" collapsed="false">
      <c r="A2281" s="6" t="n">
        <v>2277</v>
      </c>
      <c r="B2281" s="8" t="s">
        <v>3511</v>
      </c>
      <c r="C2281" s="8" t="s">
        <v>3140</v>
      </c>
      <c r="D2281" s="9"/>
      <c r="E2281" s="10"/>
      <c r="F2281" s="11" t="n">
        <v>0.00767534722222222</v>
      </c>
      <c r="G2281" s="12" t="n">
        <v>1054</v>
      </c>
      <c r="H2281" s="11"/>
      <c r="I2281" s="12"/>
      <c r="J2281" s="14"/>
      <c r="K2281" s="14"/>
      <c r="L2281" s="14"/>
      <c r="M2281" s="13"/>
    </row>
    <row r="2282" customFormat="false" ht="15" hidden="false" customHeight="false" outlineLevel="0" collapsed="false">
      <c r="A2282" s="6" t="n">
        <v>2278</v>
      </c>
      <c r="B2282" s="8" t="s">
        <v>3512</v>
      </c>
      <c r="C2282" s="8" t="s">
        <v>2799</v>
      </c>
      <c r="D2282" s="9"/>
      <c r="E2282" s="10"/>
      <c r="F2282" s="11"/>
      <c r="G2282" s="12"/>
      <c r="H2282" s="11" t="n">
        <v>0.00291493055555556</v>
      </c>
      <c r="I2282" s="12" t="n">
        <v>1054</v>
      </c>
      <c r="J2282" s="14"/>
      <c r="K2282" s="14"/>
      <c r="L2282" s="14"/>
      <c r="M2282" s="13"/>
    </row>
    <row r="2283" customFormat="false" ht="15" hidden="false" customHeight="false" outlineLevel="0" collapsed="false">
      <c r="A2283" s="6" t="n">
        <v>2279</v>
      </c>
      <c r="B2283" s="8" t="s">
        <v>3513</v>
      </c>
      <c r="C2283" s="8" t="s">
        <v>3146</v>
      </c>
      <c r="D2283" s="9"/>
      <c r="E2283" s="10"/>
      <c r="F2283" s="11" t="n">
        <v>0.00767627314814815</v>
      </c>
      <c r="G2283" s="12" t="n">
        <v>1055</v>
      </c>
      <c r="H2283" s="11"/>
      <c r="I2283" s="12"/>
      <c r="J2283" s="14"/>
      <c r="K2283" s="14"/>
      <c r="L2283" s="14"/>
      <c r="M2283" s="13"/>
    </row>
    <row r="2284" customFormat="false" ht="15" hidden="false" customHeight="false" outlineLevel="0" collapsed="false">
      <c r="A2284" s="6" t="n">
        <v>2280</v>
      </c>
      <c r="B2284" s="8" t="s">
        <v>3514</v>
      </c>
      <c r="C2284" s="8" t="s">
        <v>602</v>
      </c>
      <c r="D2284" s="9"/>
      <c r="E2284" s="10"/>
      <c r="F2284" s="11" t="n">
        <v>0.00767847222222222</v>
      </c>
      <c r="G2284" s="12" t="n">
        <v>1057</v>
      </c>
      <c r="H2284" s="11"/>
      <c r="I2284" s="12"/>
      <c r="J2284" s="14"/>
      <c r="K2284" s="14"/>
      <c r="L2284" s="14"/>
      <c r="M2284" s="13"/>
    </row>
    <row r="2285" customFormat="false" ht="15" hidden="false" customHeight="false" outlineLevel="0" collapsed="false">
      <c r="A2285" s="6" t="n">
        <v>2281</v>
      </c>
      <c r="B2285" s="8" t="s">
        <v>3515</v>
      </c>
      <c r="C2285" s="8" t="s">
        <v>1141</v>
      </c>
      <c r="D2285" s="9"/>
      <c r="E2285" s="10"/>
      <c r="F2285" s="11" t="n">
        <v>0.00767951388888889</v>
      </c>
      <c r="G2285" s="12" t="n">
        <v>1058</v>
      </c>
      <c r="H2285" s="11"/>
      <c r="I2285" s="12"/>
      <c r="J2285" s="14"/>
      <c r="K2285" s="14"/>
      <c r="L2285" s="14"/>
      <c r="M2285" s="13"/>
    </row>
    <row r="2286" customFormat="false" ht="15" hidden="false" customHeight="false" outlineLevel="0" collapsed="false">
      <c r="A2286" s="6" t="n">
        <v>2282</v>
      </c>
      <c r="B2286" s="8" t="s">
        <v>3516</v>
      </c>
      <c r="C2286" s="8" t="s">
        <v>530</v>
      </c>
      <c r="D2286" s="9"/>
      <c r="E2286" s="10"/>
      <c r="F2286" s="11"/>
      <c r="G2286" s="12"/>
      <c r="H2286" s="11" t="n">
        <v>0.00291597222222222</v>
      </c>
      <c r="I2286" s="12" t="n">
        <v>1058</v>
      </c>
      <c r="J2286" s="14"/>
      <c r="K2286" s="14"/>
      <c r="L2286" s="14"/>
      <c r="M2286" s="13"/>
    </row>
    <row r="2287" customFormat="false" ht="15" hidden="false" customHeight="false" outlineLevel="0" collapsed="false">
      <c r="A2287" s="6" t="n">
        <v>2283</v>
      </c>
      <c r="B2287" s="8" t="s">
        <v>3517</v>
      </c>
      <c r="C2287" s="8" t="s">
        <v>1341</v>
      </c>
      <c r="D2287" s="9"/>
      <c r="E2287" s="10"/>
      <c r="F2287" s="11" t="n">
        <v>0.00768252314814815</v>
      </c>
      <c r="G2287" s="12" t="n">
        <v>1059</v>
      </c>
      <c r="H2287" s="11"/>
      <c r="I2287" s="12"/>
      <c r="J2287" s="14"/>
      <c r="K2287" s="14"/>
      <c r="L2287" s="14"/>
      <c r="M2287" s="13"/>
    </row>
    <row r="2288" customFormat="false" ht="15" hidden="false" customHeight="false" outlineLevel="0" collapsed="false">
      <c r="A2288" s="6" t="n">
        <v>2284</v>
      </c>
      <c r="B2288" s="8" t="s">
        <v>3518</v>
      </c>
      <c r="C2288" s="8" t="s">
        <v>3519</v>
      </c>
      <c r="D2288" s="9"/>
      <c r="E2288" s="10"/>
      <c r="F2288" s="11" t="n">
        <v>0.00768344907407407</v>
      </c>
      <c r="G2288" s="12" t="n">
        <v>1060</v>
      </c>
      <c r="H2288" s="11"/>
      <c r="I2288" s="12"/>
      <c r="J2288" s="14"/>
      <c r="K2288" s="14"/>
      <c r="L2288" s="14"/>
      <c r="M2288" s="13"/>
    </row>
    <row r="2289" customFormat="false" ht="15" hidden="false" customHeight="false" outlineLevel="0" collapsed="false">
      <c r="A2289" s="6" t="n">
        <v>2285</v>
      </c>
      <c r="B2289" s="8" t="s">
        <v>3520</v>
      </c>
      <c r="C2289" s="8" t="s">
        <v>2901</v>
      </c>
      <c r="D2289" s="9"/>
      <c r="E2289" s="10"/>
      <c r="F2289" s="11" t="n">
        <v>0.00768622685185185</v>
      </c>
      <c r="G2289" s="12" t="n">
        <v>1061</v>
      </c>
      <c r="H2289" s="11"/>
      <c r="I2289" s="12"/>
      <c r="J2289" s="14"/>
      <c r="K2289" s="14"/>
      <c r="L2289" s="14"/>
      <c r="M2289" s="13"/>
    </row>
    <row r="2290" customFormat="false" ht="15" hidden="false" customHeight="false" outlineLevel="0" collapsed="false">
      <c r="A2290" s="6" t="n">
        <v>2286</v>
      </c>
      <c r="B2290" s="8" t="s">
        <v>3521</v>
      </c>
      <c r="C2290" s="8" t="s">
        <v>3522</v>
      </c>
      <c r="D2290" s="9"/>
      <c r="E2290" s="10"/>
      <c r="F2290" s="11"/>
      <c r="G2290" s="12"/>
      <c r="H2290" s="11" t="n">
        <v>0.00291631944444444</v>
      </c>
      <c r="I2290" s="12" t="n">
        <v>1061</v>
      </c>
      <c r="J2290" s="14"/>
      <c r="K2290" s="14"/>
      <c r="L2290" s="14"/>
      <c r="M2290" s="13"/>
    </row>
    <row r="2291" customFormat="false" ht="15" hidden="false" customHeight="false" outlineLevel="0" collapsed="false">
      <c r="A2291" s="6" t="n">
        <v>2287</v>
      </c>
      <c r="B2291" s="8" t="s">
        <v>3523</v>
      </c>
      <c r="C2291" s="8" t="s">
        <v>1222</v>
      </c>
      <c r="D2291" s="9"/>
      <c r="E2291" s="10"/>
      <c r="F2291" s="11" t="n">
        <v>0.00769212962962963</v>
      </c>
      <c r="G2291" s="12" t="n">
        <v>1062</v>
      </c>
      <c r="H2291" s="11"/>
      <c r="I2291" s="12"/>
      <c r="J2291" s="14"/>
      <c r="K2291" s="14"/>
      <c r="L2291" s="14"/>
      <c r="M2291" s="13"/>
    </row>
    <row r="2292" customFormat="false" ht="15" hidden="false" customHeight="false" outlineLevel="0" collapsed="false">
      <c r="A2292" s="6" t="n">
        <v>2288</v>
      </c>
      <c r="B2292" s="8" t="s">
        <v>3524</v>
      </c>
      <c r="C2292" s="8" t="s">
        <v>3449</v>
      </c>
      <c r="D2292" s="9"/>
      <c r="E2292" s="10"/>
      <c r="F2292" s="11"/>
      <c r="G2292" s="12"/>
      <c r="H2292" s="11" t="n">
        <v>0.00291631944444444</v>
      </c>
      <c r="I2292" s="12" t="n">
        <v>1062</v>
      </c>
      <c r="J2292" s="14"/>
      <c r="K2292" s="14"/>
      <c r="L2292" s="14"/>
      <c r="M2292" s="13"/>
    </row>
    <row r="2293" customFormat="false" ht="15" hidden="false" customHeight="false" outlineLevel="0" collapsed="false">
      <c r="A2293" s="6" t="n">
        <v>2289</v>
      </c>
      <c r="B2293" s="8" t="s">
        <v>3525</v>
      </c>
      <c r="C2293" s="8" t="s">
        <v>3526</v>
      </c>
      <c r="D2293" s="9"/>
      <c r="E2293" s="10"/>
      <c r="F2293" s="11" t="n">
        <v>0.00769328703703704</v>
      </c>
      <c r="G2293" s="12" t="n">
        <v>1063</v>
      </c>
      <c r="H2293" s="11"/>
      <c r="I2293" s="12"/>
      <c r="J2293" s="14"/>
      <c r="K2293" s="14"/>
      <c r="L2293" s="14"/>
      <c r="M2293" s="13"/>
    </row>
    <row r="2294" customFormat="false" ht="15" hidden="false" customHeight="false" outlineLevel="0" collapsed="false">
      <c r="A2294" s="6" t="n">
        <v>2290</v>
      </c>
      <c r="B2294" s="8" t="s">
        <v>3527</v>
      </c>
      <c r="C2294" s="8" t="s">
        <v>971</v>
      </c>
      <c r="D2294" s="9"/>
      <c r="E2294" s="10"/>
      <c r="F2294" s="11" t="n">
        <v>0.00769953703703704</v>
      </c>
      <c r="G2294" s="12" t="n">
        <v>1065</v>
      </c>
      <c r="H2294" s="11"/>
      <c r="I2294" s="12"/>
      <c r="J2294" s="14"/>
      <c r="K2294" s="14"/>
      <c r="L2294" s="14"/>
      <c r="M2294" s="13"/>
    </row>
    <row r="2295" customFormat="false" ht="15" hidden="false" customHeight="false" outlineLevel="0" collapsed="false">
      <c r="A2295" s="6" t="n">
        <v>2291</v>
      </c>
      <c r="B2295" s="8" t="s">
        <v>3528</v>
      </c>
      <c r="C2295" s="8" t="s">
        <v>2436</v>
      </c>
      <c r="D2295" s="9"/>
      <c r="E2295" s="10"/>
      <c r="F2295" s="11"/>
      <c r="G2295" s="12"/>
      <c r="H2295" s="11" t="n">
        <v>0.00291689814814815</v>
      </c>
      <c r="I2295" s="12" t="n">
        <v>1065</v>
      </c>
      <c r="J2295" s="14"/>
      <c r="K2295" s="14"/>
      <c r="L2295" s="14"/>
      <c r="M2295" s="13"/>
    </row>
    <row r="2296" customFormat="false" ht="15" hidden="false" customHeight="false" outlineLevel="0" collapsed="false">
      <c r="A2296" s="6" t="n">
        <v>2292</v>
      </c>
      <c r="B2296" s="8" t="s">
        <v>3529</v>
      </c>
      <c r="C2296" s="8" t="s">
        <v>1583</v>
      </c>
      <c r="D2296" s="9"/>
      <c r="E2296" s="10"/>
      <c r="F2296" s="11" t="n">
        <v>0.0077005787037037</v>
      </c>
      <c r="G2296" s="12" t="n">
        <v>1066</v>
      </c>
      <c r="H2296" s="11"/>
      <c r="I2296" s="12"/>
      <c r="J2296" s="14"/>
      <c r="K2296" s="14" t="s">
        <v>3530</v>
      </c>
      <c r="L2296" s="14"/>
      <c r="M2296" s="13"/>
    </row>
    <row r="2297" customFormat="false" ht="15" hidden="false" customHeight="false" outlineLevel="0" collapsed="false">
      <c r="A2297" s="6" t="n">
        <v>2293</v>
      </c>
      <c r="B2297" s="8" t="s">
        <v>3531</v>
      </c>
      <c r="C2297" s="8" t="s">
        <v>3532</v>
      </c>
      <c r="D2297" s="9"/>
      <c r="E2297" s="10"/>
      <c r="F2297" s="11" t="n">
        <v>0.00770081018518519</v>
      </c>
      <c r="G2297" s="12" t="n">
        <v>1067</v>
      </c>
      <c r="H2297" s="11"/>
      <c r="I2297" s="12"/>
      <c r="J2297" s="14"/>
      <c r="K2297" s="14"/>
      <c r="L2297" s="14"/>
      <c r="M2297" s="13"/>
    </row>
    <row r="2298" customFormat="false" ht="15" hidden="false" customHeight="false" outlineLevel="0" collapsed="false">
      <c r="A2298" s="6" t="n">
        <v>2294</v>
      </c>
      <c r="B2298" s="8" t="s">
        <v>3533</v>
      </c>
      <c r="C2298" s="8" t="s">
        <v>3534</v>
      </c>
      <c r="D2298" s="9"/>
      <c r="E2298" s="10"/>
      <c r="F2298" s="11" t="n">
        <v>0.0077037037037037</v>
      </c>
      <c r="G2298" s="12" t="n">
        <v>1069</v>
      </c>
      <c r="H2298" s="11"/>
      <c r="I2298" s="12"/>
      <c r="J2298" s="14"/>
      <c r="K2298" s="14"/>
      <c r="L2298" s="14"/>
      <c r="M2298" s="13"/>
    </row>
    <row r="2299" customFormat="false" ht="15" hidden="false" customHeight="false" outlineLevel="0" collapsed="false">
      <c r="A2299" s="6" t="n">
        <v>2295</v>
      </c>
      <c r="B2299" s="8" t="s">
        <v>3535</v>
      </c>
      <c r="C2299" s="8" t="s">
        <v>3536</v>
      </c>
      <c r="D2299" s="9"/>
      <c r="E2299" s="10"/>
      <c r="F2299" s="11"/>
      <c r="G2299" s="12"/>
      <c r="H2299" s="11" t="n">
        <v>0.00291724537037037</v>
      </c>
      <c r="I2299" s="12" t="n">
        <v>1069</v>
      </c>
      <c r="J2299" s="14"/>
      <c r="K2299" s="14"/>
      <c r="L2299" s="14"/>
      <c r="M2299" s="13"/>
    </row>
    <row r="2300" customFormat="false" ht="15" hidden="false" customHeight="false" outlineLevel="0" collapsed="false">
      <c r="A2300" s="6" t="n">
        <v>2296</v>
      </c>
      <c r="B2300" s="8" t="s">
        <v>3537</v>
      </c>
      <c r="C2300" s="8" t="s">
        <v>1042</v>
      </c>
      <c r="D2300" s="9"/>
      <c r="E2300" s="10"/>
      <c r="F2300" s="11" t="n">
        <v>0.00770405092592593</v>
      </c>
      <c r="G2300" s="12" t="n">
        <v>1070</v>
      </c>
      <c r="H2300" s="11"/>
      <c r="I2300" s="12"/>
      <c r="J2300" s="14"/>
      <c r="K2300" s="14"/>
      <c r="L2300" s="14"/>
      <c r="M2300" s="13"/>
    </row>
    <row r="2301" customFormat="false" ht="15" hidden="false" customHeight="false" outlineLevel="0" collapsed="false">
      <c r="A2301" s="6" t="n">
        <v>2297</v>
      </c>
      <c r="B2301" s="8" t="s">
        <v>3538</v>
      </c>
      <c r="C2301" s="8" t="s">
        <v>3539</v>
      </c>
      <c r="D2301" s="9"/>
      <c r="E2301" s="10"/>
      <c r="F2301" s="11" t="n">
        <v>0.00770486111111111</v>
      </c>
      <c r="G2301" s="12" t="n">
        <v>1071</v>
      </c>
      <c r="H2301" s="11"/>
      <c r="I2301" s="12"/>
      <c r="J2301" s="14"/>
      <c r="K2301" s="14"/>
      <c r="L2301" s="14"/>
      <c r="M2301" s="13"/>
    </row>
    <row r="2302" customFormat="false" ht="15" hidden="false" customHeight="false" outlineLevel="0" collapsed="false">
      <c r="A2302" s="6" t="n">
        <v>2298</v>
      </c>
      <c r="B2302" s="8" t="s">
        <v>3540</v>
      </c>
      <c r="C2302" s="8" t="s">
        <v>3541</v>
      </c>
      <c r="D2302" s="9"/>
      <c r="E2302" s="10"/>
      <c r="F2302" s="11" t="n">
        <v>0.00770509259259259</v>
      </c>
      <c r="G2302" s="12" t="n">
        <v>1072</v>
      </c>
      <c r="H2302" s="11"/>
      <c r="I2302" s="12"/>
      <c r="J2302" s="14"/>
      <c r="K2302" s="14"/>
      <c r="L2302" s="14"/>
      <c r="M2302" s="13"/>
    </row>
    <row r="2303" customFormat="false" ht="15" hidden="false" customHeight="false" outlineLevel="0" collapsed="false">
      <c r="A2303" s="6" t="n">
        <v>2299</v>
      </c>
      <c r="B2303" s="8" t="s">
        <v>3542</v>
      </c>
      <c r="C2303" s="8" t="s">
        <v>3018</v>
      </c>
      <c r="D2303" s="9"/>
      <c r="E2303" s="10"/>
      <c r="F2303" s="11"/>
      <c r="G2303" s="12"/>
      <c r="H2303" s="11" t="n">
        <v>0.00291759259259259</v>
      </c>
      <c r="I2303" s="12" t="n">
        <v>1072</v>
      </c>
      <c r="J2303" s="14"/>
      <c r="K2303" s="14"/>
      <c r="L2303" s="14"/>
      <c r="M2303" s="13"/>
    </row>
    <row r="2304" customFormat="false" ht="15" hidden="false" customHeight="false" outlineLevel="0" collapsed="false">
      <c r="A2304" s="6" t="n">
        <v>2300</v>
      </c>
      <c r="B2304" s="8" t="s">
        <v>3543</v>
      </c>
      <c r="C2304" s="8" t="s">
        <v>2613</v>
      </c>
      <c r="D2304" s="9"/>
      <c r="E2304" s="10"/>
      <c r="F2304" s="11" t="n">
        <v>0.00770601851851852</v>
      </c>
      <c r="G2304" s="12" t="n">
        <v>1073</v>
      </c>
      <c r="H2304" s="11"/>
      <c r="I2304" s="12"/>
      <c r="J2304" s="14"/>
      <c r="K2304" s="14"/>
      <c r="L2304" s="14"/>
      <c r="M2304" s="13"/>
    </row>
    <row r="2305" customFormat="false" ht="15" hidden="false" customHeight="false" outlineLevel="0" collapsed="false">
      <c r="A2305" s="6" t="n">
        <v>2301</v>
      </c>
      <c r="B2305" s="8" t="s">
        <v>3544</v>
      </c>
      <c r="C2305" s="8" t="s">
        <v>2620</v>
      </c>
      <c r="D2305" s="9"/>
      <c r="E2305" s="10"/>
      <c r="F2305" s="11"/>
      <c r="G2305" s="12"/>
      <c r="H2305" s="11" t="n">
        <v>0.00291782407407407</v>
      </c>
      <c r="I2305" s="12" t="n">
        <v>1073</v>
      </c>
      <c r="J2305" s="14"/>
      <c r="K2305" s="14"/>
      <c r="L2305" s="14"/>
      <c r="M2305" s="13"/>
    </row>
    <row r="2306" customFormat="false" ht="15" hidden="false" customHeight="false" outlineLevel="0" collapsed="false">
      <c r="A2306" s="6" t="n">
        <v>2302</v>
      </c>
      <c r="B2306" s="8" t="s">
        <v>3545</v>
      </c>
      <c r="C2306" s="8" t="s">
        <v>3546</v>
      </c>
      <c r="D2306" s="9"/>
      <c r="E2306" s="10"/>
      <c r="F2306" s="11" t="n">
        <v>0.00770613425925926</v>
      </c>
      <c r="G2306" s="12" t="n">
        <v>1074</v>
      </c>
      <c r="H2306" s="11"/>
      <c r="I2306" s="12"/>
      <c r="J2306" s="14"/>
      <c r="K2306" s="14"/>
      <c r="L2306" s="14"/>
      <c r="M2306" s="13"/>
    </row>
    <row r="2307" customFormat="false" ht="15" hidden="false" customHeight="false" outlineLevel="0" collapsed="false">
      <c r="A2307" s="6" t="n">
        <v>2303</v>
      </c>
      <c r="B2307" s="8" t="s">
        <v>3547</v>
      </c>
      <c r="C2307" s="8" t="s">
        <v>2364</v>
      </c>
      <c r="D2307" s="9"/>
      <c r="E2307" s="10"/>
      <c r="F2307" s="11"/>
      <c r="G2307" s="12"/>
      <c r="H2307" s="11" t="n">
        <v>0.00291793981481482</v>
      </c>
      <c r="I2307" s="12" t="n">
        <v>1074</v>
      </c>
      <c r="J2307" s="14"/>
      <c r="K2307" s="14"/>
      <c r="L2307" s="14"/>
      <c r="M2307" s="13"/>
    </row>
    <row r="2308" customFormat="false" ht="15" hidden="false" customHeight="false" outlineLevel="0" collapsed="false">
      <c r="A2308" s="6" t="n">
        <v>2304</v>
      </c>
      <c r="B2308" s="8" t="s">
        <v>3548</v>
      </c>
      <c r="C2308" s="8" t="s">
        <v>3549</v>
      </c>
      <c r="D2308" s="9"/>
      <c r="E2308" s="10"/>
      <c r="F2308" s="11" t="n">
        <v>0.00770740740740741</v>
      </c>
      <c r="G2308" s="12" t="n">
        <v>1075</v>
      </c>
      <c r="H2308" s="11"/>
      <c r="I2308" s="12"/>
      <c r="J2308" s="14"/>
      <c r="K2308" s="14"/>
      <c r="L2308" s="14"/>
      <c r="M2308" s="13"/>
    </row>
    <row r="2309" customFormat="false" ht="15" hidden="false" customHeight="false" outlineLevel="0" collapsed="false">
      <c r="A2309" s="6" t="n">
        <v>2305</v>
      </c>
      <c r="B2309" s="8" t="s">
        <v>3550</v>
      </c>
      <c r="C2309" s="8" t="s">
        <v>3551</v>
      </c>
      <c r="D2309" s="9"/>
      <c r="E2309" s="10"/>
      <c r="F2309" s="11"/>
      <c r="G2309" s="12"/>
      <c r="H2309" s="11" t="n">
        <v>0.00291805555555556</v>
      </c>
      <c r="I2309" s="12" t="n">
        <v>1075</v>
      </c>
      <c r="J2309" s="14"/>
      <c r="K2309" s="14"/>
      <c r="L2309" s="14"/>
      <c r="M2309" s="13"/>
    </row>
    <row r="2310" customFormat="false" ht="15" hidden="false" customHeight="false" outlineLevel="0" collapsed="false">
      <c r="A2310" s="6" t="n">
        <v>2306</v>
      </c>
      <c r="B2310" s="8" t="s">
        <v>3552</v>
      </c>
      <c r="C2310" s="8" t="s">
        <v>3014</v>
      </c>
      <c r="D2310" s="9"/>
      <c r="E2310" s="10"/>
      <c r="F2310" s="11" t="n">
        <v>0.00770775462962963</v>
      </c>
      <c r="G2310" s="12" t="n">
        <v>1076</v>
      </c>
      <c r="H2310" s="11"/>
      <c r="I2310" s="12"/>
      <c r="J2310" s="14"/>
      <c r="K2310" s="14"/>
      <c r="L2310" s="14"/>
      <c r="M2310" s="13"/>
    </row>
    <row r="2311" customFormat="false" ht="15" hidden="false" customHeight="false" outlineLevel="0" collapsed="false">
      <c r="A2311" s="6" t="n">
        <v>2307</v>
      </c>
      <c r="B2311" s="8" t="s">
        <v>3553</v>
      </c>
      <c r="C2311" s="8" t="s">
        <v>306</v>
      </c>
      <c r="D2311" s="9"/>
      <c r="E2311" s="10"/>
      <c r="F2311" s="11" t="n">
        <v>0.00770810185185185</v>
      </c>
      <c r="G2311" s="12" t="n">
        <v>1077</v>
      </c>
      <c r="H2311" s="11"/>
      <c r="I2311" s="12"/>
      <c r="J2311" s="14"/>
      <c r="K2311" s="14"/>
      <c r="L2311" s="14"/>
      <c r="M2311" s="13"/>
    </row>
    <row r="2312" customFormat="false" ht="15" hidden="false" customHeight="false" outlineLevel="0" collapsed="false">
      <c r="A2312" s="6" t="n">
        <v>2308</v>
      </c>
      <c r="B2312" s="8" t="s">
        <v>3554</v>
      </c>
      <c r="C2312" s="8" t="s">
        <v>3461</v>
      </c>
      <c r="D2312" s="9"/>
      <c r="E2312" s="10"/>
      <c r="F2312" s="11"/>
      <c r="G2312" s="12"/>
      <c r="H2312" s="11" t="n">
        <v>0.00291828703703704</v>
      </c>
      <c r="I2312" s="12" t="n">
        <v>1077</v>
      </c>
      <c r="J2312" s="14"/>
      <c r="K2312" s="14"/>
      <c r="L2312" s="14"/>
      <c r="M2312" s="13"/>
    </row>
    <row r="2313" customFormat="false" ht="15" hidden="false" customHeight="false" outlineLevel="0" collapsed="false">
      <c r="A2313" s="6" t="n">
        <v>2309</v>
      </c>
      <c r="B2313" s="8" t="s">
        <v>3555</v>
      </c>
      <c r="C2313" s="8" t="s">
        <v>3556</v>
      </c>
      <c r="D2313" s="9"/>
      <c r="E2313" s="10"/>
      <c r="F2313" s="11" t="n">
        <v>0.00770821759259259</v>
      </c>
      <c r="G2313" s="12" t="n">
        <v>1078</v>
      </c>
      <c r="H2313" s="11"/>
      <c r="I2313" s="12"/>
      <c r="J2313" s="14"/>
      <c r="K2313" s="14"/>
      <c r="L2313" s="14"/>
      <c r="M2313" s="13"/>
    </row>
    <row r="2314" customFormat="false" ht="15" hidden="false" customHeight="false" outlineLevel="0" collapsed="false">
      <c r="A2314" s="6" t="n">
        <v>2310</v>
      </c>
      <c r="B2314" s="8" t="s">
        <v>3557</v>
      </c>
      <c r="C2314" s="8" t="s">
        <v>152</v>
      </c>
      <c r="D2314" s="9"/>
      <c r="E2314" s="10"/>
      <c r="F2314" s="11" t="n">
        <v>0.00771157407407407</v>
      </c>
      <c r="G2314" s="12" t="n">
        <v>1079</v>
      </c>
      <c r="H2314" s="11"/>
      <c r="I2314" s="12"/>
      <c r="J2314" s="14"/>
      <c r="K2314" s="14"/>
      <c r="L2314" s="14"/>
      <c r="M2314" s="13"/>
    </row>
    <row r="2315" customFormat="false" ht="15" hidden="false" customHeight="false" outlineLevel="0" collapsed="false">
      <c r="A2315" s="6" t="n">
        <v>2311</v>
      </c>
      <c r="B2315" s="8" t="s">
        <v>3558</v>
      </c>
      <c r="C2315" s="8" t="s">
        <v>1177</v>
      </c>
      <c r="D2315" s="9"/>
      <c r="E2315" s="10"/>
      <c r="F2315" s="11"/>
      <c r="G2315" s="12"/>
      <c r="H2315" s="11" t="n">
        <v>0.00291851851851852</v>
      </c>
      <c r="I2315" s="12" t="n">
        <v>1079</v>
      </c>
      <c r="J2315" s="14"/>
      <c r="K2315" s="14"/>
      <c r="L2315" s="14"/>
      <c r="M2315" s="13"/>
    </row>
    <row r="2316" customFormat="false" ht="15" hidden="false" customHeight="false" outlineLevel="0" collapsed="false">
      <c r="A2316" s="6" t="n">
        <v>2312</v>
      </c>
      <c r="B2316" s="8" t="s">
        <v>3559</v>
      </c>
      <c r="C2316" s="8" t="s">
        <v>3560</v>
      </c>
      <c r="D2316" s="9"/>
      <c r="E2316" s="10"/>
      <c r="F2316" s="11" t="n">
        <v>0.00771215277777778</v>
      </c>
      <c r="G2316" s="12" t="n">
        <v>1080</v>
      </c>
      <c r="H2316" s="11"/>
      <c r="I2316" s="12"/>
      <c r="J2316" s="14"/>
      <c r="K2316" s="14"/>
      <c r="L2316" s="14"/>
      <c r="M2316" s="13"/>
    </row>
    <row r="2317" customFormat="false" ht="15" hidden="false" customHeight="false" outlineLevel="0" collapsed="false">
      <c r="A2317" s="6" t="n">
        <v>2313</v>
      </c>
      <c r="B2317" s="8" t="s">
        <v>3561</v>
      </c>
      <c r="C2317" s="8" t="s">
        <v>2129</v>
      </c>
      <c r="D2317" s="9"/>
      <c r="E2317" s="10"/>
      <c r="F2317" s="11" t="n">
        <v>0.00771261574074074</v>
      </c>
      <c r="G2317" s="12" t="n">
        <v>1081</v>
      </c>
      <c r="H2317" s="11"/>
      <c r="I2317" s="12"/>
      <c r="J2317" s="14"/>
      <c r="K2317" s="14"/>
      <c r="L2317" s="14"/>
      <c r="M2317" s="13"/>
    </row>
    <row r="2318" customFormat="false" ht="15" hidden="false" customHeight="false" outlineLevel="0" collapsed="false">
      <c r="A2318" s="6" t="n">
        <v>2314</v>
      </c>
      <c r="B2318" s="8" t="s">
        <v>3562</v>
      </c>
      <c r="C2318" s="8" t="s">
        <v>2959</v>
      </c>
      <c r="D2318" s="9"/>
      <c r="E2318" s="10"/>
      <c r="F2318" s="11" t="n">
        <v>0.00771331018518519</v>
      </c>
      <c r="G2318" s="12" t="n">
        <v>1082</v>
      </c>
      <c r="H2318" s="11"/>
      <c r="I2318" s="12"/>
      <c r="J2318" s="14"/>
      <c r="K2318" s="14"/>
      <c r="L2318" s="14"/>
      <c r="M2318" s="13"/>
    </row>
    <row r="2319" customFormat="false" ht="15" hidden="false" customHeight="false" outlineLevel="0" collapsed="false">
      <c r="A2319" s="6" t="n">
        <v>2315</v>
      </c>
      <c r="B2319" s="8" t="s">
        <v>3563</v>
      </c>
      <c r="C2319" s="8" t="s">
        <v>481</v>
      </c>
      <c r="D2319" s="9"/>
      <c r="E2319" s="10"/>
      <c r="F2319" s="11" t="n">
        <v>0.00771377314814815</v>
      </c>
      <c r="G2319" s="12" t="n">
        <v>1083</v>
      </c>
      <c r="H2319" s="11"/>
      <c r="I2319" s="12"/>
      <c r="J2319" s="14"/>
      <c r="K2319" s="14"/>
      <c r="L2319" s="14"/>
      <c r="M2319" s="13"/>
    </row>
    <row r="2320" customFormat="false" ht="15" hidden="false" customHeight="false" outlineLevel="0" collapsed="false">
      <c r="A2320" s="6" t="n">
        <v>2316</v>
      </c>
      <c r="B2320" s="8" t="s">
        <v>3564</v>
      </c>
      <c r="C2320" s="8" t="s">
        <v>2188</v>
      </c>
      <c r="D2320" s="9"/>
      <c r="E2320" s="10"/>
      <c r="F2320" s="11"/>
      <c r="G2320" s="12"/>
      <c r="H2320" s="11" t="n">
        <v>0.00291898148148148</v>
      </c>
      <c r="I2320" s="12" t="n">
        <v>1084</v>
      </c>
      <c r="J2320" s="14"/>
      <c r="K2320" s="14"/>
      <c r="L2320" s="14"/>
      <c r="M2320" s="13"/>
    </row>
    <row r="2321" customFormat="false" ht="15" hidden="false" customHeight="false" outlineLevel="0" collapsed="false">
      <c r="A2321" s="6" t="n">
        <v>2317</v>
      </c>
      <c r="B2321" s="8" t="s">
        <v>3565</v>
      </c>
      <c r="C2321" s="8" t="s">
        <v>2166</v>
      </c>
      <c r="D2321" s="9"/>
      <c r="E2321" s="10"/>
      <c r="F2321" s="11" t="n">
        <v>0.0077193287037037</v>
      </c>
      <c r="G2321" s="12" t="n">
        <v>1085</v>
      </c>
      <c r="H2321" s="11" t="n">
        <v>0.00292418981481482</v>
      </c>
      <c r="I2321" s="12" t="n">
        <v>1139</v>
      </c>
      <c r="J2321" s="14"/>
      <c r="K2321" s="14"/>
      <c r="L2321" s="14"/>
      <c r="M2321" s="13"/>
    </row>
    <row r="2322" customFormat="false" ht="15" hidden="false" customHeight="false" outlineLevel="0" collapsed="false">
      <c r="A2322" s="6" t="n">
        <v>2318</v>
      </c>
      <c r="B2322" s="8" t="s">
        <v>3566</v>
      </c>
      <c r="C2322" s="8" t="s">
        <v>2875</v>
      </c>
      <c r="D2322" s="9"/>
      <c r="E2322" s="10"/>
      <c r="F2322" s="11" t="n">
        <v>0.00771944444444445</v>
      </c>
      <c r="G2322" s="12" t="n">
        <v>1086</v>
      </c>
      <c r="H2322" s="11"/>
      <c r="I2322" s="12"/>
      <c r="J2322" s="14"/>
      <c r="K2322" s="14"/>
      <c r="L2322" s="14"/>
      <c r="M2322" s="13"/>
    </row>
    <row r="2323" customFormat="false" ht="15" hidden="false" customHeight="false" outlineLevel="0" collapsed="false">
      <c r="A2323" s="6" t="n">
        <v>2319</v>
      </c>
      <c r="B2323" s="8" t="s">
        <v>3567</v>
      </c>
      <c r="C2323" s="8" t="s">
        <v>3568</v>
      </c>
      <c r="D2323" s="9"/>
      <c r="E2323" s="10"/>
      <c r="F2323" s="11"/>
      <c r="G2323" s="12"/>
      <c r="H2323" s="11" t="n">
        <v>0.0029193287037037</v>
      </c>
      <c r="I2323" s="12" t="n">
        <v>1086</v>
      </c>
      <c r="J2323" s="14"/>
      <c r="K2323" s="14"/>
      <c r="L2323" s="14"/>
      <c r="M2323" s="13"/>
    </row>
    <row r="2324" customFormat="false" ht="15" hidden="false" customHeight="false" outlineLevel="0" collapsed="false">
      <c r="A2324" s="6" t="n">
        <v>2320</v>
      </c>
      <c r="B2324" s="8" t="s">
        <v>3569</v>
      </c>
      <c r="C2324" s="8" t="s">
        <v>3570</v>
      </c>
      <c r="D2324" s="9"/>
      <c r="E2324" s="10"/>
      <c r="F2324" s="11" t="n">
        <v>0.00772106481481482</v>
      </c>
      <c r="G2324" s="12" t="n">
        <v>1087</v>
      </c>
      <c r="H2324" s="11"/>
      <c r="I2324" s="12"/>
      <c r="J2324" s="14"/>
      <c r="K2324" s="14"/>
      <c r="L2324" s="14"/>
      <c r="M2324" s="13"/>
    </row>
    <row r="2325" customFormat="false" ht="15" hidden="false" customHeight="false" outlineLevel="0" collapsed="false">
      <c r="A2325" s="6" t="n">
        <v>2321</v>
      </c>
      <c r="B2325" s="8" t="s">
        <v>3571</v>
      </c>
      <c r="C2325" s="8" t="s">
        <v>3140</v>
      </c>
      <c r="D2325" s="9"/>
      <c r="E2325" s="10"/>
      <c r="F2325" s="11"/>
      <c r="G2325" s="12"/>
      <c r="H2325" s="11" t="n">
        <v>0.0029193287037037</v>
      </c>
      <c r="I2325" s="12" t="n">
        <v>1087</v>
      </c>
      <c r="J2325" s="14"/>
      <c r="K2325" s="14"/>
      <c r="L2325" s="14"/>
      <c r="M2325" s="13"/>
    </row>
    <row r="2326" customFormat="false" ht="15" hidden="false" customHeight="false" outlineLevel="0" collapsed="false">
      <c r="A2326" s="6" t="n">
        <v>2322</v>
      </c>
      <c r="B2326" s="8" t="s">
        <v>3572</v>
      </c>
      <c r="C2326" s="8" t="s">
        <v>1313</v>
      </c>
      <c r="D2326" s="9"/>
      <c r="E2326" s="10"/>
      <c r="F2326" s="11" t="n">
        <v>0.00772233796296296</v>
      </c>
      <c r="G2326" s="12" t="n">
        <v>1088</v>
      </c>
      <c r="H2326" s="11"/>
      <c r="I2326" s="12"/>
      <c r="J2326" s="14"/>
      <c r="K2326" s="14"/>
      <c r="L2326" s="14"/>
      <c r="M2326" s="13"/>
    </row>
    <row r="2327" customFormat="false" ht="15" hidden="false" customHeight="false" outlineLevel="0" collapsed="false">
      <c r="A2327" s="6" t="n">
        <v>2323</v>
      </c>
      <c r="B2327" s="8" t="s">
        <v>3573</v>
      </c>
      <c r="C2327" s="8" t="s">
        <v>3574</v>
      </c>
      <c r="D2327" s="9"/>
      <c r="E2327" s="10"/>
      <c r="F2327" s="11" t="n">
        <v>0.00772291666666667</v>
      </c>
      <c r="G2327" s="12" t="n">
        <v>1089</v>
      </c>
      <c r="H2327" s="11"/>
      <c r="I2327" s="12"/>
      <c r="J2327" s="14"/>
      <c r="K2327" s="14"/>
      <c r="L2327" s="14"/>
      <c r="M2327" s="13"/>
    </row>
    <row r="2328" customFormat="false" ht="15" hidden="false" customHeight="false" outlineLevel="0" collapsed="false">
      <c r="A2328" s="6" t="n">
        <v>2324</v>
      </c>
      <c r="B2328" s="8" t="s">
        <v>3575</v>
      </c>
      <c r="C2328" s="8" t="s">
        <v>3576</v>
      </c>
      <c r="D2328" s="9"/>
      <c r="E2328" s="10"/>
      <c r="F2328" s="11"/>
      <c r="G2328" s="12"/>
      <c r="H2328" s="11" t="n">
        <v>0.00291944444444445</v>
      </c>
      <c r="I2328" s="12" t="n">
        <v>1089</v>
      </c>
      <c r="J2328" s="14"/>
      <c r="K2328" s="14"/>
      <c r="L2328" s="14"/>
      <c r="M2328" s="13"/>
    </row>
    <row r="2329" customFormat="false" ht="15" hidden="false" customHeight="false" outlineLevel="0" collapsed="false">
      <c r="A2329" s="6" t="n">
        <v>2325</v>
      </c>
      <c r="B2329" s="8" t="s">
        <v>3577</v>
      </c>
      <c r="C2329" s="8" t="s">
        <v>3578</v>
      </c>
      <c r="D2329" s="9"/>
      <c r="E2329" s="10"/>
      <c r="F2329" s="11" t="n">
        <v>0.00772534722222222</v>
      </c>
      <c r="G2329" s="12" t="n">
        <v>1090</v>
      </c>
      <c r="H2329" s="11"/>
      <c r="I2329" s="12"/>
      <c r="J2329" s="14"/>
      <c r="K2329" s="14"/>
      <c r="L2329" s="14"/>
      <c r="M2329" s="13"/>
    </row>
    <row r="2330" customFormat="false" ht="15" hidden="false" customHeight="false" outlineLevel="0" collapsed="false">
      <c r="A2330" s="6" t="n">
        <v>2326</v>
      </c>
      <c r="B2330" s="8" t="s">
        <v>3579</v>
      </c>
      <c r="C2330" s="8" t="s">
        <v>1949</v>
      </c>
      <c r="D2330" s="9"/>
      <c r="E2330" s="10"/>
      <c r="F2330" s="11" t="n">
        <v>0.00772569444444445</v>
      </c>
      <c r="G2330" s="12" t="n">
        <v>1092</v>
      </c>
      <c r="H2330" s="11"/>
      <c r="I2330" s="12"/>
      <c r="J2330" s="14"/>
      <c r="K2330" s="14"/>
      <c r="L2330" s="14"/>
      <c r="M2330" s="13"/>
    </row>
    <row r="2331" customFormat="false" ht="15" hidden="false" customHeight="false" outlineLevel="0" collapsed="false">
      <c r="A2331" s="6" t="n">
        <v>2327</v>
      </c>
      <c r="B2331" s="8" t="s">
        <v>3580</v>
      </c>
      <c r="C2331" s="8" t="s">
        <v>558</v>
      </c>
      <c r="D2331" s="9"/>
      <c r="E2331" s="10"/>
      <c r="F2331" s="11"/>
      <c r="G2331" s="12"/>
      <c r="H2331" s="11" t="n">
        <v>0.00291967592592593</v>
      </c>
      <c r="I2331" s="12" t="n">
        <v>1092</v>
      </c>
      <c r="J2331" s="14"/>
      <c r="K2331" s="14"/>
      <c r="L2331" s="14"/>
      <c r="M2331" s="13"/>
    </row>
    <row r="2332" customFormat="false" ht="15" hidden="false" customHeight="false" outlineLevel="0" collapsed="false">
      <c r="A2332" s="6" t="n">
        <v>2328</v>
      </c>
      <c r="B2332" s="8" t="s">
        <v>3581</v>
      </c>
      <c r="C2332" s="8" t="s">
        <v>3582</v>
      </c>
      <c r="D2332" s="9"/>
      <c r="E2332" s="10"/>
      <c r="F2332" s="11" t="n">
        <v>0.00772627314814815</v>
      </c>
      <c r="G2332" s="12" t="n">
        <v>1093</v>
      </c>
      <c r="H2332" s="11"/>
      <c r="I2332" s="12"/>
      <c r="J2332" s="14"/>
      <c r="K2332" s="14"/>
      <c r="L2332" s="14"/>
      <c r="M2332" s="13"/>
    </row>
    <row r="2333" customFormat="false" ht="15" hidden="false" customHeight="false" outlineLevel="0" collapsed="false">
      <c r="A2333" s="6" t="n">
        <v>2329</v>
      </c>
      <c r="B2333" s="8" t="s">
        <v>3583</v>
      </c>
      <c r="C2333" s="8" t="s">
        <v>3584</v>
      </c>
      <c r="D2333" s="9"/>
      <c r="E2333" s="10"/>
      <c r="F2333" s="11"/>
      <c r="G2333" s="12"/>
      <c r="H2333" s="11" t="n">
        <v>0.00291979166666667</v>
      </c>
      <c r="I2333" s="12" t="n">
        <v>1093</v>
      </c>
      <c r="J2333" s="14"/>
      <c r="K2333" s="14"/>
      <c r="L2333" s="14"/>
      <c r="M2333" s="13"/>
    </row>
    <row r="2334" customFormat="false" ht="15" hidden="false" customHeight="false" outlineLevel="0" collapsed="false">
      <c r="A2334" s="6" t="n">
        <v>2330</v>
      </c>
      <c r="B2334" s="8" t="s">
        <v>3585</v>
      </c>
      <c r="C2334" s="8" t="s">
        <v>3326</v>
      </c>
      <c r="D2334" s="9"/>
      <c r="E2334" s="10"/>
      <c r="F2334" s="11"/>
      <c r="G2334" s="12"/>
      <c r="H2334" s="11" t="n">
        <v>0.00291990740740741</v>
      </c>
      <c r="I2334" s="12" t="n">
        <v>1094</v>
      </c>
      <c r="J2334" s="14"/>
      <c r="K2334" s="14"/>
      <c r="L2334" s="14"/>
      <c r="M2334" s="13"/>
    </row>
    <row r="2335" customFormat="false" ht="15" hidden="false" customHeight="false" outlineLevel="0" collapsed="false">
      <c r="A2335" s="6" t="n">
        <v>2331</v>
      </c>
      <c r="B2335" s="8" t="s">
        <v>3586</v>
      </c>
      <c r="C2335" s="8" t="s">
        <v>3587</v>
      </c>
      <c r="D2335" s="9"/>
      <c r="E2335" s="10"/>
      <c r="F2335" s="11" t="n">
        <v>0.0077275462962963</v>
      </c>
      <c r="G2335" s="12" t="n">
        <v>1095</v>
      </c>
      <c r="H2335" s="11"/>
      <c r="I2335" s="12"/>
      <c r="J2335" s="14"/>
      <c r="K2335" s="14"/>
      <c r="L2335" s="14"/>
      <c r="M2335" s="13"/>
    </row>
    <row r="2336" customFormat="false" ht="15" hidden="false" customHeight="false" outlineLevel="0" collapsed="false">
      <c r="A2336" s="6" t="n">
        <v>2332</v>
      </c>
      <c r="B2336" s="8" t="s">
        <v>3588</v>
      </c>
      <c r="C2336" s="8" t="s">
        <v>2377</v>
      </c>
      <c r="D2336" s="9"/>
      <c r="E2336" s="10"/>
      <c r="F2336" s="11" t="n">
        <v>0.00772939814814815</v>
      </c>
      <c r="G2336" s="12" t="n">
        <v>1096</v>
      </c>
      <c r="H2336" s="11"/>
      <c r="I2336" s="12"/>
      <c r="J2336" s="14"/>
      <c r="K2336" s="14"/>
      <c r="L2336" s="14"/>
      <c r="M2336" s="13"/>
    </row>
    <row r="2337" customFormat="false" ht="15" hidden="false" customHeight="false" outlineLevel="0" collapsed="false">
      <c r="A2337" s="6" t="n">
        <v>2333</v>
      </c>
      <c r="B2337" s="8" t="s">
        <v>3589</v>
      </c>
      <c r="C2337" s="8" t="s">
        <v>3590</v>
      </c>
      <c r="D2337" s="9"/>
      <c r="E2337" s="10"/>
      <c r="F2337" s="11"/>
      <c r="G2337" s="12"/>
      <c r="H2337" s="11" t="n">
        <v>0.00292002314814815</v>
      </c>
      <c r="I2337" s="12" t="n">
        <v>1096</v>
      </c>
      <c r="J2337" s="14"/>
      <c r="K2337" s="14"/>
      <c r="L2337" s="14"/>
      <c r="M2337" s="13"/>
    </row>
    <row r="2338" customFormat="false" ht="15" hidden="false" customHeight="false" outlineLevel="0" collapsed="false">
      <c r="A2338" s="6" t="n">
        <v>2334</v>
      </c>
      <c r="B2338" s="8" t="s">
        <v>3591</v>
      </c>
      <c r="C2338" s="8" t="s">
        <v>3592</v>
      </c>
      <c r="D2338" s="9"/>
      <c r="E2338" s="10"/>
      <c r="F2338" s="11" t="n">
        <v>0.00773078703703704</v>
      </c>
      <c r="G2338" s="12" t="n">
        <v>1097</v>
      </c>
      <c r="H2338" s="11"/>
      <c r="I2338" s="12"/>
      <c r="J2338" s="14"/>
      <c r="K2338" s="14"/>
      <c r="L2338" s="14"/>
      <c r="M2338" s="13"/>
    </row>
    <row r="2339" customFormat="false" ht="15" hidden="false" customHeight="false" outlineLevel="0" collapsed="false">
      <c r="A2339" s="6" t="n">
        <v>2335</v>
      </c>
      <c r="B2339" s="8" t="s">
        <v>3593</v>
      </c>
      <c r="C2339" s="8" t="s">
        <v>1738</v>
      </c>
      <c r="D2339" s="9"/>
      <c r="E2339" s="10"/>
      <c r="F2339" s="11"/>
      <c r="G2339" s="12"/>
      <c r="H2339" s="11" t="n">
        <v>0.00292002314814815</v>
      </c>
      <c r="I2339" s="12" t="n">
        <v>1097</v>
      </c>
      <c r="J2339" s="14"/>
      <c r="K2339" s="14"/>
      <c r="L2339" s="14"/>
      <c r="M2339" s="13"/>
    </row>
    <row r="2340" customFormat="false" ht="15" hidden="false" customHeight="false" outlineLevel="0" collapsed="false">
      <c r="A2340" s="6" t="n">
        <v>2336</v>
      </c>
      <c r="B2340" s="8" t="s">
        <v>3594</v>
      </c>
      <c r="C2340" s="8" t="s">
        <v>3595</v>
      </c>
      <c r="D2340" s="9"/>
      <c r="E2340" s="10"/>
      <c r="F2340" s="11" t="n">
        <v>0.00773078703703704</v>
      </c>
      <c r="G2340" s="12" t="n">
        <v>1098</v>
      </c>
      <c r="H2340" s="11"/>
      <c r="I2340" s="12"/>
      <c r="J2340" s="14"/>
      <c r="K2340" s="14"/>
      <c r="L2340" s="14"/>
      <c r="M2340" s="13"/>
    </row>
    <row r="2341" customFormat="false" ht="15" hidden="false" customHeight="false" outlineLevel="0" collapsed="false">
      <c r="A2341" s="6" t="n">
        <v>2337</v>
      </c>
      <c r="B2341" s="8" t="s">
        <v>3596</v>
      </c>
      <c r="C2341" s="8" t="s">
        <v>2180</v>
      </c>
      <c r="D2341" s="9"/>
      <c r="E2341" s="10"/>
      <c r="F2341" s="11" t="n">
        <v>0.00773078703703704</v>
      </c>
      <c r="G2341" s="12" t="n">
        <v>1099</v>
      </c>
      <c r="H2341" s="11"/>
      <c r="I2341" s="12"/>
      <c r="J2341" s="14"/>
      <c r="K2341" s="14"/>
      <c r="L2341" s="14"/>
      <c r="M2341" s="13"/>
    </row>
    <row r="2342" customFormat="false" ht="15" hidden="false" customHeight="false" outlineLevel="0" collapsed="false">
      <c r="A2342" s="6" t="n">
        <v>2338</v>
      </c>
      <c r="B2342" s="8" t="s">
        <v>3597</v>
      </c>
      <c r="C2342" s="8" t="s">
        <v>2611</v>
      </c>
      <c r="D2342" s="9"/>
      <c r="E2342" s="10"/>
      <c r="F2342" s="11"/>
      <c r="G2342" s="12"/>
      <c r="H2342" s="11" t="n">
        <v>0.00292025462962963</v>
      </c>
      <c r="I2342" s="12" t="n">
        <v>1099</v>
      </c>
      <c r="J2342" s="14"/>
      <c r="K2342" s="14"/>
      <c r="L2342" s="14"/>
      <c r="M2342" s="13"/>
    </row>
    <row r="2343" customFormat="false" ht="15" hidden="false" customHeight="false" outlineLevel="0" collapsed="false">
      <c r="A2343" s="6" t="n">
        <v>2339</v>
      </c>
      <c r="B2343" s="8" t="s">
        <v>3598</v>
      </c>
      <c r="C2343" s="8" t="s">
        <v>2913</v>
      </c>
      <c r="D2343" s="9"/>
      <c r="E2343" s="10"/>
      <c r="F2343" s="11" t="n">
        <v>0.0077318287037037</v>
      </c>
      <c r="G2343" s="12" t="n">
        <v>1100</v>
      </c>
      <c r="H2343" s="11"/>
      <c r="I2343" s="12"/>
      <c r="J2343" s="14"/>
      <c r="K2343" s="14"/>
      <c r="L2343" s="14"/>
      <c r="M2343" s="13"/>
    </row>
    <row r="2344" customFormat="false" ht="15" hidden="false" customHeight="false" outlineLevel="0" collapsed="false">
      <c r="A2344" s="6" t="n">
        <v>2340</v>
      </c>
      <c r="B2344" s="8" t="s">
        <v>3599</v>
      </c>
      <c r="C2344" s="8" t="s">
        <v>1963</v>
      </c>
      <c r="D2344" s="9"/>
      <c r="E2344" s="10"/>
      <c r="F2344" s="11" t="n">
        <v>0.00773206018518519</v>
      </c>
      <c r="G2344" s="12" t="n">
        <v>1101</v>
      </c>
      <c r="H2344" s="11"/>
      <c r="I2344" s="12"/>
      <c r="J2344" s="14"/>
      <c r="K2344" s="14"/>
      <c r="L2344" s="14"/>
      <c r="M2344" s="13"/>
    </row>
    <row r="2345" customFormat="false" ht="15" hidden="false" customHeight="false" outlineLevel="0" collapsed="false">
      <c r="A2345" s="6" t="n">
        <v>2341</v>
      </c>
      <c r="B2345" s="8" t="s">
        <v>3600</v>
      </c>
      <c r="C2345" s="8" t="s">
        <v>1503</v>
      </c>
      <c r="D2345" s="9"/>
      <c r="E2345" s="10"/>
      <c r="F2345" s="11"/>
      <c r="G2345" s="12"/>
      <c r="H2345" s="11" t="n">
        <v>0.00292025462962963</v>
      </c>
      <c r="I2345" s="12" t="n">
        <v>1101</v>
      </c>
      <c r="J2345" s="14"/>
      <c r="K2345" s="14"/>
      <c r="L2345" s="14"/>
      <c r="M2345" s="13"/>
    </row>
    <row r="2346" customFormat="false" ht="15" hidden="false" customHeight="false" outlineLevel="0" collapsed="false">
      <c r="A2346" s="6" t="n">
        <v>2342</v>
      </c>
      <c r="B2346" s="8" t="s">
        <v>3601</v>
      </c>
      <c r="C2346" s="8" t="s">
        <v>3602</v>
      </c>
      <c r="D2346" s="9"/>
      <c r="E2346" s="10"/>
      <c r="F2346" s="11" t="n">
        <v>0.00773298611111111</v>
      </c>
      <c r="G2346" s="12" t="n">
        <v>1102</v>
      </c>
      <c r="H2346" s="11"/>
      <c r="I2346" s="12"/>
      <c r="J2346" s="14"/>
      <c r="K2346" s="14"/>
      <c r="L2346" s="14"/>
      <c r="M2346" s="13"/>
    </row>
    <row r="2347" customFormat="false" ht="15" hidden="false" customHeight="false" outlineLevel="0" collapsed="false">
      <c r="A2347" s="6" t="n">
        <v>2343</v>
      </c>
      <c r="B2347" s="8" t="s">
        <v>3603</v>
      </c>
      <c r="C2347" s="8" t="s">
        <v>2299</v>
      </c>
      <c r="D2347" s="9"/>
      <c r="E2347" s="10"/>
      <c r="F2347" s="11" t="n">
        <v>0.00773622685185185</v>
      </c>
      <c r="G2347" s="12" t="n">
        <v>1103</v>
      </c>
      <c r="H2347" s="11"/>
      <c r="I2347" s="12"/>
      <c r="J2347" s="14"/>
      <c r="K2347" s="14"/>
      <c r="L2347" s="14"/>
      <c r="M2347" s="13"/>
    </row>
    <row r="2348" customFormat="false" ht="15" hidden="false" customHeight="false" outlineLevel="0" collapsed="false">
      <c r="A2348" s="6" t="n">
        <v>2344</v>
      </c>
      <c r="B2348" s="8" t="s">
        <v>3604</v>
      </c>
      <c r="C2348" s="8" t="s">
        <v>2042</v>
      </c>
      <c r="D2348" s="9"/>
      <c r="E2348" s="10"/>
      <c r="F2348" s="11"/>
      <c r="G2348" s="12"/>
      <c r="H2348" s="11" t="n">
        <v>0.00292025462962963</v>
      </c>
      <c r="I2348" s="12" t="n">
        <v>1103</v>
      </c>
      <c r="J2348" s="14"/>
      <c r="K2348" s="14"/>
      <c r="L2348" s="14"/>
      <c r="M2348" s="13"/>
    </row>
    <row r="2349" customFormat="false" ht="15" hidden="false" customHeight="false" outlineLevel="0" collapsed="false">
      <c r="A2349" s="6" t="n">
        <v>2345</v>
      </c>
      <c r="B2349" s="8" t="s">
        <v>3605</v>
      </c>
      <c r="C2349" s="8" t="s">
        <v>3606</v>
      </c>
      <c r="D2349" s="9"/>
      <c r="E2349" s="10"/>
      <c r="F2349" s="11" t="n">
        <v>0.00773912037037037</v>
      </c>
      <c r="G2349" s="12" t="n">
        <v>1104</v>
      </c>
      <c r="H2349" s="11"/>
      <c r="I2349" s="12"/>
      <c r="J2349" s="14"/>
      <c r="K2349" s="14"/>
      <c r="L2349" s="14"/>
      <c r="M2349" s="13"/>
    </row>
    <row r="2350" customFormat="false" ht="15" hidden="false" customHeight="false" outlineLevel="0" collapsed="false">
      <c r="A2350" s="6" t="n">
        <v>2346</v>
      </c>
      <c r="B2350" s="8" t="s">
        <v>3607</v>
      </c>
      <c r="C2350" s="8" t="s">
        <v>3073</v>
      </c>
      <c r="D2350" s="9"/>
      <c r="E2350" s="10"/>
      <c r="F2350" s="11"/>
      <c r="G2350" s="12"/>
      <c r="H2350" s="11" t="n">
        <v>0.00292037037037037</v>
      </c>
      <c r="I2350" s="12" t="n">
        <v>1104</v>
      </c>
      <c r="J2350" s="14"/>
      <c r="K2350" s="14"/>
      <c r="L2350" s="14"/>
      <c r="M2350" s="13"/>
    </row>
    <row r="2351" customFormat="false" ht="15" hidden="false" customHeight="false" outlineLevel="0" collapsed="false">
      <c r="A2351" s="6" t="n">
        <v>2347</v>
      </c>
      <c r="B2351" s="8" t="s">
        <v>3608</v>
      </c>
      <c r="C2351" s="8" t="s">
        <v>2124</v>
      </c>
      <c r="D2351" s="9"/>
      <c r="E2351" s="10"/>
      <c r="F2351" s="11" t="n">
        <v>0.00774155092592593</v>
      </c>
      <c r="G2351" s="12" t="n">
        <v>1105</v>
      </c>
      <c r="H2351" s="11"/>
      <c r="I2351" s="12"/>
      <c r="J2351" s="14"/>
      <c r="K2351" s="14"/>
      <c r="L2351" s="14"/>
      <c r="M2351" s="13"/>
    </row>
    <row r="2352" customFormat="false" ht="15" hidden="false" customHeight="false" outlineLevel="0" collapsed="false">
      <c r="A2352" s="6" t="n">
        <v>2348</v>
      </c>
      <c r="B2352" s="8" t="s">
        <v>3609</v>
      </c>
      <c r="C2352" s="8" t="s">
        <v>1056</v>
      </c>
      <c r="D2352" s="9"/>
      <c r="E2352" s="10"/>
      <c r="F2352" s="11" t="n">
        <v>0.00774282407407408</v>
      </c>
      <c r="G2352" s="12" t="n">
        <v>1106</v>
      </c>
      <c r="H2352" s="11"/>
      <c r="I2352" s="12"/>
      <c r="J2352" s="14"/>
      <c r="K2352" s="14"/>
      <c r="L2352" s="14"/>
      <c r="M2352" s="13"/>
    </row>
    <row r="2353" customFormat="false" ht="15" hidden="false" customHeight="false" outlineLevel="0" collapsed="false">
      <c r="A2353" s="6" t="n">
        <v>2349</v>
      </c>
      <c r="B2353" s="8" t="s">
        <v>3610</v>
      </c>
      <c r="C2353" s="8" t="s">
        <v>3611</v>
      </c>
      <c r="D2353" s="9"/>
      <c r="E2353" s="10"/>
      <c r="F2353" s="11" t="n">
        <v>0.00774375</v>
      </c>
      <c r="G2353" s="12" t="n">
        <v>1107</v>
      </c>
      <c r="H2353" s="11"/>
      <c r="I2353" s="12"/>
      <c r="J2353" s="14"/>
      <c r="K2353" s="14"/>
      <c r="L2353" s="14"/>
      <c r="M2353" s="13"/>
    </row>
    <row r="2354" customFormat="false" ht="15" hidden="false" customHeight="false" outlineLevel="0" collapsed="false">
      <c r="A2354" s="6" t="n">
        <v>2350</v>
      </c>
      <c r="B2354" s="8" t="s">
        <v>3612</v>
      </c>
      <c r="C2354" s="8" t="s">
        <v>3613</v>
      </c>
      <c r="D2354" s="9"/>
      <c r="E2354" s="10"/>
      <c r="F2354" s="11" t="n">
        <v>0.00774398148148148</v>
      </c>
      <c r="G2354" s="12" t="n">
        <v>1108</v>
      </c>
      <c r="H2354" s="11"/>
      <c r="I2354" s="12"/>
      <c r="J2354" s="14"/>
      <c r="K2354" s="14"/>
      <c r="L2354" s="14"/>
      <c r="M2354" s="13"/>
    </row>
    <row r="2355" customFormat="false" ht="15" hidden="false" customHeight="false" outlineLevel="0" collapsed="false">
      <c r="A2355" s="6" t="n">
        <v>2351</v>
      </c>
      <c r="B2355" s="8" t="s">
        <v>3614</v>
      </c>
      <c r="C2355" s="8" t="s">
        <v>3615</v>
      </c>
      <c r="D2355" s="9"/>
      <c r="E2355" s="10"/>
      <c r="F2355" s="11"/>
      <c r="G2355" s="12"/>
      <c r="H2355" s="11" t="n">
        <v>0.00292106481481482</v>
      </c>
      <c r="I2355" s="12" t="n">
        <v>1108</v>
      </c>
      <c r="J2355" s="14"/>
      <c r="K2355" s="14"/>
      <c r="L2355" s="14"/>
      <c r="M2355" s="13"/>
    </row>
    <row r="2356" customFormat="false" ht="15" hidden="false" customHeight="false" outlineLevel="0" collapsed="false">
      <c r="A2356" s="6" t="n">
        <v>2352</v>
      </c>
      <c r="B2356" s="8" t="s">
        <v>3616</v>
      </c>
      <c r="C2356" s="8" t="s">
        <v>281</v>
      </c>
      <c r="D2356" s="9"/>
      <c r="E2356" s="10"/>
      <c r="F2356" s="11" t="n">
        <v>0.00774525462962963</v>
      </c>
      <c r="G2356" s="12" t="n">
        <v>1109</v>
      </c>
      <c r="H2356" s="11"/>
      <c r="I2356" s="12"/>
      <c r="J2356" s="14"/>
      <c r="K2356" s="14"/>
      <c r="L2356" s="14"/>
      <c r="M2356" s="13"/>
    </row>
    <row r="2357" customFormat="false" ht="15" hidden="false" customHeight="false" outlineLevel="0" collapsed="false">
      <c r="A2357" s="6" t="n">
        <v>2353</v>
      </c>
      <c r="B2357" s="8" t="s">
        <v>3617</v>
      </c>
      <c r="C2357" s="8" t="s">
        <v>3618</v>
      </c>
      <c r="D2357" s="9"/>
      <c r="E2357" s="10"/>
      <c r="F2357" s="11"/>
      <c r="G2357" s="12"/>
      <c r="H2357" s="11" t="n">
        <v>0.00292118055555556</v>
      </c>
      <c r="I2357" s="12" t="n">
        <v>1109</v>
      </c>
      <c r="J2357" s="14"/>
      <c r="K2357" s="14"/>
      <c r="L2357" s="14"/>
      <c r="M2357" s="13"/>
    </row>
    <row r="2358" customFormat="false" ht="15" hidden="false" customHeight="false" outlineLevel="0" collapsed="false">
      <c r="A2358" s="6" t="n">
        <v>2354</v>
      </c>
      <c r="B2358" s="8" t="s">
        <v>3619</v>
      </c>
      <c r="C2358" s="8" t="s">
        <v>1821</v>
      </c>
      <c r="D2358" s="9"/>
      <c r="E2358" s="10"/>
      <c r="F2358" s="11" t="n">
        <v>0.00774525462962963</v>
      </c>
      <c r="G2358" s="12" t="n">
        <v>1110</v>
      </c>
      <c r="H2358" s="11"/>
      <c r="I2358" s="12"/>
      <c r="J2358" s="14"/>
      <c r="K2358" s="14"/>
      <c r="L2358" s="14"/>
      <c r="M2358" s="13"/>
    </row>
    <row r="2359" customFormat="false" ht="15" hidden="false" customHeight="false" outlineLevel="0" collapsed="false">
      <c r="A2359" s="6" t="n">
        <v>2355</v>
      </c>
      <c r="B2359" s="8" t="s">
        <v>3620</v>
      </c>
      <c r="C2359" s="8" t="s">
        <v>3032</v>
      </c>
      <c r="D2359" s="9"/>
      <c r="E2359" s="10"/>
      <c r="F2359" s="11"/>
      <c r="G2359" s="12"/>
      <c r="H2359" s="11" t="n">
        <v>0.00292141203703704</v>
      </c>
      <c r="I2359" s="12" t="n">
        <v>1110</v>
      </c>
      <c r="J2359" s="14" t="s">
        <v>3621</v>
      </c>
      <c r="K2359" s="14"/>
      <c r="L2359" s="14"/>
      <c r="M2359" s="13"/>
    </row>
    <row r="2360" customFormat="false" ht="15" hidden="false" customHeight="false" outlineLevel="0" collapsed="false">
      <c r="A2360" s="6" t="n">
        <v>2356</v>
      </c>
      <c r="B2360" s="8" t="s">
        <v>3622</v>
      </c>
      <c r="C2360" s="8" t="s">
        <v>154</v>
      </c>
      <c r="D2360" s="9"/>
      <c r="E2360" s="10"/>
      <c r="F2360" s="11" t="n">
        <v>0.00774652777777778</v>
      </c>
      <c r="G2360" s="12" t="n">
        <v>1111</v>
      </c>
      <c r="H2360" s="11"/>
      <c r="I2360" s="12"/>
      <c r="J2360" s="14"/>
      <c r="K2360" s="14"/>
      <c r="L2360" s="14"/>
      <c r="M2360" s="13"/>
    </row>
    <row r="2361" customFormat="false" ht="15" hidden="false" customHeight="false" outlineLevel="0" collapsed="false">
      <c r="A2361" s="6" t="n">
        <v>2357</v>
      </c>
      <c r="B2361" s="8" t="s">
        <v>3623</v>
      </c>
      <c r="C2361" s="8" t="s">
        <v>688</v>
      </c>
      <c r="D2361" s="9"/>
      <c r="E2361" s="10"/>
      <c r="F2361" s="11" t="n">
        <v>0.00774930555555556</v>
      </c>
      <c r="G2361" s="12" t="n">
        <v>1112</v>
      </c>
      <c r="H2361" s="11"/>
      <c r="I2361" s="12"/>
      <c r="J2361" s="14"/>
      <c r="K2361" s="14"/>
      <c r="L2361" s="14"/>
      <c r="M2361" s="13"/>
    </row>
    <row r="2362" customFormat="false" ht="15" hidden="false" customHeight="false" outlineLevel="0" collapsed="false">
      <c r="A2362" s="6" t="n">
        <v>2358</v>
      </c>
      <c r="B2362" s="8" t="s">
        <v>3624</v>
      </c>
      <c r="C2362" s="8" t="s">
        <v>87</v>
      </c>
      <c r="D2362" s="9"/>
      <c r="E2362" s="10"/>
      <c r="F2362" s="11" t="n">
        <v>0.00775173611111111</v>
      </c>
      <c r="G2362" s="12" t="n">
        <v>1113</v>
      </c>
      <c r="H2362" s="11"/>
      <c r="I2362" s="12"/>
      <c r="J2362" s="14"/>
      <c r="K2362" s="14"/>
      <c r="L2362" s="14"/>
      <c r="M2362" s="13"/>
    </row>
    <row r="2363" customFormat="false" ht="15" hidden="false" customHeight="false" outlineLevel="0" collapsed="false">
      <c r="A2363" s="6" t="n">
        <v>2359</v>
      </c>
      <c r="B2363" s="8" t="s">
        <v>3625</v>
      </c>
      <c r="C2363" s="8" t="s">
        <v>2310</v>
      </c>
      <c r="D2363" s="9"/>
      <c r="E2363" s="10"/>
      <c r="F2363" s="11" t="n">
        <v>0.00775231481481481</v>
      </c>
      <c r="G2363" s="12" t="n">
        <v>1114</v>
      </c>
      <c r="H2363" s="11"/>
      <c r="I2363" s="12"/>
      <c r="J2363" s="14" t="s">
        <v>3626</v>
      </c>
      <c r="K2363" s="14"/>
      <c r="L2363" s="14"/>
      <c r="M2363" s="13"/>
    </row>
    <row r="2364" customFormat="false" ht="15" hidden="false" customHeight="false" outlineLevel="0" collapsed="false">
      <c r="A2364" s="6" t="n">
        <v>2360</v>
      </c>
      <c r="B2364" s="8" t="s">
        <v>3627</v>
      </c>
      <c r="C2364" s="8" t="s">
        <v>3628</v>
      </c>
      <c r="D2364" s="9"/>
      <c r="E2364" s="10"/>
      <c r="F2364" s="11" t="n">
        <v>0.00775266203703704</v>
      </c>
      <c r="G2364" s="12" t="n">
        <v>1115</v>
      </c>
      <c r="H2364" s="11"/>
      <c r="I2364" s="12"/>
      <c r="J2364" s="14"/>
      <c r="K2364" s="14"/>
      <c r="L2364" s="14"/>
      <c r="M2364" s="13"/>
    </row>
    <row r="2365" customFormat="false" ht="15" hidden="false" customHeight="false" outlineLevel="0" collapsed="false">
      <c r="A2365" s="6" t="n">
        <v>2361</v>
      </c>
      <c r="B2365" s="8" t="s">
        <v>3629</v>
      </c>
      <c r="C2365" s="8" t="s">
        <v>2712</v>
      </c>
      <c r="D2365" s="9"/>
      <c r="E2365" s="10"/>
      <c r="F2365" s="11" t="n">
        <v>0.00775324074074074</v>
      </c>
      <c r="G2365" s="12" t="n">
        <v>1116</v>
      </c>
      <c r="H2365" s="11"/>
      <c r="I2365" s="12"/>
      <c r="J2365" s="14"/>
      <c r="K2365" s="14"/>
      <c r="L2365" s="14"/>
      <c r="M2365" s="13"/>
    </row>
    <row r="2366" customFormat="false" ht="15" hidden="false" customHeight="false" outlineLevel="0" collapsed="false">
      <c r="A2366" s="6" t="n">
        <v>2362</v>
      </c>
      <c r="B2366" s="8" t="s">
        <v>3630</v>
      </c>
      <c r="C2366" s="8" t="s">
        <v>479</v>
      </c>
      <c r="D2366" s="9"/>
      <c r="E2366" s="10"/>
      <c r="F2366" s="11" t="n">
        <v>0.00775659722222222</v>
      </c>
      <c r="G2366" s="12" t="n">
        <v>1117</v>
      </c>
      <c r="H2366" s="11"/>
      <c r="I2366" s="12"/>
      <c r="J2366" s="14"/>
      <c r="K2366" s="14"/>
      <c r="L2366" s="14"/>
      <c r="M2366" s="13"/>
    </row>
    <row r="2367" customFormat="false" ht="15" hidden="false" customHeight="false" outlineLevel="0" collapsed="false">
      <c r="A2367" s="6" t="n">
        <v>2363</v>
      </c>
      <c r="B2367" s="8" t="s">
        <v>3631</v>
      </c>
      <c r="C2367" s="8" t="s">
        <v>290</v>
      </c>
      <c r="D2367" s="9"/>
      <c r="E2367" s="10"/>
      <c r="F2367" s="11"/>
      <c r="G2367" s="12"/>
      <c r="H2367" s="11" t="n">
        <v>0.00292233796296296</v>
      </c>
      <c r="I2367" s="12" t="n">
        <v>1117</v>
      </c>
      <c r="J2367" s="14"/>
      <c r="K2367" s="14"/>
      <c r="L2367" s="14"/>
      <c r="M2367" s="13"/>
    </row>
    <row r="2368" customFormat="false" ht="15" hidden="false" customHeight="false" outlineLevel="0" collapsed="false">
      <c r="A2368" s="6" t="n">
        <v>2364</v>
      </c>
      <c r="B2368" s="8" t="s">
        <v>3632</v>
      </c>
      <c r="C2368" s="8" t="s">
        <v>341</v>
      </c>
      <c r="D2368" s="9"/>
      <c r="E2368" s="10"/>
      <c r="F2368" s="11" t="n">
        <v>0.00775763888888889</v>
      </c>
      <c r="G2368" s="12" t="n">
        <v>1118</v>
      </c>
      <c r="H2368" s="11"/>
      <c r="I2368" s="12"/>
      <c r="J2368" s="14"/>
      <c r="K2368" s="14"/>
      <c r="L2368" s="14"/>
      <c r="M2368" s="13"/>
    </row>
    <row r="2369" customFormat="false" ht="15" hidden="false" customHeight="false" outlineLevel="0" collapsed="false">
      <c r="A2369" s="6" t="n">
        <v>2365</v>
      </c>
      <c r="B2369" s="8" t="s">
        <v>3633</v>
      </c>
      <c r="C2369" s="8" t="s">
        <v>3634</v>
      </c>
      <c r="D2369" s="9"/>
      <c r="E2369" s="10"/>
      <c r="F2369" s="11"/>
      <c r="G2369" s="12"/>
      <c r="H2369" s="11" t="n">
        <v>0.00292233796296296</v>
      </c>
      <c r="I2369" s="12" t="n">
        <v>1118</v>
      </c>
      <c r="J2369" s="14"/>
      <c r="K2369" s="14"/>
      <c r="L2369" s="14"/>
      <c r="M2369" s="13"/>
    </row>
    <row r="2370" customFormat="false" ht="15" hidden="false" customHeight="false" outlineLevel="0" collapsed="false">
      <c r="A2370" s="6" t="n">
        <v>2366</v>
      </c>
      <c r="B2370" s="8" t="s">
        <v>3635</v>
      </c>
      <c r="C2370" s="8" t="s">
        <v>3636</v>
      </c>
      <c r="D2370" s="9"/>
      <c r="E2370" s="10"/>
      <c r="F2370" s="11" t="n">
        <v>0.00775833333333333</v>
      </c>
      <c r="G2370" s="12" t="n">
        <v>1119</v>
      </c>
      <c r="H2370" s="11"/>
      <c r="I2370" s="12"/>
      <c r="J2370" s="14"/>
      <c r="K2370" s="14"/>
      <c r="L2370" s="14"/>
      <c r="M2370" s="13"/>
    </row>
    <row r="2371" customFormat="false" ht="15" hidden="false" customHeight="false" outlineLevel="0" collapsed="false">
      <c r="A2371" s="6" t="n">
        <v>2367</v>
      </c>
      <c r="B2371" s="8" t="s">
        <v>3637</v>
      </c>
      <c r="C2371" s="8" t="s">
        <v>3638</v>
      </c>
      <c r="D2371" s="9"/>
      <c r="E2371" s="10"/>
      <c r="F2371" s="11" t="n">
        <v>0.00776018518518519</v>
      </c>
      <c r="G2371" s="12" t="n">
        <v>1120</v>
      </c>
      <c r="H2371" s="11"/>
      <c r="I2371" s="12"/>
      <c r="J2371" s="14"/>
      <c r="K2371" s="14"/>
      <c r="L2371" s="14"/>
      <c r="M2371" s="13"/>
    </row>
    <row r="2372" customFormat="false" ht="15" hidden="false" customHeight="false" outlineLevel="0" collapsed="false">
      <c r="A2372" s="6" t="n">
        <v>2368</v>
      </c>
      <c r="B2372" s="8" t="s">
        <v>3639</v>
      </c>
      <c r="C2372" s="8" t="s">
        <v>3640</v>
      </c>
      <c r="D2372" s="9"/>
      <c r="E2372" s="10"/>
      <c r="F2372" s="11"/>
      <c r="G2372" s="12"/>
      <c r="H2372" s="11" t="n">
        <v>0.00292256944444444</v>
      </c>
      <c r="I2372" s="12" t="n">
        <v>1120</v>
      </c>
      <c r="J2372" s="14"/>
      <c r="K2372" s="14"/>
      <c r="L2372" s="14"/>
      <c r="M2372" s="13"/>
    </row>
    <row r="2373" customFormat="false" ht="15" hidden="false" customHeight="false" outlineLevel="0" collapsed="false">
      <c r="A2373" s="6" t="n">
        <v>2369</v>
      </c>
      <c r="B2373" s="8" t="s">
        <v>3641</v>
      </c>
      <c r="C2373" s="8" t="s">
        <v>3642</v>
      </c>
      <c r="D2373" s="9"/>
      <c r="E2373" s="10"/>
      <c r="F2373" s="11" t="n">
        <v>0.00776076388888889</v>
      </c>
      <c r="G2373" s="12" t="n">
        <v>1121</v>
      </c>
      <c r="H2373" s="11"/>
      <c r="I2373" s="12"/>
      <c r="J2373" s="14"/>
      <c r="K2373" s="14"/>
      <c r="L2373" s="14"/>
      <c r="M2373" s="13"/>
    </row>
    <row r="2374" customFormat="false" ht="15" hidden="false" customHeight="false" outlineLevel="0" collapsed="false">
      <c r="A2374" s="6" t="n">
        <v>2370</v>
      </c>
      <c r="B2374" s="8" t="s">
        <v>3643</v>
      </c>
      <c r="C2374" s="8" t="s">
        <v>3644</v>
      </c>
      <c r="D2374" s="9"/>
      <c r="E2374" s="10"/>
      <c r="F2374" s="11"/>
      <c r="G2374" s="12"/>
      <c r="H2374" s="11" t="n">
        <v>0.00292256944444444</v>
      </c>
      <c r="I2374" s="12" t="n">
        <v>1121</v>
      </c>
      <c r="J2374" s="14"/>
      <c r="K2374" s="14"/>
      <c r="L2374" s="14"/>
      <c r="M2374" s="13"/>
    </row>
    <row r="2375" customFormat="false" ht="15" hidden="false" customHeight="false" outlineLevel="0" collapsed="false">
      <c r="A2375" s="6" t="n">
        <v>2371</v>
      </c>
      <c r="B2375" s="8" t="s">
        <v>3645</v>
      </c>
      <c r="C2375" s="8" t="s">
        <v>2718</v>
      </c>
      <c r="D2375" s="9"/>
      <c r="E2375" s="10"/>
      <c r="F2375" s="11" t="n">
        <v>0.00776111111111111</v>
      </c>
      <c r="G2375" s="12" t="n">
        <v>1122</v>
      </c>
      <c r="H2375" s="11"/>
      <c r="I2375" s="12"/>
      <c r="J2375" s="14"/>
      <c r="K2375" s="14"/>
      <c r="L2375" s="14"/>
      <c r="M2375" s="13"/>
    </row>
    <row r="2376" customFormat="false" ht="15" hidden="false" customHeight="false" outlineLevel="0" collapsed="false">
      <c r="A2376" s="6" t="n">
        <v>2372</v>
      </c>
      <c r="B2376" s="8" t="s">
        <v>3646</v>
      </c>
      <c r="C2376" s="8" t="s">
        <v>3647</v>
      </c>
      <c r="D2376" s="9"/>
      <c r="E2376" s="10"/>
      <c r="F2376" s="11"/>
      <c r="G2376" s="12"/>
      <c r="H2376" s="11" t="n">
        <v>0.00292256944444444</v>
      </c>
      <c r="I2376" s="12" t="n">
        <v>1122</v>
      </c>
      <c r="J2376" s="14"/>
      <c r="K2376" s="14"/>
      <c r="L2376" s="14"/>
      <c r="M2376" s="13"/>
    </row>
    <row r="2377" customFormat="false" ht="15" hidden="false" customHeight="false" outlineLevel="0" collapsed="false">
      <c r="A2377" s="6" t="n">
        <v>2373</v>
      </c>
      <c r="B2377" s="8" t="s">
        <v>3648</v>
      </c>
      <c r="C2377" s="8" t="s">
        <v>3649</v>
      </c>
      <c r="D2377" s="9"/>
      <c r="E2377" s="10"/>
      <c r="F2377" s="11" t="n">
        <v>0.00776539351851852</v>
      </c>
      <c r="G2377" s="12" t="n">
        <v>1123</v>
      </c>
      <c r="H2377" s="11"/>
      <c r="I2377" s="12"/>
      <c r="J2377" s="14"/>
      <c r="K2377" s="14"/>
      <c r="L2377" s="14"/>
      <c r="M2377" s="13"/>
    </row>
    <row r="2378" customFormat="false" ht="15" hidden="false" customHeight="false" outlineLevel="0" collapsed="false">
      <c r="A2378" s="6" t="n">
        <v>2374</v>
      </c>
      <c r="B2378" s="8" t="s">
        <v>3650</v>
      </c>
      <c r="C2378" s="8" t="s">
        <v>3651</v>
      </c>
      <c r="D2378" s="9"/>
      <c r="E2378" s="10"/>
      <c r="F2378" s="11" t="n">
        <v>0.00776585648148148</v>
      </c>
      <c r="G2378" s="12" t="n">
        <v>1124</v>
      </c>
      <c r="H2378" s="11"/>
      <c r="I2378" s="12"/>
      <c r="J2378" s="14"/>
      <c r="K2378" s="14"/>
      <c r="L2378" s="14"/>
      <c r="M2378" s="13"/>
    </row>
    <row r="2379" customFormat="false" ht="15" hidden="false" customHeight="false" outlineLevel="0" collapsed="false">
      <c r="A2379" s="6" t="n">
        <v>2375</v>
      </c>
      <c r="B2379" s="8" t="s">
        <v>3652</v>
      </c>
      <c r="C2379" s="8" t="s">
        <v>3653</v>
      </c>
      <c r="D2379" s="9"/>
      <c r="E2379" s="10"/>
      <c r="F2379" s="11" t="n">
        <v>0.00776747685185185</v>
      </c>
      <c r="G2379" s="12" t="n">
        <v>1125</v>
      </c>
      <c r="H2379" s="11"/>
      <c r="I2379" s="12"/>
      <c r="J2379" s="14"/>
      <c r="K2379" s="14"/>
      <c r="L2379" s="14"/>
      <c r="M2379" s="13"/>
    </row>
    <row r="2380" customFormat="false" ht="15" hidden="false" customHeight="false" outlineLevel="0" collapsed="false">
      <c r="A2380" s="6" t="n">
        <v>2376</v>
      </c>
      <c r="B2380" s="8" t="s">
        <v>3654</v>
      </c>
      <c r="C2380" s="8" t="s">
        <v>1684</v>
      </c>
      <c r="D2380" s="9"/>
      <c r="E2380" s="10"/>
      <c r="F2380" s="11"/>
      <c r="G2380" s="12"/>
      <c r="H2380" s="11" t="n">
        <v>0.00292303240740741</v>
      </c>
      <c r="I2380" s="12" t="n">
        <v>1125</v>
      </c>
      <c r="J2380" s="14"/>
      <c r="K2380" s="14"/>
      <c r="L2380" s="14"/>
      <c r="M2380" s="13"/>
    </row>
    <row r="2381" customFormat="false" ht="15" hidden="false" customHeight="false" outlineLevel="0" collapsed="false">
      <c r="A2381" s="6" t="n">
        <v>2377</v>
      </c>
      <c r="B2381" s="8" t="s">
        <v>3655</v>
      </c>
      <c r="C2381" s="8" t="s">
        <v>3224</v>
      </c>
      <c r="D2381" s="9"/>
      <c r="E2381" s="10"/>
      <c r="F2381" s="11" t="n">
        <v>0.00776770833333333</v>
      </c>
      <c r="G2381" s="12" t="n">
        <v>1126</v>
      </c>
      <c r="H2381" s="11"/>
      <c r="I2381" s="12"/>
      <c r="J2381" s="14"/>
      <c r="K2381" s="14"/>
      <c r="L2381" s="14"/>
      <c r="M2381" s="13"/>
    </row>
    <row r="2382" customFormat="false" ht="15" hidden="false" customHeight="false" outlineLevel="0" collapsed="false">
      <c r="A2382" s="6" t="n">
        <v>2378</v>
      </c>
      <c r="B2382" s="8" t="s">
        <v>3656</v>
      </c>
      <c r="C2382" s="8" t="s">
        <v>612</v>
      </c>
      <c r="D2382" s="9"/>
      <c r="E2382" s="10"/>
      <c r="F2382" s="11"/>
      <c r="G2382" s="12"/>
      <c r="H2382" s="11" t="n">
        <v>0.00292314814814815</v>
      </c>
      <c r="I2382" s="12" t="n">
        <v>1127</v>
      </c>
      <c r="J2382" s="14"/>
      <c r="K2382" s="14"/>
      <c r="L2382" s="14"/>
      <c r="M2382" s="13"/>
    </row>
    <row r="2383" customFormat="false" ht="15" hidden="false" customHeight="false" outlineLevel="0" collapsed="false">
      <c r="A2383" s="6" t="n">
        <v>2379</v>
      </c>
      <c r="B2383" s="8" t="s">
        <v>3657</v>
      </c>
      <c r="C2383" s="8" t="s">
        <v>2915</v>
      </c>
      <c r="D2383" s="9"/>
      <c r="E2383" s="10"/>
      <c r="F2383" s="11" t="n">
        <v>0.00777604166666667</v>
      </c>
      <c r="G2383" s="12" t="n">
        <v>1128</v>
      </c>
      <c r="H2383" s="11"/>
      <c r="I2383" s="12"/>
      <c r="J2383" s="14"/>
      <c r="K2383" s="14"/>
      <c r="L2383" s="14"/>
      <c r="M2383" s="13"/>
    </row>
    <row r="2384" customFormat="false" ht="15" hidden="false" customHeight="false" outlineLevel="0" collapsed="false">
      <c r="A2384" s="6" t="n">
        <v>2380</v>
      </c>
      <c r="B2384" s="8" t="s">
        <v>3658</v>
      </c>
      <c r="C2384" s="8" t="s">
        <v>1064</v>
      </c>
      <c r="D2384" s="9"/>
      <c r="E2384" s="10"/>
      <c r="F2384" s="11"/>
      <c r="G2384" s="12"/>
      <c r="H2384" s="11" t="n">
        <v>0.00292326388888889</v>
      </c>
      <c r="I2384" s="12" t="n">
        <v>1128</v>
      </c>
      <c r="J2384" s="14"/>
      <c r="K2384" s="14"/>
      <c r="L2384" s="14"/>
      <c r="M2384" s="13"/>
    </row>
    <row r="2385" customFormat="false" ht="15" hidden="false" customHeight="false" outlineLevel="0" collapsed="false">
      <c r="A2385" s="6" t="n">
        <v>2381</v>
      </c>
      <c r="B2385" s="8" t="s">
        <v>3659</v>
      </c>
      <c r="C2385" s="8" t="s">
        <v>3660</v>
      </c>
      <c r="D2385" s="9"/>
      <c r="E2385" s="10"/>
      <c r="F2385" s="11" t="n">
        <v>0.00777962962962963</v>
      </c>
      <c r="G2385" s="12" t="n">
        <v>1129</v>
      </c>
      <c r="H2385" s="11"/>
      <c r="I2385" s="12"/>
      <c r="J2385" s="14"/>
      <c r="K2385" s="14"/>
      <c r="L2385" s="14"/>
      <c r="M2385" s="13"/>
    </row>
    <row r="2386" customFormat="false" ht="15" hidden="false" customHeight="false" outlineLevel="0" collapsed="false">
      <c r="A2386" s="6" t="n">
        <v>2382</v>
      </c>
      <c r="B2386" s="8" t="s">
        <v>3661</v>
      </c>
      <c r="C2386" s="8" t="s">
        <v>3662</v>
      </c>
      <c r="D2386" s="9"/>
      <c r="E2386" s="10"/>
      <c r="F2386" s="11" t="n">
        <v>0.00778981481481482</v>
      </c>
      <c r="G2386" s="12" t="n">
        <v>1130</v>
      </c>
      <c r="H2386" s="11"/>
      <c r="I2386" s="12"/>
      <c r="J2386" s="14"/>
      <c r="K2386" s="14"/>
      <c r="L2386" s="14"/>
      <c r="M2386" s="13"/>
    </row>
    <row r="2387" customFormat="false" ht="15" hidden="false" customHeight="false" outlineLevel="0" collapsed="false">
      <c r="A2387" s="6" t="n">
        <v>2383</v>
      </c>
      <c r="B2387" s="8" t="s">
        <v>3663</v>
      </c>
      <c r="C2387" s="8" t="s">
        <v>3664</v>
      </c>
      <c r="D2387" s="9"/>
      <c r="E2387" s="10"/>
      <c r="F2387" s="11"/>
      <c r="G2387" s="12"/>
      <c r="H2387" s="11" t="n">
        <v>0.00292326388888889</v>
      </c>
      <c r="I2387" s="12" t="n">
        <v>1130</v>
      </c>
      <c r="J2387" s="14"/>
      <c r="K2387" s="14"/>
      <c r="L2387" s="14"/>
      <c r="M2387" s="13"/>
    </row>
    <row r="2388" customFormat="false" ht="15" hidden="false" customHeight="false" outlineLevel="0" collapsed="false">
      <c r="A2388" s="6" t="n">
        <v>2384</v>
      </c>
      <c r="B2388" s="8" t="s">
        <v>3665</v>
      </c>
      <c r="C2388" s="8" t="s">
        <v>3280</v>
      </c>
      <c r="D2388" s="9"/>
      <c r="E2388" s="10"/>
      <c r="F2388" s="11" t="n">
        <v>0.00779340277777778</v>
      </c>
      <c r="G2388" s="12" t="n">
        <v>1131</v>
      </c>
      <c r="H2388" s="11"/>
      <c r="I2388" s="12"/>
      <c r="J2388" s="14"/>
      <c r="K2388" s="14"/>
      <c r="L2388" s="14"/>
      <c r="M2388" s="13"/>
    </row>
    <row r="2389" customFormat="false" ht="15" hidden="false" customHeight="false" outlineLevel="0" collapsed="false">
      <c r="A2389" s="6" t="n">
        <v>2385</v>
      </c>
      <c r="B2389" s="8" t="s">
        <v>3666</v>
      </c>
      <c r="C2389" s="8" t="s">
        <v>3667</v>
      </c>
      <c r="D2389" s="9"/>
      <c r="E2389" s="10"/>
      <c r="F2389" s="11"/>
      <c r="G2389" s="12"/>
      <c r="H2389" s="11" t="n">
        <v>0.00292326388888889</v>
      </c>
      <c r="I2389" s="12" t="n">
        <v>1131</v>
      </c>
      <c r="J2389" s="14" t="s">
        <v>3668</v>
      </c>
      <c r="K2389" s="14"/>
      <c r="L2389" s="14"/>
      <c r="M2389" s="13"/>
    </row>
    <row r="2390" customFormat="false" ht="15" hidden="false" customHeight="false" outlineLevel="0" collapsed="false">
      <c r="A2390" s="6" t="n">
        <v>2386</v>
      </c>
      <c r="B2390" s="8" t="s">
        <v>3669</v>
      </c>
      <c r="C2390" s="8" t="s">
        <v>2579</v>
      </c>
      <c r="D2390" s="9"/>
      <c r="E2390" s="10"/>
      <c r="F2390" s="11" t="n">
        <v>0.00779363425925926</v>
      </c>
      <c r="G2390" s="12" t="n">
        <v>1132</v>
      </c>
      <c r="H2390" s="11"/>
      <c r="I2390" s="12"/>
      <c r="J2390" s="14"/>
      <c r="K2390" s="14"/>
      <c r="L2390" s="14"/>
      <c r="M2390" s="13"/>
    </row>
    <row r="2391" customFormat="false" ht="15" hidden="false" customHeight="false" outlineLevel="0" collapsed="false">
      <c r="A2391" s="6" t="n">
        <v>2387</v>
      </c>
      <c r="B2391" s="8" t="s">
        <v>3670</v>
      </c>
      <c r="C2391" s="8" t="s">
        <v>788</v>
      </c>
      <c r="D2391" s="9"/>
      <c r="E2391" s="10"/>
      <c r="F2391" s="11"/>
      <c r="G2391" s="12"/>
      <c r="H2391" s="11" t="n">
        <v>0.00292337962962963</v>
      </c>
      <c r="I2391" s="12" t="n">
        <v>1132</v>
      </c>
      <c r="J2391" s="14"/>
      <c r="K2391" s="14"/>
      <c r="L2391" s="14"/>
      <c r="M2391" s="13"/>
    </row>
    <row r="2392" customFormat="false" ht="15" hidden="false" customHeight="false" outlineLevel="0" collapsed="false">
      <c r="A2392" s="6" t="n">
        <v>2388</v>
      </c>
      <c r="B2392" s="8" t="s">
        <v>3671</v>
      </c>
      <c r="C2392" s="8" t="s">
        <v>3672</v>
      </c>
      <c r="D2392" s="9"/>
      <c r="E2392" s="10"/>
      <c r="F2392" s="11" t="n">
        <v>0.00779756944444445</v>
      </c>
      <c r="G2392" s="12" t="n">
        <v>1133</v>
      </c>
      <c r="H2392" s="11"/>
      <c r="I2392" s="12"/>
      <c r="J2392" s="14"/>
      <c r="K2392" s="14"/>
      <c r="L2392" s="14"/>
      <c r="M2392" s="13"/>
    </row>
    <row r="2393" customFormat="false" ht="15" hidden="false" customHeight="false" outlineLevel="0" collapsed="false">
      <c r="A2393" s="6" t="n">
        <v>2389</v>
      </c>
      <c r="B2393" s="8" t="s">
        <v>3673</v>
      </c>
      <c r="C2393" s="8" t="s">
        <v>3674</v>
      </c>
      <c r="D2393" s="9"/>
      <c r="E2393" s="10"/>
      <c r="F2393" s="11" t="n">
        <v>0.00779803240740741</v>
      </c>
      <c r="G2393" s="12" t="n">
        <v>1134</v>
      </c>
      <c r="H2393" s="11"/>
      <c r="I2393" s="12"/>
      <c r="J2393" s="14"/>
      <c r="K2393" s="14"/>
      <c r="L2393" s="14"/>
      <c r="M2393" s="13"/>
    </row>
    <row r="2394" customFormat="false" ht="15" hidden="false" customHeight="false" outlineLevel="0" collapsed="false">
      <c r="A2394" s="6" t="n">
        <v>2390</v>
      </c>
      <c r="B2394" s="8" t="s">
        <v>3675</v>
      </c>
      <c r="C2394" s="8" t="s">
        <v>1940</v>
      </c>
      <c r="D2394" s="9"/>
      <c r="E2394" s="10"/>
      <c r="F2394" s="11" t="n">
        <v>0.00779976851851852</v>
      </c>
      <c r="G2394" s="12" t="n">
        <v>1135</v>
      </c>
      <c r="H2394" s="11"/>
      <c r="I2394" s="12"/>
      <c r="J2394" s="14"/>
      <c r="K2394" s="14"/>
      <c r="L2394" s="14"/>
      <c r="M2394" s="13"/>
    </row>
    <row r="2395" customFormat="false" ht="15" hidden="false" customHeight="false" outlineLevel="0" collapsed="false">
      <c r="A2395" s="6" t="n">
        <v>2391</v>
      </c>
      <c r="B2395" s="8" t="s">
        <v>3676</v>
      </c>
      <c r="C2395" s="8" t="s">
        <v>3677</v>
      </c>
      <c r="D2395" s="9"/>
      <c r="E2395" s="10"/>
      <c r="F2395" s="11"/>
      <c r="G2395" s="12"/>
      <c r="H2395" s="11" t="n">
        <v>0.00292395833333333</v>
      </c>
      <c r="I2395" s="12" t="n">
        <v>1135</v>
      </c>
      <c r="J2395" s="14"/>
      <c r="K2395" s="14"/>
      <c r="L2395" s="14"/>
      <c r="M2395" s="13"/>
    </row>
    <row r="2396" customFormat="false" ht="15" hidden="false" customHeight="false" outlineLevel="0" collapsed="false">
      <c r="A2396" s="6" t="n">
        <v>2392</v>
      </c>
      <c r="B2396" s="8" t="s">
        <v>3678</v>
      </c>
      <c r="C2396" s="8" t="s">
        <v>3679</v>
      </c>
      <c r="D2396" s="9"/>
      <c r="E2396" s="10"/>
      <c r="F2396" s="11" t="n">
        <v>0.00781087962962963</v>
      </c>
      <c r="G2396" s="12" t="n">
        <v>1137</v>
      </c>
      <c r="H2396" s="11"/>
      <c r="I2396" s="12"/>
      <c r="J2396" s="14"/>
      <c r="K2396" s="14"/>
      <c r="L2396" s="14"/>
      <c r="M2396" s="13"/>
    </row>
    <row r="2397" customFormat="false" ht="15" hidden="false" customHeight="false" outlineLevel="0" collapsed="false">
      <c r="A2397" s="6" t="n">
        <v>2393</v>
      </c>
      <c r="B2397" s="8" t="s">
        <v>3680</v>
      </c>
      <c r="C2397" s="8" t="s">
        <v>3681</v>
      </c>
      <c r="D2397" s="9"/>
      <c r="E2397" s="10"/>
      <c r="F2397" s="11"/>
      <c r="G2397" s="12"/>
      <c r="H2397" s="11" t="n">
        <v>0.00292395833333333</v>
      </c>
      <c r="I2397" s="12" t="n">
        <v>1137</v>
      </c>
      <c r="J2397" s="14"/>
      <c r="K2397" s="14"/>
      <c r="L2397" s="14"/>
      <c r="M2397" s="13"/>
    </row>
    <row r="2398" customFormat="false" ht="15" hidden="false" customHeight="false" outlineLevel="0" collapsed="false">
      <c r="A2398" s="6" t="n">
        <v>2394</v>
      </c>
      <c r="B2398" s="8" t="s">
        <v>3682</v>
      </c>
      <c r="C2398" s="8" t="s">
        <v>3683</v>
      </c>
      <c r="D2398" s="9"/>
      <c r="E2398" s="10"/>
      <c r="F2398" s="11" t="n">
        <v>0.00781099537037037</v>
      </c>
      <c r="G2398" s="12" t="n">
        <v>1138</v>
      </c>
      <c r="H2398" s="11"/>
      <c r="I2398" s="12"/>
      <c r="J2398" s="14"/>
      <c r="K2398" s="14"/>
      <c r="L2398" s="14"/>
      <c r="M2398" s="13"/>
    </row>
    <row r="2399" customFormat="false" ht="15" hidden="false" customHeight="false" outlineLevel="0" collapsed="false">
      <c r="A2399" s="6" t="n">
        <v>2395</v>
      </c>
      <c r="B2399" s="8" t="s">
        <v>3684</v>
      </c>
      <c r="C2399" s="8" t="s">
        <v>96</v>
      </c>
      <c r="D2399" s="9"/>
      <c r="E2399" s="10"/>
      <c r="F2399" s="11" t="n">
        <v>0.00781585648148148</v>
      </c>
      <c r="G2399" s="12" t="n">
        <v>1139</v>
      </c>
      <c r="H2399" s="11"/>
      <c r="I2399" s="12"/>
      <c r="J2399" s="14"/>
      <c r="K2399" s="14"/>
      <c r="L2399" s="14"/>
      <c r="M2399" s="13"/>
    </row>
    <row r="2400" customFormat="false" ht="15" hidden="false" customHeight="false" outlineLevel="0" collapsed="false">
      <c r="A2400" s="6" t="n">
        <v>2396</v>
      </c>
      <c r="B2400" s="8" t="s">
        <v>3685</v>
      </c>
      <c r="C2400" s="8" t="s">
        <v>2790</v>
      </c>
      <c r="D2400" s="9"/>
      <c r="E2400" s="10"/>
      <c r="F2400" s="11" t="n">
        <v>0.00781585648148148</v>
      </c>
      <c r="G2400" s="12" t="n">
        <v>1140</v>
      </c>
      <c r="H2400" s="11"/>
      <c r="I2400" s="12"/>
      <c r="J2400" s="14"/>
      <c r="K2400" s="14"/>
      <c r="L2400" s="14"/>
      <c r="M2400" s="13"/>
    </row>
    <row r="2401" customFormat="false" ht="15" hidden="false" customHeight="false" outlineLevel="0" collapsed="false">
      <c r="A2401" s="6" t="n">
        <v>2397</v>
      </c>
      <c r="B2401" s="8" t="s">
        <v>3686</v>
      </c>
      <c r="C2401" s="8" t="s">
        <v>3653</v>
      </c>
      <c r="D2401" s="9"/>
      <c r="E2401" s="10"/>
      <c r="F2401" s="11" t="n">
        <v>0.00781666666666667</v>
      </c>
      <c r="G2401" s="12" t="n">
        <v>1141</v>
      </c>
      <c r="H2401" s="11"/>
      <c r="I2401" s="12"/>
      <c r="J2401" s="14"/>
      <c r="K2401" s="14"/>
      <c r="L2401" s="14"/>
      <c r="M2401" s="13"/>
    </row>
    <row r="2402" customFormat="false" ht="15" hidden="false" customHeight="false" outlineLevel="0" collapsed="false">
      <c r="A2402" s="6" t="n">
        <v>2398</v>
      </c>
      <c r="B2402" s="8" t="s">
        <v>3687</v>
      </c>
      <c r="C2402" s="8" t="s">
        <v>3688</v>
      </c>
      <c r="D2402" s="9"/>
      <c r="E2402" s="10"/>
      <c r="F2402" s="11"/>
      <c r="G2402" s="12"/>
      <c r="H2402" s="11" t="n">
        <v>0.00292465277777778</v>
      </c>
      <c r="I2402" s="12" t="n">
        <v>1141</v>
      </c>
      <c r="J2402" s="14"/>
      <c r="K2402" s="14"/>
      <c r="L2402" s="14"/>
      <c r="M2402" s="13"/>
    </row>
    <row r="2403" customFormat="false" ht="15" hidden="false" customHeight="false" outlineLevel="0" collapsed="false">
      <c r="A2403" s="6" t="n">
        <v>2399</v>
      </c>
      <c r="B2403" s="8" t="s">
        <v>3689</v>
      </c>
      <c r="C2403" s="8" t="s">
        <v>2269</v>
      </c>
      <c r="D2403" s="9"/>
      <c r="E2403" s="10"/>
      <c r="F2403" s="11" t="n">
        <v>0.00781979166666667</v>
      </c>
      <c r="G2403" s="12" t="n">
        <v>1142</v>
      </c>
      <c r="H2403" s="11"/>
      <c r="I2403" s="12"/>
      <c r="J2403" s="14"/>
      <c r="K2403" s="14"/>
      <c r="L2403" s="14"/>
      <c r="M2403" s="13"/>
    </row>
    <row r="2404" customFormat="false" ht="15" hidden="false" customHeight="false" outlineLevel="0" collapsed="false">
      <c r="A2404" s="6" t="n">
        <v>2400</v>
      </c>
      <c r="B2404" s="8" t="s">
        <v>3690</v>
      </c>
      <c r="C2404" s="8" t="s">
        <v>3691</v>
      </c>
      <c r="D2404" s="9"/>
      <c r="E2404" s="10"/>
      <c r="F2404" s="11" t="n">
        <v>0.00782314814814815</v>
      </c>
      <c r="G2404" s="12" t="n">
        <v>1143</v>
      </c>
      <c r="H2404" s="11"/>
      <c r="I2404" s="12"/>
      <c r="J2404" s="14"/>
      <c r="K2404" s="14"/>
      <c r="L2404" s="14"/>
      <c r="M2404" s="13"/>
    </row>
    <row r="2405" customFormat="false" ht="15" hidden="false" customHeight="false" outlineLevel="0" collapsed="false">
      <c r="A2405" s="6" t="n">
        <v>2401</v>
      </c>
      <c r="B2405" s="8" t="s">
        <v>3692</v>
      </c>
      <c r="C2405" s="8" t="s">
        <v>2984</v>
      </c>
      <c r="D2405" s="9"/>
      <c r="E2405" s="10"/>
      <c r="F2405" s="11" t="n">
        <v>0.00782361111111111</v>
      </c>
      <c r="G2405" s="12" t="n">
        <v>1144</v>
      </c>
      <c r="H2405" s="11"/>
      <c r="I2405" s="12"/>
      <c r="J2405" s="14"/>
      <c r="K2405" s="14"/>
      <c r="L2405" s="14"/>
      <c r="M2405" s="13"/>
    </row>
    <row r="2406" customFormat="false" ht="15" hidden="false" customHeight="false" outlineLevel="0" collapsed="false">
      <c r="A2406" s="6" t="n">
        <v>2402</v>
      </c>
      <c r="B2406" s="8" t="s">
        <v>3693</v>
      </c>
      <c r="C2406" s="8" t="s">
        <v>3694</v>
      </c>
      <c r="D2406" s="9"/>
      <c r="E2406" s="10"/>
      <c r="F2406" s="11" t="n">
        <v>0.00782465277777778</v>
      </c>
      <c r="G2406" s="12" t="n">
        <v>1145</v>
      </c>
      <c r="H2406" s="11"/>
      <c r="I2406" s="12"/>
      <c r="J2406" s="14"/>
      <c r="K2406" s="14"/>
      <c r="L2406" s="14"/>
      <c r="M2406" s="13"/>
    </row>
    <row r="2407" customFormat="false" ht="15" hidden="false" customHeight="false" outlineLevel="0" collapsed="false">
      <c r="A2407" s="6" t="n">
        <v>2403</v>
      </c>
      <c r="B2407" s="8" t="s">
        <v>3695</v>
      </c>
      <c r="C2407" s="8" t="s">
        <v>3696</v>
      </c>
      <c r="D2407" s="9"/>
      <c r="E2407" s="10"/>
      <c r="F2407" s="11" t="n">
        <v>0.00782708333333333</v>
      </c>
      <c r="G2407" s="12" t="n">
        <v>1146</v>
      </c>
      <c r="H2407" s="11"/>
      <c r="I2407" s="12"/>
      <c r="J2407" s="14"/>
      <c r="K2407" s="14"/>
      <c r="L2407" s="14"/>
      <c r="M2407" s="13"/>
    </row>
    <row r="2408" customFormat="false" ht="15" hidden="false" customHeight="false" outlineLevel="0" collapsed="false">
      <c r="A2408" s="6" t="n">
        <v>2404</v>
      </c>
      <c r="B2408" s="8" t="s">
        <v>3697</v>
      </c>
      <c r="C2408" s="8" t="s">
        <v>3698</v>
      </c>
      <c r="D2408" s="9"/>
      <c r="E2408" s="10"/>
      <c r="F2408" s="11" t="n">
        <v>0.00783923611111111</v>
      </c>
      <c r="G2408" s="12" t="n">
        <v>1147</v>
      </c>
      <c r="H2408" s="11"/>
      <c r="I2408" s="12"/>
      <c r="J2408" s="14"/>
      <c r="K2408" s="14"/>
      <c r="L2408" s="14"/>
      <c r="M2408" s="13"/>
    </row>
    <row r="2409" customFormat="false" ht="15" hidden="false" customHeight="false" outlineLevel="0" collapsed="false">
      <c r="A2409" s="6" t="n">
        <v>2405</v>
      </c>
      <c r="B2409" s="8" t="s">
        <v>3699</v>
      </c>
      <c r="C2409" s="8" t="s">
        <v>3700</v>
      </c>
      <c r="D2409" s="9"/>
      <c r="E2409" s="10"/>
      <c r="F2409" s="11" t="n">
        <v>0.00784537037037037</v>
      </c>
      <c r="G2409" s="12" t="n">
        <v>1148</v>
      </c>
      <c r="H2409" s="11"/>
      <c r="I2409" s="12"/>
      <c r="J2409" s="14"/>
      <c r="K2409" s="14"/>
      <c r="L2409" s="14"/>
      <c r="M2409" s="13"/>
    </row>
    <row r="2410" customFormat="false" ht="15" hidden="false" customHeight="false" outlineLevel="0" collapsed="false">
      <c r="A2410" s="6" t="n">
        <v>2406</v>
      </c>
      <c r="B2410" s="8" t="s">
        <v>3701</v>
      </c>
      <c r="C2410" s="8" t="s">
        <v>1089</v>
      </c>
      <c r="D2410" s="9"/>
      <c r="E2410" s="10"/>
      <c r="F2410" s="11"/>
      <c r="G2410" s="12"/>
      <c r="H2410" s="11" t="n">
        <v>0.00292488425925926</v>
      </c>
      <c r="I2410" s="12" t="n">
        <v>1148</v>
      </c>
      <c r="J2410" s="14"/>
      <c r="K2410" s="14"/>
      <c r="L2410" s="14"/>
      <c r="M2410" s="13"/>
    </row>
    <row r="2411" customFormat="false" ht="15" hidden="false" customHeight="false" outlineLevel="0" collapsed="false">
      <c r="A2411" s="6" t="n">
        <v>2407</v>
      </c>
      <c r="B2411" s="8" t="s">
        <v>3702</v>
      </c>
      <c r="C2411" s="8" t="s">
        <v>2246</v>
      </c>
      <c r="D2411" s="9"/>
      <c r="E2411" s="10"/>
      <c r="F2411" s="11" t="n">
        <v>0.00784780092592593</v>
      </c>
      <c r="G2411" s="12" t="n">
        <v>1149</v>
      </c>
      <c r="H2411" s="11"/>
      <c r="I2411" s="12"/>
      <c r="J2411" s="14" t="s">
        <v>3703</v>
      </c>
      <c r="K2411" s="14"/>
      <c r="L2411" s="14"/>
      <c r="M2411" s="13"/>
    </row>
    <row r="2412" customFormat="false" ht="15" hidden="false" customHeight="false" outlineLevel="0" collapsed="false">
      <c r="A2412" s="6" t="n">
        <v>2408</v>
      </c>
      <c r="B2412" s="8" t="s">
        <v>3704</v>
      </c>
      <c r="C2412" s="8" t="s">
        <v>1339</v>
      </c>
      <c r="D2412" s="9"/>
      <c r="E2412" s="10"/>
      <c r="F2412" s="11" t="n">
        <v>0.00786180555555556</v>
      </c>
      <c r="G2412" s="12" t="n">
        <v>1150</v>
      </c>
      <c r="H2412" s="11"/>
      <c r="I2412" s="12"/>
      <c r="J2412" s="14"/>
      <c r="K2412" s="14"/>
      <c r="L2412" s="14"/>
      <c r="M2412" s="13"/>
    </row>
    <row r="2413" customFormat="false" ht="15" hidden="false" customHeight="false" outlineLevel="0" collapsed="false">
      <c r="A2413" s="6" t="n">
        <v>2409</v>
      </c>
      <c r="B2413" s="8" t="s">
        <v>3705</v>
      </c>
      <c r="C2413" s="8" t="s">
        <v>3706</v>
      </c>
      <c r="D2413" s="9"/>
      <c r="E2413" s="10"/>
      <c r="F2413" s="11"/>
      <c r="G2413" s="12"/>
      <c r="H2413" s="11" t="n">
        <v>0.002925</v>
      </c>
      <c r="I2413" s="12" t="n">
        <v>1150</v>
      </c>
      <c r="J2413" s="14"/>
      <c r="K2413" s="14"/>
      <c r="L2413" s="14"/>
      <c r="M2413" s="13"/>
    </row>
    <row r="2414" customFormat="false" ht="15" hidden="false" customHeight="false" outlineLevel="0" collapsed="false">
      <c r="A2414" s="6" t="n">
        <v>2410</v>
      </c>
      <c r="B2414" s="8" t="s">
        <v>3707</v>
      </c>
      <c r="C2414" s="8" t="s">
        <v>772</v>
      </c>
      <c r="D2414" s="9"/>
      <c r="E2414" s="10"/>
      <c r="F2414" s="11" t="n">
        <v>0.00786412037037037</v>
      </c>
      <c r="G2414" s="12" t="n">
        <v>1151</v>
      </c>
      <c r="H2414" s="11"/>
      <c r="I2414" s="12"/>
      <c r="J2414" s="14"/>
      <c r="K2414" s="14"/>
      <c r="L2414" s="14"/>
      <c r="M2414" s="13"/>
    </row>
    <row r="2415" customFormat="false" ht="15" hidden="false" customHeight="false" outlineLevel="0" collapsed="false">
      <c r="A2415" s="6" t="n">
        <v>2411</v>
      </c>
      <c r="B2415" s="8" t="s">
        <v>3708</v>
      </c>
      <c r="C2415" s="8" t="s">
        <v>1408</v>
      </c>
      <c r="D2415" s="9"/>
      <c r="E2415" s="10"/>
      <c r="F2415" s="11"/>
      <c r="G2415" s="12"/>
      <c r="H2415" s="11" t="n">
        <v>0.00292534722222222</v>
      </c>
      <c r="I2415" s="12" t="n">
        <v>1151</v>
      </c>
      <c r="J2415" s="14"/>
      <c r="K2415" s="14"/>
      <c r="L2415" s="14"/>
      <c r="M2415" s="13"/>
    </row>
    <row r="2416" customFormat="false" ht="15" hidden="false" customHeight="false" outlineLevel="0" collapsed="false">
      <c r="A2416" s="6" t="n">
        <v>2412</v>
      </c>
      <c r="B2416" s="8" t="s">
        <v>3709</v>
      </c>
      <c r="C2416" s="8" t="s">
        <v>479</v>
      </c>
      <c r="D2416" s="9"/>
      <c r="E2416" s="10"/>
      <c r="F2416" s="11" t="n">
        <v>0.00786550925925926</v>
      </c>
      <c r="G2416" s="12" t="n">
        <v>1152</v>
      </c>
      <c r="H2416" s="11"/>
      <c r="I2416" s="12"/>
      <c r="J2416" s="14"/>
      <c r="K2416" s="14"/>
      <c r="L2416" s="14"/>
      <c r="M2416" s="13"/>
    </row>
    <row r="2417" customFormat="false" ht="15" hidden="false" customHeight="false" outlineLevel="0" collapsed="false">
      <c r="A2417" s="6" t="n">
        <v>2413</v>
      </c>
      <c r="B2417" s="8" t="s">
        <v>3710</v>
      </c>
      <c r="C2417" s="8" t="s">
        <v>3711</v>
      </c>
      <c r="D2417" s="9"/>
      <c r="E2417" s="10"/>
      <c r="F2417" s="11" t="n">
        <v>0.00787210648148148</v>
      </c>
      <c r="G2417" s="12" t="n">
        <v>1153</v>
      </c>
      <c r="H2417" s="11"/>
      <c r="I2417" s="12"/>
      <c r="J2417" s="14"/>
      <c r="K2417" s="14"/>
      <c r="L2417" s="14"/>
      <c r="M2417" s="13"/>
    </row>
    <row r="2418" customFormat="false" ht="15" hidden="false" customHeight="false" outlineLevel="0" collapsed="false">
      <c r="A2418" s="6" t="n">
        <v>2414</v>
      </c>
      <c r="B2418" s="8" t="s">
        <v>3712</v>
      </c>
      <c r="C2418" s="8" t="s">
        <v>3713</v>
      </c>
      <c r="D2418" s="9"/>
      <c r="E2418" s="10"/>
      <c r="F2418" s="11" t="n">
        <v>0.00787372685185185</v>
      </c>
      <c r="G2418" s="12" t="n">
        <v>1154</v>
      </c>
      <c r="H2418" s="11"/>
      <c r="I2418" s="12"/>
      <c r="J2418" s="14"/>
      <c r="K2418" s="14"/>
      <c r="L2418" s="14"/>
      <c r="M2418" s="13"/>
    </row>
    <row r="2419" customFormat="false" ht="15" hidden="false" customHeight="false" outlineLevel="0" collapsed="false">
      <c r="A2419" s="6" t="n">
        <v>2415</v>
      </c>
      <c r="B2419" s="8" t="s">
        <v>3714</v>
      </c>
      <c r="C2419" s="8" t="s">
        <v>2088</v>
      </c>
      <c r="D2419" s="9"/>
      <c r="E2419" s="10"/>
      <c r="F2419" s="11"/>
      <c r="G2419" s="12"/>
      <c r="H2419" s="11" t="n">
        <v>0.00292546296296296</v>
      </c>
      <c r="I2419" s="12" t="n">
        <v>1154</v>
      </c>
      <c r="J2419" s="14"/>
      <c r="K2419" s="14"/>
      <c r="L2419" s="14"/>
      <c r="M2419" s="13"/>
    </row>
    <row r="2420" customFormat="false" ht="15" hidden="false" customHeight="false" outlineLevel="0" collapsed="false">
      <c r="A2420" s="6" t="n">
        <v>2416</v>
      </c>
      <c r="B2420" s="8" t="s">
        <v>3715</v>
      </c>
      <c r="C2420" s="8" t="s">
        <v>3700</v>
      </c>
      <c r="D2420" s="9"/>
      <c r="E2420" s="10"/>
      <c r="F2420" s="11" t="n">
        <v>0.00787581018518519</v>
      </c>
      <c r="G2420" s="12" t="n">
        <v>1155</v>
      </c>
      <c r="H2420" s="11"/>
      <c r="I2420" s="12"/>
      <c r="J2420" s="14"/>
      <c r="K2420" s="14"/>
      <c r="L2420" s="14"/>
      <c r="M2420" s="13"/>
    </row>
    <row r="2421" customFormat="false" ht="15" hidden="false" customHeight="false" outlineLevel="0" collapsed="false">
      <c r="A2421" s="6" t="n">
        <v>2417</v>
      </c>
      <c r="B2421" s="8" t="s">
        <v>3716</v>
      </c>
      <c r="C2421" s="8" t="s">
        <v>3717</v>
      </c>
      <c r="D2421" s="9"/>
      <c r="E2421" s="10"/>
      <c r="F2421" s="11" t="n">
        <v>0.00787800925925926</v>
      </c>
      <c r="G2421" s="12" t="n">
        <v>1156</v>
      </c>
      <c r="H2421" s="11"/>
      <c r="I2421" s="12"/>
      <c r="J2421" s="14"/>
      <c r="K2421" s="14"/>
      <c r="L2421" s="14"/>
      <c r="M2421" s="13"/>
    </row>
    <row r="2422" customFormat="false" ht="15" hidden="false" customHeight="false" outlineLevel="0" collapsed="false">
      <c r="A2422" s="6" t="n">
        <v>2418</v>
      </c>
      <c r="B2422" s="8" t="s">
        <v>3718</v>
      </c>
      <c r="C2422" s="8" t="s">
        <v>802</v>
      </c>
      <c r="D2422" s="9"/>
      <c r="E2422" s="10"/>
      <c r="F2422" s="11" t="n">
        <v>0.0078787037037037</v>
      </c>
      <c r="G2422" s="12" t="n">
        <v>1157</v>
      </c>
      <c r="H2422" s="11"/>
      <c r="I2422" s="12"/>
      <c r="J2422" s="14"/>
      <c r="K2422" s="14"/>
      <c r="L2422" s="14"/>
      <c r="M2422" s="13"/>
    </row>
    <row r="2423" customFormat="false" ht="15" hidden="false" customHeight="false" outlineLevel="0" collapsed="false">
      <c r="A2423" s="6" t="n">
        <v>2419</v>
      </c>
      <c r="B2423" s="8" t="s">
        <v>3719</v>
      </c>
      <c r="C2423" s="8" t="s">
        <v>3720</v>
      </c>
      <c r="D2423" s="9"/>
      <c r="E2423" s="10"/>
      <c r="F2423" s="11"/>
      <c r="G2423" s="12"/>
      <c r="H2423" s="11" t="n">
        <v>0.00292592592592593</v>
      </c>
      <c r="I2423" s="12" t="n">
        <v>1157</v>
      </c>
      <c r="J2423" s="14"/>
      <c r="K2423" s="14"/>
      <c r="L2423" s="14"/>
      <c r="M2423" s="13"/>
    </row>
    <row r="2424" customFormat="false" ht="15" hidden="false" customHeight="false" outlineLevel="0" collapsed="false">
      <c r="A2424" s="6" t="n">
        <v>2420</v>
      </c>
      <c r="B2424" s="8" t="s">
        <v>3721</v>
      </c>
      <c r="C2424" s="8" t="s">
        <v>3722</v>
      </c>
      <c r="D2424" s="9"/>
      <c r="E2424" s="10"/>
      <c r="F2424" s="11" t="n">
        <v>0.00788101851851852</v>
      </c>
      <c r="G2424" s="12" t="n">
        <v>1158</v>
      </c>
      <c r="H2424" s="11"/>
      <c r="I2424" s="12"/>
      <c r="J2424" s="14"/>
      <c r="K2424" s="14"/>
      <c r="L2424" s="14"/>
      <c r="M2424" s="13"/>
    </row>
    <row r="2425" customFormat="false" ht="15" hidden="false" customHeight="false" outlineLevel="0" collapsed="false">
      <c r="A2425" s="6" t="n">
        <v>2421</v>
      </c>
      <c r="B2425" s="8" t="s">
        <v>3723</v>
      </c>
      <c r="C2425" s="8" t="s">
        <v>481</v>
      </c>
      <c r="D2425" s="9"/>
      <c r="E2425" s="10"/>
      <c r="F2425" s="11" t="n">
        <v>0.00788472222222222</v>
      </c>
      <c r="G2425" s="12" t="n">
        <v>1159</v>
      </c>
      <c r="H2425" s="11"/>
      <c r="I2425" s="12"/>
      <c r="J2425" s="14"/>
      <c r="K2425" s="14"/>
      <c r="L2425" s="14"/>
      <c r="M2425" s="13"/>
    </row>
    <row r="2426" customFormat="false" ht="15" hidden="false" customHeight="false" outlineLevel="0" collapsed="false">
      <c r="A2426" s="6" t="n">
        <v>2422</v>
      </c>
      <c r="B2426" s="8" t="s">
        <v>3724</v>
      </c>
      <c r="C2426" s="8" t="s">
        <v>3725</v>
      </c>
      <c r="D2426" s="9"/>
      <c r="E2426" s="10"/>
      <c r="F2426" s="11"/>
      <c r="G2426" s="12"/>
      <c r="H2426" s="11" t="n">
        <v>0.00292615740740741</v>
      </c>
      <c r="I2426" s="12" t="n">
        <v>1159</v>
      </c>
      <c r="J2426" s="14"/>
      <c r="K2426" s="14"/>
      <c r="L2426" s="14"/>
      <c r="M2426" s="13"/>
    </row>
    <row r="2427" customFormat="false" ht="15" hidden="false" customHeight="false" outlineLevel="0" collapsed="false">
      <c r="A2427" s="6" t="n">
        <v>2423</v>
      </c>
      <c r="B2427" s="8" t="s">
        <v>3726</v>
      </c>
      <c r="C2427" s="8" t="s">
        <v>1531</v>
      </c>
      <c r="D2427" s="9"/>
      <c r="E2427" s="10"/>
      <c r="F2427" s="11" t="n">
        <v>0.00788622685185185</v>
      </c>
      <c r="G2427" s="12" t="n">
        <v>1160</v>
      </c>
      <c r="H2427" s="11"/>
      <c r="I2427" s="12"/>
      <c r="J2427" s="14"/>
      <c r="K2427" s="14"/>
      <c r="L2427" s="14"/>
      <c r="M2427" s="13"/>
    </row>
    <row r="2428" customFormat="false" ht="15" hidden="false" customHeight="false" outlineLevel="0" collapsed="false">
      <c r="A2428" s="6" t="n">
        <v>2424</v>
      </c>
      <c r="B2428" s="8" t="s">
        <v>3727</v>
      </c>
      <c r="C2428" s="8" t="s">
        <v>2019</v>
      </c>
      <c r="D2428" s="9"/>
      <c r="E2428" s="10"/>
      <c r="F2428" s="11"/>
      <c r="G2428" s="12"/>
      <c r="H2428" s="11" t="n">
        <v>0.00292627314814815</v>
      </c>
      <c r="I2428" s="12" t="n">
        <v>1160</v>
      </c>
      <c r="J2428" s="14"/>
      <c r="K2428" s="14" t="s">
        <v>3728</v>
      </c>
      <c r="L2428" s="14"/>
      <c r="M2428" s="13"/>
    </row>
    <row r="2429" customFormat="false" ht="15" hidden="false" customHeight="false" outlineLevel="0" collapsed="false">
      <c r="A2429" s="6" t="n">
        <v>2425</v>
      </c>
      <c r="B2429" s="8" t="s">
        <v>3729</v>
      </c>
      <c r="C2429" s="8" t="s">
        <v>2141</v>
      </c>
      <c r="D2429" s="9"/>
      <c r="E2429" s="10"/>
      <c r="F2429" s="11" t="n">
        <v>0.00788865740740741</v>
      </c>
      <c r="G2429" s="12" t="n">
        <v>1161</v>
      </c>
      <c r="H2429" s="11"/>
      <c r="I2429" s="12"/>
      <c r="J2429" s="14"/>
      <c r="K2429" s="14"/>
      <c r="L2429" s="14"/>
      <c r="M2429" s="13"/>
    </row>
    <row r="2430" customFormat="false" ht="15" hidden="false" customHeight="false" outlineLevel="0" collapsed="false">
      <c r="A2430" s="6" t="n">
        <v>2426</v>
      </c>
      <c r="B2430" s="8" t="s">
        <v>3730</v>
      </c>
      <c r="C2430" s="8" t="s">
        <v>3731</v>
      </c>
      <c r="D2430" s="9"/>
      <c r="E2430" s="10"/>
      <c r="F2430" s="11"/>
      <c r="G2430" s="12"/>
      <c r="H2430" s="11" t="n">
        <v>0.00292627314814815</v>
      </c>
      <c r="I2430" s="12" t="n">
        <v>1161</v>
      </c>
      <c r="J2430" s="14"/>
      <c r="K2430" s="14"/>
      <c r="L2430" s="14"/>
      <c r="M2430" s="13"/>
    </row>
    <row r="2431" customFormat="false" ht="15" hidden="false" customHeight="false" outlineLevel="0" collapsed="false">
      <c r="A2431" s="6" t="n">
        <v>2427</v>
      </c>
      <c r="B2431" s="8" t="s">
        <v>3732</v>
      </c>
      <c r="C2431" s="8" t="s">
        <v>3664</v>
      </c>
      <c r="D2431" s="9"/>
      <c r="E2431" s="10"/>
      <c r="F2431" s="11" t="n">
        <v>0.00789837962962963</v>
      </c>
      <c r="G2431" s="12" t="n">
        <v>1163</v>
      </c>
      <c r="H2431" s="11"/>
      <c r="I2431" s="12"/>
      <c r="J2431" s="14"/>
      <c r="K2431" s="14"/>
      <c r="L2431" s="14"/>
      <c r="M2431" s="13"/>
    </row>
    <row r="2432" customFormat="false" ht="15" hidden="false" customHeight="false" outlineLevel="0" collapsed="false">
      <c r="A2432" s="6" t="n">
        <v>2428</v>
      </c>
      <c r="B2432" s="8" t="s">
        <v>3733</v>
      </c>
      <c r="C2432" s="8" t="s">
        <v>3734</v>
      </c>
      <c r="D2432" s="9"/>
      <c r="E2432" s="10"/>
      <c r="F2432" s="11"/>
      <c r="G2432" s="12"/>
      <c r="H2432" s="11" t="n">
        <v>0.00292673611111111</v>
      </c>
      <c r="I2432" s="12" t="n">
        <v>1163</v>
      </c>
      <c r="J2432" s="14"/>
      <c r="K2432" s="14"/>
      <c r="L2432" s="14"/>
      <c r="M2432" s="13"/>
    </row>
    <row r="2433" customFormat="false" ht="15" hidden="false" customHeight="false" outlineLevel="0" collapsed="false">
      <c r="A2433" s="6" t="n">
        <v>2429</v>
      </c>
      <c r="B2433" s="8" t="s">
        <v>3735</v>
      </c>
      <c r="C2433" s="8" t="s">
        <v>1262</v>
      </c>
      <c r="D2433" s="9"/>
      <c r="E2433" s="10"/>
      <c r="F2433" s="11" t="n">
        <v>0.00790162037037037</v>
      </c>
      <c r="G2433" s="12" t="n">
        <v>1164</v>
      </c>
      <c r="H2433" s="11"/>
      <c r="I2433" s="12"/>
      <c r="J2433" s="14"/>
      <c r="K2433" s="14"/>
      <c r="L2433" s="14"/>
      <c r="M2433" s="13"/>
    </row>
    <row r="2434" customFormat="false" ht="15" hidden="false" customHeight="false" outlineLevel="0" collapsed="false">
      <c r="A2434" s="6" t="n">
        <v>2430</v>
      </c>
      <c r="B2434" s="8" t="s">
        <v>3736</v>
      </c>
      <c r="C2434" s="8" t="s">
        <v>772</v>
      </c>
      <c r="D2434" s="9"/>
      <c r="E2434" s="10"/>
      <c r="F2434" s="11"/>
      <c r="G2434" s="12"/>
      <c r="H2434" s="11" t="n">
        <v>0.00292731481481482</v>
      </c>
      <c r="I2434" s="12" t="n">
        <v>1164</v>
      </c>
      <c r="J2434" s="14"/>
      <c r="K2434" s="14"/>
      <c r="L2434" s="14"/>
      <c r="M2434" s="13"/>
    </row>
    <row r="2435" customFormat="false" ht="15" hidden="false" customHeight="false" outlineLevel="0" collapsed="false">
      <c r="A2435" s="6" t="n">
        <v>2431</v>
      </c>
      <c r="B2435" s="8" t="s">
        <v>3737</v>
      </c>
      <c r="C2435" s="8" t="s">
        <v>1921</v>
      </c>
      <c r="D2435" s="9"/>
      <c r="E2435" s="10"/>
      <c r="F2435" s="11" t="n">
        <v>0.007903125</v>
      </c>
      <c r="G2435" s="12" t="n">
        <v>1165</v>
      </c>
      <c r="H2435" s="11"/>
      <c r="I2435" s="12"/>
      <c r="J2435" s="14"/>
      <c r="K2435" s="14"/>
      <c r="L2435" s="14"/>
      <c r="M2435" s="13"/>
    </row>
    <row r="2436" customFormat="false" ht="15" hidden="false" customHeight="false" outlineLevel="0" collapsed="false">
      <c r="A2436" s="6" t="n">
        <v>2432</v>
      </c>
      <c r="B2436" s="8" t="s">
        <v>3738</v>
      </c>
      <c r="C2436" s="8" t="s">
        <v>3739</v>
      </c>
      <c r="D2436" s="9"/>
      <c r="E2436" s="10"/>
      <c r="F2436" s="11"/>
      <c r="G2436" s="12"/>
      <c r="H2436" s="11" t="n">
        <v>0.00292731481481482</v>
      </c>
      <c r="I2436" s="12" t="n">
        <v>1165</v>
      </c>
      <c r="J2436" s="14"/>
      <c r="K2436" s="14"/>
      <c r="L2436" s="14"/>
      <c r="M2436" s="13"/>
    </row>
    <row r="2437" customFormat="false" ht="15" hidden="false" customHeight="false" outlineLevel="0" collapsed="false">
      <c r="A2437" s="6" t="n">
        <v>2433</v>
      </c>
      <c r="B2437" s="8" t="s">
        <v>3740</v>
      </c>
      <c r="C2437" s="8" t="s">
        <v>1205</v>
      </c>
      <c r="D2437" s="9"/>
      <c r="E2437" s="10"/>
      <c r="F2437" s="11" t="n">
        <v>0.00790949074074074</v>
      </c>
      <c r="G2437" s="12" t="n">
        <v>1166</v>
      </c>
      <c r="H2437" s="11"/>
      <c r="I2437" s="12"/>
      <c r="J2437" s="14"/>
      <c r="K2437" s="14"/>
      <c r="L2437" s="14"/>
      <c r="M2437" s="13"/>
    </row>
    <row r="2438" customFormat="false" ht="15" hidden="false" customHeight="false" outlineLevel="0" collapsed="false">
      <c r="A2438" s="6" t="n">
        <v>2434</v>
      </c>
      <c r="B2438" s="8" t="s">
        <v>3741</v>
      </c>
      <c r="C2438" s="8" t="s">
        <v>3742</v>
      </c>
      <c r="D2438" s="9"/>
      <c r="E2438" s="10"/>
      <c r="F2438" s="11" t="n">
        <v>0.00791446759259259</v>
      </c>
      <c r="G2438" s="12" t="n">
        <v>1167</v>
      </c>
      <c r="H2438" s="11"/>
      <c r="I2438" s="12"/>
      <c r="J2438" s="14"/>
      <c r="K2438" s="14"/>
      <c r="L2438" s="14"/>
      <c r="M2438" s="13"/>
    </row>
    <row r="2439" customFormat="false" ht="15" hidden="false" customHeight="false" outlineLevel="0" collapsed="false">
      <c r="A2439" s="6" t="n">
        <v>2435</v>
      </c>
      <c r="B2439" s="8" t="s">
        <v>3743</v>
      </c>
      <c r="C2439" s="8" t="s">
        <v>3744</v>
      </c>
      <c r="D2439" s="9"/>
      <c r="E2439" s="10"/>
      <c r="F2439" s="11"/>
      <c r="G2439" s="12"/>
      <c r="H2439" s="11" t="n">
        <v>0.00292766203703704</v>
      </c>
      <c r="I2439" s="12" t="n">
        <v>1167</v>
      </c>
      <c r="J2439" s="14"/>
      <c r="K2439" s="14"/>
      <c r="L2439" s="14"/>
      <c r="M2439" s="13"/>
    </row>
    <row r="2440" customFormat="false" ht="15" hidden="false" customHeight="false" outlineLevel="0" collapsed="false">
      <c r="A2440" s="6" t="n">
        <v>2436</v>
      </c>
      <c r="B2440" s="8" t="s">
        <v>3745</v>
      </c>
      <c r="C2440" s="8" t="s">
        <v>3746</v>
      </c>
      <c r="D2440" s="9"/>
      <c r="E2440" s="10"/>
      <c r="F2440" s="11" t="n">
        <v>0.0079193287037037</v>
      </c>
      <c r="G2440" s="12" t="n">
        <v>1168</v>
      </c>
      <c r="H2440" s="11"/>
      <c r="I2440" s="12"/>
      <c r="J2440" s="14"/>
      <c r="K2440" s="14"/>
      <c r="L2440" s="14"/>
      <c r="M2440" s="13"/>
    </row>
    <row r="2441" customFormat="false" ht="15" hidden="false" customHeight="false" outlineLevel="0" collapsed="false">
      <c r="A2441" s="6" t="n">
        <v>2437</v>
      </c>
      <c r="B2441" s="8" t="s">
        <v>3747</v>
      </c>
      <c r="C2441" s="8" t="s">
        <v>3748</v>
      </c>
      <c r="D2441" s="9"/>
      <c r="E2441" s="10"/>
      <c r="F2441" s="11" t="n">
        <v>0.00792094907407407</v>
      </c>
      <c r="G2441" s="12" t="n">
        <v>1169</v>
      </c>
      <c r="H2441" s="11"/>
      <c r="I2441" s="12"/>
      <c r="J2441" s="14"/>
      <c r="K2441" s="14"/>
      <c r="L2441" s="14"/>
      <c r="M2441" s="13"/>
    </row>
    <row r="2442" customFormat="false" ht="15" hidden="false" customHeight="false" outlineLevel="0" collapsed="false">
      <c r="A2442" s="6" t="n">
        <v>2438</v>
      </c>
      <c r="B2442" s="8" t="s">
        <v>3749</v>
      </c>
      <c r="C2442" s="8" t="s">
        <v>2951</v>
      </c>
      <c r="D2442" s="9"/>
      <c r="E2442" s="10"/>
      <c r="F2442" s="11"/>
      <c r="G2442" s="12"/>
      <c r="H2442" s="11" t="n">
        <v>0.00292835648148148</v>
      </c>
      <c r="I2442" s="12" t="n">
        <v>1169</v>
      </c>
      <c r="J2442" s="14"/>
      <c r="K2442" s="14"/>
      <c r="L2442" s="14"/>
      <c r="M2442" s="13"/>
    </row>
    <row r="2443" customFormat="false" ht="15" hidden="false" customHeight="false" outlineLevel="0" collapsed="false">
      <c r="A2443" s="6" t="n">
        <v>2439</v>
      </c>
      <c r="B2443" s="8" t="s">
        <v>3750</v>
      </c>
      <c r="C2443" s="8" t="s">
        <v>2516</v>
      </c>
      <c r="D2443" s="9"/>
      <c r="E2443" s="10"/>
      <c r="F2443" s="11" t="n">
        <v>0.00792314814814815</v>
      </c>
      <c r="G2443" s="12" t="n">
        <v>1170</v>
      </c>
      <c r="H2443" s="11"/>
      <c r="I2443" s="12"/>
      <c r="J2443" s="14"/>
      <c r="K2443" s="14"/>
      <c r="L2443" s="14"/>
      <c r="M2443" s="13"/>
    </row>
    <row r="2444" customFormat="false" ht="15" hidden="false" customHeight="false" outlineLevel="0" collapsed="false">
      <c r="A2444" s="6" t="n">
        <v>2440</v>
      </c>
      <c r="B2444" s="8" t="s">
        <v>3751</v>
      </c>
      <c r="C2444" s="8" t="s">
        <v>3752</v>
      </c>
      <c r="D2444" s="9"/>
      <c r="E2444" s="10"/>
      <c r="F2444" s="11" t="n">
        <v>0.00792511574074074</v>
      </c>
      <c r="G2444" s="12" t="n">
        <v>1171</v>
      </c>
      <c r="H2444" s="11"/>
      <c r="I2444" s="12"/>
      <c r="J2444" s="14"/>
      <c r="K2444" s="14"/>
      <c r="L2444" s="14"/>
      <c r="M2444" s="13"/>
    </row>
    <row r="2445" customFormat="false" ht="15" hidden="false" customHeight="false" outlineLevel="0" collapsed="false">
      <c r="A2445" s="6" t="n">
        <v>2441</v>
      </c>
      <c r="B2445" s="8" t="s">
        <v>3753</v>
      </c>
      <c r="C2445" s="8" t="s">
        <v>96</v>
      </c>
      <c r="D2445" s="9"/>
      <c r="E2445" s="10"/>
      <c r="F2445" s="11" t="n">
        <v>0.00793101851851852</v>
      </c>
      <c r="G2445" s="12" t="n">
        <v>1172</v>
      </c>
      <c r="H2445" s="11"/>
      <c r="I2445" s="12"/>
      <c r="J2445" s="14"/>
      <c r="K2445" s="14"/>
      <c r="L2445" s="14"/>
      <c r="M2445" s="13"/>
    </row>
    <row r="2446" customFormat="false" ht="15" hidden="false" customHeight="false" outlineLevel="0" collapsed="false">
      <c r="A2446" s="6" t="n">
        <v>2442</v>
      </c>
      <c r="B2446" s="8" t="s">
        <v>3754</v>
      </c>
      <c r="C2446" s="8" t="s">
        <v>946</v>
      </c>
      <c r="D2446" s="9"/>
      <c r="E2446" s="10"/>
      <c r="F2446" s="11"/>
      <c r="G2446" s="12"/>
      <c r="H2446" s="11" t="n">
        <v>0.00292951388888889</v>
      </c>
      <c r="I2446" s="12" t="n">
        <v>1172</v>
      </c>
      <c r="J2446" s="14"/>
      <c r="K2446" s="14"/>
      <c r="L2446" s="14"/>
      <c r="M2446" s="13"/>
    </row>
    <row r="2447" customFormat="false" ht="15" hidden="false" customHeight="false" outlineLevel="0" collapsed="false">
      <c r="A2447" s="6" t="n">
        <v>2443</v>
      </c>
      <c r="B2447" s="8" t="s">
        <v>3755</v>
      </c>
      <c r="C2447" s="8" t="s">
        <v>1211</v>
      </c>
      <c r="D2447" s="9"/>
      <c r="E2447" s="10"/>
      <c r="F2447" s="11" t="n">
        <v>0.00793321759259259</v>
      </c>
      <c r="G2447" s="12" t="n">
        <v>1173</v>
      </c>
      <c r="H2447" s="11"/>
      <c r="I2447" s="12"/>
      <c r="J2447" s="14"/>
      <c r="K2447" s="14"/>
      <c r="L2447" s="14"/>
      <c r="M2447" s="13"/>
    </row>
    <row r="2448" customFormat="false" ht="15" hidden="false" customHeight="false" outlineLevel="0" collapsed="false">
      <c r="A2448" s="6" t="n">
        <v>2444</v>
      </c>
      <c r="B2448" s="8" t="s">
        <v>3756</v>
      </c>
      <c r="C2448" s="8" t="s">
        <v>3757</v>
      </c>
      <c r="D2448" s="9"/>
      <c r="E2448" s="10"/>
      <c r="F2448" s="11" t="n">
        <v>0.00793981481481481</v>
      </c>
      <c r="G2448" s="12" t="n">
        <v>1175</v>
      </c>
      <c r="H2448" s="11"/>
      <c r="I2448" s="12"/>
      <c r="J2448" s="14"/>
      <c r="K2448" s="14"/>
      <c r="L2448" s="14"/>
      <c r="M2448" s="13"/>
    </row>
    <row r="2449" customFormat="false" ht="15" hidden="false" customHeight="false" outlineLevel="0" collapsed="false">
      <c r="A2449" s="6" t="n">
        <v>2445</v>
      </c>
      <c r="B2449" s="8" t="s">
        <v>3758</v>
      </c>
      <c r="C2449" s="8" t="s">
        <v>1674</v>
      </c>
      <c r="D2449" s="9"/>
      <c r="E2449" s="10"/>
      <c r="F2449" s="11"/>
      <c r="G2449" s="12"/>
      <c r="H2449" s="11" t="n">
        <v>0.00293090277777778</v>
      </c>
      <c r="I2449" s="12" t="n">
        <v>1175</v>
      </c>
      <c r="J2449" s="14"/>
      <c r="K2449" s="14"/>
      <c r="L2449" s="14"/>
      <c r="M2449" s="13"/>
    </row>
    <row r="2450" customFormat="false" ht="15" hidden="false" customHeight="false" outlineLevel="0" collapsed="false">
      <c r="A2450" s="6" t="n">
        <v>2446</v>
      </c>
      <c r="B2450" s="8" t="s">
        <v>3759</v>
      </c>
      <c r="C2450" s="8" t="s">
        <v>1327</v>
      </c>
      <c r="D2450" s="9"/>
      <c r="E2450" s="10"/>
      <c r="F2450" s="11" t="n">
        <v>0.00794212962962963</v>
      </c>
      <c r="G2450" s="12" t="n">
        <v>1176</v>
      </c>
      <c r="H2450" s="11"/>
      <c r="I2450" s="12"/>
      <c r="J2450" s="14"/>
      <c r="K2450" s="14"/>
      <c r="L2450" s="14"/>
      <c r="M2450" s="13"/>
    </row>
    <row r="2451" customFormat="false" ht="15" hidden="false" customHeight="false" outlineLevel="0" collapsed="false">
      <c r="A2451" s="6" t="n">
        <v>2447</v>
      </c>
      <c r="B2451" s="8" t="s">
        <v>3760</v>
      </c>
      <c r="C2451" s="8" t="s">
        <v>1192</v>
      </c>
      <c r="D2451" s="9"/>
      <c r="E2451" s="10"/>
      <c r="F2451" s="11"/>
      <c r="G2451" s="12"/>
      <c r="H2451" s="11" t="n">
        <v>0.00293148148148148</v>
      </c>
      <c r="I2451" s="12" t="n">
        <v>1176</v>
      </c>
      <c r="J2451" s="14"/>
      <c r="K2451" s="14"/>
      <c r="L2451" s="14"/>
      <c r="M2451" s="13"/>
    </row>
    <row r="2452" customFormat="false" ht="15" hidden="false" customHeight="false" outlineLevel="0" collapsed="false">
      <c r="A2452" s="6" t="n">
        <v>2448</v>
      </c>
      <c r="B2452" s="8" t="s">
        <v>3761</v>
      </c>
      <c r="C2452" s="8" t="s">
        <v>2901</v>
      </c>
      <c r="D2452" s="9"/>
      <c r="E2452" s="10"/>
      <c r="F2452" s="11" t="n">
        <v>0.00794224537037037</v>
      </c>
      <c r="G2452" s="12" t="n">
        <v>1177</v>
      </c>
      <c r="H2452" s="11"/>
      <c r="I2452" s="12"/>
      <c r="J2452" s="14"/>
      <c r="K2452" s="14"/>
      <c r="L2452" s="14"/>
      <c r="M2452" s="13"/>
    </row>
    <row r="2453" customFormat="false" ht="15" hidden="false" customHeight="false" outlineLevel="0" collapsed="false">
      <c r="A2453" s="6" t="n">
        <v>2449</v>
      </c>
      <c r="B2453" s="8" t="s">
        <v>3762</v>
      </c>
      <c r="C2453" s="8" t="s">
        <v>1853</v>
      </c>
      <c r="D2453" s="9"/>
      <c r="E2453" s="10"/>
      <c r="F2453" s="11" t="n">
        <v>0.0079599537037037</v>
      </c>
      <c r="G2453" s="12" t="n">
        <v>1179</v>
      </c>
      <c r="H2453" s="11"/>
      <c r="I2453" s="12"/>
      <c r="J2453" s="14"/>
      <c r="K2453" s="14"/>
      <c r="L2453" s="14"/>
      <c r="M2453" s="13"/>
    </row>
    <row r="2454" customFormat="false" ht="15" hidden="false" customHeight="false" outlineLevel="0" collapsed="false">
      <c r="A2454" s="6" t="n">
        <v>2450</v>
      </c>
      <c r="B2454" s="8" t="s">
        <v>3763</v>
      </c>
      <c r="C2454" s="8" t="s">
        <v>2168</v>
      </c>
      <c r="D2454" s="9"/>
      <c r="E2454" s="10"/>
      <c r="F2454" s="11"/>
      <c r="G2454" s="12"/>
      <c r="H2454" s="11" t="n">
        <v>0.00293206018518519</v>
      </c>
      <c r="I2454" s="12" t="n">
        <v>1179</v>
      </c>
      <c r="J2454" s="14"/>
      <c r="K2454" s="14"/>
      <c r="L2454" s="14"/>
      <c r="M2454" s="13"/>
    </row>
    <row r="2455" customFormat="false" ht="15" hidden="false" customHeight="false" outlineLevel="0" collapsed="false">
      <c r="A2455" s="6" t="n">
        <v>2451</v>
      </c>
      <c r="B2455" s="8" t="s">
        <v>3764</v>
      </c>
      <c r="C2455" s="8" t="s">
        <v>3765</v>
      </c>
      <c r="D2455" s="9"/>
      <c r="E2455" s="10"/>
      <c r="F2455" s="11" t="n">
        <v>0.00796296296296296</v>
      </c>
      <c r="G2455" s="12" t="n">
        <v>1180</v>
      </c>
      <c r="H2455" s="11"/>
      <c r="I2455" s="12"/>
      <c r="J2455" s="14"/>
      <c r="K2455" s="14"/>
      <c r="L2455" s="14"/>
      <c r="M2455" s="13"/>
    </row>
    <row r="2456" customFormat="false" ht="15" hidden="false" customHeight="false" outlineLevel="0" collapsed="false">
      <c r="A2456" s="6" t="n">
        <v>2452</v>
      </c>
      <c r="B2456" s="8" t="s">
        <v>3766</v>
      </c>
      <c r="C2456" s="8" t="s">
        <v>3767</v>
      </c>
      <c r="D2456" s="9"/>
      <c r="E2456" s="10"/>
      <c r="F2456" s="11" t="n">
        <v>0.00797002314814815</v>
      </c>
      <c r="G2456" s="12" t="n">
        <v>1181</v>
      </c>
      <c r="H2456" s="11"/>
      <c r="I2456" s="12"/>
      <c r="J2456" s="14"/>
      <c r="K2456" s="14"/>
      <c r="L2456" s="14"/>
      <c r="M2456" s="13"/>
    </row>
    <row r="2457" customFormat="false" ht="15" hidden="false" customHeight="false" outlineLevel="0" collapsed="false">
      <c r="A2457" s="6" t="n">
        <v>2453</v>
      </c>
      <c r="B2457" s="8" t="s">
        <v>3768</v>
      </c>
      <c r="C2457" s="8" t="s">
        <v>3769</v>
      </c>
      <c r="D2457" s="9"/>
      <c r="E2457" s="10"/>
      <c r="F2457" s="11" t="n">
        <v>0.00797002314814815</v>
      </c>
      <c r="G2457" s="12" t="n">
        <v>1182</v>
      </c>
      <c r="H2457" s="11"/>
      <c r="I2457" s="12"/>
      <c r="J2457" s="14"/>
      <c r="K2457" s="14"/>
      <c r="L2457" s="14"/>
      <c r="M2457" s="13"/>
    </row>
    <row r="2458" customFormat="false" ht="15" hidden="false" customHeight="false" outlineLevel="0" collapsed="false">
      <c r="A2458" s="6" t="n">
        <v>2454</v>
      </c>
      <c r="B2458" s="8" t="s">
        <v>3770</v>
      </c>
      <c r="C2458" s="8" t="s">
        <v>3771</v>
      </c>
      <c r="D2458" s="9"/>
      <c r="E2458" s="10"/>
      <c r="F2458" s="11" t="n">
        <v>0.0079755787037037</v>
      </c>
      <c r="G2458" s="12" t="n">
        <v>1183</v>
      </c>
      <c r="H2458" s="11"/>
      <c r="I2458" s="12"/>
      <c r="J2458" s="14"/>
      <c r="K2458" s="14"/>
      <c r="L2458" s="14"/>
      <c r="M2458" s="13"/>
    </row>
    <row r="2459" customFormat="false" ht="15" hidden="false" customHeight="false" outlineLevel="0" collapsed="false">
      <c r="A2459" s="6" t="n">
        <v>2455</v>
      </c>
      <c r="B2459" s="8" t="s">
        <v>3772</v>
      </c>
      <c r="C2459" s="8" t="s">
        <v>370</v>
      </c>
      <c r="D2459" s="9"/>
      <c r="E2459" s="10"/>
      <c r="F2459" s="11" t="n">
        <v>0.00797835648148148</v>
      </c>
      <c r="G2459" s="12" t="n">
        <v>1184</v>
      </c>
      <c r="H2459" s="11"/>
      <c r="I2459" s="12"/>
      <c r="J2459" s="14"/>
      <c r="K2459" s="14"/>
      <c r="L2459" s="14"/>
      <c r="M2459" s="13"/>
    </row>
    <row r="2460" customFormat="false" ht="15" hidden="false" customHeight="false" outlineLevel="0" collapsed="false">
      <c r="A2460" s="6" t="n">
        <v>2456</v>
      </c>
      <c r="B2460" s="8" t="s">
        <v>3773</v>
      </c>
      <c r="C2460" s="8" t="s">
        <v>954</v>
      </c>
      <c r="D2460" s="9"/>
      <c r="E2460" s="10"/>
      <c r="F2460" s="11"/>
      <c r="G2460" s="12"/>
      <c r="H2460" s="11" t="n">
        <v>0.00293472222222222</v>
      </c>
      <c r="I2460" s="12" t="n">
        <v>1184</v>
      </c>
      <c r="J2460" s="14"/>
      <c r="K2460" s="14"/>
      <c r="L2460" s="14"/>
      <c r="M2460" s="13"/>
    </row>
    <row r="2461" customFormat="false" ht="15" hidden="false" customHeight="false" outlineLevel="0" collapsed="false">
      <c r="A2461" s="6" t="n">
        <v>2457</v>
      </c>
      <c r="B2461" s="8" t="s">
        <v>3774</v>
      </c>
      <c r="C2461" s="8" t="s">
        <v>2477</v>
      </c>
      <c r="D2461" s="9"/>
      <c r="E2461" s="10"/>
      <c r="F2461" s="11" t="n">
        <v>0.00798865740740741</v>
      </c>
      <c r="G2461" s="12" t="n">
        <v>1185</v>
      </c>
      <c r="H2461" s="11"/>
      <c r="I2461" s="12"/>
      <c r="J2461" s="14"/>
      <c r="K2461" s="14"/>
      <c r="L2461" s="14"/>
      <c r="M2461" s="13"/>
    </row>
    <row r="2462" customFormat="false" ht="15" hidden="false" customHeight="false" outlineLevel="0" collapsed="false">
      <c r="A2462" s="6" t="n">
        <v>2458</v>
      </c>
      <c r="B2462" s="8" t="s">
        <v>3775</v>
      </c>
      <c r="C2462" s="8" t="s">
        <v>544</v>
      </c>
      <c r="D2462" s="9"/>
      <c r="E2462" s="10"/>
      <c r="F2462" s="11" t="n">
        <v>0.00799097222222222</v>
      </c>
      <c r="G2462" s="12" t="n">
        <v>1186</v>
      </c>
      <c r="H2462" s="11"/>
      <c r="I2462" s="12"/>
      <c r="J2462" s="14"/>
      <c r="K2462" s="14"/>
      <c r="L2462" s="14"/>
      <c r="M2462" s="13"/>
    </row>
    <row r="2463" customFormat="false" ht="15" hidden="false" customHeight="false" outlineLevel="0" collapsed="false">
      <c r="A2463" s="6" t="n">
        <v>2459</v>
      </c>
      <c r="B2463" s="8" t="s">
        <v>3776</v>
      </c>
      <c r="C2463" s="8" t="s">
        <v>562</v>
      </c>
      <c r="D2463" s="9"/>
      <c r="E2463" s="10"/>
      <c r="F2463" s="11"/>
      <c r="G2463" s="12"/>
      <c r="H2463" s="11" t="n">
        <v>0.00293483796296296</v>
      </c>
      <c r="I2463" s="12" t="n">
        <v>1186</v>
      </c>
      <c r="J2463" s="14"/>
      <c r="K2463" s="14"/>
      <c r="L2463" s="14"/>
      <c r="M2463" s="13"/>
    </row>
    <row r="2464" customFormat="false" ht="15" hidden="false" customHeight="false" outlineLevel="0" collapsed="false">
      <c r="A2464" s="6" t="n">
        <v>2460</v>
      </c>
      <c r="B2464" s="8" t="s">
        <v>3777</v>
      </c>
      <c r="C2464" s="8" t="s">
        <v>3778</v>
      </c>
      <c r="D2464" s="9"/>
      <c r="E2464" s="10"/>
      <c r="F2464" s="11" t="n">
        <v>0.00799293981481482</v>
      </c>
      <c r="G2464" s="12" t="n">
        <v>1187</v>
      </c>
      <c r="H2464" s="11"/>
      <c r="I2464" s="12"/>
      <c r="J2464" s="14"/>
      <c r="K2464" s="14"/>
      <c r="L2464" s="14"/>
      <c r="M2464" s="13"/>
    </row>
    <row r="2465" customFormat="false" ht="15" hidden="false" customHeight="false" outlineLevel="0" collapsed="false">
      <c r="A2465" s="6" t="n">
        <v>2461</v>
      </c>
      <c r="B2465" s="8" t="s">
        <v>3779</v>
      </c>
      <c r="C2465" s="8" t="s">
        <v>3780</v>
      </c>
      <c r="D2465" s="9"/>
      <c r="E2465" s="10"/>
      <c r="F2465" s="11"/>
      <c r="G2465" s="12"/>
      <c r="H2465" s="11" t="n">
        <v>0.0029349537037037</v>
      </c>
      <c r="I2465" s="12" t="n">
        <v>1187</v>
      </c>
      <c r="J2465" s="14"/>
      <c r="K2465" s="14"/>
      <c r="L2465" s="14"/>
      <c r="M2465" s="13"/>
    </row>
    <row r="2466" customFormat="false" ht="15" hidden="false" customHeight="false" outlineLevel="0" collapsed="false">
      <c r="A2466" s="6" t="n">
        <v>2462</v>
      </c>
      <c r="B2466" s="8" t="s">
        <v>3781</v>
      </c>
      <c r="C2466" s="8" t="s">
        <v>3782</v>
      </c>
      <c r="D2466" s="9"/>
      <c r="E2466" s="10"/>
      <c r="F2466" s="11" t="n">
        <v>0.00799710648148148</v>
      </c>
      <c r="G2466" s="12" t="n">
        <v>1188</v>
      </c>
      <c r="H2466" s="11"/>
      <c r="I2466" s="12"/>
      <c r="J2466" s="14"/>
      <c r="K2466" s="14"/>
      <c r="L2466" s="14"/>
      <c r="M2466" s="13"/>
    </row>
    <row r="2467" customFormat="false" ht="15" hidden="false" customHeight="false" outlineLevel="0" collapsed="false">
      <c r="A2467" s="6" t="n">
        <v>2463</v>
      </c>
      <c r="B2467" s="8" t="s">
        <v>3783</v>
      </c>
      <c r="C2467" s="8" t="s">
        <v>3784</v>
      </c>
      <c r="D2467" s="9"/>
      <c r="E2467" s="10"/>
      <c r="F2467" s="11"/>
      <c r="G2467" s="12"/>
      <c r="H2467" s="11" t="n">
        <v>0.00293564814814815</v>
      </c>
      <c r="I2467" s="12" t="n">
        <v>1188</v>
      </c>
      <c r="J2467" s="14"/>
      <c r="K2467" s="14"/>
      <c r="L2467" s="14"/>
      <c r="M2467" s="13"/>
    </row>
    <row r="2468" customFormat="false" ht="15" hidden="false" customHeight="false" outlineLevel="0" collapsed="false">
      <c r="A2468" s="6" t="n">
        <v>2464</v>
      </c>
      <c r="B2468" s="8" t="s">
        <v>3785</v>
      </c>
      <c r="C2468" s="8" t="s">
        <v>2426</v>
      </c>
      <c r="D2468" s="9"/>
      <c r="E2468" s="10"/>
      <c r="F2468" s="11" t="n">
        <v>0.00800046296296296</v>
      </c>
      <c r="G2468" s="12" t="n">
        <v>1189</v>
      </c>
      <c r="H2468" s="11"/>
      <c r="I2468" s="12"/>
      <c r="J2468" s="14"/>
      <c r="K2468" s="14"/>
      <c r="L2468" s="14"/>
      <c r="M2468" s="13"/>
    </row>
    <row r="2469" customFormat="false" ht="15" hidden="false" customHeight="false" outlineLevel="0" collapsed="false">
      <c r="A2469" s="6" t="n">
        <v>2465</v>
      </c>
      <c r="B2469" s="8" t="s">
        <v>3786</v>
      </c>
      <c r="C2469" s="8" t="s">
        <v>2908</v>
      </c>
      <c r="D2469" s="9"/>
      <c r="E2469" s="10"/>
      <c r="F2469" s="11"/>
      <c r="G2469" s="12"/>
      <c r="H2469" s="11" t="n">
        <v>0.00293611111111111</v>
      </c>
      <c r="I2469" s="12" t="n">
        <v>1189</v>
      </c>
      <c r="J2469" s="14"/>
      <c r="K2469" s="14"/>
      <c r="L2469" s="14"/>
      <c r="M2469" s="13"/>
    </row>
    <row r="2470" customFormat="false" ht="15" hidden="false" customHeight="false" outlineLevel="0" collapsed="false">
      <c r="A2470" s="6" t="n">
        <v>2466</v>
      </c>
      <c r="B2470" s="8" t="s">
        <v>3787</v>
      </c>
      <c r="C2470" s="8" t="s">
        <v>2844</v>
      </c>
      <c r="D2470" s="9"/>
      <c r="E2470" s="10"/>
      <c r="F2470" s="11" t="n">
        <v>0.00800439814814815</v>
      </c>
      <c r="G2470" s="12" t="n">
        <v>1190</v>
      </c>
      <c r="H2470" s="11"/>
      <c r="I2470" s="12"/>
      <c r="J2470" s="14"/>
      <c r="K2470" s="14"/>
      <c r="L2470" s="14"/>
      <c r="M2470" s="13"/>
    </row>
    <row r="2471" customFormat="false" ht="15" hidden="false" customHeight="false" outlineLevel="0" collapsed="false">
      <c r="A2471" s="6" t="n">
        <v>2467</v>
      </c>
      <c r="B2471" s="8" t="s">
        <v>3788</v>
      </c>
      <c r="C2471" s="8" t="s">
        <v>3789</v>
      </c>
      <c r="D2471" s="9"/>
      <c r="E2471" s="10"/>
      <c r="F2471" s="11"/>
      <c r="G2471" s="12"/>
      <c r="H2471" s="11" t="n">
        <v>0.00293634259259259</v>
      </c>
      <c r="I2471" s="12" t="n">
        <v>1190</v>
      </c>
      <c r="J2471" s="14"/>
      <c r="K2471" s="14"/>
      <c r="L2471" s="14"/>
      <c r="M2471" s="13"/>
    </row>
    <row r="2472" customFormat="false" ht="15" hidden="false" customHeight="false" outlineLevel="0" collapsed="false">
      <c r="A2472" s="6" t="n">
        <v>2468</v>
      </c>
      <c r="B2472" s="8" t="s">
        <v>3790</v>
      </c>
      <c r="C2472" s="8" t="s">
        <v>2459</v>
      </c>
      <c r="D2472" s="9"/>
      <c r="E2472" s="10"/>
      <c r="F2472" s="11" t="n">
        <v>0.0080068287037037</v>
      </c>
      <c r="G2472" s="12" t="n">
        <v>1191</v>
      </c>
      <c r="H2472" s="11"/>
      <c r="I2472" s="12"/>
      <c r="J2472" s="14"/>
      <c r="K2472" s="14"/>
      <c r="L2472" s="14"/>
      <c r="M2472" s="13"/>
    </row>
    <row r="2473" customFormat="false" ht="15" hidden="false" customHeight="false" outlineLevel="0" collapsed="false">
      <c r="A2473" s="6" t="n">
        <v>2469</v>
      </c>
      <c r="B2473" s="8" t="s">
        <v>3791</v>
      </c>
      <c r="C2473" s="8" t="s">
        <v>866</v>
      </c>
      <c r="D2473" s="9"/>
      <c r="E2473" s="10"/>
      <c r="F2473" s="11"/>
      <c r="G2473" s="12"/>
      <c r="H2473" s="11" t="n">
        <v>0.00293680555555556</v>
      </c>
      <c r="I2473" s="12" t="n">
        <v>1191</v>
      </c>
      <c r="J2473" s="14"/>
      <c r="K2473" s="14"/>
      <c r="L2473" s="14"/>
      <c r="M2473" s="13"/>
    </row>
    <row r="2474" customFormat="false" ht="15" hidden="false" customHeight="false" outlineLevel="0" collapsed="false">
      <c r="A2474" s="6" t="n">
        <v>2470</v>
      </c>
      <c r="B2474" s="8" t="s">
        <v>3792</v>
      </c>
      <c r="C2474" s="8" t="s">
        <v>3793</v>
      </c>
      <c r="D2474" s="9"/>
      <c r="E2474" s="10"/>
      <c r="F2474" s="11" t="n">
        <v>0.00801030092592593</v>
      </c>
      <c r="G2474" s="12" t="n">
        <v>1192</v>
      </c>
      <c r="H2474" s="11"/>
      <c r="I2474" s="12"/>
      <c r="J2474" s="14"/>
      <c r="K2474" s="14"/>
      <c r="L2474" s="14"/>
      <c r="M2474" s="13"/>
    </row>
    <row r="2475" customFormat="false" ht="15" hidden="false" customHeight="false" outlineLevel="0" collapsed="false">
      <c r="A2475" s="6" t="n">
        <v>2471</v>
      </c>
      <c r="B2475" s="8" t="s">
        <v>3794</v>
      </c>
      <c r="C2475" s="8" t="s">
        <v>120</v>
      </c>
      <c r="D2475" s="9"/>
      <c r="E2475" s="10"/>
      <c r="F2475" s="11"/>
      <c r="G2475" s="12"/>
      <c r="H2475" s="11" t="n">
        <v>0.00293680555555556</v>
      </c>
      <c r="I2475" s="12" t="n">
        <v>1192</v>
      </c>
      <c r="J2475" s="14"/>
      <c r="K2475" s="14"/>
      <c r="L2475" s="14"/>
      <c r="M2475" s="13"/>
    </row>
    <row r="2476" customFormat="false" ht="15" hidden="false" customHeight="false" outlineLevel="0" collapsed="false">
      <c r="A2476" s="6" t="n">
        <v>2472</v>
      </c>
      <c r="B2476" s="8" t="s">
        <v>3795</v>
      </c>
      <c r="C2476" s="8" t="s">
        <v>3796</v>
      </c>
      <c r="D2476" s="9"/>
      <c r="E2476" s="10"/>
      <c r="F2476" s="11" t="n">
        <v>0.00801215277777778</v>
      </c>
      <c r="G2476" s="12" t="n">
        <v>1193</v>
      </c>
      <c r="H2476" s="11"/>
      <c r="I2476" s="12"/>
      <c r="J2476" s="14"/>
      <c r="K2476" s="14"/>
      <c r="L2476" s="14"/>
      <c r="M2476" s="13"/>
    </row>
    <row r="2477" customFormat="false" ht="15" hidden="false" customHeight="false" outlineLevel="0" collapsed="false">
      <c r="A2477" s="6" t="n">
        <v>2473</v>
      </c>
      <c r="B2477" s="8" t="s">
        <v>3797</v>
      </c>
      <c r="C2477" s="8" t="s">
        <v>233</v>
      </c>
      <c r="D2477" s="9"/>
      <c r="E2477" s="10"/>
      <c r="F2477" s="11"/>
      <c r="G2477" s="12"/>
      <c r="H2477" s="11" t="n">
        <v>0.00293680555555556</v>
      </c>
      <c r="I2477" s="12" t="n">
        <v>1193</v>
      </c>
      <c r="J2477" s="14"/>
      <c r="K2477" s="14"/>
      <c r="L2477" s="14"/>
      <c r="M2477" s="13"/>
    </row>
    <row r="2478" customFormat="false" ht="15" hidden="false" customHeight="false" outlineLevel="0" collapsed="false">
      <c r="A2478" s="6" t="n">
        <v>2474</v>
      </c>
      <c r="B2478" s="8" t="s">
        <v>3798</v>
      </c>
      <c r="C2478" s="8" t="s">
        <v>2423</v>
      </c>
      <c r="D2478" s="9"/>
      <c r="E2478" s="10"/>
      <c r="F2478" s="11" t="n">
        <v>0.00801863425925926</v>
      </c>
      <c r="G2478" s="12" t="n">
        <v>1194</v>
      </c>
      <c r="H2478" s="11"/>
      <c r="I2478" s="12"/>
      <c r="J2478" s="14"/>
      <c r="K2478" s="14"/>
      <c r="L2478" s="14"/>
      <c r="M2478" s="13"/>
    </row>
    <row r="2479" customFormat="false" ht="15" hidden="false" customHeight="false" outlineLevel="0" collapsed="false">
      <c r="A2479" s="6" t="n">
        <v>2475</v>
      </c>
      <c r="B2479" s="8" t="s">
        <v>3799</v>
      </c>
      <c r="C2479" s="8" t="s">
        <v>3800</v>
      </c>
      <c r="D2479" s="9"/>
      <c r="E2479" s="10"/>
      <c r="F2479" s="11"/>
      <c r="G2479" s="12"/>
      <c r="H2479" s="11" t="n">
        <v>0.00293715277777778</v>
      </c>
      <c r="I2479" s="12" t="n">
        <v>1194</v>
      </c>
      <c r="J2479" s="14"/>
      <c r="K2479" s="14"/>
      <c r="L2479" s="14"/>
      <c r="M2479" s="13"/>
    </row>
    <row r="2480" customFormat="false" ht="15" hidden="false" customHeight="false" outlineLevel="0" collapsed="false">
      <c r="A2480" s="6" t="n">
        <v>2476</v>
      </c>
      <c r="B2480" s="8" t="s">
        <v>3801</v>
      </c>
      <c r="C2480" s="8" t="s">
        <v>3802</v>
      </c>
      <c r="D2480" s="9"/>
      <c r="E2480" s="10"/>
      <c r="F2480" s="11" t="n">
        <v>0.00802847222222222</v>
      </c>
      <c r="G2480" s="12" t="n">
        <v>1196</v>
      </c>
      <c r="H2480" s="11"/>
      <c r="I2480" s="12"/>
      <c r="J2480" s="14"/>
      <c r="K2480" s="14"/>
      <c r="L2480" s="14"/>
      <c r="M2480" s="13"/>
    </row>
    <row r="2481" customFormat="false" ht="15" hidden="false" customHeight="false" outlineLevel="0" collapsed="false">
      <c r="A2481" s="6" t="n">
        <v>2477</v>
      </c>
      <c r="B2481" s="8" t="s">
        <v>3803</v>
      </c>
      <c r="C2481" s="8" t="s">
        <v>3804</v>
      </c>
      <c r="D2481" s="9"/>
      <c r="E2481" s="10"/>
      <c r="F2481" s="11"/>
      <c r="G2481" s="12"/>
      <c r="H2481" s="11" t="n">
        <v>0.0029375</v>
      </c>
      <c r="I2481" s="12" t="n">
        <v>1196</v>
      </c>
      <c r="J2481" s="14"/>
      <c r="K2481" s="14"/>
      <c r="L2481" s="14"/>
      <c r="M2481" s="13"/>
    </row>
    <row r="2482" customFormat="false" ht="15" hidden="false" customHeight="false" outlineLevel="0" collapsed="false">
      <c r="A2482" s="6" t="n">
        <v>2478</v>
      </c>
      <c r="B2482" s="8" t="s">
        <v>3805</v>
      </c>
      <c r="C2482" s="8" t="s">
        <v>2599</v>
      </c>
      <c r="D2482" s="9"/>
      <c r="E2482" s="10"/>
      <c r="F2482" s="11" t="n">
        <v>0.00802893518518519</v>
      </c>
      <c r="G2482" s="12" t="n">
        <v>1197</v>
      </c>
      <c r="H2482" s="11"/>
      <c r="I2482" s="12"/>
      <c r="J2482" s="14"/>
      <c r="K2482" s="14"/>
      <c r="L2482" s="14"/>
      <c r="M2482" s="13"/>
    </row>
    <row r="2483" customFormat="false" ht="15" hidden="false" customHeight="false" outlineLevel="0" collapsed="false">
      <c r="A2483" s="6" t="n">
        <v>2479</v>
      </c>
      <c r="B2483" s="8" t="s">
        <v>3806</v>
      </c>
      <c r="C2483" s="8" t="s">
        <v>1595</v>
      </c>
      <c r="D2483" s="9"/>
      <c r="E2483" s="10"/>
      <c r="F2483" s="11" t="n">
        <v>0.00803425925925926</v>
      </c>
      <c r="G2483" s="12" t="n">
        <v>1198</v>
      </c>
      <c r="H2483" s="11"/>
      <c r="I2483" s="12"/>
      <c r="J2483" s="14"/>
      <c r="K2483" s="14"/>
      <c r="L2483" s="14"/>
      <c r="M2483" s="13"/>
    </row>
    <row r="2484" customFormat="false" ht="15" hidden="false" customHeight="false" outlineLevel="0" collapsed="false">
      <c r="A2484" s="6" t="n">
        <v>2480</v>
      </c>
      <c r="B2484" s="8" t="s">
        <v>1806</v>
      </c>
      <c r="C2484" s="8" t="s">
        <v>2260</v>
      </c>
      <c r="D2484" s="9"/>
      <c r="E2484" s="10"/>
      <c r="F2484" s="11"/>
      <c r="G2484" s="12"/>
      <c r="H2484" s="11" t="n">
        <v>0.00293923611111111</v>
      </c>
      <c r="I2484" s="12" t="n">
        <v>1198</v>
      </c>
      <c r="J2484" s="14"/>
      <c r="K2484" s="14"/>
      <c r="L2484" s="8" t="s">
        <v>3807</v>
      </c>
      <c r="M2484" s="13"/>
    </row>
    <row r="2485" customFormat="false" ht="15" hidden="false" customHeight="false" outlineLevel="0" collapsed="false">
      <c r="A2485" s="6" t="n">
        <v>2481</v>
      </c>
      <c r="B2485" s="8" t="s">
        <v>3808</v>
      </c>
      <c r="C2485" s="8" t="s">
        <v>2901</v>
      </c>
      <c r="D2485" s="9"/>
      <c r="E2485" s="10"/>
      <c r="F2485" s="11" t="n">
        <v>0.00805300925925926</v>
      </c>
      <c r="G2485" s="12" t="n">
        <v>1200</v>
      </c>
      <c r="H2485" s="11"/>
      <c r="I2485" s="12"/>
      <c r="J2485" s="14"/>
      <c r="K2485" s="14"/>
      <c r="L2485" s="14"/>
      <c r="M2485" s="13"/>
    </row>
    <row r="2486" customFormat="false" ht="15" hidden="false" customHeight="false" outlineLevel="0" collapsed="false">
      <c r="A2486" s="6" t="n">
        <v>2482</v>
      </c>
      <c r="B2486" s="8" t="s">
        <v>3809</v>
      </c>
      <c r="C2486" s="8" t="s">
        <v>2533</v>
      </c>
      <c r="D2486" s="9"/>
      <c r="E2486" s="10"/>
      <c r="F2486" s="11" t="n">
        <v>0.008059375</v>
      </c>
      <c r="G2486" s="12" t="n">
        <v>1201</v>
      </c>
      <c r="H2486" s="11"/>
      <c r="I2486" s="12"/>
      <c r="J2486" s="14"/>
      <c r="K2486" s="14"/>
      <c r="L2486" s="14"/>
      <c r="M2486" s="13"/>
    </row>
    <row r="2487" customFormat="false" ht="15" hidden="false" customHeight="false" outlineLevel="0" collapsed="false">
      <c r="A2487" s="6" t="n">
        <v>2483</v>
      </c>
      <c r="B2487" s="8" t="s">
        <v>3810</v>
      </c>
      <c r="C2487" s="8" t="s">
        <v>2680</v>
      </c>
      <c r="D2487" s="9"/>
      <c r="E2487" s="10"/>
      <c r="F2487" s="11" t="n">
        <v>0.00806342592592593</v>
      </c>
      <c r="G2487" s="12" t="n">
        <v>1202</v>
      </c>
      <c r="H2487" s="11"/>
      <c r="I2487" s="12"/>
      <c r="J2487" s="14"/>
      <c r="K2487" s="14"/>
      <c r="L2487" s="14"/>
      <c r="M2487" s="13"/>
    </row>
    <row r="2488" customFormat="false" ht="15" hidden="false" customHeight="false" outlineLevel="0" collapsed="false">
      <c r="A2488" s="6" t="n">
        <v>2484</v>
      </c>
      <c r="B2488" s="8" t="s">
        <v>3811</v>
      </c>
      <c r="C2488" s="8" t="s">
        <v>437</v>
      </c>
      <c r="D2488" s="9"/>
      <c r="E2488" s="10"/>
      <c r="F2488" s="11"/>
      <c r="G2488" s="12"/>
      <c r="H2488" s="11" t="n">
        <v>0.00294097222222222</v>
      </c>
      <c r="I2488" s="12" t="n">
        <v>1202</v>
      </c>
      <c r="J2488" s="14"/>
      <c r="K2488" s="14"/>
      <c r="L2488" s="14"/>
      <c r="M2488" s="13"/>
    </row>
    <row r="2489" customFormat="false" ht="15" hidden="false" customHeight="false" outlineLevel="0" collapsed="false">
      <c r="A2489" s="6" t="n">
        <v>2485</v>
      </c>
      <c r="B2489" s="8" t="s">
        <v>3812</v>
      </c>
      <c r="C2489" s="8" t="s">
        <v>2774</v>
      </c>
      <c r="D2489" s="9"/>
      <c r="E2489" s="10"/>
      <c r="F2489" s="11" t="n">
        <v>0.00806574074074074</v>
      </c>
      <c r="G2489" s="12" t="n">
        <v>1203</v>
      </c>
      <c r="H2489" s="11"/>
      <c r="I2489" s="12"/>
      <c r="J2489" s="14"/>
      <c r="K2489" s="14"/>
      <c r="L2489" s="14"/>
      <c r="M2489" s="13"/>
    </row>
    <row r="2490" customFormat="false" ht="15" hidden="false" customHeight="false" outlineLevel="0" collapsed="false">
      <c r="A2490" s="6" t="n">
        <v>2486</v>
      </c>
      <c r="B2490" s="8" t="s">
        <v>3813</v>
      </c>
      <c r="C2490" s="8" t="s">
        <v>3814</v>
      </c>
      <c r="D2490" s="9"/>
      <c r="E2490" s="10"/>
      <c r="F2490" s="11" t="n">
        <v>0.00806655092592593</v>
      </c>
      <c r="G2490" s="12" t="n">
        <v>1204</v>
      </c>
      <c r="H2490" s="11"/>
      <c r="I2490" s="12"/>
      <c r="J2490" s="14"/>
      <c r="K2490" s="14"/>
      <c r="L2490" s="14"/>
      <c r="M2490" s="13"/>
    </row>
    <row r="2491" customFormat="false" ht="15" hidden="false" customHeight="false" outlineLevel="0" collapsed="false">
      <c r="A2491" s="6" t="n">
        <v>2487</v>
      </c>
      <c r="B2491" s="8" t="s">
        <v>3815</v>
      </c>
      <c r="C2491" s="8" t="s">
        <v>3816</v>
      </c>
      <c r="D2491" s="9"/>
      <c r="E2491" s="10"/>
      <c r="F2491" s="11" t="n">
        <v>0.00806747685185185</v>
      </c>
      <c r="G2491" s="12" t="n">
        <v>1205</v>
      </c>
      <c r="H2491" s="11"/>
      <c r="I2491" s="12"/>
      <c r="J2491" s="14"/>
      <c r="K2491" s="14"/>
      <c r="L2491" s="14"/>
      <c r="M2491" s="13"/>
    </row>
    <row r="2492" customFormat="false" ht="15" hidden="false" customHeight="false" outlineLevel="0" collapsed="false">
      <c r="A2492" s="6" t="n">
        <v>2488</v>
      </c>
      <c r="B2492" s="8" t="s">
        <v>3817</v>
      </c>
      <c r="C2492" s="8" t="s">
        <v>3818</v>
      </c>
      <c r="D2492" s="9"/>
      <c r="E2492" s="10"/>
      <c r="F2492" s="11"/>
      <c r="G2492" s="12"/>
      <c r="H2492" s="11" t="n">
        <v>0.00294155092592593</v>
      </c>
      <c r="I2492" s="12" t="n">
        <v>1205</v>
      </c>
      <c r="J2492" s="14"/>
      <c r="K2492" s="14"/>
      <c r="L2492" s="14"/>
      <c r="M2492" s="13"/>
    </row>
    <row r="2493" customFormat="false" ht="15" hidden="false" customHeight="false" outlineLevel="0" collapsed="false">
      <c r="A2493" s="6" t="n">
        <v>2489</v>
      </c>
      <c r="B2493" s="8" t="s">
        <v>3819</v>
      </c>
      <c r="C2493" s="8" t="s">
        <v>3556</v>
      </c>
      <c r="D2493" s="9"/>
      <c r="E2493" s="10"/>
      <c r="F2493" s="11" t="n">
        <v>0.00806979166666667</v>
      </c>
      <c r="G2493" s="12" t="n">
        <v>1206</v>
      </c>
      <c r="H2493" s="11"/>
      <c r="I2493" s="12"/>
      <c r="J2493" s="14"/>
      <c r="K2493" s="14"/>
      <c r="L2493" s="14"/>
      <c r="M2493" s="13"/>
    </row>
    <row r="2494" customFormat="false" ht="15" hidden="false" customHeight="false" outlineLevel="0" collapsed="false">
      <c r="A2494" s="6" t="n">
        <v>2490</v>
      </c>
      <c r="B2494" s="8" t="s">
        <v>3820</v>
      </c>
      <c r="C2494" s="8" t="s">
        <v>3821</v>
      </c>
      <c r="D2494" s="9"/>
      <c r="E2494" s="10"/>
      <c r="F2494" s="11" t="n">
        <v>0.00807349537037037</v>
      </c>
      <c r="G2494" s="12" t="n">
        <v>1207</v>
      </c>
      <c r="H2494" s="11"/>
      <c r="I2494" s="12"/>
      <c r="J2494" s="14"/>
      <c r="K2494" s="14"/>
      <c r="L2494" s="14"/>
      <c r="M2494" s="13"/>
    </row>
    <row r="2495" customFormat="false" ht="15" hidden="false" customHeight="false" outlineLevel="0" collapsed="false">
      <c r="A2495" s="6" t="n">
        <v>2491</v>
      </c>
      <c r="B2495" s="8" t="s">
        <v>3822</v>
      </c>
      <c r="C2495" s="8" t="s">
        <v>3823</v>
      </c>
      <c r="D2495" s="9"/>
      <c r="E2495" s="10"/>
      <c r="F2495" s="11" t="n">
        <v>0.00807662037037037</v>
      </c>
      <c r="G2495" s="12" t="n">
        <v>1208</v>
      </c>
      <c r="H2495" s="11"/>
      <c r="I2495" s="12"/>
      <c r="J2495" s="14"/>
      <c r="K2495" s="14"/>
      <c r="L2495" s="14"/>
      <c r="M2495" s="13"/>
    </row>
    <row r="2496" customFormat="false" ht="15" hidden="false" customHeight="false" outlineLevel="0" collapsed="false">
      <c r="A2496" s="6" t="n">
        <v>2492</v>
      </c>
      <c r="B2496" s="8" t="s">
        <v>3824</v>
      </c>
      <c r="C2496" s="8" t="s">
        <v>2733</v>
      </c>
      <c r="D2496" s="9"/>
      <c r="E2496" s="10"/>
      <c r="F2496" s="11"/>
      <c r="G2496" s="12"/>
      <c r="H2496" s="11" t="n">
        <v>0.00294189814814815</v>
      </c>
      <c r="I2496" s="12" t="n">
        <v>1208</v>
      </c>
      <c r="J2496" s="14"/>
      <c r="K2496" s="14"/>
      <c r="L2496" s="14"/>
      <c r="M2496" s="13"/>
    </row>
    <row r="2497" customFormat="false" ht="15" hidden="false" customHeight="false" outlineLevel="0" collapsed="false">
      <c r="A2497" s="6" t="n">
        <v>2493</v>
      </c>
      <c r="B2497" s="8" t="s">
        <v>3825</v>
      </c>
      <c r="C2497" s="8" t="s">
        <v>817</v>
      </c>
      <c r="D2497" s="9"/>
      <c r="E2497" s="10"/>
      <c r="F2497" s="11" t="n">
        <v>0.00808657407407407</v>
      </c>
      <c r="G2497" s="12" t="n">
        <v>1209</v>
      </c>
      <c r="H2497" s="11"/>
      <c r="I2497" s="12"/>
      <c r="J2497" s="14"/>
      <c r="K2497" s="14"/>
      <c r="L2497" s="14"/>
      <c r="M2497" s="13"/>
    </row>
    <row r="2498" customFormat="false" ht="15" hidden="false" customHeight="false" outlineLevel="0" collapsed="false">
      <c r="A2498" s="6" t="n">
        <v>2494</v>
      </c>
      <c r="B2498" s="8" t="s">
        <v>3826</v>
      </c>
      <c r="C2498" s="8" t="s">
        <v>3660</v>
      </c>
      <c r="D2498" s="9"/>
      <c r="E2498" s="10"/>
      <c r="F2498" s="11"/>
      <c r="G2498" s="12"/>
      <c r="H2498" s="11" t="n">
        <v>0.00294247685185185</v>
      </c>
      <c r="I2498" s="12" t="n">
        <v>1209</v>
      </c>
      <c r="J2498" s="14"/>
      <c r="K2498" s="14"/>
      <c r="L2498" s="14"/>
      <c r="M2498" s="13"/>
    </row>
    <row r="2499" customFormat="false" ht="15" hidden="false" customHeight="false" outlineLevel="0" collapsed="false">
      <c r="A2499" s="6" t="n">
        <v>2495</v>
      </c>
      <c r="B2499" s="8" t="s">
        <v>3827</v>
      </c>
      <c r="C2499" s="8" t="s">
        <v>2423</v>
      </c>
      <c r="D2499" s="9"/>
      <c r="E2499" s="10"/>
      <c r="F2499" s="11" t="n">
        <v>0.00809756944444444</v>
      </c>
      <c r="G2499" s="12" t="n">
        <v>1210</v>
      </c>
      <c r="H2499" s="11"/>
      <c r="I2499" s="12"/>
      <c r="J2499" s="14"/>
      <c r="K2499" s="14"/>
      <c r="L2499" s="14"/>
      <c r="M2499" s="13"/>
    </row>
    <row r="2500" customFormat="false" ht="15" hidden="false" customHeight="false" outlineLevel="0" collapsed="false">
      <c r="A2500" s="6" t="n">
        <v>2496</v>
      </c>
      <c r="B2500" s="8" t="s">
        <v>3828</v>
      </c>
      <c r="C2500" s="8" t="s">
        <v>3829</v>
      </c>
      <c r="D2500" s="9"/>
      <c r="E2500" s="10"/>
      <c r="F2500" s="11" t="n">
        <v>0.00809965277777778</v>
      </c>
      <c r="G2500" s="12" t="n">
        <v>1211</v>
      </c>
      <c r="H2500" s="11"/>
      <c r="I2500" s="12"/>
      <c r="J2500" s="14"/>
      <c r="K2500" s="14"/>
      <c r="L2500" s="14"/>
      <c r="M2500" s="13"/>
    </row>
    <row r="2501" customFormat="false" ht="15" hidden="false" customHeight="false" outlineLevel="0" collapsed="false">
      <c r="A2501" s="6" t="n">
        <v>2497</v>
      </c>
      <c r="B2501" s="8" t="s">
        <v>3830</v>
      </c>
      <c r="C2501" s="8" t="s">
        <v>3429</v>
      </c>
      <c r="D2501" s="9"/>
      <c r="E2501" s="10"/>
      <c r="F2501" s="11"/>
      <c r="G2501" s="12"/>
      <c r="H2501" s="11" t="n">
        <v>0.00294293981481482</v>
      </c>
      <c r="I2501" s="12" t="n">
        <v>1211</v>
      </c>
      <c r="J2501" s="14"/>
      <c r="K2501" s="14"/>
      <c r="L2501" s="14"/>
      <c r="M2501" s="13"/>
    </row>
    <row r="2502" customFormat="false" ht="15" hidden="false" customHeight="false" outlineLevel="0" collapsed="false">
      <c r="A2502" s="6" t="n">
        <v>2498</v>
      </c>
      <c r="B2502" s="8" t="s">
        <v>3831</v>
      </c>
      <c r="C2502" s="8" t="s">
        <v>1621</v>
      </c>
      <c r="D2502" s="9"/>
      <c r="E2502" s="10"/>
      <c r="F2502" s="11" t="n">
        <v>0.00810752314814815</v>
      </c>
      <c r="G2502" s="12" t="n">
        <v>1212</v>
      </c>
      <c r="H2502" s="11"/>
      <c r="I2502" s="12"/>
      <c r="J2502" s="14"/>
      <c r="K2502" s="14"/>
      <c r="L2502" s="14"/>
      <c r="M2502" s="13"/>
    </row>
    <row r="2503" customFormat="false" ht="15" hidden="false" customHeight="false" outlineLevel="0" collapsed="false">
      <c r="A2503" s="6" t="n">
        <v>2499</v>
      </c>
      <c r="B2503" s="8" t="s">
        <v>3832</v>
      </c>
      <c r="C2503" s="8" t="s">
        <v>128</v>
      </c>
      <c r="D2503" s="9"/>
      <c r="E2503" s="10"/>
      <c r="F2503" s="11"/>
      <c r="G2503" s="12"/>
      <c r="H2503" s="11" t="n">
        <v>0.0029431712962963</v>
      </c>
      <c r="I2503" s="12" t="n">
        <v>1212</v>
      </c>
      <c r="J2503" s="14"/>
      <c r="K2503" s="14"/>
      <c r="L2503" s="14"/>
      <c r="M2503" s="13"/>
    </row>
    <row r="2504" customFormat="false" ht="15" hidden="false" customHeight="false" outlineLevel="0" collapsed="false">
      <c r="A2504" s="6" t="n">
        <v>2500</v>
      </c>
      <c r="B2504" s="8" t="s">
        <v>3833</v>
      </c>
      <c r="C2504" s="8" t="s">
        <v>1089</v>
      </c>
      <c r="D2504" s="9"/>
      <c r="E2504" s="10"/>
      <c r="F2504" s="11" t="n">
        <v>0.00812233796296296</v>
      </c>
      <c r="G2504" s="12" t="n">
        <v>1213</v>
      </c>
      <c r="H2504" s="11"/>
      <c r="I2504" s="12"/>
      <c r="J2504" s="14"/>
      <c r="K2504" s="14"/>
      <c r="L2504" s="14"/>
      <c r="M2504" s="13"/>
    </row>
    <row r="2505" customFormat="false" ht="15" hidden="false" customHeight="false" outlineLevel="0" collapsed="false">
      <c r="A2505" s="6" t="n">
        <v>2501</v>
      </c>
      <c r="B2505" s="8" t="s">
        <v>3834</v>
      </c>
      <c r="C2505" s="8" t="s">
        <v>2913</v>
      </c>
      <c r="D2505" s="9"/>
      <c r="E2505" s="10"/>
      <c r="F2505" s="11" t="n">
        <v>0.00812962962962963</v>
      </c>
      <c r="G2505" s="12" t="n">
        <v>1214</v>
      </c>
      <c r="H2505" s="11"/>
      <c r="I2505" s="12"/>
      <c r="J2505" s="14"/>
      <c r="K2505" s="14"/>
      <c r="L2505" s="14"/>
      <c r="M2505" s="13"/>
    </row>
    <row r="2506" customFormat="false" ht="15" hidden="false" customHeight="false" outlineLevel="0" collapsed="false">
      <c r="A2506" s="6" t="n">
        <v>2502</v>
      </c>
      <c r="B2506" s="8" t="s">
        <v>3835</v>
      </c>
      <c r="C2506" s="8" t="s">
        <v>3836</v>
      </c>
      <c r="D2506" s="9"/>
      <c r="E2506" s="10"/>
      <c r="F2506" s="11" t="n">
        <v>0.00813506944444445</v>
      </c>
      <c r="G2506" s="12" t="n">
        <v>1215</v>
      </c>
      <c r="H2506" s="11"/>
      <c r="I2506" s="12"/>
      <c r="J2506" s="14"/>
      <c r="K2506" s="14"/>
      <c r="L2506" s="14"/>
      <c r="M2506" s="13"/>
    </row>
    <row r="2507" customFormat="false" ht="15" hidden="false" customHeight="false" outlineLevel="0" collapsed="false">
      <c r="A2507" s="6" t="n">
        <v>2503</v>
      </c>
      <c r="B2507" s="8" t="s">
        <v>3837</v>
      </c>
      <c r="C2507" s="8" t="s">
        <v>2884</v>
      </c>
      <c r="D2507" s="9"/>
      <c r="E2507" s="10"/>
      <c r="F2507" s="11"/>
      <c r="G2507" s="12"/>
      <c r="H2507" s="11" t="n">
        <v>0.00294375</v>
      </c>
      <c r="I2507" s="12" t="n">
        <v>1215</v>
      </c>
      <c r="J2507" s="14"/>
      <c r="K2507" s="14"/>
      <c r="L2507" s="14"/>
      <c r="M2507" s="13"/>
    </row>
    <row r="2508" customFormat="false" ht="15" hidden="false" customHeight="false" outlineLevel="0" collapsed="false">
      <c r="A2508" s="6" t="n">
        <v>2504</v>
      </c>
      <c r="B2508" s="8" t="s">
        <v>3838</v>
      </c>
      <c r="C2508" s="8" t="s">
        <v>2611</v>
      </c>
      <c r="D2508" s="9"/>
      <c r="E2508" s="10"/>
      <c r="F2508" s="11" t="n">
        <v>0.00813831018518518</v>
      </c>
      <c r="G2508" s="12" t="n">
        <v>1216</v>
      </c>
      <c r="H2508" s="11"/>
      <c r="I2508" s="12"/>
      <c r="J2508" s="14"/>
      <c r="K2508" s="14"/>
      <c r="L2508" s="14"/>
      <c r="M2508" s="13"/>
    </row>
    <row r="2509" customFormat="false" ht="15" hidden="false" customHeight="false" outlineLevel="0" collapsed="false">
      <c r="A2509" s="6" t="n">
        <v>2505</v>
      </c>
      <c r="B2509" s="8" t="s">
        <v>3839</v>
      </c>
      <c r="C2509" s="8" t="s">
        <v>1378</v>
      </c>
      <c r="D2509" s="9"/>
      <c r="E2509" s="10"/>
      <c r="F2509" s="11" t="n">
        <v>0.00813854166666667</v>
      </c>
      <c r="G2509" s="12" t="n">
        <v>1217</v>
      </c>
      <c r="H2509" s="11"/>
      <c r="I2509" s="12"/>
      <c r="J2509" s="14"/>
      <c r="K2509" s="14"/>
      <c r="L2509" s="14"/>
      <c r="M2509" s="13"/>
    </row>
    <row r="2510" customFormat="false" ht="15" hidden="false" customHeight="false" outlineLevel="0" collapsed="false">
      <c r="A2510" s="6" t="n">
        <v>2506</v>
      </c>
      <c r="B2510" s="8" t="s">
        <v>3840</v>
      </c>
      <c r="C2510" s="8" t="s">
        <v>1697</v>
      </c>
      <c r="D2510" s="9"/>
      <c r="E2510" s="10"/>
      <c r="F2510" s="11"/>
      <c r="G2510" s="12"/>
      <c r="H2510" s="11" t="n">
        <v>0.00294502314814815</v>
      </c>
      <c r="I2510" s="12" t="n">
        <v>1217</v>
      </c>
      <c r="J2510" s="14"/>
      <c r="K2510" s="14"/>
      <c r="L2510" s="14"/>
      <c r="M2510" s="13"/>
    </row>
    <row r="2511" customFormat="false" ht="15" hidden="false" customHeight="false" outlineLevel="0" collapsed="false">
      <c r="A2511" s="6" t="n">
        <v>2507</v>
      </c>
      <c r="B2511" s="8" t="s">
        <v>3841</v>
      </c>
      <c r="C2511" s="8" t="s">
        <v>3010</v>
      </c>
      <c r="D2511" s="9"/>
      <c r="E2511" s="10"/>
      <c r="F2511" s="11" t="n">
        <v>0.00814953703703704</v>
      </c>
      <c r="G2511" s="12" t="n">
        <v>1218</v>
      </c>
      <c r="H2511" s="11"/>
      <c r="I2511" s="12"/>
      <c r="J2511" s="14"/>
      <c r="K2511" s="14"/>
      <c r="L2511" s="14"/>
      <c r="M2511" s="13"/>
    </row>
    <row r="2512" customFormat="false" ht="15" hidden="false" customHeight="false" outlineLevel="0" collapsed="false">
      <c r="A2512" s="6" t="n">
        <v>2508</v>
      </c>
      <c r="B2512" s="8" t="s">
        <v>3842</v>
      </c>
      <c r="C2512" s="8" t="s">
        <v>2486</v>
      </c>
      <c r="D2512" s="9"/>
      <c r="E2512" s="10"/>
      <c r="F2512" s="11" t="n">
        <v>0.00815462962962963</v>
      </c>
      <c r="G2512" s="12" t="n">
        <v>1220</v>
      </c>
      <c r="H2512" s="11"/>
      <c r="I2512" s="12"/>
      <c r="J2512" s="14"/>
      <c r="K2512" s="14"/>
      <c r="L2512" s="14"/>
      <c r="M2512" s="13"/>
    </row>
    <row r="2513" customFormat="false" ht="15" hidden="false" customHeight="false" outlineLevel="0" collapsed="false">
      <c r="A2513" s="6" t="n">
        <v>2509</v>
      </c>
      <c r="B2513" s="8" t="s">
        <v>3843</v>
      </c>
      <c r="C2513" s="8" t="s">
        <v>3844</v>
      </c>
      <c r="D2513" s="9"/>
      <c r="E2513" s="10"/>
      <c r="F2513" s="11"/>
      <c r="G2513" s="12"/>
      <c r="H2513" s="11" t="n">
        <v>0.0029462962962963</v>
      </c>
      <c r="I2513" s="12" t="n">
        <v>1220</v>
      </c>
      <c r="J2513" s="14"/>
      <c r="K2513" s="14"/>
      <c r="L2513" s="14"/>
      <c r="M2513" s="13"/>
    </row>
    <row r="2514" customFormat="false" ht="15" hidden="false" customHeight="false" outlineLevel="0" collapsed="false">
      <c r="A2514" s="6" t="n">
        <v>2510</v>
      </c>
      <c r="B2514" s="8" t="s">
        <v>3845</v>
      </c>
      <c r="C2514" s="8" t="s">
        <v>1332</v>
      </c>
      <c r="D2514" s="9"/>
      <c r="E2514" s="10"/>
      <c r="F2514" s="11" t="n">
        <v>0.00815543981481482</v>
      </c>
      <c r="G2514" s="12" t="n">
        <v>1221</v>
      </c>
      <c r="H2514" s="11"/>
      <c r="I2514" s="12"/>
      <c r="J2514" s="14"/>
      <c r="K2514" s="14"/>
      <c r="L2514" s="14"/>
      <c r="M2514" s="13"/>
    </row>
    <row r="2515" customFormat="false" ht="15" hidden="false" customHeight="false" outlineLevel="0" collapsed="false">
      <c r="A2515" s="6" t="n">
        <v>2511</v>
      </c>
      <c r="B2515" s="8" t="s">
        <v>3846</v>
      </c>
      <c r="C2515" s="8" t="s">
        <v>788</v>
      </c>
      <c r="D2515" s="9"/>
      <c r="E2515" s="10"/>
      <c r="F2515" s="11"/>
      <c r="G2515" s="12"/>
      <c r="H2515" s="11" t="n">
        <v>0.002946875</v>
      </c>
      <c r="I2515" s="12" t="n">
        <v>1221</v>
      </c>
      <c r="J2515" s="14"/>
      <c r="K2515" s="14"/>
      <c r="L2515" s="14"/>
      <c r="M2515" s="13"/>
    </row>
    <row r="2516" customFormat="false" ht="15" hidden="false" customHeight="false" outlineLevel="0" collapsed="false">
      <c r="A2516" s="6" t="n">
        <v>2512</v>
      </c>
      <c r="B2516" s="8" t="s">
        <v>3847</v>
      </c>
      <c r="C2516" s="8" t="s">
        <v>3848</v>
      </c>
      <c r="D2516" s="9"/>
      <c r="E2516" s="10"/>
      <c r="F2516" s="11" t="n">
        <v>0.00815555555555556</v>
      </c>
      <c r="G2516" s="12" t="n">
        <v>1222</v>
      </c>
      <c r="H2516" s="11"/>
      <c r="I2516" s="12"/>
      <c r="J2516" s="14"/>
      <c r="K2516" s="14"/>
      <c r="L2516" s="14"/>
      <c r="M2516" s="13"/>
    </row>
    <row r="2517" customFormat="false" ht="15" hidden="false" customHeight="false" outlineLevel="0" collapsed="false">
      <c r="A2517" s="6" t="n">
        <v>2513</v>
      </c>
      <c r="B2517" s="8" t="s">
        <v>3849</v>
      </c>
      <c r="C2517" s="8" t="s">
        <v>3700</v>
      </c>
      <c r="D2517" s="9"/>
      <c r="E2517" s="10"/>
      <c r="F2517" s="11"/>
      <c r="G2517" s="12"/>
      <c r="H2517" s="11" t="n">
        <v>0.00294699074074074</v>
      </c>
      <c r="I2517" s="12" t="n">
        <v>1222</v>
      </c>
      <c r="J2517" s="14"/>
      <c r="K2517" s="14"/>
      <c r="L2517" s="14"/>
      <c r="M2517" s="13"/>
    </row>
    <row r="2518" customFormat="false" ht="15" hidden="false" customHeight="false" outlineLevel="0" collapsed="false">
      <c r="A2518" s="6" t="n">
        <v>2514</v>
      </c>
      <c r="B2518" s="8" t="s">
        <v>3850</v>
      </c>
      <c r="C2518" s="8" t="s">
        <v>1252</v>
      </c>
      <c r="D2518" s="9"/>
      <c r="E2518" s="10"/>
      <c r="F2518" s="11" t="n">
        <v>0.0081625</v>
      </c>
      <c r="G2518" s="12" t="n">
        <v>1224</v>
      </c>
      <c r="H2518" s="11"/>
      <c r="I2518" s="12"/>
      <c r="J2518" s="14"/>
      <c r="K2518" s="14"/>
      <c r="L2518" s="14"/>
      <c r="M2518" s="13"/>
    </row>
    <row r="2519" customFormat="false" ht="15" hidden="false" customHeight="false" outlineLevel="0" collapsed="false">
      <c r="A2519" s="6" t="n">
        <v>2515</v>
      </c>
      <c r="B2519" s="8" t="s">
        <v>3851</v>
      </c>
      <c r="C2519" s="8" t="s">
        <v>1484</v>
      </c>
      <c r="D2519" s="9"/>
      <c r="E2519" s="10"/>
      <c r="F2519" s="11" t="n">
        <v>0.00816331018518519</v>
      </c>
      <c r="G2519" s="12" t="n">
        <v>1225</v>
      </c>
      <c r="H2519" s="11"/>
      <c r="I2519" s="12"/>
      <c r="J2519" s="14"/>
      <c r="K2519" s="14"/>
      <c r="L2519" s="14"/>
      <c r="M2519" s="13"/>
    </row>
    <row r="2520" customFormat="false" ht="15" hidden="false" customHeight="false" outlineLevel="0" collapsed="false">
      <c r="A2520" s="6" t="n">
        <v>2516</v>
      </c>
      <c r="B2520" s="8" t="s">
        <v>3852</v>
      </c>
      <c r="C2520" s="8" t="s">
        <v>2777</v>
      </c>
      <c r="D2520" s="9"/>
      <c r="E2520" s="10"/>
      <c r="F2520" s="11" t="n">
        <v>0.00816354166666667</v>
      </c>
      <c r="G2520" s="12" t="n">
        <v>1226</v>
      </c>
      <c r="H2520" s="11"/>
      <c r="I2520" s="12"/>
      <c r="J2520" s="14"/>
      <c r="K2520" s="14"/>
      <c r="L2520" s="14"/>
      <c r="M2520" s="13"/>
    </row>
    <row r="2521" customFormat="false" ht="15" hidden="false" customHeight="false" outlineLevel="0" collapsed="false">
      <c r="A2521" s="6" t="n">
        <v>2517</v>
      </c>
      <c r="B2521" s="8" t="s">
        <v>3853</v>
      </c>
      <c r="C2521" s="8" t="s">
        <v>582</v>
      </c>
      <c r="D2521" s="9"/>
      <c r="E2521" s="10"/>
      <c r="F2521" s="11"/>
      <c r="G2521" s="12"/>
      <c r="H2521" s="11" t="n">
        <v>0.00294780092592593</v>
      </c>
      <c r="I2521" s="12" t="n">
        <v>1226</v>
      </c>
      <c r="J2521" s="14"/>
      <c r="K2521" s="14"/>
      <c r="L2521" s="14"/>
      <c r="M2521" s="13"/>
    </row>
    <row r="2522" customFormat="false" ht="15" hidden="false" customHeight="false" outlineLevel="0" collapsed="false">
      <c r="A2522" s="6" t="n">
        <v>2518</v>
      </c>
      <c r="B2522" s="8" t="s">
        <v>3854</v>
      </c>
      <c r="C2522" s="8" t="s">
        <v>2104</v>
      </c>
      <c r="D2522" s="9"/>
      <c r="E2522" s="10"/>
      <c r="F2522" s="11" t="n">
        <v>0.00816655092592593</v>
      </c>
      <c r="G2522" s="12" t="n">
        <v>1227</v>
      </c>
      <c r="H2522" s="11"/>
      <c r="I2522" s="12"/>
      <c r="J2522" s="14"/>
      <c r="K2522" s="14"/>
      <c r="L2522" s="14"/>
      <c r="M2522" s="13"/>
    </row>
    <row r="2523" customFormat="false" ht="15" hidden="false" customHeight="false" outlineLevel="0" collapsed="false">
      <c r="A2523" s="6" t="n">
        <v>2519</v>
      </c>
      <c r="B2523" s="8" t="s">
        <v>3855</v>
      </c>
      <c r="C2523" s="8" t="s">
        <v>3856</v>
      </c>
      <c r="D2523" s="9"/>
      <c r="E2523" s="10"/>
      <c r="F2523" s="11"/>
      <c r="G2523" s="12"/>
      <c r="H2523" s="11" t="n">
        <v>0.00294791666666667</v>
      </c>
      <c r="I2523" s="12" t="n">
        <v>1227</v>
      </c>
      <c r="J2523" s="14"/>
      <c r="K2523" s="14"/>
      <c r="L2523" s="14"/>
      <c r="M2523" s="13"/>
    </row>
    <row r="2524" customFormat="false" ht="15" hidden="false" customHeight="false" outlineLevel="0" collapsed="false">
      <c r="A2524" s="6" t="n">
        <v>2520</v>
      </c>
      <c r="B2524" s="8" t="s">
        <v>3857</v>
      </c>
      <c r="C2524" s="8" t="s">
        <v>3079</v>
      </c>
      <c r="D2524" s="9"/>
      <c r="E2524" s="10"/>
      <c r="F2524" s="11" t="n">
        <v>0.00817581018518519</v>
      </c>
      <c r="G2524" s="12" t="n">
        <v>1228</v>
      </c>
      <c r="H2524" s="11"/>
      <c r="I2524" s="12"/>
      <c r="J2524" s="14"/>
      <c r="K2524" s="14"/>
      <c r="L2524" s="14"/>
      <c r="M2524" s="13"/>
    </row>
    <row r="2525" customFormat="false" ht="15" hidden="false" customHeight="false" outlineLevel="0" collapsed="false">
      <c r="A2525" s="6" t="n">
        <v>2521</v>
      </c>
      <c r="B2525" s="8" t="s">
        <v>3858</v>
      </c>
      <c r="C2525" s="8" t="s">
        <v>3859</v>
      </c>
      <c r="D2525" s="9"/>
      <c r="E2525" s="10"/>
      <c r="F2525" s="11" t="n">
        <v>0.00817731481481481</v>
      </c>
      <c r="G2525" s="12" t="n">
        <v>1229</v>
      </c>
      <c r="H2525" s="11"/>
      <c r="I2525" s="12"/>
      <c r="J2525" s="14"/>
      <c r="K2525" s="14"/>
      <c r="L2525" s="14"/>
      <c r="M2525" s="13"/>
    </row>
    <row r="2526" customFormat="false" ht="15" hidden="false" customHeight="false" outlineLevel="0" collapsed="false">
      <c r="A2526" s="6" t="n">
        <v>2522</v>
      </c>
      <c r="B2526" s="8" t="s">
        <v>3860</v>
      </c>
      <c r="C2526" s="8" t="s">
        <v>3861</v>
      </c>
      <c r="D2526" s="9"/>
      <c r="E2526" s="10"/>
      <c r="F2526" s="11"/>
      <c r="G2526" s="12"/>
      <c r="H2526" s="11" t="n">
        <v>0.00294826388888889</v>
      </c>
      <c r="I2526" s="12" t="n">
        <v>1229</v>
      </c>
      <c r="J2526" s="14"/>
      <c r="K2526" s="14"/>
      <c r="L2526" s="14"/>
      <c r="M2526" s="13"/>
    </row>
    <row r="2527" customFormat="false" ht="15" hidden="false" customHeight="false" outlineLevel="0" collapsed="false">
      <c r="A2527" s="6" t="n">
        <v>2523</v>
      </c>
      <c r="B2527" s="8" t="s">
        <v>3862</v>
      </c>
      <c r="C2527" s="8" t="s">
        <v>2818</v>
      </c>
      <c r="D2527" s="9"/>
      <c r="E2527" s="10"/>
      <c r="F2527" s="11" t="n">
        <v>0.00817974537037037</v>
      </c>
      <c r="G2527" s="12" t="n">
        <v>1230</v>
      </c>
      <c r="H2527" s="11"/>
      <c r="I2527" s="12"/>
      <c r="J2527" s="14"/>
      <c r="K2527" s="14"/>
      <c r="L2527" s="14"/>
      <c r="M2527" s="13"/>
    </row>
    <row r="2528" customFormat="false" ht="15" hidden="false" customHeight="false" outlineLevel="0" collapsed="false">
      <c r="A2528" s="6" t="n">
        <v>2524</v>
      </c>
      <c r="B2528" s="8" t="s">
        <v>3863</v>
      </c>
      <c r="C2528" s="8" t="s">
        <v>2218</v>
      </c>
      <c r="D2528" s="9"/>
      <c r="E2528" s="10"/>
      <c r="F2528" s="11"/>
      <c r="G2528" s="12"/>
      <c r="H2528" s="11" t="n">
        <v>0.00294849537037037</v>
      </c>
      <c r="I2528" s="12" t="n">
        <v>1230</v>
      </c>
      <c r="J2528" s="14"/>
      <c r="K2528" s="14"/>
      <c r="L2528" s="14"/>
      <c r="M2528" s="13"/>
    </row>
    <row r="2529" customFormat="false" ht="15" hidden="false" customHeight="false" outlineLevel="0" collapsed="false">
      <c r="A2529" s="6" t="n">
        <v>2525</v>
      </c>
      <c r="B2529" s="8" t="s">
        <v>3864</v>
      </c>
      <c r="C2529" s="8" t="s">
        <v>3865</v>
      </c>
      <c r="D2529" s="9"/>
      <c r="E2529" s="10"/>
      <c r="F2529" s="11" t="n">
        <v>0.00819131944444445</v>
      </c>
      <c r="G2529" s="12" t="n">
        <v>1231</v>
      </c>
      <c r="H2529" s="11"/>
      <c r="I2529" s="12"/>
      <c r="J2529" s="14"/>
      <c r="K2529" s="14"/>
      <c r="L2529" s="14"/>
      <c r="M2529" s="13"/>
    </row>
    <row r="2530" customFormat="false" ht="15" hidden="false" customHeight="false" outlineLevel="0" collapsed="false">
      <c r="A2530" s="6" t="n">
        <v>2526</v>
      </c>
      <c r="B2530" s="8" t="s">
        <v>3866</v>
      </c>
      <c r="C2530" s="8" t="s">
        <v>16</v>
      </c>
      <c r="D2530" s="9"/>
      <c r="E2530" s="10"/>
      <c r="F2530" s="11"/>
      <c r="G2530" s="12"/>
      <c r="H2530" s="11" t="n">
        <v>0.00294872685185185</v>
      </c>
      <c r="I2530" s="12" t="n">
        <v>1231</v>
      </c>
      <c r="J2530" s="14"/>
      <c r="K2530" s="14"/>
      <c r="L2530" s="14"/>
      <c r="M2530" s="13"/>
    </row>
    <row r="2531" customFormat="false" ht="15" hidden="false" customHeight="false" outlineLevel="0" collapsed="false">
      <c r="A2531" s="6" t="n">
        <v>2527</v>
      </c>
      <c r="B2531" s="8" t="s">
        <v>3867</v>
      </c>
      <c r="C2531" s="8" t="s">
        <v>3868</v>
      </c>
      <c r="D2531" s="9"/>
      <c r="E2531" s="10"/>
      <c r="F2531" s="11" t="n">
        <v>0.00819965277777778</v>
      </c>
      <c r="G2531" s="12" t="n">
        <v>1232</v>
      </c>
      <c r="H2531" s="11"/>
      <c r="I2531" s="12"/>
      <c r="J2531" s="14"/>
      <c r="K2531" s="14"/>
      <c r="L2531" s="14"/>
      <c r="M2531" s="13"/>
    </row>
    <row r="2532" customFormat="false" ht="15" hidden="false" customHeight="false" outlineLevel="0" collapsed="false">
      <c r="A2532" s="6" t="n">
        <v>2528</v>
      </c>
      <c r="B2532" s="8" t="s">
        <v>3869</v>
      </c>
      <c r="C2532" s="8" t="s">
        <v>3823</v>
      </c>
      <c r="D2532" s="9"/>
      <c r="E2532" s="10"/>
      <c r="F2532" s="11"/>
      <c r="G2532" s="12"/>
      <c r="H2532" s="11" t="n">
        <v>0.00294907407407407</v>
      </c>
      <c r="I2532" s="12" t="n">
        <v>1232</v>
      </c>
      <c r="J2532" s="14"/>
      <c r="K2532" s="14"/>
      <c r="L2532" s="14"/>
      <c r="M2532" s="13"/>
    </row>
    <row r="2533" customFormat="false" ht="15" hidden="false" customHeight="false" outlineLevel="0" collapsed="false">
      <c r="A2533" s="6" t="n">
        <v>2529</v>
      </c>
      <c r="B2533" s="8" t="s">
        <v>3870</v>
      </c>
      <c r="C2533" s="8" t="s">
        <v>2754</v>
      </c>
      <c r="D2533" s="9"/>
      <c r="E2533" s="10"/>
      <c r="F2533" s="11" t="n">
        <v>0.00820150462962963</v>
      </c>
      <c r="G2533" s="12" t="n">
        <v>1233</v>
      </c>
      <c r="H2533" s="11"/>
      <c r="I2533" s="12"/>
      <c r="J2533" s="14"/>
      <c r="K2533" s="14"/>
      <c r="L2533" s="14"/>
      <c r="M2533" s="13"/>
    </row>
    <row r="2534" customFormat="false" ht="15" hidden="false" customHeight="false" outlineLevel="0" collapsed="false">
      <c r="A2534" s="6" t="n">
        <v>2530</v>
      </c>
      <c r="B2534" s="8" t="s">
        <v>3871</v>
      </c>
      <c r="C2534" s="8" t="s">
        <v>1680</v>
      </c>
      <c r="D2534" s="9"/>
      <c r="E2534" s="10"/>
      <c r="F2534" s="11"/>
      <c r="G2534" s="12"/>
      <c r="H2534" s="11" t="n">
        <v>0.00294907407407407</v>
      </c>
      <c r="I2534" s="12" t="n">
        <v>1233</v>
      </c>
      <c r="J2534" s="14" t="s">
        <v>3872</v>
      </c>
      <c r="K2534" s="14"/>
      <c r="L2534" s="14"/>
      <c r="M2534" s="13"/>
    </row>
    <row r="2535" customFormat="false" ht="15" hidden="false" customHeight="false" outlineLevel="0" collapsed="false">
      <c r="A2535" s="6" t="n">
        <v>2531</v>
      </c>
      <c r="B2535" s="8" t="s">
        <v>3873</v>
      </c>
      <c r="C2535" s="8" t="s">
        <v>3874</v>
      </c>
      <c r="D2535" s="9"/>
      <c r="E2535" s="10"/>
      <c r="F2535" s="11" t="n">
        <v>0.00820150462962963</v>
      </c>
      <c r="G2535" s="12" t="n">
        <v>1234</v>
      </c>
      <c r="H2535" s="11"/>
      <c r="I2535" s="12"/>
      <c r="J2535" s="14"/>
      <c r="K2535" s="14"/>
      <c r="L2535" s="14"/>
      <c r="M2535" s="13"/>
    </row>
    <row r="2536" customFormat="false" ht="15" hidden="false" customHeight="false" outlineLevel="0" collapsed="false">
      <c r="A2536" s="6" t="n">
        <v>2532</v>
      </c>
      <c r="B2536" s="8" t="s">
        <v>3875</v>
      </c>
      <c r="C2536" s="8" t="s">
        <v>1462</v>
      </c>
      <c r="D2536" s="9"/>
      <c r="E2536" s="10"/>
      <c r="F2536" s="11" t="n">
        <v>0.00820231481481482</v>
      </c>
      <c r="G2536" s="12" t="n">
        <v>1235</v>
      </c>
      <c r="H2536" s="11"/>
      <c r="I2536" s="12"/>
      <c r="J2536" s="14"/>
      <c r="K2536" s="14"/>
      <c r="L2536" s="14"/>
      <c r="M2536" s="13"/>
    </row>
    <row r="2537" customFormat="false" ht="15" hidden="false" customHeight="false" outlineLevel="0" collapsed="false">
      <c r="A2537" s="6" t="n">
        <v>2533</v>
      </c>
      <c r="B2537" s="8" t="s">
        <v>3876</v>
      </c>
      <c r="C2537" s="8" t="s">
        <v>3877</v>
      </c>
      <c r="D2537" s="9"/>
      <c r="E2537" s="10"/>
      <c r="F2537" s="11"/>
      <c r="G2537" s="12"/>
      <c r="H2537" s="11" t="n">
        <v>0.00294930555555556</v>
      </c>
      <c r="I2537" s="12" t="n">
        <v>1235</v>
      </c>
      <c r="J2537" s="14"/>
      <c r="K2537" s="14"/>
      <c r="L2537" s="14"/>
      <c r="M2537" s="13"/>
    </row>
    <row r="2538" customFormat="false" ht="15" hidden="false" customHeight="false" outlineLevel="0" collapsed="false">
      <c r="A2538" s="6" t="n">
        <v>2534</v>
      </c>
      <c r="B2538" s="8" t="s">
        <v>3878</v>
      </c>
      <c r="C2538" s="8" t="s">
        <v>3879</v>
      </c>
      <c r="D2538" s="9"/>
      <c r="E2538" s="10"/>
      <c r="F2538" s="11" t="n">
        <v>0.00820717592592593</v>
      </c>
      <c r="G2538" s="12" t="n">
        <v>1236</v>
      </c>
      <c r="H2538" s="11"/>
      <c r="I2538" s="12"/>
      <c r="J2538" s="14"/>
      <c r="K2538" s="14"/>
      <c r="L2538" s="14"/>
      <c r="M2538" s="13"/>
    </row>
    <row r="2539" customFormat="false" ht="15" hidden="false" customHeight="false" outlineLevel="0" collapsed="false">
      <c r="A2539" s="6" t="n">
        <v>2535</v>
      </c>
      <c r="B2539" s="8" t="s">
        <v>3880</v>
      </c>
      <c r="C2539" s="8" t="s">
        <v>3881</v>
      </c>
      <c r="D2539" s="9"/>
      <c r="E2539" s="10"/>
      <c r="F2539" s="11"/>
      <c r="G2539" s="12"/>
      <c r="H2539" s="11" t="n">
        <v>0.00294988425925926</v>
      </c>
      <c r="I2539" s="12" t="n">
        <v>1236</v>
      </c>
      <c r="J2539" s="14"/>
      <c r="K2539" s="14"/>
      <c r="L2539" s="14"/>
      <c r="M2539" s="13"/>
    </row>
    <row r="2540" customFormat="false" ht="15" hidden="false" customHeight="false" outlineLevel="0" collapsed="false">
      <c r="A2540" s="6" t="n">
        <v>2536</v>
      </c>
      <c r="B2540" s="8" t="s">
        <v>3882</v>
      </c>
      <c r="C2540" s="8" t="s">
        <v>2586</v>
      </c>
      <c r="D2540" s="9"/>
      <c r="E2540" s="10"/>
      <c r="F2540" s="11" t="n">
        <v>0.00821180555555556</v>
      </c>
      <c r="G2540" s="12" t="n">
        <v>1237</v>
      </c>
      <c r="H2540" s="11"/>
      <c r="I2540" s="12"/>
      <c r="J2540" s="14"/>
      <c r="K2540" s="14"/>
      <c r="L2540" s="14"/>
      <c r="M2540" s="13"/>
    </row>
    <row r="2541" customFormat="false" ht="15" hidden="false" customHeight="false" outlineLevel="0" collapsed="false">
      <c r="A2541" s="6" t="n">
        <v>2537</v>
      </c>
      <c r="B2541" s="8" t="s">
        <v>3883</v>
      </c>
      <c r="C2541" s="8" t="s">
        <v>3884</v>
      </c>
      <c r="D2541" s="9"/>
      <c r="E2541" s="10"/>
      <c r="F2541" s="11" t="n">
        <v>0.0082125</v>
      </c>
      <c r="G2541" s="12" t="n">
        <v>1238</v>
      </c>
      <c r="H2541" s="11"/>
      <c r="I2541" s="12"/>
      <c r="J2541" s="14"/>
      <c r="K2541" s="14"/>
      <c r="L2541" s="14"/>
      <c r="M2541" s="13"/>
    </row>
    <row r="2542" customFormat="false" ht="15" hidden="false" customHeight="false" outlineLevel="0" collapsed="false">
      <c r="A2542" s="6" t="n">
        <v>2538</v>
      </c>
      <c r="B2542" s="8" t="s">
        <v>3885</v>
      </c>
      <c r="C2542" s="8" t="s">
        <v>3823</v>
      </c>
      <c r="D2542" s="9"/>
      <c r="E2542" s="10"/>
      <c r="F2542" s="11"/>
      <c r="G2542" s="12"/>
      <c r="H2542" s="11" t="n">
        <v>0.00295011574074074</v>
      </c>
      <c r="I2542" s="12" t="n">
        <v>1238</v>
      </c>
      <c r="J2542" s="14"/>
      <c r="K2542" s="14"/>
      <c r="L2542" s="14"/>
      <c r="M2542" s="13"/>
    </row>
    <row r="2543" customFormat="false" ht="15" hidden="false" customHeight="false" outlineLevel="0" collapsed="false">
      <c r="A2543" s="6" t="n">
        <v>2539</v>
      </c>
      <c r="B2543" s="8" t="s">
        <v>3886</v>
      </c>
      <c r="C2543" s="8" t="s">
        <v>3887</v>
      </c>
      <c r="D2543" s="9"/>
      <c r="E2543" s="10"/>
      <c r="F2543" s="11" t="n">
        <v>0.00821261574074074</v>
      </c>
      <c r="G2543" s="12" t="n">
        <v>1239</v>
      </c>
      <c r="H2543" s="11"/>
      <c r="I2543" s="12"/>
      <c r="J2543" s="14"/>
      <c r="K2543" s="14"/>
      <c r="L2543" s="14"/>
      <c r="M2543" s="13"/>
    </row>
    <row r="2544" customFormat="false" ht="15" hidden="false" customHeight="false" outlineLevel="0" collapsed="false">
      <c r="A2544" s="6" t="n">
        <v>2540</v>
      </c>
      <c r="B2544" s="8" t="s">
        <v>3888</v>
      </c>
      <c r="C2544" s="8" t="s">
        <v>3889</v>
      </c>
      <c r="D2544" s="9"/>
      <c r="E2544" s="10"/>
      <c r="F2544" s="11" t="n">
        <v>0.00821331018518519</v>
      </c>
      <c r="G2544" s="12" t="n">
        <v>1240</v>
      </c>
      <c r="H2544" s="11"/>
      <c r="I2544" s="12"/>
      <c r="J2544" s="14"/>
      <c r="K2544" s="14"/>
      <c r="L2544" s="14"/>
      <c r="M2544" s="13"/>
    </row>
    <row r="2545" customFormat="false" ht="15" hidden="false" customHeight="false" outlineLevel="0" collapsed="false">
      <c r="A2545" s="6" t="n">
        <v>2541</v>
      </c>
      <c r="B2545" s="8" t="s">
        <v>3890</v>
      </c>
      <c r="C2545" s="8" t="s">
        <v>186</v>
      </c>
      <c r="D2545" s="9"/>
      <c r="E2545" s="10"/>
      <c r="F2545" s="11"/>
      <c r="G2545" s="12"/>
      <c r="H2545" s="11" t="n">
        <v>0.00295023148148148</v>
      </c>
      <c r="I2545" s="12" t="n">
        <v>1240</v>
      </c>
      <c r="J2545" s="14"/>
      <c r="K2545" s="14"/>
      <c r="L2545" s="14"/>
      <c r="M2545" s="13"/>
    </row>
    <row r="2546" customFormat="false" ht="15" hidden="false" customHeight="false" outlineLevel="0" collapsed="false">
      <c r="A2546" s="6" t="n">
        <v>2542</v>
      </c>
      <c r="B2546" s="8" t="s">
        <v>3891</v>
      </c>
      <c r="C2546" s="8" t="s">
        <v>3892</v>
      </c>
      <c r="D2546" s="9"/>
      <c r="E2546" s="10"/>
      <c r="F2546" s="11" t="n">
        <v>0.00821377314814815</v>
      </c>
      <c r="G2546" s="12" t="n">
        <v>1241</v>
      </c>
      <c r="H2546" s="11"/>
      <c r="I2546" s="12"/>
      <c r="J2546" s="14"/>
      <c r="K2546" s="14"/>
      <c r="L2546" s="14"/>
      <c r="M2546" s="13"/>
    </row>
    <row r="2547" customFormat="false" ht="15" hidden="false" customHeight="false" outlineLevel="0" collapsed="false">
      <c r="A2547" s="6" t="n">
        <v>2543</v>
      </c>
      <c r="B2547" s="8" t="s">
        <v>3893</v>
      </c>
      <c r="C2547" s="8" t="s">
        <v>76</v>
      </c>
      <c r="D2547" s="9"/>
      <c r="E2547" s="10"/>
      <c r="F2547" s="11"/>
      <c r="G2547" s="12"/>
      <c r="H2547" s="11" t="n">
        <v>0.00295034722222222</v>
      </c>
      <c r="I2547" s="12" t="n">
        <v>1241</v>
      </c>
      <c r="J2547" s="14"/>
      <c r="K2547" s="14"/>
      <c r="L2547" s="14"/>
      <c r="M2547" s="13"/>
    </row>
    <row r="2548" customFormat="false" ht="15" hidden="false" customHeight="false" outlineLevel="0" collapsed="false">
      <c r="A2548" s="6" t="n">
        <v>2544</v>
      </c>
      <c r="B2548" s="8" t="s">
        <v>3894</v>
      </c>
      <c r="C2548" s="8" t="s">
        <v>2516</v>
      </c>
      <c r="D2548" s="9"/>
      <c r="E2548" s="10"/>
      <c r="F2548" s="11" t="n">
        <v>0.00822893518518519</v>
      </c>
      <c r="G2548" s="12" t="n">
        <v>1242</v>
      </c>
      <c r="H2548" s="11"/>
      <c r="I2548" s="12"/>
      <c r="J2548" s="14"/>
      <c r="K2548" s="14"/>
      <c r="L2548" s="14"/>
      <c r="M2548" s="13"/>
    </row>
    <row r="2549" customFormat="false" ht="15" hidden="false" customHeight="false" outlineLevel="0" collapsed="false">
      <c r="A2549" s="6" t="n">
        <v>2545</v>
      </c>
      <c r="B2549" s="8" t="s">
        <v>3895</v>
      </c>
      <c r="C2549" s="8" t="s">
        <v>3896</v>
      </c>
      <c r="D2549" s="9"/>
      <c r="E2549" s="10"/>
      <c r="F2549" s="11"/>
      <c r="G2549" s="12"/>
      <c r="H2549" s="11" t="n">
        <v>0.0029505787037037</v>
      </c>
      <c r="I2549" s="12" t="n">
        <v>1242</v>
      </c>
      <c r="J2549" s="14"/>
      <c r="K2549" s="14"/>
      <c r="L2549" s="14"/>
      <c r="M2549" s="13"/>
    </row>
    <row r="2550" customFormat="false" ht="15" hidden="false" customHeight="false" outlineLevel="0" collapsed="false">
      <c r="A2550" s="6" t="n">
        <v>2546</v>
      </c>
      <c r="B2550" s="8" t="s">
        <v>3897</v>
      </c>
      <c r="C2550" s="8" t="s">
        <v>3748</v>
      </c>
      <c r="D2550" s="9"/>
      <c r="E2550" s="10"/>
      <c r="F2550" s="11" t="n">
        <v>0.00823472222222222</v>
      </c>
      <c r="G2550" s="12" t="n">
        <v>1243</v>
      </c>
      <c r="H2550" s="11"/>
      <c r="I2550" s="12"/>
      <c r="J2550" s="14"/>
      <c r="K2550" s="14"/>
      <c r="L2550" s="14"/>
      <c r="M2550" s="13"/>
    </row>
    <row r="2551" customFormat="false" ht="15" hidden="false" customHeight="false" outlineLevel="0" collapsed="false">
      <c r="A2551" s="6" t="n">
        <v>2547</v>
      </c>
      <c r="B2551" s="8" t="s">
        <v>3898</v>
      </c>
      <c r="C2551" s="8" t="s">
        <v>1144</v>
      </c>
      <c r="D2551" s="9"/>
      <c r="E2551" s="10"/>
      <c r="F2551" s="11" t="n">
        <v>0.00826087962962963</v>
      </c>
      <c r="G2551" s="12" t="n">
        <v>1245</v>
      </c>
      <c r="H2551" s="11"/>
      <c r="I2551" s="12"/>
      <c r="J2551" s="14"/>
      <c r="K2551" s="14"/>
      <c r="L2551" s="14"/>
      <c r="M2551" s="13"/>
    </row>
    <row r="2552" customFormat="false" ht="15" hidden="false" customHeight="false" outlineLevel="0" collapsed="false">
      <c r="A2552" s="6" t="n">
        <v>2548</v>
      </c>
      <c r="B2552" s="8" t="s">
        <v>3899</v>
      </c>
      <c r="C2552" s="8" t="s">
        <v>3900</v>
      </c>
      <c r="D2552" s="9"/>
      <c r="E2552" s="10"/>
      <c r="F2552" s="11"/>
      <c r="G2552" s="12"/>
      <c r="H2552" s="11" t="n">
        <v>0.00295185185185185</v>
      </c>
      <c r="I2552" s="12" t="n">
        <v>1245</v>
      </c>
      <c r="J2552" s="14"/>
      <c r="K2552" s="14"/>
      <c r="L2552" s="14"/>
      <c r="M2552" s="13"/>
    </row>
    <row r="2553" customFormat="false" ht="15" hidden="false" customHeight="false" outlineLevel="0" collapsed="false">
      <c r="A2553" s="6" t="n">
        <v>2549</v>
      </c>
      <c r="B2553" s="8" t="s">
        <v>3901</v>
      </c>
      <c r="C2553" s="8" t="s">
        <v>1144</v>
      </c>
      <c r="D2553" s="9"/>
      <c r="E2553" s="10"/>
      <c r="F2553" s="11" t="n">
        <v>0.00826087962962963</v>
      </c>
      <c r="G2553" s="12" t="n">
        <v>1246</v>
      </c>
      <c r="H2553" s="11"/>
      <c r="I2553" s="12"/>
      <c r="J2553" s="14"/>
      <c r="K2553" s="14"/>
      <c r="L2553" s="14"/>
      <c r="M2553" s="13"/>
    </row>
    <row r="2554" customFormat="false" ht="15" hidden="false" customHeight="false" outlineLevel="0" collapsed="false">
      <c r="A2554" s="6" t="n">
        <v>2550</v>
      </c>
      <c r="B2554" s="8" t="s">
        <v>3902</v>
      </c>
      <c r="C2554" s="8" t="s">
        <v>212</v>
      </c>
      <c r="D2554" s="9"/>
      <c r="E2554" s="10"/>
      <c r="F2554" s="11"/>
      <c r="G2554" s="12"/>
      <c r="H2554" s="11" t="n">
        <v>0.00295208333333333</v>
      </c>
      <c r="I2554" s="12" t="n">
        <v>1246</v>
      </c>
      <c r="J2554" s="14"/>
      <c r="K2554" s="14"/>
      <c r="L2554" s="14"/>
      <c r="M2554" s="13"/>
    </row>
    <row r="2555" customFormat="false" ht="15" hidden="false" customHeight="false" outlineLevel="0" collapsed="false">
      <c r="A2555" s="6" t="n">
        <v>2551</v>
      </c>
      <c r="B2555" s="8" t="s">
        <v>3903</v>
      </c>
      <c r="C2555" s="8" t="s">
        <v>3904</v>
      </c>
      <c r="D2555" s="9"/>
      <c r="E2555" s="10"/>
      <c r="F2555" s="11" t="n">
        <v>0.00826678240740741</v>
      </c>
      <c r="G2555" s="12" t="n">
        <v>1247</v>
      </c>
      <c r="H2555" s="11"/>
      <c r="I2555" s="12"/>
      <c r="J2555" s="14"/>
      <c r="K2555" s="14"/>
      <c r="L2555" s="14"/>
      <c r="M2555" s="13"/>
    </row>
    <row r="2556" customFormat="false" ht="15" hidden="false" customHeight="false" outlineLevel="0" collapsed="false">
      <c r="A2556" s="6" t="n">
        <v>2552</v>
      </c>
      <c r="B2556" s="8" t="s">
        <v>3905</v>
      </c>
      <c r="C2556" s="8" t="s">
        <v>136</v>
      </c>
      <c r="D2556" s="9"/>
      <c r="E2556" s="10"/>
      <c r="F2556" s="11"/>
      <c r="G2556" s="12"/>
      <c r="H2556" s="11" t="n">
        <v>0.00295231481481482</v>
      </c>
      <c r="I2556" s="12" t="n">
        <v>1247</v>
      </c>
      <c r="J2556" s="14"/>
      <c r="K2556" s="14"/>
      <c r="L2556" s="14"/>
      <c r="M2556" s="13"/>
    </row>
    <row r="2557" customFormat="false" ht="15" hidden="false" customHeight="false" outlineLevel="0" collapsed="false">
      <c r="A2557" s="6" t="n">
        <v>2553</v>
      </c>
      <c r="B2557" s="8" t="s">
        <v>3906</v>
      </c>
      <c r="C2557" s="8" t="s">
        <v>2937</v>
      </c>
      <c r="D2557" s="9"/>
      <c r="E2557" s="10"/>
      <c r="F2557" s="11" t="n">
        <v>0.00828194444444444</v>
      </c>
      <c r="G2557" s="12" t="n">
        <v>1248</v>
      </c>
      <c r="H2557" s="11"/>
      <c r="I2557" s="12"/>
      <c r="J2557" s="14"/>
      <c r="K2557" s="14"/>
      <c r="L2557" s="14"/>
      <c r="M2557" s="13"/>
    </row>
    <row r="2558" customFormat="false" ht="15" hidden="false" customHeight="false" outlineLevel="0" collapsed="false">
      <c r="A2558" s="6" t="n">
        <v>2554</v>
      </c>
      <c r="B2558" s="8" t="s">
        <v>3907</v>
      </c>
      <c r="C2558" s="8" t="s">
        <v>3010</v>
      </c>
      <c r="D2558" s="9"/>
      <c r="E2558" s="10"/>
      <c r="F2558" s="11" t="n">
        <v>0.00828912037037037</v>
      </c>
      <c r="G2558" s="12" t="n">
        <v>1249</v>
      </c>
      <c r="H2558" s="11"/>
      <c r="I2558" s="12"/>
      <c r="J2558" s="14"/>
      <c r="K2558" s="14"/>
      <c r="L2558" s="14"/>
      <c r="M2558" s="13"/>
    </row>
    <row r="2559" customFormat="false" ht="15" hidden="false" customHeight="false" outlineLevel="0" collapsed="false">
      <c r="A2559" s="6" t="n">
        <v>2555</v>
      </c>
      <c r="B2559" s="8" t="s">
        <v>3908</v>
      </c>
      <c r="C2559" s="8" t="s">
        <v>294</v>
      </c>
      <c r="D2559" s="9"/>
      <c r="E2559" s="10"/>
      <c r="F2559" s="11"/>
      <c r="G2559" s="12"/>
      <c r="H2559" s="11" t="n">
        <v>0.00295347222222222</v>
      </c>
      <c r="I2559" s="12" t="n">
        <v>1249</v>
      </c>
      <c r="J2559" s="14"/>
      <c r="K2559" s="14"/>
      <c r="L2559" s="14"/>
      <c r="M2559" s="13"/>
    </row>
    <row r="2560" customFormat="false" ht="15" hidden="false" customHeight="false" outlineLevel="0" collapsed="false">
      <c r="A2560" s="6" t="n">
        <v>2556</v>
      </c>
      <c r="B2560" s="8" t="s">
        <v>3909</v>
      </c>
      <c r="C2560" s="8" t="s">
        <v>3910</v>
      </c>
      <c r="D2560" s="9"/>
      <c r="E2560" s="10"/>
      <c r="F2560" s="11" t="n">
        <v>0.00829201388888889</v>
      </c>
      <c r="G2560" s="12" t="n">
        <v>1250</v>
      </c>
      <c r="H2560" s="11"/>
      <c r="I2560" s="12"/>
      <c r="J2560" s="14"/>
      <c r="K2560" s="14"/>
      <c r="L2560" s="14"/>
      <c r="M2560" s="13"/>
    </row>
    <row r="2561" customFormat="false" ht="15" hidden="false" customHeight="false" outlineLevel="0" collapsed="false">
      <c r="A2561" s="6" t="n">
        <v>2557</v>
      </c>
      <c r="B2561" s="8" t="s">
        <v>3911</v>
      </c>
      <c r="C2561" s="8" t="s">
        <v>1697</v>
      </c>
      <c r="D2561" s="9"/>
      <c r="E2561" s="10"/>
      <c r="F2561" s="11"/>
      <c r="G2561" s="12"/>
      <c r="H2561" s="11" t="n">
        <v>0.0029537037037037</v>
      </c>
      <c r="I2561" s="12" t="n">
        <v>1250</v>
      </c>
      <c r="J2561" s="14"/>
      <c r="K2561" s="14"/>
      <c r="L2561" s="14"/>
      <c r="M2561" s="13"/>
    </row>
    <row r="2562" customFormat="false" ht="15" hidden="false" customHeight="false" outlineLevel="0" collapsed="false">
      <c r="A2562" s="6" t="n">
        <v>2558</v>
      </c>
      <c r="B2562" s="8" t="s">
        <v>3912</v>
      </c>
      <c r="C2562" s="8" t="s">
        <v>3913</v>
      </c>
      <c r="D2562" s="9"/>
      <c r="E2562" s="10"/>
      <c r="F2562" s="11" t="n">
        <v>0.00829212962962963</v>
      </c>
      <c r="G2562" s="12" t="n">
        <v>1251</v>
      </c>
      <c r="H2562" s="11"/>
      <c r="I2562" s="12"/>
      <c r="J2562" s="14"/>
      <c r="K2562" s="14"/>
      <c r="L2562" s="14"/>
      <c r="M2562" s="13"/>
    </row>
    <row r="2563" customFormat="false" ht="15" hidden="false" customHeight="false" outlineLevel="0" collapsed="false">
      <c r="A2563" s="6" t="n">
        <v>2559</v>
      </c>
      <c r="B2563" s="8" t="s">
        <v>3914</v>
      </c>
      <c r="C2563" s="8" t="s">
        <v>3915</v>
      </c>
      <c r="D2563" s="9"/>
      <c r="E2563" s="10"/>
      <c r="F2563" s="11" t="n">
        <v>0.00829351851851852</v>
      </c>
      <c r="G2563" s="12" t="n">
        <v>1252</v>
      </c>
      <c r="H2563" s="11"/>
      <c r="I2563" s="12"/>
      <c r="J2563" s="14"/>
      <c r="K2563" s="14"/>
      <c r="L2563" s="14"/>
      <c r="M2563" s="13"/>
    </row>
    <row r="2564" customFormat="false" ht="15" hidden="false" customHeight="false" outlineLevel="0" collapsed="false">
      <c r="A2564" s="6" t="n">
        <v>2560</v>
      </c>
      <c r="B2564" s="8" t="s">
        <v>3916</v>
      </c>
      <c r="C2564" s="8" t="s">
        <v>229</v>
      </c>
      <c r="D2564" s="9"/>
      <c r="E2564" s="10"/>
      <c r="F2564" s="11" t="n">
        <v>0.00829710648148148</v>
      </c>
      <c r="G2564" s="12" t="n">
        <v>1253</v>
      </c>
      <c r="H2564" s="11"/>
      <c r="I2564" s="12"/>
      <c r="J2564" s="14"/>
      <c r="K2564" s="14"/>
      <c r="L2564" s="14"/>
      <c r="M2564" s="13"/>
    </row>
    <row r="2565" customFormat="false" ht="15" hidden="false" customHeight="false" outlineLevel="0" collapsed="false">
      <c r="A2565" s="6" t="n">
        <v>2561</v>
      </c>
      <c r="B2565" s="8" t="s">
        <v>3917</v>
      </c>
      <c r="C2565" s="8" t="s">
        <v>3918</v>
      </c>
      <c r="D2565" s="9"/>
      <c r="E2565" s="10"/>
      <c r="F2565" s="11"/>
      <c r="G2565" s="12"/>
      <c r="H2565" s="11" t="n">
        <v>0.00295532407407407</v>
      </c>
      <c r="I2565" s="12" t="n">
        <v>1253</v>
      </c>
      <c r="J2565" s="14"/>
      <c r="K2565" s="14"/>
      <c r="L2565" s="14"/>
      <c r="M2565" s="13"/>
    </row>
    <row r="2566" customFormat="false" ht="15" hidden="false" customHeight="false" outlineLevel="0" collapsed="false">
      <c r="A2566" s="6" t="n">
        <v>2562</v>
      </c>
      <c r="B2566" s="8" t="s">
        <v>3919</v>
      </c>
      <c r="C2566" s="8" t="s">
        <v>2696</v>
      </c>
      <c r="D2566" s="9"/>
      <c r="E2566" s="10"/>
      <c r="F2566" s="11" t="n">
        <v>0.00830578703703704</v>
      </c>
      <c r="G2566" s="12" t="n">
        <v>1254</v>
      </c>
      <c r="H2566" s="11"/>
      <c r="I2566" s="12"/>
      <c r="J2566" s="14"/>
      <c r="K2566" s="14"/>
      <c r="L2566" s="14"/>
      <c r="M2566" s="13"/>
    </row>
    <row r="2567" customFormat="false" ht="15" hidden="false" customHeight="false" outlineLevel="0" collapsed="false">
      <c r="A2567" s="6" t="n">
        <v>2563</v>
      </c>
      <c r="B2567" s="8" t="s">
        <v>3920</v>
      </c>
      <c r="C2567" s="8" t="s">
        <v>3921</v>
      </c>
      <c r="D2567" s="9"/>
      <c r="E2567" s="10"/>
      <c r="F2567" s="11" t="n">
        <v>0.00830706018518519</v>
      </c>
      <c r="G2567" s="12" t="n">
        <v>1255</v>
      </c>
      <c r="H2567" s="11"/>
      <c r="I2567" s="12"/>
      <c r="J2567" s="14"/>
      <c r="K2567" s="14"/>
      <c r="L2567" s="14"/>
      <c r="M2567" s="13"/>
    </row>
    <row r="2568" customFormat="false" ht="15" hidden="false" customHeight="false" outlineLevel="0" collapsed="false">
      <c r="A2568" s="6" t="n">
        <v>2564</v>
      </c>
      <c r="B2568" s="8" t="s">
        <v>3922</v>
      </c>
      <c r="C2568" s="8" t="s">
        <v>817</v>
      </c>
      <c r="D2568" s="9"/>
      <c r="E2568" s="10"/>
      <c r="F2568" s="11"/>
      <c r="G2568" s="12"/>
      <c r="H2568" s="11" t="n">
        <v>0.00295555555555556</v>
      </c>
      <c r="I2568" s="12" t="n">
        <v>1255</v>
      </c>
      <c r="J2568" s="14"/>
      <c r="K2568" s="14"/>
      <c r="L2568" s="14"/>
      <c r="M2568" s="13"/>
    </row>
    <row r="2569" customFormat="false" ht="15" hidden="false" customHeight="false" outlineLevel="0" collapsed="false">
      <c r="A2569" s="6" t="n">
        <v>2565</v>
      </c>
      <c r="B2569" s="8" t="s">
        <v>3923</v>
      </c>
      <c r="C2569" s="8" t="s">
        <v>154</v>
      </c>
      <c r="D2569" s="9"/>
      <c r="E2569" s="10"/>
      <c r="F2569" s="11" t="n">
        <v>0.00830821759259259</v>
      </c>
      <c r="G2569" s="12" t="n">
        <v>1256</v>
      </c>
      <c r="H2569" s="11"/>
      <c r="I2569" s="12"/>
      <c r="J2569" s="14"/>
      <c r="K2569" s="14"/>
      <c r="L2569" s="14"/>
      <c r="M2569" s="13"/>
    </row>
    <row r="2570" customFormat="false" ht="15" hidden="false" customHeight="false" outlineLevel="0" collapsed="false">
      <c r="A2570" s="6" t="n">
        <v>2566</v>
      </c>
      <c r="B2570" s="8" t="s">
        <v>3924</v>
      </c>
      <c r="C2570" s="8" t="s">
        <v>2779</v>
      </c>
      <c r="D2570" s="9"/>
      <c r="E2570" s="10"/>
      <c r="F2570" s="11"/>
      <c r="G2570" s="12"/>
      <c r="H2570" s="11" t="n">
        <v>0.0029556712962963</v>
      </c>
      <c r="I2570" s="12" t="n">
        <v>1256</v>
      </c>
      <c r="J2570" s="14"/>
      <c r="K2570" s="14"/>
      <c r="L2570" s="14"/>
      <c r="M2570" s="13"/>
    </row>
    <row r="2571" customFormat="false" ht="15" hidden="false" customHeight="false" outlineLevel="0" collapsed="false">
      <c r="A2571" s="6" t="n">
        <v>2567</v>
      </c>
      <c r="B2571" s="8" t="s">
        <v>3925</v>
      </c>
      <c r="C2571" s="8" t="s">
        <v>1120</v>
      </c>
      <c r="D2571" s="9"/>
      <c r="E2571" s="10"/>
      <c r="F2571" s="11" t="n">
        <v>0.00832083333333333</v>
      </c>
      <c r="G2571" s="12" t="n">
        <v>1257</v>
      </c>
      <c r="H2571" s="11"/>
      <c r="I2571" s="12"/>
      <c r="J2571" s="14"/>
      <c r="K2571" s="14"/>
      <c r="L2571" s="14"/>
      <c r="M2571" s="13"/>
    </row>
    <row r="2572" customFormat="false" ht="15" hidden="false" customHeight="false" outlineLevel="0" collapsed="false">
      <c r="A2572" s="6" t="n">
        <v>2568</v>
      </c>
      <c r="B2572" s="8" t="s">
        <v>3926</v>
      </c>
      <c r="C2572" s="8" t="s">
        <v>3927</v>
      </c>
      <c r="D2572" s="9"/>
      <c r="E2572" s="10"/>
      <c r="F2572" s="11" t="n">
        <v>0.00832164351851852</v>
      </c>
      <c r="G2572" s="12" t="n">
        <v>1258</v>
      </c>
      <c r="H2572" s="11"/>
      <c r="I2572" s="12"/>
      <c r="J2572" s="14"/>
      <c r="K2572" s="14"/>
      <c r="L2572" s="14"/>
      <c r="M2572" s="13"/>
    </row>
    <row r="2573" customFormat="false" ht="15" hidden="false" customHeight="false" outlineLevel="0" collapsed="false">
      <c r="A2573" s="6" t="n">
        <v>2569</v>
      </c>
      <c r="B2573" s="8" t="s">
        <v>3928</v>
      </c>
      <c r="C2573" s="8" t="s">
        <v>3874</v>
      </c>
      <c r="D2573" s="9"/>
      <c r="E2573" s="10"/>
      <c r="F2573" s="11" t="n">
        <v>0.00832314814814815</v>
      </c>
      <c r="G2573" s="12" t="n">
        <v>1259</v>
      </c>
      <c r="H2573" s="11"/>
      <c r="I2573" s="12"/>
      <c r="J2573" s="14"/>
      <c r="K2573" s="14"/>
      <c r="L2573" s="14"/>
      <c r="M2573" s="13"/>
    </row>
    <row r="2574" customFormat="false" ht="15" hidden="false" customHeight="false" outlineLevel="0" collapsed="false">
      <c r="A2574" s="6" t="n">
        <v>2570</v>
      </c>
      <c r="B2574" s="8" t="s">
        <v>3929</v>
      </c>
      <c r="C2574" s="8" t="s">
        <v>1533</v>
      </c>
      <c r="D2574" s="9"/>
      <c r="E2574" s="10"/>
      <c r="F2574" s="11" t="n">
        <v>0.00833148148148148</v>
      </c>
      <c r="G2574" s="12" t="n">
        <v>1260</v>
      </c>
      <c r="H2574" s="11"/>
      <c r="I2574" s="12"/>
      <c r="J2574" s="14"/>
      <c r="K2574" s="14"/>
      <c r="L2574" s="14"/>
      <c r="M2574" s="13"/>
    </row>
    <row r="2575" customFormat="false" ht="15" hidden="false" customHeight="false" outlineLevel="0" collapsed="false">
      <c r="A2575" s="6" t="n">
        <v>2571</v>
      </c>
      <c r="B2575" s="8" t="s">
        <v>3930</v>
      </c>
      <c r="C2575" s="8" t="s">
        <v>1413</v>
      </c>
      <c r="D2575" s="9"/>
      <c r="E2575" s="10"/>
      <c r="F2575" s="11"/>
      <c r="G2575" s="12"/>
      <c r="H2575" s="11" t="n">
        <v>0.00295706018518519</v>
      </c>
      <c r="I2575" s="12" t="n">
        <v>1260</v>
      </c>
      <c r="J2575" s="14"/>
      <c r="K2575" s="14"/>
      <c r="L2575" s="14"/>
      <c r="M2575" s="13"/>
    </row>
    <row r="2576" customFormat="false" ht="15" hidden="false" customHeight="false" outlineLevel="0" collapsed="false">
      <c r="A2576" s="6" t="n">
        <v>2572</v>
      </c>
      <c r="B2576" s="8" t="s">
        <v>3931</v>
      </c>
      <c r="C2576" s="8" t="s">
        <v>1487</v>
      </c>
      <c r="D2576" s="9"/>
      <c r="E2576" s="10"/>
      <c r="F2576" s="11" t="n">
        <v>0.00833194444444444</v>
      </c>
      <c r="G2576" s="12" t="n">
        <v>1261</v>
      </c>
      <c r="H2576" s="11"/>
      <c r="I2576" s="12"/>
      <c r="J2576" s="14"/>
      <c r="K2576" s="14"/>
      <c r="L2576" s="14"/>
      <c r="M2576" s="13"/>
    </row>
    <row r="2577" customFormat="false" ht="15" hidden="false" customHeight="false" outlineLevel="0" collapsed="false">
      <c r="A2577" s="6" t="n">
        <v>2573</v>
      </c>
      <c r="B2577" s="8" t="s">
        <v>3932</v>
      </c>
      <c r="C2577" s="8" t="s">
        <v>530</v>
      </c>
      <c r="D2577" s="9"/>
      <c r="E2577" s="10"/>
      <c r="F2577" s="11"/>
      <c r="G2577" s="12"/>
      <c r="H2577" s="11" t="n">
        <v>0.00295787037037037</v>
      </c>
      <c r="I2577" s="12" t="n">
        <v>1261</v>
      </c>
      <c r="J2577" s="14"/>
      <c r="K2577" s="14"/>
      <c r="L2577" s="14"/>
      <c r="M2577" s="13"/>
    </row>
    <row r="2578" customFormat="false" ht="15" hidden="false" customHeight="false" outlineLevel="0" collapsed="false">
      <c r="A2578" s="6" t="n">
        <v>2574</v>
      </c>
      <c r="B2578" s="8" t="s">
        <v>3933</v>
      </c>
      <c r="C2578" s="8" t="s">
        <v>3934</v>
      </c>
      <c r="D2578" s="9"/>
      <c r="E2578" s="10"/>
      <c r="F2578" s="11" t="n">
        <v>0.00833576388888889</v>
      </c>
      <c r="G2578" s="12" t="n">
        <v>1262</v>
      </c>
      <c r="H2578" s="11"/>
      <c r="I2578" s="12"/>
      <c r="J2578" s="14"/>
      <c r="K2578" s="14"/>
      <c r="L2578" s="14"/>
      <c r="M2578" s="13"/>
    </row>
    <row r="2579" customFormat="false" ht="15" hidden="false" customHeight="false" outlineLevel="0" collapsed="false">
      <c r="A2579" s="6" t="n">
        <v>2575</v>
      </c>
      <c r="B2579" s="8" t="s">
        <v>3935</v>
      </c>
      <c r="C2579" s="8" t="s">
        <v>3936</v>
      </c>
      <c r="D2579" s="9"/>
      <c r="E2579" s="10"/>
      <c r="F2579" s="11" t="n">
        <v>0.00833946759259259</v>
      </c>
      <c r="G2579" s="12" t="n">
        <v>1263</v>
      </c>
      <c r="H2579" s="11"/>
      <c r="I2579" s="12"/>
      <c r="J2579" s="14"/>
      <c r="K2579" s="14"/>
      <c r="L2579" s="14"/>
      <c r="M2579" s="13"/>
    </row>
    <row r="2580" customFormat="false" ht="15" hidden="false" customHeight="false" outlineLevel="0" collapsed="false">
      <c r="A2580" s="6" t="n">
        <v>2576</v>
      </c>
      <c r="B2580" s="8" t="s">
        <v>3937</v>
      </c>
      <c r="C2580" s="8" t="s">
        <v>1120</v>
      </c>
      <c r="D2580" s="9"/>
      <c r="E2580" s="10"/>
      <c r="F2580" s="11" t="n">
        <v>0.0083431712962963</v>
      </c>
      <c r="G2580" s="12" t="n">
        <v>1264</v>
      </c>
      <c r="H2580" s="11"/>
      <c r="I2580" s="12"/>
      <c r="J2580" s="14"/>
      <c r="K2580" s="14"/>
      <c r="L2580" s="14"/>
      <c r="M2580" s="13"/>
    </row>
    <row r="2581" customFormat="false" ht="15" hidden="false" customHeight="false" outlineLevel="0" collapsed="false">
      <c r="A2581" s="6" t="n">
        <v>2577</v>
      </c>
      <c r="B2581" s="8" t="s">
        <v>3938</v>
      </c>
      <c r="C2581" s="8" t="s">
        <v>3887</v>
      </c>
      <c r="D2581" s="9"/>
      <c r="E2581" s="10"/>
      <c r="F2581" s="11" t="n">
        <v>0.0083494212962963</v>
      </c>
      <c r="G2581" s="12" t="n">
        <v>1265</v>
      </c>
      <c r="H2581" s="11"/>
      <c r="I2581" s="12"/>
      <c r="J2581" s="14"/>
      <c r="K2581" s="14"/>
      <c r="L2581" s="14"/>
      <c r="M2581" s="13"/>
    </row>
    <row r="2582" customFormat="false" ht="15" hidden="false" customHeight="false" outlineLevel="0" collapsed="false">
      <c r="A2582" s="6" t="n">
        <v>2578</v>
      </c>
      <c r="B2582" s="8" t="s">
        <v>3939</v>
      </c>
      <c r="C2582" s="8" t="s">
        <v>76</v>
      </c>
      <c r="D2582" s="9"/>
      <c r="E2582" s="10"/>
      <c r="F2582" s="11"/>
      <c r="G2582" s="12"/>
      <c r="H2582" s="11" t="n">
        <v>0.00295914351851852</v>
      </c>
      <c r="I2582" s="12" t="n">
        <v>1265</v>
      </c>
      <c r="J2582" s="14"/>
      <c r="K2582" s="14"/>
      <c r="L2582" s="14"/>
      <c r="M2582" s="13"/>
    </row>
    <row r="2583" customFormat="false" ht="15" hidden="false" customHeight="false" outlineLevel="0" collapsed="false">
      <c r="A2583" s="6" t="n">
        <v>2579</v>
      </c>
      <c r="B2583" s="8" t="s">
        <v>3940</v>
      </c>
      <c r="C2583" s="8" t="s">
        <v>3941</v>
      </c>
      <c r="D2583" s="9"/>
      <c r="E2583" s="10"/>
      <c r="F2583" s="11" t="n">
        <v>0.00835069444444445</v>
      </c>
      <c r="G2583" s="12" t="n">
        <v>1266</v>
      </c>
      <c r="H2583" s="11"/>
      <c r="I2583" s="12"/>
      <c r="J2583" s="14"/>
      <c r="K2583" s="14"/>
      <c r="L2583" s="14"/>
      <c r="M2583" s="13"/>
    </row>
    <row r="2584" customFormat="false" ht="15" hidden="false" customHeight="false" outlineLevel="0" collapsed="false">
      <c r="A2584" s="6" t="n">
        <v>2580</v>
      </c>
      <c r="B2584" s="8" t="s">
        <v>3942</v>
      </c>
      <c r="C2584" s="8" t="s">
        <v>3943</v>
      </c>
      <c r="D2584" s="9"/>
      <c r="E2584" s="10"/>
      <c r="F2584" s="11" t="n">
        <v>0.00835092592592593</v>
      </c>
      <c r="G2584" s="12" t="n">
        <v>1267</v>
      </c>
      <c r="H2584" s="11"/>
      <c r="I2584" s="12"/>
      <c r="J2584" s="14"/>
      <c r="K2584" s="14"/>
      <c r="L2584" s="14"/>
      <c r="M2584" s="13"/>
    </row>
    <row r="2585" customFormat="false" ht="15" hidden="false" customHeight="false" outlineLevel="0" collapsed="false">
      <c r="A2585" s="6" t="n">
        <v>2581</v>
      </c>
      <c r="B2585" s="8" t="s">
        <v>3944</v>
      </c>
      <c r="C2585" s="8" t="s">
        <v>2623</v>
      </c>
      <c r="D2585" s="9"/>
      <c r="E2585" s="10"/>
      <c r="F2585" s="11"/>
      <c r="G2585" s="12"/>
      <c r="H2585" s="11" t="n">
        <v>0.002959375</v>
      </c>
      <c r="I2585" s="12" t="n">
        <v>1267</v>
      </c>
      <c r="J2585" s="14"/>
      <c r="K2585" s="14"/>
      <c r="L2585" s="14"/>
      <c r="M2585" s="13"/>
    </row>
    <row r="2586" customFormat="false" ht="15" hidden="false" customHeight="false" outlineLevel="0" collapsed="false">
      <c r="A2586" s="6" t="n">
        <v>2582</v>
      </c>
      <c r="B2586" s="8" t="s">
        <v>3945</v>
      </c>
      <c r="C2586" s="8" t="s">
        <v>3746</v>
      </c>
      <c r="D2586" s="9"/>
      <c r="E2586" s="10"/>
      <c r="F2586" s="11" t="n">
        <v>0.00835196759259259</v>
      </c>
      <c r="G2586" s="12" t="n">
        <v>1268</v>
      </c>
      <c r="H2586" s="11"/>
      <c r="I2586" s="12"/>
      <c r="J2586" s="14"/>
      <c r="K2586" s="14"/>
      <c r="L2586" s="14"/>
      <c r="M2586" s="13"/>
    </row>
    <row r="2587" customFormat="false" ht="15" hidden="false" customHeight="false" outlineLevel="0" collapsed="false">
      <c r="A2587" s="6" t="n">
        <v>2583</v>
      </c>
      <c r="B2587" s="8" t="s">
        <v>3946</v>
      </c>
      <c r="C2587" s="8" t="s">
        <v>3947</v>
      </c>
      <c r="D2587" s="9"/>
      <c r="E2587" s="10"/>
      <c r="F2587" s="11"/>
      <c r="G2587" s="12"/>
      <c r="H2587" s="11" t="n">
        <v>0.00295949074074074</v>
      </c>
      <c r="I2587" s="12" t="n">
        <v>1268</v>
      </c>
      <c r="J2587" s="14"/>
      <c r="K2587" s="14"/>
      <c r="L2587" s="14"/>
      <c r="M2587" s="13"/>
    </row>
    <row r="2588" customFormat="false" ht="15" hidden="false" customHeight="false" outlineLevel="0" collapsed="false">
      <c r="A2588" s="6" t="n">
        <v>2584</v>
      </c>
      <c r="B2588" s="8" t="s">
        <v>3948</v>
      </c>
      <c r="C2588" s="8" t="s">
        <v>2106</v>
      </c>
      <c r="D2588" s="9"/>
      <c r="E2588" s="10"/>
      <c r="F2588" s="11" t="n">
        <v>0.00835763888888889</v>
      </c>
      <c r="G2588" s="12" t="n">
        <v>1269</v>
      </c>
      <c r="H2588" s="11"/>
      <c r="I2588" s="12"/>
      <c r="J2588" s="14"/>
      <c r="K2588" s="14"/>
      <c r="L2588" s="14"/>
      <c r="M2588" s="13"/>
    </row>
    <row r="2589" customFormat="false" ht="15" hidden="false" customHeight="false" outlineLevel="0" collapsed="false">
      <c r="A2589" s="6" t="n">
        <v>2585</v>
      </c>
      <c r="B2589" s="8" t="s">
        <v>3949</v>
      </c>
      <c r="C2589" s="8" t="s">
        <v>2818</v>
      </c>
      <c r="D2589" s="9"/>
      <c r="E2589" s="10"/>
      <c r="F2589" s="11"/>
      <c r="G2589" s="12"/>
      <c r="H2589" s="11" t="n">
        <v>0.00295972222222222</v>
      </c>
      <c r="I2589" s="12" t="n">
        <v>1269</v>
      </c>
      <c r="J2589" s="14"/>
      <c r="K2589" s="14"/>
      <c r="L2589" s="14"/>
      <c r="M2589" s="13"/>
    </row>
    <row r="2590" customFormat="false" ht="15" hidden="false" customHeight="false" outlineLevel="0" collapsed="false">
      <c r="A2590" s="6" t="n">
        <v>2586</v>
      </c>
      <c r="B2590" s="8" t="s">
        <v>3950</v>
      </c>
      <c r="C2590" s="8" t="s">
        <v>866</v>
      </c>
      <c r="D2590" s="9"/>
      <c r="E2590" s="10"/>
      <c r="F2590" s="11" t="n">
        <v>0.00836458333333333</v>
      </c>
      <c r="G2590" s="12" t="n">
        <v>1270</v>
      </c>
      <c r="H2590" s="11"/>
      <c r="I2590" s="12"/>
      <c r="J2590" s="14"/>
      <c r="K2590" s="14"/>
      <c r="L2590" s="14"/>
      <c r="M2590" s="13"/>
    </row>
    <row r="2591" customFormat="false" ht="15" hidden="false" customHeight="false" outlineLevel="0" collapsed="false">
      <c r="A2591" s="6" t="n">
        <v>2587</v>
      </c>
      <c r="B2591" s="8" t="s">
        <v>3951</v>
      </c>
      <c r="C2591" s="8" t="s">
        <v>3026</v>
      </c>
      <c r="D2591" s="9"/>
      <c r="E2591" s="10"/>
      <c r="F2591" s="11" t="n">
        <v>0.00836678240740741</v>
      </c>
      <c r="G2591" s="12" t="n">
        <v>1271</v>
      </c>
      <c r="H2591" s="11"/>
      <c r="I2591" s="12"/>
      <c r="J2591" s="14"/>
      <c r="K2591" s="14"/>
      <c r="L2591" s="14"/>
      <c r="M2591" s="13"/>
    </row>
    <row r="2592" customFormat="false" ht="15" hidden="false" customHeight="false" outlineLevel="0" collapsed="false">
      <c r="A2592" s="6" t="n">
        <v>2588</v>
      </c>
      <c r="B2592" s="8" t="s">
        <v>3952</v>
      </c>
      <c r="C2592" s="8" t="s">
        <v>3953</v>
      </c>
      <c r="D2592" s="9"/>
      <c r="E2592" s="10"/>
      <c r="F2592" s="11" t="n">
        <v>0.00837384259259259</v>
      </c>
      <c r="G2592" s="12" t="n">
        <v>1272</v>
      </c>
      <c r="H2592" s="11"/>
      <c r="I2592" s="12"/>
      <c r="J2592" s="14"/>
      <c r="K2592" s="14"/>
      <c r="L2592" s="14"/>
      <c r="M2592" s="13"/>
    </row>
    <row r="2593" customFormat="false" ht="15" hidden="false" customHeight="false" outlineLevel="0" collapsed="false">
      <c r="A2593" s="6" t="n">
        <v>2589</v>
      </c>
      <c r="B2593" s="8" t="s">
        <v>3954</v>
      </c>
      <c r="C2593" s="8" t="s">
        <v>2733</v>
      </c>
      <c r="D2593" s="9"/>
      <c r="E2593" s="10"/>
      <c r="F2593" s="11"/>
      <c r="G2593" s="12"/>
      <c r="H2593" s="11" t="n">
        <v>0.00296006944444444</v>
      </c>
      <c r="I2593" s="12" t="n">
        <v>1272</v>
      </c>
      <c r="J2593" s="14"/>
      <c r="K2593" s="14"/>
      <c r="L2593" s="14"/>
      <c r="M2593" s="13"/>
    </row>
    <row r="2594" customFormat="false" ht="15" hidden="false" customHeight="false" outlineLevel="0" collapsed="false">
      <c r="A2594" s="6" t="n">
        <v>2590</v>
      </c>
      <c r="B2594" s="8" t="s">
        <v>3955</v>
      </c>
      <c r="C2594" s="8" t="s">
        <v>3595</v>
      </c>
      <c r="D2594" s="9"/>
      <c r="E2594" s="10"/>
      <c r="F2594" s="11" t="n">
        <v>0.00837731481481482</v>
      </c>
      <c r="G2594" s="12" t="n">
        <v>1273</v>
      </c>
      <c r="H2594" s="11"/>
      <c r="I2594" s="12"/>
      <c r="J2594" s="14"/>
      <c r="K2594" s="14"/>
      <c r="L2594" s="14"/>
      <c r="M2594" s="13"/>
    </row>
    <row r="2595" customFormat="false" ht="15" hidden="false" customHeight="false" outlineLevel="0" collapsed="false">
      <c r="A2595" s="6" t="n">
        <v>2591</v>
      </c>
      <c r="B2595" s="8" t="s">
        <v>3956</v>
      </c>
      <c r="C2595" s="8" t="s">
        <v>3957</v>
      </c>
      <c r="D2595" s="9"/>
      <c r="E2595" s="10"/>
      <c r="F2595" s="11" t="n">
        <v>0.00838032407407407</v>
      </c>
      <c r="G2595" s="12" t="n">
        <v>1274</v>
      </c>
      <c r="H2595" s="11"/>
      <c r="I2595" s="12"/>
      <c r="J2595" s="14"/>
      <c r="K2595" s="14"/>
      <c r="L2595" s="14"/>
      <c r="M2595" s="13"/>
    </row>
    <row r="2596" customFormat="false" ht="15" hidden="false" customHeight="false" outlineLevel="0" collapsed="false">
      <c r="A2596" s="6" t="n">
        <v>2592</v>
      </c>
      <c r="B2596" s="8" t="s">
        <v>3958</v>
      </c>
      <c r="C2596" s="8" t="s">
        <v>3959</v>
      </c>
      <c r="D2596" s="9"/>
      <c r="E2596" s="10"/>
      <c r="F2596" s="11" t="n">
        <v>0.00838055555555556</v>
      </c>
      <c r="G2596" s="12" t="n">
        <v>1275</v>
      </c>
      <c r="H2596" s="11"/>
      <c r="I2596" s="12"/>
      <c r="J2596" s="14"/>
      <c r="K2596" s="14"/>
      <c r="L2596" s="14"/>
      <c r="M2596" s="13"/>
    </row>
    <row r="2597" customFormat="false" ht="15" hidden="false" customHeight="false" outlineLevel="0" collapsed="false">
      <c r="A2597" s="6" t="n">
        <v>2593</v>
      </c>
      <c r="B2597" s="8" t="s">
        <v>3960</v>
      </c>
      <c r="C2597" s="8" t="s">
        <v>3202</v>
      </c>
      <c r="D2597" s="9"/>
      <c r="E2597" s="10"/>
      <c r="F2597" s="11"/>
      <c r="G2597" s="12"/>
      <c r="H2597" s="11" t="n">
        <v>0.00296053240740741</v>
      </c>
      <c r="I2597" s="12" t="n">
        <v>1275</v>
      </c>
      <c r="J2597" s="14"/>
      <c r="K2597" s="14"/>
      <c r="L2597" s="14"/>
      <c r="M2597" s="13"/>
    </row>
    <row r="2598" customFormat="false" ht="15" hidden="false" customHeight="false" outlineLevel="0" collapsed="false">
      <c r="A2598" s="6" t="n">
        <v>2594</v>
      </c>
      <c r="B2598" s="8" t="s">
        <v>3961</v>
      </c>
      <c r="C2598" s="8" t="s">
        <v>1089</v>
      </c>
      <c r="D2598" s="9"/>
      <c r="E2598" s="10"/>
      <c r="F2598" s="11" t="n">
        <v>0.00838773148148148</v>
      </c>
      <c r="G2598" s="12" t="n">
        <v>1276</v>
      </c>
      <c r="H2598" s="11"/>
      <c r="I2598" s="12"/>
      <c r="J2598" s="14"/>
      <c r="K2598" s="14"/>
      <c r="L2598" s="14"/>
      <c r="M2598" s="13"/>
    </row>
    <row r="2599" customFormat="false" ht="15" hidden="false" customHeight="false" outlineLevel="0" collapsed="false">
      <c r="A2599" s="6" t="n">
        <v>2595</v>
      </c>
      <c r="B2599" s="8" t="s">
        <v>3962</v>
      </c>
      <c r="C2599" s="8" t="s">
        <v>152</v>
      </c>
      <c r="D2599" s="9"/>
      <c r="E2599" s="10"/>
      <c r="F2599" s="11"/>
      <c r="G2599" s="12"/>
      <c r="H2599" s="11" t="n">
        <v>0.00296122685185185</v>
      </c>
      <c r="I2599" s="12" t="n">
        <v>1276</v>
      </c>
      <c r="J2599" s="14"/>
      <c r="K2599" s="14"/>
      <c r="L2599" s="14"/>
      <c r="M2599" s="13"/>
    </row>
    <row r="2600" customFormat="false" ht="15" hidden="false" customHeight="false" outlineLevel="0" collapsed="false">
      <c r="A2600" s="6" t="n">
        <v>2596</v>
      </c>
      <c r="B2600" s="8" t="s">
        <v>3963</v>
      </c>
      <c r="C2600" s="8" t="s">
        <v>3964</v>
      </c>
      <c r="D2600" s="9"/>
      <c r="E2600" s="10"/>
      <c r="F2600" s="11" t="n">
        <v>0.00838796296296296</v>
      </c>
      <c r="G2600" s="12" t="n">
        <v>1277</v>
      </c>
      <c r="H2600" s="11"/>
      <c r="I2600" s="12"/>
      <c r="J2600" s="14"/>
      <c r="K2600" s="14"/>
      <c r="L2600" s="14"/>
      <c r="M2600" s="13"/>
    </row>
    <row r="2601" customFormat="false" ht="15" hidden="false" customHeight="false" outlineLevel="0" collapsed="false">
      <c r="A2601" s="6" t="n">
        <v>2597</v>
      </c>
      <c r="B2601" s="8" t="s">
        <v>3965</v>
      </c>
      <c r="C2601" s="8" t="s">
        <v>3381</v>
      </c>
      <c r="D2601" s="9"/>
      <c r="E2601" s="10"/>
      <c r="F2601" s="11" t="n">
        <v>0.00839259259259259</v>
      </c>
      <c r="G2601" s="12" t="n">
        <v>1278</v>
      </c>
      <c r="H2601" s="11"/>
      <c r="I2601" s="12"/>
      <c r="J2601" s="14"/>
      <c r="K2601" s="14"/>
      <c r="L2601" s="14"/>
      <c r="M2601" s="13"/>
    </row>
    <row r="2602" customFormat="false" ht="15" hidden="false" customHeight="false" outlineLevel="0" collapsed="false">
      <c r="A2602" s="6" t="n">
        <v>2598</v>
      </c>
      <c r="B2602" s="8" t="s">
        <v>3966</v>
      </c>
      <c r="C2602" s="8" t="s">
        <v>3967</v>
      </c>
      <c r="D2602" s="9"/>
      <c r="E2602" s="10"/>
      <c r="F2602" s="11" t="n">
        <v>0.00840277777777778</v>
      </c>
      <c r="G2602" s="12" t="n">
        <v>1279</v>
      </c>
      <c r="H2602" s="11"/>
      <c r="I2602" s="12"/>
      <c r="J2602" s="14"/>
      <c r="K2602" s="14"/>
      <c r="L2602" s="14"/>
      <c r="M2602" s="13"/>
    </row>
    <row r="2603" customFormat="false" ht="15" hidden="false" customHeight="false" outlineLevel="0" collapsed="false">
      <c r="A2603" s="6" t="n">
        <v>2599</v>
      </c>
      <c r="B2603" s="8" t="s">
        <v>3968</v>
      </c>
      <c r="C2603" s="8" t="s">
        <v>940</v>
      </c>
      <c r="D2603" s="9"/>
      <c r="E2603" s="10"/>
      <c r="F2603" s="11"/>
      <c r="G2603" s="12"/>
      <c r="H2603" s="11" t="n">
        <v>0.00296238425925926</v>
      </c>
      <c r="I2603" s="12" t="n">
        <v>1279</v>
      </c>
      <c r="J2603" s="14"/>
      <c r="K2603" s="14"/>
      <c r="L2603" s="14"/>
      <c r="M2603" s="13"/>
    </row>
    <row r="2604" customFormat="false" ht="15" hidden="false" customHeight="false" outlineLevel="0" collapsed="false">
      <c r="A2604" s="6" t="n">
        <v>2600</v>
      </c>
      <c r="B2604" s="8" t="s">
        <v>3969</v>
      </c>
      <c r="C2604" s="8" t="s">
        <v>3970</v>
      </c>
      <c r="D2604" s="9"/>
      <c r="E2604" s="10"/>
      <c r="F2604" s="11" t="n">
        <v>0.00840300925925926</v>
      </c>
      <c r="G2604" s="12" t="n">
        <v>1280</v>
      </c>
      <c r="H2604" s="11"/>
      <c r="I2604" s="12"/>
      <c r="J2604" s="14"/>
      <c r="K2604" s="14"/>
      <c r="L2604" s="14"/>
      <c r="M2604" s="13"/>
    </row>
    <row r="2605" customFormat="false" ht="15" hidden="false" customHeight="false" outlineLevel="0" collapsed="false">
      <c r="A2605" s="6" t="n">
        <v>2601</v>
      </c>
      <c r="B2605" s="8" t="s">
        <v>3971</v>
      </c>
      <c r="C2605" s="8" t="s">
        <v>3972</v>
      </c>
      <c r="D2605" s="9"/>
      <c r="E2605" s="10"/>
      <c r="F2605" s="11" t="n">
        <v>0.00840636574074074</v>
      </c>
      <c r="G2605" s="12" t="n">
        <v>1281</v>
      </c>
      <c r="H2605" s="11"/>
      <c r="I2605" s="12"/>
      <c r="J2605" s="14"/>
      <c r="K2605" s="14"/>
      <c r="L2605" s="14"/>
      <c r="M2605" s="13"/>
    </row>
    <row r="2606" customFormat="false" ht="15" hidden="false" customHeight="false" outlineLevel="0" collapsed="false">
      <c r="A2606" s="6" t="n">
        <v>2602</v>
      </c>
      <c r="B2606" s="8" t="s">
        <v>3973</v>
      </c>
      <c r="C2606" s="8" t="s">
        <v>704</v>
      </c>
      <c r="D2606" s="9"/>
      <c r="E2606" s="10"/>
      <c r="F2606" s="11"/>
      <c r="G2606" s="12"/>
      <c r="H2606" s="11" t="n">
        <v>0.0029625</v>
      </c>
      <c r="I2606" s="12" t="n">
        <v>1281</v>
      </c>
      <c r="J2606" s="14"/>
      <c r="K2606" s="14"/>
      <c r="L2606" s="14"/>
      <c r="M2606" s="13"/>
    </row>
    <row r="2607" customFormat="false" ht="15" hidden="false" customHeight="false" outlineLevel="0" collapsed="false">
      <c r="A2607" s="6" t="n">
        <v>2603</v>
      </c>
      <c r="B2607" s="8" t="s">
        <v>3974</v>
      </c>
      <c r="C2607" s="8" t="s">
        <v>1220</v>
      </c>
      <c r="D2607" s="9"/>
      <c r="E2607" s="10"/>
      <c r="F2607" s="11" t="n">
        <v>0.00840972222222222</v>
      </c>
      <c r="G2607" s="12" t="n">
        <v>1283</v>
      </c>
      <c r="H2607" s="11"/>
      <c r="I2607" s="12"/>
      <c r="J2607" s="14"/>
      <c r="K2607" s="14"/>
      <c r="L2607" s="14"/>
      <c r="M2607" s="13"/>
    </row>
    <row r="2608" customFormat="false" ht="15" hidden="false" customHeight="false" outlineLevel="0" collapsed="false">
      <c r="A2608" s="6" t="n">
        <v>2604</v>
      </c>
      <c r="B2608" s="8" t="s">
        <v>3975</v>
      </c>
      <c r="C2608" s="8" t="s">
        <v>1563</v>
      </c>
      <c r="D2608" s="9"/>
      <c r="E2608" s="10"/>
      <c r="F2608" s="11" t="n">
        <v>0.00841435185185185</v>
      </c>
      <c r="G2608" s="12" t="n">
        <v>1284</v>
      </c>
      <c r="H2608" s="11"/>
      <c r="I2608" s="12"/>
      <c r="J2608" s="14"/>
      <c r="K2608" s="14"/>
      <c r="L2608" s="14"/>
      <c r="M2608" s="13"/>
    </row>
    <row r="2609" customFormat="false" ht="15" hidden="false" customHeight="false" outlineLevel="0" collapsed="false">
      <c r="A2609" s="6" t="n">
        <v>2605</v>
      </c>
      <c r="B2609" s="8" t="s">
        <v>3976</v>
      </c>
      <c r="C2609" s="8" t="s">
        <v>3802</v>
      </c>
      <c r="D2609" s="9"/>
      <c r="E2609" s="10"/>
      <c r="F2609" s="11" t="n">
        <v>0.00842025462962963</v>
      </c>
      <c r="G2609" s="12" t="n">
        <v>1285</v>
      </c>
      <c r="H2609" s="11"/>
      <c r="I2609" s="12"/>
      <c r="J2609" s="14"/>
      <c r="K2609" s="14"/>
      <c r="L2609" s="14"/>
      <c r="M2609" s="13"/>
    </row>
    <row r="2610" customFormat="false" ht="15" hidden="false" customHeight="false" outlineLevel="0" collapsed="false">
      <c r="A2610" s="6" t="n">
        <v>2606</v>
      </c>
      <c r="B2610" s="8" t="s">
        <v>3977</v>
      </c>
      <c r="C2610" s="8" t="s">
        <v>2056</v>
      </c>
      <c r="D2610" s="9"/>
      <c r="E2610" s="10"/>
      <c r="F2610" s="11"/>
      <c r="G2610" s="12"/>
      <c r="H2610" s="11" t="n">
        <v>0.00296342592592593</v>
      </c>
      <c r="I2610" s="12" t="n">
        <v>1285</v>
      </c>
      <c r="J2610" s="14"/>
      <c r="K2610" s="14"/>
      <c r="L2610" s="14"/>
      <c r="M2610" s="13"/>
    </row>
    <row r="2611" customFormat="false" ht="15" hidden="false" customHeight="false" outlineLevel="0" collapsed="false">
      <c r="A2611" s="6" t="n">
        <v>2607</v>
      </c>
      <c r="B2611" s="8" t="s">
        <v>3978</v>
      </c>
      <c r="C2611" s="8" t="s">
        <v>3979</v>
      </c>
      <c r="D2611" s="9"/>
      <c r="E2611" s="10"/>
      <c r="F2611" s="11" t="n">
        <v>0.00843078703703704</v>
      </c>
      <c r="G2611" s="12" t="n">
        <v>1286</v>
      </c>
      <c r="H2611" s="11"/>
      <c r="I2611" s="12"/>
      <c r="J2611" s="14"/>
      <c r="K2611" s="14"/>
      <c r="L2611" s="14"/>
      <c r="M2611" s="13"/>
    </row>
    <row r="2612" customFormat="false" ht="15" hidden="false" customHeight="false" outlineLevel="0" collapsed="false">
      <c r="A2612" s="6" t="n">
        <v>2608</v>
      </c>
      <c r="B2612" s="8" t="s">
        <v>3980</v>
      </c>
      <c r="C2612" s="8" t="s">
        <v>2383</v>
      </c>
      <c r="D2612" s="9"/>
      <c r="E2612" s="10"/>
      <c r="F2612" s="11" t="n">
        <v>0.00843171296296296</v>
      </c>
      <c r="G2612" s="12" t="n">
        <v>1287</v>
      </c>
      <c r="H2612" s="11"/>
      <c r="I2612" s="12"/>
      <c r="J2612" s="14"/>
      <c r="K2612" s="14"/>
      <c r="L2612" s="14"/>
      <c r="M2612" s="13"/>
    </row>
    <row r="2613" customFormat="false" ht="15" hidden="false" customHeight="false" outlineLevel="0" collapsed="false">
      <c r="A2613" s="6" t="n">
        <v>2609</v>
      </c>
      <c r="B2613" s="8" t="s">
        <v>3981</v>
      </c>
      <c r="C2613" s="8" t="s">
        <v>857</v>
      </c>
      <c r="D2613" s="9"/>
      <c r="E2613" s="10"/>
      <c r="F2613" s="11"/>
      <c r="G2613" s="12"/>
      <c r="H2613" s="11" t="n">
        <v>0.00296388888888889</v>
      </c>
      <c r="I2613" s="12" t="n">
        <v>1287</v>
      </c>
      <c r="J2613" s="14"/>
      <c r="K2613" s="14" t="s">
        <v>3982</v>
      </c>
      <c r="L2613" s="14"/>
      <c r="M2613" s="13"/>
    </row>
    <row r="2614" customFormat="false" ht="15" hidden="false" customHeight="false" outlineLevel="0" collapsed="false">
      <c r="A2614" s="6" t="n">
        <v>2610</v>
      </c>
      <c r="B2614" s="8" t="s">
        <v>3983</v>
      </c>
      <c r="C2614" s="8" t="s">
        <v>3984</v>
      </c>
      <c r="D2614" s="9"/>
      <c r="E2614" s="10"/>
      <c r="F2614" s="11" t="n">
        <v>0.00843275462962963</v>
      </c>
      <c r="G2614" s="12" t="n">
        <v>1288</v>
      </c>
      <c r="H2614" s="11"/>
      <c r="I2614" s="12"/>
      <c r="J2614" s="14"/>
      <c r="K2614" s="14"/>
      <c r="L2614" s="14"/>
      <c r="M2614" s="13"/>
    </row>
    <row r="2615" customFormat="false" ht="15" hidden="false" customHeight="false" outlineLevel="0" collapsed="false">
      <c r="A2615" s="6" t="n">
        <v>2611</v>
      </c>
      <c r="B2615" s="8" t="s">
        <v>3985</v>
      </c>
      <c r="C2615" s="8" t="s">
        <v>2696</v>
      </c>
      <c r="D2615" s="9"/>
      <c r="E2615" s="10"/>
      <c r="F2615" s="11"/>
      <c r="G2615" s="12"/>
      <c r="H2615" s="11" t="n">
        <v>0.00296435185185185</v>
      </c>
      <c r="I2615" s="12" t="n">
        <v>1288</v>
      </c>
      <c r="J2615" s="14"/>
      <c r="K2615" s="14"/>
      <c r="L2615" s="14"/>
      <c r="M2615" s="13"/>
    </row>
    <row r="2616" customFormat="false" ht="15" hidden="false" customHeight="false" outlineLevel="0" collapsed="false">
      <c r="A2616" s="6" t="n">
        <v>2612</v>
      </c>
      <c r="B2616" s="8" t="s">
        <v>3986</v>
      </c>
      <c r="C2616" s="8" t="s">
        <v>2998</v>
      </c>
      <c r="D2616" s="9"/>
      <c r="E2616" s="10"/>
      <c r="F2616" s="11" t="n">
        <v>0.00843541666666667</v>
      </c>
      <c r="G2616" s="12" t="n">
        <v>1289</v>
      </c>
      <c r="H2616" s="11"/>
      <c r="I2616" s="12"/>
      <c r="J2616" s="14"/>
      <c r="K2616" s="14"/>
      <c r="L2616" s="14"/>
      <c r="M2616" s="13"/>
    </row>
    <row r="2617" customFormat="false" ht="15" hidden="false" customHeight="false" outlineLevel="0" collapsed="false">
      <c r="A2617" s="6" t="n">
        <v>2613</v>
      </c>
      <c r="B2617" s="8" t="s">
        <v>3987</v>
      </c>
      <c r="C2617" s="8" t="s">
        <v>2218</v>
      </c>
      <c r="D2617" s="9"/>
      <c r="E2617" s="10"/>
      <c r="F2617" s="11" t="n">
        <v>0.00844826388888889</v>
      </c>
      <c r="G2617" s="12" t="n">
        <v>1290</v>
      </c>
      <c r="H2617" s="11"/>
      <c r="I2617" s="12"/>
      <c r="J2617" s="14"/>
      <c r="K2617" s="14"/>
      <c r="L2617" s="14"/>
      <c r="M2617" s="13"/>
    </row>
    <row r="2618" customFormat="false" ht="15" hidden="false" customHeight="false" outlineLevel="0" collapsed="false">
      <c r="A2618" s="6" t="n">
        <v>2614</v>
      </c>
      <c r="B2618" s="8" t="s">
        <v>3988</v>
      </c>
      <c r="C2618" s="8" t="s">
        <v>3989</v>
      </c>
      <c r="D2618" s="9"/>
      <c r="E2618" s="10"/>
      <c r="F2618" s="11" t="n">
        <v>0.00844872685185185</v>
      </c>
      <c r="G2618" s="12" t="n">
        <v>1291</v>
      </c>
      <c r="H2618" s="11"/>
      <c r="I2618" s="12"/>
      <c r="J2618" s="14"/>
      <c r="K2618" s="14"/>
      <c r="L2618" s="14"/>
      <c r="M2618" s="13"/>
    </row>
    <row r="2619" customFormat="false" ht="15" hidden="false" customHeight="false" outlineLevel="0" collapsed="false">
      <c r="A2619" s="6" t="n">
        <v>2615</v>
      </c>
      <c r="B2619" s="8" t="s">
        <v>3990</v>
      </c>
      <c r="C2619" s="8" t="s">
        <v>148</v>
      </c>
      <c r="D2619" s="9"/>
      <c r="E2619" s="10"/>
      <c r="F2619" s="11"/>
      <c r="G2619" s="12"/>
      <c r="H2619" s="11" t="n">
        <v>0.00296527777777778</v>
      </c>
      <c r="I2619" s="12" t="n">
        <v>1291</v>
      </c>
      <c r="J2619" s="14"/>
      <c r="K2619" s="14"/>
      <c r="L2619" s="14"/>
      <c r="M2619" s="13"/>
    </row>
    <row r="2620" customFormat="false" ht="15" hidden="false" customHeight="false" outlineLevel="0" collapsed="false">
      <c r="A2620" s="6" t="n">
        <v>2616</v>
      </c>
      <c r="B2620" s="8" t="s">
        <v>3991</v>
      </c>
      <c r="C2620" s="8" t="s">
        <v>3992</v>
      </c>
      <c r="D2620" s="9"/>
      <c r="E2620" s="10"/>
      <c r="F2620" s="11" t="n">
        <v>0.00845428240740741</v>
      </c>
      <c r="G2620" s="12" t="n">
        <v>1292</v>
      </c>
      <c r="H2620" s="11"/>
      <c r="I2620" s="12"/>
      <c r="J2620" s="14"/>
      <c r="K2620" s="14"/>
      <c r="L2620" s="14"/>
      <c r="M2620" s="13"/>
    </row>
    <row r="2621" customFormat="false" ht="15" hidden="false" customHeight="false" outlineLevel="0" collapsed="false">
      <c r="A2621" s="6" t="n">
        <v>2617</v>
      </c>
      <c r="B2621" s="8" t="s">
        <v>3993</v>
      </c>
      <c r="C2621" s="8" t="s">
        <v>3444</v>
      </c>
      <c r="D2621" s="9"/>
      <c r="E2621" s="10"/>
      <c r="F2621" s="11"/>
      <c r="G2621" s="12"/>
      <c r="H2621" s="11" t="n">
        <v>0.00296550925925926</v>
      </c>
      <c r="I2621" s="12" t="n">
        <v>1292</v>
      </c>
      <c r="J2621" s="14"/>
      <c r="K2621" s="14"/>
      <c r="L2621" s="14"/>
      <c r="M2621" s="13"/>
    </row>
    <row r="2622" customFormat="false" ht="15" hidden="false" customHeight="false" outlineLevel="0" collapsed="false">
      <c r="A2622" s="6" t="n">
        <v>2618</v>
      </c>
      <c r="B2622" s="8" t="s">
        <v>3994</v>
      </c>
      <c r="C2622" s="8" t="s">
        <v>2052</v>
      </c>
      <c r="D2622" s="9"/>
      <c r="E2622" s="10"/>
      <c r="F2622" s="11" t="n">
        <v>0.00846331018518519</v>
      </c>
      <c r="G2622" s="12" t="n">
        <v>1293</v>
      </c>
      <c r="H2622" s="11"/>
      <c r="I2622" s="12"/>
      <c r="J2622" s="14"/>
      <c r="K2622" s="14"/>
      <c r="L2622" s="14"/>
      <c r="M2622" s="13"/>
    </row>
    <row r="2623" customFormat="false" ht="15" hidden="false" customHeight="false" outlineLevel="0" collapsed="false">
      <c r="A2623" s="6" t="n">
        <v>2619</v>
      </c>
      <c r="B2623" s="8" t="s">
        <v>3995</v>
      </c>
      <c r="C2623" s="8" t="s">
        <v>56</v>
      </c>
      <c r="D2623" s="9"/>
      <c r="E2623" s="10"/>
      <c r="F2623" s="11"/>
      <c r="G2623" s="12"/>
      <c r="H2623" s="11" t="n">
        <v>0.00296550925925926</v>
      </c>
      <c r="I2623" s="12" t="n">
        <v>1293</v>
      </c>
      <c r="J2623" s="14"/>
      <c r="K2623" s="14"/>
      <c r="L2623" s="14"/>
      <c r="M2623" s="13"/>
    </row>
    <row r="2624" customFormat="false" ht="15" hidden="false" customHeight="false" outlineLevel="0" collapsed="false">
      <c r="A2624" s="6" t="n">
        <v>2620</v>
      </c>
      <c r="B2624" s="8" t="s">
        <v>3996</v>
      </c>
      <c r="C2624" s="8" t="s">
        <v>2104</v>
      </c>
      <c r="D2624" s="9"/>
      <c r="E2624" s="10"/>
      <c r="F2624" s="11" t="n">
        <v>0.00846493055555556</v>
      </c>
      <c r="G2624" s="12" t="n">
        <v>1294</v>
      </c>
      <c r="H2624" s="11"/>
      <c r="I2624" s="12"/>
      <c r="J2624" s="14"/>
      <c r="K2624" s="14"/>
      <c r="L2624" s="14"/>
      <c r="M2624" s="13"/>
    </row>
    <row r="2625" customFormat="false" ht="15" hidden="false" customHeight="false" outlineLevel="0" collapsed="false">
      <c r="A2625" s="6" t="n">
        <v>2621</v>
      </c>
      <c r="B2625" s="8" t="s">
        <v>3997</v>
      </c>
      <c r="C2625" s="8" t="s">
        <v>1252</v>
      </c>
      <c r="D2625" s="9"/>
      <c r="E2625" s="10"/>
      <c r="F2625" s="11" t="n">
        <v>0.00847916666666667</v>
      </c>
      <c r="G2625" s="12" t="n">
        <v>1295</v>
      </c>
      <c r="H2625" s="11"/>
      <c r="I2625" s="12"/>
      <c r="J2625" s="14"/>
      <c r="K2625" s="14"/>
      <c r="L2625" s="14"/>
      <c r="M2625" s="13"/>
    </row>
    <row r="2626" customFormat="false" ht="15" hidden="false" customHeight="false" outlineLevel="0" collapsed="false">
      <c r="A2626" s="6" t="n">
        <v>2622</v>
      </c>
      <c r="B2626" s="8" t="s">
        <v>3998</v>
      </c>
      <c r="C2626" s="8" t="s">
        <v>3020</v>
      </c>
      <c r="D2626" s="9"/>
      <c r="E2626" s="10"/>
      <c r="F2626" s="11" t="n">
        <v>0.0084880787037037</v>
      </c>
      <c r="G2626" s="12" t="n">
        <v>1296</v>
      </c>
      <c r="H2626" s="11"/>
      <c r="I2626" s="12"/>
      <c r="J2626" s="14"/>
      <c r="K2626" s="14"/>
      <c r="L2626" s="14"/>
      <c r="M2626" s="13"/>
    </row>
    <row r="2627" customFormat="false" ht="15" hidden="false" customHeight="false" outlineLevel="0" collapsed="false">
      <c r="A2627" s="6" t="n">
        <v>2623</v>
      </c>
      <c r="B2627" s="8" t="s">
        <v>3999</v>
      </c>
      <c r="C2627" s="8" t="s">
        <v>3972</v>
      </c>
      <c r="D2627" s="9"/>
      <c r="E2627" s="10"/>
      <c r="F2627" s="11" t="n">
        <v>0.0084880787037037</v>
      </c>
      <c r="G2627" s="12" t="n">
        <v>1297</v>
      </c>
      <c r="H2627" s="11"/>
      <c r="I2627" s="12"/>
      <c r="J2627" s="14"/>
      <c r="K2627" s="14"/>
      <c r="L2627" s="14"/>
      <c r="M2627" s="13"/>
    </row>
    <row r="2628" customFormat="false" ht="15" hidden="false" customHeight="false" outlineLevel="0" collapsed="false">
      <c r="A2628" s="6" t="n">
        <v>2624</v>
      </c>
      <c r="B2628" s="8" t="s">
        <v>4000</v>
      </c>
      <c r="C2628" s="8" t="s">
        <v>4001</v>
      </c>
      <c r="D2628" s="9"/>
      <c r="E2628" s="10"/>
      <c r="F2628" s="11" t="n">
        <v>0.0084931712962963</v>
      </c>
      <c r="G2628" s="12" t="n">
        <v>1298</v>
      </c>
      <c r="H2628" s="11"/>
      <c r="I2628" s="12"/>
      <c r="J2628" s="14"/>
      <c r="K2628" s="14"/>
      <c r="L2628" s="14"/>
      <c r="M2628" s="13"/>
    </row>
    <row r="2629" customFormat="false" ht="15" hidden="false" customHeight="false" outlineLevel="0" collapsed="false">
      <c r="A2629" s="6" t="n">
        <v>2625</v>
      </c>
      <c r="B2629" s="8" t="s">
        <v>4002</v>
      </c>
      <c r="C2629" s="8" t="s">
        <v>817</v>
      </c>
      <c r="D2629" s="9"/>
      <c r="E2629" s="10"/>
      <c r="F2629" s="11" t="n">
        <v>0.00849803240740741</v>
      </c>
      <c r="G2629" s="12" t="n">
        <v>1299</v>
      </c>
      <c r="H2629" s="11"/>
      <c r="I2629" s="12"/>
      <c r="J2629" s="14"/>
      <c r="K2629" s="14"/>
      <c r="L2629" s="14"/>
      <c r="M2629" s="13"/>
    </row>
    <row r="2630" customFormat="false" ht="15" hidden="false" customHeight="false" outlineLevel="0" collapsed="false">
      <c r="A2630" s="6" t="n">
        <v>2626</v>
      </c>
      <c r="B2630" s="8" t="s">
        <v>4003</v>
      </c>
      <c r="C2630" s="8" t="s">
        <v>207</v>
      </c>
      <c r="D2630" s="9"/>
      <c r="E2630" s="10"/>
      <c r="F2630" s="11"/>
      <c r="G2630" s="12"/>
      <c r="H2630" s="11" t="n">
        <v>0.00296701388888889</v>
      </c>
      <c r="I2630" s="12" t="n">
        <v>1299</v>
      </c>
      <c r="J2630" s="14"/>
      <c r="K2630" s="14"/>
      <c r="L2630" s="14"/>
      <c r="M2630" s="13"/>
    </row>
    <row r="2631" customFormat="false" ht="15" hidden="false" customHeight="false" outlineLevel="0" collapsed="false">
      <c r="A2631" s="6" t="n">
        <v>2627</v>
      </c>
      <c r="B2631" s="8" t="s">
        <v>4004</v>
      </c>
      <c r="C2631" s="8" t="s">
        <v>4005</v>
      </c>
      <c r="D2631" s="9"/>
      <c r="E2631" s="10"/>
      <c r="F2631" s="11" t="n">
        <v>0.00849953703703704</v>
      </c>
      <c r="G2631" s="12" t="n">
        <v>1300</v>
      </c>
      <c r="H2631" s="11"/>
      <c r="I2631" s="12"/>
      <c r="J2631" s="14"/>
      <c r="K2631" s="14"/>
      <c r="L2631" s="14"/>
      <c r="M2631" s="13"/>
    </row>
    <row r="2632" customFormat="false" ht="15" hidden="false" customHeight="false" outlineLevel="0" collapsed="false">
      <c r="A2632" s="6" t="n">
        <v>2628</v>
      </c>
      <c r="B2632" s="8" t="s">
        <v>4006</v>
      </c>
      <c r="C2632" s="8" t="s">
        <v>4007</v>
      </c>
      <c r="D2632" s="9"/>
      <c r="E2632" s="10"/>
      <c r="F2632" s="11" t="n">
        <v>0.00851365740740741</v>
      </c>
      <c r="G2632" s="12" t="n">
        <v>1301</v>
      </c>
      <c r="H2632" s="11"/>
      <c r="I2632" s="12"/>
      <c r="J2632" s="14"/>
      <c r="K2632" s="14"/>
      <c r="L2632" s="14"/>
      <c r="M2632" s="13"/>
    </row>
    <row r="2633" customFormat="false" ht="15" hidden="false" customHeight="false" outlineLevel="0" collapsed="false">
      <c r="A2633" s="6" t="n">
        <v>2629</v>
      </c>
      <c r="B2633" s="8" t="s">
        <v>4008</v>
      </c>
      <c r="C2633" s="8" t="s">
        <v>2262</v>
      </c>
      <c r="D2633" s="9"/>
      <c r="E2633" s="10"/>
      <c r="F2633" s="11"/>
      <c r="G2633" s="12"/>
      <c r="H2633" s="11" t="n">
        <v>0.00296759259259259</v>
      </c>
      <c r="I2633" s="12" t="n">
        <v>1301</v>
      </c>
      <c r="J2633" s="14"/>
      <c r="K2633" s="14"/>
      <c r="L2633" s="14"/>
      <c r="M2633" s="13"/>
    </row>
    <row r="2634" customFormat="false" ht="15" hidden="false" customHeight="false" outlineLevel="0" collapsed="false">
      <c r="A2634" s="6" t="n">
        <v>2630</v>
      </c>
      <c r="B2634" s="8" t="s">
        <v>4009</v>
      </c>
      <c r="C2634" s="8" t="s">
        <v>4010</v>
      </c>
      <c r="D2634" s="9"/>
      <c r="E2634" s="10"/>
      <c r="F2634" s="11" t="n">
        <v>0.00853715277777778</v>
      </c>
      <c r="G2634" s="12" t="n">
        <v>1302</v>
      </c>
      <c r="H2634" s="11"/>
      <c r="I2634" s="12"/>
      <c r="J2634" s="14"/>
      <c r="K2634" s="14"/>
      <c r="L2634" s="14"/>
      <c r="M2634" s="13"/>
    </row>
    <row r="2635" customFormat="false" ht="15" hidden="false" customHeight="false" outlineLevel="0" collapsed="false">
      <c r="A2635" s="6" t="n">
        <v>2631</v>
      </c>
      <c r="B2635" s="8" t="s">
        <v>4011</v>
      </c>
      <c r="C2635" s="8" t="s">
        <v>2364</v>
      </c>
      <c r="D2635" s="9"/>
      <c r="E2635" s="10"/>
      <c r="F2635" s="11"/>
      <c r="G2635" s="12"/>
      <c r="H2635" s="11" t="n">
        <v>0.00296782407407407</v>
      </c>
      <c r="I2635" s="12" t="n">
        <v>1302</v>
      </c>
      <c r="J2635" s="14"/>
      <c r="K2635" s="14"/>
      <c r="L2635" s="14"/>
      <c r="M2635" s="13"/>
    </row>
    <row r="2636" customFormat="false" ht="15" hidden="false" customHeight="false" outlineLevel="0" collapsed="false">
      <c r="A2636" s="6" t="n">
        <v>2632</v>
      </c>
      <c r="B2636" s="8" t="s">
        <v>4012</v>
      </c>
      <c r="C2636" s="8" t="s">
        <v>4013</v>
      </c>
      <c r="D2636" s="9"/>
      <c r="E2636" s="10"/>
      <c r="F2636" s="11" t="n">
        <v>0.0085380787037037</v>
      </c>
      <c r="G2636" s="12" t="n">
        <v>1303</v>
      </c>
      <c r="H2636" s="11"/>
      <c r="I2636" s="12"/>
      <c r="J2636" s="14"/>
      <c r="K2636" s="14"/>
      <c r="L2636" s="14"/>
      <c r="M2636" s="13"/>
    </row>
    <row r="2637" customFormat="false" ht="15" hidden="false" customHeight="false" outlineLevel="0" collapsed="false">
      <c r="A2637" s="6" t="n">
        <v>2633</v>
      </c>
      <c r="B2637" s="8" t="s">
        <v>4014</v>
      </c>
      <c r="C2637" s="8" t="s">
        <v>4015</v>
      </c>
      <c r="D2637" s="9"/>
      <c r="E2637" s="10"/>
      <c r="F2637" s="11"/>
      <c r="G2637" s="12"/>
      <c r="H2637" s="11" t="n">
        <v>0.00296863425925926</v>
      </c>
      <c r="I2637" s="12" t="n">
        <v>1303</v>
      </c>
      <c r="J2637" s="14"/>
      <c r="K2637" s="14"/>
      <c r="L2637" s="14"/>
      <c r="M2637" s="13"/>
    </row>
    <row r="2638" customFormat="false" ht="15" hidden="false" customHeight="false" outlineLevel="0" collapsed="false">
      <c r="A2638" s="6" t="n">
        <v>2634</v>
      </c>
      <c r="B2638" s="8" t="s">
        <v>4016</v>
      </c>
      <c r="C2638" s="8" t="s">
        <v>4017</v>
      </c>
      <c r="D2638" s="9"/>
      <c r="E2638" s="10"/>
      <c r="F2638" s="11" t="n">
        <v>0.00854097222222222</v>
      </c>
      <c r="G2638" s="12" t="n">
        <v>1304</v>
      </c>
      <c r="H2638" s="11"/>
      <c r="I2638" s="12"/>
      <c r="J2638" s="14"/>
      <c r="K2638" s="14"/>
      <c r="L2638" s="14"/>
      <c r="M2638" s="13"/>
    </row>
    <row r="2639" customFormat="false" ht="15" hidden="false" customHeight="false" outlineLevel="0" collapsed="false">
      <c r="A2639" s="6" t="n">
        <v>2635</v>
      </c>
      <c r="B2639" s="8" t="s">
        <v>4018</v>
      </c>
      <c r="C2639" s="8" t="s">
        <v>4019</v>
      </c>
      <c r="D2639" s="9"/>
      <c r="E2639" s="10"/>
      <c r="F2639" s="11"/>
      <c r="G2639" s="12"/>
      <c r="H2639" s="11" t="n">
        <v>0.00296875</v>
      </c>
      <c r="I2639" s="12" t="n">
        <v>1304</v>
      </c>
      <c r="J2639" s="14"/>
      <c r="K2639" s="14"/>
      <c r="L2639" s="14"/>
      <c r="M2639" s="13"/>
    </row>
    <row r="2640" customFormat="false" ht="15" hidden="false" customHeight="false" outlineLevel="0" collapsed="false">
      <c r="A2640" s="6" t="n">
        <v>2636</v>
      </c>
      <c r="B2640" s="8" t="s">
        <v>4020</v>
      </c>
      <c r="C2640" s="8" t="s">
        <v>4021</v>
      </c>
      <c r="D2640" s="9"/>
      <c r="E2640" s="10"/>
      <c r="F2640" s="11" t="n">
        <v>0.00855069444444444</v>
      </c>
      <c r="G2640" s="12" t="n">
        <v>1305</v>
      </c>
      <c r="H2640" s="11"/>
      <c r="I2640" s="12"/>
      <c r="J2640" s="14"/>
      <c r="K2640" s="14"/>
      <c r="L2640" s="14"/>
      <c r="M2640" s="13"/>
    </row>
    <row r="2641" customFormat="false" ht="15" hidden="false" customHeight="false" outlineLevel="0" collapsed="false">
      <c r="A2641" s="6" t="n">
        <v>2637</v>
      </c>
      <c r="B2641" s="8" t="s">
        <v>4022</v>
      </c>
      <c r="C2641" s="8" t="s">
        <v>4010</v>
      </c>
      <c r="D2641" s="9"/>
      <c r="E2641" s="10"/>
      <c r="F2641" s="11" t="n">
        <v>0.00856365740740741</v>
      </c>
      <c r="G2641" s="12" t="n">
        <v>1306</v>
      </c>
      <c r="H2641" s="11"/>
      <c r="I2641" s="12"/>
      <c r="J2641" s="14"/>
      <c r="K2641" s="14"/>
      <c r="L2641" s="14"/>
      <c r="M2641" s="13"/>
    </row>
    <row r="2642" customFormat="false" ht="15" hidden="false" customHeight="false" outlineLevel="0" collapsed="false">
      <c r="A2642" s="6" t="n">
        <v>2638</v>
      </c>
      <c r="B2642" s="8" t="s">
        <v>4023</v>
      </c>
      <c r="C2642" s="8" t="s">
        <v>4024</v>
      </c>
      <c r="D2642" s="9"/>
      <c r="E2642" s="10"/>
      <c r="F2642" s="11"/>
      <c r="G2642" s="12"/>
      <c r="H2642" s="11" t="n">
        <v>0.00296921296296296</v>
      </c>
      <c r="I2642" s="12" t="n">
        <v>1306</v>
      </c>
      <c r="J2642" s="14"/>
      <c r="K2642" s="14"/>
      <c r="L2642" s="14"/>
      <c r="M2642" s="13"/>
    </row>
    <row r="2643" customFormat="false" ht="15" hidden="false" customHeight="false" outlineLevel="0" collapsed="false">
      <c r="A2643" s="6" t="n">
        <v>2639</v>
      </c>
      <c r="B2643" s="8" t="s">
        <v>4025</v>
      </c>
      <c r="C2643" s="8" t="s">
        <v>4026</v>
      </c>
      <c r="D2643" s="9"/>
      <c r="E2643" s="10"/>
      <c r="F2643" s="11" t="n">
        <v>0.00856388888888889</v>
      </c>
      <c r="G2643" s="12" t="n">
        <v>1307</v>
      </c>
      <c r="H2643" s="11"/>
      <c r="I2643" s="12"/>
      <c r="J2643" s="14"/>
      <c r="K2643" s="14"/>
      <c r="L2643" s="14"/>
      <c r="M2643" s="13"/>
    </row>
    <row r="2644" customFormat="false" ht="15" hidden="false" customHeight="false" outlineLevel="0" collapsed="false">
      <c r="A2644" s="6" t="n">
        <v>2640</v>
      </c>
      <c r="B2644" s="8" t="s">
        <v>4027</v>
      </c>
      <c r="C2644" s="8" t="s">
        <v>4028</v>
      </c>
      <c r="D2644" s="9"/>
      <c r="E2644" s="10"/>
      <c r="F2644" s="11" t="n">
        <v>0.00856435185185185</v>
      </c>
      <c r="G2644" s="12" t="n">
        <v>1308</v>
      </c>
      <c r="H2644" s="11"/>
      <c r="I2644" s="12"/>
      <c r="J2644" s="14"/>
      <c r="K2644" s="14"/>
      <c r="L2644" s="14"/>
      <c r="M2644" s="13"/>
    </row>
    <row r="2645" customFormat="false" ht="15" hidden="false" customHeight="false" outlineLevel="0" collapsed="false">
      <c r="A2645" s="6" t="n">
        <v>2641</v>
      </c>
      <c r="B2645" s="8" t="s">
        <v>4029</v>
      </c>
      <c r="C2645" s="8" t="s">
        <v>2915</v>
      </c>
      <c r="D2645" s="9"/>
      <c r="E2645" s="10"/>
      <c r="F2645" s="11"/>
      <c r="G2645" s="12"/>
      <c r="H2645" s="11" t="n">
        <v>0.00296944444444444</v>
      </c>
      <c r="I2645" s="12" t="n">
        <v>1308</v>
      </c>
      <c r="J2645" s="14"/>
      <c r="K2645" s="14"/>
      <c r="L2645" s="14"/>
      <c r="M2645" s="13"/>
    </row>
    <row r="2646" customFormat="false" ht="15" hidden="false" customHeight="false" outlineLevel="0" collapsed="false">
      <c r="A2646" s="6" t="n">
        <v>2642</v>
      </c>
      <c r="B2646" s="8" t="s">
        <v>4030</v>
      </c>
      <c r="C2646" s="8" t="s">
        <v>4031</v>
      </c>
      <c r="D2646" s="9"/>
      <c r="E2646" s="10"/>
      <c r="F2646" s="11" t="n">
        <v>0.0085693287037037</v>
      </c>
      <c r="G2646" s="12" t="n">
        <v>1309</v>
      </c>
      <c r="H2646" s="11"/>
      <c r="I2646" s="12"/>
      <c r="J2646" s="14"/>
      <c r="K2646" s="14"/>
      <c r="L2646" s="14"/>
      <c r="M2646" s="13"/>
    </row>
    <row r="2647" customFormat="false" ht="15" hidden="false" customHeight="false" outlineLevel="0" collapsed="false">
      <c r="A2647" s="6" t="n">
        <v>2643</v>
      </c>
      <c r="B2647" s="8" t="s">
        <v>4032</v>
      </c>
      <c r="C2647" s="8" t="s">
        <v>4033</v>
      </c>
      <c r="D2647" s="9"/>
      <c r="E2647" s="10"/>
      <c r="F2647" s="11"/>
      <c r="G2647" s="12"/>
      <c r="H2647" s="11" t="n">
        <v>0.00296956018518519</v>
      </c>
      <c r="I2647" s="12" t="n">
        <v>1309</v>
      </c>
      <c r="J2647" s="14"/>
      <c r="K2647" s="14"/>
      <c r="L2647" s="14"/>
      <c r="M2647" s="13"/>
    </row>
    <row r="2648" customFormat="false" ht="15" hidden="false" customHeight="false" outlineLevel="0" collapsed="false">
      <c r="A2648" s="6" t="n">
        <v>2644</v>
      </c>
      <c r="B2648" s="8" t="s">
        <v>4034</v>
      </c>
      <c r="C2648" s="8" t="s">
        <v>4035</v>
      </c>
      <c r="D2648" s="9"/>
      <c r="E2648" s="10"/>
      <c r="F2648" s="11" t="n">
        <v>0.00857025462962963</v>
      </c>
      <c r="G2648" s="12" t="n">
        <v>1310</v>
      </c>
      <c r="H2648" s="11"/>
      <c r="I2648" s="12"/>
      <c r="J2648" s="14"/>
      <c r="K2648" s="14"/>
      <c r="L2648" s="14"/>
      <c r="M2648" s="13"/>
    </row>
    <row r="2649" customFormat="false" ht="15" hidden="false" customHeight="false" outlineLevel="0" collapsed="false">
      <c r="A2649" s="6" t="n">
        <v>2645</v>
      </c>
      <c r="B2649" s="8" t="s">
        <v>4036</v>
      </c>
      <c r="C2649" s="8" t="s">
        <v>4037</v>
      </c>
      <c r="D2649" s="9"/>
      <c r="E2649" s="10"/>
      <c r="F2649" s="11" t="n">
        <v>0.00857673611111111</v>
      </c>
      <c r="G2649" s="12" t="n">
        <v>1311</v>
      </c>
      <c r="H2649" s="11"/>
      <c r="I2649" s="12"/>
      <c r="J2649" s="14"/>
      <c r="K2649" s="14"/>
      <c r="L2649" s="14"/>
      <c r="M2649" s="13"/>
    </row>
    <row r="2650" customFormat="false" ht="15" hidden="false" customHeight="false" outlineLevel="0" collapsed="false">
      <c r="A2650" s="6" t="n">
        <v>2646</v>
      </c>
      <c r="B2650" s="8" t="s">
        <v>4038</v>
      </c>
      <c r="C2650" s="8" t="s">
        <v>2251</v>
      </c>
      <c r="D2650" s="9"/>
      <c r="E2650" s="10"/>
      <c r="F2650" s="11" t="n">
        <v>0.00857997685185185</v>
      </c>
      <c r="G2650" s="12" t="n">
        <v>1312</v>
      </c>
      <c r="H2650" s="11"/>
      <c r="I2650" s="12"/>
      <c r="J2650" s="14"/>
      <c r="K2650" s="14"/>
      <c r="L2650" s="14"/>
      <c r="M2650" s="13"/>
    </row>
    <row r="2651" customFormat="false" ht="15" hidden="false" customHeight="false" outlineLevel="0" collapsed="false">
      <c r="A2651" s="6" t="n">
        <v>2647</v>
      </c>
      <c r="B2651" s="8" t="s">
        <v>4039</v>
      </c>
      <c r="C2651" s="8" t="s">
        <v>4040</v>
      </c>
      <c r="D2651" s="9"/>
      <c r="E2651" s="10"/>
      <c r="F2651" s="11"/>
      <c r="G2651" s="12"/>
      <c r="H2651" s="11" t="n">
        <v>0.00297060185185185</v>
      </c>
      <c r="I2651" s="12" t="n">
        <v>1312</v>
      </c>
      <c r="J2651" s="14"/>
      <c r="K2651" s="14"/>
      <c r="L2651" s="14"/>
      <c r="M2651" s="13"/>
    </row>
    <row r="2652" customFormat="false" ht="15" hidden="false" customHeight="false" outlineLevel="0" collapsed="false">
      <c r="A2652" s="6" t="n">
        <v>2648</v>
      </c>
      <c r="B2652" s="8" t="s">
        <v>4041</v>
      </c>
      <c r="C2652" s="8" t="s">
        <v>3212</v>
      </c>
      <c r="D2652" s="9"/>
      <c r="E2652" s="10"/>
      <c r="F2652" s="11" t="n">
        <v>0.00858298611111111</v>
      </c>
      <c r="G2652" s="12" t="n">
        <v>1313</v>
      </c>
      <c r="H2652" s="11"/>
      <c r="I2652" s="12"/>
      <c r="J2652" s="14"/>
      <c r="K2652" s="14"/>
      <c r="L2652" s="14"/>
      <c r="M2652" s="13"/>
    </row>
    <row r="2653" customFormat="false" ht="15" hidden="false" customHeight="false" outlineLevel="0" collapsed="false">
      <c r="A2653" s="6" t="n">
        <v>2649</v>
      </c>
      <c r="B2653" s="8" t="s">
        <v>4042</v>
      </c>
      <c r="C2653" s="8" t="s">
        <v>4043</v>
      </c>
      <c r="D2653" s="9"/>
      <c r="E2653" s="10"/>
      <c r="F2653" s="11" t="n">
        <v>0.00860219907407408</v>
      </c>
      <c r="G2653" s="12" t="n">
        <v>1314</v>
      </c>
      <c r="H2653" s="11"/>
      <c r="I2653" s="12"/>
      <c r="J2653" s="14"/>
      <c r="K2653" s="14"/>
      <c r="L2653" s="14"/>
      <c r="M2653" s="13"/>
    </row>
    <row r="2654" customFormat="false" ht="15" hidden="false" customHeight="false" outlineLevel="0" collapsed="false">
      <c r="A2654" s="6" t="n">
        <v>2650</v>
      </c>
      <c r="B2654" s="8" t="s">
        <v>4044</v>
      </c>
      <c r="C2654" s="8" t="s">
        <v>4045</v>
      </c>
      <c r="D2654" s="9"/>
      <c r="E2654" s="10"/>
      <c r="F2654" s="11"/>
      <c r="G2654" s="12"/>
      <c r="H2654" s="11" t="n">
        <v>0.00297152777777778</v>
      </c>
      <c r="I2654" s="12" t="n">
        <v>1314</v>
      </c>
      <c r="J2654" s="14"/>
      <c r="K2654" s="14"/>
      <c r="L2654" s="14"/>
      <c r="M2654" s="13"/>
    </row>
    <row r="2655" customFormat="false" ht="15" hidden="false" customHeight="false" outlineLevel="0" collapsed="false">
      <c r="A2655" s="6" t="n">
        <v>2651</v>
      </c>
      <c r="B2655" s="8" t="s">
        <v>4046</v>
      </c>
      <c r="C2655" s="8" t="s">
        <v>2188</v>
      </c>
      <c r="D2655" s="9"/>
      <c r="E2655" s="10"/>
      <c r="F2655" s="11" t="n">
        <v>0.008609375</v>
      </c>
      <c r="G2655" s="12" t="n">
        <v>1315</v>
      </c>
      <c r="H2655" s="11"/>
      <c r="I2655" s="12"/>
      <c r="J2655" s="14"/>
      <c r="K2655" s="14"/>
      <c r="L2655" s="14"/>
      <c r="M2655" s="13"/>
    </row>
    <row r="2656" customFormat="false" ht="15" hidden="false" customHeight="false" outlineLevel="0" collapsed="false">
      <c r="A2656" s="6" t="n">
        <v>2652</v>
      </c>
      <c r="B2656" s="8" t="s">
        <v>4047</v>
      </c>
      <c r="C2656" s="8" t="s">
        <v>1592</v>
      </c>
      <c r="D2656" s="9"/>
      <c r="E2656" s="10"/>
      <c r="F2656" s="11" t="n">
        <v>0.00861840277777778</v>
      </c>
      <c r="G2656" s="12" t="n">
        <v>1316</v>
      </c>
      <c r="H2656" s="11"/>
      <c r="I2656" s="12"/>
      <c r="J2656" s="14"/>
      <c r="K2656" s="14"/>
      <c r="L2656" s="14"/>
      <c r="M2656" s="13"/>
    </row>
    <row r="2657" customFormat="false" ht="15" hidden="false" customHeight="false" outlineLevel="0" collapsed="false">
      <c r="A2657" s="6" t="n">
        <v>2653</v>
      </c>
      <c r="B2657" s="8" t="s">
        <v>4048</v>
      </c>
      <c r="C2657" s="8" t="s">
        <v>3164</v>
      </c>
      <c r="D2657" s="9"/>
      <c r="E2657" s="10"/>
      <c r="F2657" s="11" t="n">
        <v>0.0086212962962963</v>
      </c>
      <c r="G2657" s="12" t="n">
        <v>1317</v>
      </c>
      <c r="H2657" s="11"/>
      <c r="I2657" s="12"/>
      <c r="J2657" s="14"/>
      <c r="K2657" s="14"/>
      <c r="L2657" s="14"/>
      <c r="M2657" s="13"/>
    </row>
    <row r="2658" customFormat="false" ht="15" hidden="false" customHeight="false" outlineLevel="0" collapsed="false">
      <c r="A2658" s="6" t="n">
        <v>2654</v>
      </c>
      <c r="B2658" s="8" t="s">
        <v>4049</v>
      </c>
      <c r="C2658" s="8" t="s">
        <v>2302</v>
      </c>
      <c r="D2658" s="9"/>
      <c r="E2658" s="10"/>
      <c r="F2658" s="11"/>
      <c r="G2658" s="12"/>
      <c r="H2658" s="11" t="n">
        <v>0.00297175925925926</v>
      </c>
      <c r="I2658" s="12" t="n">
        <v>1317</v>
      </c>
      <c r="J2658" s="14"/>
      <c r="K2658" s="14"/>
      <c r="L2658" s="14"/>
      <c r="M2658" s="13"/>
    </row>
    <row r="2659" customFormat="false" ht="15" hidden="false" customHeight="false" outlineLevel="0" collapsed="false">
      <c r="A2659" s="6" t="n">
        <v>2655</v>
      </c>
      <c r="B2659" s="8" t="s">
        <v>4050</v>
      </c>
      <c r="C2659" s="8" t="s">
        <v>3447</v>
      </c>
      <c r="D2659" s="9"/>
      <c r="E2659" s="10"/>
      <c r="F2659" s="11" t="n">
        <v>0.0086337962962963</v>
      </c>
      <c r="G2659" s="12" t="n">
        <v>1318</v>
      </c>
      <c r="H2659" s="11"/>
      <c r="I2659" s="12"/>
      <c r="J2659" s="14"/>
      <c r="K2659" s="14"/>
      <c r="L2659" s="14"/>
      <c r="M2659" s="13"/>
    </row>
    <row r="2660" customFormat="false" ht="15" hidden="false" customHeight="false" outlineLevel="0" collapsed="false">
      <c r="A2660" s="6" t="n">
        <v>2656</v>
      </c>
      <c r="B2660" s="8" t="s">
        <v>4051</v>
      </c>
      <c r="C2660" s="8" t="s">
        <v>290</v>
      </c>
      <c r="D2660" s="9"/>
      <c r="E2660" s="10"/>
      <c r="F2660" s="11"/>
      <c r="G2660" s="12"/>
      <c r="H2660" s="11" t="n">
        <v>0.00297222222222222</v>
      </c>
      <c r="I2660" s="12" t="n">
        <v>1318</v>
      </c>
      <c r="J2660" s="14"/>
      <c r="K2660" s="14"/>
      <c r="L2660" s="14"/>
      <c r="M2660" s="13"/>
    </row>
    <row r="2661" customFormat="false" ht="15" hidden="false" customHeight="false" outlineLevel="0" collapsed="false">
      <c r="A2661" s="6" t="n">
        <v>2657</v>
      </c>
      <c r="B2661" s="8" t="s">
        <v>4052</v>
      </c>
      <c r="C2661" s="8" t="s">
        <v>4053</v>
      </c>
      <c r="D2661" s="9"/>
      <c r="E2661" s="10"/>
      <c r="F2661" s="11" t="n">
        <v>0.00863530092592593</v>
      </c>
      <c r="G2661" s="12" t="n">
        <v>1319</v>
      </c>
      <c r="H2661" s="11"/>
      <c r="I2661" s="12"/>
      <c r="J2661" s="14"/>
      <c r="K2661" s="14"/>
      <c r="L2661" s="14"/>
      <c r="M2661" s="13"/>
    </row>
    <row r="2662" customFormat="false" ht="15" hidden="false" customHeight="false" outlineLevel="0" collapsed="false">
      <c r="A2662" s="6" t="n">
        <v>2658</v>
      </c>
      <c r="B2662" s="8" t="s">
        <v>4054</v>
      </c>
      <c r="C2662" s="8" t="s">
        <v>4055</v>
      </c>
      <c r="D2662" s="9"/>
      <c r="E2662" s="10"/>
      <c r="F2662" s="11" t="n">
        <v>0.00863703703703704</v>
      </c>
      <c r="G2662" s="12" t="n">
        <v>1320</v>
      </c>
      <c r="H2662" s="11"/>
      <c r="I2662" s="12"/>
      <c r="J2662" s="14"/>
      <c r="K2662" s="14"/>
      <c r="L2662" s="14"/>
      <c r="M2662" s="13"/>
    </row>
    <row r="2663" customFormat="false" ht="15" hidden="false" customHeight="false" outlineLevel="0" collapsed="false">
      <c r="A2663" s="6" t="n">
        <v>2659</v>
      </c>
      <c r="B2663" s="8" t="s">
        <v>4056</v>
      </c>
      <c r="C2663" s="8" t="s">
        <v>2065</v>
      </c>
      <c r="D2663" s="9"/>
      <c r="E2663" s="10"/>
      <c r="F2663" s="11" t="n">
        <v>0.0086375</v>
      </c>
      <c r="G2663" s="12" t="n">
        <v>1321</v>
      </c>
      <c r="H2663" s="11"/>
      <c r="I2663" s="12"/>
      <c r="J2663" s="14"/>
      <c r="K2663" s="14"/>
      <c r="L2663" s="14"/>
      <c r="M2663" s="13"/>
    </row>
    <row r="2664" customFormat="false" ht="15" hidden="false" customHeight="false" outlineLevel="0" collapsed="false">
      <c r="A2664" s="6" t="n">
        <v>2660</v>
      </c>
      <c r="B2664" s="8" t="s">
        <v>4057</v>
      </c>
      <c r="C2664" s="8" t="s">
        <v>4058</v>
      </c>
      <c r="D2664" s="9"/>
      <c r="E2664" s="10"/>
      <c r="F2664" s="11"/>
      <c r="G2664" s="12"/>
      <c r="H2664" s="11" t="n">
        <v>0.00297337962962963</v>
      </c>
      <c r="I2664" s="12" t="n">
        <v>1321</v>
      </c>
      <c r="J2664" s="14"/>
      <c r="K2664" s="14"/>
      <c r="L2664" s="14"/>
      <c r="M2664" s="13"/>
    </row>
    <row r="2665" customFormat="false" ht="15" hidden="false" customHeight="false" outlineLevel="0" collapsed="false">
      <c r="A2665" s="6" t="n">
        <v>2661</v>
      </c>
      <c r="B2665" s="8" t="s">
        <v>4059</v>
      </c>
      <c r="C2665" s="8" t="s">
        <v>4040</v>
      </c>
      <c r="D2665" s="9"/>
      <c r="E2665" s="10"/>
      <c r="F2665" s="11" t="n">
        <v>0.00864537037037037</v>
      </c>
      <c r="G2665" s="12" t="n">
        <v>1322</v>
      </c>
      <c r="H2665" s="11"/>
      <c r="I2665" s="12"/>
      <c r="J2665" s="14"/>
      <c r="K2665" s="14"/>
      <c r="L2665" s="14"/>
      <c r="M2665" s="13"/>
    </row>
    <row r="2666" customFormat="false" ht="15" hidden="false" customHeight="false" outlineLevel="0" collapsed="false">
      <c r="A2666" s="6" t="n">
        <v>2662</v>
      </c>
      <c r="B2666" s="8" t="s">
        <v>4060</v>
      </c>
      <c r="C2666" s="8" t="s">
        <v>2292</v>
      </c>
      <c r="D2666" s="9"/>
      <c r="E2666" s="10"/>
      <c r="F2666" s="11"/>
      <c r="G2666" s="12"/>
      <c r="H2666" s="11" t="n">
        <v>0.00297372685185185</v>
      </c>
      <c r="I2666" s="12" t="n">
        <v>1322</v>
      </c>
      <c r="J2666" s="14"/>
      <c r="K2666" s="14"/>
      <c r="L2666" s="14"/>
      <c r="M2666" s="13"/>
    </row>
    <row r="2667" customFormat="false" ht="15" hidden="false" customHeight="false" outlineLevel="0" collapsed="false">
      <c r="A2667" s="6" t="n">
        <v>2663</v>
      </c>
      <c r="B2667" s="8" t="s">
        <v>4061</v>
      </c>
      <c r="C2667" s="8" t="s">
        <v>1267</v>
      </c>
      <c r="D2667" s="9"/>
      <c r="E2667" s="10"/>
      <c r="F2667" s="11" t="n">
        <v>0.00864606481481482</v>
      </c>
      <c r="G2667" s="12" t="n">
        <v>1323</v>
      </c>
      <c r="H2667" s="11"/>
      <c r="I2667" s="12"/>
      <c r="J2667" s="14"/>
      <c r="K2667" s="14"/>
      <c r="L2667" s="14"/>
      <c r="M2667" s="13"/>
    </row>
    <row r="2668" customFormat="false" ht="15" hidden="false" customHeight="false" outlineLevel="0" collapsed="false">
      <c r="A2668" s="6" t="n">
        <v>2664</v>
      </c>
      <c r="B2668" s="8" t="s">
        <v>4062</v>
      </c>
      <c r="C2668" s="8" t="s">
        <v>4063</v>
      </c>
      <c r="D2668" s="9"/>
      <c r="E2668" s="10"/>
      <c r="F2668" s="11" t="n">
        <v>0.00865104166666667</v>
      </c>
      <c r="G2668" s="12" t="n">
        <v>1324</v>
      </c>
      <c r="H2668" s="11"/>
      <c r="I2668" s="12"/>
      <c r="J2668" s="14"/>
      <c r="K2668" s="14"/>
      <c r="L2668" s="14"/>
      <c r="M2668" s="13"/>
    </row>
    <row r="2669" customFormat="false" ht="15" hidden="false" customHeight="false" outlineLevel="0" collapsed="false">
      <c r="A2669" s="6" t="n">
        <v>2665</v>
      </c>
      <c r="B2669" s="8" t="s">
        <v>4064</v>
      </c>
      <c r="C2669" s="8" t="s">
        <v>3164</v>
      </c>
      <c r="D2669" s="9"/>
      <c r="E2669" s="10"/>
      <c r="F2669" s="11" t="n">
        <v>0.00865150462962963</v>
      </c>
      <c r="G2669" s="12" t="n">
        <v>1325</v>
      </c>
      <c r="H2669" s="11"/>
      <c r="I2669" s="12"/>
      <c r="J2669" s="14"/>
      <c r="K2669" s="14"/>
      <c r="L2669" s="14"/>
      <c r="M2669" s="13"/>
    </row>
    <row r="2670" customFormat="false" ht="15" hidden="false" customHeight="false" outlineLevel="0" collapsed="false">
      <c r="A2670" s="6" t="n">
        <v>2666</v>
      </c>
      <c r="B2670" s="8" t="s">
        <v>4065</v>
      </c>
      <c r="C2670" s="8" t="s">
        <v>3269</v>
      </c>
      <c r="D2670" s="9"/>
      <c r="E2670" s="10"/>
      <c r="F2670" s="11"/>
      <c r="G2670" s="12"/>
      <c r="H2670" s="11" t="n">
        <v>0.00297465277777778</v>
      </c>
      <c r="I2670" s="12" t="n">
        <v>1325</v>
      </c>
      <c r="J2670" s="14"/>
      <c r="K2670" s="14"/>
      <c r="L2670" s="14"/>
      <c r="M2670" s="13"/>
    </row>
    <row r="2671" customFormat="false" ht="15" hidden="false" customHeight="false" outlineLevel="0" collapsed="false">
      <c r="A2671" s="6" t="n">
        <v>2667</v>
      </c>
      <c r="B2671" s="8" t="s">
        <v>4066</v>
      </c>
      <c r="C2671" s="8" t="s">
        <v>4067</v>
      </c>
      <c r="D2671" s="9"/>
      <c r="E2671" s="10"/>
      <c r="F2671" s="11" t="n">
        <v>0.00866712962962963</v>
      </c>
      <c r="G2671" s="12" t="n">
        <v>1326</v>
      </c>
      <c r="H2671" s="11"/>
      <c r="I2671" s="12"/>
      <c r="J2671" s="14"/>
      <c r="K2671" s="14"/>
      <c r="L2671" s="14"/>
      <c r="M2671" s="13"/>
    </row>
    <row r="2672" customFormat="false" ht="15" hidden="false" customHeight="false" outlineLevel="0" collapsed="false">
      <c r="A2672" s="6" t="n">
        <v>2668</v>
      </c>
      <c r="B2672" s="8" t="s">
        <v>4068</v>
      </c>
      <c r="C2672" s="8" t="s">
        <v>1220</v>
      </c>
      <c r="D2672" s="9"/>
      <c r="E2672" s="10"/>
      <c r="F2672" s="11" t="n">
        <v>0.00869976851851852</v>
      </c>
      <c r="G2672" s="12" t="n">
        <v>1327</v>
      </c>
      <c r="H2672" s="11"/>
      <c r="I2672" s="12"/>
      <c r="J2672" s="14"/>
      <c r="K2672" s="14"/>
      <c r="L2672" s="14"/>
      <c r="M2672" s="13"/>
    </row>
    <row r="2673" customFormat="false" ht="15" hidden="false" customHeight="false" outlineLevel="0" collapsed="false">
      <c r="A2673" s="6" t="n">
        <v>2669</v>
      </c>
      <c r="B2673" s="8" t="s">
        <v>4069</v>
      </c>
      <c r="C2673" s="8" t="s">
        <v>212</v>
      </c>
      <c r="D2673" s="9"/>
      <c r="E2673" s="10"/>
      <c r="F2673" s="11"/>
      <c r="G2673" s="12"/>
      <c r="H2673" s="11" t="n">
        <v>0.00297523148148148</v>
      </c>
      <c r="I2673" s="12" t="n">
        <v>1327</v>
      </c>
      <c r="J2673" s="14"/>
      <c r="K2673" s="14"/>
      <c r="L2673" s="14"/>
      <c r="M2673" s="13"/>
    </row>
    <row r="2674" customFormat="false" ht="15" hidden="false" customHeight="false" outlineLevel="0" collapsed="false">
      <c r="A2674" s="6" t="n">
        <v>2670</v>
      </c>
      <c r="B2674" s="8" t="s">
        <v>4070</v>
      </c>
      <c r="C2674" s="8" t="s">
        <v>4071</v>
      </c>
      <c r="D2674" s="9"/>
      <c r="E2674" s="10"/>
      <c r="F2674" s="11" t="n">
        <v>0.00870243055555556</v>
      </c>
      <c r="G2674" s="12" t="n">
        <v>1328</v>
      </c>
      <c r="H2674" s="11"/>
      <c r="I2674" s="12"/>
      <c r="J2674" s="14"/>
      <c r="K2674" s="14"/>
      <c r="L2674" s="14"/>
      <c r="M2674" s="13"/>
    </row>
    <row r="2675" customFormat="false" ht="15" hidden="false" customHeight="false" outlineLevel="0" collapsed="false">
      <c r="A2675" s="6" t="n">
        <v>2671</v>
      </c>
      <c r="B2675" s="8" t="s">
        <v>4072</v>
      </c>
      <c r="C2675" s="8" t="s">
        <v>4073</v>
      </c>
      <c r="D2675" s="9"/>
      <c r="E2675" s="10"/>
      <c r="F2675" s="11" t="n">
        <v>0.0087025462962963</v>
      </c>
      <c r="G2675" s="12" t="n">
        <v>1329</v>
      </c>
      <c r="H2675" s="11"/>
      <c r="I2675" s="12"/>
      <c r="J2675" s="14"/>
      <c r="K2675" s="14"/>
      <c r="L2675" s="14"/>
      <c r="M2675" s="13"/>
    </row>
    <row r="2676" customFormat="false" ht="15" hidden="false" customHeight="false" outlineLevel="0" collapsed="false">
      <c r="A2676" s="6" t="n">
        <v>2672</v>
      </c>
      <c r="B2676" s="8" t="s">
        <v>4074</v>
      </c>
      <c r="C2676" s="8" t="s">
        <v>4075</v>
      </c>
      <c r="D2676" s="9"/>
      <c r="E2676" s="10"/>
      <c r="F2676" s="11" t="n">
        <v>0.00871111111111111</v>
      </c>
      <c r="G2676" s="12" t="n">
        <v>1330</v>
      </c>
      <c r="H2676" s="11"/>
      <c r="I2676" s="12"/>
      <c r="J2676" s="14"/>
      <c r="K2676" s="14"/>
      <c r="L2676" s="14"/>
      <c r="M2676" s="13"/>
    </row>
    <row r="2677" customFormat="false" ht="15" hidden="false" customHeight="false" outlineLevel="0" collapsed="false">
      <c r="A2677" s="6" t="n">
        <v>2673</v>
      </c>
      <c r="B2677" s="8" t="s">
        <v>4076</v>
      </c>
      <c r="C2677" s="8" t="s">
        <v>2269</v>
      </c>
      <c r="D2677" s="9"/>
      <c r="E2677" s="10"/>
      <c r="F2677" s="11" t="n">
        <v>0.00872453703703704</v>
      </c>
      <c r="G2677" s="12" t="n">
        <v>1331</v>
      </c>
      <c r="H2677" s="11"/>
      <c r="I2677" s="12"/>
      <c r="J2677" s="14"/>
      <c r="K2677" s="14"/>
      <c r="L2677" s="14"/>
      <c r="M2677" s="13"/>
    </row>
    <row r="2678" customFormat="false" ht="15" hidden="false" customHeight="false" outlineLevel="0" collapsed="false">
      <c r="A2678" s="6" t="n">
        <v>2674</v>
      </c>
      <c r="B2678" s="8" t="s">
        <v>4077</v>
      </c>
      <c r="C2678" s="8" t="s">
        <v>1531</v>
      </c>
      <c r="D2678" s="9"/>
      <c r="E2678" s="10"/>
      <c r="F2678" s="11"/>
      <c r="G2678" s="12"/>
      <c r="H2678" s="11" t="n">
        <v>0.00297569444444445</v>
      </c>
      <c r="I2678" s="12" t="n">
        <v>1331</v>
      </c>
      <c r="J2678" s="14"/>
      <c r="K2678" s="14"/>
      <c r="L2678" s="14"/>
      <c r="M2678" s="13"/>
    </row>
    <row r="2679" customFormat="false" ht="15" hidden="false" customHeight="false" outlineLevel="0" collapsed="false">
      <c r="A2679" s="6" t="n">
        <v>2675</v>
      </c>
      <c r="B2679" s="8" t="s">
        <v>4078</v>
      </c>
      <c r="C2679" s="8" t="s">
        <v>4079</v>
      </c>
      <c r="D2679" s="9"/>
      <c r="E2679" s="10"/>
      <c r="F2679" s="11" t="n">
        <v>0.00872650462962963</v>
      </c>
      <c r="G2679" s="12" t="n">
        <v>1332</v>
      </c>
      <c r="H2679" s="11"/>
      <c r="I2679" s="12"/>
      <c r="J2679" s="14"/>
      <c r="K2679" s="14"/>
      <c r="L2679" s="14"/>
      <c r="M2679" s="13"/>
    </row>
    <row r="2680" customFormat="false" ht="15" hidden="false" customHeight="false" outlineLevel="0" collapsed="false">
      <c r="A2680" s="6" t="n">
        <v>2676</v>
      </c>
      <c r="B2680" s="8" t="s">
        <v>4080</v>
      </c>
      <c r="C2680" s="8" t="s">
        <v>4081</v>
      </c>
      <c r="D2680" s="9"/>
      <c r="E2680" s="10"/>
      <c r="F2680" s="11" t="n">
        <v>0.00873958333333333</v>
      </c>
      <c r="G2680" s="12" t="n">
        <v>1333</v>
      </c>
      <c r="H2680" s="11"/>
      <c r="I2680" s="12"/>
      <c r="J2680" s="14"/>
      <c r="K2680" s="14"/>
      <c r="L2680" s="14"/>
      <c r="M2680" s="13"/>
    </row>
    <row r="2681" customFormat="false" ht="15" hidden="false" customHeight="false" outlineLevel="0" collapsed="false">
      <c r="A2681" s="6" t="n">
        <v>2677</v>
      </c>
      <c r="B2681" s="8" t="s">
        <v>4082</v>
      </c>
      <c r="C2681" s="8" t="s">
        <v>3070</v>
      </c>
      <c r="D2681" s="9"/>
      <c r="E2681" s="10"/>
      <c r="F2681" s="11" t="n">
        <v>0.0087556712962963</v>
      </c>
      <c r="G2681" s="12" t="n">
        <v>1334</v>
      </c>
      <c r="H2681" s="11"/>
      <c r="I2681" s="12"/>
      <c r="J2681" s="14"/>
      <c r="K2681" s="14"/>
      <c r="L2681" s="14"/>
      <c r="M2681" s="13"/>
    </row>
    <row r="2682" customFormat="false" ht="15" hidden="false" customHeight="false" outlineLevel="0" collapsed="false">
      <c r="A2682" s="6" t="n">
        <v>2678</v>
      </c>
      <c r="B2682" s="8" t="s">
        <v>4083</v>
      </c>
      <c r="C2682" s="8" t="s">
        <v>700</v>
      </c>
      <c r="D2682" s="9"/>
      <c r="E2682" s="10"/>
      <c r="F2682" s="11"/>
      <c r="G2682" s="12"/>
      <c r="H2682" s="11" t="n">
        <v>0.00297604166666667</v>
      </c>
      <c r="I2682" s="12" t="n">
        <v>1334</v>
      </c>
      <c r="J2682" s="14"/>
      <c r="K2682" s="14"/>
      <c r="L2682" s="14"/>
      <c r="M2682" s="13"/>
    </row>
    <row r="2683" customFormat="false" ht="15" hidden="false" customHeight="false" outlineLevel="0" collapsed="false">
      <c r="A2683" s="6" t="n">
        <v>2679</v>
      </c>
      <c r="B2683" s="8" t="s">
        <v>4084</v>
      </c>
      <c r="C2683" s="8" t="s">
        <v>4085</v>
      </c>
      <c r="D2683" s="9"/>
      <c r="E2683" s="10"/>
      <c r="F2683" s="11" t="n">
        <v>0.00876585648148148</v>
      </c>
      <c r="G2683" s="12" t="n">
        <v>1335</v>
      </c>
      <c r="H2683" s="11"/>
      <c r="I2683" s="12"/>
      <c r="J2683" s="14"/>
      <c r="K2683" s="14"/>
      <c r="L2683" s="14"/>
      <c r="M2683" s="13"/>
    </row>
    <row r="2684" customFormat="false" ht="15" hidden="false" customHeight="false" outlineLevel="0" collapsed="false">
      <c r="A2684" s="6" t="n">
        <v>2680</v>
      </c>
      <c r="B2684" s="8" t="s">
        <v>4086</v>
      </c>
      <c r="C2684" s="8" t="s">
        <v>4087</v>
      </c>
      <c r="D2684" s="9"/>
      <c r="E2684" s="10"/>
      <c r="F2684" s="11" t="n">
        <v>0.00878009259259259</v>
      </c>
      <c r="G2684" s="12" t="n">
        <v>1336</v>
      </c>
      <c r="H2684" s="11"/>
      <c r="I2684" s="12"/>
      <c r="J2684" s="14"/>
      <c r="K2684" s="14"/>
      <c r="L2684" s="14"/>
      <c r="M2684" s="13"/>
    </row>
    <row r="2685" customFormat="false" ht="15" hidden="false" customHeight="false" outlineLevel="0" collapsed="false">
      <c r="A2685" s="6" t="n">
        <v>2681</v>
      </c>
      <c r="B2685" s="8" t="s">
        <v>4088</v>
      </c>
      <c r="C2685" s="8" t="s">
        <v>363</v>
      </c>
      <c r="D2685" s="9"/>
      <c r="E2685" s="10"/>
      <c r="F2685" s="11"/>
      <c r="G2685" s="12"/>
      <c r="H2685" s="11" t="n">
        <v>0.00297627314814815</v>
      </c>
      <c r="I2685" s="12" t="n">
        <v>1336</v>
      </c>
      <c r="J2685" s="14"/>
      <c r="K2685" s="14"/>
      <c r="L2685" s="14"/>
      <c r="M2685" s="13"/>
    </row>
    <row r="2686" customFormat="false" ht="15" hidden="false" customHeight="false" outlineLevel="0" collapsed="false">
      <c r="A2686" s="6" t="n">
        <v>2682</v>
      </c>
      <c r="B2686" s="8" t="s">
        <v>4089</v>
      </c>
      <c r="C2686" s="8" t="s">
        <v>2556</v>
      </c>
      <c r="D2686" s="9"/>
      <c r="E2686" s="10"/>
      <c r="F2686" s="11" t="n">
        <v>0.00878275462962963</v>
      </c>
      <c r="G2686" s="12" t="n">
        <v>1337</v>
      </c>
      <c r="H2686" s="11"/>
      <c r="I2686" s="12"/>
      <c r="J2686" s="14"/>
      <c r="K2686" s="14"/>
      <c r="L2686" s="14"/>
      <c r="M2686" s="13"/>
    </row>
    <row r="2687" customFormat="false" ht="15" hidden="false" customHeight="false" outlineLevel="0" collapsed="false">
      <c r="A2687" s="6" t="n">
        <v>2683</v>
      </c>
      <c r="B2687" s="8" t="s">
        <v>4090</v>
      </c>
      <c r="C2687" s="8" t="s">
        <v>4091</v>
      </c>
      <c r="D2687" s="9"/>
      <c r="E2687" s="10"/>
      <c r="F2687" s="11" t="n">
        <v>0.00878865740740741</v>
      </c>
      <c r="G2687" s="12" t="n">
        <v>1338</v>
      </c>
      <c r="H2687" s="11"/>
      <c r="I2687" s="12"/>
      <c r="J2687" s="14"/>
      <c r="K2687" s="14"/>
      <c r="L2687" s="14"/>
      <c r="M2687" s="13"/>
    </row>
    <row r="2688" customFormat="false" ht="15" hidden="false" customHeight="false" outlineLevel="0" collapsed="false">
      <c r="A2688" s="6" t="n">
        <v>2684</v>
      </c>
      <c r="B2688" s="8" t="s">
        <v>4092</v>
      </c>
      <c r="C2688" s="8" t="s">
        <v>2214</v>
      </c>
      <c r="D2688" s="9"/>
      <c r="E2688" s="10"/>
      <c r="F2688" s="11"/>
      <c r="G2688" s="12"/>
      <c r="H2688" s="11" t="n">
        <v>0.00297673611111111</v>
      </c>
      <c r="I2688" s="12" t="n">
        <v>1338</v>
      </c>
      <c r="J2688" s="14"/>
      <c r="K2688" s="14"/>
      <c r="L2688" s="14"/>
      <c r="M2688" s="13"/>
    </row>
    <row r="2689" customFormat="false" ht="15" hidden="false" customHeight="false" outlineLevel="0" collapsed="false">
      <c r="A2689" s="6" t="n">
        <v>2685</v>
      </c>
      <c r="B2689" s="8" t="s">
        <v>4093</v>
      </c>
      <c r="C2689" s="8" t="s">
        <v>3556</v>
      </c>
      <c r="D2689" s="9"/>
      <c r="E2689" s="10"/>
      <c r="F2689" s="11" t="n">
        <v>0.00879212962962963</v>
      </c>
      <c r="G2689" s="12" t="n">
        <v>1339</v>
      </c>
      <c r="H2689" s="11"/>
      <c r="I2689" s="12"/>
      <c r="J2689" s="14"/>
      <c r="K2689" s="14"/>
      <c r="L2689" s="14"/>
      <c r="M2689" s="13"/>
    </row>
    <row r="2690" customFormat="false" ht="15" hidden="false" customHeight="false" outlineLevel="0" collapsed="false">
      <c r="A2690" s="6" t="n">
        <v>2686</v>
      </c>
      <c r="B2690" s="8" t="s">
        <v>4094</v>
      </c>
      <c r="C2690" s="8" t="s">
        <v>2184</v>
      </c>
      <c r="D2690" s="9"/>
      <c r="E2690" s="10"/>
      <c r="F2690" s="11" t="n">
        <v>0.00881018518518519</v>
      </c>
      <c r="G2690" s="12" t="n">
        <v>1340</v>
      </c>
      <c r="H2690" s="11"/>
      <c r="I2690" s="12"/>
      <c r="J2690" s="14"/>
      <c r="K2690" s="14"/>
      <c r="L2690" s="14"/>
      <c r="M2690" s="13"/>
    </row>
    <row r="2691" customFormat="false" ht="15" hidden="false" customHeight="false" outlineLevel="0" collapsed="false">
      <c r="A2691" s="6" t="n">
        <v>2687</v>
      </c>
      <c r="B2691" s="8" t="s">
        <v>4095</v>
      </c>
      <c r="C2691" s="8" t="s">
        <v>3711</v>
      </c>
      <c r="D2691" s="9"/>
      <c r="E2691" s="10"/>
      <c r="F2691" s="11" t="n">
        <v>0.00881296296296296</v>
      </c>
      <c r="G2691" s="12" t="n">
        <v>1341</v>
      </c>
      <c r="H2691" s="11"/>
      <c r="I2691" s="12"/>
      <c r="J2691" s="14"/>
      <c r="K2691" s="14"/>
      <c r="L2691" s="14"/>
      <c r="M2691" s="13"/>
    </row>
    <row r="2692" customFormat="false" ht="15" hidden="false" customHeight="false" outlineLevel="0" collapsed="false">
      <c r="A2692" s="6" t="n">
        <v>2688</v>
      </c>
      <c r="B2692" s="8" t="s">
        <v>4096</v>
      </c>
      <c r="C2692" s="8" t="s">
        <v>1002</v>
      </c>
      <c r="D2692" s="9"/>
      <c r="E2692" s="10"/>
      <c r="F2692" s="11"/>
      <c r="G2692" s="12"/>
      <c r="H2692" s="11" t="n">
        <v>0.00297719907407407</v>
      </c>
      <c r="I2692" s="12" t="n">
        <v>1341</v>
      </c>
      <c r="J2692" s="14"/>
      <c r="K2692" s="14"/>
      <c r="L2692" s="14"/>
      <c r="M2692" s="13"/>
    </row>
    <row r="2693" customFormat="false" ht="15" hidden="false" customHeight="false" outlineLevel="0" collapsed="false">
      <c r="A2693" s="6" t="n">
        <v>2689</v>
      </c>
      <c r="B2693" s="8" t="s">
        <v>4097</v>
      </c>
      <c r="C2693" s="8" t="s">
        <v>1839</v>
      </c>
      <c r="D2693" s="9"/>
      <c r="E2693" s="10"/>
      <c r="F2693" s="11" t="n">
        <v>0.00881550925925926</v>
      </c>
      <c r="G2693" s="12" t="n">
        <v>1342</v>
      </c>
      <c r="H2693" s="11"/>
      <c r="I2693" s="12"/>
      <c r="J2693" s="14"/>
      <c r="K2693" s="14"/>
      <c r="L2693" s="14"/>
      <c r="M2693" s="13"/>
    </row>
    <row r="2694" customFormat="false" ht="15" hidden="false" customHeight="false" outlineLevel="0" collapsed="false">
      <c r="A2694" s="6" t="n">
        <v>2690</v>
      </c>
      <c r="B2694" s="8" t="s">
        <v>4098</v>
      </c>
      <c r="C2694" s="8" t="s">
        <v>2304</v>
      </c>
      <c r="D2694" s="9"/>
      <c r="E2694" s="10"/>
      <c r="F2694" s="11"/>
      <c r="G2694" s="12"/>
      <c r="H2694" s="11" t="n">
        <v>0.00297731481481482</v>
      </c>
      <c r="I2694" s="12" t="n">
        <v>1342</v>
      </c>
      <c r="J2694" s="14"/>
      <c r="K2694" s="14"/>
      <c r="L2694" s="14"/>
      <c r="M2694" s="13"/>
    </row>
    <row r="2695" customFormat="false" ht="15" hidden="false" customHeight="false" outlineLevel="0" collapsed="false">
      <c r="A2695" s="6" t="n">
        <v>2691</v>
      </c>
      <c r="B2695" s="8" t="s">
        <v>4099</v>
      </c>
      <c r="C2695" s="8" t="s">
        <v>2891</v>
      </c>
      <c r="D2695" s="9"/>
      <c r="E2695" s="10"/>
      <c r="F2695" s="11" t="n">
        <v>0.00884328703703704</v>
      </c>
      <c r="G2695" s="12" t="n">
        <v>1343</v>
      </c>
      <c r="H2695" s="11"/>
      <c r="I2695" s="12"/>
      <c r="J2695" s="14"/>
      <c r="K2695" s="14"/>
      <c r="L2695" s="14"/>
      <c r="M2695" s="13"/>
    </row>
    <row r="2696" customFormat="false" ht="15" hidden="false" customHeight="false" outlineLevel="0" collapsed="false">
      <c r="A2696" s="6" t="n">
        <v>2692</v>
      </c>
      <c r="B2696" s="8" t="s">
        <v>4100</v>
      </c>
      <c r="C2696" s="8" t="s">
        <v>4101</v>
      </c>
      <c r="D2696" s="9"/>
      <c r="E2696" s="10"/>
      <c r="F2696" s="11" t="n">
        <v>0.00884664351851852</v>
      </c>
      <c r="G2696" s="12" t="n">
        <v>1344</v>
      </c>
      <c r="H2696" s="11"/>
      <c r="I2696" s="12"/>
      <c r="J2696" s="14"/>
      <c r="K2696" s="14"/>
      <c r="L2696" s="14"/>
      <c r="M2696" s="13"/>
    </row>
    <row r="2697" customFormat="false" ht="15" hidden="false" customHeight="false" outlineLevel="0" collapsed="false">
      <c r="A2697" s="6" t="n">
        <v>2693</v>
      </c>
      <c r="B2697" s="8" t="s">
        <v>4102</v>
      </c>
      <c r="C2697" s="8" t="s">
        <v>2275</v>
      </c>
      <c r="D2697" s="9"/>
      <c r="E2697" s="10"/>
      <c r="F2697" s="11" t="n">
        <v>0.0088494212962963</v>
      </c>
      <c r="G2697" s="12" t="n">
        <v>1345</v>
      </c>
      <c r="H2697" s="11"/>
      <c r="I2697" s="12"/>
      <c r="J2697" s="14"/>
      <c r="K2697" s="14"/>
      <c r="L2697" s="14"/>
      <c r="M2697" s="13"/>
    </row>
    <row r="2698" customFormat="false" ht="15" hidden="false" customHeight="false" outlineLevel="0" collapsed="false">
      <c r="A2698" s="6" t="n">
        <v>2694</v>
      </c>
      <c r="B2698" s="8" t="s">
        <v>4103</v>
      </c>
      <c r="C2698" s="8" t="s">
        <v>4104</v>
      </c>
      <c r="D2698" s="9"/>
      <c r="E2698" s="10"/>
      <c r="F2698" s="11"/>
      <c r="G2698" s="12"/>
      <c r="H2698" s="11" t="n">
        <v>0.002978125</v>
      </c>
      <c r="I2698" s="12" t="n">
        <v>1345</v>
      </c>
      <c r="J2698" s="14"/>
      <c r="K2698" s="14"/>
      <c r="L2698" s="14"/>
      <c r="M2698" s="13"/>
    </row>
    <row r="2699" customFormat="false" ht="15" hidden="false" customHeight="false" outlineLevel="0" collapsed="false">
      <c r="A2699" s="6" t="n">
        <v>2695</v>
      </c>
      <c r="B2699" s="8" t="s">
        <v>4105</v>
      </c>
      <c r="C2699" s="8" t="s">
        <v>3874</v>
      </c>
      <c r="D2699" s="9"/>
      <c r="E2699" s="10"/>
      <c r="F2699" s="11" t="n">
        <v>0.00888935185185185</v>
      </c>
      <c r="G2699" s="12" t="n">
        <v>1346</v>
      </c>
      <c r="H2699" s="11"/>
      <c r="I2699" s="12"/>
      <c r="J2699" s="14"/>
      <c r="K2699" s="14"/>
      <c r="L2699" s="14"/>
      <c r="M2699" s="13"/>
    </row>
    <row r="2700" customFormat="false" ht="15" hidden="false" customHeight="false" outlineLevel="0" collapsed="false">
      <c r="A2700" s="6" t="n">
        <v>2696</v>
      </c>
      <c r="B2700" s="8" t="s">
        <v>4106</v>
      </c>
      <c r="C2700" s="8" t="s">
        <v>3485</v>
      </c>
      <c r="D2700" s="9"/>
      <c r="E2700" s="10"/>
      <c r="F2700" s="11" t="n">
        <v>0.00890381944444444</v>
      </c>
      <c r="G2700" s="12" t="n">
        <v>1347</v>
      </c>
      <c r="H2700" s="11"/>
      <c r="I2700" s="12"/>
      <c r="J2700" s="14"/>
      <c r="K2700" s="14"/>
      <c r="L2700" s="14"/>
      <c r="M2700" s="13"/>
    </row>
    <row r="2701" customFormat="false" ht="15" hidden="false" customHeight="false" outlineLevel="0" collapsed="false">
      <c r="A2701" s="6" t="n">
        <v>2697</v>
      </c>
      <c r="B2701" s="8" t="s">
        <v>4107</v>
      </c>
      <c r="C2701" s="8" t="s">
        <v>375</v>
      </c>
      <c r="D2701" s="9"/>
      <c r="E2701" s="10"/>
      <c r="F2701" s="11"/>
      <c r="G2701" s="12"/>
      <c r="H2701" s="11" t="n">
        <v>0.00297847222222222</v>
      </c>
      <c r="I2701" s="12" t="n">
        <v>1347</v>
      </c>
      <c r="J2701" s="14"/>
      <c r="K2701" s="14"/>
      <c r="L2701" s="14"/>
      <c r="M2701" s="13"/>
    </row>
    <row r="2702" customFormat="false" ht="15" hidden="false" customHeight="false" outlineLevel="0" collapsed="false">
      <c r="A2702" s="6" t="n">
        <v>2698</v>
      </c>
      <c r="B2702" s="8" t="s">
        <v>4108</v>
      </c>
      <c r="C2702" s="8" t="s">
        <v>4109</v>
      </c>
      <c r="D2702" s="9"/>
      <c r="E2702" s="10"/>
      <c r="F2702" s="11" t="n">
        <v>0.00891770833333333</v>
      </c>
      <c r="G2702" s="12" t="n">
        <v>1348</v>
      </c>
      <c r="H2702" s="11"/>
      <c r="I2702" s="12"/>
      <c r="J2702" s="14"/>
      <c r="K2702" s="14"/>
      <c r="L2702" s="14"/>
      <c r="M2702" s="13"/>
    </row>
    <row r="2703" customFormat="false" ht="15" hidden="false" customHeight="false" outlineLevel="0" collapsed="false">
      <c r="A2703" s="6" t="n">
        <v>2699</v>
      </c>
      <c r="B2703" s="8" t="s">
        <v>4110</v>
      </c>
      <c r="C2703" s="8" t="s">
        <v>1563</v>
      </c>
      <c r="D2703" s="9"/>
      <c r="E2703" s="10"/>
      <c r="F2703" s="11"/>
      <c r="G2703" s="12"/>
      <c r="H2703" s="11" t="n">
        <v>0.00297893518518519</v>
      </c>
      <c r="I2703" s="12" t="n">
        <v>1348</v>
      </c>
      <c r="J2703" s="14"/>
      <c r="K2703" s="14"/>
      <c r="L2703" s="14"/>
      <c r="M2703" s="13"/>
    </row>
    <row r="2704" customFormat="false" ht="15" hidden="false" customHeight="false" outlineLevel="0" collapsed="false">
      <c r="A2704" s="6" t="n">
        <v>2700</v>
      </c>
      <c r="B2704" s="8" t="s">
        <v>4111</v>
      </c>
      <c r="C2704" s="8" t="s">
        <v>562</v>
      </c>
      <c r="D2704" s="9"/>
      <c r="E2704" s="10"/>
      <c r="F2704" s="11" t="n">
        <v>0.008946875</v>
      </c>
      <c r="G2704" s="12" t="n">
        <v>1349</v>
      </c>
      <c r="H2704" s="11"/>
      <c r="I2704" s="12"/>
      <c r="J2704" s="14"/>
      <c r="K2704" s="14"/>
      <c r="L2704" s="14"/>
      <c r="M2704" s="13"/>
    </row>
    <row r="2705" customFormat="false" ht="15" hidden="false" customHeight="false" outlineLevel="0" collapsed="false">
      <c r="A2705" s="6" t="n">
        <v>2701</v>
      </c>
      <c r="B2705" s="8" t="s">
        <v>4112</v>
      </c>
      <c r="C2705" s="8" t="s">
        <v>4113</v>
      </c>
      <c r="D2705" s="9"/>
      <c r="E2705" s="10"/>
      <c r="F2705" s="11" t="n">
        <v>0.00894965277777778</v>
      </c>
      <c r="G2705" s="12" t="n">
        <v>1350</v>
      </c>
      <c r="H2705" s="11"/>
      <c r="I2705" s="12"/>
      <c r="J2705" s="14"/>
      <c r="K2705" s="14"/>
      <c r="L2705" s="14"/>
      <c r="M2705" s="13"/>
    </row>
    <row r="2706" customFormat="false" ht="15" hidden="false" customHeight="false" outlineLevel="0" collapsed="false">
      <c r="A2706" s="6" t="n">
        <v>2702</v>
      </c>
      <c r="B2706" s="8" t="s">
        <v>4114</v>
      </c>
      <c r="C2706" s="8" t="s">
        <v>4115</v>
      </c>
      <c r="D2706" s="9"/>
      <c r="E2706" s="10"/>
      <c r="F2706" s="11" t="n">
        <v>0.00895011574074074</v>
      </c>
      <c r="G2706" s="12" t="n">
        <v>1351</v>
      </c>
      <c r="H2706" s="11"/>
      <c r="I2706" s="12"/>
      <c r="J2706" s="14"/>
      <c r="K2706" s="14"/>
      <c r="L2706" s="14"/>
      <c r="M2706" s="13"/>
    </row>
    <row r="2707" customFormat="false" ht="15" hidden="false" customHeight="false" outlineLevel="0" collapsed="false">
      <c r="A2707" s="6" t="n">
        <v>2703</v>
      </c>
      <c r="B2707" s="8" t="s">
        <v>4116</v>
      </c>
      <c r="C2707" s="8" t="s">
        <v>4117</v>
      </c>
      <c r="D2707" s="9"/>
      <c r="E2707" s="10"/>
      <c r="F2707" s="11" t="n">
        <v>0.00897789351851852</v>
      </c>
      <c r="G2707" s="12" t="n">
        <v>1352</v>
      </c>
      <c r="H2707" s="11"/>
      <c r="I2707" s="12"/>
      <c r="J2707" s="14"/>
      <c r="K2707" s="14"/>
      <c r="L2707" s="14"/>
      <c r="M2707" s="13"/>
    </row>
    <row r="2708" customFormat="false" ht="15" hidden="false" customHeight="false" outlineLevel="0" collapsed="false">
      <c r="A2708" s="6" t="n">
        <v>2704</v>
      </c>
      <c r="B2708" s="8" t="s">
        <v>4118</v>
      </c>
      <c r="C2708" s="8" t="s">
        <v>2065</v>
      </c>
      <c r="D2708" s="9"/>
      <c r="E2708" s="10"/>
      <c r="F2708" s="11"/>
      <c r="G2708" s="12"/>
      <c r="H2708" s="11" t="n">
        <v>0.00297997685185185</v>
      </c>
      <c r="I2708" s="12" t="n">
        <v>1352</v>
      </c>
      <c r="J2708" s="14"/>
      <c r="K2708" s="14"/>
      <c r="L2708" s="14"/>
      <c r="M2708" s="13"/>
    </row>
    <row r="2709" customFormat="false" ht="15" hidden="false" customHeight="false" outlineLevel="0" collapsed="false">
      <c r="A2709" s="6" t="n">
        <v>2705</v>
      </c>
      <c r="B2709" s="8" t="s">
        <v>4119</v>
      </c>
      <c r="C2709" s="8" t="s">
        <v>4040</v>
      </c>
      <c r="D2709" s="9"/>
      <c r="E2709" s="10"/>
      <c r="F2709" s="11" t="n">
        <v>0.009009375</v>
      </c>
      <c r="G2709" s="12" t="n">
        <v>1353</v>
      </c>
      <c r="H2709" s="11"/>
      <c r="I2709" s="12"/>
      <c r="J2709" s="14"/>
      <c r="K2709" s="14"/>
      <c r="L2709" s="14"/>
      <c r="M2709" s="13"/>
    </row>
    <row r="2710" customFormat="false" ht="15" hidden="false" customHeight="false" outlineLevel="0" collapsed="false">
      <c r="A2710" s="6" t="n">
        <v>2706</v>
      </c>
      <c r="B2710" s="8" t="s">
        <v>4120</v>
      </c>
      <c r="C2710" s="8" t="s">
        <v>3459</v>
      </c>
      <c r="D2710" s="9"/>
      <c r="E2710" s="10"/>
      <c r="F2710" s="11"/>
      <c r="G2710" s="12"/>
      <c r="H2710" s="11" t="n">
        <v>0.00297997685185185</v>
      </c>
      <c r="I2710" s="12" t="n">
        <v>1353</v>
      </c>
      <c r="J2710" s="14"/>
      <c r="K2710" s="14"/>
      <c r="L2710" s="14"/>
      <c r="M2710" s="13"/>
    </row>
    <row r="2711" customFormat="false" ht="15" hidden="false" customHeight="false" outlineLevel="0" collapsed="false">
      <c r="A2711" s="6" t="n">
        <v>2707</v>
      </c>
      <c r="B2711" s="8" t="s">
        <v>4121</v>
      </c>
      <c r="C2711" s="8" t="s">
        <v>2703</v>
      </c>
      <c r="D2711" s="9"/>
      <c r="E2711" s="10"/>
      <c r="F2711" s="11" t="n">
        <v>0.00901157407407408</v>
      </c>
      <c r="G2711" s="12" t="n">
        <v>1354</v>
      </c>
      <c r="H2711" s="11"/>
      <c r="I2711" s="12"/>
      <c r="J2711" s="14"/>
      <c r="K2711" s="14"/>
      <c r="L2711" s="14"/>
      <c r="M2711" s="13"/>
    </row>
    <row r="2712" customFormat="false" ht="15" hidden="false" customHeight="false" outlineLevel="0" collapsed="false">
      <c r="A2712" s="6" t="n">
        <v>2708</v>
      </c>
      <c r="B2712" s="8" t="s">
        <v>4122</v>
      </c>
      <c r="C2712" s="8" t="s">
        <v>4123</v>
      </c>
      <c r="D2712" s="9"/>
      <c r="E2712" s="10"/>
      <c r="F2712" s="11"/>
      <c r="G2712" s="12"/>
      <c r="H2712" s="11" t="n">
        <v>0.00297997685185185</v>
      </c>
      <c r="I2712" s="12" t="n">
        <v>1354</v>
      </c>
      <c r="J2712" s="14"/>
      <c r="K2712" s="14"/>
      <c r="L2712" s="14"/>
      <c r="M2712" s="13"/>
    </row>
    <row r="2713" customFormat="false" ht="15" hidden="false" customHeight="false" outlineLevel="0" collapsed="false">
      <c r="A2713" s="6" t="n">
        <v>2709</v>
      </c>
      <c r="B2713" s="8" t="s">
        <v>4124</v>
      </c>
      <c r="C2713" s="8" t="s">
        <v>471</v>
      </c>
      <c r="D2713" s="9"/>
      <c r="E2713" s="10"/>
      <c r="F2713" s="11" t="n">
        <v>0.00901863425925926</v>
      </c>
      <c r="G2713" s="12" t="n">
        <v>1355</v>
      </c>
      <c r="H2713" s="11"/>
      <c r="I2713" s="12"/>
      <c r="J2713" s="14"/>
      <c r="K2713" s="14"/>
      <c r="L2713" s="14"/>
      <c r="M2713" s="13"/>
    </row>
    <row r="2714" customFormat="false" ht="15" hidden="false" customHeight="false" outlineLevel="0" collapsed="false">
      <c r="A2714" s="6" t="n">
        <v>2710</v>
      </c>
      <c r="B2714" s="8" t="s">
        <v>4125</v>
      </c>
      <c r="C2714" s="8" t="s">
        <v>588</v>
      </c>
      <c r="D2714" s="9"/>
      <c r="E2714" s="10"/>
      <c r="F2714" s="11" t="n">
        <v>0.00903194444444445</v>
      </c>
      <c r="G2714" s="12" t="n">
        <v>1356</v>
      </c>
      <c r="H2714" s="11"/>
      <c r="I2714" s="12"/>
      <c r="J2714" s="14"/>
      <c r="K2714" s="14"/>
      <c r="L2714" s="14"/>
      <c r="M2714" s="13"/>
    </row>
    <row r="2715" customFormat="false" ht="15" hidden="false" customHeight="false" outlineLevel="0" collapsed="false">
      <c r="A2715" s="6" t="n">
        <v>2711</v>
      </c>
      <c r="B2715" s="8" t="s">
        <v>4126</v>
      </c>
      <c r="C2715" s="8" t="s">
        <v>1674</v>
      </c>
      <c r="D2715" s="9"/>
      <c r="E2715" s="10"/>
      <c r="F2715" s="11" t="n">
        <v>0.00903425925925926</v>
      </c>
      <c r="G2715" s="12" t="n">
        <v>1357</v>
      </c>
      <c r="H2715" s="11"/>
      <c r="I2715" s="12"/>
      <c r="J2715" s="14"/>
      <c r="K2715" s="14"/>
      <c r="L2715" s="14"/>
      <c r="M2715" s="13"/>
    </row>
    <row r="2716" customFormat="false" ht="15" hidden="false" customHeight="false" outlineLevel="0" collapsed="false">
      <c r="A2716" s="6" t="n">
        <v>2712</v>
      </c>
      <c r="B2716" s="8" t="s">
        <v>4127</v>
      </c>
      <c r="C2716" s="8" t="s">
        <v>1458</v>
      </c>
      <c r="D2716" s="9"/>
      <c r="E2716" s="10"/>
      <c r="F2716" s="11"/>
      <c r="G2716" s="12"/>
      <c r="H2716" s="11" t="n">
        <v>0.00298101851851852</v>
      </c>
      <c r="I2716" s="12" t="n">
        <v>1357</v>
      </c>
      <c r="J2716" s="14"/>
      <c r="K2716" s="14"/>
      <c r="L2716" s="14"/>
      <c r="M2716" s="13"/>
    </row>
    <row r="2717" customFormat="false" ht="15" hidden="false" customHeight="false" outlineLevel="0" collapsed="false">
      <c r="A2717" s="6" t="n">
        <v>2713</v>
      </c>
      <c r="B2717" s="8" t="s">
        <v>4128</v>
      </c>
      <c r="C2717" s="8" t="s">
        <v>4129</v>
      </c>
      <c r="D2717" s="9"/>
      <c r="E2717" s="10"/>
      <c r="F2717" s="11" t="n">
        <v>0.00903993055555556</v>
      </c>
      <c r="G2717" s="12" t="n">
        <v>1358</v>
      </c>
      <c r="H2717" s="11"/>
      <c r="I2717" s="12"/>
      <c r="J2717" s="14"/>
      <c r="K2717" s="14"/>
      <c r="L2717" s="14"/>
      <c r="M2717" s="13"/>
    </row>
    <row r="2718" customFormat="false" ht="15" hidden="false" customHeight="false" outlineLevel="0" collapsed="false">
      <c r="A2718" s="6" t="n">
        <v>2714</v>
      </c>
      <c r="B2718" s="8" t="s">
        <v>4130</v>
      </c>
      <c r="C2718" s="8" t="s">
        <v>4131</v>
      </c>
      <c r="D2718" s="9"/>
      <c r="E2718" s="10"/>
      <c r="F2718" s="11" t="n">
        <v>0.00908773148148148</v>
      </c>
      <c r="G2718" s="12" t="n">
        <v>1359</v>
      </c>
      <c r="H2718" s="11"/>
      <c r="I2718" s="12"/>
      <c r="J2718" s="14"/>
      <c r="K2718" s="14"/>
      <c r="L2718" s="14"/>
      <c r="M2718" s="13"/>
    </row>
    <row r="2719" customFormat="false" ht="15" hidden="false" customHeight="false" outlineLevel="0" collapsed="false">
      <c r="A2719" s="6" t="n">
        <v>2715</v>
      </c>
      <c r="B2719" s="8" t="s">
        <v>4132</v>
      </c>
      <c r="C2719" s="8" t="s">
        <v>2329</v>
      </c>
      <c r="D2719" s="9"/>
      <c r="E2719" s="10"/>
      <c r="F2719" s="11" t="n">
        <v>0.00909224537037037</v>
      </c>
      <c r="G2719" s="12" t="n">
        <v>1360</v>
      </c>
      <c r="H2719" s="11"/>
      <c r="I2719" s="12"/>
      <c r="J2719" s="14"/>
      <c r="K2719" s="14"/>
      <c r="L2719" s="14"/>
      <c r="M2719" s="13"/>
    </row>
    <row r="2720" customFormat="false" ht="15" hidden="false" customHeight="false" outlineLevel="0" collapsed="false">
      <c r="A2720" s="6" t="n">
        <v>2716</v>
      </c>
      <c r="B2720" s="8" t="s">
        <v>4133</v>
      </c>
      <c r="C2720" s="8" t="s">
        <v>4079</v>
      </c>
      <c r="D2720" s="9"/>
      <c r="E2720" s="10"/>
      <c r="F2720" s="11" t="n">
        <v>0.00909351851851852</v>
      </c>
      <c r="G2720" s="12" t="n">
        <v>1361</v>
      </c>
      <c r="H2720" s="11"/>
      <c r="I2720" s="12"/>
      <c r="J2720" s="14"/>
      <c r="K2720" s="14"/>
      <c r="L2720" s="14"/>
      <c r="M2720" s="13"/>
    </row>
    <row r="2721" customFormat="false" ht="15" hidden="false" customHeight="false" outlineLevel="0" collapsed="false">
      <c r="A2721" s="6" t="n">
        <v>2717</v>
      </c>
      <c r="B2721" s="8" t="s">
        <v>4134</v>
      </c>
      <c r="C2721" s="8" t="s">
        <v>4135</v>
      </c>
      <c r="D2721" s="9"/>
      <c r="E2721" s="10"/>
      <c r="F2721" s="11" t="n">
        <v>0.00909513888888889</v>
      </c>
      <c r="G2721" s="12" t="n">
        <v>1362</v>
      </c>
      <c r="H2721" s="11"/>
      <c r="I2721" s="12"/>
      <c r="J2721" s="14"/>
      <c r="K2721" s="14"/>
      <c r="L2721" s="14"/>
      <c r="M2721" s="13"/>
    </row>
    <row r="2722" customFormat="false" ht="15" hidden="false" customHeight="false" outlineLevel="0" collapsed="false">
      <c r="A2722" s="6" t="n">
        <v>2718</v>
      </c>
      <c r="B2722" s="8" t="s">
        <v>4136</v>
      </c>
      <c r="C2722" s="8" t="s">
        <v>742</v>
      </c>
      <c r="D2722" s="9"/>
      <c r="E2722" s="10"/>
      <c r="F2722" s="11" t="n">
        <v>0.00914594907407407</v>
      </c>
      <c r="G2722" s="12" t="n">
        <v>1363</v>
      </c>
      <c r="H2722" s="11"/>
      <c r="I2722" s="12"/>
      <c r="J2722" s="14"/>
      <c r="K2722" s="14"/>
      <c r="L2722" s="14"/>
      <c r="M2722" s="13"/>
    </row>
    <row r="2723" customFormat="false" ht="15" hidden="false" customHeight="false" outlineLevel="0" collapsed="false">
      <c r="A2723" s="6" t="n">
        <v>2719</v>
      </c>
      <c r="B2723" s="8" t="s">
        <v>4137</v>
      </c>
      <c r="C2723" s="8" t="s">
        <v>1484</v>
      </c>
      <c r="D2723" s="9"/>
      <c r="E2723" s="10"/>
      <c r="F2723" s="11" t="n">
        <v>0.00915092592592593</v>
      </c>
      <c r="G2723" s="12" t="n">
        <v>1364</v>
      </c>
      <c r="H2723" s="11"/>
      <c r="I2723" s="12"/>
      <c r="J2723" s="14"/>
      <c r="K2723" s="14"/>
      <c r="L2723" s="14"/>
      <c r="M2723" s="13"/>
    </row>
    <row r="2724" customFormat="false" ht="15" hidden="false" customHeight="false" outlineLevel="0" collapsed="false">
      <c r="A2724" s="6" t="n">
        <v>2720</v>
      </c>
      <c r="B2724" s="8" t="s">
        <v>4138</v>
      </c>
      <c r="C2724" s="8" t="s">
        <v>4040</v>
      </c>
      <c r="D2724" s="9"/>
      <c r="E2724" s="10"/>
      <c r="F2724" s="11" t="n">
        <v>0.00917615740740741</v>
      </c>
      <c r="G2724" s="12" t="n">
        <v>1365</v>
      </c>
      <c r="H2724" s="11"/>
      <c r="I2724" s="12"/>
      <c r="J2724" s="14"/>
      <c r="K2724" s="14"/>
      <c r="L2724" s="14"/>
      <c r="M2724" s="13"/>
    </row>
    <row r="2725" customFormat="false" ht="15" hidden="false" customHeight="false" outlineLevel="0" collapsed="false">
      <c r="A2725" s="6" t="n">
        <v>2721</v>
      </c>
      <c r="B2725" s="8" t="s">
        <v>4139</v>
      </c>
      <c r="C2725" s="8" t="s">
        <v>4131</v>
      </c>
      <c r="D2725" s="9"/>
      <c r="E2725" s="10"/>
      <c r="F2725" s="11" t="n">
        <v>0.00924594907407408</v>
      </c>
      <c r="G2725" s="12" t="n">
        <v>1366</v>
      </c>
      <c r="H2725" s="11"/>
      <c r="I2725" s="12"/>
      <c r="J2725" s="14"/>
      <c r="K2725" s="14"/>
      <c r="L2725" s="14"/>
      <c r="M2725" s="13"/>
    </row>
    <row r="2726" customFormat="false" ht="15" hidden="false" customHeight="false" outlineLevel="0" collapsed="false">
      <c r="A2726" s="6" t="n">
        <v>2722</v>
      </c>
      <c r="B2726" s="8" t="s">
        <v>4140</v>
      </c>
      <c r="C2726" s="8" t="s">
        <v>4141</v>
      </c>
      <c r="D2726" s="9"/>
      <c r="E2726" s="10"/>
      <c r="F2726" s="11" t="n">
        <v>0.00924618055555556</v>
      </c>
      <c r="G2726" s="12" t="n">
        <v>1367</v>
      </c>
      <c r="H2726" s="11"/>
      <c r="I2726" s="12"/>
      <c r="J2726" s="14"/>
      <c r="K2726" s="14"/>
      <c r="L2726" s="14"/>
      <c r="M2726" s="13"/>
    </row>
    <row r="2727" customFormat="false" ht="15" hidden="false" customHeight="false" outlineLevel="0" collapsed="false">
      <c r="A2727" s="6" t="n">
        <v>2723</v>
      </c>
      <c r="B2727" s="8" t="s">
        <v>4142</v>
      </c>
      <c r="C2727" s="8" t="s">
        <v>3752</v>
      </c>
      <c r="D2727" s="9"/>
      <c r="E2727" s="10"/>
      <c r="F2727" s="11" t="n">
        <v>0.00928900462962963</v>
      </c>
      <c r="G2727" s="12" t="n">
        <v>1368</v>
      </c>
      <c r="H2727" s="11"/>
      <c r="I2727" s="12"/>
      <c r="J2727" s="14"/>
      <c r="K2727" s="14"/>
      <c r="L2727" s="14"/>
      <c r="M2727" s="13"/>
    </row>
    <row r="2728" customFormat="false" ht="15" hidden="false" customHeight="false" outlineLevel="0" collapsed="false">
      <c r="A2728" s="6" t="n">
        <v>2724</v>
      </c>
      <c r="B2728" s="8" t="s">
        <v>4143</v>
      </c>
      <c r="C2728" s="8" t="s">
        <v>4144</v>
      </c>
      <c r="D2728" s="9"/>
      <c r="E2728" s="10"/>
      <c r="F2728" s="11" t="n">
        <v>0.00930740740740741</v>
      </c>
      <c r="G2728" s="12" t="n">
        <v>1369</v>
      </c>
      <c r="H2728" s="11"/>
      <c r="I2728" s="12"/>
      <c r="J2728" s="14"/>
      <c r="K2728" s="14"/>
      <c r="L2728" s="14"/>
      <c r="M2728" s="13"/>
    </row>
    <row r="2729" customFormat="false" ht="15" hidden="false" customHeight="false" outlineLevel="0" collapsed="false">
      <c r="A2729" s="6" t="n">
        <v>2725</v>
      </c>
      <c r="B2729" s="8" t="s">
        <v>4145</v>
      </c>
      <c r="C2729" s="8" t="s">
        <v>2974</v>
      </c>
      <c r="D2729" s="9"/>
      <c r="E2729" s="10"/>
      <c r="F2729" s="11" t="n">
        <v>0.00931400462962963</v>
      </c>
      <c r="G2729" s="12" t="n">
        <v>1370</v>
      </c>
      <c r="H2729" s="11"/>
      <c r="I2729" s="12"/>
      <c r="J2729" s="14"/>
      <c r="K2729" s="14"/>
      <c r="L2729" s="14"/>
      <c r="M2729" s="13"/>
    </row>
    <row r="2730" customFormat="false" ht="15" hidden="false" customHeight="false" outlineLevel="0" collapsed="false">
      <c r="A2730" s="6" t="n">
        <v>2726</v>
      </c>
      <c r="B2730" s="8" t="s">
        <v>4146</v>
      </c>
      <c r="C2730" s="8" t="s">
        <v>4147</v>
      </c>
      <c r="D2730" s="9"/>
      <c r="E2730" s="10"/>
      <c r="F2730" s="11" t="n">
        <v>0.009334375</v>
      </c>
      <c r="G2730" s="12" t="n">
        <v>1371</v>
      </c>
      <c r="H2730" s="11"/>
      <c r="I2730" s="12"/>
      <c r="J2730" s="14"/>
      <c r="K2730" s="14"/>
      <c r="L2730" s="14"/>
      <c r="M2730" s="13"/>
    </row>
    <row r="2731" customFormat="false" ht="15" hidden="false" customHeight="false" outlineLevel="0" collapsed="false">
      <c r="A2731" s="6" t="n">
        <v>2727</v>
      </c>
      <c r="B2731" s="8" t="s">
        <v>4148</v>
      </c>
      <c r="C2731" s="8" t="s">
        <v>4149</v>
      </c>
      <c r="D2731" s="9"/>
      <c r="E2731" s="10"/>
      <c r="F2731" s="11" t="n">
        <v>0.00941574074074074</v>
      </c>
      <c r="G2731" s="12" t="n">
        <v>1372</v>
      </c>
      <c r="H2731" s="11"/>
      <c r="I2731" s="12"/>
      <c r="J2731" s="14"/>
      <c r="K2731" s="14"/>
      <c r="L2731" s="14"/>
      <c r="M2731" s="13"/>
    </row>
    <row r="2732" customFormat="false" ht="15" hidden="false" customHeight="false" outlineLevel="0" collapsed="false">
      <c r="A2732" s="6" t="n">
        <v>2728</v>
      </c>
      <c r="B2732" s="8" t="s">
        <v>4150</v>
      </c>
      <c r="C2732" s="8" t="s">
        <v>4151</v>
      </c>
      <c r="D2732" s="9"/>
      <c r="E2732" s="10"/>
      <c r="F2732" s="11" t="n">
        <v>0.00948449074074074</v>
      </c>
      <c r="G2732" s="12" t="n">
        <v>1373</v>
      </c>
      <c r="H2732" s="11"/>
      <c r="I2732" s="12"/>
      <c r="J2732" s="14"/>
      <c r="K2732" s="14"/>
      <c r="L2732" s="14"/>
      <c r="M2732" s="13"/>
    </row>
    <row r="2733" customFormat="false" ht="15" hidden="false" customHeight="false" outlineLevel="0" collapsed="false">
      <c r="A2733" s="6" t="n">
        <v>2729</v>
      </c>
      <c r="B2733" s="8" t="s">
        <v>4152</v>
      </c>
      <c r="C2733" s="8" t="s">
        <v>3757</v>
      </c>
      <c r="D2733" s="9"/>
      <c r="E2733" s="10"/>
      <c r="F2733" s="11" t="n">
        <v>0.0099724537037037</v>
      </c>
      <c r="G2733" s="12" t="n">
        <v>1374</v>
      </c>
      <c r="H2733" s="11"/>
      <c r="I2733" s="12"/>
      <c r="J2733" s="14"/>
      <c r="K2733" s="14"/>
      <c r="L2733" s="14"/>
      <c r="M2733" s="13"/>
    </row>
    <row r="2734" customFormat="false" ht="15" hidden="false" customHeight="false" outlineLevel="0" collapsed="false">
      <c r="A2734" s="6" t="n">
        <v>2730</v>
      </c>
      <c r="B2734" s="8" t="s">
        <v>4153</v>
      </c>
      <c r="C2734" s="8" t="s">
        <v>4154</v>
      </c>
      <c r="D2734" s="9"/>
      <c r="E2734" s="10"/>
      <c r="F2734" s="11" t="n">
        <v>0.0103003472222222</v>
      </c>
      <c r="G2734" s="12" t="n">
        <v>1375</v>
      </c>
      <c r="H2734" s="11"/>
      <c r="I2734" s="12"/>
      <c r="J2734" s="14"/>
      <c r="K2734" s="14"/>
      <c r="L2734" s="14"/>
      <c r="M2734" s="13"/>
    </row>
    <row r="2735" customFormat="false" ht="15" hidden="false" customHeight="false" outlineLevel="0" collapsed="false">
      <c r="A2735" s="6" t="n">
        <v>2731</v>
      </c>
      <c r="B2735" s="8" t="s">
        <v>4155</v>
      </c>
      <c r="C2735" s="8" t="s">
        <v>4156</v>
      </c>
      <c r="D2735" s="9"/>
      <c r="E2735" s="10"/>
      <c r="F2735" s="11" t="n">
        <v>0.0104084490740741</v>
      </c>
      <c r="G2735" s="12" t="n">
        <v>1376</v>
      </c>
      <c r="H2735" s="11"/>
      <c r="I2735" s="12"/>
      <c r="J2735" s="14"/>
      <c r="K2735" s="14"/>
      <c r="L2735" s="14"/>
      <c r="M2735" s="13"/>
    </row>
    <row r="2736" customFormat="false" ht="15" hidden="false" customHeight="false" outlineLevel="0" collapsed="false">
      <c r="A2736" s="6" t="n">
        <v>2732</v>
      </c>
      <c r="B2736" s="8" t="s">
        <v>4157</v>
      </c>
      <c r="C2736" s="8" t="s">
        <v>2891</v>
      </c>
      <c r="D2736" s="9"/>
      <c r="E2736" s="10"/>
      <c r="F2736" s="11" t="n">
        <v>0.0107068287037037</v>
      </c>
      <c r="G2736" s="12" t="n">
        <v>1377</v>
      </c>
      <c r="H2736" s="11"/>
      <c r="I2736" s="12"/>
      <c r="J2736" s="14"/>
      <c r="K2736" s="14"/>
      <c r="L2736" s="14"/>
      <c r="M2736" s="13"/>
    </row>
  </sheetData>
  <autoFilter ref="A4:M2736"/>
  <conditionalFormatting sqref="E5:E2736">
    <cfRule type="expression" priority="2" aboveAverage="0" equalAverage="0" bottom="0" percent="0" rank="0" text="" dxfId="9">
      <formula>AND(ISNUMBER(E5),E5&lt;=10)</formula>
    </cfRule>
    <cfRule type="expression" priority="3" aboveAverage="0" equalAverage="0" bottom="0" percent="0" rank="0" text="" dxfId="10">
      <formula>AND(ISNUMBER(E5),E5&lt;=50)</formula>
    </cfRule>
    <cfRule type="expression" priority="4" aboveAverage="0" equalAverage="0" bottom="0" percent="0" rank="0" text="" dxfId="11">
      <formula>AND(ISNUMBER(E5),E5&lt;=100)</formula>
    </cfRule>
  </conditionalFormatting>
  <conditionalFormatting sqref="G5:G2736">
    <cfRule type="expression" priority="5" aboveAverage="0" equalAverage="0" bottom="0" percent="0" rank="0" text="" dxfId="9">
      <formula>AND(ISNUMBER(G5),G5&lt;=10)</formula>
    </cfRule>
    <cfRule type="expression" priority="6" aboveAverage="0" equalAverage="0" bottom="0" percent="0" rank="0" text="" dxfId="10">
      <formula>AND(ISNUMBER(G5),G5&lt;=50)</formula>
    </cfRule>
    <cfRule type="expression" priority="7" aboveAverage="0" equalAverage="0" bottom="0" percent="0" rank="0" text="" dxfId="11">
      <formula>AND(ISNUMBER(G5),G5&lt;=100)</formula>
    </cfRule>
  </conditionalFormatting>
  <conditionalFormatting sqref="I5:I2736">
    <cfRule type="expression" priority="8" aboveAverage="0" equalAverage="0" bottom="0" percent="0" rank="0" text="" dxfId="9">
      <formula>AND(ISNUMBER(I5),I5&lt;=10)</formula>
    </cfRule>
    <cfRule type="expression" priority="9" aboveAverage="0" equalAverage="0" bottom="0" percent="0" rank="0" text="" dxfId="10">
      <formula>AND(ISNUMBER(I5),I5&lt;=50)</formula>
    </cfRule>
    <cfRule type="expression" priority="10" aboveAverage="0" equalAverage="0" bottom="0" percent="0" rank="0" text="" dxfId="11">
      <formula>AND(ISNUMBER(I5),I5&lt;=100)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8"/>
    <col collapsed="false" customWidth="true" hidden="false" outlineLevel="0" max="11" min="10" style="0" width="18"/>
    <col collapsed="false" customWidth="true" hidden="false" outlineLevel="0" max="12" min="12" style="0" width="40"/>
    <col collapsed="false" customWidth="true" hidden="false" outlineLevel="0" max="13" min="13" style="0" width="30"/>
  </cols>
  <sheetData>
    <row r="1" customFormat="false" ht="19.4" hidden="false" customHeight="false" outlineLevel="0" collapsed="false">
      <c r="A1" s="24" t="s">
        <v>4158</v>
      </c>
    </row>
    <row r="2" customFormat="false" ht="15" hidden="false" customHeight="false" outlineLevel="0" collapsed="false">
      <c r="A2" s="2" t="s">
        <v>4159</v>
      </c>
    </row>
    <row r="4" customFormat="false" ht="33.75" hidden="false" customHeight="true" outlineLevel="0" collapsed="false">
      <c r="A4" s="3" t="s">
        <v>2</v>
      </c>
      <c r="B4" s="4" t="s">
        <v>3</v>
      </c>
      <c r="C4" s="4" t="s">
        <v>4</v>
      </c>
      <c r="D4" s="5" t="s">
        <v>5</v>
      </c>
      <c r="E4" s="5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4" t="s">
        <v>11</v>
      </c>
      <c r="K4" s="4" t="s">
        <v>12</v>
      </c>
      <c r="L4" s="4" t="s">
        <v>13</v>
      </c>
      <c r="M4" s="4" t="s">
        <v>14</v>
      </c>
    </row>
    <row r="5" customFormat="false" ht="15" hidden="false" customHeight="false" outlineLevel="0" collapsed="false">
      <c r="A5" s="6" t="n">
        <v>6</v>
      </c>
      <c r="B5" s="7" t="str">
        <f aca="false">IF(INDEX(選手一覧!$B$5:$B$2736,$A5)="","",INDEX(選手一覧!$B$5:$B$2736,$A5))</f>
        <v>橋本　蒼平</v>
      </c>
      <c r="C5" s="14" t="str">
        <f aca="false">IF(INDEX(選手一覧!$C$5:$C$2736,$A5)="","",INDEX(選手一覧!$C$5:$C$2736,$A5))</f>
        <v>佐久長聖高</v>
      </c>
      <c r="D5" s="9" t="n">
        <f aca="false">IF(INDEX(選手一覧!$D$5:$D$2736,$A5)="","",INDEX(選手一覧!$D$5:$D$2736,$A5))</f>
        <v>0.00975914351851852</v>
      </c>
      <c r="E5" s="10" t="n">
        <f aca="false">IF(INDEX(選手一覧!$E$5:$E$2736,$A5)="","",INDEX(選手一覧!$E$5:$E$2736,$A5))</f>
        <v>6</v>
      </c>
      <c r="F5" s="11" t="n">
        <f aca="false">IF(INDEX(選手一覧!$F$5:$F$2736,$A5)="","",INDEX(選手一覧!$F$5:$F$2736,$A5))</f>
        <v>0.00626909722222222</v>
      </c>
      <c r="G5" s="12" t="n">
        <f aca="false">IF(INDEX(選手一覧!$G$5:$G$2736,$A5)="","",INDEX(選手一覧!$G$5:$G$2736,$A5))</f>
        <v>2</v>
      </c>
      <c r="H5" s="11" t="n">
        <f aca="false">IF(INDEX(選手一覧!$H$5:$H$2736,$A5)="","",INDEX(選手一覧!$H$5:$H$2736,$A5))</f>
        <v>0.00278136574074074</v>
      </c>
      <c r="I5" s="12" t="n">
        <f aca="false">IF(INDEX(選手一覧!$I$5:$I$2736,$A5)="","",INDEX(選手一覧!$I$5:$I$2736,$A5))</f>
        <v>209</v>
      </c>
      <c r="J5" s="14" t="str">
        <f aca="false">IF(INDEX(選手一覧!$J$5:$J$2736,$A5)="","",INDEX(選手一覧!$J$5:$J$2736,$A5))</f>
        <v>1区 3位（28:58）</v>
      </c>
      <c r="K5" s="14" t="str">
        <f aca="false">IF(INDEX(選手一覧!$K$5:$K$2736,$A5)="","",INDEX(選手一覧!$K$5:$K$2736,$A5))</f>
        <v/>
      </c>
      <c r="L5" s="14" t="str">
        <f aca="false">IF(INDEX(選手一覧!$L$5:$L$2736,$A5)="","",INDEX(選手一覧!$L$5:$L$2736,$A5))</f>
        <v/>
      </c>
      <c r="M5" s="14" t="str">
        <f aca="false">IF(INDEX(選手一覧!$M$5:$M$2736,$A5)="","",INDEX(選手一覧!$M$5:$M$2736,$A5))</f>
        <v/>
      </c>
    </row>
    <row r="6" customFormat="false" ht="15" hidden="false" customHeight="false" outlineLevel="0" collapsed="false">
      <c r="A6" s="6" t="n">
        <v>10</v>
      </c>
      <c r="B6" s="7" t="str">
        <f aca="false">IF(INDEX(選手一覧!$B$5:$B$2736,$A6)="","",INDEX(選手一覧!$B$5:$B$2736,$A6))</f>
        <v>伊藤　遼</v>
      </c>
      <c r="C6" s="14" t="str">
        <f aca="false">IF(INDEX(選手一覧!$C$5:$C$2736,$A6)="","",INDEX(選手一覧!$C$5:$C$2736,$A6))</f>
        <v>佐久長聖高</v>
      </c>
      <c r="D6" s="9" t="n">
        <f aca="false">IF(INDEX(選手一覧!$D$5:$D$2736,$A6)="","",INDEX(選手一覧!$D$5:$D$2736,$A6))</f>
        <v>0.00986527777777778</v>
      </c>
      <c r="E6" s="10" t="n">
        <f aca="false">IF(INDEX(選手一覧!$E$5:$E$2736,$A6)="","",INDEX(選手一覧!$E$5:$E$2736,$A6))</f>
        <v>10</v>
      </c>
      <c r="F6" s="11" t="str">
        <f aca="false">IF(INDEX(選手一覧!$F$5:$F$2736,$A6)="","",INDEX(選手一覧!$F$5:$F$2736,$A6))</f>
        <v/>
      </c>
      <c r="G6" s="12" t="str">
        <f aca="false">IF(INDEX(選手一覧!$G$5:$G$2736,$A6)="","",INDEX(選手一覧!$G$5:$G$2736,$A6))</f>
        <v/>
      </c>
      <c r="H6" s="11" t="n">
        <f aca="false">IF(INDEX(選手一覧!$H$5:$H$2736,$A6)="","",INDEX(選手一覧!$H$5:$H$2736,$A6))</f>
        <v>0.00282071759259259</v>
      </c>
      <c r="I6" s="12" t="n">
        <f aca="false">IF(INDEX(選手一覧!$I$5:$I$2736,$A6)="","",INDEX(選手一覧!$I$5:$I$2736,$A6))</f>
        <v>367</v>
      </c>
      <c r="J6" s="14" t="str">
        <f aca="false">IF(INDEX(選手一覧!$J$5:$J$2736,$A6)="","",INDEX(選手一覧!$J$5:$J$2736,$A6))</f>
        <v/>
      </c>
      <c r="K6" s="14" t="str">
        <f aca="false">IF(INDEX(選手一覧!$K$5:$K$2736,$A6)="","",INDEX(選手一覧!$K$5:$K$2736,$A6))</f>
        <v/>
      </c>
      <c r="L6" s="14" t="str">
        <f aca="false">IF(INDEX(選手一覧!$L$5:$L$2736,$A6)="","",INDEX(選手一覧!$L$5:$L$2736,$A6))</f>
        <v/>
      </c>
      <c r="M6" s="14" t="str">
        <f aca="false">IF(INDEX(選手一覧!$M$5:$M$2736,$A6)="","",INDEX(選手一覧!$M$5:$M$2736,$A6))</f>
        <v/>
      </c>
    </row>
    <row r="7" customFormat="false" ht="15" hidden="false" customHeight="false" outlineLevel="0" collapsed="false">
      <c r="A7" s="6" t="n">
        <v>11</v>
      </c>
      <c r="B7" s="7" t="str">
        <f aca="false">IF(INDEX(選手一覧!$B$5:$B$2736,$A7)="","",INDEX(選手一覧!$B$5:$B$2736,$A7))</f>
        <v>酒井　琉史</v>
      </c>
      <c r="C7" s="14" t="str">
        <f aca="false">IF(INDEX(選手一覧!$C$5:$C$2736,$A7)="","",INDEX(選手一覧!$C$5:$C$2736,$A7))</f>
        <v>佐久長聖高</v>
      </c>
      <c r="D7" s="9" t="n">
        <f aca="false">IF(INDEX(選手一覧!$D$5:$D$2736,$A7)="","",INDEX(選手一覧!$D$5:$D$2736,$A7))</f>
        <v>0.00987071759259259</v>
      </c>
      <c r="E7" s="10" t="n">
        <f aca="false">IF(INDEX(選手一覧!$E$5:$E$2736,$A7)="","",INDEX(選手一覧!$E$5:$E$2736,$A7))</f>
        <v>11</v>
      </c>
      <c r="F7" s="11" t="str">
        <f aca="false">IF(INDEX(選手一覧!$F$5:$F$2736,$A7)="","",INDEX(選手一覧!$F$5:$F$2736,$A7))</f>
        <v/>
      </c>
      <c r="G7" s="12" t="str">
        <f aca="false">IF(INDEX(選手一覧!$G$5:$G$2736,$A7)="","",INDEX(選手一覧!$G$5:$G$2736,$A7))</f>
        <v/>
      </c>
      <c r="H7" s="11" t="n">
        <f aca="false">IF(INDEX(選手一覧!$H$5:$H$2736,$A7)="","",INDEX(選手一覧!$H$5:$H$2736,$A7))</f>
        <v>0.00275902777777778</v>
      </c>
      <c r="I7" s="12" t="n">
        <f aca="false">IF(INDEX(選手一覧!$I$5:$I$2736,$A7)="","",INDEX(選手一覧!$I$5:$I$2736,$A7))</f>
        <v>132</v>
      </c>
      <c r="J7" s="14" t="str">
        <f aca="false">IF(INDEX(選手一覧!$J$5:$J$2736,$A7)="","",INDEX(選手一覧!$J$5:$J$2736,$A7))</f>
        <v>1区 7位（29:06）</v>
      </c>
      <c r="K7" s="14" t="str">
        <f aca="false">IF(INDEX(選手一覧!$K$5:$K$2736,$A7)="","",INDEX(選手一覧!$K$5:$K$2736,$A7))</f>
        <v/>
      </c>
      <c r="L7" s="14" t="str">
        <f aca="false">IF(INDEX(選手一覧!$L$5:$L$2736,$A7)="","",INDEX(選手一覧!$L$5:$L$2736,$A7))</f>
        <v/>
      </c>
      <c r="M7" s="14" t="str">
        <f aca="false">IF(INDEX(選手一覧!$M$5:$M$2736,$A7)="","",INDEX(選手一覧!$M$5:$M$2736,$A7))</f>
        <v/>
      </c>
    </row>
    <row r="8" customFormat="false" ht="15" hidden="false" customHeight="false" outlineLevel="0" collapsed="false">
      <c r="A8" s="6" t="n">
        <v>14</v>
      </c>
      <c r="B8" s="7" t="str">
        <f aca="false">IF(INDEX(選手一覧!$B$5:$B$2736,$A8)="","",INDEX(選手一覧!$B$5:$B$2736,$A8))</f>
        <v>竹田　櫂司</v>
      </c>
      <c r="C8" s="14" t="str">
        <f aca="false">IF(INDEX(選手一覧!$C$5:$C$2736,$A8)="","",INDEX(選手一覧!$C$5:$C$2736,$A8))</f>
        <v>小林高</v>
      </c>
      <c r="D8" s="9" t="n">
        <f aca="false">IF(INDEX(選手一覧!$D$5:$D$2736,$A8)="","",INDEX(選手一覧!$D$5:$D$2736,$A8))</f>
        <v>0.00990787037037037</v>
      </c>
      <c r="E8" s="10" t="n">
        <f aca="false">IF(INDEX(選手一覧!$E$5:$E$2736,$A8)="","",INDEX(選手一覧!$E$5:$E$2736,$A8))</f>
        <v>15</v>
      </c>
      <c r="F8" s="11" t="str">
        <f aca="false">IF(INDEX(選手一覧!$F$5:$F$2736,$A8)="","",INDEX(選手一覧!$F$5:$F$2736,$A8))</f>
        <v/>
      </c>
      <c r="G8" s="12" t="str">
        <f aca="false">IF(INDEX(選手一覧!$G$5:$G$2736,$A8)="","",INDEX(選手一覧!$G$5:$G$2736,$A8))</f>
        <v/>
      </c>
      <c r="H8" s="11" t="n">
        <f aca="false">IF(INDEX(選手一覧!$H$5:$H$2736,$A8)="","",INDEX(選手一覧!$H$5:$H$2736,$A8))</f>
        <v>0.00283935185185185</v>
      </c>
      <c r="I8" s="12" t="n">
        <f aca="false">IF(INDEX(選手一覧!$I$5:$I$2736,$A8)="","",INDEX(選手一覧!$I$5:$I$2736,$A8))</f>
        <v>491</v>
      </c>
      <c r="J8" s="14" t="str">
        <f aca="false">IF(INDEX(選手一覧!$J$5:$J$2736,$A8)="","",INDEX(選手一覧!$J$5:$J$2736,$A8))</f>
        <v/>
      </c>
      <c r="K8" s="14" t="str">
        <f aca="false">IF(INDEX(選手一覧!$K$5:$K$2736,$A8)="","",INDEX(選手一覧!$K$5:$K$2736,$A8))</f>
        <v>3区 3位（23:54）</v>
      </c>
      <c r="L8" s="14" t="str">
        <f aca="false">IF(INDEX(選手一覧!$L$5:$L$2736,$A8)="","",INDEX(選手一覧!$L$5:$L$2736,$A8))</f>
        <v/>
      </c>
      <c r="M8" s="14" t="str">
        <f aca="false">IF(INDEX(選手一覧!$M$5:$M$2736,$A8)="","",INDEX(選手一覧!$M$5:$M$2736,$A8))</f>
        <v/>
      </c>
    </row>
    <row r="9" customFormat="false" ht="15" hidden="false" customHeight="false" outlineLevel="0" collapsed="false">
      <c r="A9" s="6" t="n">
        <v>16</v>
      </c>
      <c r="B9" s="7" t="str">
        <f aca="false">IF(INDEX(選手一覧!$B$5:$B$2736,$A9)="","",INDEX(選手一覧!$B$5:$B$2736,$A9))</f>
        <v>上杉　創亮</v>
      </c>
      <c r="C9" s="14" t="str">
        <f aca="false">IF(INDEX(選手一覧!$C$5:$C$2736,$A9)="","",INDEX(選手一覧!$C$5:$C$2736,$A9))</f>
        <v>八千代松陰高</v>
      </c>
      <c r="D9" s="9" t="n">
        <f aca="false">IF(INDEX(選手一覧!$D$5:$D$2736,$A9)="","",INDEX(選手一覧!$D$5:$D$2736,$A9))</f>
        <v>0.00994131944444444</v>
      </c>
      <c r="E9" s="10" t="n">
        <f aca="false">IF(INDEX(選手一覧!$E$5:$E$2736,$A9)="","",INDEX(選手一覧!$E$5:$E$2736,$A9))</f>
        <v>17</v>
      </c>
      <c r="F9" s="11" t="str">
        <f aca="false">IF(INDEX(選手一覧!$F$5:$F$2736,$A9)="","",INDEX(選手一覧!$F$5:$F$2736,$A9))</f>
        <v/>
      </c>
      <c r="G9" s="12" t="str">
        <f aca="false">IF(INDEX(選手一覧!$G$5:$G$2736,$A9)="","",INDEX(選手一覧!$G$5:$G$2736,$A9))</f>
        <v/>
      </c>
      <c r="H9" s="11" t="n">
        <f aca="false">IF(INDEX(選手一覧!$H$5:$H$2736,$A9)="","",INDEX(選手一覧!$H$5:$H$2736,$A9))</f>
        <v>0.0028630787037037</v>
      </c>
      <c r="I9" s="12" t="n">
        <f aca="false">IF(INDEX(選手一覧!$I$5:$I$2736,$A9)="","",INDEX(選手一覧!$I$5:$I$2736,$A9))</f>
        <v>656</v>
      </c>
      <c r="J9" s="14" t="str">
        <f aca="false">IF(INDEX(選手一覧!$J$5:$J$2736,$A9)="","",INDEX(選手一覧!$J$5:$J$2736,$A9))</f>
        <v/>
      </c>
      <c r="K9" s="14" t="str">
        <f aca="false">IF(INDEX(選手一覧!$K$5:$K$2736,$A9)="","",INDEX(選手一覧!$K$5:$K$2736,$A9))</f>
        <v/>
      </c>
      <c r="L9" s="14" t="str">
        <f aca="false">IF(INDEX(選手一覧!$L$5:$L$2736,$A9)="","",INDEX(選手一覧!$L$5:$L$2736,$A9))</f>
        <v/>
      </c>
      <c r="M9" s="14" t="str">
        <f aca="false">IF(INDEX(選手一覧!$M$5:$M$2736,$A9)="","",INDEX(選手一覧!$M$5:$M$2736,$A9))</f>
        <v/>
      </c>
    </row>
    <row r="10" customFormat="false" ht="15" hidden="false" customHeight="false" outlineLevel="0" collapsed="false">
      <c r="A10" s="6" t="n">
        <v>18</v>
      </c>
      <c r="B10" s="7" t="str">
        <f aca="false">IF(INDEX(選手一覧!$B$5:$B$2736,$A10)="","",INDEX(選手一覧!$B$5:$B$2736,$A10))</f>
        <v>山田　莉生</v>
      </c>
      <c r="C10" s="14" t="str">
        <f aca="false">IF(INDEX(選手一覧!$C$5:$C$2736,$A10)="","",INDEX(選手一覧!$C$5:$C$2736,$A10))</f>
        <v>拓大一高</v>
      </c>
      <c r="D10" s="9" t="n">
        <f aca="false">IF(INDEX(選手一覧!$D$5:$D$2736,$A10)="","",INDEX(選手一覧!$D$5:$D$2736,$A10))</f>
        <v>0.00997210648148148</v>
      </c>
      <c r="E10" s="10" t="n">
        <f aca="false">IF(INDEX(選手一覧!$E$5:$E$2736,$A10)="","",INDEX(選手一覧!$E$5:$E$2736,$A10))</f>
        <v>19</v>
      </c>
      <c r="F10" s="11" t="str">
        <f aca="false">IF(INDEX(選手一覧!$F$5:$F$2736,$A10)="","",INDEX(選手一覧!$F$5:$F$2736,$A10))</f>
        <v/>
      </c>
      <c r="G10" s="12" t="str">
        <f aca="false">IF(INDEX(選手一覧!$G$5:$G$2736,$A10)="","",INDEX(選手一覧!$G$5:$G$2736,$A10))</f>
        <v/>
      </c>
      <c r="H10" s="11" t="n">
        <f aca="false">IF(INDEX(選手一覧!$H$5:$H$2736,$A10)="","",INDEX(選手一覧!$H$5:$H$2736,$A10))</f>
        <v>0.00273252314814815</v>
      </c>
      <c r="I10" s="12" t="n">
        <f aca="false">IF(INDEX(選手一覧!$I$5:$I$2736,$A10)="","",INDEX(選手一覧!$I$5:$I$2736,$A10))</f>
        <v>70</v>
      </c>
      <c r="J10" s="14" t="str">
        <f aca="false">IF(INDEX(選手一覧!$J$5:$J$2736,$A10)="","",INDEX(選手一覧!$J$5:$J$2736,$A10))</f>
        <v/>
      </c>
      <c r="K10" s="14" t="str">
        <f aca="false">IF(INDEX(選手一覧!$K$5:$K$2736,$A10)="","",INDEX(選手一覧!$K$5:$K$2736,$A10))</f>
        <v/>
      </c>
      <c r="L10" s="14" t="str">
        <f aca="false">IF(INDEX(選手一覧!$L$5:$L$2736,$A10)="","",INDEX(選手一覧!$L$5:$L$2736,$A10))</f>
        <v/>
      </c>
      <c r="M10" s="14" t="str">
        <f aca="false">IF(INDEX(選手一覧!$M$5:$M$2736,$A10)="","",INDEX(選手一覧!$M$5:$M$2736,$A10))</f>
        <v/>
      </c>
    </row>
    <row r="11" customFormat="false" ht="15" hidden="false" customHeight="false" outlineLevel="0" collapsed="false">
      <c r="A11" s="6" t="n">
        <v>21</v>
      </c>
      <c r="B11" s="7" t="str">
        <f aca="false">IF(INDEX(選手一覧!$B$5:$B$2736,$A11)="","",INDEX(選手一覧!$B$5:$B$2736,$A11))</f>
        <v>高田　康介</v>
      </c>
      <c r="C11" s="14" t="str">
        <f aca="false">IF(INDEX(選手一覧!$C$5:$C$2736,$A11)="","",INDEX(選手一覧!$C$5:$C$2736,$A11))</f>
        <v>東海大附相模高</v>
      </c>
      <c r="D11" s="9" t="n">
        <f aca="false">IF(INDEX(選手一覧!$D$5:$D$2736,$A11)="","",INDEX(選手一覧!$D$5:$D$2736,$A11))</f>
        <v>0.0100024305555556</v>
      </c>
      <c r="E11" s="10" t="n">
        <f aca="false">IF(INDEX(選手一覧!$E$5:$E$2736,$A11)="","",INDEX(選手一覧!$E$5:$E$2736,$A11))</f>
        <v>22</v>
      </c>
      <c r="F11" s="11" t="str">
        <f aca="false">IF(INDEX(選手一覧!$F$5:$F$2736,$A11)="","",INDEX(選手一覧!$F$5:$F$2736,$A11))</f>
        <v/>
      </c>
      <c r="G11" s="12" t="str">
        <f aca="false">IF(INDEX(選手一覧!$G$5:$G$2736,$A11)="","",INDEX(選手一覧!$G$5:$G$2736,$A11))</f>
        <v/>
      </c>
      <c r="H11" s="11" t="n">
        <f aca="false">IF(INDEX(選手一覧!$H$5:$H$2736,$A11)="","",INDEX(選手一覧!$H$5:$H$2736,$A11))</f>
        <v>0.00293900462962963</v>
      </c>
      <c r="I11" s="12" t="n">
        <f aca="false">IF(INDEX(選手一覧!$I$5:$I$2736,$A11)="","",INDEX(選手一覧!$I$5:$I$2736,$A11))</f>
        <v>1197</v>
      </c>
      <c r="J11" s="14" t="str">
        <f aca="false">IF(INDEX(選手一覧!$J$5:$J$2736,$A11)="","",INDEX(選手一覧!$J$5:$J$2736,$A11))</f>
        <v/>
      </c>
      <c r="K11" s="14" t="str">
        <f aca="false">IF(INDEX(選手一覧!$K$5:$K$2736,$A11)="","",INDEX(選手一覧!$K$5:$K$2736,$A11))</f>
        <v/>
      </c>
      <c r="L11" s="14" t="str">
        <f aca="false">IF(INDEX(選手一覧!$L$5:$L$2736,$A11)="","",INDEX(選手一覧!$L$5:$L$2736,$A11))</f>
        <v/>
      </c>
      <c r="M11" s="14" t="str">
        <f aca="false">IF(INDEX(選手一覧!$M$5:$M$2736,$A11)="","",INDEX(選手一覧!$M$5:$M$2736,$A11))</f>
        <v/>
      </c>
    </row>
    <row r="12" customFormat="false" ht="15" hidden="false" customHeight="false" outlineLevel="0" collapsed="false">
      <c r="A12" s="6" t="n">
        <v>27</v>
      </c>
      <c r="B12" s="7" t="str">
        <f aca="false">IF(INDEX(選手一覧!$B$5:$B$2736,$A12)="","",INDEX(選手一覧!$B$5:$B$2736,$A12))</f>
        <v>小田　桜雅</v>
      </c>
      <c r="C12" s="14" t="str">
        <f aca="false">IF(INDEX(選手一覧!$C$5:$C$2736,$A12)="","",INDEX(選手一覧!$C$5:$C$2736,$A12))</f>
        <v>仙台育英学園高</v>
      </c>
      <c r="D12" s="9" t="n">
        <f aca="false">IF(INDEX(選手一覧!$D$5:$D$2736,$A12)="","",INDEX(選手一覧!$D$5:$D$2736,$A12))</f>
        <v>0.0100331018518519</v>
      </c>
      <c r="E12" s="10" t="n">
        <f aca="false">IF(INDEX(選手一覧!$E$5:$E$2736,$A12)="","",INDEX(選手一覧!$E$5:$E$2736,$A12))</f>
        <v>28</v>
      </c>
      <c r="F12" s="11" t="str">
        <f aca="false">IF(INDEX(選手一覧!$F$5:$F$2736,$A12)="","",INDEX(選手一覧!$F$5:$F$2736,$A12))</f>
        <v/>
      </c>
      <c r="G12" s="12" t="str">
        <f aca="false">IF(INDEX(選手一覧!$G$5:$G$2736,$A12)="","",INDEX(選手一覧!$G$5:$G$2736,$A12))</f>
        <v/>
      </c>
      <c r="H12" s="11" t="n">
        <f aca="false">IF(INDEX(選手一覧!$H$5:$H$2736,$A12)="","",INDEX(選手一覧!$H$5:$H$2736,$A12))</f>
        <v>0.00271909722222222</v>
      </c>
      <c r="I12" s="12" t="n">
        <f aca="false">IF(INDEX(選手一覧!$I$5:$I$2736,$A12)="","",INDEX(選手一覧!$I$5:$I$2736,$A12))</f>
        <v>48</v>
      </c>
      <c r="J12" s="14" t="str">
        <f aca="false">IF(INDEX(選手一覧!$J$5:$J$2736,$A12)="","",INDEX(選手一覧!$J$5:$J$2736,$A12))</f>
        <v/>
      </c>
      <c r="K12" s="14" t="str">
        <f aca="false">IF(INDEX(選手一覧!$K$5:$K$2736,$A12)="","",INDEX(選手一覧!$K$5:$K$2736,$A12))</f>
        <v/>
      </c>
      <c r="L12" s="14" t="str">
        <f aca="false">IF(INDEX(選手一覧!$L$5:$L$2736,$A12)="","",INDEX(選手一覧!$L$5:$L$2736,$A12))</f>
        <v/>
      </c>
      <c r="M12" s="14" t="str">
        <f aca="false">IF(INDEX(選手一覧!$M$5:$M$2736,$A12)="","",INDEX(選手一覧!$M$5:$M$2736,$A12))</f>
        <v/>
      </c>
    </row>
    <row r="13" customFormat="false" ht="15" hidden="false" customHeight="false" outlineLevel="0" collapsed="false">
      <c r="A13" s="6" t="n">
        <v>30</v>
      </c>
      <c r="B13" s="7" t="str">
        <f aca="false">IF(INDEX(選手一覧!$B$5:$B$2736,$A13)="","",INDEX(選手一覧!$B$5:$B$2736,$A13))</f>
        <v>小林　柾輝</v>
      </c>
      <c r="C13" s="14" t="str">
        <f aca="false">IF(INDEX(選手一覧!$C$5:$C$2736,$A13)="","",INDEX(選手一覧!$C$5:$C$2736,$A13))</f>
        <v>八千代松陰高</v>
      </c>
      <c r="D13" s="9" t="n">
        <f aca="false">IF(INDEX(選手一覧!$D$5:$D$2736,$A13)="","",INDEX(選手一覧!$D$5:$D$2736,$A13))</f>
        <v>0.0100422453703704</v>
      </c>
      <c r="E13" s="10" t="n">
        <f aca="false">IF(INDEX(選手一覧!$E$5:$E$2736,$A13)="","",INDEX(選手一覧!$E$5:$E$2736,$A13))</f>
        <v>31</v>
      </c>
      <c r="F13" s="11" t="str">
        <f aca="false">IF(INDEX(選手一覧!$F$5:$F$2736,$A13)="","",INDEX(選手一覧!$F$5:$F$2736,$A13))</f>
        <v/>
      </c>
      <c r="G13" s="12" t="str">
        <f aca="false">IF(INDEX(選手一覧!$G$5:$G$2736,$A13)="","",INDEX(選手一覧!$G$5:$G$2736,$A13))</f>
        <v/>
      </c>
      <c r="H13" s="11" t="str">
        <f aca="false">IF(INDEX(選手一覧!$H$5:$H$2736,$A13)="","",INDEX(選手一覧!$H$5:$H$2736,$A13))</f>
        <v/>
      </c>
      <c r="I13" s="12" t="str">
        <f aca="false">IF(INDEX(選手一覧!$I$5:$I$2736,$A13)="","",INDEX(選手一覧!$I$5:$I$2736,$A13))</f>
        <v/>
      </c>
      <c r="J13" s="14" t="str">
        <f aca="false">IF(INDEX(選手一覧!$J$5:$J$2736,$A13)="","",INDEX(選手一覧!$J$5:$J$2736,$A13))</f>
        <v/>
      </c>
      <c r="K13" s="14" t="str">
        <f aca="false">IF(INDEX(選手一覧!$K$5:$K$2736,$A13)="","",INDEX(選手一覧!$K$5:$K$2736,$A13))</f>
        <v/>
      </c>
      <c r="L13" s="14" t="str">
        <f aca="false">IF(INDEX(選手一覧!$L$5:$L$2736,$A13)="","",INDEX(選手一覧!$L$5:$L$2736,$A13))</f>
        <v/>
      </c>
      <c r="M13" s="14" t="str">
        <f aca="false">IF(INDEX(選手一覧!$M$5:$M$2736,$A13)="","",INDEX(選手一覧!$M$5:$M$2736,$A13))</f>
        <v/>
      </c>
    </row>
    <row r="14" customFormat="false" ht="15" hidden="false" customHeight="false" outlineLevel="0" collapsed="false">
      <c r="A14" s="6" t="n">
        <v>31</v>
      </c>
      <c r="B14" s="7" t="str">
        <f aca="false">IF(INDEX(選手一覧!$B$5:$B$2736,$A14)="","",INDEX(選手一覧!$B$5:$B$2736,$A14))</f>
        <v>長尾　羚煌</v>
      </c>
      <c r="C14" s="14" t="str">
        <f aca="false">IF(INDEX(選手一覧!$C$5:$C$2736,$A14)="","",INDEX(選手一覧!$C$5:$C$2736,$A14))</f>
        <v>市長崎商高</v>
      </c>
      <c r="D14" s="9" t="n">
        <f aca="false">IF(INDEX(選手一覧!$D$5:$D$2736,$A14)="","",INDEX(選手一覧!$D$5:$D$2736,$A14))</f>
        <v>0.0100430555555556</v>
      </c>
      <c r="E14" s="10" t="n">
        <f aca="false">IF(INDEX(選手一覧!$E$5:$E$2736,$A14)="","",INDEX(選手一覧!$E$5:$E$2736,$A14))</f>
        <v>32</v>
      </c>
      <c r="F14" s="11" t="str">
        <f aca="false">IF(INDEX(選手一覧!$F$5:$F$2736,$A14)="","",INDEX(選手一覧!$F$5:$F$2736,$A14))</f>
        <v/>
      </c>
      <c r="G14" s="12" t="str">
        <f aca="false">IF(INDEX(選手一覧!$G$5:$G$2736,$A14)="","",INDEX(選手一覧!$G$5:$G$2736,$A14))</f>
        <v/>
      </c>
      <c r="H14" s="11" t="n">
        <f aca="false">IF(INDEX(選手一覧!$H$5:$H$2736,$A14)="","",INDEX(選手一覧!$H$5:$H$2736,$A14))</f>
        <v>0.00272511574074074</v>
      </c>
      <c r="I14" s="12" t="n">
        <f aca="false">IF(INDEX(選手一覧!$I$5:$I$2736,$A14)="","",INDEX(選手一覧!$I$5:$I$2736,$A14))</f>
        <v>58</v>
      </c>
      <c r="J14" s="14" t="str">
        <f aca="false">IF(INDEX(選手一覧!$J$5:$J$2736,$A14)="","",INDEX(選手一覧!$J$5:$J$2736,$A14))</f>
        <v/>
      </c>
      <c r="K14" s="14" t="str">
        <f aca="false">IF(INDEX(選手一覧!$K$5:$K$2736,$A14)="","",INDEX(選手一覧!$K$5:$K$2736,$A14))</f>
        <v/>
      </c>
      <c r="L14" s="14" t="str">
        <f aca="false">IF(INDEX(選手一覧!$L$5:$L$2736,$A14)="","",INDEX(選手一覧!$L$5:$L$2736,$A14))</f>
        <v/>
      </c>
      <c r="M14" s="14" t="str">
        <f aca="false">IF(INDEX(選手一覧!$M$5:$M$2736,$A14)="","",INDEX(選手一覧!$M$5:$M$2736,$A14))</f>
        <v/>
      </c>
    </row>
    <row r="15" customFormat="false" ht="15" hidden="false" customHeight="false" outlineLevel="0" collapsed="false">
      <c r="A15" s="6" t="n">
        <v>32</v>
      </c>
      <c r="B15" s="7" t="str">
        <f aca="false">IF(INDEX(選手一覧!$B$5:$B$2736,$A15)="","",INDEX(選手一覧!$B$5:$B$2736,$A15))</f>
        <v>中沢　侑己</v>
      </c>
      <c r="C15" s="14" t="str">
        <f aca="false">IF(INDEX(選手一覧!$C$5:$C$2736,$A15)="","",INDEX(選手一覧!$C$5:$C$2736,$A15))</f>
        <v>佐久長聖高</v>
      </c>
      <c r="D15" s="9" t="n">
        <f aca="false">IF(INDEX(選手一覧!$D$5:$D$2736,$A15)="","",INDEX(選手一覧!$D$5:$D$2736,$A15))</f>
        <v>0.0100454861111111</v>
      </c>
      <c r="E15" s="10" t="n">
        <f aca="false">IF(INDEX(選手一覧!$E$5:$E$2736,$A15)="","",INDEX(選手一覧!$E$5:$E$2736,$A15))</f>
        <v>33</v>
      </c>
      <c r="F15" s="11" t="str">
        <f aca="false">IF(INDEX(選手一覧!$F$5:$F$2736,$A15)="","",INDEX(選手一覧!$F$5:$F$2736,$A15))</f>
        <v/>
      </c>
      <c r="G15" s="12" t="str">
        <f aca="false">IF(INDEX(選手一覧!$G$5:$G$2736,$A15)="","",INDEX(選手一覧!$G$5:$G$2736,$A15))</f>
        <v/>
      </c>
      <c r="H15" s="11" t="n">
        <f aca="false">IF(INDEX(選手一覧!$H$5:$H$2736,$A15)="","",INDEX(選手一覧!$H$5:$H$2736,$A15))</f>
        <v>0.00273946759259259</v>
      </c>
      <c r="I15" s="12" t="n">
        <f aca="false">IF(INDEX(選手一覧!$I$5:$I$2736,$A15)="","",INDEX(選手一覧!$I$5:$I$2736,$A15))</f>
        <v>84</v>
      </c>
      <c r="J15" s="14" t="str">
        <f aca="false">IF(INDEX(選手一覧!$J$5:$J$2736,$A15)="","",INDEX(選手一覧!$J$5:$J$2736,$A15))</f>
        <v>3区 8位（23:52）</v>
      </c>
      <c r="K15" s="14" t="str">
        <f aca="false">IF(INDEX(選手一覧!$K$5:$K$2736,$A15)="","",INDEX(選手一覧!$K$5:$K$2736,$A15))</f>
        <v/>
      </c>
      <c r="L15" s="14" t="str">
        <f aca="false">IF(INDEX(選手一覧!$L$5:$L$2736,$A15)="","",INDEX(選手一覧!$L$5:$L$2736,$A15))</f>
        <v/>
      </c>
      <c r="M15" s="14" t="str">
        <f aca="false">IF(INDEX(選手一覧!$M$5:$M$2736,$A15)="","",INDEX(選手一覧!$M$5:$M$2736,$A15))</f>
        <v/>
      </c>
    </row>
    <row r="16" customFormat="false" ht="15" hidden="false" customHeight="false" outlineLevel="0" collapsed="false">
      <c r="A16" s="6" t="n">
        <v>34</v>
      </c>
      <c r="B16" s="7" t="str">
        <f aca="false">IF(INDEX(選手一覧!$B$5:$B$2736,$A16)="","",INDEX(選手一覧!$B$5:$B$2736,$A16))</f>
        <v>長　 　煌介</v>
      </c>
      <c r="C16" s="14" t="str">
        <f aca="false">IF(INDEX(選手一覧!$C$5:$C$2736,$A16)="","",INDEX(選手一覧!$C$5:$C$2736,$A16))</f>
        <v>鳥取城北高</v>
      </c>
      <c r="D16" s="9" t="n">
        <f aca="false">IF(INDEX(選手一覧!$D$5:$D$2736,$A16)="","",INDEX(選手一覧!$D$5:$D$2736,$A16))</f>
        <v>0.0100494212962963</v>
      </c>
      <c r="E16" s="10" t="n">
        <f aca="false">IF(INDEX(選手一覧!$E$5:$E$2736,$A16)="","",INDEX(選手一覧!$E$5:$E$2736,$A16))</f>
        <v>35</v>
      </c>
      <c r="F16" s="11" t="str">
        <f aca="false">IF(INDEX(選手一覧!$F$5:$F$2736,$A16)="","",INDEX(選手一覧!$F$5:$F$2736,$A16))</f>
        <v/>
      </c>
      <c r="G16" s="12" t="str">
        <f aca="false">IF(INDEX(選手一覧!$G$5:$G$2736,$A16)="","",INDEX(選手一覧!$G$5:$G$2736,$A16))</f>
        <v/>
      </c>
      <c r="H16" s="11" t="n">
        <f aca="false">IF(INDEX(選手一覧!$H$5:$H$2736,$A16)="","",INDEX(選手一覧!$H$5:$H$2736,$A16))</f>
        <v>0.00274490740740741</v>
      </c>
      <c r="I16" s="12" t="n">
        <f aca="false">IF(INDEX(選手一覧!$I$5:$I$2736,$A16)="","",INDEX(選手一覧!$I$5:$I$2736,$A16))</f>
        <v>90</v>
      </c>
      <c r="J16" s="14" t="str">
        <f aca="false">IF(INDEX(選手一覧!$J$5:$J$2736,$A16)="","",INDEX(選手一覧!$J$5:$J$2736,$A16))</f>
        <v>3区 9位（23:53）</v>
      </c>
      <c r="K16" s="14" t="str">
        <f aca="false">IF(INDEX(選手一覧!$K$5:$K$2736,$A16)="","",INDEX(選手一覧!$K$5:$K$2736,$A16))</f>
        <v/>
      </c>
      <c r="L16" s="14" t="str">
        <f aca="false">IF(INDEX(選手一覧!$L$5:$L$2736,$A16)="","",INDEX(選手一覧!$L$5:$L$2736,$A16))</f>
        <v/>
      </c>
      <c r="M16" s="14" t="str">
        <f aca="false">IF(INDEX(選手一覧!$M$5:$M$2736,$A16)="","",INDEX(選手一覧!$M$5:$M$2736,$A16))</f>
        <v/>
      </c>
    </row>
    <row r="17" customFormat="false" ht="15" hidden="false" customHeight="false" outlineLevel="0" collapsed="false">
      <c r="A17" s="6" t="n">
        <v>37</v>
      </c>
      <c r="B17" s="7" t="str">
        <f aca="false">IF(INDEX(選手一覧!$B$5:$B$2736,$A17)="","",INDEX(選手一覧!$B$5:$B$2736,$A17))</f>
        <v>向岩　玖恩</v>
      </c>
      <c r="C17" s="14" t="str">
        <f aca="false">IF(INDEX(選手一覧!$C$5:$C$2736,$A17)="","",INDEX(選手一覧!$C$5:$C$2736,$A17))</f>
        <v>敦賀気比高</v>
      </c>
      <c r="D17" s="9" t="n">
        <f aca="false">IF(INDEX(選手一覧!$D$5:$D$2736,$A17)="","",INDEX(選手一覧!$D$5:$D$2736,$A17))</f>
        <v>0.0100549768518519</v>
      </c>
      <c r="E17" s="10" t="n">
        <f aca="false">IF(INDEX(選手一覧!$E$5:$E$2736,$A17)="","",INDEX(選手一覧!$E$5:$E$2736,$A17))</f>
        <v>38</v>
      </c>
      <c r="F17" s="11" t="str">
        <f aca="false">IF(INDEX(選手一覧!$F$5:$F$2736,$A17)="","",INDEX(選手一覧!$F$5:$F$2736,$A17))</f>
        <v/>
      </c>
      <c r="G17" s="12" t="str">
        <f aca="false">IF(INDEX(選手一覧!$G$5:$G$2736,$A17)="","",INDEX(選手一覧!$G$5:$G$2736,$A17))</f>
        <v/>
      </c>
      <c r="H17" s="11" t="n">
        <f aca="false">IF(INDEX(選手一覧!$H$5:$H$2736,$A17)="","",INDEX(選手一覧!$H$5:$H$2736,$A17))</f>
        <v>0.00271759259259259</v>
      </c>
      <c r="I17" s="12" t="n">
        <f aca="false">IF(INDEX(選手一覧!$I$5:$I$2736,$A17)="","",INDEX(選手一覧!$I$5:$I$2736,$A17))</f>
        <v>46</v>
      </c>
      <c r="J17" s="14" t="str">
        <f aca="false">IF(INDEX(選手一覧!$J$5:$J$2736,$A17)="","",INDEX(選手一覧!$J$5:$J$2736,$A17))</f>
        <v/>
      </c>
      <c r="K17" s="14" t="str">
        <f aca="false">IF(INDEX(選手一覧!$K$5:$K$2736,$A17)="","",INDEX(選手一覧!$K$5:$K$2736,$A17))</f>
        <v/>
      </c>
      <c r="L17" s="14" t="str">
        <f aca="false">IF(INDEX(選手一覧!$L$5:$L$2736,$A17)="","",INDEX(選手一覧!$L$5:$L$2736,$A17))</f>
        <v/>
      </c>
      <c r="M17" s="14" t="str">
        <f aca="false">IF(INDEX(選手一覧!$M$5:$M$2736,$A17)="","",INDEX(選手一覧!$M$5:$M$2736,$A17))</f>
        <v/>
      </c>
    </row>
    <row r="18" customFormat="false" ht="15" hidden="false" customHeight="false" outlineLevel="0" collapsed="false">
      <c r="A18" s="6" t="n">
        <v>43</v>
      </c>
      <c r="B18" s="7" t="str">
        <f aca="false">IF(INDEX(選手一覧!$B$5:$B$2736,$A18)="","",INDEX(選手一覧!$B$5:$B$2736,$A18))</f>
        <v>平田　千隼</v>
      </c>
      <c r="C18" s="14" t="str">
        <f aca="false">IF(INDEX(選手一覧!$C$5:$C$2736,$A18)="","",INDEX(選手一覧!$C$5:$C$2736,$A18))</f>
        <v>鳥取城北高</v>
      </c>
      <c r="D18" s="9" t="n">
        <f aca="false">IF(INDEX(選手一覧!$D$5:$D$2736,$A18)="","",INDEX(選手一覧!$D$5:$D$2736,$A18))</f>
        <v>0.010080787037037</v>
      </c>
      <c r="E18" s="10" t="n">
        <f aca="false">IF(INDEX(選手一覧!$E$5:$E$2736,$A18)="","",INDEX(選手一覧!$E$5:$E$2736,$A18))</f>
        <v>44</v>
      </c>
      <c r="F18" s="11" t="str">
        <f aca="false">IF(INDEX(選手一覧!$F$5:$F$2736,$A18)="","",INDEX(選手一覧!$F$5:$F$2736,$A18))</f>
        <v/>
      </c>
      <c r="G18" s="12" t="str">
        <f aca="false">IF(INDEX(選手一覧!$G$5:$G$2736,$A18)="","",INDEX(選手一覧!$G$5:$G$2736,$A18))</f>
        <v/>
      </c>
      <c r="H18" s="11" t="n">
        <f aca="false">IF(INDEX(選手一覧!$H$5:$H$2736,$A18)="","",INDEX(選手一覧!$H$5:$H$2736,$A18))</f>
        <v>0.00285601851851852</v>
      </c>
      <c r="I18" s="12" t="n">
        <f aca="false">IF(INDEX(選手一覧!$I$5:$I$2736,$A18)="","",INDEX(選手一覧!$I$5:$I$2736,$A18))</f>
        <v>608</v>
      </c>
      <c r="J18" s="14" t="str">
        <f aca="false">IF(INDEX(選手一覧!$J$5:$J$2736,$A18)="","",INDEX(選手一覧!$J$5:$J$2736,$A18))</f>
        <v>1区 12位（29:25）</v>
      </c>
      <c r="K18" s="14" t="str">
        <f aca="false">IF(INDEX(選手一覧!$K$5:$K$2736,$A18)="","",INDEX(選手一覧!$K$5:$K$2736,$A18))</f>
        <v/>
      </c>
      <c r="L18" s="14" t="str">
        <f aca="false">IF(INDEX(選手一覧!$L$5:$L$2736,$A18)="","",INDEX(選手一覧!$L$5:$L$2736,$A18))</f>
        <v/>
      </c>
      <c r="M18" s="14" t="str">
        <f aca="false">IF(INDEX(選手一覧!$M$5:$M$2736,$A18)="","",INDEX(選手一覧!$M$5:$M$2736,$A18))</f>
        <v/>
      </c>
    </row>
    <row r="19" customFormat="false" ht="15" hidden="false" customHeight="false" outlineLevel="0" collapsed="false">
      <c r="A19" s="6" t="n">
        <v>45</v>
      </c>
      <c r="B19" s="7" t="str">
        <f aca="false">IF(INDEX(選手一覧!$B$5:$B$2736,$A19)="","",INDEX(選手一覧!$B$5:$B$2736,$A19))</f>
        <v>岩田　健志</v>
      </c>
      <c r="C19" s="14" t="str">
        <f aca="false">IF(INDEX(選手一覧!$C$5:$C$2736,$A19)="","",INDEX(選手一覧!$C$5:$C$2736,$A19))</f>
        <v>小林高</v>
      </c>
      <c r="D19" s="9" t="n">
        <f aca="false">IF(INDEX(選手一覧!$D$5:$D$2736,$A19)="","",INDEX(選手一覧!$D$5:$D$2736,$A19))</f>
        <v>0.0100895833333333</v>
      </c>
      <c r="E19" s="10" t="n">
        <f aca="false">IF(INDEX(選手一覧!$E$5:$E$2736,$A19)="","",INDEX(選手一覧!$E$5:$E$2736,$A19))</f>
        <v>46</v>
      </c>
      <c r="F19" s="11" t="str">
        <f aca="false">IF(INDEX(選手一覧!$F$5:$F$2736,$A19)="","",INDEX(選手一覧!$F$5:$F$2736,$A19))</f>
        <v/>
      </c>
      <c r="G19" s="12" t="str">
        <f aca="false">IF(INDEX(選手一覧!$G$5:$G$2736,$A19)="","",INDEX(選手一覧!$G$5:$G$2736,$A19))</f>
        <v/>
      </c>
      <c r="H19" s="11" t="n">
        <f aca="false">IF(INDEX(選手一覧!$H$5:$H$2736,$A19)="","",INDEX(選手一覧!$H$5:$H$2736,$A19))</f>
        <v>0.00271238425925926</v>
      </c>
      <c r="I19" s="12" t="n">
        <f aca="false">IF(INDEX(選手一覧!$I$5:$I$2736,$A19)="","",INDEX(選手一覧!$I$5:$I$2736,$A19))</f>
        <v>38</v>
      </c>
      <c r="J19" s="14" t="str">
        <f aca="false">IF(INDEX(選手一覧!$J$5:$J$2736,$A19)="","",INDEX(選手一覧!$J$5:$J$2736,$A19))</f>
        <v/>
      </c>
      <c r="K19" s="14" t="str">
        <f aca="false">IF(INDEX(選手一覧!$K$5:$K$2736,$A19)="","",INDEX(選手一覧!$K$5:$K$2736,$A19))</f>
        <v>5区 3位（8:26）</v>
      </c>
      <c r="L19" s="14" t="str">
        <f aca="false">IF(INDEX(選手一覧!$L$5:$L$2736,$A19)="","",INDEX(選手一覧!$L$5:$L$2736,$A19))</f>
        <v/>
      </c>
      <c r="M19" s="14" t="str">
        <f aca="false">IF(INDEX(選手一覧!$M$5:$M$2736,$A19)="","",INDEX(選手一覧!$M$5:$M$2736,$A19))</f>
        <v/>
      </c>
    </row>
    <row r="20" customFormat="false" ht="15" hidden="false" customHeight="false" outlineLevel="0" collapsed="false">
      <c r="A20" s="6" t="n">
        <v>49</v>
      </c>
      <c r="B20" s="7" t="str">
        <f aca="false">IF(INDEX(選手一覧!$B$5:$B$2736,$A20)="","",INDEX(選手一覧!$B$5:$B$2736,$A20))</f>
        <v>杉田　来翔</v>
      </c>
      <c r="C20" s="14" t="str">
        <f aca="false">IF(INDEX(選手一覧!$C$5:$C$2736,$A20)="","",INDEX(選手一覧!$C$5:$C$2736,$A20))</f>
        <v>東海大附札幌高</v>
      </c>
      <c r="D20" s="9" t="n">
        <f aca="false">IF(INDEX(選手一覧!$D$5:$D$2736,$A20)="","",INDEX(選手一覧!$D$5:$D$2736,$A20))</f>
        <v>0.0100962962962963</v>
      </c>
      <c r="E20" s="10" t="n">
        <f aca="false">IF(INDEX(選手一覧!$E$5:$E$2736,$A20)="","",INDEX(選手一覧!$E$5:$E$2736,$A20))</f>
        <v>50</v>
      </c>
      <c r="F20" s="11" t="str">
        <f aca="false">IF(INDEX(選手一覧!$F$5:$F$2736,$A20)="","",INDEX(選手一覧!$F$5:$F$2736,$A20))</f>
        <v/>
      </c>
      <c r="G20" s="12" t="str">
        <f aca="false">IF(INDEX(選手一覧!$G$5:$G$2736,$A20)="","",INDEX(選手一覧!$G$5:$G$2736,$A20))</f>
        <v/>
      </c>
      <c r="H20" s="11" t="n">
        <f aca="false">IF(INDEX(選手一覧!$H$5:$H$2736,$A20)="","",INDEX(選手一覧!$H$5:$H$2736,$A20))</f>
        <v>0.0026931712962963</v>
      </c>
      <c r="I20" s="12" t="n">
        <f aca="false">IF(INDEX(選手一覧!$I$5:$I$2736,$A20)="","",INDEX(選手一覧!$I$5:$I$2736,$A20))</f>
        <v>22</v>
      </c>
      <c r="J20" s="14" t="str">
        <f aca="false">IF(INDEX(選手一覧!$J$5:$J$2736,$A20)="","",INDEX(選手一覧!$J$5:$J$2736,$A20))</f>
        <v/>
      </c>
      <c r="K20" s="14" t="str">
        <f aca="false">IF(INDEX(選手一覧!$K$5:$K$2736,$A20)="","",INDEX(選手一覧!$K$5:$K$2736,$A20))</f>
        <v/>
      </c>
      <c r="L20" s="14" t="str">
        <f aca="false">IF(INDEX(選手一覧!$L$5:$L$2736,$A20)="","",INDEX(選手一覧!$L$5:$L$2736,$A20))</f>
        <v/>
      </c>
      <c r="M20" s="14" t="str">
        <f aca="false">IF(INDEX(選手一覧!$M$5:$M$2736,$A20)="","",INDEX(選手一覧!$M$5:$M$2736,$A20))</f>
        <v/>
      </c>
    </row>
    <row r="21" customFormat="false" ht="15" hidden="false" customHeight="false" outlineLevel="0" collapsed="false">
      <c r="A21" s="6" t="n">
        <v>62</v>
      </c>
      <c r="B21" s="7" t="str">
        <f aca="false">IF(INDEX(選手一覧!$B$5:$B$2736,$A21)="","",INDEX(選手一覧!$B$5:$B$2736,$A21))</f>
        <v>松下　悠真</v>
      </c>
      <c r="C21" s="14" t="str">
        <f aca="false">IF(INDEX(選手一覧!$C$5:$C$2736,$A21)="","",INDEX(選手一覧!$C$5:$C$2736,$A21))</f>
        <v>鳥取城北高</v>
      </c>
      <c r="D21" s="9" t="n">
        <f aca="false">IF(INDEX(選手一覧!$D$5:$D$2736,$A21)="","",INDEX(選手一覧!$D$5:$D$2736,$A21))</f>
        <v>0.0101351851851852</v>
      </c>
      <c r="E21" s="10" t="n">
        <f aca="false">IF(INDEX(選手一覧!$E$5:$E$2736,$A21)="","",INDEX(選手一覧!$E$5:$E$2736,$A21))</f>
        <v>63</v>
      </c>
      <c r="F21" s="11" t="str">
        <f aca="false">IF(INDEX(選手一覧!$F$5:$F$2736,$A21)="","",INDEX(選手一覧!$F$5:$F$2736,$A21))</f>
        <v/>
      </c>
      <c r="G21" s="12" t="str">
        <f aca="false">IF(INDEX(選手一覧!$G$5:$G$2736,$A21)="","",INDEX(選手一覧!$G$5:$G$2736,$A21))</f>
        <v/>
      </c>
      <c r="H21" s="11" t="n">
        <f aca="false">IF(INDEX(選手一覧!$H$5:$H$2736,$A21)="","",INDEX(選手一覧!$H$5:$H$2736,$A21))</f>
        <v>0.0028431712962963</v>
      </c>
      <c r="I21" s="12" t="n">
        <f aca="false">IF(INDEX(選手一覧!$I$5:$I$2736,$A21)="","",INDEX(選手一覧!$I$5:$I$2736,$A21))</f>
        <v>517</v>
      </c>
      <c r="J21" s="14" t="str">
        <f aca="false">IF(INDEX(選手一覧!$J$5:$J$2736,$A21)="","",INDEX(選手一覧!$J$5:$J$2736,$A21))</f>
        <v>4区 9位（24:30）</v>
      </c>
      <c r="K21" s="14" t="str">
        <f aca="false">IF(INDEX(選手一覧!$K$5:$K$2736,$A21)="","",INDEX(選手一覧!$K$5:$K$2736,$A21))</f>
        <v/>
      </c>
      <c r="L21" s="14" t="str">
        <f aca="false">IF(INDEX(選手一覧!$L$5:$L$2736,$A21)="","",INDEX(選手一覧!$L$5:$L$2736,$A21))</f>
        <v/>
      </c>
      <c r="M21" s="14" t="str">
        <f aca="false">IF(INDEX(選手一覧!$M$5:$M$2736,$A21)="","",INDEX(選手一覧!$M$5:$M$2736,$A21))</f>
        <v/>
      </c>
    </row>
    <row r="22" customFormat="false" ht="15" hidden="false" customHeight="false" outlineLevel="0" collapsed="false">
      <c r="A22" s="6" t="n">
        <v>66</v>
      </c>
      <c r="B22" s="7" t="str">
        <f aca="false">IF(INDEX(選手一覧!$B$5:$B$2736,$A22)="","",INDEX(選手一覧!$B$5:$B$2736,$A22))</f>
        <v>時本　宝琉</v>
      </c>
      <c r="C22" s="14" t="str">
        <f aca="false">IF(INDEX(選手一覧!$C$5:$C$2736,$A22)="","",INDEX(選手一覧!$C$5:$C$2736,$A22))</f>
        <v>埼玉栄高</v>
      </c>
      <c r="D22" s="9" t="n">
        <f aca="false">IF(INDEX(選手一覧!$D$5:$D$2736,$A22)="","",INDEX(選手一覧!$D$5:$D$2736,$A22))</f>
        <v>0.0101377314814815</v>
      </c>
      <c r="E22" s="10" t="n">
        <f aca="false">IF(INDEX(選手一覧!$E$5:$E$2736,$A22)="","",INDEX(選手一覧!$E$5:$E$2736,$A22))</f>
        <v>67</v>
      </c>
      <c r="F22" s="11" t="n">
        <f aca="false">IF(INDEX(選手一覧!$F$5:$F$2736,$A22)="","",INDEX(選手一覧!$F$5:$F$2736,$A22))</f>
        <v>0.00634039351851852</v>
      </c>
      <c r="G22" s="12" t="n">
        <f aca="false">IF(INDEX(選手一覧!$G$5:$G$2736,$A22)="","",INDEX(選手一覧!$G$5:$G$2736,$A22))</f>
        <v>7</v>
      </c>
      <c r="H22" s="11" t="n">
        <f aca="false">IF(INDEX(選手一覧!$H$5:$H$2736,$A22)="","",INDEX(選手一覧!$H$5:$H$2736,$A22))</f>
        <v>0.0028818287037037</v>
      </c>
      <c r="I22" s="12" t="n">
        <f aca="false">IF(INDEX(選手一覧!$I$5:$I$2736,$A22)="","",INDEX(選手一覧!$I$5:$I$2736,$A22))</f>
        <v>787</v>
      </c>
      <c r="J22" s="14" t="str">
        <f aca="false">IF(INDEX(選手一覧!$J$5:$J$2736,$A22)="","",INDEX(選手一覧!$J$5:$J$2736,$A22))</f>
        <v/>
      </c>
      <c r="K22" s="14" t="str">
        <f aca="false">IF(INDEX(選手一覧!$K$5:$K$2736,$A22)="","",INDEX(選手一覧!$K$5:$K$2736,$A22))</f>
        <v/>
      </c>
      <c r="L22" s="14" t="str">
        <f aca="false">IF(INDEX(選手一覧!$L$5:$L$2736,$A22)="","",INDEX(選手一覧!$L$5:$L$2736,$A22))</f>
        <v/>
      </c>
      <c r="M22" s="14" t="str">
        <f aca="false">IF(INDEX(選手一覧!$M$5:$M$2736,$A22)="","",INDEX(選手一覧!$M$5:$M$2736,$A22))</f>
        <v/>
      </c>
    </row>
    <row r="23" customFormat="false" ht="15" hidden="false" customHeight="false" outlineLevel="0" collapsed="false">
      <c r="A23" s="6" t="n">
        <v>68</v>
      </c>
      <c r="B23" s="7" t="str">
        <f aca="false">IF(INDEX(選手一覧!$B$5:$B$2736,$A23)="","",INDEX(選手一覧!$B$5:$B$2736,$A23))</f>
        <v>東　 　海斗</v>
      </c>
      <c r="C23" s="14" t="str">
        <f aca="false">IF(INDEX(選手一覧!$C$5:$C$2736,$A23)="","",INDEX(選手一覧!$C$5:$C$2736,$A23))</f>
        <v>興国高</v>
      </c>
      <c r="D23" s="9" t="n">
        <f aca="false">IF(INDEX(選手一覧!$D$5:$D$2736,$A23)="","",INDEX(選手一覧!$D$5:$D$2736,$A23))</f>
        <v>0.0101414351851852</v>
      </c>
      <c r="E23" s="10" t="n">
        <f aca="false">IF(INDEX(選手一覧!$E$5:$E$2736,$A23)="","",INDEX(選手一覧!$E$5:$E$2736,$A23))</f>
        <v>69</v>
      </c>
      <c r="F23" s="11" t="str">
        <f aca="false">IF(INDEX(選手一覧!$F$5:$F$2736,$A23)="","",INDEX(選手一覧!$F$5:$F$2736,$A23))</f>
        <v/>
      </c>
      <c r="G23" s="12" t="str">
        <f aca="false">IF(INDEX(選手一覧!$G$5:$G$2736,$A23)="","",INDEX(選手一覧!$G$5:$G$2736,$A23))</f>
        <v/>
      </c>
      <c r="H23" s="11" t="n">
        <f aca="false">IF(INDEX(選手一覧!$H$5:$H$2736,$A23)="","",INDEX(選手一覧!$H$5:$H$2736,$A23))</f>
        <v>0.00285590277777778</v>
      </c>
      <c r="I23" s="12" t="n">
        <f aca="false">IF(INDEX(選手一覧!$I$5:$I$2736,$A23)="","",INDEX(選手一覧!$I$5:$I$2736,$A23))</f>
        <v>607</v>
      </c>
      <c r="J23" s="14" t="str">
        <f aca="false">IF(INDEX(選手一覧!$J$5:$J$2736,$A23)="","",INDEX(選手一覧!$J$5:$J$2736,$A23))</f>
        <v>4区 7位（24:21）</v>
      </c>
      <c r="K23" s="14" t="str">
        <f aca="false">IF(INDEX(選手一覧!$K$5:$K$2736,$A23)="","",INDEX(選手一覧!$K$5:$K$2736,$A23))</f>
        <v/>
      </c>
      <c r="L23" s="14" t="str">
        <f aca="false">IF(INDEX(選手一覧!$L$5:$L$2736,$A23)="","",INDEX(選手一覧!$L$5:$L$2736,$A23))</f>
        <v/>
      </c>
      <c r="M23" s="14" t="str">
        <f aca="false">IF(INDEX(選手一覧!$M$5:$M$2736,$A23)="","",INDEX(選手一覧!$M$5:$M$2736,$A23))</f>
        <v/>
      </c>
    </row>
    <row r="24" customFormat="false" ht="15" hidden="false" customHeight="false" outlineLevel="0" collapsed="false">
      <c r="A24" s="6" t="n">
        <v>79</v>
      </c>
      <c r="B24" s="7" t="str">
        <f aca="false">IF(INDEX(選手一覧!$B$5:$B$2736,$A24)="","",INDEX(選手一覧!$B$5:$B$2736,$A24))</f>
        <v>前　 　春馬</v>
      </c>
      <c r="C24" s="14" t="str">
        <f aca="false">IF(INDEX(選手一覧!$C$5:$C$2736,$A24)="","",INDEX(選手一覧!$C$5:$C$2736,$A24))</f>
        <v>洛南高</v>
      </c>
      <c r="D24" s="9" t="n">
        <f aca="false">IF(INDEX(選手一覧!$D$5:$D$2736,$A24)="","",INDEX(選手一覧!$D$5:$D$2736,$A24))</f>
        <v>0.0101733796296296</v>
      </c>
      <c r="E24" s="10" t="n">
        <f aca="false">IF(INDEX(選手一覧!$E$5:$E$2736,$A24)="","",INDEX(選手一覧!$E$5:$E$2736,$A24))</f>
        <v>80</v>
      </c>
      <c r="F24" s="11" t="str">
        <f aca="false">IF(INDEX(選手一覧!$F$5:$F$2736,$A24)="","",INDEX(選手一覧!$F$5:$F$2736,$A24))</f>
        <v/>
      </c>
      <c r="G24" s="12" t="str">
        <f aca="false">IF(INDEX(選手一覧!$G$5:$G$2736,$A24)="","",INDEX(選手一覧!$G$5:$G$2736,$A24))</f>
        <v/>
      </c>
      <c r="H24" s="11" t="str">
        <f aca="false">IF(INDEX(選手一覧!$H$5:$H$2736,$A24)="","",INDEX(選手一覧!$H$5:$H$2736,$A24))</f>
        <v/>
      </c>
      <c r="I24" s="12" t="str">
        <f aca="false">IF(INDEX(選手一覧!$I$5:$I$2736,$A24)="","",INDEX(選手一覧!$I$5:$I$2736,$A24))</f>
        <v/>
      </c>
      <c r="J24" s="14" t="str">
        <f aca="false">IF(INDEX(選手一覧!$J$5:$J$2736,$A24)="","",INDEX(選手一覧!$J$5:$J$2736,$A24))</f>
        <v>1区 30位（30:03）</v>
      </c>
      <c r="K24" s="14" t="str">
        <f aca="false">IF(INDEX(選手一覧!$K$5:$K$2736,$A24)="","",INDEX(選手一覧!$K$5:$K$2736,$A24))</f>
        <v/>
      </c>
      <c r="L24" s="14" t="str">
        <f aca="false">IF(INDEX(選手一覧!$L$5:$L$2736,$A24)="","",INDEX(選手一覧!$L$5:$L$2736,$A24))</f>
        <v/>
      </c>
      <c r="M24" s="14" t="str">
        <f aca="false">IF(INDEX(選手一覧!$M$5:$M$2736,$A24)="","",INDEX(選手一覧!$M$5:$M$2736,$A24))</f>
        <v/>
      </c>
    </row>
    <row r="25" customFormat="false" ht="15" hidden="false" customHeight="false" outlineLevel="0" collapsed="false">
      <c r="A25" s="6" t="n">
        <v>110</v>
      </c>
      <c r="B25" s="7" t="str">
        <f aca="false">IF(INDEX(選手一覧!$B$5:$B$2736,$A25)="","",INDEX(選手一覧!$B$5:$B$2736,$A25))</f>
        <v>木村　剛士</v>
      </c>
      <c r="C25" s="14" t="str">
        <f aca="false">IF(INDEX(選手一覧!$C$5:$C$2736,$A25)="","",INDEX(選手一覧!$C$5:$C$2736,$A25))</f>
        <v>美濃加茂高</v>
      </c>
      <c r="D25" s="9" t="n">
        <f aca="false">IF(INDEX(選手一覧!$D$5:$D$2736,$A25)="","",INDEX(選手一覧!$D$5:$D$2736,$A25))</f>
        <v>0.0102291666666667</v>
      </c>
      <c r="E25" s="10" t="n">
        <f aca="false">IF(INDEX(選手一覧!$E$5:$E$2736,$A25)="","",INDEX(選手一覧!$E$5:$E$2736,$A25))</f>
        <v>111</v>
      </c>
      <c r="F25" s="11" t="str">
        <f aca="false">IF(INDEX(選手一覧!$F$5:$F$2736,$A25)="","",INDEX(選手一覧!$F$5:$F$2736,$A25))</f>
        <v/>
      </c>
      <c r="G25" s="12" t="str">
        <f aca="false">IF(INDEX(選手一覧!$G$5:$G$2736,$A25)="","",INDEX(選手一覧!$G$5:$G$2736,$A25))</f>
        <v/>
      </c>
      <c r="H25" s="11" t="n">
        <f aca="false">IF(INDEX(選手一覧!$H$5:$H$2736,$A25)="","",INDEX(選手一覧!$H$5:$H$2736,$A25))</f>
        <v>0.00281643518518519</v>
      </c>
      <c r="I25" s="12" t="n">
        <f aca="false">IF(INDEX(選手一覧!$I$5:$I$2736,$A25)="","",INDEX(選手一覧!$I$5:$I$2736,$A25))</f>
        <v>346</v>
      </c>
      <c r="J25" s="14" t="str">
        <f aca="false">IF(INDEX(選手一覧!$J$5:$J$2736,$A25)="","",INDEX(選手一覧!$J$5:$J$2736,$A25))</f>
        <v>1区 26位（29:50）</v>
      </c>
      <c r="K25" s="14" t="str">
        <f aca="false">IF(INDEX(選手一覧!$K$5:$K$2736,$A25)="","",INDEX(選手一覧!$K$5:$K$2736,$A25))</f>
        <v/>
      </c>
      <c r="L25" s="14" t="str">
        <f aca="false">IF(INDEX(選手一覧!$L$5:$L$2736,$A25)="","",INDEX(選手一覧!$L$5:$L$2736,$A25))</f>
        <v/>
      </c>
      <c r="M25" s="14" t="str">
        <f aca="false">IF(INDEX(選手一覧!$M$5:$M$2736,$A25)="","",INDEX(選手一覧!$M$5:$M$2736,$A25))</f>
        <v/>
      </c>
    </row>
    <row r="26" customFormat="false" ht="15" hidden="false" customHeight="false" outlineLevel="0" collapsed="false">
      <c r="A26" s="6" t="n">
        <v>111</v>
      </c>
      <c r="B26" s="7" t="str">
        <f aca="false">IF(INDEX(選手一覧!$B$5:$B$2736,$A26)="","",INDEX(選手一覧!$B$5:$B$2736,$A26))</f>
        <v>漆畑　颯恭</v>
      </c>
      <c r="C26" s="14" t="str">
        <f aca="false">IF(INDEX(選手一覧!$C$5:$C$2736,$A26)="","",INDEX(選手一覧!$C$5:$C$2736,$A26))</f>
        <v>飛龍高</v>
      </c>
      <c r="D26" s="9" t="n">
        <f aca="false">IF(INDEX(選手一覧!$D$5:$D$2736,$A26)="","",INDEX(選手一覧!$D$5:$D$2736,$A26))</f>
        <v>0.0102315972222222</v>
      </c>
      <c r="E26" s="10" t="n">
        <f aca="false">IF(INDEX(選手一覧!$E$5:$E$2736,$A26)="","",INDEX(選手一覧!$E$5:$E$2736,$A26))</f>
        <v>112</v>
      </c>
      <c r="F26" s="11" t="str">
        <f aca="false">IF(INDEX(選手一覧!$F$5:$F$2736,$A26)="","",INDEX(選手一覧!$F$5:$F$2736,$A26))</f>
        <v/>
      </c>
      <c r="G26" s="12" t="str">
        <f aca="false">IF(INDEX(選手一覧!$G$5:$G$2736,$A26)="","",INDEX(選手一覧!$G$5:$G$2736,$A26))</f>
        <v/>
      </c>
      <c r="H26" s="11" t="n">
        <f aca="false">IF(INDEX(選手一覧!$H$5:$H$2736,$A26)="","",INDEX(選手一覧!$H$5:$H$2736,$A26))</f>
        <v>0.00273877314814815</v>
      </c>
      <c r="I26" s="12" t="n">
        <f aca="false">IF(INDEX(選手一覧!$I$5:$I$2736,$A26)="","",INDEX(選手一覧!$I$5:$I$2736,$A26))</f>
        <v>83</v>
      </c>
      <c r="J26" s="14" t="str">
        <f aca="false">IF(INDEX(選手一覧!$J$5:$J$2736,$A26)="","",INDEX(選手一覧!$J$5:$J$2736,$A26))</f>
        <v/>
      </c>
      <c r="K26" s="14" t="str">
        <f aca="false">IF(INDEX(選手一覧!$K$5:$K$2736,$A26)="","",INDEX(選手一覧!$K$5:$K$2736,$A26))</f>
        <v/>
      </c>
      <c r="L26" s="14" t="str">
        <f aca="false">IF(INDEX(選手一覧!$L$5:$L$2736,$A26)="","",INDEX(選手一覧!$L$5:$L$2736,$A26))</f>
        <v/>
      </c>
      <c r="M26" s="14" t="str">
        <f aca="false">IF(INDEX(選手一覧!$M$5:$M$2736,$A26)="","",INDEX(選手一覧!$M$5:$M$2736,$A26))</f>
        <v/>
      </c>
    </row>
    <row r="27" customFormat="false" ht="15" hidden="false" customHeight="false" outlineLevel="0" collapsed="false">
      <c r="A27" s="6" t="n">
        <v>114</v>
      </c>
      <c r="B27" s="7" t="str">
        <f aca="false">IF(INDEX(選手一覧!$B$5:$B$2736,$A27)="","",INDEX(選手一覧!$B$5:$B$2736,$A27))</f>
        <v>坂口　太弥</v>
      </c>
      <c r="C27" s="14" t="str">
        <f aca="false">IF(INDEX(選手一覧!$C$5:$C$2736,$A27)="","",INDEX(選手一覧!$C$5:$C$2736,$A27))</f>
        <v>和歌山北高</v>
      </c>
      <c r="D27" s="9" t="n">
        <f aca="false">IF(INDEX(選手一覧!$D$5:$D$2736,$A27)="","",INDEX(選手一覧!$D$5:$D$2736,$A27))</f>
        <v>0.0102358796296296</v>
      </c>
      <c r="E27" s="10" t="n">
        <f aca="false">IF(INDEX(選手一覧!$E$5:$E$2736,$A27)="","",INDEX(選手一覧!$E$5:$E$2736,$A27))</f>
        <v>115</v>
      </c>
      <c r="F27" s="11" t="str">
        <f aca="false">IF(INDEX(選手一覧!$F$5:$F$2736,$A27)="","",INDEX(選手一覧!$F$5:$F$2736,$A27))</f>
        <v/>
      </c>
      <c r="G27" s="12" t="str">
        <f aca="false">IF(INDEX(選手一覧!$G$5:$G$2736,$A27)="","",INDEX(選手一覧!$G$5:$G$2736,$A27))</f>
        <v/>
      </c>
      <c r="H27" s="11" t="n">
        <f aca="false">IF(INDEX(選手一覧!$H$5:$H$2736,$A27)="","",INDEX(選手一覧!$H$5:$H$2736,$A27))</f>
        <v>0.0029318287037037</v>
      </c>
      <c r="I27" s="12" t="n">
        <f aca="false">IF(INDEX(選手一覧!$I$5:$I$2736,$A27)="","",INDEX(選手一覧!$I$5:$I$2736,$A27))</f>
        <v>1177</v>
      </c>
      <c r="J27" s="14" t="str">
        <f aca="false">IF(INDEX(選手一覧!$J$5:$J$2736,$A27)="","",INDEX(選手一覧!$J$5:$J$2736,$A27))</f>
        <v>1区 20位（29:45）</v>
      </c>
      <c r="K27" s="14" t="str">
        <f aca="false">IF(INDEX(選手一覧!$K$5:$K$2736,$A27)="","",INDEX(選手一覧!$K$5:$K$2736,$A27))</f>
        <v/>
      </c>
      <c r="L27" s="14" t="str">
        <f aca="false">IF(INDEX(選手一覧!$L$5:$L$2736,$A27)="","",INDEX(選手一覧!$L$5:$L$2736,$A27))</f>
        <v/>
      </c>
      <c r="M27" s="14" t="str">
        <f aca="false">IF(INDEX(選手一覧!$M$5:$M$2736,$A27)="","",INDEX(選手一覧!$M$5:$M$2736,$A27))</f>
        <v/>
      </c>
    </row>
    <row r="28" customFormat="false" ht="15" hidden="false" customHeight="false" outlineLevel="0" collapsed="false">
      <c r="A28" s="6" t="n">
        <v>156</v>
      </c>
      <c r="B28" s="7" t="str">
        <f aca="false">IF(INDEX(選手一覧!$B$5:$B$2736,$A28)="","",INDEX(選手一覧!$B$5:$B$2736,$A28))</f>
        <v>岩下　幾海</v>
      </c>
      <c r="C28" s="14" t="str">
        <f aca="false">IF(INDEX(選手一覧!$C$5:$C$2736,$A28)="","",INDEX(選手一覧!$C$5:$C$2736,$A28))</f>
        <v>高知工高</v>
      </c>
      <c r="D28" s="9" t="n">
        <f aca="false">IF(INDEX(選手一覧!$D$5:$D$2736,$A28)="","",INDEX(選手一覧!$D$5:$D$2736,$A28))</f>
        <v>0.0102939814814815</v>
      </c>
      <c r="E28" s="10" t="n">
        <f aca="false">IF(INDEX(選手一覧!$E$5:$E$2736,$A28)="","",INDEX(選手一覧!$E$5:$E$2736,$A28))</f>
        <v>157</v>
      </c>
      <c r="F28" s="11" t="str">
        <f aca="false">IF(INDEX(選手一覧!$F$5:$F$2736,$A28)="","",INDEX(選手一覧!$F$5:$F$2736,$A28))</f>
        <v/>
      </c>
      <c r="G28" s="12" t="str">
        <f aca="false">IF(INDEX(選手一覧!$G$5:$G$2736,$A28)="","",INDEX(選手一覧!$G$5:$G$2736,$A28))</f>
        <v/>
      </c>
      <c r="H28" s="11" t="n">
        <f aca="false">IF(INDEX(選手一覧!$H$5:$H$2736,$A28)="","",INDEX(選手一覧!$H$5:$H$2736,$A28))</f>
        <v>0.00268113425925926</v>
      </c>
      <c r="I28" s="12" t="n">
        <f aca="false">IF(INDEX(選手一覧!$I$5:$I$2736,$A28)="","",INDEX(選手一覧!$I$5:$I$2736,$A28))</f>
        <v>14</v>
      </c>
      <c r="J28" s="14" t="str">
        <f aca="false">IF(INDEX(選手一覧!$J$5:$J$2736,$A28)="","",INDEX(選手一覧!$J$5:$J$2736,$A28))</f>
        <v>1区 34位（30:11）</v>
      </c>
      <c r="K28" s="14" t="str">
        <f aca="false">IF(INDEX(選手一覧!$K$5:$K$2736,$A28)="","",INDEX(選手一覧!$K$5:$K$2736,$A28))</f>
        <v/>
      </c>
      <c r="L28" s="14" t="str">
        <f aca="false">IF(INDEX(選手一覧!$L$5:$L$2736,$A28)="","",INDEX(選手一覧!$L$5:$L$2736,$A28))</f>
        <v/>
      </c>
      <c r="M28" s="14" t="str">
        <f aca="false">IF(INDEX(選手一覧!$M$5:$M$2736,$A28)="","",INDEX(選手一覧!$M$5:$M$2736,$A28))</f>
        <v/>
      </c>
    </row>
    <row r="29" customFormat="false" ht="15" hidden="false" customHeight="false" outlineLevel="0" collapsed="false">
      <c r="A29" s="6" t="n">
        <v>205</v>
      </c>
      <c r="B29" s="7" t="str">
        <f aca="false">IF(INDEX(選手一覧!$B$5:$B$2736,$A29)="","",INDEX(選手一覧!$B$5:$B$2736,$A29))</f>
        <v>渡辺　志</v>
      </c>
      <c r="C29" s="14" t="str">
        <f aca="false">IF(INDEX(選手一覧!$C$5:$C$2736,$A29)="","",INDEX(選手一覧!$C$5:$C$2736,$A29))</f>
        <v>自由ケ丘高</v>
      </c>
      <c r="D29" s="9" t="n">
        <f aca="false">IF(INDEX(選手一覧!$D$5:$D$2736,$A29)="","",INDEX(選手一覧!$D$5:$D$2736,$A29))</f>
        <v>0.0103516203703704</v>
      </c>
      <c r="E29" s="10" t="n">
        <f aca="false">IF(INDEX(選手一覧!$E$5:$E$2736,$A29)="","",INDEX(選手一覧!$E$5:$E$2736,$A29))</f>
        <v>206</v>
      </c>
      <c r="F29" s="11" t="str">
        <f aca="false">IF(INDEX(選手一覧!$F$5:$F$2736,$A29)="","",INDEX(選手一覧!$F$5:$F$2736,$A29))</f>
        <v/>
      </c>
      <c r="G29" s="12" t="str">
        <f aca="false">IF(INDEX(選手一覧!$G$5:$G$2736,$A29)="","",INDEX(選手一覧!$G$5:$G$2736,$A29))</f>
        <v/>
      </c>
      <c r="H29" s="11" t="n">
        <f aca="false">IF(INDEX(選手一覧!$H$5:$H$2736,$A29)="","",INDEX(選手一覧!$H$5:$H$2736,$A29))</f>
        <v>0.00282152777777778</v>
      </c>
      <c r="I29" s="12" t="n">
        <f aca="false">IF(INDEX(選手一覧!$I$5:$I$2736,$A29)="","",INDEX(選手一覧!$I$5:$I$2736,$A29))</f>
        <v>372</v>
      </c>
      <c r="J29" s="14" t="str">
        <f aca="false">IF(INDEX(選手一覧!$J$5:$J$2736,$A29)="","",INDEX(選手一覧!$J$5:$J$2736,$A29))</f>
        <v/>
      </c>
      <c r="K29" s="14" t="str">
        <f aca="false">IF(INDEX(選手一覧!$K$5:$K$2736,$A29)="","",INDEX(選手一覧!$K$5:$K$2736,$A29))</f>
        <v>3区 7位（24:25）</v>
      </c>
      <c r="L29" s="14" t="str">
        <f aca="false">IF(INDEX(選手一覧!$L$5:$L$2736,$A29)="","",INDEX(選手一覧!$L$5:$L$2736,$A29))</f>
        <v/>
      </c>
      <c r="M29" s="14" t="str">
        <f aca="false">IF(INDEX(選手一覧!$M$5:$M$2736,$A29)="","",INDEX(選手一覧!$M$5:$M$2736,$A29))</f>
        <v/>
      </c>
    </row>
  </sheetData>
  <autoFilter ref="A4:M29"/>
  <conditionalFormatting sqref="E5:E29">
    <cfRule type="expression" priority="2" aboveAverage="0" equalAverage="0" bottom="0" percent="0" rank="0" text="" dxfId="9">
      <formula>AND(ISNUMBER(E5),E5&lt;=10)</formula>
    </cfRule>
    <cfRule type="expression" priority="3" aboveAverage="0" equalAverage="0" bottom="0" percent="0" rank="0" text="" dxfId="10">
      <formula>AND(ISNUMBER(E5),E5&lt;=50)</formula>
    </cfRule>
    <cfRule type="expression" priority="4" aboveAverage="0" equalAverage="0" bottom="0" percent="0" rank="0" text="" dxfId="11">
      <formula>AND(ISNUMBER(E5),E5&lt;=100)</formula>
    </cfRule>
  </conditionalFormatting>
  <conditionalFormatting sqref="G5:G29">
    <cfRule type="expression" priority="5" aboveAverage="0" equalAverage="0" bottom="0" percent="0" rank="0" text="" dxfId="9">
      <formula>AND(ISNUMBER(G5),G5&lt;=10)</formula>
    </cfRule>
    <cfRule type="expression" priority="6" aboveAverage="0" equalAverage="0" bottom="0" percent="0" rank="0" text="" dxfId="10">
      <formula>AND(ISNUMBER(G5),G5&lt;=50)</formula>
    </cfRule>
    <cfRule type="expression" priority="7" aboveAverage="0" equalAverage="0" bottom="0" percent="0" rank="0" text="" dxfId="11">
      <formula>AND(ISNUMBER(G5),G5&lt;=100)</formula>
    </cfRule>
  </conditionalFormatting>
  <conditionalFormatting sqref="I5:I29">
    <cfRule type="expression" priority="8" aboveAverage="0" equalAverage="0" bottom="0" percent="0" rank="0" text="" dxfId="9">
      <formula>AND(ISNUMBER(I5),I5&lt;=10)</formula>
    </cfRule>
    <cfRule type="expression" priority="9" aboveAverage="0" equalAverage="0" bottom="0" percent="0" rank="0" text="" dxfId="10">
      <formula>AND(ISNUMBER(I5),I5&lt;=50)</formula>
    </cfRule>
    <cfRule type="expression" priority="10" aboveAverage="0" equalAverage="0" bottom="0" percent="0" rank="0" text="" dxfId="11">
      <formula>AND(ISNUMBER(I5),I5&lt;=100)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2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8"/>
    <col collapsed="false" customWidth="true" hidden="false" outlineLevel="0" max="8" min="8" style="0" width="20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6"/>
    <col collapsed="false" customWidth="true" hidden="false" outlineLevel="0" max="12" min="12" style="0" width="11"/>
    <col collapsed="false" customWidth="true" hidden="false" outlineLevel="0" max="13" min="13" style="0" width="8"/>
    <col collapsed="false" customWidth="true" hidden="false" outlineLevel="0" max="14" min="14" style="0" width="10"/>
    <col collapsed="false" customWidth="true" hidden="false" outlineLevel="0" max="15" min="15" style="0" width="8"/>
    <col collapsed="false" customWidth="true" hidden="false" outlineLevel="0" max="16" min="16" style="0" width="10"/>
    <col collapsed="false" customWidth="true" hidden="false" outlineLevel="0" max="17" min="17" style="0" width="8"/>
  </cols>
  <sheetData>
    <row r="1" customFormat="false" ht="19.4" hidden="false" customHeight="false" outlineLevel="0" collapsed="false">
      <c r="A1" s="24" t="s">
        <v>4160</v>
      </c>
    </row>
    <row r="2" customFormat="false" ht="15" hidden="false" customHeight="false" outlineLevel="0" collapsed="false">
      <c r="A2" s="2" t="s">
        <v>4161</v>
      </c>
    </row>
    <row r="4" customFormat="false" ht="33.75" hidden="false" customHeight="true" outlineLevel="0" collapsed="false">
      <c r="A4" s="4" t="s">
        <v>4162</v>
      </c>
      <c r="B4" s="4" t="s">
        <v>4163</v>
      </c>
      <c r="C4" s="4" t="s">
        <v>4164</v>
      </c>
      <c r="D4" s="3" t="s">
        <v>4165</v>
      </c>
      <c r="E4" s="4" t="s">
        <v>4166</v>
      </c>
      <c r="F4" s="3" t="s">
        <v>4167</v>
      </c>
      <c r="G4" s="4" t="s">
        <v>3</v>
      </c>
      <c r="H4" s="4" t="s">
        <v>4168</v>
      </c>
      <c r="I4" s="4" t="s">
        <v>4169</v>
      </c>
      <c r="J4" s="4" t="s">
        <v>4170</v>
      </c>
      <c r="K4" s="3" t="s">
        <v>2</v>
      </c>
      <c r="L4" s="5" t="s">
        <v>5</v>
      </c>
      <c r="M4" s="5" t="s">
        <v>6</v>
      </c>
      <c r="N4" s="3" t="s">
        <v>7</v>
      </c>
      <c r="O4" s="3" t="s">
        <v>8</v>
      </c>
      <c r="P4" s="3" t="s">
        <v>9</v>
      </c>
      <c r="Q4" s="3" t="s">
        <v>10</v>
      </c>
    </row>
    <row r="5" customFormat="false" ht="15" hidden="false" customHeight="false" outlineLevel="0" collapsed="false">
      <c r="A5" s="25" t="n">
        <v>1</v>
      </c>
      <c r="B5" s="26" t="n">
        <v>10</v>
      </c>
      <c r="C5" s="10" t="n">
        <v>2</v>
      </c>
      <c r="D5" s="27" t="n">
        <f aca="false">COUNTIFS($A$5:$A$229,A5,$E$5:$E$229,"&lt;"&amp;E5)+1</f>
        <v>1</v>
      </c>
      <c r="E5" s="28" t="n">
        <v>0.0200694444444445</v>
      </c>
      <c r="F5" s="28" t="n">
        <f aca="false">E5/B5</f>
        <v>0.00200694444444445</v>
      </c>
      <c r="G5" s="29" t="s">
        <v>4171</v>
      </c>
      <c r="H5" s="29" t="s">
        <v>4172</v>
      </c>
      <c r="I5" s="30" t="s">
        <v>4173</v>
      </c>
      <c r="J5" s="27" t="n">
        <v>2</v>
      </c>
      <c r="K5" s="27" t="n">
        <v>2</v>
      </c>
      <c r="L5" s="9" t="n">
        <f aca="false">IF(INDEX(選手一覧!$D$5:$D$2736,$K5)="","",INDEX(選手一覧!$D$5:$D$2736,$K5))</f>
        <v>0.00964340277777778</v>
      </c>
      <c r="M5" s="10" t="n">
        <f aca="false">IF(INDEX(選手一覧!$E$5:$E$2736,$K5)="","",INDEX(選手一覧!$E$5:$E$2736,$K5))</f>
        <v>2</v>
      </c>
      <c r="N5" s="11" t="n">
        <f aca="false">IF(INDEX(選手一覧!$F$5:$F$2736,$K5)="","",INDEX(選手一覧!$F$5:$F$2736,$K5))</f>
        <v>0.00642048611111111</v>
      </c>
      <c r="O5" s="12" t="n">
        <f aca="false">IF(INDEX(選手一覧!$G$5:$G$2736,$K5)="","",INDEX(選手一覧!$G$5:$G$2736,$K5))</f>
        <v>19</v>
      </c>
      <c r="P5" s="11" t="n">
        <f aca="false">IF(INDEX(選手一覧!$H$5:$H$2736,$K5)="","",INDEX(選手一覧!$H$5:$H$2736,$K5))</f>
        <v>0.00260451388888889</v>
      </c>
      <c r="Q5" s="12" t="n">
        <f aca="false">IF(INDEX(選手一覧!$I$5:$I$2736,$K5)="","",INDEX(選手一覧!$I$5:$I$2736,$K5))</f>
        <v>1</v>
      </c>
    </row>
    <row r="6" customFormat="false" ht="15" hidden="false" customHeight="false" outlineLevel="0" collapsed="false">
      <c r="A6" s="31" t="n">
        <v>1</v>
      </c>
      <c r="B6" s="32" t="n">
        <v>10</v>
      </c>
      <c r="C6" s="19" t="n">
        <v>3</v>
      </c>
      <c r="D6" s="21" t="n">
        <f aca="false">COUNTIFS($A$5:$A$229,A6,$E$5:$E$229,"&lt;"&amp;E6)+1</f>
        <v>2</v>
      </c>
      <c r="E6" s="33" t="n">
        <v>0.0201157407407407</v>
      </c>
      <c r="F6" s="33" t="n">
        <f aca="false">E6/B6</f>
        <v>0.00201157407407407</v>
      </c>
      <c r="G6" s="17" t="s">
        <v>4174</v>
      </c>
      <c r="H6" s="17" t="s">
        <v>4175</v>
      </c>
      <c r="I6" s="34" t="s">
        <v>4176</v>
      </c>
      <c r="J6" s="21" t="n">
        <v>3</v>
      </c>
      <c r="K6" s="21" t="n">
        <v>6</v>
      </c>
      <c r="L6" s="18" t="n">
        <f aca="false">IF(INDEX(選手一覧!$D$5:$D$2736,$K6)="","",INDEX(選手一覧!$D$5:$D$2736,$K6))</f>
        <v>0.00975914351851852</v>
      </c>
      <c r="M6" s="19" t="n">
        <f aca="false">IF(INDEX(選手一覧!$E$5:$E$2736,$K6)="","",INDEX(選手一覧!$E$5:$E$2736,$K6))</f>
        <v>6</v>
      </c>
      <c r="N6" s="20" t="n">
        <f aca="false">IF(INDEX(選手一覧!$F$5:$F$2736,$K6)="","",INDEX(選手一覧!$F$5:$F$2736,$K6))</f>
        <v>0.00626909722222222</v>
      </c>
      <c r="O6" s="21" t="n">
        <f aca="false">IF(INDEX(選手一覧!$G$5:$G$2736,$K6)="","",INDEX(選手一覧!$G$5:$G$2736,$K6))</f>
        <v>2</v>
      </c>
      <c r="P6" s="20" t="n">
        <f aca="false">IF(INDEX(選手一覧!$H$5:$H$2736,$K6)="","",INDEX(選手一覧!$H$5:$H$2736,$K6))</f>
        <v>0.00278136574074074</v>
      </c>
      <c r="Q6" s="21" t="n">
        <f aca="false">IF(INDEX(選手一覧!$I$5:$I$2736,$K6)="","",INDEX(選手一覧!$I$5:$I$2736,$K6))</f>
        <v>209</v>
      </c>
    </row>
    <row r="7" customFormat="false" ht="15" hidden="false" customHeight="false" outlineLevel="0" collapsed="false">
      <c r="A7" s="31" t="n">
        <v>1</v>
      </c>
      <c r="B7" s="32" t="n">
        <v>10</v>
      </c>
      <c r="C7" s="19" t="n">
        <v>7</v>
      </c>
      <c r="D7" s="21" t="n">
        <f aca="false">COUNTIFS($A$5:$A$229,A7,$E$5:$E$229,"&lt;"&amp;E7)+1</f>
        <v>3</v>
      </c>
      <c r="E7" s="33" t="n">
        <v>0.0202083333333333</v>
      </c>
      <c r="F7" s="33" t="n">
        <f aca="false">E7/B7</f>
        <v>0.00202083333333333</v>
      </c>
      <c r="G7" s="17" t="s">
        <v>4177</v>
      </c>
      <c r="H7" s="17" t="s">
        <v>4178</v>
      </c>
      <c r="I7" s="34" t="s">
        <v>4176</v>
      </c>
      <c r="J7" s="21" t="n">
        <v>1</v>
      </c>
      <c r="K7" s="21" t="n">
        <v>11</v>
      </c>
      <c r="L7" s="18" t="n">
        <f aca="false">IF(INDEX(選手一覧!$D$5:$D$2736,$K7)="","",INDEX(選手一覧!$D$5:$D$2736,$K7))</f>
        <v>0.00987071759259259</v>
      </c>
      <c r="M7" s="19" t="n">
        <f aca="false">IF(INDEX(選手一覧!$E$5:$E$2736,$K7)="","",INDEX(選手一覧!$E$5:$E$2736,$K7))</f>
        <v>11</v>
      </c>
      <c r="N7" s="20" t="str">
        <f aca="false">IF(INDEX(選手一覧!$F$5:$F$2736,$K7)="","",INDEX(選手一覧!$F$5:$F$2736,$K7))</f>
        <v/>
      </c>
      <c r="O7" s="21" t="str">
        <f aca="false">IF(INDEX(選手一覧!$G$5:$G$2736,$K7)="","",INDEX(選手一覧!$G$5:$G$2736,$K7))</f>
        <v/>
      </c>
      <c r="P7" s="20" t="n">
        <f aca="false">IF(INDEX(選手一覧!$H$5:$H$2736,$K7)="","",INDEX(選手一覧!$H$5:$H$2736,$K7))</f>
        <v>0.00275902777777778</v>
      </c>
      <c r="Q7" s="21" t="n">
        <f aca="false">IF(INDEX(選手一覧!$I$5:$I$2736,$K7)="","",INDEX(選手一覧!$I$5:$I$2736,$K7))</f>
        <v>132</v>
      </c>
    </row>
    <row r="8" customFormat="false" ht="15" hidden="false" customHeight="false" outlineLevel="0" collapsed="false">
      <c r="A8" s="31" t="n">
        <v>1</v>
      </c>
      <c r="B8" s="32" t="n">
        <v>10</v>
      </c>
      <c r="C8" s="19" t="n">
        <v>12</v>
      </c>
      <c r="D8" s="21" t="n">
        <f aca="false">COUNTIFS($A$5:$A$229,A8,$E$5:$E$229,"&lt;"&amp;E8)+1</f>
        <v>4</v>
      </c>
      <c r="E8" s="33" t="n">
        <v>0.0204282407407407</v>
      </c>
      <c r="F8" s="33" t="n">
        <f aca="false">E8/B8</f>
        <v>0.00204282407407407</v>
      </c>
      <c r="G8" s="17" t="s">
        <v>4179</v>
      </c>
      <c r="H8" s="17" t="s">
        <v>4180</v>
      </c>
      <c r="I8" s="34" t="s">
        <v>4181</v>
      </c>
      <c r="J8" s="21" t="n">
        <v>11</v>
      </c>
      <c r="K8" s="21" t="n">
        <v>43</v>
      </c>
      <c r="L8" s="18" t="n">
        <f aca="false">IF(INDEX(選手一覧!$D$5:$D$2736,$K8)="","",INDEX(選手一覧!$D$5:$D$2736,$K8))</f>
        <v>0.010080787037037</v>
      </c>
      <c r="M8" s="19" t="n">
        <f aca="false">IF(INDEX(選手一覧!$E$5:$E$2736,$K8)="","",INDEX(選手一覧!$E$5:$E$2736,$K8))</f>
        <v>44</v>
      </c>
      <c r="N8" s="20" t="str">
        <f aca="false">IF(INDEX(選手一覧!$F$5:$F$2736,$K8)="","",INDEX(選手一覧!$F$5:$F$2736,$K8))</f>
        <v/>
      </c>
      <c r="O8" s="21" t="str">
        <f aca="false">IF(INDEX(選手一覧!$G$5:$G$2736,$K8)="","",INDEX(選手一覧!$G$5:$G$2736,$K8))</f>
        <v/>
      </c>
      <c r="P8" s="20" t="n">
        <f aca="false">IF(INDEX(選手一覧!$H$5:$H$2736,$K8)="","",INDEX(選手一覧!$H$5:$H$2736,$K8))</f>
        <v>0.00285601851851852</v>
      </c>
      <c r="Q8" s="21" t="n">
        <f aca="false">IF(INDEX(選手一覧!$I$5:$I$2736,$K8)="","",INDEX(選手一覧!$I$5:$I$2736,$K8))</f>
        <v>608</v>
      </c>
    </row>
    <row r="9" customFormat="false" ht="15" hidden="false" customHeight="false" outlineLevel="0" collapsed="false">
      <c r="A9" s="25" t="n">
        <v>1</v>
      </c>
      <c r="B9" s="26" t="n">
        <v>10</v>
      </c>
      <c r="C9" s="10" t="n">
        <v>13</v>
      </c>
      <c r="D9" s="27" t="n">
        <f aca="false">COUNTIFS($A$5:$A$229,A9,$E$5:$E$229,"&lt;"&amp;E9)+1</f>
        <v>5</v>
      </c>
      <c r="E9" s="28" t="n">
        <v>0.0204398148148148</v>
      </c>
      <c r="F9" s="28" t="n">
        <f aca="false">E9/B9</f>
        <v>0.00204398148148148</v>
      </c>
      <c r="G9" s="29" t="s">
        <v>4182</v>
      </c>
      <c r="H9" s="29" t="s">
        <v>4183</v>
      </c>
      <c r="I9" s="30" t="s">
        <v>4184</v>
      </c>
      <c r="J9" s="27" t="n">
        <v>6</v>
      </c>
      <c r="K9" s="27" t="n">
        <v>53</v>
      </c>
      <c r="L9" s="9" t="n">
        <f aca="false">IF(INDEX(選手一覧!$D$5:$D$2736,$K9)="","",INDEX(選手一覧!$D$5:$D$2736,$K9))</f>
        <v>0.0101061342592593</v>
      </c>
      <c r="M9" s="10" t="n">
        <f aca="false">IF(INDEX(選手一覧!$E$5:$E$2736,$K9)="","",INDEX(選手一覧!$E$5:$E$2736,$K9))</f>
        <v>54</v>
      </c>
      <c r="N9" s="11" t="str">
        <f aca="false">IF(INDEX(選手一覧!$F$5:$F$2736,$K9)="","",INDEX(選手一覧!$F$5:$F$2736,$K9))</f>
        <v/>
      </c>
      <c r="O9" s="12" t="str">
        <f aca="false">IF(INDEX(選手一覧!$G$5:$G$2736,$K9)="","",INDEX(選手一覧!$G$5:$G$2736,$K9))</f>
        <v/>
      </c>
      <c r="P9" s="11" t="n">
        <f aca="false">IF(INDEX(選手一覧!$H$5:$H$2736,$K9)="","",INDEX(選手一覧!$H$5:$H$2736,$K9))</f>
        <v>0.00276990740740741</v>
      </c>
      <c r="Q9" s="12" t="n">
        <f aca="false">IF(INDEX(選手一覧!$I$5:$I$2736,$K9)="","",INDEX(選手一覧!$I$5:$I$2736,$K9))</f>
        <v>161</v>
      </c>
    </row>
    <row r="10" customFormat="false" ht="15" hidden="false" customHeight="false" outlineLevel="0" collapsed="false">
      <c r="A10" s="25" t="n">
        <v>1</v>
      </c>
      <c r="B10" s="26" t="n">
        <v>10</v>
      </c>
      <c r="C10" s="10" t="n">
        <v>18</v>
      </c>
      <c r="D10" s="27" t="n">
        <f aca="false">COUNTIFS($A$5:$A$229,A10,$E$5:$E$229,"&lt;"&amp;E10)+1</f>
        <v>6</v>
      </c>
      <c r="E10" s="28" t="n">
        <v>0.0205787037037037</v>
      </c>
      <c r="F10" s="28" t="n">
        <f aca="false">E10/B10</f>
        <v>0.00205787037037037</v>
      </c>
      <c r="G10" s="29" t="s">
        <v>4185</v>
      </c>
      <c r="H10" s="29" t="s">
        <v>4186</v>
      </c>
      <c r="I10" s="30" t="s">
        <v>4187</v>
      </c>
      <c r="J10" s="27" t="n">
        <v>37</v>
      </c>
      <c r="K10" s="27" t="n">
        <v>168</v>
      </c>
      <c r="L10" s="9" t="n">
        <f aca="false">IF(INDEX(選手一覧!$D$5:$D$2736,$K10)="","",INDEX(選手一覧!$D$5:$D$2736,$K10))</f>
        <v>0.0103164351851852</v>
      </c>
      <c r="M10" s="10" t="n">
        <f aca="false">IF(INDEX(選手一覧!$E$5:$E$2736,$K10)="","",INDEX(選手一覧!$E$5:$E$2736,$K10))</f>
        <v>169</v>
      </c>
      <c r="N10" s="11" t="str">
        <f aca="false">IF(INDEX(選手一覧!$F$5:$F$2736,$K10)="","",INDEX(選手一覧!$F$5:$F$2736,$K10))</f>
        <v/>
      </c>
      <c r="O10" s="12" t="str">
        <f aca="false">IF(INDEX(選手一覧!$G$5:$G$2736,$K10)="","",INDEX(選手一覧!$G$5:$G$2736,$K10))</f>
        <v/>
      </c>
      <c r="P10" s="11" t="n">
        <f aca="false">IF(INDEX(選手一覧!$H$5:$H$2736,$K10)="","",INDEX(選手一覧!$H$5:$H$2736,$K10))</f>
        <v>0.00283576388888889</v>
      </c>
      <c r="Q10" s="12" t="n">
        <f aca="false">IF(INDEX(選手一覧!$I$5:$I$2736,$K10)="","",INDEX(選手一覧!$I$5:$I$2736,$K10))</f>
        <v>468</v>
      </c>
    </row>
    <row r="11" customFormat="false" ht="15" hidden="false" customHeight="false" outlineLevel="0" collapsed="false">
      <c r="A11" s="31" t="n">
        <v>1</v>
      </c>
      <c r="B11" s="32" t="n">
        <v>10</v>
      </c>
      <c r="C11" s="19" t="n">
        <v>20</v>
      </c>
      <c r="D11" s="21" t="n">
        <f aca="false">COUNTIFS($A$5:$A$229,A11,$E$5:$E$229,"&lt;"&amp;E11)+1</f>
        <v>7</v>
      </c>
      <c r="E11" s="33" t="n">
        <v>0.0206597222222222</v>
      </c>
      <c r="F11" s="33" t="n">
        <f aca="false">E11/B11</f>
        <v>0.00206597222222222</v>
      </c>
      <c r="G11" s="17" t="s">
        <v>4188</v>
      </c>
      <c r="H11" s="17" t="s">
        <v>4189</v>
      </c>
      <c r="I11" s="34" t="s">
        <v>4190</v>
      </c>
      <c r="J11" s="21" t="n">
        <v>10</v>
      </c>
      <c r="K11" s="21" t="n">
        <v>114</v>
      </c>
      <c r="L11" s="18" t="n">
        <f aca="false">IF(INDEX(選手一覧!$D$5:$D$2736,$K11)="","",INDEX(選手一覧!$D$5:$D$2736,$K11))</f>
        <v>0.0102358796296296</v>
      </c>
      <c r="M11" s="19" t="n">
        <f aca="false">IF(INDEX(選手一覧!$E$5:$E$2736,$K11)="","",INDEX(選手一覧!$E$5:$E$2736,$K11))</f>
        <v>115</v>
      </c>
      <c r="N11" s="20" t="str">
        <f aca="false">IF(INDEX(選手一覧!$F$5:$F$2736,$K11)="","",INDEX(選手一覧!$F$5:$F$2736,$K11))</f>
        <v/>
      </c>
      <c r="O11" s="21" t="str">
        <f aca="false">IF(INDEX(選手一覧!$G$5:$G$2736,$K11)="","",INDEX(選手一覧!$G$5:$G$2736,$K11))</f>
        <v/>
      </c>
      <c r="P11" s="20" t="n">
        <f aca="false">IF(INDEX(選手一覧!$H$5:$H$2736,$K11)="","",INDEX(選手一覧!$H$5:$H$2736,$K11))</f>
        <v>0.0029318287037037</v>
      </c>
      <c r="Q11" s="21" t="n">
        <f aca="false">IF(INDEX(選手一覧!$I$5:$I$2736,$K11)="","",INDEX(選手一覧!$I$5:$I$2736,$K11))</f>
        <v>1177</v>
      </c>
    </row>
    <row r="12" customFormat="false" ht="15" hidden="false" customHeight="false" outlineLevel="0" collapsed="false">
      <c r="A12" s="25" t="n">
        <v>1</v>
      </c>
      <c r="B12" s="26" t="n">
        <v>10</v>
      </c>
      <c r="C12" s="10" t="n">
        <v>22</v>
      </c>
      <c r="D12" s="27" t="n">
        <f aca="false">COUNTIFS($A$5:$A$229,A12,$E$5:$E$229,"&lt;"&amp;E12)+1</f>
        <v>8</v>
      </c>
      <c r="E12" s="28" t="n">
        <v>0.0206828703703704</v>
      </c>
      <c r="F12" s="28" t="n">
        <f aca="false">E12/B12</f>
        <v>0.00206828703703704</v>
      </c>
      <c r="G12" s="29" t="s">
        <v>4191</v>
      </c>
      <c r="H12" s="29" t="s">
        <v>4192</v>
      </c>
      <c r="I12" s="30" t="s">
        <v>4193</v>
      </c>
      <c r="J12" s="27" t="n">
        <v>8</v>
      </c>
      <c r="K12" s="27" t="n">
        <v>13</v>
      </c>
      <c r="L12" s="9" t="n">
        <f aca="false">IF(INDEX(選手一覧!$D$5:$D$2736,$K12)="","",INDEX(選手一覧!$D$5:$D$2736,$K12))</f>
        <v>0.00990069444444445</v>
      </c>
      <c r="M12" s="10" t="n">
        <f aca="false">IF(INDEX(選手一覧!$E$5:$E$2736,$K12)="","",INDEX(選手一覧!$E$5:$E$2736,$K12))</f>
        <v>14</v>
      </c>
      <c r="N12" s="11" t="str">
        <f aca="false">IF(INDEX(選手一覧!$F$5:$F$2736,$K12)="","",INDEX(選手一覧!$F$5:$F$2736,$K12))</f>
        <v/>
      </c>
      <c r="O12" s="12" t="str">
        <f aca="false">IF(INDEX(選手一覧!$G$5:$G$2736,$K12)="","",INDEX(選手一覧!$G$5:$G$2736,$K12))</f>
        <v/>
      </c>
      <c r="P12" s="11" t="n">
        <f aca="false">IF(INDEX(選手一覧!$H$5:$H$2736,$K12)="","",INDEX(選手一覧!$H$5:$H$2736,$K12))</f>
        <v>0.00268946759259259</v>
      </c>
      <c r="Q12" s="12" t="n">
        <f aca="false">IF(INDEX(選手一覧!$I$5:$I$2736,$K12)="","",INDEX(選手一覧!$I$5:$I$2736,$K12))</f>
        <v>18</v>
      </c>
    </row>
    <row r="13" customFormat="false" ht="15" hidden="false" customHeight="false" outlineLevel="0" collapsed="false">
      <c r="A13" s="31" t="n">
        <v>1</v>
      </c>
      <c r="B13" s="32" t="n">
        <v>10</v>
      </c>
      <c r="C13" s="19" t="n">
        <v>26</v>
      </c>
      <c r="D13" s="21" t="n">
        <f aca="false">COUNTIFS($A$5:$A$229,A13,$E$5:$E$229,"&lt;"&amp;E13)+1</f>
        <v>9</v>
      </c>
      <c r="E13" s="33" t="n">
        <v>0.0207175925925926</v>
      </c>
      <c r="F13" s="33" t="n">
        <f aca="false">E13/B13</f>
        <v>0.00207175925925926</v>
      </c>
      <c r="G13" s="17" t="s">
        <v>4194</v>
      </c>
      <c r="H13" s="17" t="s">
        <v>4195</v>
      </c>
      <c r="I13" s="34" t="s">
        <v>4196</v>
      </c>
      <c r="J13" s="21" t="n">
        <v>38</v>
      </c>
      <c r="K13" s="21" t="n">
        <v>110</v>
      </c>
      <c r="L13" s="18" t="n">
        <f aca="false">IF(INDEX(選手一覧!$D$5:$D$2736,$K13)="","",INDEX(選手一覧!$D$5:$D$2736,$K13))</f>
        <v>0.0102291666666667</v>
      </c>
      <c r="M13" s="19" t="n">
        <f aca="false">IF(INDEX(選手一覧!$E$5:$E$2736,$K13)="","",INDEX(選手一覧!$E$5:$E$2736,$K13))</f>
        <v>111</v>
      </c>
      <c r="N13" s="20" t="str">
        <f aca="false">IF(INDEX(選手一覧!$F$5:$F$2736,$K13)="","",INDEX(選手一覧!$F$5:$F$2736,$K13))</f>
        <v/>
      </c>
      <c r="O13" s="21" t="str">
        <f aca="false">IF(INDEX(選手一覧!$G$5:$G$2736,$K13)="","",INDEX(選手一覧!$G$5:$G$2736,$K13))</f>
        <v/>
      </c>
      <c r="P13" s="20" t="n">
        <f aca="false">IF(INDEX(選手一覧!$H$5:$H$2736,$K13)="","",INDEX(選手一覧!$H$5:$H$2736,$K13))</f>
        <v>0.00281643518518519</v>
      </c>
      <c r="Q13" s="21" t="n">
        <f aca="false">IF(INDEX(選手一覧!$I$5:$I$2736,$K13)="","",INDEX(選手一覧!$I$5:$I$2736,$K13))</f>
        <v>346</v>
      </c>
    </row>
    <row r="14" customFormat="false" ht="15" hidden="false" customHeight="false" outlineLevel="0" collapsed="false">
      <c r="A14" s="31" t="n">
        <v>1</v>
      </c>
      <c r="B14" s="32" t="n">
        <v>10</v>
      </c>
      <c r="C14" s="19" t="n">
        <v>30</v>
      </c>
      <c r="D14" s="21" t="n">
        <f aca="false">COUNTIFS($A$5:$A$229,A14,$E$5:$E$229,"&lt;"&amp;E14)+1</f>
        <v>10</v>
      </c>
      <c r="E14" s="33" t="n">
        <v>0.0208680555555556</v>
      </c>
      <c r="F14" s="33" t="n">
        <f aca="false">E14/B14</f>
        <v>0.00208680555555556</v>
      </c>
      <c r="G14" s="17" t="s">
        <v>4197</v>
      </c>
      <c r="H14" s="17" t="s">
        <v>4198</v>
      </c>
      <c r="I14" s="34" t="s">
        <v>4173</v>
      </c>
      <c r="J14" s="21" t="n">
        <v>23</v>
      </c>
      <c r="K14" s="21" t="n">
        <v>79</v>
      </c>
      <c r="L14" s="18" t="n">
        <f aca="false">IF(INDEX(選手一覧!$D$5:$D$2736,$K14)="","",INDEX(選手一覧!$D$5:$D$2736,$K14))</f>
        <v>0.0101733796296296</v>
      </c>
      <c r="M14" s="19" t="n">
        <f aca="false">IF(INDEX(選手一覧!$E$5:$E$2736,$K14)="","",INDEX(選手一覧!$E$5:$E$2736,$K14))</f>
        <v>80</v>
      </c>
      <c r="N14" s="20" t="str">
        <f aca="false">IF(INDEX(選手一覧!$F$5:$F$2736,$K14)="","",INDEX(選手一覧!$F$5:$F$2736,$K14))</f>
        <v/>
      </c>
      <c r="O14" s="21" t="str">
        <f aca="false">IF(INDEX(選手一覧!$G$5:$G$2736,$K14)="","",INDEX(選手一覧!$G$5:$G$2736,$K14))</f>
        <v/>
      </c>
      <c r="P14" s="20" t="str">
        <f aca="false">IF(INDEX(選手一覧!$H$5:$H$2736,$K14)="","",INDEX(選手一覧!$H$5:$H$2736,$K14))</f>
        <v/>
      </c>
      <c r="Q14" s="21" t="str">
        <f aca="false">IF(INDEX(選手一覧!$I$5:$I$2736,$K14)="","",INDEX(選手一覧!$I$5:$I$2736,$K14))</f>
        <v/>
      </c>
    </row>
    <row r="15" customFormat="false" ht="15" hidden="false" customHeight="false" outlineLevel="0" collapsed="false">
      <c r="A15" s="25" t="n">
        <v>1</v>
      </c>
      <c r="B15" s="26" t="n">
        <v>10</v>
      </c>
      <c r="C15" s="10" t="n">
        <v>32</v>
      </c>
      <c r="D15" s="27" t="n">
        <f aca="false">COUNTIFS($A$5:$A$229,A15,$E$5:$E$229,"&lt;"&amp;E15)+1</f>
        <v>11</v>
      </c>
      <c r="E15" s="28" t="n">
        <v>0.0209027777777778</v>
      </c>
      <c r="F15" s="28" t="n">
        <f aca="false">E15/B15</f>
        <v>0.00209027777777778</v>
      </c>
      <c r="G15" s="29" t="s">
        <v>4199</v>
      </c>
      <c r="H15" s="29" t="s">
        <v>4200</v>
      </c>
      <c r="I15" s="30" t="s">
        <v>4200</v>
      </c>
      <c r="J15" s="27" t="n">
        <v>29</v>
      </c>
      <c r="K15" s="27" t="n">
        <v>222</v>
      </c>
      <c r="L15" s="9" t="n">
        <f aca="false">IF(INDEX(選手一覧!$D$5:$D$2736,$K15)="","",INDEX(選手一覧!$D$5:$D$2736,$K15))</f>
        <v>0.0103679398148148</v>
      </c>
      <c r="M15" s="10" t="n">
        <f aca="false">IF(INDEX(選手一覧!$E$5:$E$2736,$K15)="","",INDEX(選手一覧!$E$5:$E$2736,$K15))</f>
        <v>223</v>
      </c>
      <c r="N15" s="11" t="str">
        <f aca="false">IF(INDEX(選手一覧!$F$5:$F$2736,$K15)="","",INDEX(選手一覧!$F$5:$F$2736,$K15))</f>
        <v/>
      </c>
      <c r="O15" s="12" t="str">
        <f aca="false">IF(INDEX(選手一覧!$G$5:$G$2736,$K15)="","",INDEX(選手一覧!$G$5:$G$2736,$K15))</f>
        <v/>
      </c>
      <c r="P15" s="11" t="n">
        <f aca="false">IF(INDEX(選手一覧!$H$5:$H$2736,$K15)="","",INDEX(選手一覧!$H$5:$H$2736,$K15))</f>
        <v>0.00287696759259259</v>
      </c>
      <c r="Q15" s="12" t="n">
        <f aca="false">IF(INDEX(選手一覧!$I$5:$I$2736,$K15)="","",INDEX(選手一覧!$I$5:$I$2736,$K15))</f>
        <v>747</v>
      </c>
    </row>
    <row r="16" customFormat="false" ht="15" hidden="false" customHeight="false" outlineLevel="0" collapsed="false">
      <c r="A16" s="25" t="n">
        <v>1</v>
      </c>
      <c r="B16" s="26" t="n">
        <v>10</v>
      </c>
      <c r="C16" s="10" t="n">
        <v>33</v>
      </c>
      <c r="D16" s="27" t="n">
        <f aca="false">COUNTIFS($A$5:$A$229,A16,$E$5:$E$229,"&lt;"&amp;E16)+1</f>
        <v>12</v>
      </c>
      <c r="E16" s="28" t="n">
        <v>0.0209259259259259</v>
      </c>
      <c r="F16" s="28" t="n">
        <f aca="false">E16/B16</f>
        <v>0.00209259259259259</v>
      </c>
      <c r="G16" s="29" t="s">
        <v>4201</v>
      </c>
      <c r="H16" s="29" t="s">
        <v>4202</v>
      </c>
      <c r="I16" s="30" t="s">
        <v>4173</v>
      </c>
      <c r="J16" s="27" t="n">
        <v>31</v>
      </c>
      <c r="K16" s="27" t="n">
        <v>473</v>
      </c>
      <c r="L16" s="9" t="n">
        <f aca="false">IF(INDEX(選手一覧!$D$5:$D$2736,$K16)="","",INDEX(選手一覧!$D$5:$D$2736,$K16))</f>
        <v>0.0106086805555556</v>
      </c>
      <c r="M16" s="10" t="n">
        <f aca="false">IF(INDEX(選手一覧!$E$5:$E$2736,$K16)="","",INDEX(選手一覧!$E$5:$E$2736,$K16))</f>
        <v>474</v>
      </c>
      <c r="N16" s="11" t="n">
        <f aca="false">IF(INDEX(選手一覧!$F$5:$F$2736,$K16)="","",INDEX(選手一覧!$F$5:$F$2736,$K16))</f>
        <v>0.00698622685185185</v>
      </c>
      <c r="O16" s="12" t="n">
        <f aca="false">IF(INDEX(選手一覧!$G$5:$G$2736,$K16)="","",INDEX(選手一覧!$G$5:$G$2736,$K16))</f>
        <v>321</v>
      </c>
      <c r="P16" s="11" t="n">
        <f aca="false">IF(INDEX(選手一覧!$H$5:$H$2736,$K16)="","",INDEX(選手一覧!$H$5:$H$2736,$K16))</f>
        <v>0.00279756944444445</v>
      </c>
      <c r="Q16" s="12" t="n">
        <f aca="false">IF(INDEX(選手一覧!$I$5:$I$2736,$K16)="","",INDEX(選手一覧!$I$5:$I$2736,$K16))</f>
        <v>272</v>
      </c>
    </row>
    <row r="17" customFormat="false" ht="15" hidden="false" customHeight="false" outlineLevel="0" collapsed="false">
      <c r="A17" s="31" t="n">
        <v>1</v>
      </c>
      <c r="B17" s="32" t="n">
        <v>10</v>
      </c>
      <c r="C17" s="19" t="n">
        <v>34</v>
      </c>
      <c r="D17" s="21" t="n">
        <f aca="false">COUNTIFS($A$5:$A$229,A17,$E$5:$E$229,"&lt;"&amp;E17)+1</f>
        <v>13</v>
      </c>
      <c r="E17" s="33" t="n">
        <v>0.0209606481481482</v>
      </c>
      <c r="F17" s="33" t="n">
        <f aca="false">E17/B17</f>
        <v>0.00209606481481482</v>
      </c>
      <c r="G17" s="17" t="s">
        <v>4203</v>
      </c>
      <c r="H17" s="17" t="s">
        <v>4204</v>
      </c>
      <c r="I17" s="34" t="s">
        <v>4205</v>
      </c>
      <c r="J17" s="21" t="n">
        <v>34</v>
      </c>
      <c r="K17" s="21" t="n">
        <v>156</v>
      </c>
      <c r="L17" s="18" t="n">
        <f aca="false">IF(INDEX(選手一覧!$D$5:$D$2736,$K17)="","",INDEX(選手一覧!$D$5:$D$2736,$K17))</f>
        <v>0.0102939814814815</v>
      </c>
      <c r="M17" s="19" t="n">
        <f aca="false">IF(INDEX(選手一覧!$E$5:$E$2736,$K17)="","",INDEX(選手一覧!$E$5:$E$2736,$K17))</f>
        <v>157</v>
      </c>
      <c r="N17" s="20" t="str">
        <f aca="false">IF(INDEX(選手一覧!$F$5:$F$2736,$K17)="","",INDEX(選手一覧!$F$5:$F$2736,$K17))</f>
        <v/>
      </c>
      <c r="O17" s="21" t="str">
        <f aca="false">IF(INDEX(選手一覧!$G$5:$G$2736,$K17)="","",INDEX(選手一覧!$G$5:$G$2736,$K17))</f>
        <v/>
      </c>
      <c r="P17" s="20" t="n">
        <f aca="false">IF(INDEX(選手一覧!$H$5:$H$2736,$K17)="","",INDEX(選手一覧!$H$5:$H$2736,$K17))</f>
        <v>0.00268113425925926</v>
      </c>
      <c r="Q17" s="21" t="n">
        <f aca="false">IF(INDEX(選手一覧!$I$5:$I$2736,$K17)="","",INDEX(選手一覧!$I$5:$I$2736,$K17))</f>
        <v>14</v>
      </c>
    </row>
    <row r="18" customFormat="false" ht="15" hidden="false" customHeight="false" outlineLevel="0" collapsed="false">
      <c r="A18" s="25" t="n">
        <v>1</v>
      </c>
      <c r="B18" s="26" t="n">
        <v>10</v>
      </c>
      <c r="C18" s="10" t="n">
        <v>36</v>
      </c>
      <c r="D18" s="27" t="n">
        <f aca="false">COUNTIFS($A$5:$A$229,A18,$E$5:$E$229,"&lt;"&amp;E18)+1</f>
        <v>14</v>
      </c>
      <c r="E18" s="28" t="n">
        <v>0.0209837962962963</v>
      </c>
      <c r="F18" s="28" t="n">
        <f aca="false">E18/B18</f>
        <v>0.00209837962962963</v>
      </c>
      <c r="G18" s="29" t="s">
        <v>4206</v>
      </c>
      <c r="H18" s="29" t="s">
        <v>4207</v>
      </c>
      <c r="I18" s="30" t="s">
        <v>4208</v>
      </c>
      <c r="J18" s="27" t="n">
        <v>16</v>
      </c>
      <c r="K18" s="27" t="n">
        <v>72</v>
      </c>
      <c r="L18" s="9" t="n">
        <f aca="false">IF(INDEX(選手一覧!$D$5:$D$2736,$K18)="","",INDEX(選手一覧!$D$5:$D$2736,$K18))</f>
        <v>0.0101539351851852</v>
      </c>
      <c r="M18" s="10" t="n">
        <f aca="false">IF(INDEX(選手一覧!$E$5:$E$2736,$K18)="","",INDEX(選手一覧!$E$5:$E$2736,$K18))</f>
        <v>73</v>
      </c>
      <c r="N18" s="11" t="str">
        <f aca="false">IF(INDEX(選手一覧!$F$5:$F$2736,$K18)="","",INDEX(選手一覧!$F$5:$F$2736,$K18))</f>
        <v/>
      </c>
      <c r="O18" s="12" t="str">
        <f aca="false">IF(INDEX(選手一覧!$G$5:$G$2736,$K18)="","",INDEX(選手一覧!$G$5:$G$2736,$K18))</f>
        <v/>
      </c>
      <c r="P18" s="11" t="str">
        <f aca="false">IF(INDEX(選手一覧!$H$5:$H$2736,$K18)="","",INDEX(選手一覧!$H$5:$H$2736,$K18))</f>
        <v/>
      </c>
      <c r="Q18" s="12" t="str">
        <f aca="false">IF(INDEX(選手一覧!$I$5:$I$2736,$K18)="","",INDEX(選手一覧!$I$5:$I$2736,$K18))</f>
        <v/>
      </c>
    </row>
    <row r="19" customFormat="false" ht="15" hidden="false" customHeight="false" outlineLevel="0" collapsed="false">
      <c r="A19" s="25" t="n">
        <v>1</v>
      </c>
      <c r="B19" s="26" t="n">
        <v>10</v>
      </c>
      <c r="C19" s="10" t="n">
        <v>37</v>
      </c>
      <c r="D19" s="27" t="n">
        <f aca="false">COUNTIFS($A$5:$A$229,A19,$E$5:$E$229,"&lt;"&amp;E19)+1</f>
        <v>15</v>
      </c>
      <c r="E19" s="28" t="n">
        <v>0.0210069444444445</v>
      </c>
      <c r="F19" s="28" t="n">
        <f aca="false">E19/B19</f>
        <v>0.00210069444444445</v>
      </c>
      <c r="G19" s="29" t="s">
        <v>4209</v>
      </c>
      <c r="H19" s="29" t="s">
        <v>4210</v>
      </c>
      <c r="I19" s="30" t="s">
        <v>4211</v>
      </c>
      <c r="J19" s="27" t="n">
        <v>33</v>
      </c>
      <c r="K19" s="27" t="n">
        <v>119</v>
      </c>
      <c r="L19" s="9" t="n">
        <f aca="false">IF(INDEX(選手一覧!$D$5:$D$2736,$K19)="","",INDEX(選手一覧!$D$5:$D$2736,$K19))</f>
        <v>0.0102403935185185</v>
      </c>
      <c r="M19" s="10" t="n">
        <f aca="false">IF(INDEX(選手一覧!$E$5:$E$2736,$K19)="","",INDEX(選手一覧!$E$5:$E$2736,$K19))</f>
        <v>120</v>
      </c>
      <c r="N19" s="11" t="str">
        <f aca="false">IF(INDEX(選手一覧!$F$5:$F$2736,$K19)="","",INDEX(選手一覧!$F$5:$F$2736,$K19))</f>
        <v/>
      </c>
      <c r="O19" s="12" t="str">
        <f aca="false">IF(INDEX(選手一覧!$G$5:$G$2736,$K19)="","",INDEX(選手一覧!$G$5:$G$2736,$K19))</f>
        <v/>
      </c>
      <c r="P19" s="11" t="n">
        <f aca="false">IF(INDEX(選手一覧!$H$5:$H$2736,$K19)="","",INDEX(選手一覧!$H$5:$H$2736,$K19))</f>
        <v>0.00279675925925926</v>
      </c>
      <c r="Q19" s="12" t="n">
        <f aca="false">IF(INDEX(選手一覧!$I$5:$I$2736,$K19)="","",INDEX(選手一覧!$I$5:$I$2736,$K19))</f>
        <v>268</v>
      </c>
    </row>
    <row r="20" customFormat="false" ht="15" hidden="false" customHeight="false" outlineLevel="0" collapsed="false">
      <c r="A20" s="25" t="n">
        <v>1</v>
      </c>
      <c r="B20" s="26" t="n">
        <v>10</v>
      </c>
      <c r="C20" s="10" t="n">
        <v>38</v>
      </c>
      <c r="D20" s="27" t="n">
        <f aca="false">COUNTIFS($A$5:$A$229,A20,$E$5:$E$229,"&lt;"&amp;E20)+1</f>
        <v>16</v>
      </c>
      <c r="E20" s="28" t="n">
        <v>0.0210416666666667</v>
      </c>
      <c r="F20" s="28" t="n">
        <f aca="false">E20/B20</f>
        <v>0.00210416666666667</v>
      </c>
      <c r="G20" s="29" t="s">
        <v>4212</v>
      </c>
      <c r="H20" s="29" t="s">
        <v>4213</v>
      </c>
      <c r="I20" s="30" t="s">
        <v>4214</v>
      </c>
      <c r="J20" s="27" t="n">
        <v>59</v>
      </c>
      <c r="K20" s="27" t="n">
        <v>125</v>
      </c>
      <c r="L20" s="9" t="n">
        <f aca="false">IF(INDEX(選手一覧!$D$5:$D$2736,$K20)="","",INDEX(選手一覧!$D$5:$D$2736,$K20))</f>
        <v>0.0102458333333333</v>
      </c>
      <c r="M20" s="10" t="n">
        <f aca="false">IF(INDEX(選手一覧!$E$5:$E$2736,$K20)="","",INDEX(選手一覧!$E$5:$E$2736,$K20))</f>
        <v>126</v>
      </c>
      <c r="N20" s="11" t="n">
        <f aca="false">IF(INDEX(選手一覧!$F$5:$F$2736,$K20)="","",INDEX(選手一覧!$F$5:$F$2736,$K20))</f>
        <v>0.00804594907407407</v>
      </c>
      <c r="O20" s="12" t="n">
        <f aca="false">IF(INDEX(選手一覧!$G$5:$G$2736,$K20)="","",INDEX(選手一覧!$G$5:$G$2736,$K20))</f>
        <v>1199</v>
      </c>
      <c r="P20" s="11" t="n">
        <f aca="false">IF(INDEX(選手一覧!$H$5:$H$2736,$K20)="","",INDEX(選手一覧!$H$5:$H$2736,$K20))</f>
        <v>0.00271724537037037</v>
      </c>
      <c r="Q20" s="12" t="n">
        <f aca="false">IF(INDEX(選手一覧!$I$5:$I$2736,$K20)="","",INDEX(選手一覧!$I$5:$I$2736,$K20))</f>
        <v>44</v>
      </c>
    </row>
    <row r="21" customFormat="false" ht="15" hidden="false" customHeight="false" outlineLevel="0" collapsed="false">
      <c r="A21" s="25" t="n">
        <v>1</v>
      </c>
      <c r="B21" s="26" t="n">
        <v>10</v>
      </c>
      <c r="C21" s="10" t="n">
        <v>39</v>
      </c>
      <c r="D21" s="27" t="n">
        <f aca="false">COUNTIFS($A$5:$A$229,A21,$E$5:$E$229,"&lt;"&amp;E21)+1</f>
        <v>16</v>
      </c>
      <c r="E21" s="28" t="n">
        <v>0.0210416666666667</v>
      </c>
      <c r="F21" s="28" t="n">
        <f aca="false">E21/B21</f>
        <v>0.00210416666666667</v>
      </c>
      <c r="G21" s="29" t="s">
        <v>4215</v>
      </c>
      <c r="H21" s="29" t="s">
        <v>4216</v>
      </c>
      <c r="I21" s="30" t="s">
        <v>4217</v>
      </c>
      <c r="J21" s="27" t="n">
        <v>19</v>
      </c>
      <c r="K21" s="27" t="n">
        <v>194</v>
      </c>
      <c r="L21" s="9" t="n">
        <f aca="false">IF(INDEX(選手一覧!$D$5:$D$2736,$K21)="","",INDEX(選手一覧!$D$5:$D$2736,$K21))</f>
        <v>0.0103414351851852</v>
      </c>
      <c r="M21" s="10" t="n">
        <f aca="false">IF(INDEX(選手一覧!$E$5:$E$2736,$K21)="","",INDEX(選手一覧!$E$5:$E$2736,$K21))</f>
        <v>195</v>
      </c>
      <c r="N21" s="11" t="str">
        <f aca="false">IF(INDEX(選手一覧!$F$5:$F$2736,$K21)="","",INDEX(選手一覧!$F$5:$F$2736,$K21))</f>
        <v/>
      </c>
      <c r="O21" s="12" t="str">
        <f aca="false">IF(INDEX(選手一覧!$G$5:$G$2736,$K21)="","",INDEX(選手一覧!$G$5:$G$2736,$K21))</f>
        <v/>
      </c>
      <c r="P21" s="11" t="n">
        <f aca="false">IF(INDEX(選手一覧!$H$5:$H$2736,$K21)="","",INDEX(選手一覧!$H$5:$H$2736,$K21))</f>
        <v>0.00285347222222222</v>
      </c>
      <c r="Q21" s="12" t="n">
        <f aca="false">IF(INDEX(選手一覧!$I$5:$I$2736,$K21)="","",INDEX(選手一覧!$I$5:$I$2736,$K21))</f>
        <v>588</v>
      </c>
    </row>
    <row r="22" customFormat="false" ht="15" hidden="false" customHeight="false" outlineLevel="0" collapsed="false">
      <c r="A22" s="25" t="n">
        <v>1</v>
      </c>
      <c r="B22" s="26" t="n">
        <v>10</v>
      </c>
      <c r="C22" s="10" t="n">
        <v>41</v>
      </c>
      <c r="D22" s="27" t="n">
        <f aca="false">COUNTIFS($A$5:$A$229,A22,$E$5:$E$229,"&lt;"&amp;E22)+1</f>
        <v>18</v>
      </c>
      <c r="E22" s="28" t="n">
        <v>0.0210648148148148</v>
      </c>
      <c r="F22" s="28" t="n">
        <f aca="false">E22/B22</f>
        <v>0.00210648148148148</v>
      </c>
      <c r="G22" s="29" t="s">
        <v>4218</v>
      </c>
      <c r="H22" s="29" t="s">
        <v>4219</v>
      </c>
      <c r="I22" s="30" t="s">
        <v>4173</v>
      </c>
      <c r="J22" s="27" t="n">
        <v>41</v>
      </c>
      <c r="K22" s="27" t="n">
        <v>460</v>
      </c>
      <c r="L22" s="9" t="n">
        <f aca="false">IF(INDEX(選手一覧!$D$5:$D$2736,$K22)="","",INDEX(選手一覧!$D$5:$D$2736,$K22))</f>
        <v>0.0105988425925926</v>
      </c>
      <c r="M22" s="10" t="n">
        <f aca="false">IF(INDEX(選手一覧!$E$5:$E$2736,$K22)="","",INDEX(選手一覧!$E$5:$E$2736,$K22))</f>
        <v>461</v>
      </c>
      <c r="N22" s="11" t="str">
        <f aca="false">IF(INDEX(選手一覧!$F$5:$F$2736,$K22)="","",INDEX(選手一覧!$F$5:$F$2736,$K22))</f>
        <v/>
      </c>
      <c r="O22" s="12" t="str">
        <f aca="false">IF(INDEX(選手一覧!$G$5:$G$2736,$K22)="","",INDEX(選手一覧!$G$5:$G$2736,$K22))</f>
        <v/>
      </c>
      <c r="P22" s="11" t="n">
        <f aca="false">IF(INDEX(選手一覧!$H$5:$H$2736,$K22)="","",INDEX(選手一覧!$H$5:$H$2736,$K22))</f>
        <v>0.00270983796296296</v>
      </c>
      <c r="Q22" s="12" t="n">
        <f aca="false">IF(INDEX(選手一覧!$I$5:$I$2736,$K22)="","",INDEX(選手一覧!$I$5:$I$2736,$K22))</f>
        <v>35</v>
      </c>
    </row>
    <row r="23" customFormat="false" ht="15" hidden="false" customHeight="false" outlineLevel="0" collapsed="false">
      <c r="A23" s="25" t="n">
        <v>1</v>
      </c>
      <c r="B23" s="26" t="n">
        <v>10</v>
      </c>
      <c r="C23" s="10" t="n">
        <v>42</v>
      </c>
      <c r="D23" s="27" t="n">
        <f aca="false">COUNTIFS($A$5:$A$229,A23,$E$5:$E$229,"&lt;"&amp;E23)+1</f>
        <v>19</v>
      </c>
      <c r="E23" s="28" t="n">
        <v>0.0210763888888889</v>
      </c>
      <c r="F23" s="28" t="n">
        <f aca="false">E23/B23</f>
        <v>0.00210763888888889</v>
      </c>
      <c r="G23" s="29" t="s">
        <v>4220</v>
      </c>
      <c r="H23" s="29" t="s">
        <v>4221</v>
      </c>
      <c r="I23" s="30" t="s">
        <v>4222</v>
      </c>
      <c r="J23" s="27" t="n">
        <v>14</v>
      </c>
      <c r="K23" s="27" t="n">
        <v>47</v>
      </c>
      <c r="L23" s="9" t="n">
        <f aca="false">IF(INDEX(選手一覧!$D$5:$D$2736,$K23)="","",INDEX(選手一覧!$D$5:$D$2736,$K23))</f>
        <v>0.0100947916666667</v>
      </c>
      <c r="M23" s="10" t="n">
        <f aca="false">IF(INDEX(選手一覧!$E$5:$E$2736,$K23)="","",INDEX(選手一覧!$E$5:$E$2736,$K23))</f>
        <v>48</v>
      </c>
      <c r="N23" s="11" t="str">
        <f aca="false">IF(INDEX(選手一覧!$F$5:$F$2736,$K23)="","",INDEX(選手一覧!$F$5:$F$2736,$K23))</f>
        <v/>
      </c>
      <c r="O23" s="12" t="str">
        <f aca="false">IF(INDEX(選手一覧!$G$5:$G$2736,$K23)="","",INDEX(選手一覧!$G$5:$G$2736,$K23))</f>
        <v/>
      </c>
      <c r="P23" s="11" t="n">
        <f aca="false">IF(INDEX(選手一覧!$H$5:$H$2736,$K23)="","",INDEX(選手一覧!$H$5:$H$2736,$K23))</f>
        <v>0.00276203703703704</v>
      </c>
      <c r="Q23" s="12" t="n">
        <f aca="false">IF(INDEX(選手一覧!$I$5:$I$2736,$K23)="","",INDEX(選手一覧!$I$5:$I$2736,$K23))</f>
        <v>139</v>
      </c>
    </row>
    <row r="24" customFormat="false" ht="15" hidden="false" customHeight="false" outlineLevel="0" collapsed="false">
      <c r="A24" s="25" t="n">
        <v>1</v>
      </c>
      <c r="B24" s="26" t="n">
        <v>10</v>
      </c>
      <c r="C24" s="10" t="n">
        <v>43</v>
      </c>
      <c r="D24" s="27" t="n">
        <f aca="false">COUNTIFS($A$5:$A$229,A24,$E$5:$E$229,"&lt;"&amp;E24)+1</f>
        <v>20</v>
      </c>
      <c r="E24" s="28" t="n">
        <v>0.021087962962963</v>
      </c>
      <c r="F24" s="28" t="n">
        <f aca="false">E24/B24</f>
        <v>0.0021087962962963</v>
      </c>
      <c r="G24" s="29" t="s">
        <v>4223</v>
      </c>
      <c r="H24" s="29" t="s">
        <v>4224</v>
      </c>
      <c r="I24" s="30" t="s">
        <v>4173</v>
      </c>
      <c r="J24" s="27" t="n">
        <v>88</v>
      </c>
      <c r="K24" s="27" t="n">
        <v>229</v>
      </c>
      <c r="L24" s="9" t="n">
        <f aca="false">IF(INDEX(選手一覧!$D$5:$D$2736,$K24)="","",INDEX(選手一覧!$D$5:$D$2736,$K24))</f>
        <v>0.0103746527777778</v>
      </c>
      <c r="M24" s="10" t="n">
        <f aca="false">IF(INDEX(選手一覧!$E$5:$E$2736,$K24)="","",INDEX(選手一覧!$E$5:$E$2736,$K24))</f>
        <v>230</v>
      </c>
      <c r="N24" s="11" t="str">
        <f aca="false">IF(INDEX(選手一覧!$F$5:$F$2736,$K24)="","",INDEX(選手一覧!$F$5:$F$2736,$K24))</f>
        <v/>
      </c>
      <c r="O24" s="12" t="str">
        <f aca="false">IF(INDEX(選手一覧!$G$5:$G$2736,$K24)="","",INDEX(選手一覧!$G$5:$G$2736,$K24))</f>
        <v/>
      </c>
      <c r="P24" s="11" t="n">
        <f aca="false">IF(INDEX(選手一覧!$H$5:$H$2736,$K24)="","",INDEX(選手一覧!$H$5:$H$2736,$K24))</f>
        <v>0.00280636574074074</v>
      </c>
      <c r="Q24" s="12" t="n">
        <f aca="false">IF(INDEX(選手一覧!$I$5:$I$2736,$K24)="","",INDEX(選手一覧!$I$5:$I$2736,$K24))</f>
        <v>308</v>
      </c>
    </row>
    <row r="25" customFormat="false" ht="15" hidden="false" customHeight="false" outlineLevel="0" collapsed="false">
      <c r="A25" s="25" t="n">
        <v>1</v>
      </c>
      <c r="B25" s="26" t="n">
        <v>10</v>
      </c>
      <c r="C25" s="10" t="n">
        <v>45</v>
      </c>
      <c r="D25" s="27" t="n">
        <f aca="false">COUNTIFS($A$5:$A$229,A25,$E$5:$E$229,"&lt;"&amp;E25)+1</f>
        <v>20</v>
      </c>
      <c r="E25" s="28" t="n">
        <v>0.021087962962963</v>
      </c>
      <c r="F25" s="28" t="n">
        <f aca="false">E25/B25</f>
        <v>0.0021087962962963</v>
      </c>
      <c r="G25" s="29" t="s">
        <v>4225</v>
      </c>
      <c r="H25" s="29" t="s">
        <v>4226</v>
      </c>
      <c r="I25" s="30" t="s">
        <v>4200</v>
      </c>
      <c r="J25" s="27" t="n">
        <v>17</v>
      </c>
      <c r="K25" s="27" t="n">
        <v>352</v>
      </c>
      <c r="L25" s="9" t="n">
        <f aca="false">IF(INDEX(選手一覧!$D$5:$D$2736,$K25)="","",INDEX(選手一覧!$D$5:$D$2736,$K25))</f>
        <v>0.0105118055555556</v>
      </c>
      <c r="M25" s="10" t="n">
        <f aca="false">IF(INDEX(選手一覧!$E$5:$E$2736,$K25)="","",INDEX(選手一覧!$E$5:$E$2736,$K25))</f>
        <v>353</v>
      </c>
      <c r="N25" s="11" t="str">
        <f aca="false">IF(INDEX(選手一覧!$F$5:$F$2736,$K25)="","",INDEX(選手一覧!$F$5:$F$2736,$K25))</f>
        <v/>
      </c>
      <c r="O25" s="12" t="str">
        <f aca="false">IF(INDEX(選手一覧!$G$5:$G$2736,$K25)="","",INDEX(選手一覧!$G$5:$G$2736,$K25))</f>
        <v/>
      </c>
      <c r="P25" s="11" t="n">
        <f aca="false">IF(INDEX(選手一覧!$H$5:$H$2736,$K25)="","",INDEX(選手一覧!$H$5:$H$2736,$K25))</f>
        <v>0.00279097222222222</v>
      </c>
      <c r="Q25" s="12" t="n">
        <f aca="false">IF(INDEX(選手一覧!$I$5:$I$2736,$K25)="","",INDEX(選手一覧!$I$5:$I$2736,$K25))</f>
        <v>244</v>
      </c>
    </row>
    <row r="26" customFormat="false" ht="15" hidden="false" customHeight="false" outlineLevel="0" collapsed="false">
      <c r="A26" s="25" t="n">
        <v>1</v>
      </c>
      <c r="B26" s="26" t="n">
        <v>10</v>
      </c>
      <c r="C26" s="10" t="n">
        <v>53</v>
      </c>
      <c r="D26" s="27" t="n">
        <f aca="false">COUNTIFS($A$5:$A$229,A26,$E$5:$E$229,"&lt;"&amp;E26)+1</f>
        <v>22</v>
      </c>
      <c r="E26" s="28" t="n">
        <v>0.02125</v>
      </c>
      <c r="F26" s="28" t="n">
        <f aca="false">E26/B26</f>
        <v>0.002125</v>
      </c>
      <c r="G26" s="29" t="s">
        <v>4227</v>
      </c>
      <c r="H26" s="29" t="s">
        <v>4228</v>
      </c>
      <c r="I26" s="30" t="s">
        <v>4229</v>
      </c>
      <c r="J26" s="27" t="n">
        <v>40</v>
      </c>
      <c r="K26" s="27" t="n">
        <v>340</v>
      </c>
      <c r="L26" s="9" t="n">
        <f aca="false">IF(INDEX(選手一覧!$D$5:$D$2736,$K26)="","",INDEX(選手一覧!$D$5:$D$2736,$K26))</f>
        <v>0.010500462962963</v>
      </c>
      <c r="M26" s="10" t="n">
        <f aca="false">IF(INDEX(選手一覧!$E$5:$E$2736,$K26)="","",INDEX(選手一覧!$E$5:$E$2736,$K26))</f>
        <v>341</v>
      </c>
      <c r="N26" s="11" t="n">
        <f aca="false">IF(INDEX(選手一覧!$F$5:$F$2736,$K26)="","",INDEX(選手一覧!$F$5:$F$2736,$K26))</f>
        <v>0.00697106481481481</v>
      </c>
      <c r="O26" s="12" t="n">
        <f aca="false">IF(INDEX(選手一覧!$G$5:$G$2736,$K26)="","",INDEX(選手一覧!$G$5:$G$2736,$K26))</f>
        <v>306</v>
      </c>
      <c r="P26" s="11" t="str">
        <f aca="false">IF(INDEX(選手一覧!$H$5:$H$2736,$K26)="","",INDEX(選手一覧!$H$5:$H$2736,$K26))</f>
        <v/>
      </c>
      <c r="Q26" s="12" t="str">
        <f aca="false">IF(INDEX(選手一覧!$I$5:$I$2736,$K26)="","",INDEX(選手一覧!$I$5:$I$2736,$K26))</f>
        <v/>
      </c>
    </row>
    <row r="27" customFormat="false" ht="15" hidden="false" customHeight="false" outlineLevel="0" collapsed="false">
      <c r="A27" s="25" t="n">
        <v>1</v>
      </c>
      <c r="B27" s="26" t="n">
        <v>10</v>
      </c>
      <c r="C27" s="10" t="n">
        <v>57</v>
      </c>
      <c r="D27" s="27" t="n">
        <f aca="false">COUNTIFS($A$5:$A$229,A27,$E$5:$E$229,"&lt;"&amp;E27)+1</f>
        <v>23</v>
      </c>
      <c r="E27" s="28" t="n">
        <v>0.0213194444444444</v>
      </c>
      <c r="F27" s="28" t="n">
        <f aca="false">E27/B27</f>
        <v>0.00213194444444444</v>
      </c>
      <c r="G27" s="29" t="s">
        <v>4230</v>
      </c>
      <c r="H27" s="29" t="s">
        <v>4231</v>
      </c>
      <c r="I27" s="30" t="s">
        <v>4173</v>
      </c>
      <c r="J27" s="27" t="n">
        <v>83</v>
      </c>
      <c r="K27" s="27" t="n">
        <v>291</v>
      </c>
      <c r="L27" s="9" t="n">
        <f aca="false">IF(INDEX(選手一覧!$D$5:$D$2736,$K27)="","",INDEX(選手一覧!$D$5:$D$2736,$K27))</f>
        <v>0.0104265046296296</v>
      </c>
      <c r="M27" s="10" t="n">
        <f aca="false">IF(INDEX(選手一覧!$E$5:$E$2736,$K27)="","",INDEX(選手一覧!$E$5:$E$2736,$K27))</f>
        <v>292</v>
      </c>
      <c r="N27" s="11" t="str">
        <f aca="false">IF(INDEX(選手一覧!$F$5:$F$2736,$K27)="","",INDEX(選手一覧!$F$5:$F$2736,$K27))</f>
        <v/>
      </c>
      <c r="O27" s="12" t="str">
        <f aca="false">IF(INDEX(選手一覧!$G$5:$G$2736,$K27)="","",INDEX(選手一覧!$G$5:$G$2736,$K27))</f>
        <v/>
      </c>
      <c r="P27" s="11" t="n">
        <f aca="false">IF(INDEX(選手一覧!$H$5:$H$2736,$K27)="","",INDEX(選手一覧!$H$5:$H$2736,$K27))</f>
        <v>0.00276736111111111</v>
      </c>
      <c r="Q27" s="12" t="n">
        <f aca="false">IF(INDEX(選手一覧!$I$5:$I$2736,$K27)="","",INDEX(選手一覧!$I$5:$I$2736,$K27))</f>
        <v>156</v>
      </c>
    </row>
    <row r="28" customFormat="false" ht="15" hidden="false" customHeight="false" outlineLevel="0" collapsed="false">
      <c r="A28" s="25" t="n">
        <v>1</v>
      </c>
      <c r="B28" s="26" t="n">
        <v>10</v>
      </c>
      <c r="C28" s="10" t="n">
        <v>59</v>
      </c>
      <c r="D28" s="27" t="n">
        <f aca="false">COUNTIFS($A$5:$A$229,A28,$E$5:$E$229,"&lt;"&amp;E28)+1</f>
        <v>24</v>
      </c>
      <c r="E28" s="28" t="n">
        <v>0.0213657407407407</v>
      </c>
      <c r="F28" s="28" t="n">
        <f aca="false">E28/B28</f>
        <v>0.00213657407407407</v>
      </c>
      <c r="G28" s="29" t="s">
        <v>4232</v>
      </c>
      <c r="H28" s="29" t="s">
        <v>4233</v>
      </c>
      <c r="I28" s="30" t="s">
        <v>4229</v>
      </c>
      <c r="J28" s="27" t="n">
        <v>62</v>
      </c>
      <c r="K28" s="27" t="n">
        <v>354</v>
      </c>
      <c r="L28" s="9" t="n">
        <f aca="false">IF(INDEX(選手一覧!$D$5:$D$2736,$K28)="","",INDEX(選手一覧!$D$5:$D$2736,$K28))</f>
        <v>0.0105134259259259</v>
      </c>
      <c r="M28" s="10" t="n">
        <f aca="false">IF(INDEX(選手一覧!$E$5:$E$2736,$K28)="","",INDEX(選手一覧!$E$5:$E$2736,$K28))</f>
        <v>355</v>
      </c>
      <c r="N28" s="11" t="str">
        <f aca="false">IF(INDEX(選手一覧!$F$5:$F$2736,$K28)="","",INDEX(選手一覧!$F$5:$F$2736,$K28))</f>
        <v/>
      </c>
      <c r="O28" s="12" t="str">
        <f aca="false">IF(INDEX(選手一覧!$G$5:$G$2736,$K28)="","",INDEX(選手一覧!$G$5:$G$2736,$K28))</f>
        <v/>
      </c>
      <c r="P28" s="11" t="n">
        <f aca="false">IF(INDEX(選手一覧!$H$5:$H$2736,$K28)="","",INDEX(選手一覧!$H$5:$H$2736,$K28))</f>
        <v>0.00275243055555556</v>
      </c>
      <c r="Q28" s="12" t="n">
        <f aca="false">IF(INDEX(選手一覧!$I$5:$I$2736,$K28)="","",INDEX(選手一覧!$I$5:$I$2736,$K28))</f>
        <v>109</v>
      </c>
    </row>
    <row r="29" customFormat="false" ht="15" hidden="false" customHeight="false" outlineLevel="0" collapsed="false">
      <c r="A29" s="25" t="n">
        <v>1</v>
      </c>
      <c r="B29" s="26" t="n">
        <v>10</v>
      </c>
      <c r="C29" s="10" t="n">
        <v>63</v>
      </c>
      <c r="D29" s="27" t="n">
        <f aca="false">COUNTIFS($A$5:$A$229,A29,$E$5:$E$229,"&lt;"&amp;E29)+1</f>
        <v>25</v>
      </c>
      <c r="E29" s="28" t="n">
        <v>0.0214467592592593</v>
      </c>
      <c r="F29" s="28" t="n">
        <f aca="false">E29/B29</f>
        <v>0.00214467592592593</v>
      </c>
      <c r="G29" s="29" t="s">
        <v>4234</v>
      </c>
      <c r="H29" s="29" t="s">
        <v>4235</v>
      </c>
      <c r="I29" s="30" t="s">
        <v>4184</v>
      </c>
      <c r="J29" s="27" t="n">
        <v>36</v>
      </c>
      <c r="K29" s="27" t="n">
        <v>237</v>
      </c>
      <c r="L29" s="9" t="n">
        <f aca="false">IF(INDEX(選手一覧!$D$5:$D$2736,$K29)="","",INDEX(選手一覧!$D$5:$D$2736,$K29))</f>
        <v>0.0103774305555556</v>
      </c>
      <c r="M29" s="10" t="n">
        <f aca="false">IF(INDEX(選手一覧!$E$5:$E$2736,$K29)="","",INDEX(選手一覧!$E$5:$E$2736,$K29))</f>
        <v>238</v>
      </c>
      <c r="N29" s="11" t="n">
        <f aca="false">IF(INDEX(選手一覧!$F$5:$F$2736,$K29)="","",INDEX(選手一覧!$F$5:$F$2736,$K29))</f>
        <v>0.006659375</v>
      </c>
      <c r="O29" s="12" t="n">
        <f aca="false">IF(INDEX(選手一覧!$G$5:$G$2736,$K29)="","",INDEX(選手一覧!$G$5:$G$2736,$K29))</f>
        <v>88</v>
      </c>
      <c r="P29" s="11" t="n">
        <f aca="false">IF(INDEX(選手一覧!$H$5:$H$2736,$K29)="","",INDEX(選手一覧!$H$5:$H$2736,$K29))</f>
        <v>0.00296747685185185</v>
      </c>
      <c r="Q29" s="12" t="n">
        <f aca="false">IF(INDEX(選手一覧!$I$5:$I$2736,$K29)="","",INDEX(選手一覧!$I$5:$I$2736,$K29))</f>
        <v>1300</v>
      </c>
    </row>
    <row r="30" customFormat="false" ht="15" hidden="false" customHeight="false" outlineLevel="0" collapsed="false">
      <c r="A30" s="25" t="n">
        <v>1</v>
      </c>
      <c r="B30" s="26" t="n">
        <v>10</v>
      </c>
      <c r="C30" s="10" t="n">
        <v>64</v>
      </c>
      <c r="D30" s="27" t="n">
        <f aca="false">COUNTIFS($A$5:$A$229,A30,$E$5:$E$229,"&lt;"&amp;E30)+1</f>
        <v>26</v>
      </c>
      <c r="E30" s="28" t="n">
        <v>0.0214583333333333</v>
      </c>
      <c r="F30" s="28" t="n">
        <f aca="false">E30/B30</f>
        <v>0.00214583333333333</v>
      </c>
      <c r="G30" s="29" t="s">
        <v>4236</v>
      </c>
      <c r="H30" s="29" t="s">
        <v>4237</v>
      </c>
      <c r="I30" s="30" t="s">
        <v>4173</v>
      </c>
      <c r="J30" s="27" t="n">
        <v>49</v>
      </c>
      <c r="K30" s="27" t="n">
        <v>299</v>
      </c>
      <c r="L30" s="9" t="n">
        <f aca="false">IF(INDEX(選手一覧!$D$5:$D$2736,$K30)="","",INDEX(選手一覧!$D$5:$D$2736,$K30))</f>
        <v>0.0104451388888889</v>
      </c>
      <c r="M30" s="10" t="n">
        <f aca="false">IF(INDEX(選手一覧!$E$5:$E$2736,$K30)="","",INDEX(選手一覧!$E$5:$E$2736,$K30))</f>
        <v>300</v>
      </c>
      <c r="N30" s="11" t="str">
        <f aca="false">IF(INDEX(選手一覧!$F$5:$F$2736,$K30)="","",INDEX(選手一覧!$F$5:$F$2736,$K30))</f>
        <v/>
      </c>
      <c r="O30" s="12" t="str">
        <f aca="false">IF(INDEX(選手一覧!$G$5:$G$2736,$K30)="","",INDEX(選手一覧!$G$5:$G$2736,$K30))</f>
        <v/>
      </c>
      <c r="P30" s="11" t="n">
        <f aca="false">IF(INDEX(選手一覧!$H$5:$H$2736,$K30)="","",INDEX(選手一覧!$H$5:$H$2736,$K30))</f>
        <v>0.00283518518518519</v>
      </c>
      <c r="Q30" s="12" t="n">
        <f aca="false">IF(INDEX(選手一覧!$I$5:$I$2736,$K30)="","",INDEX(選手一覧!$I$5:$I$2736,$K30))</f>
        <v>462</v>
      </c>
    </row>
    <row r="31" customFormat="false" ht="15" hidden="false" customHeight="false" outlineLevel="0" collapsed="false">
      <c r="A31" s="25" t="n">
        <v>1</v>
      </c>
      <c r="B31" s="26" t="n">
        <v>10</v>
      </c>
      <c r="C31" s="10" t="n">
        <v>65</v>
      </c>
      <c r="D31" s="27" t="n">
        <f aca="false">COUNTIFS($A$5:$A$229,A31,$E$5:$E$229,"&lt;"&amp;E31)+1</f>
        <v>26</v>
      </c>
      <c r="E31" s="28" t="n">
        <v>0.0214583333333333</v>
      </c>
      <c r="F31" s="28" t="n">
        <f aca="false">E31/B31</f>
        <v>0.00214583333333333</v>
      </c>
      <c r="G31" s="29" t="s">
        <v>4238</v>
      </c>
      <c r="H31" s="29" t="s">
        <v>4239</v>
      </c>
      <c r="I31" s="30" t="s">
        <v>4240</v>
      </c>
      <c r="J31" s="27" t="n">
        <v>20</v>
      </c>
      <c r="K31" s="27" t="n">
        <v>357</v>
      </c>
      <c r="L31" s="9" t="n">
        <f aca="false">IF(INDEX(選手一覧!$D$5:$D$2736,$K31)="","",INDEX(選手一覧!$D$5:$D$2736,$K31))</f>
        <v>0.0105153935185185</v>
      </c>
      <c r="M31" s="10" t="n">
        <f aca="false">IF(INDEX(選手一覧!$E$5:$E$2736,$K31)="","",INDEX(選手一覧!$E$5:$E$2736,$K31))</f>
        <v>358</v>
      </c>
      <c r="N31" s="11" t="str">
        <f aca="false">IF(INDEX(選手一覧!$F$5:$F$2736,$K31)="","",INDEX(選手一覧!$F$5:$F$2736,$K31))</f>
        <v/>
      </c>
      <c r="O31" s="12" t="str">
        <f aca="false">IF(INDEX(選手一覧!$G$5:$G$2736,$K31)="","",INDEX(選手一覧!$G$5:$G$2736,$K31))</f>
        <v/>
      </c>
      <c r="P31" s="11" t="n">
        <f aca="false">IF(INDEX(選手一覧!$H$5:$H$2736,$K31)="","",INDEX(選手一覧!$H$5:$H$2736,$K31))</f>
        <v>0.00281076388888889</v>
      </c>
      <c r="Q31" s="12" t="n">
        <f aca="false">IF(INDEX(選手一覧!$I$5:$I$2736,$K31)="","",INDEX(選手一覧!$I$5:$I$2736,$K31))</f>
        <v>326</v>
      </c>
    </row>
    <row r="32" customFormat="false" ht="15" hidden="false" customHeight="false" outlineLevel="0" collapsed="false">
      <c r="A32" s="25" t="n">
        <v>1</v>
      </c>
      <c r="B32" s="26" t="n">
        <v>10</v>
      </c>
      <c r="C32" s="10" t="n">
        <v>66</v>
      </c>
      <c r="D32" s="27" t="n">
        <f aca="false">COUNTIFS($A$5:$A$229,A32,$E$5:$E$229,"&lt;"&amp;E32)+1</f>
        <v>28</v>
      </c>
      <c r="E32" s="28" t="n">
        <v>0.0214814814814815</v>
      </c>
      <c r="F32" s="28" t="n">
        <f aca="false">E32/B32</f>
        <v>0.00214814814814815</v>
      </c>
      <c r="G32" s="29" t="s">
        <v>4241</v>
      </c>
      <c r="H32" s="29" t="s">
        <v>4242</v>
      </c>
      <c r="I32" s="30" t="s">
        <v>4243</v>
      </c>
      <c r="J32" s="27" t="n">
        <v>64</v>
      </c>
      <c r="K32" s="27" t="n">
        <v>516</v>
      </c>
      <c r="L32" s="9" t="n">
        <f aca="false">IF(INDEX(選手一覧!$D$5:$D$2736,$K32)="","",INDEX(選手一覧!$D$5:$D$2736,$K32))</f>
        <v>0.0106440972222222</v>
      </c>
      <c r="M32" s="10" t="n">
        <f aca="false">IF(INDEX(選手一覧!$E$5:$E$2736,$K32)="","",INDEX(選手一覧!$E$5:$E$2736,$K32))</f>
        <v>517</v>
      </c>
      <c r="N32" s="11" t="n">
        <f aca="false">IF(INDEX(選手一覧!$F$5:$F$2736,$K32)="","",INDEX(選手一覧!$F$5:$F$2736,$K32))</f>
        <v>0.00677175925925926</v>
      </c>
      <c r="O32" s="12" t="n">
        <f aca="false">IF(INDEX(選手一覧!$G$5:$G$2736,$K32)="","",INDEX(選手一覧!$G$5:$G$2736,$K32))</f>
        <v>149</v>
      </c>
      <c r="P32" s="11" t="str">
        <f aca="false">IF(INDEX(選手一覧!$H$5:$H$2736,$K32)="","",INDEX(選手一覧!$H$5:$H$2736,$K32))</f>
        <v/>
      </c>
      <c r="Q32" s="12" t="str">
        <f aca="false">IF(INDEX(選手一覧!$I$5:$I$2736,$K32)="","",INDEX(選手一覧!$I$5:$I$2736,$K32))</f>
        <v/>
      </c>
    </row>
    <row r="33" customFormat="false" ht="15" hidden="false" customHeight="false" outlineLevel="0" collapsed="false">
      <c r="A33" s="25" t="n">
        <v>1</v>
      </c>
      <c r="B33" s="26" t="n">
        <v>10</v>
      </c>
      <c r="C33" s="10" t="n">
        <v>71</v>
      </c>
      <c r="D33" s="27" t="n">
        <f aca="false">COUNTIFS($A$5:$A$229,A33,$E$5:$E$229,"&lt;"&amp;E33)+1</f>
        <v>29</v>
      </c>
      <c r="E33" s="28" t="n">
        <v>0.0215740740740741</v>
      </c>
      <c r="F33" s="28" t="n">
        <f aca="false">E33/B33</f>
        <v>0.00215740740740741</v>
      </c>
      <c r="G33" s="29" t="s">
        <v>4244</v>
      </c>
      <c r="H33" s="29" t="s">
        <v>4245</v>
      </c>
      <c r="I33" s="30" t="s">
        <v>4173</v>
      </c>
      <c r="J33" s="27" t="n">
        <v>81</v>
      </c>
      <c r="K33" s="27" t="n">
        <v>370</v>
      </c>
      <c r="L33" s="9" t="n">
        <f aca="false">IF(INDEX(選手一覧!$D$5:$D$2736,$K33)="","",INDEX(選手一覧!$D$5:$D$2736,$K33))</f>
        <v>0.0105298611111111</v>
      </c>
      <c r="M33" s="10" t="n">
        <f aca="false">IF(INDEX(選手一覧!$E$5:$E$2736,$K33)="","",INDEX(選手一覧!$E$5:$E$2736,$K33))</f>
        <v>371</v>
      </c>
      <c r="N33" s="11" t="str">
        <f aca="false">IF(INDEX(選手一覧!$F$5:$F$2736,$K33)="","",INDEX(選手一覧!$F$5:$F$2736,$K33))</f>
        <v/>
      </c>
      <c r="O33" s="12" t="str">
        <f aca="false">IF(INDEX(選手一覧!$G$5:$G$2736,$K33)="","",INDEX(選手一覧!$G$5:$G$2736,$K33))</f>
        <v/>
      </c>
      <c r="P33" s="11" t="n">
        <f aca="false">IF(INDEX(選手一覧!$H$5:$H$2736,$K33)="","",INDEX(選手一覧!$H$5:$H$2736,$K33))</f>
        <v>0.00278726851851852</v>
      </c>
      <c r="Q33" s="12" t="n">
        <f aca="false">IF(INDEX(選手一覧!$I$5:$I$2736,$K33)="","",INDEX(選手一覧!$I$5:$I$2736,$K33))</f>
        <v>231</v>
      </c>
    </row>
    <row r="34" customFormat="false" ht="15" hidden="false" customHeight="false" outlineLevel="0" collapsed="false">
      <c r="A34" s="25" t="n">
        <v>1</v>
      </c>
      <c r="B34" s="26" t="n">
        <v>10</v>
      </c>
      <c r="C34" s="10" t="n">
        <v>72</v>
      </c>
      <c r="D34" s="27" t="n">
        <f aca="false">COUNTIFS($A$5:$A$229,A34,$E$5:$E$229,"&lt;"&amp;E34)+1</f>
        <v>30</v>
      </c>
      <c r="E34" s="28" t="n">
        <v>0.0216087962962963</v>
      </c>
      <c r="F34" s="28" t="n">
        <f aca="false">E34/B34</f>
        <v>0.00216087962962963</v>
      </c>
      <c r="G34" s="29" t="s">
        <v>4246</v>
      </c>
      <c r="H34" s="29" t="s">
        <v>4247</v>
      </c>
      <c r="I34" s="30" t="s">
        <v>4248</v>
      </c>
      <c r="J34" s="27" t="n">
        <v>82</v>
      </c>
      <c r="K34" s="27" t="n">
        <v>175</v>
      </c>
      <c r="L34" s="9" t="n">
        <f aca="false">IF(INDEX(選手一覧!$D$5:$D$2736,$K34)="","",INDEX(選手一覧!$D$5:$D$2736,$K34))</f>
        <v>0.0103251157407407</v>
      </c>
      <c r="M34" s="10" t="n">
        <f aca="false">IF(INDEX(選手一覧!$E$5:$E$2736,$K34)="","",INDEX(選手一覧!$E$5:$E$2736,$K34))</f>
        <v>176</v>
      </c>
      <c r="N34" s="11" t="str">
        <f aca="false">IF(INDEX(選手一覧!$F$5:$F$2736,$K34)="","",INDEX(選手一覧!$F$5:$F$2736,$K34))</f>
        <v/>
      </c>
      <c r="O34" s="12" t="str">
        <f aca="false">IF(INDEX(選手一覧!$G$5:$G$2736,$K34)="","",INDEX(選手一覧!$G$5:$G$2736,$K34))</f>
        <v/>
      </c>
      <c r="P34" s="11" t="n">
        <f aca="false">IF(INDEX(選手一覧!$H$5:$H$2736,$K34)="","",INDEX(選手一覧!$H$5:$H$2736,$K34))</f>
        <v>0.00282268518518519</v>
      </c>
      <c r="Q34" s="12" t="n">
        <f aca="false">IF(INDEX(選手一覧!$I$5:$I$2736,$K34)="","",INDEX(選手一覧!$I$5:$I$2736,$K34))</f>
        <v>379</v>
      </c>
    </row>
    <row r="35" customFormat="false" ht="15" hidden="false" customHeight="false" outlineLevel="0" collapsed="false">
      <c r="A35" s="25" t="n">
        <v>1</v>
      </c>
      <c r="B35" s="26" t="n">
        <v>10</v>
      </c>
      <c r="C35" s="10" t="n">
        <v>74</v>
      </c>
      <c r="D35" s="27" t="n">
        <f aca="false">COUNTIFS($A$5:$A$229,A35,$E$5:$E$229,"&lt;"&amp;E35)+1</f>
        <v>31</v>
      </c>
      <c r="E35" s="28" t="n">
        <v>0.0216203703703704</v>
      </c>
      <c r="F35" s="28" t="n">
        <f aca="false">E35/B35</f>
        <v>0.00216203703703704</v>
      </c>
      <c r="G35" s="29" t="s">
        <v>4249</v>
      </c>
      <c r="H35" s="29" t="s">
        <v>4250</v>
      </c>
      <c r="I35" s="30" t="s">
        <v>4251</v>
      </c>
      <c r="J35" s="27" t="n">
        <v>61</v>
      </c>
      <c r="K35" s="27" t="n">
        <v>277</v>
      </c>
      <c r="L35" s="9" t="n">
        <f aca="false">IF(INDEX(選手一覧!$D$5:$D$2736,$K35)="","",INDEX(選手一覧!$D$5:$D$2736,$K35))</f>
        <v>0.0104116898148148</v>
      </c>
      <c r="M35" s="10" t="n">
        <f aca="false">IF(INDEX(選手一覧!$E$5:$E$2736,$K35)="","",INDEX(選手一覧!$E$5:$E$2736,$K35))</f>
        <v>278</v>
      </c>
      <c r="N35" s="11" t="str">
        <f aca="false">IF(INDEX(選手一覧!$F$5:$F$2736,$K35)="","",INDEX(選手一覧!$F$5:$F$2736,$K35))</f>
        <v/>
      </c>
      <c r="O35" s="12" t="str">
        <f aca="false">IF(INDEX(選手一覧!$G$5:$G$2736,$K35)="","",INDEX(選手一覧!$G$5:$G$2736,$K35))</f>
        <v/>
      </c>
      <c r="P35" s="11" t="n">
        <f aca="false">IF(INDEX(選手一覧!$H$5:$H$2736,$K35)="","",INDEX(選手一覧!$H$5:$H$2736,$K35))</f>
        <v>0.00276064814814815</v>
      </c>
      <c r="Q35" s="12" t="n">
        <f aca="false">IF(INDEX(選手一覧!$I$5:$I$2736,$K35)="","",INDEX(選手一覧!$I$5:$I$2736,$K35))</f>
        <v>138</v>
      </c>
    </row>
    <row r="36" customFormat="false" ht="15" hidden="false" customHeight="false" outlineLevel="0" collapsed="false">
      <c r="A36" s="25" t="n">
        <v>1</v>
      </c>
      <c r="B36" s="26" t="n">
        <v>10</v>
      </c>
      <c r="C36" s="10" t="n">
        <v>75</v>
      </c>
      <c r="D36" s="27" t="n">
        <f aca="false">COUNTIFS($A$5:$A$229,A36,$E$5:$E$229,"&lt;"&amp;E36)+1</f>
        <v>32</v>
      </c>
      <c r="E36" s="28" t="n">
        <v>0.0216550925925926</v>
      </c>
      <c r="F36" s="28" t="n">
        <f aca="false">E36/B36</f>
        <v>0.00216550925925926</v>
      </c>
      <c r="G36" s="29" t="s">
        <v>4252</v>
      </c>
      <c r="H36" s="29" t="s">
        <v>4253</v>
      </c>
      <c r="I36" s="30" t="s">
        <v>4181</v>
      </c>
      <c r="J36" s="27" t="n">
        <v>105</v>
      </c>
      <c r="K36" s="27" t="n">
        <v>823</v>
      </c>
      <c r="L36" s="9" t="n">
        <f aca="false">IF(INDEX(選手一覧!$D$5:$D$2736,$K36)="","",INDEX(選手一覧!$D$5:$D$2736,$K36))</f>
        <v>0.0108440972222222</v>
      </c>
      <c r="M36" s="10" t="n">
        <f aca="false">IF(INDEX(選手一覧!$E$5:$E$2736,$K36)="","",INDEX(選手一覧!$E$5:$E$2736,$K36))</f>
        <v>824</v>
      </c>
      <c r="N36" s="11" t="str">
        <f aca="false">IF(INDEX(選手一覧!$F$5:$F$2736,$K36)="","",INDEX(選手一覧!$F$5:$F$2736,$K36))</f>
        <v/>
      </c>
      <c r="O36" s="12" t="str">
        <f aca="false">IF(INDEX(選手一覧!$G$5:$G$2736,$K36)="","",INDEX(選手一覧!$G$5:$G$2736,$K36))</f>
        <v/>
      </c>
      <c r="P36" s="11" t="n">
        <f aca="false">IF(INDEX(選手一覧!$H$5:$H$2736,$K36)="","",INDEX(選手一覧!$H$5:$H$2736,$K36))</f>
        <v>0.00291481481481482</v>
      </c>
      <c r="Q36" s="12" t="n">
        <f aca="false">IF(INDEX(選手一覧!$I$5:$I$2736,$K36)="","",INDEX(選手一覧!$I$5:$I$2736,$K36))</f>
        <v>1053</v>
      </c>
    </row>
    <row r="37" customFormat="false" ht="15" hidden="false" customHeight="false" outlineLevel="0" collapsed="false">
      <c r="A37" s="25" t="n">
        <v>1</v>
      </c>
      <c r="B37" s="26" t="n">
        <v>10</v>
      </c>
      <c r="C37" s="10" t="n">
        <v>76</v>
      </c>
      <c r="D37" s="27" t="n">
        <f aca="false">COUNTIFS($A$5:$A$229,A37,$E$5:$E$229,"&lt;"&amp;E37)+1</f>
        <v>33</v>
      </c>
      <c r="E37" s="28" t="n">
        <v>0.0216782407407407</v>
      </c>
      <c r="F37" s="28" t="n">
        <f aca="false">E37/B37</f>
        <v>0.00216782407407407</v>
      </c>
      <c r="G37" s="29" t="s">
        <v>4254</v>
      </c>
      <c r="H37" s="29" t="s">
        <v>4255</v>
      </c>
      <c r="I37" s="30" t="s">
        <v>4211</v>
      </c>
      <c r="J37" s="27" t="n">
        <v>79</v>
      </c>
      <c r="K37" s="27" t="n">
        <v>439</v>
      </c>
      <c r="L37" s="9" t="n">
        <f aca="false">IF(INDEX(選手一覧!$D$5:$D$2736,$K37)="","",INDEX(選手一覧!$D$5:$D$2736,$K37))</f>
        <v>0.0105834490740741</v>
      </c>
      <c r="M37" s="10" t="n">
        <f aca="false">IF(INDEX(選手一覧!$E$5:$E$2736,$K37)="","",INDEX(選手一覧!$E$5:$E$2736,$K37))</f>
        <v>440</v>
      </c>
      <c r="N37" s="11" t="str">
        <f aca="false">IF(INDEX(選手一覧!$F$5:$F$2736,$K37)="","",INDEX(選手一覧!$F$5:$F$2736,$K37))</f>
        <v/>
      </c>
      <c r="O37" s="12" t="str">
        <f aca="false">IF(INDEX(選手一覧!$G$5:$G$2736,$K37)="","",INDEX(選手一覧!$G$5:$G$2736,$K37))</f>
        <v/>
      </c>
      <c r="P37" s="11" t="n">
        <f aca="false">IF(INDEX(選手一覧!$H$5:$H$2736,$K37)="","",INDEX(選手一覧!$H$5:$H$2736,$K37))</f>
        <v>0.0028287037037037</v>
      </c>
      <c r="Q37" s="12" t="n">
        <f aca="false">IF(INDEX(選手一覧!$I$5:$I$2736,$K37)="","",INDEX(選手一覧!$I$5:$I$2736,$K37))</f>
        <v>416</v>
      </c>
    </row>
    <row r="38" customFormat="false" ht="15" hidden="false" customHeight="false" outlineLevel="0" collapsed="false">
      <c r="A38" s="25" t="n">
        <v>1</v>
      </c>
      <c r="B38" s="26" t="n">
        <v>10</v>
      </c>
      <c r="C38" s="10" t="n">
        <v>81</v>
      </c>
      <c r="D38" s="27" t="n">
        <f aca="false">COUNTIFS($A$5:$A$229,A38,$E$5:$E$229,"&lt;"&amp;E38)+1</f>
        <v>34</v>
      </c>
      <c r="E38" s="28" t="n">
        <v>0.0217361111111111</v>
      </c>
      <c r="F38" s="28" t="n">
        <f aca="false">E38/B38</f>
        <v>0.00217361111111111</v>
      </c>
      <c r="G38" s="29" t="s">
        <v>4256</v>
      </c>
      <c r="H38" s="29" t="s">
        <v>4257</v>
      </c>
      <c r="I38" s="30" t="s">
        <v>4214</v>
      </c>
      <c r="J38" s="27" t="n">
        <v>57</v>
      </c>
      <c r="K38" s="27" t="n">
        <v>318</v>
      </c>
      <c r="L38" s="9" t="n">
        <f aca="false">IF(INDEX(選手一覧!$D$5:$D$2736,$K38)="","",INDEX(選手一覧!$D$5:$D$2736,$K38))</f>
        <v>0.0104733796296296</v>
      </c>
      <c r="M38" s="10" t="n">
        <f aca="false">IF(INDEX(選手一覧!$E$5:$E$2736,$K38)="","",INDEX(選手一覧!$E$5:$E$2736,$K38))</f>
        <v>319</v>
      </c>
      <c r="N38" s="11" t="str">
        <f aca="false">IF(INDEX(選手一覧!$F$5:$F$2736,$K38)="","",INDEX(選手一覧!$F$5:$F$2736,$K38))</f>
        <v/>
      </c>
      <c r="O38" s="12" t="str">
        <f aca="false">IF(INDEX(選手一覧!$G$5:$G$2736,$K38)="","",INDEX(選手一覧!$G$5:$G$2736,$K38))</f>
        <v/>
      </c>
      <c r="P38" s="11" t="n">
        <f aca="false">IF(INDEX(選手一覧!$H$5:$H$2736,$K38)="","",INDEX(選手一覧!$H$5:$H$2736,$K38))</f>
        <v>0.00274976851851852</v>
      </c>
      <c r="Q38" s="12" t="n">
        <f aca="false">IF(INDEX(選手一覧!$I$5:$I$2736,$K38)="","",INDEX(選手一覧!$I$5:$I$2736,$K38))</f>
        <v>103</v>
      </c>
    </row>
    <row r="39" customFormat="false" ht="15" hidden="false" customHeight="false" outlineLevel="0" collapsed="false">
      <c r="A39" s="25" t="n">
        <v>1</v>
      </c>
      <c r="B39" s="26" t="n">
        <v>10</v>
      </c>
      <c r="C39" s="10" t="n">
        <v>83</v>
      </c>
      <c r="D39" s="27" t="n">
        <f aca="false">COUNTIFS($A$5:$A$229,A39,$E$5:$E$229,"&lt;"&amp;E39)+1</f>
        <v>35</v>
      </c>
      <c r="E39" s="28" t="n">
        <v>0.0217824074074074</v>
      </c>
      <c r="F39" s="28" t="n">
        <f aca="false">E39/B39</f>
        <v>0.00217824074074074</v>
      </c>
      <c r="G39" s="29" t="s">
        <v>4258</v>
      </c>
      <c r="H39" s="29" t="s">
        <v>4259</v>
      </c>
      <c r="I39" s="30" t="s">
        <v>4243</v>
      </c>
      <c r="J39" s="27" t="n">
        <v>68</v>
      </c>
      <c r="K39" s="27" t="n">
        <v>225</v>
      </c>
      <c r="L39" s="9" t="n">
        <f aca="false">IF(INDEX(選手一覧!$D$5:$D$2736,$K39)="","",INDEX(選手一覧!$D$5:$D$2736,$K39))</f>
        <v>0.0103711805555556</v>
      </c>
      <c r="M39" s="10" t="n">
        <f aca="false">IF(INDEX(選手一覧!$E$5:$E$2736,$K39)="","",INDEX(選手一覧!$E$5:$E$2736,$K39))</f>
        <v>226</v>
      </c>
      <c r="N39" s="11" t="str">
        <f aca="false">IF(INDEX(選手一覧!$F$5:$F$2736,$K39)="","",INDEX(選手一覧!$F$5:$F$2736,$K39))</f>
        <v/>
      </c>
      <c r="O39" s="12" t="str">
        <f aca="false">IF(INDEX(選手一覧!$G$5:$G$2736,$K39)="","",INDEX(選手一覧!$G$5:$G$2736,$K39))</f>
        <v/>
      </c>
      <c r="P39" s="11" t="n">
        <f aca="false">IF(INDEX(選手一覧!$H$5:$H$2736,$K39)="","",INDEX(選手一覧!$H$5:$H$2736,$K39))</f>
        <v>0.0026662037037037</v>
      </c>
      <c r="Q39" s="12" t="n">
        <f aca="false">IF(INDEX(選手一覧!$I$5:$I$2736,$K39)="","",INDEX(選手一覧!$I$5:$I$2736,$K39))</f>
        <v>6</v>
      </c>
    </row>
    <row r="40" customFormat="false" ht="15" hidden="false" customHeight="false" outlineLevel="0" collapsed="false">
      <c r="A40" s="25" t="n">
        <v>1</v>
      </c>
      <c r="B40" s="26" t="n">
        <v>10</v>
      </c>
      <c r="C40" s="10" t="n">
        <v>88</v>
      </c>
      <c r="D40" s="27" t="n">
        <f aca="false">COUNTIFS($A$5:$A$229,A40,$E$5:$E$229,"&lt;"&amp;E40)+1</f>
        <v>36</v>
      </c>
      <c r="E40" s="28" t="n">
        <v>0.0219560185185185</v>
      </c>
      <c r="F40" s="28" t="n">
        <f aca="false">E40/B40</f>
        <v>0.00219560185185185</v>
      </c>
      <c r="G40" s="29" t="s">
        <v>4260</v>
      </c>
      <c r="H40" s="29" t="s">
        <v>4261</v>
      </c>
      <c r="I40" s="30" t="s">
        <v>4184</v>
      </c>
      <c r="J40" s="27" t="n">
        <v>92</v>
      </c>
      <c r="K40" s="27" t="n">
        <v>1774</v>
      </c>
      <c r="L40" s="9" t="str">
        <f aca="false">IF(INDEX(選手一覧!$D$5:$D$2736,$K40)="","",INDEX(選手一覧!$D$5:$D$2736,$K40))</f>
        <v/>
      </c>
      <c r="M40" s="10" t="str">
        <f aca="false">IF(INDEX(選手一覧!$E$5:$E$2736,$K40)="","",INDEX(選手一覧!$E$5:$E$2736,$K40))</f>
        <v/>
      </c>
      <c r="N40" s="11" t="str">
        <f aca="false">IF(INDEX(選手一覧!$F$5:$F$2736,$K40)="","",INDEX(選手一覧!$F$5:$F$2736,$K40))</f>
        <v/>
      </c>
      <c r="O40" s="12" t="str">
        <f aca="false">IF(INDEX(選手一覧!$G$5:$G$2736,$K40)="","",INDEX(選手一覧!$G$5:$G$2736,$K40))</f>
        <v/>
      </c>
      <c r="P40" s="11" t="n">
        <f aca="false">IF(INDEX(選手一覧!$H$5:$H$2736,$K40)="","",INDEX(選手一覧!$H$5:$H$2736,$K40))</f>
        <v>0.00286643518518519</v>
      </c>
      <c r="Q40" s="12" t="n">
        <f aca="false">IF(INDEX(選手一覧!$I$5:$I$2736,$K40)="","",INDEX(選手一覧!$I$5:$I$2736,$K40))</f>
        <v>672</v>
      </c>
    </row>
    <row r="41" customFormat="false" ht="15" hidden="false" customHeight="false" outlineLevel="0" collapsed="false">
      <c r="A41" s="25" t="n">
        <v>1</v>
      </c>
      <c r="B41" s="26" t="n">
        <v>10</v>
      </c>
      <c r="C41" s="10" t="n">
        <v>93</v>
      </c>
      <c r="D41" s="27" t="n">
        <f aca="false">COUNTIFS($A$5:$A$229,A41,$E$5:$E$229,"&lt;"&amp;E41)+1</f>
        <v>37</v>
      </c>
      <c r="E41" s="28" t="n">
        <v>0.0222106481481482</v>
      </c>
      <c r="F41" s="28" t="n">
        <f aca="false">E41/B41</f>
        <v>0.00222106481481482</v>
      </c>
      <c r="G41" s="29" t="s">
        <v>4262</v>
      </c>
      <c r="H41" s="29" t="s">
        <v>4263</v>
      </c>
      <c r="I41" s="30" t="s">
        <v>4264</v>
      </c>
      <c r="J41" s="27" t="n">
        <v>102</v>
      </c>
      <c r="K41" s="27" t="n">
        <v>1584</v>
      </c>
      <c r="L41" s="9" t="str">
        <f aca="false">IF(INDEX(選手一覧!$D$5:$D$2736,$K41)="","",INDEX(選手一覧!$D$5:$D$2736,$K41))</f>
        <v/>
      </c>
      <c r="M41" s="10" t="str">
        <f aca="false">IF(INDEX(選手一覧!$E$5:$E$2736,$K41)="","",INDEX(選手一覧!$E$5:$E$2736,$K41))</f>
        <v/>
      </c>
      <c r="N41" s="11" t="n">
        <f aca="false">IF(INDEX(選手一覧!$F$5:$F$2736,$K41)="","",INDEX(選手一覧!$F$5:$F$2736,$K41))</f>
        <v>0.00741527777777778</v>
      </c>
      <c r="O41" s="12" t="n">
        <f aca="false">IF(INDEX(選手一覧!$G$5:$G$2736,$K41)="","",INDEX(選手一覧!$G$5:$G$2736,$K41))</f>
        <v>788</v>
      </c>
      <c r="P41" s="11" t="n">
        <f aca="false">IF(INDEX(選手一覧!$H$5:$H$2736,$K41)="","",INDEX(選手一覧!$H$5:$H$2736,$K41))</f>
        <v>0.00283912037037037</v>
      </c>
      <c r="Q41" s="12" t="n">
        <f aca="false">IF(INDEX(選手一覧!$I$5:$I$2736,$K41)="","",INDEX(選手一覧!$I$5:$I$2736,$K41))</f>
        <v>489</v>
      </c>
    </row>
    <row r="42" customFormat="false" ht="15" hidden="false" customHeight="false" outlineLevel="0" collapsed="false">
      <c r="A42" s="25" t="n">
        <v>1</v>
      </c>
      <c r="B42" s="26" t="n">
        <v>10</v>
      </c>
      <c r="C42" s="10" t="n">
        <v>96</v>
      </c>
      <c r="D42" s="27" t="n">
        <f aca="false">COUNTIFS($A$5:$A$229,A42,$E$5:$E$229,"&lt;"&amp;E42)+1</f>
        <v>38</v>
      </c>
      <c r="E42" s="28" t="n">
        <v>0.0224768518518519</v>
      </c>
      <c r="F42" s="28" t="n">
        <f aca="false">E42/B42</f>
        <v>0.00224768518518519</v>
      </c>
      <c r="G42" s="29" t="s">
        <v>4265</v>
      </c>
      <c r="H42" s="29" t="s">
        <v>4266</v>
      </c>
      <c r="I42" s="30" t="s">
        <v>4196</v>
      </c>
      <c r="J42" s="27" t="n">
        <v>98</v>
      </c>
      <c r="K42" s="27" t="n">
        <v>1333</v>
      </c>
      <c r="L42" s="9" t="str">
        <f aca="false">IF(INDEX(選手一覧!$D$5:$D$2736,$K42)="","",INDEX(選手一覧!$D$5:$D$2736,$K42))</f>
        <v/>
      </c>
      <c r="M42" s="10" t="str">
        <f aca="false">IF(INDEX(選手一覧!$E$5:$E$2736,$K42)="","",INDEX(選手一覧!$E$5:$E$2736,$K42))</f>
        <v/>
      </c>
      <c r="N42" s="11" t="n">
        <f aca="false">IF(INDEX(選手一覧!$F$5:$F$2736,$K42)="","",INDEX(選手一覧!$F$5:$F$2736,$K42))</f>
        <v>0.00680416666666667</v>
      </c>
      <c r="O42" s="12" t="n">
        <f aca="false">IF(INDEX(選手一覧!$G$5:$G$2736,$K42)="","",INDEX(選手一覧!$G$5:$G$2736,$K42))</f>
        <v>175</v>
      </c>
      <c r="P42" s="11" t="n">
        <f aca="false">IF(INDEX(選手一覧!$H$5:$H$2736,$K42)="","",INDEX(選手一覧!$H$5:$H$2736,$K42))</f>
        <v>0.00291759259259259</v>
      </c>
      <c r="Q42" s="12" t="n">
        <f aca="false">IF(INDEX(選手一覧!$I$5:$I$2736,$K42)="","",INDEX(選手一覧!$I$5:$I$2736,$K42))</f>
        <v>1071</v>
      </c>
    </row>
    <row r="43" customFormat="false" ht="15" hidden="false" customHeight="false" outlineLevel="0" collapsed="false">
      <c r="A43" s="25" t="n">
        <v>1</v>
      </c>
      <c r="B43" s="26" t="n">
        <v>10</v>
      </c>
      <c r="C43" s="10" t="n">
        <v>97</v>
      </c>
      <c r="D43" s="27" t="n">
        <f aca="false">COUNTIFS($A$5:$A$229,A43,$E$5:$E$229,"&lt;"&amp;E43)+1</f>
        <v>39</v>
      </c>
      <c r="E43" s="28" t="n">
        <v>0.0225925925925926</v>
      </c>
      <c r="F43" s="28" t="n">
        <f aca="false">E43/B43</f>
        <v>0.00225925925925926</v>
      </c>
      <c r="G43" s="29" t="s">
        <v>4267</v>
      </c>
      <c r="H43" s="29" t="s">
        <v>4268</v>
      </c>
      <c r="I43" s="30" t="s">
        <v>4269</v>
      </c>
      <c r="J43" s="27" t="n">
        <v>93</v>
      </c>
      <c r="K43" s="27" t="n">
        <v>510</v>
      </c>
      <c r="L43" s="9" t="n">
        <f aca="false">IF(INDEX(選手一覧!$D$5:$D$2736,$K43)="","",INDEX(選手一覧!$D$5:$D$2736,$K43))</f>
        <v>0.0106412037037037</v>
      </c>
      <c r="M43" s="10" t="n">
        <f aca="false">IF(INDEX(選手一覧!$E$5:$E$2736,$K43)="","",INDEX(選手一覧!$E$5:$E$2736,$K43))</f>
        <v>511</v>
      </c>
      <c r="N43" s="11" t="n">
        <f aca="false">IF(INDEX(選手一覧!$F$5:$F$2736,$K43)="","",INDEX(選手一覧!$F$5:$F$2736,$K43))</f>
        <v>0.00674803240740741</v>
      </c>
      <c r="O43" s="12" t="n">
        <f aca="false">IF(INDEX(選手一覧!$G$5:$G$2736,$K43)="","",INDEX(選手一覧!$G$5:$G$2736,$K43))</f>
        <v>126</v>
      </c>
      <c r="P43" s="11" t="n">
        <f aca="false">IF(INDEX(選手一覧!$H$5:$H$2736,$K43)="","",INDEX(選手一覧!$H$5:$H$2736,$K43))</f>
        <v>0.00282048611111111</v>
      </c>
      <c r="Q43" s="12" t="n">
        <f aca="false">IF(INDEX(選手一覧!$I$5:$I$2736,$K43)="","",INDEX(選手一覧!$I$5:$I$2736,$K43))</f>
        <v>364</v>
      </c>
    </row>
    <row r="44" customFormat="false" ht="15" hidden="false" customHeight="false" outlineLevel="0" collapsed="false">
      <c r="A44" s="25" t="n">
        <v>1</v>
      </c>
      <c r="B44" s="26" t="n">
        <v>10</v>
      </c>
      <c r="C44" s="10" t="n">
        <v>102</v>
      </c>
      <c r="D44" s="27" t="n">
        <f aca="false">COUNTIFS($A$5:$A$229,A44,$E$5:$E$229,"&lt;"&amp;E44)+1</f>
        <v>40</v>
      </c>
      <c r="E44" s="28" t="n">
        <v>0.0229513888888889</v>
      </c>
      <c r="F44" s="28" t="n">
        <f aca="false">E44/B44</f>
        <v>0.00229513888888889</v>
      </c>
      <c r="G44" s="29" t="s">
        <v>4270</v>
      </c>
      <c r="H44" s="29" t="s">
        <v>4271</v>
      </c>
      <c r="I44" s="30" t="s">
        <v>4173</v>
      </c>
      <c r="J44" s="27" t="n">
        <v>103</v>
      </c>
      <c r="K44" s="27" t="n">
        <v>1117</v>
      </c>
      <c r="L44" s="9" t="n">
        <f aca="false">IF(INDEX(選手一覧!$D$5:$D$2736,$K44)="","",INDEX(選手一覧!$D$5:$D$2736,$K44))</f>
        <v>0.011015162037037</v>
      </c>
      <c r="M44" s="10" t="n">
        <f aca="false">IF(INDEX(選手一覧!$E$5:$E$2736,$K44)="","",INDEX(選手一覧!$E$5:$E$2736,$K44))</f>
        <v>1118</v>
      </c>
      <c r="N44" s="11" t="n">
        <f aca="false">IF(INDEX(選手一覧!$F$5:$F$2736,$K44)="","",INDEX(選手一覧!$F$5:$F$2736,$K44))</f>
        <v>0.00704675925925926</v>
      </c>
      <c r="O44" s="12" t="n">
        <f aca="false">IF(INDEX(選手一覧!$G$5:$G$2736,$K44)="","",INDEX(選手一覧!$G$5:$G$2736,$K44))</f>
        <v>387</v>
      </c>
      <c r="P44" s="11" t="n">
        <f aca="false">IF(INDEX(選手一覧!$H$5:$H$2736,$K44)="","",INDEX(選手一覧!$H$5:$H$2736,$K44))</f>
        <v>0.00292349537037037</v>
      </c>
      <c r="Q44" s="12" t="n">
        <f aca="false">IF(INDEX(選手一覧!$I$5:$I$2736,$K44)="","",INDEX(選手一覧!$I$5:$I$2736,$K44))</f>
        <v>1133</v>
      </c>
    </row>
    <row r="45" customFormat="false" ht="15" hidden="false" customHeight="false" outlineLevel="0" collapsed="false">
      <c r="A45" s="25" t="n">
        <v>1</v>
      </c>
      <c r="B45" s="26" t="n">
        <v>10</v>
      </c>
      <c r="C45" s="10" t="n">
        <v>103</v>
      </c>
      <c r="D45" s="27" t="n">
        <f aca="false">COUNTIFS($A$5:$A$229,A45,$E$5:$E$229,"&lt;"&amp;E45)+1</f>
        <v>41</v>
      </c>
      <c r="E45" s="28" t="n">
        <v>0.0230324074074074</v>
      </c>
      <c r="F45" s="28" t="n">
        <f aca="false">E45/B45</f>
        <v>0.00230324074074074</v>
      </c>
      <c r="G45" s="29" t="s">
        <v>4272</v>
      </c>
      <c r="H45" s="29" t="s">
        <v>4273</v>
      </c>
      <c r="I45" s="30" t="s">
        <v>4211</v>
      </c>
      <c r="J45" s="27" t="n">
        <v>95</v>
      </c>
      <c r="K45" s="27" t="n">
        <v>1349</v>
      </c>
      <c r="L45" s="9" t="str">
        <f aca="false">IF(INDEX(選手一覧!$D$5:$D$2736,$K45)="","",INDEX(選手一覧!$D$5:$D$2736,$K45))</f>
        <v/>
      </c>
      <c r="M45" s="10" t="str">
        <f aca="false">IF(INDEX(選手一覧!$E$5:$E$2736,$K45)="","",INDEX(選手一覧!$E$5:$E$2736,$K45))</f>
        <v/>
      </c>
      <c r="N45" s="11" t="n">
        <f aca="false">IF(INDEX(選手一覧!$F$5:$F$2736,$K45)="","",INDEX(選手一覧!$F$5:$F$2736,$K45))</f>
        <v>0.00684768518518519</v>
      </c>
      <c r="O45" s="12" t="n">
        <f aca="false">IF(INDEX(選手一覧!$G$5:$G$2736,$K45)="","",INDEX(選手一覧!$G$5:$G$2736,$K45))</f>
        <v>202</v>
      </c>
      <c r="P45" s="11" t="str">
        <f aca="false">IF(INDEX(選手一覧!$H$5:$H$2736,$K45)="","",INDEX(選手一覧!$H$5:$H$2736,$K45))</f>
        <v/>
      </c>
      <c r="Q45" s="12" t="str">
        <f aca="false">IF(INDEX(選手一覧!$I$5:$I$2736,$K45)="","",INDEX(選手一覧!$I$5:$I$2736,$K45))</f>
        <v/>
      </c>
    </row>
    <row r="46" customFormat="false" ht="15" hidden="false" customHeight="false" outlineLevel="0" collapsed="false">
      <c r="A46" s="25" t="n">
        <v>1</v>
      </c>
      <c r="B46" s="26" t="n">
        <v>10</v>
      </c>
      <c r="C46" s="10" t="n">
        <v>107</v>
      </c>
      <c r="D46" s="27" t="n">
        <f aca="false">COUNTIFS($A$5:$A$229,A46,$E$5:$E$229,"&lt;"&amp;E46)+1</f>
        <v>42</v>
      </c>
      <c r="E46" s="28" t="n">
        <v>0.0237268518518519</v>
      </c>
      <c r="F46" s="28" t="n">
        <f aca="false">E46/B46</f>
        <v>0.00237268518518519</v>
      </c>
      <c r="G46" s="29" t="s">
        <v>4274</v>
      </c>
      <c r="H46" s="29" t="s">
        <v>4275</v>
      </c>
      <c r="I46" s="30" t="s">
        <v>4184</v>
      </c>
      <c r="J46" s="27" t="n">
        <v>108</v>
      </c>
      <c r="K46" s="27" t="n">
        <v>1119</v>
      </c>
      <c r="L46" s="9" t="n">
        <f aca="false">IF(INDEX(選手一覧!$D$5:$D$2736,$K46)="","",INDEX(選手一覧!$D$5:$D$2736,$K46))</f>
        <v>0.0110162037037037</v>
      </c>
      <c r="M46" s="10" t="n">
        <f aca="false">IF(INDEX(選手一覧!$E$5:$E$2736,$K46)="","",INDEX(選手一覧!$E$5:$E$2736,$K46))</f>
        <v>1120</v>
      </c>
      <c r="N46" s="11" t="n">
        <f aca="false">IF(INDEX(選手一覧!$F$5:$F$2736,$K46)="","",INDEX(選手一覧!$F$5:$F$2736,$K46))</f>
        <v>0.00754918981481482</v>
      </c>
      <c r="O46" s="12" t="n">
        <f aca="false">IF(INDEX(選手一覧!$G$5:$G$2736,$K46)="","",INDEX(選手一覧!$G$5:$G$2736,$K46))</f>
        <v>957</v>
      </c>
      <c r="P46" s="11" t="str">
        <f aca="false">IF(INDEX(選手一覧!$H$5:$H$2736,$K46)="","",INDEX(選手一覧!$H$5:$H$2736,$K46))</f>
        <v/>
      </c>
      <c r="Q46" s="12" t="str">
        <f aca="false">IF(INDEX(選手一覧!$I$5:$I$2736,$K46)="","",INDEX(選手一覧!$I$5:$I$2736,$K46))</f>
        <v/>
      </c>
    </row>
    <row r="47" customFormat="false" ht="15" hidden="false" customHeight="false" outlineLevel="0" collapsed="false">
      <c r="A47" s="35" t="n">
        <v>2</v>
      </c>
      <c r="B47" s="36" t="n">
        <v>3</v>
      </c>
      <c r="C47" s="10" t="n">
        <v>1</v>
      </c>
      <c r="D47" s="12" t="n">
        <f aca="false">COUNTIFS($A$5:$A$229,A47,$E$5:$E$229,"&lt;"&amp;E47)+1</f>
        <v>1</v>
      </c>
      <c r="E47" s="37" t="n">
        <v>0.005625</v>
      </c>
      <c r="F47" s="37" t="n">
        <f aca="false">E47/B47</f>
        <v>0.001875</v>
      </c>
      <c r="G47" s="8" t="s">
        <v>4276</v>
      </c>
      <c r="H47" s="8" t="s">
        <v>4277</v>
      </c>
      <c r="I47" s="38" t="s">
        <v>4251</v>
      </c>
      <c r="J47" s="12" t="n">
        <v>12</v>
      </c>
      <c r="K47" s="12" t="n">
        <v>5</v>
      </c>
      <c r="L47" s="9" t="n">
        <f aca="false">IF(INDEX(選手一覧!$D$5:$D$2736,$K47)="","",INDEX(選手一覧!$D$5:$D$2736,$K47))</f>
        <v>0.00974224537037037</v>
      </c>
      <c r="M47" s="10" t="n">
        <f aca="false">IF(INDEX(選手一覧!$E$5:$E$2736,$K47)="","",INDEX(選手一覧!$E$5:$E$2736,$K47))</f>
        <v>5</v>
      </c>
      <c r="N47" s="11" t="str">
        <f aca="false">IF(INDEX(選手一覧!$F$5:$F$2736,$K47)="","",INDEX(選手一覧!$F$5:$F$2736,$K47))</f>
        <v/>
      </c>
      <c r="O47" s="12" t="str">
        <f aca="false">IF(INDEX(選手一覧!$G$5:$G$2736,$K47)="","",INDEX(選手一覧!$G$5:$G$2736,$K47))</f>
        <v/>
      </c>
      <c r="P47" s="11" t="n">
        <f aca="false">IF(INDEX(選手一覧!$H$5:$H$2736,$K47)="","",INDEX(選手一覧!$H$5:$H$2736,$K47))</f>
        <v>0.00267881944444444</v>
      </c>
      <c r="Q47" s="12" t="n">
        <f aca="false">IF(INDEX(選手一覧!$I$5:$I$2736,$K47)="","",INDEX(選手一覧!$I$5:$I$2736,$K47))</f>
        <v>13</v>
      </c>
    </row>
    <row r="48" customFormat="false" ht="15" hidden="false" customHeight="false" outlineLevel="0" collapsed="false">
      <c r="A48" s="35" t="n">
        <v>2</v>
      </c>
      <c r="B48" s="36" t="n">
        <v>3</v>
      </c>
      <c r="C48" s="10" t="n">
        <v>3</v>
      </c>
      <c r="D48" s="12" t="n">
        <f aca="false">COUNTIFS($A$5:$A$229,A48,$E$5:$E$229,"&lt;"&amp;E48)+1</f>
        <v>2</v>
      </c>
      <c r="E48" s="37" t="n">
        <v>0.00572916666666667</v>
      </c>
      <c r="F48" s="37" t="n">
        <f aca="false">E48/B48</f>
        <v>0.00190972222222222</v>
      </c>
      <c r="G48" s="8" t="s">
        <v>4278</v>
      </c>
      <c r="H48" s="8" t="s">
        <v>4279</v>
      </c>
      <c r="I48" s="38" t="s">
        <v>4264</v>
      </c>
      <c r="J48" s="12" t="n">
        <v>48</v>
      </c>
      <c r="K48" s="12" t="n">
        <v>384</v>
      </c>
      <c r="L48" s="9" t="n">
        <f aca="false">IF(INDEX(選手一覧!$D$5:$D$2736,$K48)="","",INDEX(選手一覧!$D$5:$D$2736,$K48))</f>
        <v>0.0105398148148148</v>
      </c>
      <c r="M48" s="10" t="n">
        <f aca="false">IF(INDEX(選手一覧!$E$5:$E$2736,$K48)="","",INDEX(選手一覧!$E$5:$E$2736,$K48))</f>
        <v>385</v>
      </c>
      <c r="N48" s="11" t="n">
        <f aca="false">IF(INDEX(選手一覧!$F$5:$F$2736,$K48)="","",INDEX(選手一覧!$F$5:$F$2736,$K48))</f>
        <v>0.00639525462962963</v>
      </c>
      <c r="O48" s="12" t="n">
        <f aca="false">IF(INDEX(選手一覧!$G$5:$G$2736,$K48)="","",INDEX(選手一覧!$G$5:$G$2736,$K48))</f>
        <v>14</v>
      </c>
      <c r="P48" s="11" t="n">
        <f aca="false">IF(INDEX(選手一覧!$H$5:$H$2736,$K48)="","",INDEX(選手一覧!$H$5:$H$2736,$K48))</f>
        <v>0.00272905092592593</v>
      </c>
      <c r="Q48" s="12" t="n">
        <f aca="false">IF(INDEX(選手一覧!$I$5:$I$2736,$K48)="","",INDEX(選手一覧!$I$5:$I$2736,$K48))</f>
        <v>63</v>
      </c>
    </row>
    <row r="49" customFormat="false" ht="15" hidden="false" customHeight="false" outlineLevel="0" collapsed="false">
      <c r="A49" s="35" t="n">
        <v>2</v>
      </c>
      <c r="B49" s="36" t="n">
        <v>3</v>
      </c>
      <c r="C49" s="10" t="n">
        <v>4</v>
      </c>
      <c r="D49" s="12" t="n">
        <f aca="false">COUNTIFS($A$5:$A$229,A49,$E$5:$E$229,"&lt;"&amp;E49)+1</f>
        <v>3</v>
      </c>
      <c r="E49" s="37" t="n">
        <v>0.00577546296296296</v>
      </c>
      <c r="F49" s="37" t="n">
        <f aca="false">E49/B49</f>
        <v>0.00192515432098765</v>
      </c>
      <c r="G49" s="8" t="s">
        <v>4280</v>
      </c>
      <c r="H49" s="8" t="s">
        <v>4175</v>
      </c>
      <c r="I49" s="38" t="s">
        <v>4176</v>
      </c>
      <c r="J49" s="12" t="n">
        <v>3</v>
      </c>
      <c r="K49" s="12" t="n">
        <v>41</v>
      </c>
      <c r="L49" s="9" t="n">
        <f aca="false">IF(INDEX(選手一覧!$D$5:$D$2736,$K49)="","",INDEX(選手一覧!$D$5:$D$2736,$K49))</f>
        <v>0.0100759259259259</v>
      </c>
      <c r="M49" s="10" t="n">
        <f aca="false">IF(INDEX(選手一覧!$E$5:$E$2736,$K49)="","",INDEX(選手一覧!$E$5:$E$2736,$K49))</f>
        <v>42</v>
      </c>
      <c r="N49" s="11" t="str">
        <f aca="false">IF(INDEX(選手一覧!$F$5:$F$2736,$K49)="","",INDEX(選手一覧!$F$5:$F$2736,$K49))</f>
        <v/>
      </c>
      <c r="O49" s="12" t="str">
        <f aca="false">IF(INDEX(選手一覧!$G$5:$G$2736,$K49)="","",INDEX(選手一覧!$G$5:$G$2736,$K49))</f>
        <v/>
      </c>
      <c r="P49" s="11" t="n">
        <f aca="false">IF(INDEX(選手一覧!$H$5:$H$2736,$K49)="","",INDEX(選手一覧!$H$5:$H$2736,$K49))</f>
        <v>0.00279201388888889</v>
      </c>
      <c r="Q49" s="12" t="n">
        <f aca="false">IF(INDEX(選手一覧!$I$5:$I$2736,$K49)="","",INDEX(選手一覧!$I$5:$I$2736,$K49))</f>
        <v>249</v>
      </c>
    </row>
    <row r="50" customFormat="false" ht="15" hidden="false" customHeight="false" outlineLevel="0" collapsed="false">
      <c r="A50" s="35" t="n">
        <v>2</v>
      </c>
      <c r="B50" s="36" t="n">
        <v>3</v>
      </c>
      <c r="C50" s="10" t="n">
        <v>6</v>
      </c>
      <c r="D50" s="12" t="n">
        <f aca="false">COUNTIFS($A$5:$A$229,A50,$E$5:$E$229,"&lt;"&amp;E50)+1</f>
        <v>4</v>
      </c>
      <c r="E50" s="37" t="n">
        <v>0.00582175925925926</v>
      </c>
      <c r="F50" s="37" t="n">
        <f aca="false">E50/B50</f>
        <v>0.00194058641975309</v>
      </c>
      <c r="G50" s="8" t="s">
        <v>4281</v>
      </c>
      <c r="H50" s="8" t="s">
        <v>4282</v>
      </c>
      <c r="I50" s="38" t="s">
        <v>4264</v>
      </c>
      <c r="J50" s="12" t="n">
        <v>9</v>
      </c>
      <c r="K50" s="12" t="n">
        <v>101</v>
      </c>
      <c r="L50" s="9" t="n">
        <f aca="false">IF(INDEX(選手一覧!$D$5:$D$2736,$K50)="","",INDEX(選手一覧!$D$5:$D$2736,$K50))</f>
        <v>0.0102140046296296</v>
      </c>
      <c r="M50" s="10" t="n">
        <f aca="false">IF(INDEX(選手一覧!$E$5:$E$2736,$K50)="","",INDEX(選手一覧!$E$5:$E$2736,$K50))</f>
        <v>102</v>
      </c>
      <c r="N50" s="11" t="n">
        <f aca="false">IF(INDEX(選手一覧!$F$5:$F$2736,$K50)="","",INDEX(選手一覧!$F$5:$F$2736,$K50))</f>
        <v>0.00633553240740741</v>
      </c>
      <c r="O50" s="12" t="n">
        <f aca="false">IF(INDEX(選手一覧!$G$5:$G$2736,$K50)="","",INDEX(選手一覧!$G$5:$G$2736,$K50))</f>
        <v>6</v>
      </c>
      <c r="P50" s="11" t="n">
        <f aca="false">IF(INDEX(選手一覧!$H$5:$H$2736,$K50)="","",INDEX(選手一覧!$H$5:$H$2736,$K50))</f>
        <v>0.00285925925925926</v>
      </c>
      <c r="Q50" s="12" t="n">
        <f aca="false">IF(INDEX(選手一覧!$I$5:$I$2736,$K50)="","",INDEX(選手一覧!$I$5:$I$2736,$K50))</f>
        <v>630</v>
      </c>
    </row>
    <row r="51" customFormat="false" ht="15" hidden="false" customHeight="false" outlineLevel="0" collapsed="false">
      <c r="A51" s="35" t="n">
        <v>2</v>
      </c>
      <c r="B51" s="36" t="n">
        <v>3</v>
      </c>
      <c r="C51" s="10" t="n">
        <v>9</v>
      </c>
      <c r="D51" s="12" t="n">
        <f aca="false">COUNTIFS($A$5:$A$229,A51,$E$5:$E$229,"&lt;"&amp;E51)+1</f>
        <v>5</v>
      </c>
      <c r="E51" s="37" t="n">
        <v>0.00584490740740741</v>
      </c>
      <c r="F51" s="37" t="n">
        <f aca="false">E51/B51</f>
        <v>0.0019483024691358</v>
      </c>
      <c r="G51" s="8" t="s">
        <v>4283</v>
      </c>
      <c r="H51" s="8" t="s">
        <v>4284</v>
      </c>
      <c r="I51" s="38" t="s">
        <v>4173</v>
      </c>
      <c r="J51" s="12" t="n">
        <v>21</v>
      </c>
      <c r="K51" s="12" t="n">
        <v>577</v>
      </c>
      <c r="L51" s="9" t="n">
        <f aca="false">IF(INDEX(選手一覧!$D$5:$D$2736,$K51)="","",INDEX(選手一覧!$D$5:$D$2736,$K51))</f>
        <v>0.0106987268518519</v>
      </c>
      <c r="M51" s="10" t="n">
        <f aca="false">IF(INDEX(選手一覧!$E$5:$E$2736,$K51)="","",INDEX(選手一覧!$E$5:$E$2736,$K51))</f>
        <v>578</v>
      </c>
      <c r="N51" s="11" t="str">
        <f aca="false">IF(INDEX(選手一覧!$F$5:$F$2736,$K51)="","",INDEX(選手一覧!$F$5:$F$2736,$K51))</f>
        <v/>
      </c>
      <c r="O51" s="12" t="str">
        <f aca="false">IF(INDEX(選手一覧!$G$5:$G$2736,$K51)="","",INDEX(選手一覧!$G$5:$G$2736,$K51))</f>
        <v/>
      </c>
      <c r="P51" s="11" t="n">
        <f aca="false">IF(INDEX(選手一覧!$H$5:$H$2736,$K51)="","",INDEX(選手一覧!$H$5:$H$2736,$K51))</f>
        <v>0.00272337962962963</v>
      </c>
      <c r="Q51" s="12" t="n">
        <f aca="false">IF(INDEX(選手一覧!$I$5:$I$2736,$K51)="","",INDEX(選手一覧!$I$5:$I$2736,$K51))</f>
        <v>54</v>
      </c>
    </row>
    <row r="52" customFormat="false" ht="15" hidden="false" customHeight="false" outlineLevel="0" collapsed="false">
      <c r="A52" s="35" t="n">
        <v>2</v>
      </c>
      <c r="B52" s="36" t="n">
        <v>3</v>
      </c>
      <c r="C52" s="10" t="n">
        <v>15</v>
      </c>
      <c r="D52" s="12" t="n">
        <f aca="false">COUNTIFS($A$5:$A$229,A52,$E$5:$E$229,"&lt;"&amp;E52)+1</f>
        <v>6</v>
      </c>
      <c r="E52" s="37" t="n">
        <v>0.0058912037037037</v>
      </c>
      <c r="F52" s="37" t="n">
        <f aca="false">E52/B52</f>
        <v>0.00196373456790123</v>
      </c>
      <c r="G52" s="8" t="s">
        <v>4285</v>
      </c>
      <c r="H52" s="8" t="s">
        <v>4286</v>
      </c>
      <c r="I52" s="38" t="s">
        <v>4264</v>
      </c>
      <c r="J52" s="12" t="n">
        <v>13</v>
      </c>
      <c r="K52" s="12" t="n">
        <v>97</v>
      </c>
      <c r="L52" s="9" t="n">
        <f aca="false">IF(INDEX(選手一覧!$D$5:$D$2736,$K52)="","",INDEX(選手一覧!$D$5:$D$2736,$K52))</f>
        <v>0.0102041666666667</v>
      </c>
      <c r="M52" s="10" t="n">
        <f aca="false">IF(INDEX(選手一覧!$E$5:$E$2736,$K52)="","",INDEX(選手一覧!$E$5:$E$2736,$K52))</f>
        <v>98</v>
      </c>
      <c r="N52" s="11" t="str">
        <f aca="false">IF(INDEX(選手一覧!$F$5:$F$2736,$K52)="","",INDEX(選手一覧!$F$5:$F$2736,$K52))</f>
        <v/>
      </c>
      <c r="O52" s="12" t="str">
        <f aca="false">IF(INDEX(選手一覧!$G$5:$G$2736,$K52)="","",INDEX(選手一覧!$G$5:$G$2736,$K52))</f>
        <v/>
      </c>
      <c r="P52" s="11" t="n">
        <f aca="false">IF(INDEX(選手一覧!$H$5:$H$2736,$K52)="","",INDEX(選手一覧!$H$5:$H$2736,$K52))</f>
        <v>0.00267743055555556</v>
      </c>
      <c r="Q52" s="12" t="n">
        <f aca="false">IF(INDEX(選手一覧!$I$5:$I$2736,$K52)="","",INDEX(選手一覧!$I$5:$I$2736,$K52))</f>
        <v>11</v>
      </c>
    </row>
    <row r="53" customFormat="false" ht="15" hidden="false" customHeight="false" outlineLevel="0" collapsed="false">
      <c r="A53" s="35" t="n">
        <v>2</v>
      </c>
      <c r="B53" s="36" t="n">
        <v>3</v>
      </c>
      <c r="C53" s="10" t="n">
        <v>15</v>
      </c>
      <c r="D53" s="12" t="n">
        <f aca="false">COUNTIFS($A$5:$A$229,A53,$E$5:$E$229,"&lt;"&amp;E53)+1</f>
        <v>6</v>
      </c>
      <c r="E53" s="37" t="n">
        <v>0.0058912037037037</v>
      </c>
      <c r="F53" s="37" t="n">
        <f aca="false">E53/B53</f>
        <v>0.00196373456790123</v>
      </c>
      <c r="G53" s="8" t="s">
        <v>4287</v>
      </c>
      <c r="H53" s="8" t="s">
        <v>4228</v>
      </c>
      <c r="I53" s="38" t="s">
        <v>4229</v>
      </c>
      <c r="J53" s="12" t="n">
        <v>40</v>
      </c>
      <c r="K53" s="12" t="n">
        <v>1416</v>
      </c>
      <c r="L53" s="9" t="str">
        <f aca="false">IF(INDEX(選手一覧!$D$5:$D$2736,$K53)="","",INDEX(選手一覧!$D$5:$D$2736,$K53))</f>
        <v/>
      </c>
      <c r="M53" s="10" t="str">
        <f aca="false">IF(INDEX(選手一覧!$E$5:$E$2736,$K53)="","",INDEX(選手一覧!$E$5:$E$2736,$K53))</f>
        <v/>
      </c>
      <c r="N53" s="11" t="str">
        <f aca="false">IF(INDEX(選手一覧!$F$5:$F$2736,$K53)="","",INDEX(選手一覧!$F$5:$F$2736,$K53))</f>
        <v/>
      </c>
      <c r="O53" s="12" t="str">
        <f aca="false">IF(INDEX(選手一覧!$G$5:$G$2736,$K53)="","",INDEX(選手一覧!$G$5:$G$2736,$K53))</f>
        <v/>
      </c>
      <c r="P53" s="11" t="n">
        <f aca="false">IF(INDEX(選手一覧!$H$5:$H$2736,$K53)="","",INDEX(選手一覧!$H$5:$H$2736,$K53))</f>
        <v>0.00280243055555556</v>
      </c>
      <c r="Q53" s="12" t="n">
        <f aca="false">IF(INDEX(選手一覧!$I$5:$I$2736,$K53)="","",INDEX(選手一覧!$I$5:$I$2736,$K53))</f>
        <v>292</v>
      </c>
    </row>
    <row r="54" customFormat="false" ht="15" hidden="false" customHeight="false" outlineLevel="0" collapsed="false">
      <c r="A54" s="35" t="n">
        <v>2</v>
      </c>
      <c r="B54" s="36" t="n">
        <v>3</v>
      </c>
      <c r="C54" s="10" t="n">
        <v>29</v>
      </c>
      <c r="D54" s="12" t="n">
        <f aca="false">COUNTIFS($A$5:$A$229,A54,$E$5:$E$229,"&lt;"&amp;E54)+1</f>
        <v>8</v>
      </c>
      <c r="E54" s="37" t="n">
        <v>0.00597222222222222</v>
      </c>
      <c r="F54" s="37" t="n">
        <f aca="false">E54/B54</f>
        <v>0.00199074074074074</v>
      </c>
      <c r="G54" s="8" t="s">
        <v>4288</v>
      </c>
      <c r="H54" s="8" t="s">
        <v>4195</v>
      </c>
      <c r="I54" s="38" t="s">
        <v>4196</v>
      </c>
      <c r="J54" s="12" t="n">
        <v>38</v>
      </c>
      <c r="K54" s="12" t="n">
        <v>432</v>
      </c>
      <c r="L54" s="9" t="n">
        <f aca="false">IF(INDEX(選手一覧!$D$5:$D$2736,$K54)="","",INDEX(選手一覧!$D$5:$D$2736,$K54))</f>
        <v>0.0105804398148148</v>
      </c>
      <c r="M54" s="10" t="n">
        <f aca="false">IF(INDEX(選手一覧!$E$5:$E$2736,$K54)="","",INDEX(選手一覧!$E$5:$E$2736,$K54))</f>
        <v>433</v>
      </c>
      <c r="N54" s="11" t="n">
        <f aca="false">IF(INDEX(選手一覧!$F$5:$F$2736,$K54)="","",INDEX(選手一覧!$F$5:$F$2736,$K54))</f>
        <v>0.00656412037037037</v>
      </c>
      <c r="O54" s="12" t="n">
        <f aca="false">IF(INDEX(選手一覧!$G$5:$G$2736,$K54)="","",INDEX(選手一覧!$G$5:$G$2736,$K54))</f>
        <v>53</v>
      </c>
      <c r="P54" s="11" t="n">
        <f aca="false">IF(INDEX(選手一覧!$H$5:$H$2736,$K54)="","",INDEX(選手一覧!$H$5:$H$2736,$K54))</f>
        <v>0.00287986111111111</v>
      </c>
      <c r="Q54" s="12" t="n">
        <f aca="false">IF(INDEX(選手一覧!$I$5:$I$2736,$K54)="","",INDEX(選手一覧!$I$5:$I$2736,$K54))</f>
        <v>769</v>
      </c>
    </row>
    <row r="55" customFormat="false" ht="15" hidden="false" customHeight="false" outlineLevel="0" collapsed="false">
      <c r="A55" s="35" t="n">
        <v>2</v>
      </c>
      <c r="B55" s="36" t="n">
        <v>3</v>
      </c>
      <c r="C55" s="10" t="n">
        <v>32</v>
      </c>
      <c r="D55" s="12" t="n">
        <f aca="false">COUNTIFS($A$5:$A$229,A55,$E$5:$E$229,"&lt;"&amp;E55)+1</f>
        <v>9</v>
      </c>
      <c r="E55" s="37" t="n">
        <v>0.00599537037037037</v>
      </c>
      <c r="F55" s="37" t="n">
        <f aca="false">E55/B55</f>
        <v>0.00199845679012346</v>
      </c>
      <c r="G55" s="8" t="s">
        <v>4289</v>
      </c>
      <c r="H55" s="8" t="s">
        <v>4210</v>
      </c>
      <c r="I55" s="38" t="s">
        <v>4211</v>
      </c>
      <c r="J55" s="12" t="n">
        <v>33</v>
      </c>
      <c r="K55" s="12" t="n">
        <v>502</v>
      </c>
      <c r="L55" s="9" t="n">
        <f aca="false">IF(INDEX(選手一覧!$D$5:$D$2736,$K55)="","",INDEX(選手一覧!$D$5:$D$2736,$K55))</f>
        <v>0.0106248842592593</v>
      </c>
      <c r="M55" s="10" t="n">
        <f aca="false">IF(INDEX(選手一覧!$E$5:$E$2736,$K55)="","",INDEX(選手一覧!$E$5:$E$2736,$K55))</f>
        <v>503</v>
      </c>
      <c r="N55" s="11" t="str">
        <f aca="false">IF(INDEX(選手一覧!$F$5:$F$2736,$K55)="","",INDEX(選手一覧!$F$5:$F$2736,$K55))</f>
        <v/>
      </c>
      <c r="O55" s="12" t="str">
        <f aca="false">IF(INDEX(選手一覧!$G$5:$G$2736,$K55)="","",INDEX(選手一覧!$G$5:$G$2736,$K55))</f>
        <v/>
      </c>
      <c r="P55" s="11" t="n">
        <f aca="false">IF(INDEX(選手一覧!$H$5:$H$2736,$K55)="","",INDEX(選手一覧!$H$5:$H$2736,$K55))</f>
        <v>0.00290821759259259</v>
      </c>
      <c r="Q55" s="12" t="n">
        <f aca="false">IF(INDEX(選手一覧!$I$5:$I$2736,$K55)="","",INDEX(選手一覧!$I$5:$I$2736,$K55))</f>
        <v>1003</v>
      </c>
    </row>
    <row r="56" customFormat="false" ht="15" hidden="false" customHeight="false" outlineLevel="0" collapsed="false">
      <c r="A56" s="35" t="n">
        <v>2</v>
      </c>
      <c r="B56" s="36" t="n">
        <v>3</v>
      </c>
      <c r="C56" s="10" t="n">
        <v>32</v>
      </c>
      <c r="D56" s="12" t="n">
        <f aca="false">COUNTIFS($A$5:$A$229,A56,$E$5:$E$229,"&lt;"&amp;E56)+1</f>
        <v>9</v>
      </c>
      <c r="E56" s="37" t="n">
        <v>0.00599537037037037</v>
      </c>
      <c r="F56" s="37" t="n">
        <f aca="false">E56/B56</f>
        <v>0.00199845679012346</v>
      </c>
      <c r="G56" s="8" t="s">
        <v>4290</v>
      </c>
      <c r="H56" s="8" t="s">
        <v>4219</v>
      </c>
      <c r="I56" s="38" t="s">
        <v>4173</v>
      </c>
      <c r="J56" s="12" t="n">
        <v>41</v>
      </c>
      <c r="K56" s="12" t="n">
        <v>1031</v>
      </c>
      <c r="L56" s="9" t="n">
        <f aca="false">IF(INDEX(選手一覧!$D$5:$D$2736,$K56)="","",INDEX(選手一覧!$D$5:$D$2736,$K56))</f>
        <v>0.0109680555555556</v>
      </c>
      <c r="M56" s="10" t="n">
        <f aca="false">IF(INDEX(選手一覧!$E$5:$E$2736,$K56)="","",INDEX(選手一覧!$E$5:$E$2736,$K56))</f>
        <v>1032</v>
      </c>
      <c r="N56" s="11" t="str">
        <f aca="false">IF(INDEX(選手一覧!$F$5:$F$2736,$K56)="","",INDEX(選手一覧!$F$5:$F$2736,$K56))</f>
        <v/>
      </c>
      <c r="O56" s="12" t="str">
        <f aca="false">IF(INDEX(選手一覧!$G$5:$G$2736,$K56)="","",INDEX(選手一覧!$G$5:$G$2736,$K56))</f>
        <v/>
      </c>
      <c r="P56" s="11" t="n">
        <f aca="false">IF(INDEX(選手一覧!$H$5:$H$2736,$K56)="","",INDEX(選手一覧!$H$5:$H$2736,$K56))</f>
        <v>0.00282372685185185</v>
      </c>
      <c r="Q56" s="12" t="n">
        <f aca="false">IF(INDEX(選手一覧!$I$5:$I$2736,$K56)="","",INDEX(選手一覧!$I$5:$I$2736,$K56))</f>
        <v>385</v>
      </c>
    </row>
    <row r="57" customFormat="false" ht="15" hidden="false" customHeight="false" outlineLevel="0" collapsed="false">
      <c r="A57" s="35" t="n">
        <v>2</v>
      </c>
      <c r="B57" s="36" t="n">
        <v>3</v>
      </c>
      <c r="C57" s="10" t="n">
        <v>34</v>
      </c>
      <c r="D57" s="12" t="n">
        <f aca="false">COUNTIFS($A$5:$A$229,A57,$E$5:$E$229,"&lt;"&amp;E57)+1</f>
        <v>11</v>
      </c>
      <c r="E57" s="37" t="n">
        <v>0.00600694444444444</v>
      </c>
      <c r="F57" s="37" t="n">
        <f aca="false">E57/B57</f>
        <v>0.00200231481481482</v>
      </c>
      <c r="G57" s="8" t="s">
        <v>4291</v>
      </c>
      <c r="H57" s="8" t="s">
        <v>4216</v>
      </c>
      <c r="I57" s="38" t="s">
        <v>4217</v>
      </c>
      <c r="J57" s="12" t="n">
        <v>19</v>
      </c>
      <c r="K57" s="12" t="n">
        <v>159</v>
      </c>
      <c r="L57" s="9" t="n">
        <f aca="false">IF(INDEX(選手一覧!$D$5:$D$2736,$K57)="","",INDEX(選手一覧!$D$5:$D$2736,$K57))</f>
        <v>0.0103002314814815</v>
      </c>
      <c r="M57" s="10" t="n">
        <f aca="false">IF(INDEX(選手一覧!$E$5:$E$2736,$K57)="","",INDEX(選手一覧!$E$5:$E$2736,$K57))</f>
        <v>160</v>
      </c>
      <c r="N57" s="11" t="n">
        <f aca="false">IF(INDEX(選手一覧!$F$5:$F$2736,$K57)="","",INDEX(選手一覧!$F$5:$F$2736,$K57))</f>
        <v>0.00701736111111111</v>
      </c>
      <c r="O57" s="12" t="n">
        <f aca="false">IF(INDEX(選手一覧!$G$5:$G$2736,$K57)="","",INDEX(選手一覧!$G$5:$G$2736,$K57))</f>
        <v>354</v>
      </c>
      <c r="P57" s="11" t="n">
        <f aca="false">IF(INDEX(選手一覧!$H$5:$H$2736,$K57)="","",INDEX(選手一覧!$H$5:$H$2736,$K57))</f>
        <v>0.0028443287037037</v>
      </c>
      <c r="Q57" s="12" t="n">
        <f aca="false">IF(INDEX(選手一覧!$I$5:$I$2736,$K57)="","",INDEX(選手一覧!$I$5:$I$2736,$K57))</f>
        <v>529</v>
      </c>
    </row>
    <row r="58" customFormat="false" ht="15" hidden="false" customHeight="false" outlineLevel="0" collapsed="false">
      <c r="A58" s="35" t="n">
        <v>2</v>
      </c>
      <c r="B58" s="36" t="n">
        <v>3</v>
      </c>
      <c r="C58" s="10" t="n">
        <v>34</v>
      </c>
      <c r="D58" s="12" t="n">
        <f aca="false">COUNTIFS($A$5:$A$229,A58,$E$5:$E$229,"&lt;"&amp;E58)+1</f>
        <v>11</v>
      </c>
      <c r="E58" s="37" t="n">
        <v>0.00600694444444444</v>
      </c>
      <c r="F58" s="37" t="n">
        <f aca="false">E58/B58</f>
        <v>0.00200231481481482</v>
      </c>
      <c r="G58" s="8" t="s">
        <v>4292</v>
      </c>
      <c r="H58" s="8" t="s">
        <v>4293</v>
      </c>
      <c r="I58" s="38" t="s">
        <v>4294</v>
      </c>
      <c r="J58" s="12" t="n">
        <v>53</v>
      </c>
      <c r="K58" s="12" t="n">
        <v>1370</v>
      </c>
      <c r="L58" s="9" t="str">
        <f aca="false">IF(INDEX(選手一覧!$D$5:$D$2736,$K58)="","",INDEX(選手一覧!$D$5:$D$2736,$K58))</f>
        <v/>
      </c>
      <c r="M58" s="10" t="str">
        <f aca="false">IF(INDEX(選手一覧!$E$5:$E$2736,$K58)="","",INDEX(選手一覧!$E$5:$E$2736,$K58))</f>
        <v/>
      </c>
      <c r="N58" s="11" t="n">
        <f aca="false">IF(INDEX(選手一覧!$F$5:$F$2736,$K58)="","",INDEX(選手一覧!$F$5:$F$2736,$K58))</f>
        <v>0.00695833333333333</v>
      </c>
      <c r="O58" s="12" t="n">
        <f aca="false">IF(INDEX(選手一覧!$G$5:$G$2736,$K58)="","",INDEX(選手一覧!$G$5:$G$2736,$K58))</f>
        <v>291</v>
      </c>
      <c r="P58" s="11" t="n">
        <f aca="false">IF(INDEX(選手一覧!$H$5:$H$2736,$K58)="","",INDEX(選手一覧!$H$5:$H$2736,$K58))</f>
        <v>0.00278819444444445</v>
      </c>
      <c r="Q58" s="12" t="n">
        <f aca="false">IF(INDEX(選手一覧!$I$5:$I$2736,$K58)="","",INDEX(選手一覧!$I$5:$I$2736,$K58))</f>
        <v>234</v>
      </c>
    </row>
    <row r="59" customFormat="false" ht="15" hidden="false" customHeight="false" outlineLevel="0" collapsed="false">
      <c r="A59" s="35" t="n">
        <v>2</v>
      </c>
      <c r="B59" s="36" t="n">
        <v>3</v>
      </c>
      <c r="C59" s="10" t="n">
        <v>43</v>
      </c>
      <c r="D59" s="12" t="n">
        <f aca="false">COUNTIFS($A$5:$A$229,A59,$E$5:$E$229,"&lt;"&amp;E59)+1</f>
        <v>13</v>
      </c>
      <c r="E59" s="37" t="n">
        <v>0.00605324074074074</v>
      </c>
      <c r="F59" s="37" t="n">
        <f aca="false">E59/B59</f>
        <v>0.00201774691358025</v>
      </c>
      <c r="G59" s="8" t="s">
        <v>4295</v>
      </c>
      <c r="H59" s="8" t="s">
        <v>4296</v>
      </c>
      <c r="I59" s="38" t="s">
        <v>4200</v>
      </c>
      <c r="J59" s="12" t="n">
        <v>43</v>
      </c>
      <c r="K59" s="12" t="n">
        <v>870</v>
      </c>
      <c r="L59" s="9" t="n">
        <f aca="false">IF(INDEX(選手一覧!$D$5:$D$2736,$K59)="","",INDEX(選手一覧!$D$5:$D$2736,$K59))</f>
        <v>0.0108703703703704</v>
      </c>
      <c r="M59" s="10" t="n">
        <f aca="false">IF(INDEX(選手一覧!$E$5:$E$2736,$K59)="","",INDEX(選手一覧!$E$5:$E$2736,$K59))</f>
        <v>871</v>
      </c>
      <c r="N59" s="11" t="str">
        <f aca="false">IF(INDEX(選手一覧!$F$5:$F$2736,$K59)="","",INDEX(選手一覧!$F$5:$F$2736,$K59))</f>
        <v/>
      </c>
      <c r="O59" s="12" t="str">
        <f aca="false">IF(INDEX(選手一覧!$G$5:$G$2736,$K59)="","",INDEX(選手一覧!$G$5:$G$2736,$K59))</f>
        <v/>
      </c>
      <c r="P59" s="11" t="n">
        <f aca="false">IF(INDEX(選手一覧!$H$5:$H$2736,$K59)="","",INDEX(選手一覧!$H$5:$H$2736,$K59))</f>
        <v>0.00287152777777778</v>
      </c>
      <c r="Q59" s="12" t="n">
        <f aca="false">IF(INDEX(選手一覧!$I$5:$I$2736,$K59)="","",INDEX(選手一覧!$I$5:$I$2736,$K59))</f>
        <v>712</v>
      </c>
    </row>
    <row r="60" customFormat="false" ht="15" hidden="false" customHeight="false" outlineLevel="0" collapsed="false">
      <c r="A60" s="35" t="n">
        <v>2</v>
      </c>
      <c r="B60" s="36" t="n">
        <v>3</v>
      </c>
      <c r="C60" s="10" t="n">
        <v>55</v>
      </c>
      <c r="D60" s="12" t="n">
        <f aca="false">COUNTIFS($A$5:$A$229,A60,$E$5:$E$229,"&lt;"&amp;E60)+1</f>
        <v>14</v>
      </c>
      <c r="E60" s="37" t="n">
        <v>0.00613425925925926</v>
      </c>
      <c r="F60" s="37" t="n">
        <f aca="false">E60/B60</f>
        <v>0.00204475308641975</v>
      </c>
      <c r="G60" s="8" t="s">
        <v>4297</v>
      </c>
      <c r="H60" s="8" t="s">
        <v>4233</v>
      </c>
      <c r="I60" s="38" t="s">
        <v>4229</v>
      </c>
      <c r="J60" s="12" t="n">
        <v>62</v>
      </c>
      <c r="K60" s="12" t="n">
        <v>917</v>
      </c>
      <c r="L60" s="9" t="n">
        <f aca="false">IF(INDEX(選手一覧!$D$5:$D$2736,$K60)="","",INDEX(選手一覧!$D$5:$D$2736,$K60))</f>
        <v>0.0108980324074074</v>
      </c>
      <c r="M60" s="10" t="n">
        <f aca="false">IF(INDEX(選手一覧!$E$5:$E$2736,$K60)="","",INDEX(選手一覧!$E$5:$E$2736,$K60))</f>
        <v>918</v>
      </c>
      <c r="N60" s="11" t="str">
        <f aca="false">IF(INDEX(選手一覧!$F$5:$F$2736,$K60)="","",INDEX(選手一覧!$F$5:$F$2736,$K60))</f>
        <v/>
      </c>
      <c r="O60" s="12" t="str">
        <f aca="false">IF(INDEX(選手一覧!$G$5:$G$2736,$K60)="","",INDEX(選手一覧!$G$5:$G$2736,$K60))</f>
        <v/>
      </c>
      <c r="P60" s="11" t="n">
        <f aca="false">IF(INDEX(選手一覧!$H$5:$H$2736,$K60)="","",INDEX(選手一覧!$H$5:$H$2736,$K60))</f>
        <v>0.00284930555555556</v>
      </c>
      <c r="Q60" s="12" t="n">
        <f aca="false">IF(INDEX(選手一覧!$I$5:$I$2736,$K60)="","",INDEX(選手一覧!$I$5:$I$2736,$K60))</f>
        <v>567</v>
      </c>
    </row>
    <row r="61" customFormat="false" ht="15" hidden="false" customHeight="false" outlineLevel="0" collapsed="false">
      <c r="A61" s="35" t="n">
        <v>2</v>
      </c>
      <c r="B61" s="36" t="n">
        <v>3</v>
      </c>
      <c r="C61" s="10" t="n">
        <v>56</v>
      </c>
      <c r="D61" s="12" t="n">
        <f aca="false">COUNTIFS($A$5:$A$229,A61,$E$5:$E$229,"&lt;"&amp;E61)+1</f>
        <v>15</v>
      </c>
      <c r="E61" s="37" t="n">
        <v>0.00614583333333333</v>
      </c>
      <c r="F61" s="37" t="n">
        <f aca="false">E61/B61</f>
        <v>0.00204861111111111</v>
      </c>
      <c r="G61" s="8" t="s">
        <v>4298</v>
      </c>
      <c r="H61" s="8" t="s">
        <v>4257</v>
      </c>
      <c r="I61" s="38" t="s">
        <v>4214</v>
      </c>
      <c r="J61" s="12" t="n">
        <v>57</v>
      </c>
      <c r="K61" s="12" t="n">
        <v>685</v>
      </c>
      <c r="L61" s="9" t="n">
        <f aca="false">IF(INDEX(選手一覧!$D$5:$D$2736,$K61)="","",INDEX(選手一覧!$D$5:$D$2736,$K61))</f>
        <v>0.0107627314814815</v>
      </c>
      <c r="M61" s="10" t="n">
        <f aca="false">IF(INDEX(選手一覧!$E$5:$E$2736,$K61)="","",INDEX(選手一覧!$E$5:$E$2736,$K61))</f>
        <v>686</v>
      </c>
      <c r="N61" s="11" t="str">
        <f aca="false">IF(INDEX(選手一覧!$F$5:$F$2736,$K61)="","",INDEX(選手一覧!$F$5:$F$2736,$K61))</f>
        <v/>
      </c>
      <c r="O61" s="12" t="str">
        <f aca="false">IF(INDEX(選手一覧!$G$5:$G$2736,$K61)="","",INDEX(選手一覧!$G$5:$G$2736,$K61))</f>
        <v/>
      </c>
      <c r="P61" s="11" t="n">
        <f aca="false">IF(INDEX(選手一覧!$H$5:$H$2736,$K61)="","",INDEX(選手一覧!$H$5:$H$2736,$K61))</f>
        <v>0.00278125</v>
      </c>
      <c r="Q61" s="12" t="n">
        <f aca="false">IF(INDEX(選手一覧!$I$5:$I$2736,$K61)="","",INDEX(選手一覧!$I$5:$I$2736,$K61))</f>
        <v>207</v>
      </c>
    </row>
    <row r="62" customFormat="false" ht="15" hidden="false" customHeight="false" outlineLevel="0" collapsed="false">
      <c r="A62" s="35" t="n">
        <v>2</v>
      </c>
      <c r="B62" s="36" t="n">
        <v>3</v>
      </c>
      <c r="C62" s="10" t="n">
        <v>58</v>
      </c>
      <c r="D62" s="12" t="n">
        <f aca="false">COUNTIFS($A$5:$A$229,A62,$E$5:$E$229,"&lt;"&amp;E62)+1</f>
        <v>16</v>
      </c>
      <c r="E62" s="37" t="n">
        <v>0.00615740740740741</v>
      </c>
      <c r="F62" s="37" t="n">
        <f aca="false">E62/B62</f>
        <v>0.00205246913580247</v>
      </c>
      <c r="G62" s="8" t="s">
        <v>4299</v>
      </c>
      <c r="H62" s="8" t="s">
        <v>4300</v>
      </c>
      <c r="I62" s="38" t="s">
        <v>4301</v>
      </c>
      <c r="J62" s="12" t="n">
        <v>46</v>
      </c>
      <c r="K62" s="12" t="n">
        <v>1080</v>
      </c>
      <c r="L62" s="9" t="n">
        <f aca="false">IF(INDEX(選手一覧!$D$5:$D$2736,$K62)="","",INDEX(選手一覧!$D$5:$D$2736,$K62))</f>
        <v>0.0109909722222222</v>
      </c>
      <c r="M62" s="10" t="n">
        <f aca="false">IF(INDEX(選手一覧!$E$5:$E$2736,$K62)="","",INDEX(選手一覧!$E$5:$E$2736,$K62))</f>
        <v>1081</v>
      </c>
      <c r="N62" s="11" t="n">
        <f aca="false">IF(INDEX(選手一覧!$F$5:$F$2736,$K62)="","",INDEX(選手一覧!$F$5:$F$2736,$K62))</f>
        <v>0.00721296296296296</v>
      </c>
      <c r="O62" s="12" t="n">
        <f aca="false">IF(INDEX(選手一覧!$G$5:$G$2736,$K62)="","",INDEX(選手一覧!$G$5:$G$2736,$K62))</f>
        <v>550</v>
      </c>
      <c r="P62" s="11" t="str">
        <f aca="false">IF(INDEX(選手一覧!$H$5:$H$2736,$K62)="","",INDEX(選手一覧!$H$5:$H$2736,$K62))</f>
        <v/>
      </c>
      <c r="Q62" s="12" t="str">
        <f aca="false">IF(INDEX(選手一覧!$I$5:$I$2736,$K62)="","",INDEX(選手一覧!$I$5:$I$2736,$K62))</f>
        <v/>
      </c>
    </row>
    <row r="63" customFormat="false" ht="15" hidden="false" customHeight="false" outlineLevel="0" collapsed="false">
      <c r="A63" s="35" t="n">
        <v>2</v>
      </c>
      <c r="B63" s="36" t="n">
        <v>3</v>
      </c>
      <c r="C63" s="10" t="n">
        <v>67</v>
      </c>
      <c r="D63" s="12" t="n">
        <f aca="false">COUNTIFS($A$5:$A$229,A63,$E$5:$E$229,"&lt;"&amp;E63)+1</f>
        <v>17</v>
      </c>
      <c r="E63" s="37" t="n">
        <v>0.00623842592592593</v>
      </c>
      <c r="F63" s="37" t="n">
        <f aca="false">E63/B63</f>
        <v>0.00207947530864198</v>
      </c>
      <c r="G63" s="8" t="s">
        <v>4302</v>
      </c>
      <c r="H63" s="8" t="s">
        <v>4303</v>
      </c>
      <c r="I63" s="38" t="s">
        <v>4301</v>
      </c>
      <c r="J63" s="12" t="n">
        <v>30</v>
      </c>
      <c r="K63" s="12" t="n">
        <v>625</v>
      </c>
      <c r="L63" s="9" t="n">
        <f aca="false">IF(INDEX(選手一覧!$D$5:$D$2736,$K63)="","",INDEX(選手一覧!$D$5:$D$2736,$K63))</f>
        <v>0.0107274305555556</v>
      </c>
      <c r="M63" s="10" t="n">
        <f aca="false">IF(INDEX(選手一覧!$E$5:$E$2736,$K63)="","",INDEX(選手一覧!$E$5:$E$2736,$K63))</f>
        <v>626</v>
      </c>
      <c r="N63" s="11" t="n">
        <f aca="false">IF(INDEX(選手一覧!$F$5:$F$2736,$K63)="","",INDEX(選手一覧!$F$5:$F$2736,$K63))</f>
        <v>0.00674560185185185</v>
      </c>
      <c r="O63" s="12" t="n">
        <f aca="false">IF(INDEX(選手一覧!$G$5:$G$2736,$K63)="","",INDEX(選手一覧!$G$5:$G$2736,$K63))</f>
        <v>124</v>
      </c>
      <c r="P63" s="11" t="str">
        <f aca="false">IF(INDEX(選手一覧!$H$5:$H$2736,$K63)="","",INDEX(選手一覧!$H$5:$H$2736,$K63))</f>
        <v/>
      </c>
      <c r="Q63" s="12" t="str">
        <f aca="false">IF(INDEX(選手一覧!$I$5:$I$2736,$K63)="","",INDEX(選手一覧!$I$5:$I$2736,$K63))</f>
        <v/>
      </c>
    </row>
    <row r="64" customFormat="false" ht="15" hidden="false" customHeight="false" outlineLevel="0" collapsed="false">
      <c r="A64" s="35" t="n">
        <v>2</v>
      </c>
      <c r="B64" s="36" t="n">
        <v>3</v>
      </c>
      <c r="C64" s="10" t="n">
        <v>69</v>
      </c>
      <c r="D64" s="12" t="n">
        <f aca="false">COUNTIFS($A$5:$A$229,A64,$E$5:$E$229,"&lt;"&amp;E64)+1</f>
        <v>18</v>
      </c>
      <c r="E64" s="37" t="n">
        <v>0.00627314814814815</v>
      </c>
      <c r="F64" s="37" t="n">
        <f aca="false">E64/B64</f>
        <v>0.00209104938271605</v>
      </c>
      <c r="G64" s="8" t="s">
        <v>4304</v>
      </c>
      <c r="H64" s="8" t="s">
        <v>4305</v>
      </c>
      <c r="I64" s="38" t="s">
        <v>4184</v>
      </c>
      <c r="J64" s="12" t="n">
        <v>77</v>
      </c>
      <c r="K64" s="12" t="n">
        <v>926</v>
      </c>
      <c r="L64" s="9" t="n">
        <f aca="false">IF(INDEX(選手一覧!$D$5:$D$2736,$K64)="","",INDEX(選手一覧!$D$5:$D$2736,$K64))</f>
        <v>0.0109045138888889</v>
      </c>
      <c r="M64" s="10" t="n">
        <f aca="false">IF(INDEX(選手一覧!$E$5:$E$2736,$K64)="","",INDEX(選手一覧!$E$5:$E$2736,$K64))</f>
        <v>927</v>
      </c>
      <c r="N64" s="11" t="str">
        <f aca="false">IF(INDEX(選手一覧!$F$5:$F$2736,$K64)="","",INDEX(選手一覧!$F$5:$F$2736,$K64))</f>
        <v/>
      </c>
      <c r="O64" s="12" t="str">
        <f aca="false">IF(INDEX(選手一覧!$G$5:$G$2736,$K64)="","",INDEX(選手一覧!$G$5:$G$2736,$K64))</f>
        <v/>
      </c>
      <c r="P64" s="11" t="n">
        <f aca="false">IF(INDEX(選手一覧!$H$5:$H$2736,$K64)="","",INDEX(選手一覧!$H$5:$H$2736,$K64))</f>
        <v>0.00282511574074074</v>
      </c>
      <c r="Q64" s="12" t="n">
        <f aca="false">IF(INDEX(選手一覧!$I$5:$I$2736,$K64)="","",INDEX(選手一覧!$I$5:$I$2736,$K64))</f>
        <v>394</v>
      </c>
    </row>
    <row r="65" customFormat="false" ht="15" hidden="false" customHeight="false" outlineLevel="0" collapsed="false">
      <c r="A65" s="35" t="n">
        <v>2</v>
      </c>
      <c r="B65" s="36" t="n">
        <v>3</v>
      </c>
      <c r="C65" s="10" t="n">
        <v>70</v>
      </c>
      <c r="D65" s="12" t="n">
        <f aca="false">COUNTIFS($A$5:$A$229,A65,$E$5:$E$229,"&lt;"&amp;E65)+1</f>
        <v>19</v>
      </c>
      <c r="E65" s="37" t="n">
        <v>0.00628472222222222</v>
      </c>
      <c r="F65" s="37" t="n">
        <f aca="false">E65/B65</f>
        <v>0.00209490740740741</v>
      </c>
      <c r="G65" s="8" t="s">
        <v>4306</v>
      </c>
      <c r="H65" s="8" t="s">
        <v>4259</v>
      </c>
      <c r="I65" s="38" t="s">
        <v>4243</v>
      </c>
      <c r="J65" s="12" t="n">
        <v>68</v>
      </c>
      <c r="K65" s="12" t="n">
        <v>949</v>
      </c>
      <c r="L65" s="9" t="n">
        <f aca="false">IF(INDEX(選手一覧!$D$5:$D$2736,$K65)="","",INDEX(選手一覧!$D$5:$D$2736,$K65))</f>
        <v>0.0109190972222222</v>
      </c>
      <c r="M65" s="10" t="n">
        <f aca="false">IF(INDEX(選手一覧!$E$5:$E$2736,$K65)="","",INDEX(選手一覧!$E$5:$E$2736,$K65))</f>
        <v>950</v>
      </c>
      <c r="N65" s="11" t="str">
        <f aca="false">IF(INDEX(選手一覧!$F$5:$F$2736,$K65)="","",INDEX(選手一覧!$F$5:$F$2736,$K65))</f>
        <v/>
      </c>
      <c r="O65" s="12" t="str">
        <f aca="false">IF(INDEX(選手一覧!$G$5:$G$2736,$K65)="","",INDEX(選手一覧!$G$5:$G$2736,$K65))</f>
        <v/>
      </c>
      <c r="P65" s="11" t="n">
        <f aca="false">IF(INDEX(選手一覧!$H$5:$H$2736,$K65)="","",INDEX(選手一覧!$H$5:$H$2736,$K65))</f>
        <v>0.0028875</v>
      </c>
      <c r="Q65" s="12" t="n">
        <f aca="false">IF(INDEX(選手一覧!$I$5:$I$2736,$K65)="","",INDEX(選手一覧!$I$5:$I$2736,$K65))</f>
        <v>839</v>
      </c>
    </row>
    <row r="66" customFormat="false" ht="15" hidden="false" customHeight="false" outlineLevel="0" collapsed="false">
      <c r="A66" s="35" t="n">
        <v>2</v>
      </c>
      <c r="B66" s="36" t="n">
        <v>3</v>
      </c>
      <c r="C66" s="10" t="n">
        <v>70</v>
      </c>
      <c r="D66" s="12" t="n">
        <f aca="false">COUNTIFS($A$5:$A$229,A66,$E$5:$E$229,"&lt;"&amp;E66)+1</f>
        <v>19</v>
      </c>
      <c r="E66" s="37" t="n">
        <v>0.00628472222222222</v>
      </c>
      <c r="F66" s="37" t="n">
        <f aca="false">E66/B66</f>
        <v>0.00209490740740741</v>
      </c>
      <c r="G66" s="8" t="s">
        <v>4307</v>
      </c>
      <c r="H66" s="8" t="s">
        <v>4268</v>
      </c>
      <c r="I66" s="38" t="s">
        <v>4269</v>
      </c>
      <c r="J66" s="12" t="n">
        <v>93</v>
      </c>
      <c r="K66" s="12" t="n">
        <v>1489</v>
      </c>
      <c r="L66" s="9" t="str">
        <f aca="false">IF(INDEX(選手一覧!$D$5:$D$2736,$K66)="","",INDEX(選手一覧!$D$5:$D$2736,$K66))</f>
        <v/>
      </c>
      <c r="M66" s="10" t="str">
        <f aca="false">IF(INDEX(選手一覧!$E$5:$E$2736,$K66)="","",INDEX(選手一覧!$E$5:$E$2736,$K66))</f>
        <v/>
      </c>
      <c r="N66" s="11" t="str">
        <f aca="false">IF(INDEX(選手一覧!$F$5:$F$2736,$K66)="","",INDEX(選手一覧!$F$5:$F$2736,$K66))</f>
        <v/>
      </c>
      <c r="O66" s="12" t="str">
        <f aca="false">IF(INDEX(選手一覧!$G$5:$G$2736,$K66)="","",INDEX(選手一覧!$G$5:$G$2736,$K66))</f>
        <v/>
      </c>
      <c r="P66" s="11" t="n">
        <f aca="false">IF(INDEX(選手一覧!$H$5:$H$2736,$K66)="","",INDEX(選手一覧!$H$5:$H$2736,$K66))</f>
        <v>0.00282407407407407</v>
      </c>
      <c r="Q66" s="12" t="n">
        <f aca="false">IF(INDEX(選手一覧!$I$5:$I$2736,$K66)="","",INDEX(選手一覧!$I$5:$I$2736,$K66))</f>
        <v>388</v>
      </c>
    </row>
    <row r="67" customFormat="false" ht="15" hidden="false" customHeight="false" outlineLevel="0" collapsed="false">
      <c r="A67" s="35" t="n">
        <v>2</v>
      </c>
      <c r="B67" s="36" t="n">
        <v>3</v>
      </c>
      <c r="C67" s="10" t="n">
        <v>72</v>
      </c>
      <c r="D67" s="12" t="n">
        <f aca="false">COUNTIFS($A$5:$A$229,A67,$E$5:$E$229,"&lt;"&amp;E67)+1</f>
        <v>21</v>
      </c>
      <c r="E67" s="37" t="n">
        <v>0.0062962962962963</v>
      </c>
      <c r="F67" s="37" t="n">
        <f aca="false">E67/B67</f>
        <v>0.00209876543209877</v>
      </c>
      <c r="G67" s="8" t="s">
        <v>4308</v>
      </c>
      <c r="H67" s="8" t="s">
        <v>4273</v>
      </c>
      <c r="I67" s="38" t="s">
        <v>4211</v>
      </c>
      <c r="J67" s="12" t="n">
        <v>95</v>
      </c>
      <c r="K67" s="12" t="n">
        <v>1724</v>
      </c>
      <c r="L67" s="9" t="str">
        <f aca="false">IF(INDEX(選手一覧!$D$5:$D$2736,$K67)="","",INDEX(選手一覧!$D$5:$D$2736,$K67))</f>
        <v/>
      </c>
      <c r="M67" s="10" t="str">
        <f aca="false">IF(INDEX(選手一覧!$E$5:$E$2736,$K67)="","",INDEX(選手一覧!$E$5:$E$2736,$K67))</f>
        <v/>
      </c>
      <c r="N67" s="11" t="str">
        <f aca="false">IF(INDEX(選手一覧!$F$5:$F$2736,$K67)="","",INDEX(選手一覧!$F$5:$F$2736,$K67))</f>
        <v/>
      </c>
      <c r="O67" s="12" t="str">
        <f aca="false">IF(INDEX(選手一覧!$G$5:$G$2736,$K67)="","",INDEX(選手一覧!$G$5:$G$2736,$K67))</f>
        <v/>
      </c>
      <c r="P67" s="11" t="n">
        <f aca="false">IF(INDEX(選手一覧!$H$5:$H$2736,$K67)="","",INDEX(選手一覧!$H$5:$H$2736,$K67))</f>
        <v>0.0028587962962963</v>
      </c>
      <c r="Q67" s="12" t="n">
        <f aca="false">IF(INDEX(選手一覧!$I$5:$I$2736,$K67)="","",INDEX(選手一覧!$I$5:$I$2736,$K67))</f>
        <v>626</v>
      </c>
    </row>
    <row r="68" customFormat="false" ht="15" hidden="false" customHeight="false" outlineLevel="0" collapsed="false">
      <c r="A68" s="35" t="n">
        <v>2</v>
      </c>
      <c r="B68" s="36" t="n">
        <v>3</v>
      </c>
      <c r="C68" s="10" t="n">
        <v>76</v>
      </c>
      <c r="D68" s="12" t="n">
        <f aca="false">COUNTIFS($A$5:$A$229,A68,$E$5:$E$229,"&lt;"&amp;E68)+1</f>
        <v>22</v>
      </c>
      <c r="E68" s="37" t="n">
        <v>0.00636574074074074</v>
      </c>
      <c r="F68" s="37" t="n">
        <f aca="false">E68/B68</f>
        <v>0.00212191358024691</v>
      </c>
      <c r="G68" s="8" t="s">
        <v>4309</v>
      </c>
      <c r="H68" s="8" t="s">
        <v>4310</v>
      </c>
      <c r="I68" s="38" t="s">
        <v>4264</v>
      </c>
      <c r="J68" s="12" t="n">
        <v>65</v>
      </c>
      <c r="K68" s="12" t="n">
        <v>1894</v>
      </c>
      <c r="L68" s="9" t="str">
        <f aca="false">IF(INDEX(選手一覧!$D$5:$D$2736,$K68)="","",INDEX(選手一覧!$D$5:$D$2736,$K68))</f>
        <v/>
      </c>
      <c r="M68" s="10" t="str">
        <f aca="false">IF(INDEX(選手一覧!$E$5:$E$2736,$K68)="","",INDEX(選手一覧!$E$5:$E$2736,$K68))</f>
        <v/>
      </c>
      <c r="N68" s="11" t="str">
        <f aca="false">IF(INDEX(選手一覧!$F$5:$F$2736,$K68)="","",INDEX(選手一覧!$F$5:$F$2736,$K68))</f>
        <v/>
      </c>
      <c r="O68" s="12" t="str">
        <f aca="false">IF(INDEX(選手一覧!$G$5:$G$2736,$K68)="","",INDEX(選手一覧!$G$5:$G$2736,$K68))</f>
        <v/>
      </c>
      <c r="P68" s="11" t="n">
        <f aca="false">IF(INDEX(選手一覧!$H$5:$H$2736,$K68)="","",INDEX(選手一覧!$H$5:$H$2736,$K68))</f>
        <v>0.00287974537037037</v>
      </c>
      <c r="Q68" s="12" t="n">
        <f aca="false">IF(INDEX(選手一覧!$I$5:$I$2736,$K68)="","",INDEX(選手一覧!$I$5:$I$2736,$K68))</f>
        <v>767</v>
      </c>
    </row>
    <row r="69" customFormat="false" ht="15" hidden="false" customHeight="false" outlineLevel="0" collapsed="false">
      <c r="A69" s="35" t="n">
        <v>2</v>
      </c>
      <c r="B69" s="36" t="n">
        <v>3</v>
      </c>
      <c r="C69" s="10" t="n">
        <v>77</v>
      </c>
      <c r="D69" s="12" t="n">
        <f aca="false">COUNTIFS($A$5:$A$229,A69,$E$5:$E$229,"&lt;"&amp;E69)+1</f>
        <v>23</v>
      </c>
      <c r="E69" s="37" t="n">
        <v>0.00637731481481482</v>
      </c>
      <c r="F69" s="37" t="n">
        <f aca="false">E69/B69</f>
        <v>0.00212577160493827</v>
      </c>
      <c r="G69" s="8" t="s">
        <v>4311</v>
      </c>
      <c r="H69" s="8" t="s">
        <v>4271</v>
      </c>
      <c r="I69" s="38" t="s">
        <v>4173</v>
      </c>
      <c r="J69" s="12" t="n">
        <v>103</v>
      </c>
      <c r="K69" s="12" t="n">
        <v>1821</v>
      </c>
      <c r="L69" s="9" t="str">
        <f aca="false">IF(INDEX(選手一覧!$D$5:$D$2736,$K69)="","",INDEX(選手一覧!$D$5:$D$2736,$K69))</f>
        <v/>
      </c>
      <c r="M69" s="10" t="str">
        <f aca="false">IF(INDEX(選手一覧!$E$5:$E$2736,$K69)="","",INDEX(選手一覧!$E$5:$E$2736,$K69))</f>
        <v/>
      </c>
      <c r="N69" s="11" t="n">
        <f aca="false">IF(INDEX(選手一覧!$F$5:$F$2736,$K69)="","",INDEX(選手一覧!$F$5:$F$2736,$K69))</f>
        <v>0.00735289351851852</v>
      </c>
      <c r="O69" s="12" t="n">
        <f aca="false">IF(INDEX(選手一覧!$G$5:$G$2736,$K69)="","",INDEX(選手一覧!$G$5:$G$2736,$K69))</f>
        <v>713</v>
      </c>
      <c r="P69" s="11" t="n">
        <f aca="false">IF(INDEX(選手一覧!$H$5:$H$2736,$K69)="","",INDEX(選手一覧!$H$5:$H$2736,$K69))</f>
        <v>0.00287974537037037</v>
      </c>
      <c r="Q69" s="12" t="n">
        <f aca="false">IF(INDEX(選手一覧!$I$5:$I$2736,$K69)="","",INDEX(選手一覧!$I$5:$I$2736,$K69))</f>
        <v>768</v>
      </c>
    </row>
    <row r="70" customFormat="false" ht="15" hidden="false" customHeight="false" outlineLevel="0" collapsed="false">
      <c r="A70" s="35" t="n">
        <v>2</v>
      </c>
      <c r="B70" s="36" t="n">
        <v>3</v>
      </c>
      <c r="C70" s="10" t="n">
        <v>79</v>
      </c>
      <c r="D70" s="12" t="n">
        <f aca="false">COUNTIFS($A$5:$A$229,A70,$E$5:$E$229,"&lt;"&amp;E70)+1</f>
        <v>24</v>
      </c>
      <c r="E70" s="37" t="n">
        <v>0.00640046296296296</v>
      </c>
      <c r="F70" s="37" t="n">
        <f aca="false">E70/B70</f>
        <v>0.00213348765432099</v>
      </c>
      <c r="G70" s="8" t="s">
        <v>4312</v>
      </c>
      <c r="H70" s="8" t="s">
        <v>4264</v>
      </c>
      <c r="I70" s="38" t="s">
        <v>4264</v>
      </c>
      <c r="J70" s="12" t="n">
        <v>42</v>
      </c>
      <c r="K70" s="12" t="n">
        <v>417</v>
      </c>
      <c r="L70" s="9" t="n">
        <f aca="false">IF(INDEX(選手一覧!$D$5:$D$2736,$K70)="","",INDEX(選手一覧!$D$5:$D$2736,$K70))</f>
        <v>0.0105646990740741</v>
      </c>
      <c r="M70" s="10" t="n">
        <f aca="false">IF(INDEX(選手一覧!$E$5:$E$2736,$K70)="","",INDEX(選手一覧!$E$5:$E$2736,$K70))</f>
        <v>418</v>
      </c>
      <c r="N70" s="11" t="n">
        <f aca="false">IF(INDEX(選手一覧!$F$5:$F$2736,$K70)="","",INDEX(選手一覧!$F$5:$F$2736,$K70))</f>
        <v>0.00742060185185185</v>
      </c>
      <c r="O70" s="12" t="n">
        <f aca="false">IF(INDEX(選手一覧!$G$5:$G$2736,$K70)="","",INDEX(選手一覧!$G$5:$G$2736,$K70))</f>
        <v>795</v>
      </c>
      <c r="P70" s="11" t="str">
        <f aca="false">IF(INDEX(選手一覧!$H$5:$H$2736,$K70)="","",INDEX(選手一覧!$H$5:$H$2736,$K70))</f>
        <v/>
      </c>
      <c r="Q70" s="12" t="str">
        <f aca="false">IF(INDEX(選手一覧!$I$5:$I$2736,$K70)="","",INDEX(選手一覧!$I$5:$I$2736,$K70))</f>
        <v/>
      </c>
    </row>
    <row r="71" customFormat="false" ht="15" hidden="false" customHeight="false" outlineLevel="0" collapsed="false">
      <c r="A71" s="35" t="n">
        <v>2</v>
      </c>
      <c r="B71" s="36" t="n">
        <v>3</v>
      </c>
      <c r="C71" s="10" t="n">
        <v>85</v>
      </c>
      <c r="D71" s="12" t="n">
        <f aca="false">COUNTIFS($A$5:$A$229,A71,$E$5:$E$229,"&lt;"&amp;E71)+1</f>
        <v>25</v>
      </c>
      <c r="E71" s="37" t="n">
        <v>0.00643518518518519</v>
      </c>
      <c r="F71" s="37" t="n">
        <f aca="false">E71/B71</f>
        <v>0.00214506172839506</v>
      </c>
      <c r="G71" s="8" t="s">
        <v>4313</v>
      </c>
      <c r="H71" s="8" t="s">
        <v>4314</v>
      </c>
      <c r="I71" s="38" t="s">
        <v>4187</v>
      </c>
      <c r="J71" s="12" t="n">
        <v>87</v>
      </c>
      <c r="K71" s="12" t="n">
        <v>690</v>
      </c>
      <c r="L71" s="9" t="n">
        <f aca="false">IF(INDEX(選手一覧!$D$5:$D$2736,$K71)="","",INDEX(選手一覧!$D$5:$D$2736,$K71))</f>
        <v>0.010765162037037</v>
      </c>
      <c r="M71" s="10" t="n">
        <f aca="false">IF(INDEX(選手一覧!$E$5:$E$2736,$K71)="","",INDEX(選手一覧!$E$5:$E$2736,$K71))</f>
        <v>691</v>
      </c>
      <c r="N71" s="11" t="str">
        <f aca="false">IF(INDEX(選手一覧!$F$5:$F$2736,$K71)="","",INDEX(選手一覧!$F$5:$F$2736,$K71))</f>
        <v/>
      </c>
      <c r="O71" s="12" t="str">
        <f aca="false">IF(INDEX(選手一覧!$G$5:$G$2736,$K71)="","",INDEX(選手一覧!$G$5:$G$2736,$K71))</f>
        <v/>
      </c>
      <c r="P71" s="11" t="n">
        <f aca="false">IF(INDEX(選手一覧!$H$5:$H$2736,$K71)="","",INDEX(選手一覧!$H$5:$H$2736,$K71))</f>
        <v>0.00282233796296296</v>
      </c>
      <c r="Q71" s="12" t="n">
        <f aca="false">IF(INDEX(選手一覧!$I$5:$I$2736,$K71)="","",INDEX(選手一覧!$I$5:$I$2736,$K71))</f>
        <v>376</v>
      </c>
    </row>
    <row r="72" customFormat="false" ht="15" hidden="false" customHeight="false" outlineLevel="0" collapsed="false">
      <c r="A72" s="35" t="n">
        <v>2</v>
      </c>
      <c r="B72" s="36" t="n">
        <v>3</v>
      </c>
      <c r="C72" s="10" t="n">
        <v>88</v>
      </c>
      <c r="D72" s="12" t="n">
        <f aca="false">COUNTIFS($A$5:$A$229,A72,$E$5:$E$229,"&lt;"&amp;E72)+1</f>
        <v>26</v>
      </c>
      <c r="E72" s="37" t="n">
        <v>0.00646990740740741</v>
      </c>
      <c r="F72" s="37" t="n">
        <f aca="false">E72/B72</f>
        <v>0.00215663580246914</v>
      </c>
      <c r="G72" s="8" t="s">
        <v>4315</v>
      </c>
      <c r="H72" s="8" t="s">
        <v>4316</v>
      </c>
      <c r="I72" s="38" t="s">
        <v>4187</v>
      </c>
      <c r="J72" s="12" t="n">
        <v>71</v>
      </c>
      <c r="K72" s="12" t="n">
        <v>1829</v>
      </c>
      <c r="L72" s="9" t="str">
        <f aca="false">IF(INDEX(選手一覧!$D$5:$D$2736,$K72)="","",INDEX(選手一覧!$D$5:$D$2736,$K72))</f>
        <v/>
      </c>
      <c r="M72" s="10" t="str">
        <f aca="false">IF(INDEX(選手一覧!$E$5:$E$2736,$K72)="","",INDEX(選手一覧!$E$5:$E$2736,$K72))</f>
        <v/>
      </c>
      <c r="N72" s="11" t="str">
        <f aca="false">IF(INDEX(選手一覧!$F$5:$F$2736,$K72)="","",INDEX(選手一覧!$F$5:$F$2736,$K72))</f>
        <v/>
      </c>
      <c r="O72" s="12" t="str">
        <f aca="false">IF(INDEX(選手一覧!$G$5:$G$2736,$K72)="","",INDEX(選手一覧!$G$5:$G$2736,$K72))</f>
        <v/>
      </c>
      <c r="P72" s="11" t="n">
        <f aca="false">IF(INDEX(選手一覧!$H$5:$H$2736,$K72)="","",INDEX(選手一覧!$H$5:$H$2736,$K72))</f>
        <v>0.00287303240740741</v>
      </c>
      <c r="Q72" s="12" t="n">
        <f aca="false">IF(INDEX(選手一覧!$I$5:$I$2736,$K72)="","",INDEX(選手一覧!$I$5:$I$2736,$K72))</f>
        <v>722</v>
      </c>
    </row>
    <row r="73" customFormat="false" ht="15" hidden="false" customHeight="false" outlineLevel="0" collapsed="false">
      <c r="A73" s="31" t="n">
        <v>3</v>
      </c>
      <c r="B73" s="32" t="n">
        <v>8.1075</v>
      </c>
      <c r="C73" s="19" t="n">
        <v>8</v>
      </c>
      <c r="D73" s="21" t="n">
        <f aca="false">COUNTIFS($A$5:$A$229,A73,$E$5:$E$229,"&lt;"&amp;E73)+1</f>
        <v>1</v>
      </c>
      <c r="E73" s="33" t="n">
        <v>0.0165740740740741</v>
      </c>
      <c r="F73" s="33" t="n">
        <f aca="false">E73/B73</f>
        <v>0.00204428912415345</v>
      </c>
      <c r="G73" s="17" t="s">
        <v>4317</v>
      </c>
      <c r="H73" s="17" t="s">
        <v>4175</v>
      </c>
      <c r="I73" s="34" t="s">
        <v>4176</v>
      </c>
      <c r="J73" s="21" t="n">
        <v>3</v>
      </c>
      <c r="K73" s="21" t="n">
        <v>32</v>
      </c>
      <c r="L73" s="18" t="n">
        <f aca="false">IF(INDEX(選手一覧!$D$5:$D$2736,$K73)="","",INDEX(選手一覧!$D$5:$D$2736,$K73))</f>
        <v>0.0100454861111111</v>
      </c>
      <c r="M73" s="19" t="n">
        <f aca="false">IF(INDEX(選手一覧!$E$5:$E$2736,$K73)="","",INDEX(選手一覧!$E$5:$E$2736,$K73))</f>
        <v>33</v>
      </c>
      <c r="N73" s="20" t="str">
        <f aca="false">IF(INDEX(選手一覧!$F$5:$F$2736,$K73)="","",INDEX(選手一覧!$F$5:$F$2736,$K73))</f>
        <v/>
      </c>
      <c r="O73" s="21" t="str">
        <f aca="false">IF(INDEX(選手一覧!$G$5:$G$2736,$K73)="","",INDEX(選手一覧!$G$5:$G$2736,$K73))</f>
        <v/>
      </c>
      <c r="P73" s="20" t="n">
        <f aca="false">IF(INDEX(選手一覧!$H$5:$H$2736,$K73)="","",INDEX(選手一覧!$H$5:$H$2736,$K73))</f>
        <v>0.00273946759259259</v>
      </c>
      <c r="Q73" s="21" t="n">
        <f aca="false">IF(INDEX(選手一覧!$I$5:$I$2736,$K73)="","",INDEX(選手一覧!$I$5:$I$2736,$K73))</f>
        <v>84</v>
      </c>
    </row>
    <row r="74" customFormat="false" ht="15" hidden="false" customHeight="false" outlineLevel="0" collapsed="false">
      <c r="A74" s="31" t="n">
        <v>3</v>
      </c>
      <c r="B74" s="32" t="n">
        <v>8.1075</v>
      </c>
      <c r="C74" s="19" t="n">
        <v>9</v>
      </c>
      <c r="D74" s="21" t="n">
        <f aca="false">COUNTIFS($A$5:$A$229,A74,$E$5:$E$229,"&lt;"&amp;E74)+1</f>
        <v>2</v>
      </c>
      <c r="E74" s="33" t="n">
        <v>0.0165856481481482</v>
      </c>
      <c r="F74" s="33" t="n">
        <f aca="false">E74/B74</f>
        <v>0.00204571670035747</v>
      </c>
      <c r="G74" s="17" t="s">
        <v>4318</v>
      </c>
      <c r="H74" s="17" t="s">
        <v>4180</v>
      </c>
      <c r="I74" s="34" t="s">
        <v>4181</v>
      </c>
      <c r="J74" s="21" t="n">
        <v>11</v>
      </c>
      <c r="K74" s="21" t="n">
        <v>34</v>
      </c>
      <c r="L74" s="18" t="n">
        <f aca="false">IF(INDEX(選手一覧!$D$5:$D$2736,$K74)="","",INDEX(選手一覧!$D$5:$D$2736,$K74))</f>
        <v>0.0100494212962963</v>
      </c>
      <c r="M74" s="19" t="n">
        <f aca="false">IF(INDEX(選手一覧!$E$5:$E$2736,$K74)="","",INDEX(選手一覧!$E$5:$E$2736,$K74))</f>
        <v>35</v>
      </c>
      <c r="N74" s="20" t="str">
        <f aca="false">IF(INDEX(選手一覧!$F$5:$F$2736,$K74)="","",INDEX(選手一覧!$F$5:$F$2736,$K74))</f>
        <v/>
      </c>
      <c r="O74" s="21" t="str">
        <f aca="false">IF(INDEX(選手一覧!$G$5:$G$2736,$K74)="","",INDEX(選手一覧!$G$5:$G$2736,$K74))</f>
        <v/>
      </c>
      <c r="P74" s="20" t="n">
        <f aca="false">IF(INDEX(選手一覧!$H$5:$H$2736,$K74)="","",INDEX(選手一覧!$H$5:$H$2736,$K74))</f>
        <v>0.00274490740740741</v>
      </c>
      <c r="Q74" s="21" t="n">
        <f aca="false">IF(INDEX(選手一覧!$I$5:$I$2736,$K74)="","",INDEX(選手一覧!$I$5:$I$2736,$K74))</f>
        <v>90</v>
      </c>
    </row>
    <row r="75" customFormat="false" ht="15" hidden="false" customHeight="false" outlineLevel="0" collapsed="false">
      <c r="A75" s="25" t="n">
        <v>3</v>
      </c>
      <c r="B75" s="26" t="n">
        <v>8.1075</v>
      </c>
      <c r="C75" s="10" t="n">
        <v>13</v>
      </c>
      <c r="D75" s="27" t="n">
        <f aca="false">COUNTIFS($A$5:$A$229,A75,$E$5:$E$229,"&lt;"&amp;E75)+1</f>
        <v>3</v>
      </c>
      <c r="E75" s="28" t="n">
        <v>0.0166782407407407</v>
      </c>
      <c r="F75" s="28" t="n">
        <f aca="false">E75/B75</f>
        <v>0.00205713730998961</v>
      </c>
      <c r="G75" s="29" t="s">
        <v>4319</v>
      </c>
      <c r="H75" s="29" t="s">
        <v>4277</v>
      </c>
      <c r="I75" s="30" t="s">
        <v>4251</v>
      </c>
      <c r="J75" s="27" t="n">
        <v>12</v>
      </c>
      <c r="K75" s="27" t="n">
        <v>84</v>
      </c>
      <c r="L75" s="9" t="n">
        <f aca="false">IF(INDEX(選手一覧!$D$5:$D$2736,$K75)="","",INDEX(選手一覧!$D$5:$D$2736,$K75))</f>
        <v>0.0101798611111111</v>
      </c>
      <c r="M75" s="10" t="n">
        <f aca="false">IF(INDEX(選手一覧!$E$5:$E$2736,$K75)="","",INDEX(選手一覧!$E$5:$E$2736,$K75))</f>
        <v>85</v>
      </c>
      <c r="N75" s="11" t="str">
        <f aca="false">IF(INDEX(選手一覧!$F$5:$F$2736,$K75)="","",INDEX(選手一覧!$F$5:$F$2736,$K75))</f>
        <v/>
      </c>
      <c r="O75" s="12" t="str">
        <f aca="false">IF(INDEX(選手一覧!$G$5:$G$2736,$K75)="","",INDEX(選手一覧!$G$5:$G$2736,$K75))</f>
        <v/>
      </c>
      <c r="P75" s="11" t="n">
        <f aca="false">IF(INDEX(選手一覧!$H$5:$H$2736,$K75)="","",INDEX(選手一覧!$H$5:$H$2736,$K75))</f>
        <v>0.002865625</v>
      </c>
      <c r="Q75" s="12" t="n">
        <f aca="false">IF(INDEX(選手一覧!$I$5:$I$2736,$K75)="","",INDEX(選手一覧!$I$5:$I$2736,$K75))</f>
        <v>668</v>
      </c>
    </row>
    <row r="76" customFormat="false" ht="15" hidden="false" customHeight="false" outlineLevel="0" collapsed="false">
      <c r="A76" s="25" t="n">
        <v>3</v>
      </c>
      <c r="B76" s="26" t="n">
        <v>8.1075</v>
      </c>
      <c r="C76" s="10" t="n">
        <v>21</v>
      </c>
      <c r="D76" s="27" t="n">
        <f aca="false">COUNTIFS($A$5:$A$229,A76,$E$5:$E$229,"&lt;"&amp;E76)+1</f>
        <v>4</v>
      </c>
      <c r="E76" s="28" t="n">
        <v>0.0169097222222222</v>
      </c>
      <c r="F76" s="28" t="n">
        <f aca="false">E76/B76</f>
        <v>0.00208568883406996</v>
      </c>
      <c r="G76" s="29" t="s">
        <v>4320</v>
      </c>
      <c r="H76" s="29" t="s">
        <v>4204</v>
      </c>
      <c r="I76" s="30" t="s">
        <v>4205</v>
      </c>
      <c r="J76" s="27" t="n">
        <v>34</v>
      </c>
      <c r="K76" s="27" t="n">
        <v>150</v>
      </c>
      <c r="L76" s="9" t="n">
        <f aca="false">IF(INDEX(選手一覧!$D$5:$D$2736,$K76)="","",INDEX(選手一覧!$D$5:$D$2736,$K76))</f>
        <v>0.0102822916666667</v>
      </c>
      <c r="M76" s="10" t="n">
        <f aca="false">IF(INDEX(選手一覧!$E$5:$E$2736,$K76)="","",INDEX(選手一覧!$E$5:$E$2736,$K76))</f>
        <v>151</v>
      </c>
      <c r="N76" s="11" t="str">
        <f aca="false">IF(INDEX(選手一覧!$F$5:$F$2736,$K76)="","",INDEX(選手一覧!$F$5:$F$2736,$K76))</f>
        <v/>
      </c>
      <c r="O76" s="12" t="str">
        <f aca="false">IF(INDEX(選手一覧!$G$5:$G$2736,$K76)="","",INDEX(選手一覧!$G$5:$G$2736,$K76))</f>
        <v/>
      </c>
      <c r="P76" s="11" t="n">
        <f aca="false">IF(INDEX(選手一覧!$H$5:$H$2736,$K76)="","",INDEX(選手一覧!$H$5:$H$2736,$K76))</f>
        <v>0.00278773148148148</v>
      </c>
      <c r="Q76" s="12" t="n">
        <f aca="false">IF(INDEX(選手一覧!$I$5:$I$2736,$K76)="","",INDEX(選手一覧!$I$5:$I$2736,$K76))</f>
        <v>233</v>
      </c>
    </row>
    <row r="77" customFormat="false" ht="15" hidden="false" customHeight="false" outlineLevel="0" collapsed="false">
      <c r="A77" s="25" t="n">
        <v>3</v>
      </c>
      <c r="B77" s="26" t="n">
        <v>8.1075</v>
      </c>
      <c r="C77" s="10" t="n">
        <v>23</v>
      </c>
      <c r="D77" s="27" t="n">
        <f aca="false">COUNTIFS($A$5:$A$229,A77,$E$5:$E$229,"&lt;"&amp;E77)+1</f>
        <v>5</v>
      </c>
      <c r="E77" s="28" t="n">
        <v>0.0169791666666667</v>
      </c>
      <c r="F77" s="28" t="n">
        <f aca="false">E77/B77</f>
        <v>0.00209425429129407</v>
      </c>
      <c r="G77" s="29" t="s">
        <v>4321</v>
      </c>
      <c r="H77" s="29" t="s">
        <v>4296</v>
      </c>
      <c r="I77" s="30" t="s">
        <v>4200</v>
      </c>
      <c r="J77" s="27" t="n">
        <v>43</v>
      </c>
      <c r="K77" s="27" t="n">
        <v>141</v>
      </c>
      <c r="L77" s="9" t="n">
        <f aca="false">IF(INDEX(選手一覧!$D$5:$D$2736,$K77)="","",INDEX(選手一覧!$D$5:$D$2736,$K77))</f>
        <v>0.0102767361111111</v>
      </c>
      <c r="M77" s="10" t="n">
        <f aca="false">IF(INDEX(選手一覧!$E$5:$E$2736,$K77)="","",INDEX(選手一覧!$E$5:$E$2736,$K77))</f>
        <v>142</v>
      </c>
      <c r="N77" s="11" t="str">
        <f aca="false">IF(INDEX(選手一覧!$F$5:$F$2736,$K77)="","",INDEX(選手一覧!$F$5:$F$2736,$K77))</f>
        <v/>
      </c>
      <c r="O77" s="12" t="str">
        <f aca="false">IF(INDEX(選手一覧!$G$5:$G$2736,$K77)="","",INDEX(選手一覧!$G$5:$G$2736,$K77))</f>
        <v/>
      </c>
      <c r="P77" s="11" t="n">
        <f aca="false">IF(INDEX(選手一覧!$H$5:$H$2736,$K77)="","",INDEX(選手一覧!$H$5:$H$2736,$K77))</f>
        <v>0.00282476851851852</v>
      </c>
      <c r="Q77" s="12" t="n">
        <f aca="false">IF(INDEX(選手一覧!$I$5:$I$2736,$K77)="","",INDEX(選手一覧!$I$5:$I$2736,$K77))</f>
        <v>391</v>
      </c>
    </row>
    <row r="78" customFormat="false" ht="15" hidden="false" customHeight="false" outlineLevel="0" collapsed="false">
      <c r="A78" s="25" t="n">
        <v>3</v>
      </c>
      <c r="B78" s="26" t="n">
        <v>8.1075</v>
      </c>
      <c r="C78" s="10" t="n">
        <v>27</v>
      </c>
      <c r="D78" s="27" t="n">
        <f aca="false">COUNTIFS($A$5:$A$229,A78,$E$5:$E$229,"&lt;"&amp;E78)+1</f>
        <v>6</v>
      </c>
      <c r="E78" s="28" t="n">
        <v>0.0170833333333333</v>
      </c>
      <c r="F78" s="28" t="n">
        <f aca="false">E78/B78</f>
        <v>0.00210710247713023</v>
      </c>
      <c r="G78" s="29" t="s">
        <v>4322</v>
      </c>
      <c r="H78" s="29" t="s">
        <v>4323</v>
      </c>
      <c r="I78" s="30" t="s">
        <v>4184</v>
      </c>
      <c r="J78" s="27" t="n">
        <v>44</v>
      </c>
      <c r="K78" s="27" t="n">
        <v>193</v>
      </c>
      <c r="L78" s="9" t="n">
        <f aca="false">IF(INDEX(選手一覧!$D$5:$D$2736,$K78)="","",INDEX(選手一覧!$D$5:$D$2736,$K78))</f>
        <v>0.010341087962963</v>
      </c>
      <c r="M78" s="10" t="n">
        <f aca="false">IF(INDEX(選手一覧!$E$5:$E$2736,$K78)="","",INDEX(選手一覧!$E$5:$E$2736,$K78))</f>
        <v>194</v>
      </c>
      <c r="N78" s="11" t="str">
        <f aca="false">IF(INDEX(選手一覧!$F$5:$F$2736,$K78)="","",INDEX(選手一覧!$F$5:$F$2736,$K78))</f>
        <v/>
      </c>
      <c r="O78" s="12" t="str">
        <f aca="false">IF(INDEX(選手一覧!$G$5:$G$2736,$K78)="","",INDEX(選手一覧!$G$5:$G$2736,$K78))</f>
        <v/>
      </c>
      <c r="P78" s="11" t="str">
        <f aca="false">IF(INDEX(選手一覧!$H$5:$H$2736,$K78)="","",INDEX(選手一覧!$H$5:$H$2736,$K78))</f>
        <v/>
      </c>
      <c r="Q78" s="12" t="str">
        <f aca="false">IF(INDEX(選手一覧!$I$5:$I$2736,$K78)="","",INDEX(選手一覧!$I$5:$I$2736,$K78))</f>
        <v/>
      </c>
    </row>
    <row r="79" customFormat="false" ht="15" hidden="false" customHeight="false" outlineLevel="0" collapsed="false">
      <c r="A79" s="25" t="n">
        <v>3</v>
      </c>
      <c r="B79" s="26" t="n">
        <v>8.1075</v>
      </c>
      <c r="C79" s="10" t="n">
        <v>31</v>
      </c>
      <c r="D79" s="27" t="n">
        <f aca="false">COUNTIFS($A$5:$A$229,A79,$E$5:$E$229,"&lt;"&amp;E79)+1</f>
        <v>7</v>
      </c>
      <c r="E79" s="28" t="n">
        <v>0.0171643518518519</v>
      </c>
      <c r="F79" s="28" t="n">
        <f aca="false">E79/B79</f>
        <v>0.00211709551055835</v>
      </c>
      <c r="G79" s="29" t="s">
        <v>4324</v>
      </c>
      <c r="H79" s="29" t="s">
        <v>4325</v>
      </c>
      <c r="I79" s="30" t="s">
        <v>4205</v>
      </c>
      <c r="J79" s="27" t="n">
        <v>15</v>
      </c>
      <c r="K79" s="27" t="n">
        <v>227</v>
      </c>
      <c r="L79" s="9" t="n">
        <f aca="false">IF(INDEX(選手一覧!$D$5:$D$2736,$K79)="","",INDEX(選手一覧!$D$5:$D$2736,$K79))</f>
        <v>0.0103738425925926</v>
      </c>
      <c r="M79" s="10" t="n">
        <f aca="false">IF(INDEX(選手一覧!$E$5:$E$2736,$K79)="","",INDEX(選手一覧!$E$5:$E$2736,$K79))</f>
        <v>228</v>
      </c>
      <c r="N79" s="11" t="str">
        <f aca="false">IF(INDEX(選手一覧!$F$5:$F$2736,$K79)="","",INDEX(選手一覧!$F$5:$F$2736,$K79))</f>
        <v/>
      </c>
      <c r="O79" s="12" t="str">
        <f aca="false">IF(INDEX(選手一覧!$G$5:$G$2736,$K79)="","",INDEX(選手一覧!$G$5:$G$2736,$K79))</f>
        <v/>
      </c>
      <c r="P79" s="11" t="n">
        <f aca="false">IF(INDEX(選手一覧!$H$5:$H$2736,$K79)="","",INDEX(選手一覧!$H$5:$H$2736,$K79))</f>
        <v>0.00296898148148148</v>
      </c>
      <c r="Q79" s="12" t="n">
        <f aca="false">IF(INDEX(選手一覧!$I$5:$I$2736,$K79)="","",INDEX(選手一覧!$I$5:$I$2736,$K79))</f>
        <v>1305</v>
      </c>
    </row>
    <row r="80" customFormat="false" ht="15" hidden="false" customHeight="false" outlineLevel="0" collapsed="false">
      <c r="A80" s="25" t="n">
        <v>3</v>
      </c>
      <c r="B80" s="26" t="n">
        <v>8.1075</v>
      </c>
      <c r="C80" s="10" t="n">
        <v>33</v>
      </c>
      <c r="D80" s="27" t="n">
        <f aca="false">COUNTIFS($A$5:$A$229,A80,$E$5:$E$229,"&lt;"&amp;E80)+1</f>
        <v>8</v>
      </c>
      <c r="E80" s="28" t="n">
        <v>0.0171759259259259</v>
      </c>
      <c r="F80" s="28" t="n">
        <f aca="false">E80/B80</f>
        <v>0.00211852308676237</v>
      </c>
      <c r="G80" s="29" t="s">
        <v>4326</v>
      </c>
      <c r="H80" s="29" t="s">
        <v>4198</v>
      </c>
      <c r="I80" s="30" t="s">
        <v>4173</v>
      </c>
      <c r="J80" s="27" t="n">
        <v>23</v>
      </c>
      <c r="K80" s="27" t="n">
        <v>83</v>
      </c>
      <c r="L80" s="9" t="n">
        <f aca="false">IF(INDEX(選手一覧!$D$5:$D$2736,$K80)="","",INDEX(選手一覧!$D$5:$D$2736,$K80))</f>
        <v>0.0101787037037037</v>
      </c>
      <c r="M80" s="10" t="n">
        <f aca="false">IF(INDEX(選手一覧!$E$5:$E$2736,$K80)="","",INDEX(選手一覧!$E$5:$E$2736,$K80))</f>
        <v>84</v>
      </c>
      <c r="N80" s="11" t="n">
        <f aca="false">IF(INDEX(選手一覧!$F$5:$F$2736,$K80)="","",INDEX(選手一覧!$F$5:$F$2736,$K80))</f>
        <v>0.00635891203703704</v>
      </c>
      <c r="O80" s="12" t="n">
        <f aca="false">IF(INDEX(選手一覧!$G$5:$G$2736,$K80)="","",INDEX(選手一覧!$G$5:$G$2736,$K80))</f>
        <v>10</v>
      </c>
      <c r="P80" s="11" t="str">
        <f aca="false">IF(INDEX(選手一覧!$H$5:$H$2736,$K80)="","",INDEX(選手一覧!$H$5:$H$2736,$K80))</f>
        <v/>
      </c>
      <c r="Q80" s="12" t="str">
        <f aca="false">IF(INDEX(選手一覧!$I$5:$I$2736,$K80)="","",INDEX(選手一覧!$I$5:$I$2736,$K80))</f>
        <v/>
      </c>
    </row>
    <row r="81" customFormat="false" ht="15" hidden="false" customHeight="false" outlineLevel="0" collapsed="false">
      <c r="A81" s="25" t="n">
        <v>3</v>
      </c>
      <c r="B81" s="26" t="n">
        <v>8.1075</v>
      </c>
      <c r="C81" s="10" t="n">
        <v>33</v>
      </c>
      <c r="D81" s="27" t="n">
        <f aca="false">COUNTIFS($A$5:$A$229,A81,$E$5:$E$229,"&lt;"&amp;E81)+1</f>
        <v>8</v>
      </c>
      <c r="E81" s="28" t="n">
        <v>0.0171759259259259</v>
      </c>
      <c r="F81" s="28" t="n">
        <f aca="false">E81/B81</f>
        <v>0.00211852308676237</v>
      </c>
      <c r="G81" s="29" t="s">
        <v>4327</v>
      </c>
      <c r="H81" s="29" t="s">
        <v>4328</v>
      </c>
      <c r="I81" s="30" t="s">
        <v>4222</v>
      </c>
      <c r="J81" s="27" t="n">
        <v>25</v>
      </c>
      <c r="K81" s="27" t="n">
        <v>78</v>
      </c>
      <c r="L81" s="9" t="n">
        <f aca="false">IF(INDEX(選手一覧!$D$5:$D$2736,$K81)="","",INDEX(選手一覧!$D$5:$D$2736,$K81))</f>
        <v>0.0101675925925926</v>
      </c>
      <c r="M81" s="10" t="n">
        <f aca="false">IF(INDEX(選手一覧!$E$5:$E$2736,$K81)="","",INDEX(選手一覧!$E$5:$E$2736,$K81))</f>
        <v>79</v>
      </c>
      <c r="N81" s="11" t="str">
        <f aca="false">IF(INDEX(選手一覧!$F$5:$F$2736,$K81)="","",INDEX(選手一覧!$F$5:$F$2736,$K81))</f>
        <v/>
      </c>
      <c r="O81" s="12" t="str">
        <f aca="false">IF(INDEX(選手一覧!$G$5:$G$2736,$K81)="","",INDEX(選手一覧!$G$5:$G$2736,$K81))</f>
        <v/>
      </c>
      <c r="P81" s="11" t="n">
        <f aca="false">IF(INDEX(選手一覧!$H$5:$H$2736,$K81)="","",INDEX(選手一覧!$H$5:$H$2736,$K81))</f>
        <v>0.00288171296296296</v>
      </c>
      <c r="Q81" s="12" t="n">
        <f aca="false">IF(INDEX(選手一覧!$I$5:$I$2736,$K81)="","",INDEX(選手一覧!$I$5:$I$2736,$K81))</f>
        <v>785</v>
      </c>
    </row>
    <row r="82" customFormat="false" ht="15" hidden="false" customHeight="false" outlineLevel="0" collapsed="false">
      <c r="A82" s="25" t="n">
        <v>3</v>
      </c>
      <c r="B82" s="26" t="n">
        <v>8.1075</v>
      </c>
      <c r="C82" s="10" t="n">
        <v>37</v>
      </c>
      <c r="D82" s="27" t="n">
        <f aca="false">COUNTIFS($A$5:$A$229,A82,$E$5:$E$229,"&lt;"&amp;E82)+1</f>
        <v>10</v>
      </c>
      <c r="E82" s="28" t="n">
        <v>0.0172916666666667</v>
      </c>
      <c r="F82" s="28" t="n">
        <f aca="false">E82/B82</f>
        <v>0.00213279884880255</v>
      </c>
      <c r="G82" s="29" t="s">
        <v>4329</v>
      </c>
      <c r="H82" s="29" t="s">
        <v>4202</v>
      </c>
      <c r="I82" s="30" t="s">
        <v>4173</v>
      </c>
      <c r="J82" s="27" t="n">
        <v>31</v>
      </c>
      <c r="K82" s="27" t="n">
        <v>1072</v>
      </c>
      <c r="L82" s="9" t="n">
        <f aca="false">IF(INDEX(選手一覧!$D$5:$D$2736,$K82)="","",INDEX(選手一覧!$D$5:$D$2736,$K82))</f>
        <v>0.0109865740740741</v>
      </c>
      <c r="M82" s="10" t="n">
        <f aca="false">IF(INDEX(選手一覧!$E$5:$E$2736,$K82)="","",INDEX(選手一覧!$E$5:$E$2736,$K82))</f>
        <v>1073</v>
      </c>
      <c r="N82" s="11" t="n">
        <f aca="false">IF(INDEX(選手一覧!$F$5:$F$2736,$K82)="","",INDEX(選手一覧!$F$5:$F$2736,$K82))</f>
        <v>0.00661006944444444</v>
      </c>
      <c r="O82" s="12" t="n">
        <f aca="false">IF(INDEX(選手一覧!$G$5:$G$2736,$K82)="","",INDEX(選手一覧!$G$5:$G$2736,$K82))</f>
        <v>70</v>
      </c>
      <c r="P82" s="11" t="n">
        <f aca="false">IF(INDEX(選手一覧!$H$5:$H$2736,$K82)="","",INDEX(選手一覧!$H$5:$H$2736,$K82))</f>
        <v>0.00288993055555556</v>
      </c>
      <c r="Q82" s="12" t="n">
        <f aca="false">IF(INDEX(選手一覧!$I$5:$I$2736,$K82)="","",INDEX(選手一覧!$I$5:$I$2736,$K82))</f>
        <v>864</v>
      </c>
    </row>
    <row r="83" customFormat="false" ht="15" hidden="false" customHeight="false" outlineLevel="0" collapsed="false">
      <c r="A83" s="25" t="n">
        <v>3</v>
      </c>
      <c r="B83" s="26" t="n">
        <v>8.1075</v>
      </c>
      <c r="C83" s="10" t="n">
        <v>38</v>
      </c>
      <c r="D83" s="27" t="n">
        <f aca="false">COUNTIFS($A$5:$A$229,A83,$E$5:$E$229,"&lt;"&amp;E83)+1</f>
        <v>11</v>
      </c>
      <c r="E83" s="28" t="n">
        <v>0.0173032407407407</v>
      </c>
      <c r="F83" s="28" t="n">
        <f aca="false">E83/B83</f>
        <v>0.00213422642500657</v>
      </c>
      <c r="G83" s="29" t="s">
        <v>4330</v>
      </c>
      <c r="H83" s="29" t="s">
        <v>4331</v>
      </c>
      <c r="I83" s="30" t="s">
        <v>4222</v>
      </c>
      <c r="J83" s="27" t="n">
        <v>28</v>
      </c>
      <c r="K83" s="27" t="n">
        <v>475</v>
      </c>
      <c r="L83" s="9" t="n">
        <f aca="false">IF(INDEX(選手一覧!$D$5:$D$2736,$K83)="","",INDEX(選手一覧!$D$5:$D$2736,$K83))</f>
        <v>0.0106106481481482</v>
      </c>
      <c r="M83" s="10" t="n">
        <f aca="false">IF(INDEX(選手一覧!$E$5:$E$2736,$K83)="","",INDEX(選手一覧!$E$5:$E$2736,$K83))</f>
        <v>476</v>
      </c>
      <c r="N83" s="11" t="str">
        <f aca="false">IF(INDEX(選手一覧!$F$5:$F$2736,$K83)="","",INDEX(選手一覧!$F$5:$F$2736,$K83))</f>
        <v/>
      </c>
      <c r="O83" s="12" t="str">
        <f aca="false">IF(INDEX(選手一覧!$G$5:$G$2736,$K83)="","",INDEX(選手一覧!$G$5:$G$2736,$K83))</f>
        <v/>
      </c>
      <c r="P83" s="11" t="n">
        <f aca="false">IF(INDEX(選手一覧!$H$5:$H$2736,$K83)="","",INDEX(選手一覧!$H$5:$H$2736,$K83))</f>
        <v>0.00281331018518519</v>
      </c>
      <c r="Q83" s="12" t="n">
        <f aca="false">IF(INDEX(選手一覧!$I$5:$I$2736,$K83)="","",INDEX(選手一覧!$I$5:$I$2736,$K83))</f>
        <v>337</v>
      </c>
    </row>
    <row r="84" customFormat="false" ht="15" hidden="false" customHeight="false" outlineLevel="0" collapsed="false">
      <c r="A84" s="25" t="n">
        <v>3</v>
      </c>
      <c r="B84" s="26" t="n">
        <v>8.1075</v>
      </c>
      <c r="C84" s="10" t="n">
        <v>42</v>
      </c>
      <c r="D84" s="27" t="n">
        <f aca="false">COUNTIFS($A$5:$A$229,A84,$E$5:$E$229,"&lt;"&amp;E84)+1</f>
        <v>12</v>
      </c>
      <c r="E84" s="28" t="n">
        <v>0.0173842592592593</v>
      </c>
      <c r="F84" s="28" t="n">
        <f aca="false">E84/B84</f>
        <v>0.00214421945843469</v>
      </c>
      <c r="G84" s="29" t="s">
        <v>4332</v>
      </c>
      <c r="H84" s="29" t="s">
        <v>4235</v>
      </c>
      <c r="I84" s="30" t="s">
        <v>4184</v>
      </c>
      <c r="J84" s="27" t="n">
        <v>36</v>
      </c>
      <c r="K84" s="27" t="n">
        <v>177</v>
      </c>
      <c r="L84" s="9" t="n">
        <f aca="false">IF(INDEX(選手一覧!$D$5:$D$2736,$K84)="","",INDEX(選手一覧!$D$5:$D$2736,$K84))</f>
        <v>0.0103260416666667</v>
      </c>
      <c r="M84" s="10" t="n">
        <f aca="false">IF(INDEX(選手一覧!$E$5:$E$2736,$K84)="","",INDEX(選手一覧!$E$5:$E$2736,$K84))</f>
        <v>178</v>
      </c>
      <c r="N84" s="11" t="str">
        <f aca="false">IF(INDEX(選手一覧!$F$5:$F$2736,$K84)="","",INDEX(選手一覧!$F$5:$F$2736,$K84))</f>
        <v/>
      </c>
      <c r="O84" s="12" t="str">
        <f aca="false">IF(INDEX(選手一覧!$G$5:$G$2736,$K84)="","",INDEX(選手一覧!$G$5:$G$2736,$K84))</f>
        <v/>
      </c>
      <c r="P84" s="11" t="n">
        <f aca="false">IF(INDEX(選手一覧!$H$5:$H$2736,$K84)="","",INDEX(選手一覧!$H$5:$H$2736,$K84))</f>
        <v>0.00282430555555556</v>
      </c>
      <c r="Q84" s="12" t="n">
        <f aca="false">IF(INDEX(選手一覧!$I$5:$I$2736,$K84)="","",INDEX(選手一覧!$I$5:$I$2736,$K84))</f>
        <v>389</v>
      </c>
    </row>
    <row r="85" customFormat="false" ht="15" hidden="false" customHeight="false" outlineLevel="0" collapsed="false">
      <c r="A85" s="25" t="n">
        <v>3</v>
      </c>
      <c r="B85" s="26" t="n">
        <v>8.1075</v>
      </c>
      <c r="C85" s="10" t="n">
        <v>43</v>
      </c>
      <c r="D85" s="27" t="n">
        <f aca="false">COUNTIFS($A$5:$A$229,A85,$E$5:$E$229,"&lt;"&amp;E85)+1</f>
        <v>13</v>
      </c>
      <c r="E85" s="28" t="n">
        <v>0.0174074074074074</v>
      </c>
      <c r="F85" s="28" t="n">
        <f aca="false">E85/B85</f>
        <v>0.00214707461084273</v>
      </c>
      <c r="G85" s="29" t="s">
        <v>4333</v>
      </c>
      <c r="H85" s="29" t="s">
        <v>4250</v>
      </c>
      <c r="I85" s="30" t="s">
        <v>4251</v>
      </c>
      <c r="J85" s="27" t="n">
        <v>61</v>
      </c>
      <c r="K85" s="27" t="n">
        <v>696</v>
      </c>
      <c r="L85" s="9" t="n">
        <f aca="false">IF(INDEX(選手一覧!$D$5:$D$2736,$K85)="","",INDEX(選手一覧!$D$5:$D$2736,$K85))</f>
        <v>0.0107707175925926</v>
      </c>
      <c r="M85" s="10" t="n">
        <f aca="false">IF(INDEX(選手一覧!$E$5:$E$2736,$K85)="","",INDEX(選手一覧!$E$5:$E$2736,$K85))</f>
        <v>697</v>
      </c>
      <c r="N85" s="11" t="str">
        <f aca="false">IF(INDEX(選手一覧!$F$5:$F$2736,$K85)="","",INDEX(選手一覧!$F$5:$F$2736,$K85))</f>
        <v/>
      </c>
      <c r="O85" s="12" t="str">
        <f aca="false">IF(INDEX(選手一覧!$G$5:$G$2736,$K85)="","",INDEX(選手一覧!$G$5:$G$2736,$K85))</f>
        <v/>
      </c>
      <c r="P85" s="11" t="n">
        <f aca="false">IF(INDEX(選手一覧!$H$5:$H$2736,$K85)="","",INDEX(選手一覧!$H$5:$H$2736,$K85))</f>
        <v>0.00276678240740741</v>
      </c>
      <c r="Q85" s="12" t="n">
        <f aca="false">IF(INDEX(選手一覧!$I$5:$I$2736,$K85)="","",INDEX(選手一覧!$I$5:$I$2736,$K85))</f>
        <v>155</v>
      </c>
    </row>
    <row r="86" customFormat="false" ht="15" hidden="false" customHeight="false" outlineLevel="0" collapsed="false">
      <c r="A86" s="25" t="n">
        <v>3</v>
      </c>
      <c r="B86" s="26" t="n">
        <v>8.1075</v>
      </c>
      <c r="C86" s="10" t="n">
        <v>43</v>
      </c>
      <c r="D86" s="27" t="n">
        <f aca="false">COUNTIFS($A$5:$A$229,A86,$E$5:$E$229,"&lt;"&amp;E86)+1</f>
        <v>13</v>
      </c>
      <c r="E86" s="28" t="n">
        <v>0.0174074074074074</v>
      </c>
      <c r="F86" s="28" t="n">
        <f aca="false">E86/B86</f>
        <v>0.00214707461084273</v>
      </c>
      <c r="G86" s="29" t="s">
        <v>4334</v>
      </c>
      <c r="H86" s="29" t="s">
        <v>4335</v>
      </c>
      <c r="I86" s="30" t="s">
        <v>4200</v>
      </c>
      <c r="J86" s="27" t="n">
        <v>73</v>
      </c>
      <c r="K86" s="27" t="n">
        <v>427</v>
      </c>
      <c r="L86" s="9" t="n">
        <f aca="false">IF(INDEX(選手一覧!$D$5:$D$2736,$K86)="","",INDEX(選手一覧!$D$5:$D$2736,$K86))</f>
        <v>0.0105734953703704</v>
      </c>
      <c r="M86" s="10" t="n">
        <f aca="false">IF(INDEX(選手一覧!$E$5:$E$2736,$K86)="","",INDEX(選手一覧!$E$5:$E$2736,$K86))</f>
        <v>428</v>
      </c>
      <c r="N86" s="11" t="str">
        <f aca="false">IF(INDEX(選手一覧!$F$5:$F$2736,$K86)="","",INDEX(選手一覧!$F$5:$F$2736,$K86))</f>
        <v/>
      </c>
      <c r="O86" s="12" t="str">
        <f aca="false">IF(INDEX(選手一覧!$G$5:$G$2736,$K86)="","",INDEX(選手一覧!$G$5:$G$2736,$K86))</f>
        <v/>
      </c>
      <c r="P86" s="11" t="n">
        <f aca="false">IF(INDEX(選手一覧!$H$5:$H$2736,$K86)="","",INDEX(選手一覧!$H$5:$H$2736,$K86))</f>
        <v>0.00283784722222222</v>
      </c>
      <c r="Q86" s="12" t="n">
        <f aca="false">IF(INDEX(選手一覧!$I$5:$I$2736,$K86)="","",INDEX(選手一覧!$I$5:$I$2736,$K86))</f>
        <v>482</v>
      </c>
    </row>
    <row r="87" customFormat="false" ht="15" hidden="false" customHeight="false" outlineLevel="0" collapsed="false">
      <c r="A87" s="25" t="n">
        <v>3</v>
      </c>
      <c r="B87" s="26" t="n">
        <v>8.1075</v>
      </c>
      <c r="C87" s="10" t="n">
        <v>45</v>
      </c>
      <c r="D87" s="27" t="n">
        <f aca="false">COUNTIFS($A$5:$A$229,A87,$E$5:$E$229,"&lt;"&amp;E87)+1</f>
        <v>15</v>
      </c>
      <c r="E87" s="28" t="n">
        <v>0.0174305555555556</v>
      </c>
      <c r="F87" s="28" t="n">
        <f aca="false">E87/B87</f>
        <v>0.00214992976325076</v>
      </c>
      <c r="G87" s="29" t="s">
        <v>4336</v>
      </c>
      <c r="H87" s="29" t="s">
        <v>4337</v>
      </c>
      <c r="I87" s="30" t="s">
        <v>4196</v>
      </c>
      <c r="J87" s="27" t="n">
        <v>35</v>
      </c>
      <c r="K87" s="27" t="n">
        <v>81</v>
      </c>
      <c r="L87" s="9" t="n">
        <f aca="false">IF(INDEX(選手一覧!$D$5:$D$2736,$K87)="","",INDEX(選手一覧!$D$5:$D$2736,$K87))</f>
        <v>0.0101737268518519</v>
      </c>
      <c r="M87" s="10" t="n">
        <f aca="false">IF(INDEX(選手一覧!$E$5:$E$2736,$K87)="","",INDEX(選手一覧!$E$5:$E$2736,$K87))</f>
        <v>82</v>
      </c>
      <c r="N87" s="11" t="str">
        <f aca="false">IF(INDEX(選手一覧!$F$5:$F$2736,$K87)="","",INDEX(選手一覧!$F$5:$F$2736,$K87))</f>
        <v/>
      </c>
      <c r="O87" s="12" t="str">
        <f aca="false">IF(INDEX(選手一覧!$G$5:$G$2736,$K87)="","",INDEX(選手一覧!$G$5:$G$2736,$K87))</f>
        <v/>
      </c>
      <c r="P87" s="11" t="n">
        <f aca="false">IF(INDEX(選手一覧!$H$5:$H$2736,$K87)="","",INDEX(選手一覧!$H$5:$H$2736,$K87))</f>
        <v>0.00268391203703704</v>
      </c>
      <c r="Q87" s="12" t="n">
        <f aca="false">IF(INDEX(選手一覧!$I$5:$I$2736,$K87)="","",INDEX(選手一覧!$I$5:$I$2736,$K87))</f>
        <v>15</v>
      </c>
    </row>
    <row r="88" customFormat="false" ht="15" hidden="false" customHeight="false" outlineLevel="0" collapsed="false">
      <c r="A88" s="25" t="n">
        <v>3</v>
      </c>
      <c r="B88" s="26" t="n">
        <v>8.1075</v>
      </c>
      <c r="C88" s="10" t="n">
        <v>48</v>
      </c>
      <c r="D88" s="27" t="n">
        <f aca="false">COUNTIFS($A$5:$A$229,A88,$E$5:$E$229,"&lt;"&amp;E88)+1</f>
        <v>16</v>
      </c>
      <c r="E88" s="28" t="n">
        <v>0.0174884259259259</v>
      </c>
      <c r="F88" s="28" t="n">
        <f aca="false">E88/B88</f>
        <v>0.00215706764427085</v>
      </c>
      <c r="G88" s="29" t="s">
        <v>4338</v>
      </c>
      <c r="H88" s="29" t="s">
        <v>4264</v>
      </c>
      <c r="I88" s="30" t="s">
        <v>4264</v>
      </c>
      <c r="J88" s="27" t="n">
        <v>42</v>
      </c>
      <c r="K88" s="27" t="n">
        <v>203</v>
      </c>
      <c r="L88" s="9" t="n">
        <f aca="false">IF(INDEX(選手一覧!$D$5:$D$2736,$K88)="","",INDEX(選手一覧!$D$5:$D$2736,$K88))</f>
        <v>0.0103506944444444</v>
      </c>
      <c r="M88" s="10" t="n">
        <f aca="false">IF(INDEX(選手一覧!$E$5:$E$2736,$K88)="","",INDEX(選手一覧!$E$5:$E$2736,$K88))</f>
        <v>204</v>
      </c>
      <c r="N88" s="11" t="str">
        <f aca="false">IF(INDEX(選手一覧!$F$5:$F$2736,$K88)="","",INDEX(選手一覧!$F$5:$F$2736,$K88))</f>
        <v/>
      </c>
      <c r="O88" s="12" t="str">
        <f aca="false">IF(INDEX(選手一覧!$G$5:$G$2736,$K88)="","",INDEX(選手一覧!$G$5:$G$2736,$K88))</f>
        <v/>
      </c>
      <c r="P88" s="11" t="n">
        <f aca="false">IF(INDEX(選手一覧!$H$5:$H$2736,$K88)="","",INDEX(選手一覧!$H$5:$H$2736,$K88))</f>
        <v>0.0028349537037037</v>
      </c>
      <c r="Q88" s="12" t="n">
        <f aca="false">IF(INDEX(選手一覧!$I$5:$I$2736,$K88)="","",INDEX(選手一覧!$I$5:$I$2736,$K88))</f>
        <v>461</v>
      </c>
    </row>
    <row r="89" customFormat="false" ht="15" hidden="false" customHeight="false" outlineLevel="0" collapsed="false">
      <c r="A89" s="25" t="n">
        <v>3</v>
      </c>
      <c r="B89" s="26" t="n">
        <v>8.1075</v>
      </c>
      <c r="C89" s="10" t="n">
        <v>52</v>
      </c>
      <c r="D89" s="27" t="n">
        <f aca="false">COUNTIFS($A$5:$A$229,A89,$E$5:$E$229,"&lt;"&amp;E89)+1</f>
        <v>17</v>
      </c>
      <c r="E89" s="28" t="n">
        <v>0.0175347222222222</v>
      </c>
      <c r="F89" s="28" t="n">
        <f aca="false">E89/B89</f>
        <v>0.00216277794908692</v>
      </c>
      <c r="G89" s="29" t="s">
        <v>4339</v>
      </c>
      <c r="H89" s="29" t="s">
        <v>4340</v>
      </c>
      <c r="I89" s="30" t="s">
        <v>4243</v>
      </c>
      <c r="J89" s="27" t="n">
        <v>52</v>
      </c>
      <c r="K89" s="27" t="n">
        <v>905</v>
      </c>
      <c r="L89" s="9" t="n">
        <f aca="false">IF(INDEX(選手一覧!$D$5:$D$2736,$K89)="","",INDEX(選手一覧!$D$5:$D$2736,$K89))</f>
        <v>0.0108916666666667</v>
      </c>
      <c r="M89" s="10" t="n">
        <f aca="false">IF(INDEX(選手一覧!$E$5:$E$2736,$K89)="","",INDEX(選手一覧!$E$5:$E$2736,$K89))</f>
        <v>906</v>
      </c>
      <c r="N89" s="11" t="str">
        <f aca="false">IF(INDEX(選手一覧!$F$5:$F$2736,$K89)="","",INDEX(選手一覧!$F$5:$F$2736,$K89))</f>
        <v/>
      </c>
      <c r="O89" s="12" t="str">
        <f aca="false">IF(INDEX(選手一覧!$G$5:$G$2736,$K89)="","",INDEX(選手一覧!$G$5:$G$2736,$K89))</f>
        <v/>
      </c>
      <c r="P89" s="11" t="n">
        <f aca="false">IF(INDEX(選手一覧!$H$5:$H$2736,$K89)="","",INDEX(選手一覧!$H$5:$H$2736,$K89))</f>
        <v>0.0028349537037037</v>
      </c>
      <c r="Q89" s="12" t="n">
        <f aca="false">IF(INDEX(選手一覧!$I$5:$I$2736,$K89)="","",INDEX(選手一覧!$I$5:$I$2736,$K89))</f>
        <v>460</v>
      </c>
    </row>
    <row r="90" customFormat="false" ht="15" hidden="false" customHeight="false" outlineLevel="0" collapsed="false">
      <c r="A90" s="25" t="n">
        <v>3</v>
      </c>
      <c r="B90" s="26" t="n">
        <v>8.1075</v>
      </c>
      <c r="C90" s="10" t="n">
        <v>54</v>
      </c>
      <c r="D90" s="27" t="n">
        <f aca="false">COUNTIFS($A$5:$A$229,A90,$E$5:$E$229,"&lt;"&amp;E90)+1</f>
        <v>18</v>
      </c>
      <c r="E90" s="28" t="n">
        <v>0.0175578703703704</v>
      </c>
      <c r="F90" s="28" t="n">
        <f aca="false">E90/B90</f>
        <v>0.00216563310149496</v>
      </c>
      <c r="G90" s="29" t="s">
        <v>4341</v>
      </c>
      <c r="H90" s="29" t="s">
        <v>4259</v>
      </c>
      <c r="I90" s="30" t="s">
        <v>4243</v>
      </c>
      <c r="J90" s="27" t="n">
        <v>68</v>
      </c>
      <c r="K90" s="27" t="n">
        <v>618</v>
      </c>
      <c r="L90" s="9" t="n">
        <f aca="false">IF(INDEX(選手一覧!$D$5:$D$2736,$K90)="","",INDEX(選手一覧!$D$5:$D$2736,$K90))</f>
        <v>0.0107232638888889</v>
      </c>
      <c r="M90" s="10" t="n">
        <f aca="false">IF(INDEX(選手一覧!$E$5:$E$2736,$K90)="","",INDEX(選手一覧!$E$5:$E$2736,$K90))</f>
        <v>619</v>
      </c>
      <c r="N90" s="11" t="n">
        <f aca="false">IF(INDEX(選手一覧!$F$5:$F$2736,$K90)="","",INDEX(選手一覧!$F$5:$F$2736,$K90))</f>
        <v>0.00677303240740741</v>
      </c>
      <c r="O90" s="12" t="n">
        <f aca="false">IF(INDEX(選手一覧!$G$5:$G$2736,$K90)="","",INDEX(選手一覧!$G$5:$G$2736,$K90))</f>
        <v>150</v>
      </c>
      <c r="P90" s="11" t="n">
        <f aca="false">IF(INDEX(選手一覧!$H$5:$H$2736,$K90)="","",INDEX(選手一覧!$H$5:$H$2736,$K90))</f>
        <v>0.00282118055555556</v>
      </c>
      <c r="Q90" s="12" t="n">
        <f aca="false">IF(INDEX(選手一覧!$I$5:$I$2736,$K90)="","",INDEX(選手一覧!$I$5:$I$2736,$K90))</f>
        <v>370</v>
      </c>
    </row>
    <row r="91" customFormat="false" ht="15" hidden="false" customHeight="false" outlineLevel="0" collapsed="false">
      <c r="A91" s="25" t="n">
        <v>3</v>
      </c>
      <c r="B91" s="26" t="n">
        <v>8.1075</v>
      </c>
      <c r="C91" s="10" t="n">
        <v>58</v>
      </c>
      <c r="D91" s="27" t="n">
        <f aca="false">COUNTIFS($A$5:$A$229,A91,$E$5:$E$229,"&lt;"&amp;E91)+1</f>
        <v>19</v>
      </c>
      <c r="E91" s="28" t="n">
        <v>0.0175925925925926</v>
      </c>
      <c r="F91" s="28" t="n">
        <f aca="false">E91/B91</f>
        <v>0.00216991583010701</v>
      </c>
      <c r="G91" s="29" t="s">
        <v>4342</v>
      </c>
      <c r="H91" s="29" t="s">
        <v>4310</v>
      </c>
      <c r="I91" s="30" t="s">
        <v>4264</v>
      </c>
      <c r="J91" s="27" t="n">
        <v>65</v>
      </c>
      <c r="K91" s="27" t="n">
        <v>497</v>
      </c>
      <c r="L91" s="9" t="n">
        <f aca="false">IF(INDEX(選手一覧!$D$5:$D$2736,$K91)="","",INDEX(選手一覧!$D$5:$D$2736,$K91))</f>
        <v>0.0106210648148148</v>
      </c>
      <c r="M91" s="10" t="n">
        <f aca="false">IF(INDEX(選手一覧!$E$5:$E$2736,$K91)="","",INDEX(選手一覧!$E$5:$E$2736,$K91))</f>
        <v>498</v>
      </c>
      <c r="N91" s="11" t="str">
        <f aca="false">IF(INDEX(選手一覧!$F$5:$F$2736,$K91)="","",INDEX(選手一覧!$F$5:$F$2736,$K91))</f>
        <v/>
      </c>
      <c r="O91" s="12" t="str">
        <f aca="false">IF(INDEX(選手一覧!$G$5:$G$2736,$K91)="","",INDEX(選手一覧!$G$5:$G$2736,$K91))</f>
        <v/>
      </c>
      <c r="P91" s="11" t="n">
        <f aca="false">IF(INDEX(選手一覧!$H$5:$H$2736,$K91)="","",INDEX(選手一覧!$H$5:$H$2736,$K91))</f>
        <v>0.00283263888888889</v>
      </c>
      <c r="Q91" s="12" t="n">
        <f aca="false">IF(INDEX(選手一覧!$I$5:$I$2736,$K91)="","",INDEX(選手一覧!$I$5:$I$2736,$K91))</f>
        <v>444</v>
      </c>
    </row>
    <row r="92" customFormat="false" ht="15" hidden="false" customHeight="false" outlineLevel="0" collapsed="false">
      <c r="A92" s="25" t="n">
        <v>3</v>
      </c>
      <c r="B92" s="26" t="n">
        <v>8.1075</v>
      </c>
      <c r="C92" s="10" t="n">
        <v>61</v>
      </c>
      <c r="D92" s="27" t="n">
        <f aca="false">COUNTIFS($A$5:$A$229,A92,$E$5:$E$229,"&lt;"&amp;E92)+1</f>
        <v>20</v>
      </c>
      <c r="E92" s="28" t="n">
        <v>0.0176273148148148</v>
      </c>
      <c r="F92" s="28" t="n">
        <f aca="false">E92/B92</f>
        <v>0.00217419855871906</v>
      </c>
      <c r="G92" s="29" t="s">
        <v>4343</v>
      </c>
      <c r="H92" s="29" t="s">
        <v>4344</v>
      </c>
      <c r="I92" s="30" t="s">
        <v>4200</v>
      </c>
      <c r="J92" s="27" t="n">
        <v>39</v>
      </c>
      <c r="K92" s="27" t="n">
        <v>202</v>
      </c>
      <c r="L92" s="9" t="n">
        <f aca="false">IF(INDEX(選手一覧!$D$5:$D$2736,$K92)="","",INDEX(選手一覧!$D$5:$D$2736,$K92))</f>
        <v>0.0103505787037037</v>
      </c>
      <c r="M92" s="10" t="n">
        <f aca="false">IF(INDEX(選手一覧!$E$5:$E$2736,$K92)="","",INDEX(選手一覧!$E$5:$E$2736,$K92))</f>
        <v>203</v>
      </c>
      <c r="N92" s="11" t="n">
        <f aca="false">IF(INDEX(選手一覧!$F$5:$F$2736,$K92)="","",INDEX(選手一覧!$F$5:$F$2736,$K92))</f>
        <v>0.00669953703703704</v>
      </c>
      <c r="O92" s="12" t="n">
        <f aca="false">IF(INDEX(選手一覧!$G$5:$G$2736,$K92)="","",INDEX(選手一覧!$G$5:$G$2736,$K92))</f>
        <v>107</v>
      </c>
      <c r="P92" s="11" t="n">
        <f aca="false">IF(INDEX(選手一覧!$H$5:$H$2736,$K92)="","",INDEX(選手一覧!$H$5:$H$2736,$K92))</f>
        <v>0.00276481481481482</v>
      </c>
      <c r="Q92" s="12" t="n">
        <f aca="false">IF(INDEX(選手一覧!$I$5:$I$2736,$K92)="","",INDEX(選手一覧!$I$5:$I$2736,$K92))</f>
        <v>149</v>
      </c>
    </row>
    <row r="93" customFormat="false" ht="15" hidden="false" customHeight="false" outlineLevel="0" collapsed="false">
      <c r="A93" s="25" t="n">
        <v>3</v>
      </c>
      <c r="B93" s="26" t="n">
        <v>8.1075</v>
      </c>
      <c r="C93" s="10" t="n">
        <v>61</v>
      </c>
      <c r="D93" s="27" t="n">
        <f aca="false">COUNTIFS($A$5:$A$229,A93,$E$5:$E$229,"&lt;"&amp;E93)+1</f>
        <v>20</v>
      </c>
      <c r="E93" s="28" t="n">
        <v>0.0176273148148148</v>
      </c>
      <c r="F93" s="28" t="n">
        <f aca="false">E93/B93</f>
        <v>0.00217419855871906</v>
      </c>
      <c r="G93" s="29" t="s">
        <v>4345</v>
      </c>
      <c r="H93" s="29" t="s">
        <v>4237</v>
      </c>
      <c r="I93" s="30" t="s">
        <v>4173</v>
      </c>
      <c r="J93" s="27" t="n">
        <v>49</v>
      </c>
      <c r="K93" s="27" t="n">
        <v>795</v>
      </c>
      <c r="L93" s="9" t="n">
        <f aca="false">IF(INDEX(選手一覧!$D$5:$D$2736,$K93)="","",INDEX(選手一覧!$D$5:$D$2736,$K93))</f>
        <v>0.0108318287037037</v>
      </c>
      <c r="M93" s="10" t="n">
        <f aca="false">IF(INDEX(選手一覧!$E$5:$E$2736,$K93)="","",INDEX(選手一覧!$E$5:$E$2736,$K93))</f>
        <v>796</v>
      </c>
      <c r="N93" s="11" t="str">
        <f aca="false">IF(INDEX(選手一覧!$F$5:$F$2736,$K93)="","",INDEX(選手一覧!$F$5:$F$2736,$K93))</f>
        <v/>
      </c>
      <c r="O93" s="12" t="str">
        <f aca="false">IF(INDEX(選手一覧!$G$5:$G$2736,$K93)="","",INDEX(選手一覧!$G$5:$G$2736,$K93))</f>
        <v/>
      </c>
      <c r="P93" s="11" t="n">
        <f aca="false">IF(INDEX(選手一覧!$H$5:$H$2736,$K93)="","",INDEX(選手一覧!$H$5:$H$2736,$K93))</f>
        <v>0.00286180555555556</v>
      </c>
      <c r="Q93" s="12" t="n">
        <f aca="false">IF(INDEX(選手一覧!$I$5:$I$2736,$K93)="","",INDEX(選手一覧!$I$5:$I$2736,$K93))</f>
        <v>644</v>
      </c>
    </row>
    <row r="94" customFormat="false" ht="15" hidden="false" customHeight="false" outlineLevel="0" collapsed="false">
      <c r="A94" s="25" t="n">
        <v>3</v>
      </c>
      <c r="B94" s="26" t="n">
        <v>8.1075</v>
      </c>
      <c r="C94" s="10" t="n">
        <v>63</v>
      </c>
      <c r="D94" s="27" t="n">
        <f aca="false">COUNTIFS($A$5:$A$229,A94,$E$5:$E$229,"&lt;"&amp;E94)+1</f>
        <v>22</v>
      </c>
      <c r="E94" s="28" t="n">
        <v>0.0176388888888889</v>
      </c>
      <c r="F94" s="28" t="n">
        <f aca="false">E94/B94</f>
        <v>0.00217562613492308</v>
      </c>
      <c r="G94" s="29" t="s">
        <v>4346</v>
      </c>
      <c r="H94" s="29" t="s">
        <v>4257</v>
      </c>
      <c r="I94" s="30" t="s">
        <v>4214</v>
      </c>
      <c r="J94" s="27" t="n">
        <v>57</v>
      </c>
      <c r="K94" s="27" t="n">
        <v>373</v>
      </c>
      <c r="L94" s="9" t="n">
        <f aca="false">IF(INDEX(選手一覧!$D$5:$D$2736,$K94)="","",INDEX(選手一覧!$D$5:$D$2736,$K94))</f>
        <v>0.0105324074074074</v>
      </c>
      <c r="M94" s="10" t="n">
        <f aca="false">IF(INDEX(選手一覧!$E$5:$E$2736,$K94)="","",INDEX(選手一覧!$E$5:$E$2736,$K94))</f>
        <v>374</v>
      </c>
      <c r="N94" s="11" t="str">
        <f aca="false">IF(INDEX(選手一覧!$F$5:$F$2736,$K94)="","",INDEX(選手一覧!$F$5:$F$2736,$K94))</f>
        <v/>
      </c>
      <c r="O94" s="12" t="str">
        <f aca="false">IF(INDEX(選手一覧!$G$5:$G$2736,$K94)="","",INDEX(選手一覧!$G$5:$G$2736,$K94))</f>
        <v/>
      </c>
      <c r="P94" s="11" t="str">
        <f aca="false">IF(INDEX(選手一覧!$H$5:$H$2736,$K94)="","",INDEX(選手一覧!$H$5:$H$2736,$K94))</f>
        <v/>
      </c>
      <c r="Q94" s="12" t="str">
        <f aca="false">IF(INDEX(選手一覧!$I$5:$I$2736,$K94)="","",INDEX(選手一覧!$I$5:$I$2736,$K94))</f>
        <v/>
      </c>
    </row>
    <row r="95" customFormat="false" ht="15" hidden="false" customHeight="false" outlineLevel="0" collapsed="false">
      <c r="A95" s="25" t="n">
        <v>3</v>
      </c>
      <c r="B95" s="26" t="n">
        <v>8.1075</v>
      </c>
      <c r="C95" s="10" t="n">
        <v>65</v>
      </c>
      <c r="D95" s="27" t="n">
        <f aca="false">COUNTIFS($A$5:$A$229,A95,$E$5:$E$229,"&lt;"&amp;E95)+1</f>
        <v>23</v>
      </c>
      <c r="E95" s="28" t="n">
        <v>0.0177083333333333</v>
      </c>
      <c r="F95" s="28" t="n">
        <f aca="false">E95/B95</f>
        <v>0.00218419159214719</v>
      </c>
      <c r="G95" s="29" t="s">
        <v>4347</v>
      </c>
      <c r="H95" s="29" t="s">
        <v>4348</v>
      </c>
      <c r="I95" s="30" t="s">
        <v>4229</v>
      </c>
      <c r="J95" s="27" t="n">
        <v>51</v>
      </c>
      <c r="K95" s="27" t="n">
        <v>289</v>
      </c>
      <c r="L95" s="9" t="n">
        <f aca="false">IF(INDEX(選手一覧!$D$5:$D$2736,$K95)="","",INDEX(選手一覧!$D$5:$D$2736,$K95))</f>
        <v>0.0104258101851852</v>
      </c>
      <c r="M95" s="10" t="n">
        <f aca="false">IF(INDEX(選手一覧!$E$5:$E$2736,$K95)="","",INDEX(選手一覧!$E$5:$E$2736,$K95))</f>
        <v>290</v>
      </c>
      <c r="N95" s="11" t="str">
        <f aca="false">IF(INDEX(選手一覧!$F$5:$F$2736,$K95)="","",INDEX(選手一覧!$F$5:$F$2736,$K95))</f>
        <v/>
      </c>
      <c r="O95" s="12" t="str">
        <f aca="false">IF(INDEX(選手一覧!$G$5:$G$2736,$K95)="","",INDEX(選手一覧!$G$5:$G$2736,$K95))</f>
        <v/>
      </c>
      <c r="P95" s="11" t="str">
        <f aca="false">IF(INDEX(選手一覧!$H$5:$H$2736,$K95)="","",INDEX(選手一覧!$H$5:$H$2736,$K95))</f>
        <v/>
      </c>
      <c r="Q95" s="12" t="str">
        <f aca="false">IF(INDEX(選手一覧!$I$5:$I$2736,$K95)="","",INDEX(選手一覧!$I$5:$I$2736,$K95))</f>
        <v/>
      </c>
    </row>
    <row r="96" customFormat="false" ht="15" hidden="false" customHeight="false" outlineLevel="0" collapsed="false">
      <c r="A96" s="25" t="n">
        <v>3</v>
      </c>
      <c r="B96" s="26" t="n">
        <v>8.1075</v>
      </c>
      <c r="C96" s="10" t="n">
        <v>66</v>
      </c>
      <c r="D96" s="27" t="n">
        <f aca="false">COUNTIFS($A$5:$A$229,A96,$E$5:$E$229,"&lt;"&amp;E96)+1</f>
        <v>24</v>
      </c>
      <c r="E96" s="28" t="n">
        <v>0.0177314814814815</v>
      </c>
      <c r="F96" s="28" t="n">
        <f aca="false">E96/B96</f>
        <v>0.00218704674455522</v>
      </c>
      <c r="G96" s="29" t="s">
        <v>4349</v>
      </c>
      <c r="H96" s="29" t="s">
        <v>4233</v>
      </c>
      <c r="I96" s="30" t="s">
        <v>4229</v>
      </c>
      <c r="J96" s="27" t="n">
        <v>62</v>
      </c>
      <c r="K96" s="27" t="n">
        <v>485</v>
      </c>
      <c r="L96" s="9" t="n">
        <f aca="false">IF(INDEX(選手一覧!$D$5:$D$2736,$K96)="","",INDEX(選手一覧!$D$5:$D$2736,$K96))</f>
        <v>0.010615625</v>
      </c>
      <c r="M96" s="10" t="n">
        <f aca="false">IF(INDEX(選手一覧!$E$5:$E$2736,$K96)="","",INDEX(選手一覧!$E$5:$E$2736,$K96))</f>
        <v>486</v>
      </c>
      <c r="N96" s="11" t="str">
        <f aca="false">IF(INDEX(選手一覧!$F$5:$F$2736,$K96)="","",INDEX(選手一覧!$F$5:$F$2736,$K96))</f>
        <v/>
      </c>
      <c r="O96" s="12" t="str">
        <f aca="false">IF(INDEX(選手一覧!$G$5:$G$2736,$K96)="","",INDEX(選手一覧!$G$5:$G$2736,$K96))</f>
        <v/>
      </c>
      <c r="P96" s="11" t="n">
        <f aca="false">IF(INDEX(選手一覧!$H$5:$H$2736,$K96)="","",INDEX(選手一覧!$H$5:$H$2736,$K96))</f>
        <v>0.00279027777777778</v>
      </c>
      <c r="Q96" s="12" t="n">
        <f aca="false">IF(INDEX(選手一覧!$I$5:$I$2736,$K96)="","",INDEX(選手一覧!$I$5:$I$2736,$K96))</f>
        <v>239</v>
      </c>
    </row>
    <row r="97" customFormat="false" ht="15" hidden="false" customHeight="false" outlineLevel="0" collapsed="false">
      <c r="A97" s="25" t="n">
        <v>3</v>
      </c>
      <c r="B97" s="26" t="n">
        <v>8.1075</v>
      </c>
      <c r="C97" s="10" t="n">
        <v>69</v>
      </c>
      <c r="D97" s="27" t="n">
        <f aca="false">COUNTIFS($A$5:$A$229,A97,$E$5:$E$229,"&lt;"&amp;E97)+1</f>
        <v>25</v>
      </c>
      <c r="E97" s="28" t="n">
        <v>0.0177777777777778</v>
      </c>
      <c r="F97" s="28" t="n">
        <f aca="false">E97/B97</f>
        <v>0.0021927570493713</v>
      </c>
      <c r="G97" s="29" t="s">
        <v>4350</v>
      </c>
      <c r="H97" s="29" t="s">
        <v>4351</v>
      </c>
      <c r="I97" s="30" t="s">
        <v>4211</v>
      </c>
      <c r="J97" s="27" t="n">
        <v>69</v>
      </c>
      <c r="K97" s="27" t="n">
        <v>879</v>
      </c>
      <c r="L97" s="9" t="n">
        <f aca="false">IF(INDEX(選手一覧!$D$5:$D$2736,$K97)="","",INDEX(選手一覧!$D$5:$D$2736,$K97))</f>
        <v>0.0108746527777778</v>
      </c>
      <c r="M97" s="10" t="n">
        <f aca="false">IF(INDEX(選手一覧!$E$5:$E$2736,$K97)="","",INDEX(選手一覧!$E$5:$E$2736,$K97))</f>
        <v>880</v>
      </c>
      <c r="N97" s="11" t="str">
        <f aca="false">IF(INDEX(選手一覧!$F$5:$F$2736,$K97)="","",INDEX(選手一覧!$F$5:$F$2736,$K97))</f>
        <v/>
      </c>
      <c r="O97" s="12" t="str">
        <f aca="false">IF(INDEX(選手一覧!$G$5:$G$2736,$K97)="","",INDEX(選手一覧!$G$5:$G$2736,$K97))</f>
        <v/>
      </c>
      <c r="P97" s="11" t="n">
        <f aca="false">IF(INDEX(選手一覧!$H$5:$H$2736,$K97)="","",INDEX(選手一覧!$H$5:$H$2736,$K97))</f>
        <v>0.00290520833333333</v>
      </c>
      <c r="Q97" s="12" t="n">
        <f aca="false">IF(INDEX(選手一覧!$I$5:$I$2736,$K97)="","",INDEX(選手一覧!$I$5:$I$2736,$K97))</f>
        <v>985</v>
      </c>
    </row>
    <row r="98" customFormat="false" ht="15" hidden="false" customHeight="false" outlineLevel="0" collapsed="false">
      <c r="A98" s="25" t="n">
        <v>3</v>
      </c>
      <c r="B98" s="26" t="n">
        <v>8.1075</v>
      </c>
      <c r="C98" s="10" t="n">
        <v>71</v>
      </c>
      <c r="D98" s="27" t="n">
        <f aca="false">COUNTIFS($A$5:$A$229,A98,$E$5:$E$229,"&lt;"&amp;E98)+1</f>
        <v>26</v>
      </c>
      <c r="E98" s="28" t="n">
        <v>0.0178587962962963</v>
      </c>
      <c r="F98" s="28" t="n">
        <f aca="false">E98/B98</f>
        <v>0.00220275008279942</v>
      </c>
      <c r="G98" s="29" t="s">
        <v>4352</v>
      </c>
      <c r="H98" s="29" t="s">
        <v>4353</v>
      </c>
      <c r="I98" s="30" t="s">
        <v>4222</v>
      </c>
      <c r="J98" s="27" t="n">
        <v>54</v>
      </c>
      <c r="K98" s="27" t="n">
        <v>670</v>
      </c>
      <c r="L98" s="9" t="n">
        <f aca="false">IF(INDEX(選手一覧!$D$5:$D$2736,$K98)="","",INDEX(選手一覧!$D$5:$D$2736,$K98))</f>
        <v>0.010752662037037</v>
      </c>
      <c r="M98" s="10" t="n">
        <f aca="false">IF(INDEX(選手一覧!$E$5:$E$2736,$K98)="","",INDEX(選手一覧!$E$5:$E$2736,$K98))</f>
        <v>671</v>
      </c>
      <c r="N98" s="11" t="str">
        <f aca="false">IF(INDEX(選手一覧!$F$5:$F$2736,$K98)="","",INDEX(選手一覧!$F$5:$F$2736,$K98))</f>
        <v/>
      </c>
      <c r="O98" s="12" t="str">
        <f aca="false">IF(INDEX(選手一覧!$G$5:$G$2736,$K98)="","",INDEX(選手一覧!$G$5:$G$2736,$K98))</f>
        <v/>
      </c>
      <c r="P98" s="11" t="n">
        <f aca="false">IF(INDEX(選手一覧!$H$5:$H$2736,$K98)="","",INDEX(選手一覧!$H$5:$H$2736,$K98))</f>
        <v>0.00284027777777778</v>
      </c>
      <c r="Q98" s="12" t="n">
        <f aca="false">IF(INDEX(選手一覧!$I$5:$I$2736,$K98)="","",INDEX(選手一覧!$I$5:$I$2736,$K98))</f>
        <v>499</v>
      </c>
    </row>
    <row r="99" customFormat="false" ht="15" hidden="false" customHeight="false" outlineLevel="0" collapsed="false">
      <c r="A99" s="25" t="n">
        <v>3</v>
      </c>
      <c r="B99" s="26" t="n">
        <v>8.1075</v>
      </c>
      <c r="C99" s="10" t="n">
        <v>72</v>
      </c>
      <c r="D99" s="27" t="n">
        <f aca="false">COUNTIFS($A$5:$A$229,A99,$E$5:$E$229,"&lt;"&amp;E99)+1</f>
        <v>27</v>
      </c>
      <c r="E99" s="28" t="n">
        <v>0.0178703703703704</v>
      </c>
      <c r="F99" s="28" t="n">
        <f aca="false">E99/B99</f>
        <v>0.00220417765900344</v>
      </c>
      <c r="G99" s="29" t="s">
        <v>4354</v>
      </c>
      <c r="H99" s="29" t="s">
        <v>4355</v>
      </c>
      <c r="I99" s="30" t="s">
        <v>4181</v>
      </c>
      <c r="J99" s="27" t="n">
        <v>85</v>
      </c>
      <c r="K99" s="27" t="n">
        <v>584</v>
      </c>
      <c r="L99" s="9" t="n">
        <f aca="false">IF(INDEX(選手一覧!$D$5:$D$2736,$K99)="","",INDEX(選手一覧!$D$5:$D$2736,$K99))</f>
        <v>0.0107009259259259</v>
      </c>
      <c r="M99" s="10" t="n">
        <f aca="false">IF(INDEX(選手一覧!$E$5:$E$2736,$K99)="","",INDEX(選手一覧!$E$5:$E$2736,$K99))</f>
        <v>585</v>
      </c>
      <c r="N99" s="11" t="str">
        <f aca="false">IF(INDEX(選手一覧!$F$5:$F$2736,$K99)="","",INDEX(選手一覧!$F$5:$F$2736,$K99))</f>
        <v/>
      </c>
      <c r="O99" s="12" t="str">
        <f aca="false">IF(INDEX(選手一覧!$G$5:$G$2736,$K99)="","",INDEX(選手一覧!$G$5:$G$2736,$K99))</f>
        <v/>
      </c>
      <c r="P99" s="11" t="n">
        <f aca="false">IF(INDEX(選手一覧!$H$5:$H$2736,$K99)="","",INDEX(選手一覧!$H$5:$H$2736,$K99))</f>
        <v>0.00283611111111111</v>
      </c>
      <c r="Q99" s="12" t="n">
        <f aca="false">IF(INDEX(選手一覧!$I$5:$I$2736,$K99)="","",INDEX(選手一覧!$I$5:$I$2736,$K99))</f>
        <v>471</v>
      </c>
    </row>
    <row r="100" customFormat="false" ht="15" hidden="false" customHeight="false" outlineLevel="0" collapsed="false">
      <c r="A100" s="25" t="n">
        <v>3</v>
      </c>
      <c r="B100" s="26" t="n">
        <v>8.1075</v>
      </c>
      <c r="C100" s="10" t="n">
        <v>74</v>
      </c>
      <c r="D100" s="27" t="n">
        <f aca="false">COUNTIFS($A$5:$A$229,A100,$E$5:$E$229,"&lt;"&amp;E100)+1</f>
        <v>28</v>
      </c>
      <c r="E100" s="28" t="n">
        <v>0.0179282407407407</v>
      </c>
      <c r="F100" s="28" t="n">
        <f aca="false">E100/B100</f>
        <v>0.00221131554002353</v>
      </c>
      <c r="G100" s="29" t="s">
        <v>4356</v>
      </c>
      <c r="H100" s="29" t="s">
        <v>4357</v>
      </c>
      <c r="I100" s="30" t="s">
        <v>4248</v>
      </c>
      <c r="J100" s="27" t="n">
        <v>72</v>
      </c>
      <c r="K100" s="27" t="n">
        <v>1954</v>
      </c>
      <c r="L100" s="9" t="str">
        <f aca="false">IF(INDEX(選手一覧!$D$5:$D$2736,$K100)="","",INDEX(選手一覧!$D$5:$D$2736,$K100))</f>
        <v/>
      </c>
      <c r="M100" s="10" t="str">
        <f aca="false">IF(INDEX(選手一覧!$E$5:$E$2736,$K100)="","",INDEX(選手一覧!$E$5:$E$2736,$K100))</f>
        <v/>
      </c>
      <c r="N100" s="11" t="str">
        <f aca="false">IF(INDEX(選手一覧!$F$5:$F$2736,$K100)="","",INDEX(選手一覧!$F$5:$F$2736,$K100))</f>
        <v/>
      </c>
      <c r="O100" s="12" t="str">
        <f aca="false">IF(INDEX(選手一覧!$G$5:$G$2736,$K100)="","",INDEX(選手一覧!$G$5:$G$2736,$K100))</f>
        <v/>
      </c>
      <c r="P100" s="11" t="n">
        <f aca="false">IF(INDEX(選手一覧!$H$5:$H$2736,$K100)="","",INDEX(選手一覧!$H$5:$H$2736,$K100))</f>
        <v>0.00288506944444444</v>
      </c>
      <c r="Q100" s="12" t="n">
        <f aca="false">IF(INDEX(選手一覧!$I$5:$I$2736,$K100)="","",INDEX(選手一覧!$I$5:$I$2736,$K100))</f>
        <v>816</v>
      </c>
    </row>
    <row r="101" customFormat="false" ht="15" hidden="false" customHeight="false" outlineLevel="0" collapsed="false">
      <c r="A101" s="25" t="n">
        <v>3</v>
      </c>
      <c r="B101" s="26" t="n">
        <v>8.1075</v>
      </c>
      <c r="C101" s="10" t="n">
        <v>82</v>
      </c>
      <c r="D101" s="27" t="n">
        <f aca="false">COUNTIFS($A$5:$A$229,A101,$E$5:$E$229,"&lt;"&amp;E101)+1</f>
        <v>29</v>
      </c>
      <c r="E101" s="28" t="n">
        <v>0.0181828703703704</v>
      </c>
      <c r="F101" s="28" t="n">
        <f aca="false">E101/B101</f>
        <v>0.00224272221651192</v>
      </c>
      <c r="G101" s="29" t="s">
        <v>4358</v>
      </c>
      <c r="H101" s="29" t="s">
        <v>4359</v>
      </c>
      <c r="I101" s="30" t="s">
        <v>4187</v>
      </c>
      <c r="J101" s="27" t="n">
        <v>76</v>
      </c>
      <c r="K101" s="27" t="n">
        <v>1827</v>
      </c>
      <c r="L101" s="9" t="str">
        <f aca="false">IF(INDEX(選手一覧!$D$5:$D$2736,$K101)="","",INDEX(選手一覧!$D$5:$D$2736,$K101))</f>
        <v/>
      </c>
      <c r="M101" s="10" t="str">
        <f aca="false">IF(INDEX(選手一覧!$E$5:$E$2736,$K101)="","",INDEX(選手一覧!$E$5:$E$2736,$K101))</f>
        <v/>
      </c>
      <c r="N101" s="11" t="n">
        <f aca="false">IF(INDEX(選手一覧!$F$5:$F$2736,$K101)="","",INDEX(選手一覧!$F$5:$F$2736,$K101))</f>
        <v>0.00736087962962963</v>
      </c>
      <c r="O101" s="12" t="n">
        <f aca="false">IF(INDEX(選手一覧!$G$5:$G$2736,$K101)="","",INDEX(選手一覧!$G$5:$G$2736,$K101))</f>
        <v>721</v>
      </c>
      <c r="P101" s="11" t="str">
        <f aca="false">IF(INDEX(選手一覧!$H$5:$H$2736,$K101)="","",INDEX(選手一覧!$H$5:$H$2736,$K101))</f>
        <v/>
      </c>
      <c r="Q101" s="12" t="str">
        <f aca="false">IF(INDEX(選手一覧!$I$5:$I$2736,$K101)="","",INDEX(選手一覧!$I$5:$I$2736,$K101))</f>
        <v/>
      </c>
    </row>
    <row r="102" customFormat="false" ht="15" hidden="false" customHeight="false" outlineLevel="0" collapsed="false">
      <c r="A102" s="25" t="n">
        <v>3</v>
      </c>
      <c r="B102" s="26" t="n">
        <v>8.1075</v>
      </c>
      <c r="C102" s="10" t="n">
        <v>88</v>
      </c>
      <c r="D102" s="27" t="n">
        <f aca="false">COUNTIFS($A$5:$A$229,A102,$E$5:$E$229,"&lt;"&amp;E102)+1</f>
        <v>30</v>
      </c>
      <c r="E102" s="28" t="n">
        <v>0.0183101851851852</v>
      </c>
      <c r="F102" s="28" t="n">
        <f aca="false">E102/B102</f>
        <v>0.00225842555475611</v>
      </c>
      <c r="G102" s="29" t="s">
        <v>4360</v>
      </c>
      <c r="H102" s="29" t="s">
        <v>4231</v>
      </c>
      <c r="I102" s="30" t="s">
        <v>4173</v>
      </c>
      <c r="J102" s="27" t="n">
        <v>83</v>
      </c>
      <c r="K102" s="27" t="n">
        <v>1249</v>
      </c>
      <c r="L102" s="9" t="n">
        <f aca="false">IF(INDEX(選手一覧!$D$5:$D$2736,$K102)="","",INDEX(選手一覧!$D$5:$D$2736,$K102))</f>
        <v>0.0110797453703704</v>
      </c>
      <c r="M102" s="10" t="n">
        <f aca="false">IF(INDEX(選手一覧!$E$5:$E$2736,$K102)="","",INDEX(選手一覧!$E$5:$E$2736,$K102))</f>
        <v>1250</v>
      </c>
      <c r="N102" s="11" t="n">
        <f aca="false">IF(INDEX(選手一覧!$F$5:$F$2736,$K102)="","",INDEX(選手一覧!$F$5:$F$2736,$K102))</f>
        <v>0.00815219907407407</v>
      </c>
      <c r="O102" s="12" t="n">
        <f aca="false">IF(INDEX(選手一覧!$G$5:$G$2736,$K102)="","",INDEX(選手一覧!$G$5:$G$2736,$K102))</f>
        <v>1219</v>
      </c>
      <c r="P102" s="11" t="str">
        <f aca="false">IF(INDEX(選手一覧!$H$5:$H$2736,$K102)="","",INDEX(選手一覧!$H$5:$H$2736,$K102))</f>
        <v/>
      </c>
      <c r="Q102" s="12" t="str">
        <f aca="false">IF(INDEX(選手一覧!$I$5:$I$2736,$K102)="","",INDEX(選手一覧!$I$5:$I$2736,$K102))</f>
        <v/>
      </c>
    </row>
    <row r="103" customFormat="false" ht="15" hidden="false" customHeight="false" outlineLevel="0" collapsed="false">
      <c r="A103" s="25" t="n">
        <v>3</v>
      </c>
      <c r="B103" s="26" t="n">
        <v>8.1075</v>
      </c>
      <c r="C103" s="10" t="n">
        <v>90</v>
      </c>
      <c r="D103" s="27" t="n">
        <f aca="false">COUNTIFS($A$5:$A$229,A103,$E$5:$E$229,"&lt;"&amp;E103)+1</f>
        <v>31</v>
      </c>
      <c r="E103" s="28" t="n">
        <v>0.0183564814814815</v>
      </c>
      <c r="F103" s="28" t="n">
        <f aca="false">E103/B103</f>
        <v>0.00226413585957218</v>
      </c>
      <c r="G103" s="29" t="s">
        <v>4361</v>
      </c>
      <c r="H103" s="29" t="s">
        <v>4314</v>
      </c>
      <c r="I103" s="30" t="s">
        <v>4187</v>
      </c>
      <c r="J103" s="27" t="n">
        <v>87</v>
      </c>
      <c r="K103" s="27" t="n">
        <v>1839</v>
      </c>
      <c r="L103" s="9" t="str">
        <f aca="false">IF(INDEX(選手一覧!$D$5:$D$2736,$K103)="","",INDEX(選手一覧!$D$5:$D$2736,$K103))</f>
        <v/>
      </c>
      <c r="M103" s="10" t="str">
        <f aca="false">IF(INDEX(選手一覧!$E$5:$E$2736,$K103)="","",INDEX(選手一覧!$E$5:$E$2736,$K103))</f>
        <v/>
      </c>
      <c r="N103" s="11" t="str">
        <f aca="false">IF(INDEX(選手一覧!$F$5:$F$2736,$K103)="","",INDEX(選手一覧!$F$5:$F$2736,$K103))</f>
        <v/>
      </c>
      <c r="O103" s="12" t="str">
        <f aca="false">IF(INDEX(選手一覧!$G$5:$G$2736,$K103)="","",INDEX(選手一覧!$G$5:$G$2736,$K103))</f>
        <v/>
      </c>
      <c r="P103" s="11" t="n">
        <f aca="false">IF(INDEX(選手一覧!$H$5:$H$2736,$K103)="","",INDEX(選手一覧!$H$5:$H$2736,$K103))</f>
        <v>0.00287430555555556</v>
      </c>
      <c r="Q103" s="12" t="n">
        <f aca="false">IF(INDEX(選手一覧!$I$5:$I$2736,$K103)="","",INDEX(選手一覧!$I$5:$I$2736,$K103))</f>
        <v>729</v>
      </c>
    </row>
    <row r="104" customFormat="false" ht="15" hidden="false" customHeight="false" outlineLevel="0" collapsed="false">
      <c r="A104" s="25" t="n">
        <v>3</v>
      </c>
      <c r="B104" s="26" t="n">
        <v>8.1075</v>
      </c>
      <c r="C104" s="10" t="n">
        <v>95</v>
      </c>
      <c r="D104" s="27" t="n">
        <f aca="false">COUNTIFS($A$5:$A$229,A104,$E$5:$E$229,"&lt;"&amp;E104)+1</f>
        <v>32</v>
      </c>
      <c r="E104" s="28" t="n">
        <v>0.0186111111111111</v>
      </c>
      <c r="F104" s="28" t="n">
        <f aca="false">E104/B104</f>
        <v>0.00229554253606057</v>
      </c>
      <c r="G104" s="29" t="s">
        <v>4362</v>
      </c>
      <c r="H104" s="29" t="s">
        <v>4363</v>
      </c>
      <c r="I104" s="30" t="s">
        <v>4184</v>
      </c>
      <c r="J104" s="27" t="n">
        <v>75</v>
      </c>
      <c r="K104" s="27" t="n">
        <v>2407</v>
      </c>
      <c r="L104" s="9" t="str">
        <f aca="false">IF(INDEX(選手一覧!$D$5:$D$2736,$K104)="","",INDEX(選手一覧!$D$5:$D$2736,$K104))</f>
        <v/>
      </c>
      <c r="M104" s="10" t="str">
        <f aca="false">IF(INDEX(選手一覧!$E$5:$E$2736,$K104)="","",INDEX(選手一覧!$E$5:$E$2736,$K104))</f>
        <v/>
      </c>
      <c r="N104" s="11" t="n">
        <f aca="false">IF(INDEX(選手一覧!$F$5:$F$2736,$K104)="","",INDEX(選手一覧!$F$5:$F$2736,$K104))</f>
        <v>0.00784780092592593</v>
      </c>
      <c r="O104" s="12" t="n">
        <f aca="false">IF(INDEX(選手一覧!$G$5:$G$2736,$K104)="","",INDEX(選手一覧!$G$5:$G$2736,$K104))</f>
        <v>1149</v>
      </c>
      <c r="P104" s="11" t="str">
        <f aca="false">IF(INDEX(選手一覧!$H$5:$H$2736,$K104)="","",INDEX(選手一覧!$H$5:$H$2736,$K104))</f>
        <v/>
      </c>
      <c r="Q104" s="12" t="str">
        <f aca="false">IF(INDEX(選手一覧!$I$5:$I$2736,$K104)="","",INDEX(選手一覧!$I$5:$I$2736,$K104))</f>
        <v/>
      </c>
    </row>
    <row r="105" customFormat="false" ht="15" hidden="false" customHeight="false" outlineLevel="0" collapsed="false">
      <c r="A105" s="25" t="n">
        <v>3</v>
      </c>
      <c r="B105" s="26" t="n">
        <v>8.1075</v>
      </c>
      <c r="C105" s="10" t="n">
        <v>98</v>
      </c>
      <c r="D105" s="27" t="n">
        <f aca="false">COUNTIFS($A$5:$A$229,A105,$E$5:$E$229,"&lt;"&amp;E105)+1</f>
        <v>33</v>
      </c>
      <c r="E105" s="28" t="n">
        <v>0.0188310185185185</v>
      </c>
      <c r="F105" s="28" t="n">
        <f aca="false">E105/B105</f>
        <v>0.00232266648393691</v>
      </c>
      <c r="G105" s="29" t="s">
        <v>4364</v>
      </c>
      <c r="H105" s="29" t="s">
        <v>4365</v>
      </c>
      <c r="I105" s="30" t="s">
        <v>4184</v>
      </c>
      <c r="J105" s="27" t="n">
        <v>99</v>
      </c>
      <c r="K105" s="27" t="n">
        <v>2530</v>
      </c>
      <c r="L105" s="9" t="str">
        <f aca="false">IF(INDEX(選手一覧!$D$5:$D$2736,$K105)="","",INDEX(選手一覧!$D$5:$D$2736,$K105))</f>
        <v/>
      </c>
      <c r="M105" s="10" t="str">
        <f aca="false">IF(INDEX(選手一覧!$E$5:$E$2736,$K105)="","",INDEX(選手一覧!$E$5:$E$2736,$K105))</f>
        <v/>
      </c>
      <c r="N105" s="11" t="str">
        <f aca="false">IF(INDEX(選手一覧!$F$5:$F$2736,$K105)="","",INDEX(選手一覧!$F$5:$F$2736,$K105))</f>
        <v/>
      </c>
      <c r="O105" s="12" t="str">
        <f aca="false">IF(INDEX(選手一覧!$G$5:$G$2736,$K105)="","",INDEX(選手一覧!$G$5:$G$2736,$K105))</f>
        <v/>
      </c>
      <c r="P105" s="11" t="n">
        <f aca="false">IF(INDEX(選手一覧!$H$5:$H$2736,$K105)="","",INDEX(選手一覧!$H$5:$H$2736,$K105))</f>
        <v>0.00294907407407407</v>
      </c>
      <c r="Q105" s="12" t="n">
        <f aca="false">IF(INDEX(選手一覧!$I$5:$I$2736,$K105)="","",INDEX(選手一覧!$I$5:$I$2736,$K105))</f>
        <v>1233</v>
      </c>
    </row>
    <row r="106" customFormat="false" ht="15" hidden="false" customHeight="false" outlineLevel="0" collapsed="false">
      <c r="A106" s="25" t="n">
        <v>3</v>
      </c>
      <c r="B106" s="26" t="n">
        <v>8.1075</v>
      </c>
      <c r="C106" s="10" t="n">
        <v>100</v>
      </c>
      <c r="D106" s="27" t="n">
        <f aca="false">COUNTIFS($A$5:$A$229,A106,$E$5:$E$229,"&lt;"&amp;E106)+1</f>
        <v>34</v>
      </c>
      <c r="E106" s="28" t="n">
        <v>0.0188425925925926</v>
      </c>
      <c r="F106" s="28" t="n">
        <f aca="false">E106/B106</f>
        <v>0.00232409406014093</v>
      </c>
      <c r="G106" s="29" t="s">
        <v>4366</v>
      </c>
      <c r="H106" s="29" t="s">
        <v>4367</v>
      </c>
      <c r="I106" s="30" t="s">
        <v>4173</v>
      </c>
      <c r="J106" s="27" t="n">
        <v>91</v>
      </c>
      <c r="K106" s="27" t="n">
        <v>2058</v>
      </c>
      <c r="L106" s="9" t="str">
        <f aca="false">IF(INDEX(選手一覧!$D$5:$D$2736,$K106)="","",INDEX(選手一覧!$D$5:$D$2736,$K106))</f>
        <v/>
      </c>
      <c r="M106" s="10" t="str">
        <f aca="false">IF(INDEX(選手一覧!$E$5:$E$2736,$K106)="","",INDEX(選手一覧!$E$5:$E$2736,$K106))</f>
        <v/>
      </c>
      <c r="N106" s="11" t="str">
        <f aca="false">IF(INDEX(選手一覧!$F$5:$F$2736,$K106)="","",INDEX(選手一覧!$F$5:$F$2736,$K106))</f>
        <v/>
      </c>
      <c r="O106" s="12" t="str">
        <f aca="false">IF(INDEX(選手一覧!$G$5:$G$2736,$K106)="","",INDEX(選手一覧!$G$5:$G$2736,$K106))</f>
        <v/>
      </c>
      <c r="P106" s="11" t="n">
        <f aca="false">IF(INDEX(選手一覧!$H$5:$H$2736,$K106)="","",INDEX(選手一覧!$H$5:$H$2736,$K106))</f>
        <v>0.00289247685185185</v>
      </c>
      <c r="Q106" s="12" t="n">
        <f aca="false">IF(INDEX(選手一覧!$I$5:$I$2736,$K106)="","",INDEX(選手一覧!$I$5:$I$2736,$K106))</f>
        <v>894</v>
      </c>
    </row>
    <row r="107" customFormat="false" ht="15" hidden="false" customHeight="false" outlineLevel="0" collapsed="false">
      <c r="A107" s="25" t="n">
        <v>3</v>
      </c>
      <c r="B107" s="26" t="n">
        <v>8.1075</v>
      </c>
      <c r="C107" s="10" t="n">
        <v>103</v>
      </c>
      <c r="D107" s="27" t="n">
        <f aca="false">COUNTIFS($A$5:$A$229,A107,$E$5:$E$229,"&lt;"&amp;E107)+1</f>
        <v>35</v>
      </c>
      <c r="E107" s="28" t="n">
        <v>0.0190162037037037</v>
      </c>
      <c r="F107" s="28" t="n">
        <f aca="false">E107/B107</f>
        <v>0.0023455077032012</v>
      </c>
      <c r="G107" s="29" t="s">
        <v>4368</v>
      </c>
      <c r="H107" s="29" t="s">
        <v>4369</v>
      </c>
      <c r="I107" s="30" t="s">
        <v>4181</v>
      </c>
      <c r="J107" s="27" t="n">
        <v>96</v>
      </c>
      <c r="K107" s="27" t="n">
        <v>2032</v>
      </c>
      <c r="L107" s="9" t="str">
        <f aca="false">IF(INDEX(選手一覧!$D$5:$D$2736,$K107)="","",INDEX(選手一覧!$D$5:$D$2736,$K107))</f>
        <v/>
      </c>
      <c r="M107" s="10" t="str">
        <f aca="false">IF(INDEX(選手一覧!$E$5:$E$2736,$K107)="","",INDEX(選手一覧!$E$5:$E$2736,$K107))</f>
        <v/>
      </c>
      <c r="N107" s="11" t="n">
        <f aca="false">IF(INDEX(選手一覧!$F$5:$F$2736,$K107)="","",INDEX(選手一覧!$F$5:$F$2736,$K107))</f>
        <v>0.00748391203703704</v>
      </c>
      <c r="O107" s="12" t="n">
        <f aca="false">IF(INDEX(選手一覧!$G$5:$G$2736,$K107)="","",INDEX(選手一覧!$G$5:$G$2736,$K107))</f>
        <v>875</v>
      </c>
      <c r="P107" s="11" t="str">
        <f aca="false">IF(INDEX(選手一覧!$H$5:$H$2736,$K107)="","",INDEX(選手一覧!$H$5:$H$2736,$K107))</f>
        <v/>
      </c>
      <c r="Q107" s="12" t="str">
        <f aca="false">IF(INDEX(選手一覧!$I$5:$I$2736,$K107)="","",INDEX(選手一覧!$I$5:$I$2736,$K107))</f>
        <v/>
      </c>
    </row>
    <row r="108" customFormat="false" ht="15" hidden="false" customHeight="false" outlineLevel="0" collapsed="false">
      <c r="A108" s="25" t="n">
        <v>3</v>
      </c>
      <c r="B108" s="26" t="n">
        <v>8.1075</v>
      </c>
      <c r="C108" s="10" t="n">
        <v>104</v>
      </c>
      <c r="D108" s="27" t="n">
        <f aca="false">COUNTIFS($A$5:$A$229,A108,$E$5:$E$229,"&lt;"&amp;E108)+1</f>
        <v>36</v>
      </c>
      <c r="E108" s="28" t="n">
        <v>0.0190393518518519</v>
      </c>
      <c r="F108" s="28" t="n">
        <f aca="false">E108/B108</f>
        <v>0.00234836285560923</v>
      </c>
      <c r="G108" s="29" t="s">
        <v>4370</v>
      </c>
      <c r="H108" s="29" t="s">
        <v>4371</v>
      </c>
      <c r="I108" s="30" t="s">
        <v>4184</v>
      </c>
      <c r="J108" s="27" t="n">
        <v>107</v>
      </c>
      <c r="K108" s="27" t="n">
        <v>1817</v>
      </c>
      <c r="L108" s="9" t="str">
        <f aca="false">IF(INDEX(選手一覧!$D$5:$D$2736,$K108)="","",INDEX(選手一覧!$D$5:$D$2736,$K108))</f>
        <v/>
      </c>
      <c r="M108" s="10" t="str">
        <f aca="false">IF(INDEX(選手一覧!$E$5:$E$2736,$K108)="","",INDEX(選手一覧!$E$5:$E$2736,$K108))</f>
        <v/>
      </c>
      <c r="N108" s="11" t="n">
        <f aca="false">IF(INDEX(選手一覧!$F$5:$F$2736,$K108)="","",INDEX(選手一覧!$F$5:$F$2736,$K108))</f>
        <v>0.00734918981481482</v>
      </c>
      <c r="O108" s="12" t="n">
        <f aca="false">IF(INDEX(選手一覧!$G$5:$G$2736,$K108)="","",INDEX(選手一覧!$G$5:$G$2736,$K108))</f>
        <v>710</v>
      </c>
      <c r="P108" s="11" t="str">
        <f aca="false">IF(INDEX(選手一覧!$H$5:$H$2736,$K108)="","",INDEX(選手一覧!$H$5:$H$2736,$K108))</f>
        <v/>
      </c>
      <c r="Q108" s="12" t="str">
        <f aca="false">IF(INDEX(選手一覧!$I$5:$I$2736,$K108)="","",INDEX(選手一覧!$I$5:$I$2736,$K108))</f>
        <v/>
      </c>
    </row>
    <row r="109" customFormat="false" ht="15" hidden="false" customHeight="false" outlineLevel="0" collapsed="false">
      <c r="A109" s="31" t="n">
        <v>4</v>
      </c>
      <c r="B109" s="32" t="n">
        <v>8.0875</v>
      </c>
      <c r="C109" s="19" t="n">
        <v>7</v>
      </c>
      <c r="D109" s="21" t="n">
        <f aca="false">COUNTIFS($A$5:$A$229,A109,$E$5:$E$229,"&lt;"&amp;E109)+1</f>
        <v>1</v>
      </c>
      <c r="E109" s="33" t="n">
        <v>0.0169097222222222</v>
      </c>
      <c r="F109" s="33" t="n">
        <f aca="false">E109/B109</f>
        <v>0.00209084664262408</v>
      </c>
      <c r="G109" s="17" t="s">
        <v>4372</v>
      </c>
      <c r="H109" s="17" t="s">
        <v>4282</v>
      </c>
      <c r="I109" s="34" t="s">
        <v>4264</v>
      </c>
      <c r="J109" s="21" t="n">
        <v>9</v>
      </c>
      <c r="K109" s="21" t="n">
        <v>68</v>
      </c>
      <c r="L109" s="18" t="n">
        <f aca="false">IF(INDEX(選手一覧!$D$5:$D$2736,$K109)="","",INDEX(選手一覧!$D$5:$D$2736,$K109))</f>
        <v>0.0101414351851852</v>
      </c>
      <c r="M109" s="19" t="n">
        <f aca="false">IF(INDEX(選手一覧!$E$5:$E$2736,$K109)="","",INDEX(選手一覧!$E$5:$E$2736,$K109))</f>
        <v>69</v>
      </c>
      <c r="N109" s="20" t="str">
        <f aca="false">IF(INDEX(選手一覧!$F$5:$F$2736,$K109)="","",INDEX(選手一覧!$F$5:$F$2736,$K109))</f>
        <v/>
      </c>
      <c r="O109" s="21" t="str">
        <f aca="false">IF(INDEX(選手一覧!$G$5:$G$2736,$K109)="","",INDEX(選手一覧!$G$5:$G$2736,$K109))</f>
        <v/>
      </c>
      <c r="P109" s="20" t="n">
        <f aca="false">IF(INDEX(選手一覧!$H$5:$H$2736,$K109)="","",INDEX(選手一覧!$H$5:$H$2736,$K109))</f>
        <v>0.00285590277777778</v>
      </c>
      <c r="Q109" s="21" t="n">
        <f aca="false">IF(INDEX(選手一覧!$I$5:$I$2736,$K109)="","",INDEX(選手一覧!$I$5:$I$2736,$K109))</f>
        <v>607</v>
      </c>
    </row>
    <row r="110" customFormat="false" ht="15" hidden="false" customHeight="false" outlineLevel="0" collapsed="false">
      <c r="A110" s="31" t="n">
        <v>4</v>
      </c>
      <c r="B110" s="32" t="n">
        <v>8.0875</v>
      </c>
      <c r="C110" s="19" t="n">
        <v>9</v>
      </c>
      <c r="D110" s="21" t="n">
        <f aca="false">COUNTIFS($A$5:$A$229,A110,$E$5:$E$229,"&lt;"&amp;E110)+1</f>
        <v>2</v>
      </c>
      <c r="E110" s="33" t="n">
        <v>0.0170138888888889</v>
      </c>
      <c r="F110" s="33" t="n">
        <f aca="false">E110/B110</f>
        <v>0.00210372660140821</v>
      </c>
      <c r="G110" s="17" t="s">
        <v>4373</v>
      </c>
      <c r="H110" s="17" t="s">
        <v>4180</v>
      </c>
      <c r="I110" s="34" t="s">
        <v>4181</v>
      </c>
      <c r="J110" s="21" t="n">
        <v>11</v>
      </c>
      <c r="K110" s="21" t="n">
        <v>62</v>
      </c>
      <c r="L110" s="18" t="n">
        <f aca="false">IF(INDEX(選手一覧!$D$5:$D$2736,$K110)="","",INDEX(選手一覧!$D$5:$D$2736,$K110))</f>
        <v>0.0101351851851852</v>
      </c>
      <c r="M110" s="19" t="n">
        <f aca="false">IF(INDEX(選手一覧!$E$5:$E$2736,$K110)="","",INDEX(選手一覧!$E$5:$E$2736,$K110))</f>
        <v>63</v>
      </c>
      <c r="N110" s="20" t="str">
        <f aca="false">IF(INDEX(選手一覧!$F$5:$F$2736,$K110)="","",INDEX(選手一覧!$F$5:$F$2736,$K110))</f>
        <v/>
      </c>
      <c r="O110" s="21" t="str">
        <f aca="false">IF(INDEX(選手一覧!$G$5:$G$2736,$K110)="","",INDEX(選手一覧!$G$5:$G$2736,$K110))</f>
        <v/>
      </c>
      <c r="P110" s="20" t="n">
        <f aca="false">IF(INDEX(選手一覧!$H$5:$H$2736,$K110)="","",INDEX(選手一覧!$H$5:$H$2736,$K110))</f>
        <v>0.0028431712962963</v>
      </c>
      <c r="Q110" s="21" t="n">
        <f aca="false">IF(INDEX(選手一覧!$I$5:$I$2736,$K110)="","",INDEX(選手一覧!$I$5:$I$2736,$K110))</f>
        <v>517</v>
      </c>
    </row>
    <row r="111" customFormat="false" ht="15" hidden="false" customHeight="false" outlineLevel="0" collapsed="false">
      <c r="A111" s="35" t="n">
        <v>4</v>
      </c>
      <c r="B111" s="36" t="n">
        <v>8.0875</v>
      </c>
      <c r="C111" s="10" t="n">
        <v>10</v>
      </c>
      <c r="D111" s="12" t="n">
        <f aca="false">COUNTIFS($A$5:$A$229,A111,$E$5:$E$229,"&lt;"&amp;E111)+1</f>
        <v>3</v>
      </c>
      <c r="E111" s="37" t="n">
        <v>0.017025462962963</v>
      </c>
      <c r="F111" s="37" t="n">
        <f aca="false">E111/B111</f>
        <v>0.00210515770793978</v>
      </c>
      <c r="G111" s="8" t="s">
        <v>4374</v>
      </c>
      <c r="H111" s="8" t="s">
        <v>4175</v>
      </c>
      <c r="I111" s="38" t="s">
        <v>4176</v>
      </c>
      <c r="J111" s="12" t="n">
        <v>3</v>
      </c>
      <c r="K111" s="12" t="n">
        <v>23</v>
      </c>
      <c r="L111" s="9" t="n">
        <f aca="false">IF(INDEX(選手一覧!$D$5:$D$2736,$K111)="","",INDEX(選手一覧!$D$5:$D$2736,$K111))</f>
        <v>0.0100170138888889</v>
      </c>
      <c r="M111" s="10" t="n">
        <f aca="false">IF(INDEX(選手一覧!$E$5:$E$2736,$K111)="","",INDEX(選手一覧!$E$5:$E$2736,$K111))</f>
        <v>24</v>
      </c>
      <c r="N111" s="11" t="n">
        <f aca="false">IF(INDEX(選手一覧!$F$5:$F$2736,$K111)="","",INDEX(選手一覧!$F$5:$F$2736,$K111))</f>
        <v>0.00636747685185185</v>
      </c>
      <c r="O111" s="12" t="n">
        <f aca="false">IF(INDEX(選手一覧!$G$5:$G$2736,$K111)="","",INDEX(選手一覧!$G$5:$G$2736,$K111))</f>
        <v>11</v>
      </c>
      <c r="P111" s="11" t="n">
        <f aca="false">IF(INDEX(選手一覧!$H$5:$H$2736,$K111)="","",INDEX(選手一覧!$H$5:$H$2736,$K111))</f>
        <v>0.00280856481481482</v>
      </c>
      <c r="Q111" s="12" t="n">
        <f aca="false">IF(INDEX(選手一覧!$I$5:$I$2736,$K111)="","",INDEX(選手一覧!$I$5:$I$2736,$K111))</f>
        <v>320</v>
      </c>
    </row>
    <row r="112" customFormat="false" ht="15" hidden="false" customHeight="false" outlineLevel="0" collapsed="false">
      <c r="A112" s="35" t="n">
        <v>4</v>
      </c>
      <c r="B112" s="36" t="n">
        <v>8.0875</v>
      </c>
      <c r="C112" s="10" t="n">
        <v>10</v>
      </c>
      <c r="D112" s="12" t="n">
        <f aca="false">COUNTIFS($A$5:$A$229,A112,$E$5:$E$229,"&lt;"&amp;E112)+1</f>
        <v>3</v>
      </c>
      <c r="E112" s="37" t="n">
        <v>0.017025462962963</v>
      </c>
      <c r="F112" s="37" t="n">
        <f aca="false">E112/B112</f>
        <v>0.00210515770793978</v>
      </c>
      <c r="G112" s="8" t="s">
        <v>4375</v>
      </c>
      <c r="H112" s="8" t="s">
        <v>4183</v>
      </c>
      <c r="I112" s="38" t="s">
        <v>4184</v>
      </c>
      <c r="J112" s="12" t="n">
        <v>6</v>
      </c>
      <c r="K112" s="12" t="n">
        <v>50</v>
      </c>
      <c r="L112" s="9" t="n">
        <f aca="false">IF(INDEX(選手一覧!$D$5:$D$2736,$K112)="","",INDEX(選手一覧!$D$5:$D$2736,$K112))</f>
        <v>0.0100986111111111</v>
      </c>
      <c r="M112" s="10" t="n">
        <f aca="false">IF(INDEX(選手一覧!$E$5:$E$2736,$K112)="","",INDEX(選手一覧!$E$5:$E$2736,$K112))</f>
        <v>51</v>
      </c>
      <c r="N112" s="11" t="str">
        <f aca="false">IF(INDEX(選手一覧!$F$5:$F$2736,$K112)="","",INDEX(選手一覧!$F$5:$F$2736,$K112))</f>
        <v/>
      </c>
      <c r="O112" s="12" t="str">
        <f aca="false">IF(INDEX(選手一覧!$G$5:$G$2736,$K112)="","",INDEX(選手一覧!$G$5:$G$2736,$K112))</f>
        <v/>
      </c>
      <c r="P112" s="11" t="str">
        <f aca="false">IF(INDEX(選手一覧!$H$5:$H$2736,$K112)="","",INDEX(選手一覧!$H$5:$H$2736,$K112))</f>
        <v/>
      </c>
      <c r="Q112" s="12" t="str">
        <f aca="false">IF(INDEX(選手一覧!$I$5:$I$2736,$K112)="","",INDEX(選手一覧!$I$5:$I$2736,$K112))</f>
        <v/>
      </c>
    </row>
    <row r="113" customFormat="false" ht="15" hidden="false" customHeight="false" outlineLevel="0" collapsed="false">
      <c r="A113" s="35" t="n">
        <v>4</v>
      </c>
      <c r="B113" s="36" t="n">
        <v>8.0875</v>
      </c>
      <c r="C113" s="10" t="n">
        <v>10</v>
      </c>
      <c r="D113" s="12" t="n">
        <f aca="false">COUNTIFS($A$5:$A$229,A113,$E$5:$E$229,"&lt;"&amp;E113)+1</f>
        <v>3</v>
      </c>
      <c r="E113" s="37" t="n">
        <v>0.017025462962963</v>
      </c>
      <c r="F113" s="37" t="n">
        <f aca="false">E113/B113</f>
        <v>0.00210515770793978</v>
      </c>
      <c r="G113" s="8" t="s">
        <v>4376</v>
      </c>
      <c r="H113" s="8" t="s">
        <v>4192</v>
      </c>
      <c r="I113" s="38" t="s">
        <v>4193</v>
      </c>
      <c r="J113" s="12" t="n">
        <v>8</v>
      </c>
      <c r="K113" s="12" t="n">
        <v>142</v>
      </c>
      <c r="L113" s="9" t="n">
        <f aca="false">IF(INDEX(選手一覧!$D$5:$D$2736,$K113)="","",INDEX(選手一覧!$D$5:$D$2736,$K113))</f>
        <v>0.0102770833333333</v>
      </c>
      <c r="M113" s="10" t="n">
        <f aca="false">IF(INDEX(選手一覧!$E$5:$E$2736,$K113)="","",INDEX(選手一覧!$E$5:$E$2736,$K113))</f>
        <v>143</v>
      </c>
      <c r="N113" s="11" t="str">
        <f aca="false">IF(INDEX(選手一覧!$F$5:$F$2736,$K113)="","",INDEX(選手一覧!$F$5:$F$2736,$K113))</f>
        <v/>
      </c>
      <c r="O113" s="12" t="str">
        <f aca="false">IF(INDEX(選手一覧!$G$5:$G$2736,$K113)="","",INDEX(選手一覧!$G$5:$G$2736,$K113))</f>
        <v/>
      </c>
      <c r="P113" s="11" t="n">
        <f aca="false">IF(INDEX(選手一覧!$H$5:$H$2736,$K113)="","",INDEX(選手一覧!$H$5:$H$2736,$K113))</f>
        <v>0.00292951388888889</v>
      </c>
      <c r="Q113" s="12" t="n">
        <f aca="false">IF(INDEX(選手一覧!$I$5:$I$2736,$K113)="","",INDEX(選手一覧!$I$5:$I$2736,$K113))</f>
        <v>1173</v>
      </c>
    </row>
    <row r="114" customFormat="false" ht="15" hidden="false" customHeight="false" outlineLevel="0" collapsed="false">
      <c r="A114" s="35" t="n">
        <v>4</v>
      </c>
      <c r="B114" s="36" t="n">
        <v>8.0875</v>
      </c>
      <c r="C114" s="10" t="n">
        <v>13</v>
      </c>
      <c r="D114" s="12" t="n">
        <f aca="false">COUNTIFS($A$5:$A$229,A114,$E$5:$E$229,"&lt;"&amp;E114)+1</f>
        <v>6</v>
      </c>
      <c r="E114" s="37" t="n">
        <v>0.017037037037037</v>
      </c>
      <c r="F114" s="37" t="n">
        <f aca="false">E114/B114</f>
        <v>0.00210658881447135</v>
      </c>
      <c r="G114" s="8" t="s">
        <v>4377</v>
      </c>
      <c r="H114" s="8" t="s">
        <v>4378</v>
      </c>
      <c r="I114" s="38" t="s">
        <v>4208</v>
      </c>
      <c r="J114" s="12" t="n">
        <v>5</v>
      </c>
      <c r="K114" s="12" t="n">
        <v>73</v>
      </c>
      <c r="L114" s="9" t="n">
        <f aca="false">IF(INDEX(選手一覧!$D$5:$D$2736,$K114)="","",INDEX(選手一覧!$D$5:$D$2736,$K114))</f>
        <v>0.0101585648148148</v>
      </c>
      <c r="M114" s="10" t="n">
        <f aca="false">IF(INDEX(選手一覧!$E$5:$E$2736,$K114)="","",INDEX(選手一覧!$E$5:$E$2736,$K114))</f>
        <v>74</v>
      </c>
      <c r="N114" s="11" t="n">
        <f aca="false">IF(INDEX(選手一覧!$F$5:$F$2736,$K114)="","",INDEX(選手一覧!$F$5:$F$2736,$K114))</f>
        <v>0.00647060185185185</v>
      </c>
      <c r="O114" s="12" t="n">
        <f aca="false">IF(INDEX(選手一覧!$G$5:$G$2736,$K114)="","",INDEX(選手一覧!$G$5:$G$2736,$K114))</f>
        <v>29</v>
      </c>
      <c r="P114" s="11" t="str">
        <f aca="false">IF(INDEX(選手一覧!$H$5:$H$2736,$K114)="","",INDEX(選手一覧!$H$5:$H$2736,$K114))</f>
        <v/>
      </c>
      <c r="Q114" s="12" t="str">
        <f aca="false">IF(INDEX(選手一覧!$I$5:$I$2736,$K114)="","",INDEX(選手一覧!$I$5:$I$2736,$K114))</f>
        <v/>
      </c>
    </row>
    <row r="115" customFormat="false" ht="15" hidden="false" customHeight="false" outlineLevel="0" collapsed="false">
      <c r="A115" s="35" t="n">
        <v>4</v>
      </c>
      <c r="B115" s="36" t="n">
        <v>8.0875</v>
      </c>
      <c r="C115" s="10" t="n">
        <v>16</v>
      </c>
      <c r="D115" s="12" t="n">
        <f aca="false">COUNTIFS($A$5:$A$229,A115,$E$5:$E$229,"&lt;"&amp;E115)+1</f>
        <v>7</v>
      </c>
      <c r="E115" s="37" t="n">
        <v>0.0171990740740741</v>
      </c>
      <c r="F115" s="37" t="n">
        <f aca="false">E115/B115</f>
        <v>0.00212662430591333</v>
      </c>
      <c r="G115" s="8" t="s">
        <v>4379</v>
      </c>
      <c r="H115" s="8" t="s">
        <v>4235</v>
      </c>
      <c r="I115" s="38" t="s">
        <v>4184</v>
      </c>
      <c r="J115" s="12" t="n">
        <v>36</v>
      </c>
      <c r="K115" s="12" t="n">
        <v>248</v>
      </c>
      <c r="L115" s="9" t="n">
        <f aca="false">IF(INDEX(選手一覧!$D$5:$D$2736,$K115)="","",INDEX(選手一覧!$D$5:$D$2736,$K115))</f>
        <v>0.0103880787037037</v>
      </c>
      <c r="M115" s="10" t="n">
        <f aca="false">IF(INDEX(選手一覧!$E$5:$E$2736,$K115)="","",INDEX(選手一覧!$E$5:$E$2736,$K115))</f>
        <v>249</v>
      </c>
      <c r="N115" s="11" t="str">
        <f aca="false">IF(INDEX(選手一覧!$F$5:$F$2736,$K115)="","",INDEX(選手一覧!$F$5:$F$2736,$K115))</f>
        <v/>
      </c>
      <c r="O115" s="12" t="str">
        <f aca="false">IF(INDEX(選手一覧!$G$5:$G$2736,$K115)="","",INDEX(選手一覧!$G$5:$G$2736,$K115))</f>
        <v/>
      </c>
      <c r="P115" s="11" t="n">
        <f aca="false">IF(INDEX(選手一覧!$H$5:$H$2736,$K115)="","",INDEX(選手一覧!$H$5:$H$2736,$K115))</f>
        <v>0.00288842592592593</v>
      </c>
      <c r="Q115" s="12" t="n">
        <f aca="false">IF(INDEX(選手一覧!$I$5:$I$2736,$K115)="","",INDEX(選手一覧!$I$5:$I$2736,$K115))</f>
        <v>852</v>
      </c>
    </row>
    <row r="116" customFormat="false" ht="15" hidden="false" customHeight="false" outlineLevel="0" collapsed="false">
      <c r="A116" s="35" t="n">
        <v>4</v>
      </c>
      <c r="B116" s="36" t="n">
        <v>8.0875</v>
      </c>
      <c r="C116" s="10" t="n">
        <v>17</v>
      </c>
      <c r="D116" s="12" t="n">
        <f aca="false">COUNTIFS($A$5:$A$229,A116,$E$5:$E$229,"&lt;"&amp;E116)+1</f>
        <v>8</v>
      </c>
      <c r="E116" s="37" t="n">
        <v>0.0172106481481482</v>
      </c>
      <c r="F116" s="37" t="n">
        <f aca="false">E116/B116</f>
        <v>0.0021280554124449</v>
      </c>
      <c r="G116" s="8" t="s">
        <v>4380</v>
      </c>
      <c r="H116" s="8" t="s">
        <v>4239</v>
      </c>
      <c r="I116" s="38" t="s">
        <v>4240</v>
      </c>
      <c r="J116" s="12" t="n">
        <v>20</v>
      </c>
      <c r="K116" s="12" t="n">
        <v>165</v>
      </c>
      <c r="L116" s="9" t="n">
        <f aca="false">IF(INDEX(選手一覧!$D$5:$D$2736,$K116)="","",INDEX(選手一覧!$D$5:$D$2736,$K116))</f>
        <v>0.0103112268518519</v>
      </c>
      <c r="M116" s="10" t="n">
        <f aca="false">IF(INDEX(選手一覧!$E$5:$E$2736,$K116)="","",INDEX(選手一覧!$E$5:$E$2736,$K116))</f>
        <v>166</v>
      </c>
      <c r="N116" s="11" t="str">
        <f aca="false">IF(INDEX(選手一覧!$F$5:$F$2736,$K116)="","",INDEX(選手一覧!$F$5:$F$2736,$K116))</f>
        <v/>
      </c>
      <c r="O116" s="12" t="str">
        <f aca="false">IF(INDEX(選手一覧!$G$5:$G$2736,$K116)="","",INDEX(選手一覧!$G$5:$G$2736,$K116))</f>
        <v/>
      </c>
      <c r="P116" s="11" t="n">
        <f aca="false">IF(INDEX(選手一覧!$H$5:$H$2736,$K116)="","",INDEX(選手一覧!$H$5:$H$2736,$K116))</f>
        <v>0.00283043981481482</v>
      </c>
      <c r="Q116" s="12" t="n">
        <f aca="false">IF(INDEX(選手一覧!$I$5:$I$2736,$K116)="","",INDEX(選手一覧!$I$5:$I$2736,$K116))</f>
        <v>429</v>
      </c>
    </row>
    <row r="117" customFormat="false" ht="15" hidden="false" customHeight="false" outlineLevel="0" collapsed="false">
      <c r="A117" s="35" t="n">
        <v>4</v>
      </c>
      <c r="B117" s="36" t="n">
        <v>8.0875</v>
      </c>
      <c r="C117" s="10" t="n">
        <v>19</v>
      </c>
      <c r="D117" s="12" t="n">
        <f aca="false">COUNTIFS($A$5:$A$229,A117,$E$5:$E$229,"&lt;"&amp;E117)+1</f>
        <v>9</v>
      </c>
      <c r="E117" s="37" t="n">
        <v>0.0172222222222222</v>
      </c>
      <c r="F117" s="37" t="n">
        <f aca="false">E117/B117</f>
        <v>0.00212948651897647</v>
      </c>
      <c r="G117" s="8" t="s">
        <v>4381</v>
      </c>
      <c r="H117" s="8" t="s">
        <v>4200</v>
      </c>
      <c r="I117" s="38" t="s">
        <v>4200</v>
      </c>
      <c r="J117" s="12" t="n">
        <v>29</v>
      </c>
      <c r="K117" s="12" t="n">
        <v>244</v>
      </c>
      <c r="L117" s="9" t="n">
        <f aca="false">IF(INDEX(選手一覧!$D$5:$D$2736,$K117)="","",INDEX(選手一覧!$D$5:$D$2736,$K117))</f>
        <v>0.0103844907407407</v>
      </c>
      <c r="M117" s="10" t="n">
        <f aca="false">IF(INDEX(選手一覧!$E$5:$E$2736,$K117)="","",INDEX(選手一覧!$E$5:$E$2736,$K117))</f>
        <v>245</v>
      </c>
      <c r="N117" s="11" t="n">
        <f aca="false">IF(INDEX(選手一覧!$F$5:$F$2736,$K117)="","",INDEX(選手一覧!$F$5:$F$2736,$K117))</f>
        <v>0.0072037037037037</v>
      </c>
      <c r="O117" s="12" t="n">
        <f aca="false">IF(INDEX(選手一覧!$G$5:$G$2736,$K117)="","",INDEX(選手一覧!$G$5:$G$2736,$K117))</f>
        <v>541</v>
      </c>
      <c r="P117" s="11" t="n">
        <f aca="false">IF(INDEX(選手一覧!$H$5:$H$2736,$K117)="","",INDEX(選手一覧!$H$5:$H$2736,$K117))</f>
        <v>0.00296643518518519</v>
      </c>
      <c r="Q117" s="12" t="n">
        <f aca="false">IF(INDEX(選手一覧!$I$5:$I$2736,$K117)="","",INDEX(選手一覧!$I$5:$I$2736,$K117))</f>
        <v>1297</v>
      </c>
    </row>
    <row r="118" customFormat="false" ht="15" hidden="false" customHeight="false" outlineLevel="0" collapsed="false">
      <c r="A118" s="35" t="n">
        <v>4</v>
      </c>
      <c r="B118" s="36" t="n">
        <v>8.0875</v>
      </c>
      <c r="C118" s="10" t="n">
        <v>23</v>
      </c>
      <c r="D118" s="12" t="n">
        <f aca="false">COUNTIFS($A$5:$A$229,A118,$E$5:$E$229,"&lt;"&amp;E118)+1</f>
        <v>10</v>
      </c>
      <c r="E118" s="37" t="n">
        <v>0.0172800925925926</v>
      </c>
      <c r="F118" s="37" t="n">
        <f aca="false">E118/B118</f>
        <v>0.00213664205163432</v>
      </c>
      <c r="G118" s="8" t="s">
        <v>4382</v>
      </c>
      <c r="H118" s="8" t="s">
        <v>4189</v>
      </c>
      <c r="I118" s="38" t="s">
        <v>4190</v>
      </c>
      <c r="J118" s="12" t="n">
        <v>10</v>
      </c>
      <c r="K118" s="12" t="n">
        <v>734</v>
      </c>
      <c r="L118" s="9" t="n">
        <f aca="false">IF(INDEX(選手一覧!$D$5:$D$2736,$K118)="","",INDEX(選手一覧!$D$5:$D$2736,$K118))</f>
        <v>0.0107954861111111</v>
      </c>
      <c r="M118" s="10" t="n">
        <f aca="false">IF(INDEX(選手一覧!$E$5:$E$2736,$K118)="","",INDEX(選手一覧!$E$5:$E$2736,$K118))</f>
        <v>735</v>
      </c>
      <c r="N118" s="11" t="n">
        <f aca="false">IF(INDEX(選手一覧!$F$5:$F$2736,$K118)="","",INDEX(選手一覧!$F$5:$F$2736,$K118))</f>
        <v>0.00638576388888889</v>
      </c>
      <c r="O118" s="12" t="n">
        <f aca="false">IF(INDEX(選手一覧!$G$5:$G$2736,$K118)="","",INDEX(選手一覧!$G$5:$G$2736,$K118))</f>
        <v>13</v>
      </c>
      <c r="P118" s="11" t="n">
        <f aca="false">IF(INDEX(選手一覧!$H$5:$H$2736,$K118)="","",INDEX(選手一覧!$H$5:$H$2736,$K118))</f>
        <v>0.00290115740740741</v>
      </c>
      <c r="Q118" s="12" t="n">
        <f aca="false">IF(INDEX(選手一覧!$I$5:$I$2736,$K118)="","",INDEX(選手一覧!$I$5:$I$2736,$K118))</f>
        <v>956</v>
      </c>
    </row>
    <row r="119" customFormat="false" ht="15" hidden="false" customHeight="false" outlineLevel="0" collapsed="false">
      <c r="A119" s="35" t="n">
        <v>4</v>
      </c>
      <c r="B119" s="36" t="n">
        <v>8.0875</v>
      </c>
      <c r="C119" s="10" t="n">
        <v>23</v>
      </c>
      <c r="D119" s="12" t="n">
        <f aca="false">COUNTIFS($A$5:$A$229,A119,$E$5:$E$229,"&lt;"&amp;E119)+1</f>
        <v>10</v>
      </c>
      <c r="E119" s="37" t="n">
        <v>0.0172800925925926</v>
      </c>
      <c r="F119" s="37" t="n">
        <f aca="false">E119/B119</f>
        <v>0.00213664205163432</v>
      </c>
      <c r="G119" s="8" t="s">
        <v>4383</v>
      </c>
      <c r="H119" s="8" t="s">
        <v>4331</v>
      </c>
      <c r="I119" s="38" t="s">
        <v>4222</v>
      </c>
      <c r="J119" s="12" t="n">
        <v>28</v>
      </c>
      <c r="K119" s="12" t="n">
        <v>493</v>
      </c>
      <c r="L119" s="9" t="n">
        <f aca="false">IF(INDEX(選手一覧!$D$5:$D$2736,$K119)="","",INDEX(選手一覧!$D$5:$D$2736,$K119))</f>
        <v>0.0106181712962963</v>
      </c>
      <c r="M119" s="10" t="n">
        <f aca="false">IF(INDEX(選手一覧!$E$5:$E$2736,$K119)="","",INDEX(選手一覧!$E$5:$E$2736,$K119))</f>
        <v>494</v>
      </c>
      <c r="N119" s="11" t="str">
        <f aca="false">IF(INDEX(選手一覧!$F$5:$F$2736,$K119)="","",INDEX(選手一覧!$F$5:$F$2736,$K119))</f>
        <v/>
      </c>
      <c r="O119" s="12" t="str">
        <f aca="false">IF(INDEX(選手一覧!$G$5:$G$2736,$K119)="","",INDEX(選手一覧!$G$5:$G$2736,$K119))</f>
        <v/>
      </c>
      <c r="P119" s="11" t="n">
        <f aca="false">IF(INDEX(選手一覧!$H$5:$H$2736,$K119)="","",INDEX(選手一覧!$H$5:$H$2736,$K119))</f>
        <v>0.00287581018518519</v>
      </c>
      <c r="Q119" s="12" t="n">
        <f aca="false">IF(INDEX(選手一覧!$I$5:$I$2736,$K119)="","",INDEX(選手一覧!$I$5:$I$2736,$K119))</f>
        <v>738</v>
      </c>
    </row>
    <row r="120" customFormat="false" ht="15" hidden="false" customHeight="false" outlineLevel="0" collapsed="false">
      <c r="A120" s="35" t="n">
        <v>4</v>
      </c>
      <c r="B120" s="36" t="n">
        <v>8.0875</v>
      </c>
      <c r="C120" s="10" t="n">
        <v>26</v>
      </c>
      <c r="D120" s="12" t="n">
        <f aca="false">COUNTIFS($A$5:$A$229,A120,$E$5:$E$229,"&lt;"&amp;E120)+1</f>
        <v>12</v>
      </c>
      <c r="E120" s="37" t="n">
        <v>0.0173263888888889</v>
      </c>
      <c r="F120" s="37" t="n">
        <f aca="false">E120/B120</f>
        <v>0.0021423664777606</v>
      </c>
      <c r="G120" s="8" t="s">
        <v>4384</v>
      </c>
      <c r="H120" s="8" t="s">
        <v>4385</v>
      </c>
      <c r="I120" s="38" t="s">
        <v>4386</v>
      </c>
      <c r="J120" s="12" t="n">
        <v>32</v>
      </c>
      <c r="K120" s="12" t="n">
        <v>92</v>
      </c>
      <c r="L120" s="9" t="n">
        <f aca="false">IF(INDEX(選手一覧!$D$5:$D$2736,$K120)="","",INDEX(選手一覧!$D$5:$D$2736,$K120))</f>
        <v>0.0101918981481482</v>
      </c>
      <c r="M120" s="10" t="n">
        <f aca="false">IF(INDEX(選手一覧!$E$5:$E$2736,$K120)="","",INDEX(選手一覧!$E$5:$E$2736,$K120))</f>
        <v>93</v>
      </c>
      <c r="N120" s="11" t="str">
        <f aca="false">IF(INDEX(選手一覧!$F$5:$F$2736,$K120)="","",INDEX(選手一覧!$F$5:$F$2736,$K120))</f>
        <v/>
      </c>
      <c r="O120" s="12" t="str">
        <f aca="false">IF(INDEX(選手一覧!$G$5:$G$2736,$K120)="","",INDEX(選手一覧!$G$5:$G$2736,$K120))</f>
        <v/>
      </c>
      <c r="P120" s="11" t="n">
        <f aca="false">IF(INDEX(選手一覧!$H$5:$H$2736,$K120)="","",INDEX(選手一覧!$H$5:$H$2736,$K120))</f>
        <v>0.00282222222222222</v>
      </c>
      <c r="Q120" s="12" t="n">
        <f aca="false">IF(INDEX(選手一覧!$I$5:$I$2736,$K120)="","",INDEX(選手一覧!$I$5:$I$2736,$K120))</f>
        <v>375</v>
      </c>
    </row>
    <row r="121" customFormat="false" ht="15" hidden="false" customHeight="false" outlineLevel="0" collapsed="false">
      <c r="A121" s="35" t="n">
        <v>4</v>
      </c>
      <c r="B121" s="36" t="n">
        <v>8.0875</v>
      </c>
      <c r="C121" s="10" t="n">
        <v>28</v>
      </c>
      <c r="D121" s="12" t="n">
        <f aca="false">COUNTIFS($A$5:$A$229,A121,$E$5:$E$229,"&lt;"&amp;E121)+1</f>
        <v>13</v>
      </c>
      <c r="E121" s="37" t="n">
        <v>0.0173726851851852</v>
      </c>
      <c r="F121" s="37" t="n">
        <f aca="false">E121/B121</f>
        <v>0.00214809090388689</v>
      </c>
      <c r="G121" s="8" t="s">
        <v>4387</v>
      </c>
      <c r="H121" s="8" t="s">
        <v>4210</v>
      </c>
      <c r="I121" s="38" t="s">
        <v>4211</v>
      </c>
      <c r="J121" s="12" t="n">
        <v>33</v>
      </c>
      <c r="K121" s="12" t="n">
        <v>423</v>
      </c>
      <c r="L121" s="9" t="n">
        <f aca="false">IF(INDEX(選手一覧!$D$5:$D$2736,$K121)="","",INDEX(選手一覧!$D$5:$D$2736,$K121))</f>
        <v>0.0105699074074074</v>
      </c>
      <c r="M121" s="10" t="n">
        <f aca="false">IF(INDEX(選手一覧!$E$5:$E$2736,$K121)="","",INDEX(選手一覧!$E$5:$E$2736,$K121))</f>
        <v>424</v>
      </c>
      <c r="N121" s="11" t="n">
        <f aca="false">IF(INDEX(選手一覧!$F$5:$F$2736,$K121)="","",INDEX(選手一覧!$F$5:$F$2736,$K121))</f>
        <v>0.00740578703703704</v>
      </c>
      <c r="O121" s="12" t="n">
        <f aca="false">IF(INDEX(選手一覧!$G$5:$G$2736,$K121)="","",INDEX(選手一覧!$G$5:$G$2736,$K121))</f>
        <v>781</v>
      </c>
      <c r="P121" s="11" t="str">
        <f aca="false">IF(INDEX(選手一覧!$H$5:$H$2736,$K121)="","",INDEX(選手一覧!$H$5:$H$2736,$K121))</f>
        <v/>
      </c>
      <c r="Q121" s="12" t="str">
        <f aca="false">IF(INDEX(選手一覧!$I$5:$I$2736,$K121)="","",INDEX(選手一覧!$I$5:$I$2736,$K121))</f>
        <v/>
      </c>
    </row>
    <row r="122" customFormat="false" ht="15" hidden="false" customHeight="false" outlineLevel="0" collapsed="false">
      <c r="A122" s="35" t="n">
        <v>4</v>
      </c>
      <c r="B122" s="36" t="n">
        <v>8.0875</v>
      </c>
      <c r="C122" s="10" t="n">
        <v>30</v>
      </c>
      <c r="D122" s="12" t="n">
        <f aca="false">COUNTIFS($A$5:$A$229,A122,$E$5:$E$229,"&lt;"&amp;E122)+1</f>
        <v>14</v>
      </c>
      <c r="E122" s="37" t="n">
        <v>0.0173958333333333</v>
      </c>
      <c r="F122" s="37" t="n">
        <f aca="false">E122/B122</f>
        <v>0.00215095311695003</v>
      </c>
      <c r="G122" s="8" t="s">
        <v>4388</v>
      </c>
      <c r="H122" s="8" t="s">
        <v>4337</v>
      </c>
      <c r="I122" s="38" t="s">
        <v>4196</v>
      </c>
      <c r="J122" s="12" t="n">
        <v>35</v>
      </c>
      <c r="K122" s="12" t="n">
        <v>221</v>
      </c>
      <c r="L122" s="9" t="n">
        <f aca="false">IF(INDEX(選手一覧!$D$5:$D$2736,$K122)="","",INDEX(選手一覧!$D$5:$D$2736,$K122))</f>
        <v>0.0103675925925926</v>
      </c>
      <c r="M122" s="10" t="n">
        <f aca="false">IF(INDEX(選手一覧!$E$5:$E$2736,$K122)="","",INDEX(選手一覧!$E$5:$E$2736,$K122))</f>
        <v>222</v>
      </c>
      <c r="N122" s="11" t="n">
        <f aca="false">IF(INDEX(選手一覧!$F$5:$F$2736,$K122)="","",INDEX(選手一覧!$F$5:$F$2736,$K122))</f>
        <v>0.0064625</v>
      </c>
      <c r="O122" s="12" t="n">
        <f aca="false">IF(INDEX(選手一覧!$G$5:$G$2736,$K122)="","",INDEX(選手一覧!$G$5:$G$2736,$K122))</f>
        <v>26</v>
      </c>
      <c r="P122" s="11" t="n">
        <f aca="false">IF(INDEX(選手一覧!$H$5:$H$2736,$K122)="","",INDEX(選手一覧!$H$5:$H$2736,$K122))</f>
        <v>0.00275833333333333</v>
      </c>
      <c r="Q122" s="12" t="n">
        <f aca="false">IF(INDEX(選手一覧!$I$5:$I$2736,$K122)="","",INDEX(選手一覧!$I$5:$I$2736,$K122))</f>
        <v>130</v>
      </c>
    </row>
    <row r="123" customFormat="false" ht="15" hidden="false" customHeight="false" outlineLevel="0" collapsed="false">
      <c r="A123" s="35" t="n">
        <v>4</v>
      </c>
      <c r="B123" s="36" t="n">
        <v>8.0875</v>
      </c>
      <c r="C123" s="10" t="n">
        <v>35</v>
      </c>
      <c r="D123" s="12" t="n">
        <f aca="false">COUNTIFS($A$5:$A$229,A123,$E$5:$E$229,"&lt;"&amp;E123)+1</f>
        <v>15</v>
      </c>
      <c r="E123" s="37" t="n">
        <v>0.0174884259259259</v>
      </c>
      <c r="F123" s="37" t="n">
        <f aca="false">E123/B123</f>
        <v>0.00216240196920259</v>
      </c>
      <c r="G123" s="8" t="s">
        <v>4389</v>
      </c>
      <c r="H123" s="8" t="s">
        <v>4284</v>
      </c>
      <c r="I123" s="38" t="s">
        <v>4173</v>
      </c>
      <c r="J123" s="12" t="n">
        <v>21</v>
      </c>
      <c r="K123" s="12" t="n">
        <v>338</v>
      </c>
      <c r="L123" s="9" t="n">
        <f aca="false">IF(INDEX(選手一覧!$D$5:$D$2736,$K123)="","",INDEX(選手一覧!$D$5:$D$2736,$K123))</f>
        <v>0.0104969907407407</v>
      </c>
      <c r="M123" s="10" t="n">
        <f aca="false">IF(INDEX(選手一覧!$E$5:$E$2736,$K123)="","",INDEX(選手一覧!$E$5:$E$2736,$K123))</f>
        <v>339</v>
      </c>
      <c r="N123" s="11" t="str">
        <f aca="false">IF(INDEX(選手一覧!$F$5:$F$2736,$K123)="","",INDEX(選手一覧!$F$5:$F$2736,$K123))</f>
        <v/>
      </c>
      <c r="O123" s="12" t="str">
        <f aca="false">IF(INDEX(選手一覧!$G$5:$G$2736,$K123)="","",INDEX(選手一覧!$G$5:$G$2736,$K123))</f>
        <v/>
      </c>
      <c r="P123" s="11" t="n">
        <f aca="false">IF(INDEX(選手一覧!$H$5:$H$2736,$K123)="","",INDEX(選手一覧!$H$5:$H$2736,$K123))</f>
        <v>0.00287488425925926</v>
      </c>
      <c r="Q123" s="12" t="n">
        <f aca="false">IF(INDEX(選手一覧!$I$5:$I$2736,$K123)="","",INDEX(選手一覧!$I$5:$I$2736,$K123))</f>
        <v>734</v>
      </c>
    </row>
    <row r="124" customFormat="false" ht="15" hidden="false" customHeight="false" outlineLevel="0" collapsed="false">
      <c r="A124" s="35" t="n">
        <v>4</v>
      </c>
      <c r="B124" s="36" t="n">
        <v>8.0875</v>
      </c>
      <c r="C124" s="10" t="n">
        <v>37</v>
      </c>
      <c r="D124" s="12" t="n">
        <f aca="false">COUNTIFS($A$5:$A$229,A124,$E$5:$E$229,"&lt;"&amp;E124)+1</f>
        <v>16</v>
      </c>
      <c r="E124" s="37" t="n">
        <v>0.0175115740740741</v>
      </c>
      <c r="F124" s="37" t="n">
        <f aca="false">E124/B124</f>
        <v>0.00216526418226573</v>
      </c>
      <c r="G124" s="8" t="s">
        <v>4390</v>
      </c>
      <c r="H124" s="8" t="s">
        <v>4328</v>
      </c>
      <c r="I124" s="38" t="s">
        <v>4222</v>
      </c>
      <c r="J124" s="12" t="n">
        <v>25</v>
      </c>
      <c r="K124" s="12" t="n">
        <v>173</v>
      </c>
      <c r="L124" s="9" t="n">
        <f aca="false">IF(INDEX(選手一覧!$D$5:$D$2736,$K124)="","",INDEX(選手一覧!$D$5:$D$2736,$K124))</f>
        <v>0.0103224537037037</v>
      </c>
      <c r="M124" s="10" t="n">
        <f aca="false">IF(INDEX(選手一覧!$E$5:$E$2736,$K124)="","",INDEX(選手一覧!$E$5:$E$2736,$K124))</f>
        <v>174</v>
      </c>
      <c r="N124" s="11" t="str">
        <f aca="false">IF(INDEX(選手一覧!$F$5:$F$2736,$K124)="","",INDEX(選手一覧!$F$5:$F$2736,$K124))</f>
        <v/>
      </c>
      <c r="O124" s="12" t="str">
        <f aca="false">IF(INDEX(選手一覧!$G$5:$G$2736,$K124)="","",INDEX(選手一覧!$G$5:$G$2736,$K124))</f>
        <v/>
      </c>
      <c r="P124" s="11" t="n">
        <f aca="false">IF(INDEX(選手一覧!$H$5:$H$2736,$K124)="","",INDEX(選手一覧!$H$5:$H$2736,$K124))</f>
        <v>0.00290902777777778</v>
      </c>
      <c r="Q124" s="12" t="n">
        <f aca="false">IF(INDEX(選手一覧!$I$5:$I$2736,$K124)="","",INDEX(選手一覧!$I$5:$I$2736,$K124))</f>
        <v>1009</v>
      </c>
    </row>
    <row r="125" customFormat="false" ht="15" hidden="false" customHeight="false" outlineLevel="0" collapsed="false">
      <c r="A125" s="35" t="n">
        <v>4</v>
      </c>
      <c r="B125" s="36" t="n">
        <v>8.0875</v>
      </c>
      <c r="C125" s="10" t="n">
        <v>44</v>
      </c>
      <c r="D125" s="12" t="n">
        <f aca="false">COUNTIFS($A$5:$A$229,A125,$E$5:$E$229,"&lt;"&amp;E125)+1</f>
        <v>17</v>
      </c>
      <c r="E125" s="37" t="n">
        <v>0.017650462962963</v>
      </c>
      <c r="F125" s="37" t="n">
        <f aca="false">E125/B125</f>
        <v>0.00218243746064457</v>
      </c>
      <c r="G125" s="8" t="s">
        <v>4391</v>
      </c>
      <c r="H125" s="8" t="s">
        <v>4296</v>
      </c>
      <c r="I125" s="38" t="s">
        <v>4200</v>
      </c>
      <c r="J125" s="12" t="n">
        <v>43</v>
      </c>
      <c r="K125" s="12" t="n">
        <v>495</v>
      </c>
      <c r="L125" s="9" t="n">
        <f aca="false">IF(INDEX(選手一覧!$D$5:$D$2736,$K125)="","",INDEX(選手一覧!$D$5:$D$2736,$K125))</f>
        <v>0.0106185185185185</v>
      </c>
      <c r="M125" s="10" t="n">
        <f aca="false">IF(INDEX(選手一覧!$E$5:$E$2736,$K125)="","",INDEX(選手一覧!$E$5:$E$2736,$K125))</f>
        <v>496</v>
      </c>
      <c r="N125" s="11" t="str">
        <f aca="false">IF(INDEX(選手一覧!$F$5:$F$2736,$K125)="","",INDEX(選手一覧!$F$5:$F$2736,$K125))</f>
        <v/>
      </c>
      <c r="O125" s="12" t="str">
        <f aca="false">IF(INDEX(選手一覧!$G$5:$G$2736,$K125)="","",INDEX(選手一覧!$G$5:$G$2736,$K125))</f>
        <v/>
      </c>
      <c r="P125" s="11" t="n">
        <f aca="false">IF(INDEX(選手一覧!$H$5:$H$2736,$K125)="","",INDEX(選手一覧!$H$5:$H$2736,$K125))</f>
        <v>0.00283831018518519</v>
      </c>
      <c r="Q125" s="12" t="n">
        <f aca="false">IF(INDEX(選手一覧!$I$5:$I$2736,$K125)="","",INDEX(選手一覧!$I$5:$I$2736,$K125))</f>
        <v>486</v>
      </c>
    </row>
    <row r="126" customFormat="false" ht="15" hidden="false" customHeight="false" outlineLevel="0" collapsed="false">
      <c r="A126" s="35" t="n">
        <v>4</v>
      </c>
      <c r="B126" s="36" t="n">
        <v>8.0875</v>
      </c>
      <c r="C126" s="10" t="n">
        <v>46</v>
      </c>
      <c r="D126" s="12" t="n">
        <f aca="false">COUNTIFS($A$5:$A$229,A126,$E$5:$E$229,"&lt;"&amp;E126)+1</f>
        <v>18</v>
      </c>
      <c r="E126" s="37" t="n">
        <v>0.0177777777777778</v>
      </c>
      <c r="F126" s="37" t="n">
        <f aca="false">E126/B126</f>
        <v>0.00219817963249184</v>
      </c>
      <c r="G126" s="8" t="s">
        <v>4392</v>
      </c>
      <c r="H126" s="8" t="s">
        <v>4293</v>
      </c>
      <c r="I126" s="38" t="s">
        <v>4294</v>
      </c>
      <c r="J126" s="12" t="n">
        <v>53</v>
      </c>
      <c r="K126" s="12" t="n">
        <v>409</v>
      </c>
      <c r="L126" s="9" t="n">
        <f aca="false">IF(INDEX(選手一覧!$D$5:$D$2736,$K126)="","",INDEX(選手一覧!$D$5:$D$2736,$K126))</f>
        <v>0.0105601851851852</v>
      </c>
      <c r="M126" s="10" t="n">
        <f aca="false">IF(INDEX(選手一覧!$E$5:$E$2736,$K126)="","",INDEX(選手一覧!$E$5:$E$2736,$K126))</f>
        <v>410</v>
      </c>
      <c r="N126" s="11" t="str">
        <f aca="false">IF(INDEX(選手一覧!$F$5:$F$2736,$K126)="","",INDEX(選手一覧!$F$5:$F$2736,$K126))</f>
        <v/>
      </c>
      <c r="O126" s="12" t="str">
        <f aca="false">IF(INDEX(選手一覧!$G$5:$G$2736,$K126)="","",INDEX(選手一覧!$G$5:$G$2736,$K126))</f>
        <v/>
      </c>
      <c r="P126" s="11" t="n">
        <f aca="false">IF(INDEX(選手一覧!$H$5:$H$2736,$K126)="","",INDEX(選手一覧!$H$5:$H$2736,$K126))</f>
        <v>0.00274479166666667</v>
      </c>
      <c r="Q126" s="12" t="n">
        <f aca="false">IF(INDEX(選手一覧!$I$5:$I$2736,$K126)="","",INDEX(選手一覧!$I$5:$I$2736,$K126))</f>
        <v>89</v>
      </c>
    </row>
    <row r="127" customFormat="false" ht="15" hidden="false" customHeight="false" outlineLevel="0" collapsed="false">
      <c r="A127" s="35" t="n">
        <v>4</v>
      </c>
      <c r="B127" s="36" t="n">
        <v>8.0875</v>
      </c>
      <c r="C127" s="10" t="n">
        <v>46</v>
      </c>
      <c r="D127" s="12" t="n">
        <f aca="false">COUNTIFS($A$5:$A$229,A127,$E$5:$E$229,"&lt;"&amp;E127)+1</f>
        <v>18</v>
      </c>
      <c r="E127" s="37" t="n">
        <v>0.0177777777777778</v>
      </c>
      <c r="F127" s="37" t="n">
        <f aca="false">E127/B127</f>
        <v>0.00219817963249184</v>
      </c>
      <c r="G127" s="8" t="s">
        <v>4393</v>
      </c>
      <c r="H127" s="8" t="s">
        <v>4353</v>
      </c>
      <c r="I127" s="38" t="s">
        <v>4222</v>
      </c>
      <c r="J127" s="12" t="n">
        <v>54</v>
      </c>
      <c r="K127" s="12" t="n">
        <v>702</v>
      </c>
      <c r="L127" s="9" t="n">
        <f aca="false">IF(INDEX(選手一覧!$D$5:$D$2736,$K127)="","",INDEX(選手一覧!$D$5:$D$2736,$K127))</f>
        <v>0.0107763888888889</v>
      </c>
      <c r="M127" s="10" t="n">
        <f aca="false">IF(INDEX(選手一覧!$E$5:$E$2736,$K127)="","",INDEX(選手一覧!$E$5:$E$2736,$K127))</f>
        <v>703</v>
      </c>
      <c r="N127" s="11" t="str">
        <f aca="false">IF(INDEX(選手一覧!$F$5:$F$2736,$K127)="","",INDEX(選手一覧!$F$5:$F$2736,$K127))</f>
        <v/>
      </c>
      <c r="O127" s="12" t="str">
        <f aca="false">IF(INDEX(選手一覧!$G$5:$G$2736,$K127)="","",INDEX(選手一覧!$G$5:$G$2736,$K127))</f>
        <v/>
      </c>
      <c r="P127" s="11" t="str">
        <f aca="false">IF(INDEX(選手一覧!$H$5:$H$2736,$K127)="","",INDEX(選手一覧!$H$5:$H$2736,$K127))</f>
        <v/>
      </c>
      <c r="Q127" s="12" t="str">
        <f aca="false">IF(INDEX(選手一覧!$I$5:$I$2736,$K127)="","",INDEX(選手一覧!$I$5:$I$2736,$K127))</f>
        <v/>
      </c>
    </row>
    <row r="128" customFormat="false" ht="15" hidden="false" customHeight="false" outlineLevel="0" collapsed="false">
      <c r="A128" s="35" t="n">
        <v>4</v>
      </c>
      <c r="B128" s="36" t="n">
        <v>8.0875</v>
      </c>
      <c r="C128" s="10" t="n">
        <v>51</v>
      </c>
      <c r="D128" s="12" t="n">
        <f aca="false">COUNTIFS($A$5:$A$229,A128,$E$5:$E$229,"&lt;"&amp;E128)+1</f>
        <v>20</v>
      </c>
      <c r="E128" s="37" t="n">
        <v>0.0178125</v>
      </c>
      <c r="F128" s="37" t="n">
        <f aca="false">E128/B128</f>
        <v>0.00220247295208655</v>
      </c>
      <c r="G128" s="8" t="s">
        <v>4394</v>
      </c>
      <c r="H128" s="8" t="s">
        <v>4395</v>
      </c>
      <c r="I128" s="38" t="s">
        <v>4190</v>
      </c>
      <c r="J128" s="12" t="n">
        <v>45</v>
      </c>
      <c r="K128" s="12" t="n">
        <v>334</v>
      </c>
      <c r="L128" s="9" t="n">
        <f aca="false">IF(INDEX(選手一覧!$D$5:$D$2736,$K128)="","",INDEX(選手一覧!$D$5:$D$2736,$K128))</f>
        <v>0.0104908564814815</v>
      </c>
      <c r="M128" s="10" t="n">
        <f aca="false">IF(INDEX(選手一覧!$E$5:$E$2736,$K128)="","",INDEX(選手一覧!$E$5:$E$2736,$K128))</f>
        <v>335</v>
      </c>
      <c r="N128" s="11" t="str">
        <f aca="false">IF(INDEX(選手一覧!$F$5:$F$2736,$K128)="","",INDEX(選手一覧!$F$5:$F$2736,$K128))</f>
        <v/>
      </c>
      <c r="O128" s="12" t="str">
        <f aca="false">IF(INDEX(選手一覧!$G$5:$G$2736,$K128)="","",INDEX(選手一覧!$G$5:$G$2736,$K128))</f>
        <v/>
      </c>
      <c r="P128" s="11" t="n">
        <f aca="false">IF(INDEX(選手一覧!$H$5:$H$2736,$K128)="","",INDEX(選手一覧!$H$5:$H$2736,$K128))</f>
        <v>0.00284085648148148</v>
      </c>
      <c r="Q128" s="12" t="n">
        <f aca="false">IF(INDEX(選手一覧!$I$5:$I$2736,$K128)="","",INDEX(選手一覧!$I$5:$I$2736,$K128))</f>
        <v>505</v>
      </c>
    </row>
    <row r="129" customFormat="false" ht="15" hidden="false" customHeight="false" outlineLevel="0" collapsed="false">
      <c r="A129" s="35" t="n">
        <v>4</v>
      </c>
      <c r="B129" s="36" t="n">
        <v>8.0875</v>
      </c>
      <c r="C129" s="10" t="n">
        <v>52</v>
      </c>
      <c r="D129" s="12" t="n">
        <f aca="false">COUNTIFS($A$5:$A$229,A129,$E$5:$E$229,"&lt;"&amp;E129)+1</f>
        <v>21</v>
      </c>
      <c r="E129" s="37" t="n">
        <v>0.0178703703703704</v>
      </c>
      <c r="F129" s="37" t="n">
        <f aca="false">E129/B129</f>
        <v>0.0022096284847444</v>
      </c>
      <c r="G129" s="8" t="s">
        <v>4396</v>
      </c>
      <c r="H129" s="8" t="s">
        <v>4219</v>
      </c>
      <c r="I129" s="38" t="s">
        <v>4173</v>
      </c>
      <c r="J129" s="12" t="n">
        <v>41</v>
      </c>
      <c r="K129" s="12" t="n">
        <v>316</v>
      </c>
      <c r="L129" s="9" t="n">
        <f aca="false">IF(INDEX(選手一覧!$D$5:$D$2736,$K129)="","",INDEX(選手一覧!$D$5:$D$2736,$K129))</f>
        <v>0.0104688657407407</v>
      </c>
      <c r="M129" s="10" t="n">
        <f aca="false">IF(INDEX(選手一覧!$E$5:$E$2736,$K129)="","",INDEX(選手一覧!$E$5:$E$2736,$K129))</f>
        <v>317</v>
      </c>
      <c r="N129" s="11" t="str">
        <f aca="false">IF(INDEX(選手一覧!$F$5:$F$2736,$K129)="","",INDEX(選手一覧!$F$5:$F$2736,$K129))</f>
        <v/>
      </c>
      <c r="O129" s="12" t="str">
        <f aca="false">IF(INDEX(選手一覧!$G$5:$G$2736,$K129)="","",INDEX(選手一覧!$G$5:$G$2736,$K129))</f>
        <v/>
      </c>
      <c r="P129" s="11" t="n">
        <f aca="false">IF(INDEX(選手一覧!$H$5:$H$2736,$K129)="","",INDEX(選手一覧!$H$5:$H$2736,$K129))</f>
        <v>0.00282638888888889</v>
      </c>
      <c r="Q129" s="12" t="n">
        <f aca="false">IF(INDEX(選手一覧!$I$5:$I$2736,$K129)="","",INDEX(選手一覧!$I$5:$I$2736,$K129))</f>
        <v>401</v>
      </c>
    </row>
    <row r="130" customFormat="false" ht="15" hidden="false" customHeight="false" outlineLevel="0" collapsed="false">
      <c r="A130" s="35" t="n">
        <v>4</v>
      </c>
      <c r="B130" s="36" t="n">
        <v>8.0875</v>
      </c>
      <c r="C130" s="10" t="n">
        <v>54</v>
      </c>
      <c r="D130" s="12" t="n">
        <f aca="false">COUNTIFS($A$5:$A$229,A130,$E$5:$E$229,"&lt;"&amp;E130)+1</f>
        <v>22</v>
      </c>
      <c r="E130" s="37" t="n">
        <v>0.0178935185185185</v>
      </c>
      <c r="F130" s="37" t="n">
        <f aca="false">E130/B130</f>
        <v>0.00221249069780755</v>
      </c>
      <c r="G130" s="8" t="s">
        <v>4397</v>
      </c>
      <c r="H130" s="8" t="s">
        <v>4398</v>
      </c>
      <c r="I130" s="38" t="s">
        <v>4200</v>
      </c>
      <c r="J130" s="12" t="n">
        <v>24</v>
      </c>
      <c r="K130" s="12" t="n">
        <v>367</v>
      </c>
      <c r="L130" s="9" t="n">
        <f aca="false">IF(INDEX(選手一覧!$D$5:$D$2736,$K130)="","",INDEX(選手一覧!$D$5:$D$2736,$K130))</f>
        <v>0.0105259259259259</v>
      </c>
      <c r="M130" s="10" t="n">
        <f aca="false">IF(INDEX(選手一覧!$E$5:$E$2736,$K130)="","",INDEX(選手一覧!$E$5:$E$2736,$K130))</f>
        <v>368</v>
      </c>
      <c r="N130" s="11" t="str">
        <f aca="false">IF(INDEX(選手一覧!$F$5:$F$2736,$K130)="","",INDEX(選手一覧!$F$5:$F$2736,$K130))</f>
        <v/>
      </c>
      <c r="O130" s="12" t="str">
        <f aca="false">IF(INDEX(選手一覧!$G$5:$G$2736,$K130)="","",INDEX(選手一覧!$G$5:$G$2736,$K130))</f>
        <v/>
      </c>
      <c r="P130" s="11" t="n">
        <f aca="false">IF(INDEX(選手一覧!$H$5:$H$2736,$K130)="","",INDEX(選手一覧!$H$5:$H$2736,$K130))</f>
        <v>0.00289212962962963</v>
      </c>
      <c r="Q130" s="12" t="n">
        <f aca="false">IF(INDEX(選手一覧!$I$5:$I$2736,$K130)="","",INDEX(選手一覧!$I$5:$I$2736,$K130))</f>
        <v>891</v>
      </c>
    </row>
    <row r="131" customFormat="false" ht="15" hidden="false" customHeight="false" outlineLevel="0" collapsed="false">
      <c r="A131" s="35" t="n">
        <v>4</v>
      </c>
      <c r="B131" s="36" t="n">
        <v>8.0875</v>
      </c>
      <c r="C131" s="10" t="n">
        <v>56</v>
      </c>
      <c r="D131" s="12" t="n">
        <f aca="false">COUNTIFS($A$5:$A$229,A131,$E$5:$E$229,"&lt;"&amp;E131)+1</f>
        <v>23</v>
      </c>
      <c r="E131" s="37" t="n">
        <v>0.0179398148148148</v>
      </c>
      <c r="F131" s="37" t="n">
        <f aca="false">E131/B131</f>
        <v>0.00221821512393383</v>
      </c>
      <c r="G131" s="8" t="s">
        <v>4399</v>
      </c>
      <c r="H131" s="8" t="s">
        <v>4348</v>
      </c>
      <c r="I131" s="38" t="s">
        <v>4229</v>
      </c>
      <c r="J131" s="12" t="n">
        <v>51</v>
      </c>
      <c r="K131" s="12" t="n">
        <v>394</v>
      </c>
      <c r="L131" s="9" t="n">
        <f aca="false">IF(INDEX(選手一覧!$D$5:$D$2736,$K131)="","",INDEX(選手一覧!$D$5:$D$2736,$K131))</f>
        <v>0.0105478009259259</v>
      </c>
      <c r="M131" s="10" t="n">
        <f aca="false">IF(INDEX(選手一覧!$E$5:$E$2736,$K131)="","",INDEX(選手一覧!$E$5:$E$2736,$K131))</f>
        <v>395</v>
      </c>
      <c r="N131" s="11" t="n">
        <f aca="false">IF(INDEX(選手一覧!$F$5:$F$2736,$K131)="","",INDEX(選手一覧!$F$5:$F$2736,$K131))</f>
        <v>0.00705462962962963</v>
      </c>
      <c r="O131" s="12" t="n">
        <f aca="false">IF(INDEX(選手一覧!$G$5:$G$2736,$K131)="","",INDEX(選手一覧!$G$5:$G$2736,$K131))</f>
        <v>394</v>
      </c>
      <c r="P131" s="11" t="n">
        <f aca="false">IF(INDEX(選手一覧!$H$5:$H$2736,$K131)="","",INDEX(選手一覧!$H$5:$H$2736,$K131))</f>
        <v>0.00281296296296296</v>
      </c>
      <c r="Q131" s="12" t="n">
        <f aca="false">IF(INDEX(選手一覧!$I$5:$I$2736,$K131)="","",INDEX(選手一覧!$I$5:$I$2736,$K131))</f>
        <v>333</v>
      </c>
    </row>
    <row r="132" customFormat="false" ht="15" hidden="false" customHeight="false" outlineLevel="0" collapsed="false">
      <c r="A132" s="35" t="n">
        <v>4</v>
      </c>
      <c r="B132" s="36" t="n">
        <v>8.0875</v>
      </c>
      <c r="C132" s="10" t="n">
        <v>57</v>
      </c>
      <c r="D132" s="12" t="n">
        <f aca="false">COUNTIFS($A$5:$A$229,A132,$E$5:$E$229,"&lt;"&amp;E132)+1</f>
        <v>24</v>
      </c>
      <c r="E132" s="37" t="n">
        <v>0.017962962962963</v>
      </c>
      <c r="F132" s="37" t="n">
        <f aca="false">E132/B132</f>
        <v>0.00222107733699697</v>
      </c>
      <c r="G132" s="8" t="s">
        <v>4400</v>
      </c>
      <c r="H132" s="8" t="s">
        <v>4401</v>
      </c>
      <c r="I132" s="38" t="s">
        <v>4196</v>
      </c>
      <c r="J132" s="12" t="n">
        <v>55</v>
      </c>
      <c r="K132" s="12" t="n">
        <v>506</v>
      </c>
      <c r="L132" s="9" t="n">
        <f aca="false">IF(INDEX(選手一覧!$D$5:$D$2736,$K132)="","",INDEX(選手一覧!$D$5:$D$2736,$K132))</f>
        <v>0.0106331018518519</v>
      </c>
      <c r="M132" s="10" t="n">
        <f aca="false">IF(INDEX(選手一覧!$E$5:$E$2736,$K132)="","",INDEX(選手一覧!$E$5:$E$2736,$K132))</f>
        <v>507</v>
      </c>
      <c r="N132" s="11" t="str">
        <f aca="false">IF(INDEX(選手一覧!$F$5:$F$2736,$K132)="","",INDEX(選手一覧!$F$5:$F$2736,$K132))</f>
        <v/>
      </c>
      <c r="O132" s="12" t="str">
        <f aca="false">IF(INDEX(選手一覧!$G$5:$G$2736,$K132)="","",INDEX(選手一覧!$G$5:$G$2736,$K132))</f>
        <v/>
      </c>
      <c r="P132" s="11" t="n">
        <f aca="false">IF(INDEX(選手一覧!$H$5:$H$2736,$K132)="","",INDEX(選手一覧!$H$5:$H$2736,$K132))</f>
        <v>0.00285717592592593</v>
      </c>
      <c r="Q132" s="12" t="n">
        <f aca="false">IF(INDEX(選手一覧!$I$5:$I$2736,$K132)="","",INDEX(選手一覧!$I$5:$I$2736,$K132))</f>
        <v>616</v>
      </c>
    </row>
    <row r="133" customFormat="false" ht="15" hidden="false" customHeight="false" outlineLevel="0" collapsed="false">
      <c r="A133" s="35" t="n">
        <v>4</v>
      </c>
      <c r="B133" s="36" t="n">
        <v>8.0875</v>
      </c>
      <c r="C133" s="10" t="n">
        <v>57</v>
      </c>
      <c r="D133" s="12" t="n">
        <f aca="false">COUNTIFS($A$5:$A$229,A133,$E$5:$E$229,"&lt;"&amp;E133)+1</f>
        <v>24</v>
      </c>
      <c r="E133" s="37" t="n">
        <v>0.017962962962963</v>
      </c>
      <c r="F133" s="37" t="n">
        <f aca="false">E133/B133</f>
        <v>0.00222107733699697</v>
      </c>
      <c r="G133" s="8" t="s">
        <v>4402</v>
      </c>
      <c r="H133" s="8" t="s">
        <v>4257</v>
      </c>
      <c r="I133" s="38" t="s">
        <v>4214</v>
      </c>
      <c r="J133" s="12" t="n">
        <v>57</v>
      </c>
      <c r="K133" s="12" t="n">
        <v>616</v>
      </c>
      <c r="L133" s="9" t="n">
        <f aca="false">IF(INDEX(選手一覧!$D$5:$D$2736,$K133)="","",INDEX(選手一覧!$D$5:$D$2736,$K133))</f>
        <v>0.0107229166666667</v>
      </c>
      <c r="M133" s="10" t="n">
        <f aca="false">IF(INDEX(選手一覧!$E$5:$E$2736,$K133)="","",INDEX(選手一覧!$E$5:$E$2736,$K133))</f>
        <v>617</v>
      </c>
      <c r="N133" s="11" t="n">
        <f aca="false">IF(INDEX(選手一覧!$F$5:$F$2736,$K133)="","",INDEX(選手一覧!$F$5:$F$2736,$K133))</f>
        <v>0.00666805555555556</v>
      </c>
      <c r="O133" s="12" t="n">
        <f aca="false">IF(INDEX(選手一覧!$G$5:$G$2736,$K133)="","",INDEX(選手一覧!$G$5:$G$2736,$K133))</f>
        <v>91</v>
      </c>
      <c r="P133" s="11" t="n">
        <f aca="false">IF(INDEX(選手一覧!$H$5:$H$2736,$K133)="","",INDEX(選手一覧!$H$5:$H$2736,$K133))</f>
        <v>0.00291608796296296</v>
      </c>
      <c r="Q133" s="12" t="n">
        <f aca="false">IF(INDEX(選手一覧!$I$5:$I$2736,$K133)="","",INDEX(選手一覧!$I$5:$I$2736,$K133))</f>
        <v>1059</v>
      </c>
    </row>
    <row r="134" customFormat="false" ht="15" hidden="false" customHeight="false" outlineLevel="0" collapsed="false">
      <c r="A134" s="35" t="n">
        <v>4</v>
      </c>
      <c r="B134" s="36" t="n">
        <v>8.0875</v>
      </c>
      <c r="C134" s="10" t="n">
        <v>63</v>
      </c>
      <c r="D134" s="12" t="n">
        <f aca="false">COUNTIFS($A$5:$A$229,A134,$E$5:$E$229,"&lt;"&amp;E134)+1</f>
        <v>26</v>
      </c>
      <c r="E134" s="37" t="n">
        <v>0.0180439814814815</v>
      </c>
      <c r="F134" s="37" t="n">
        <f aca="false">E134/B134</f>
        <v>0.00223109508271796</v>
      </c>
      <c r="G134" s="8" t="s">
        <v>4403</v>
      </c>
      <c r="H134" s="8" t="s">
        <v>4233</v>
      </c>
      <c r="I134" s="38" t="s">
        <v>4229</v>
      </c>
      <c r="J134" s="12" t="n">
        <v>62</v>
      </c>
      <c r="K134" s="12" t="n">
        <v>975</v>
      </c>
      <c r="L134" s="9" t="n">
        <f aca="false">IF(INDEX(選手一覧!$D$5:$D$2736,$K134)="","",INDEX(選手一覧!$D$5:$D$2736,$K134))</f>
        <v>0.0109353009259259</v>
      </c>
      <c r="M134" s="10" t="n">
        <f aca="false">IF(INDEX(選手一覧!$E$5:$E$2736,$K134)="","",INDEX(選手一覧!$E$5:$E$2736,$K134))</f>
        <v>976</v>
      </c>
      <c r="N134" s="11" t="n">
        <f aca="false">IF(INDEX(選手一覧!$F$5:$F$2736,$K134)="","",INDEX(選手一覧!$F$5:$F$2736,$K134))</f>
        <v>0.00680972222222222</v>
      </c>
      <c r="O134" s="12" t="n">
        <f aca="false">IF(INDEX(選手一覧!$G$5:$G$2736,$K134)="","",INDEX(選手一覧!$G$5:$G$2736,$K134))</f>
        <v>180</v>
      </c>
      <c r="P134" s="11" t="n">
        <f aca="false">IF(INDEX(選手一覧!$H$5:$H$2736,$K134)="","",INDEX(選手一覧!$H$5:$H$2736,$K134))</f>
        <v>0.00288136574074074</v>
      </c>
      <c r="Q134" s="12" t="n">
        <f aca="false">IF(INDEX(選手一覧!$I$5:$I$2736,$K134)="","",INDEX(選手一覧!$I$5:$I$2736,$K134))</f>
        <v>781</v>
      </c>
    </row>
    <row r="135" customFormat="false" ht="15" hidden="false" customHeight="false" outlineLevel="0" collapsed="false">
      <c r="A135" s="35" t="n">
        <v>4</v>
      </c>
      <c r="B135" s="36" t="n">
        <v>8.0875</v>
      </c>
      <c r="C135" s="10" t="n">
        <v>65</v>
      </c>
      <c r="D135" s="12" t="n">
        <f aca="false">COUNTIFS($A$5:$A$229,A135,$E$5:$E$229,"&lt;"&amp;E135)+1</f>
        <v>27</v>
      </c>
      <c r="E135" s="37" t="n">
        <v>0.0181018518518519</v>
      </c>
      <c r="F135" s="37" t="n">
        <f aca="false">E135/B135</f>
        <v>0.00223825061537581</v>
      </c>
      <c r="G135" s="8" t="s">
        <v>4404</v>
      </c>
      <c r="H135" s="8" t="s">
        <v>4242</v>
      </c>
      <c r="I135" s="38" t="s">
        <v>4243</v>
      </c>
      <c r="J135" s="12" t="n">
        <v>64</v>
      </c>
      <c r="K135" s="12" t="n">
        <v>990</v>
      </c>
      <c r="L135" s="9" t="n">
        <f aca="false">IF(INDEX(選手一覧!$D$5:$D$2736,$K135)="","",INDEX(選手一覧!$D$5:$D$2736,$K135))</f>
        <v>0.0109445601851852</v>
      </c>
      <c r="M135" s="10" t="n">
        <f aca="false">IF(INDEX(選手一覧!$E$5:$E$2736,$K135)="","",INDEX(選手一覧!$E$5:$E$2736,$K135))</f>
        <v>991</v>
      </c>
      <c r="N135" s="11" t="str">
        <f aca="false">IF(INDEX(選手一覧!$F$5:$F$2736,$K135)="","",INDEX(選手一覧!$F$5:$F$2736,$K135))</f>
        <v/>
      </c>
      <c r="O135" s="12" t="str">
        <f aca="false">IF(INDEX(選手一覧!$G$5:$G$2736,$K135)="","",INDEX(選手一覧!$G$5:$G$2736,$K135))</f>
        <v/>
      </c>
      <c r="P135" s="11" t="str">
        <f aca="false">IF(INDEX(選手一覧!$H$5:$H$2736,$K135)="","",INDEX(選手一覧!$H$5:$H$2736,$K135))</f>
        <v/>
      </c>
      <c r="Q135" s="12" t="str">
        <f aca="false">IF(INDEX(選手一覧!$I$5:$I$2736,$K135)="","",INDEX(選手一覧!$I$5:$I$2736,$K135))</f>
        <v/>
      </c>
    </row>
    <row r="136" customFormat="false" ht="15" hidden="false" customHeight="false" outlineLevel="0" collapsed="false">
      <c r="A136" s="35" t="n">
        <v>4</v>
      </c>
      <c r="B136" s="36" t="n">
        <v>8.0875</v>
      </c>
      <c r="C136" s="10" t="n">
        <v>66</v>
      </c>
      <c r="D136" s="12" t="n">
        <f aca="false">COUNTIFS($A$5:$A$229,A136,$E$5:$E$229,"&lt;"&amp;E136)+1</f>
        <v>28</v>
      </c>
      <c r="E136" s="37" t="n">
        <v>0.018125</v>
      </c>
      <c r="F136" s="37" t="n">
        <f aca="false">E136/B136</f>
        <v>0.00224111282843895</v>
      </c>
      <c r="G136" s="8" t="s">
        <v>4405</v>
      </c>
      <c r="H136" s="8" t="s">
        <v>4310</v>
      </c>
      <c r="I136" s="38" t="s">
        <v>4264</v>
      </c>
      <c r="J136" s="12" t="n">
        <v>65</v>
      </c>
      <c r="K136" s="12" t="n">
        <v>1439</v>
      </c>
      <c r="L136" s="9" t="str">
        <f aca="false">IF(INDEX(選手一覧!$D$5:$D$2736,$K136)="","",INDEX(選手一覧!$D$5:$D$2736,$K136))</f>
        <v/>
      </c>
      <c r="M136" s="10" t="str">
        <f aca="false">IF(INDEX(選手一覧!$E$5:$E$2736,$K136)="","",INDEX(選手一覧!$E$5:$E$2736,$K136))</f>
        <v/>
      </c>
      <c r="N136" s="11" t="str">
        <f aca="false">IF(INDEX(選手一覧!$F$5:$F$2736,$K136)="","",INDEX(選手一覧!$F$5:$F$2736,$K136))</f>
        <v/>
      </c>
      <c r="O136" s="12" t="str">
        <f aca="false">IF(INDEX(選手一覧!$G$5:$G$2736,$K136)="","",INDEX(選手一覧!$G$5:$G$2736,$K136))</f>
        <v/>
      </c>
      <c r="P136" s="11" t="n">
        <f aca="false">IF(INDEX(選手一覧!$H$5:$H$2736,$K136)="","",INDEX(選手一覧!$H$5:$H$2736,$K136))</f>
        <v>0.00281273148148148</v>
      </c>
      <c r="Q136" s="12" t="n">
        <f aca="false">IF(INDEX(選手一覧!$I$5:$I$2736,$K136)="","",INDEX(選手一覧!$I$5:$I$2736,$K136))</f>
        <v>331</v>
      </c>
    </row>
    <row r="137" customFormat="false" ht="15" hidden="false" customHeight="false" outlineLevel="0" collapsed="false">
      <c r="A137" s="35" t="n">
        <v>4</v>
      </c>
      <c r="B137" s="36" t="n">
        <v>8.0875</v>
      </c>
      <c r="C137" s="10" t="n">
        <v>70</v>
      </c>
      <c r="D137" s="12" t="n">
        <f aca="false">COUNTIFS($A$5:$A$229,A137,$E$5:$E$229,"&lt;"&amp;E137)+1</f>
        <v>29</v>
      </c>
      <c r="E137" s="37" t="n">
        <v>0.0182291666666667</v>
      </c>
      <c r="F137" s="37" t="n">
        <f aca="false">E137/B137</f>
        <v>0.00225399278722308</v>
      </c>
      <c r="G137" s="8" t="s">
        <v>4406</v>
      </c>
      <c r="H137" s="8" t="s">
        <v>4407</v>
      </c>
      <c r="I137" s="38" t="s">
        <v>4408</v>
      </c>
      <c r="J137" s="12" t="n">
        <v>58</v>
      </c>
      <c r="K137" s="12" t="n">
        <v>339</v>
      </c>
      <c r="L137" s="9" t="n">
        <f aca="false">IF(INDEX(選手一覧!$D$5:$D$2736,$K137)="","",INDEX(選手一覧!$D$5:$D$2736,$K137))</f>
        <v>0.010499537037037</v>
      </c>
      <c r="M137" s="10" t="n">
        <f aca="false">IF(INDEX(選手一覧!$E$5:$E$2736,$K137)="","",INDEX(選手一覧!$E$5:$E$2736,$K137))</f>
        <v>340</v>
      </c>
      <c r="N137" s="11" t="n">
        <f aca="false">IF(INDEX(選手一覧!$F$5:$F$2736,$K137)="","",INDEX(選手一覧!$F$5:$F$2736,$K137))</f>
        <v>0.00748032407407407</v>
      </c>
      <c r="O137" s="12" t="n">
        <f aca="false">IF(INDEX(選手一覧!$G$5:$G$2736,$K137)="","",INDEX(選手一覧!$G$5:$G$2736,$K137))</f>
        <v>869</v>
      </c>
      <c r="P137" s="11" t="n">
        <f aca="false">IF(INDEX(選手一覧!$H$5:$H$2736,$K137)="","",INDEX(選手一覧!$H$5:$H$2736,$K137))</f>
        <v>0.00282233796296296</v>
      </c>
      <c r="Q137" s="12" t="n">
        <f aca="false">IF(INDEX(選手一覧!$I$5:$I$2736,$K137)="","",INDEX(選手一覧!$I$5:$I$2736,$K137))</f>
        <v>378</v>
      </c>
    </row>
    <row r="138" customFormat="false" ht="15" hidden="false" customHeight="false" outlineLevel="0" collapsed="false">
      <c r="A138" s="35" t="n">
        <v>4</v>
      </c>
      <c r="B138" s="36" t="n">
        <v>8.0875</v>
      </c>
      <c r="C138" s="10" t="n">
        <v>71</v>
      </c>
      <c r="D138" s="12" t="n">
        <f aca="false">COUNTIFS($A$5:$A$229,A138,$E$5:$E$229,"&lt;"&amp;E138)+1</f>
        <v>30</v>
      </c>
      <c r="E138" s="37" t="n">
        <v>0.0182407407407407</v>
      </c>
      <c r="F138" s="37" t="n">
        <f aca="false">E138/B138</f>
        <v>0.00225542389375465</v>
      </c>
      <c r="G138" s="8" t="s">
        <v>4409</v>
      </c>
      <c r="H138" s="8" t="s">
        <v>4351</v>
      </c>
      <c r="I138" s="38" t="s">
        <v>4211</v>
      </c>
      <c r="J138" s="12" t="n">
        <v>69</v>
      </c>
      <c r="K138" s="12" t="n">
        <v>1111</v>
      </c>
      <c r="L138" s="9" t="n">
        <f aca="false">IF(INDEX(選手一覧!$D$5:$D$2736,$K138)="","",INDEX(選手一覧!$D$5:$D$2736,$K138))</f>
        <v>0.0110112268518519</v>
      </c>
      <c r="M138" s="10" t="n">
        <f aca="false">IF(INDEX(選手一覧!$E$5:$E$2736,$K138)="","",INDEX(選手一覧!$E$5:$E$2736,$K138))</f>
        <v>1112</v>
      </c>
      <c r="N138" s="11" t="n">
        <f aca="false">IF(INDEX(選手一覧!$F$5:$F$2736,$K138)="","",INDEX(選手一覧!$F$5:$F$2736,$K138))</f>
        <v>0.00706909722222222</v>
      </c>
      <c r="O138" s="12" t="n">
        <f aca="false">IF(INDEX(選手一覧!$G$5:$G$2736,$K138)="","",INDEX(選手一覧!$G$5:$G$2736,$K138))</f>
        <v>413</v>
      </c>
      <c r="P138" s="11" t="n">
        <f aca="false">IF(INDEX(選手一覧!$H$5:$H$2736,$K138)="","",INDEX(選手一覧!$H$5:$H$2736,$K138))</f>
        <v>0.00289837962962963</v>
      </c>
      <c r="Q138" s="12" t="n">
        <f aca="false">IF(INDEX(選手一覧!$I$5:$I$2736,$K138)="","",INDEX(選手一覧!$I$5:$I$2736,$K138))</f>
        <v>935</v>
      </c>
    </row>
    <row r="139" customFormat="false" ht="15" hidden="false" customHeight="false" outlineLevel="0" collapsed="false">
      <c r="A139" s="35" t="n">
        <v>4</v>
      </c>
      <c r="B139" s="36" t="n">
        <v>8.0875</v>
      </c>
      <c r="C139" s="10" t="n">
        <v>74</v>
      </c>
      <c r="D139" s="12" t="n">
        <f aca="false">COUNTIFS($A$5:$A$229,A139,$E$5:$E$229,"&lt;"&amp;E139)+1</f>
        <v>31</v>
      </c>
      <c r="E139" s="37" t="n">
        <v>0.0183333333333333</v>
      </c>
      <c r="F139" s="37" t="n">
        <f aca="false">E139/B139</f>
        <v>0.00226687274600721</v>
      </c>
      <c r="G139" s="8" t="s">
        <v>4410</v>
      </c>
      <c r="H139" s="8" t="s">
        <v>4411</v>
      </c>
      <c r="I139" s="38" t="s">
        <v>4173</v>
      </c>
      <c r="J139" s="12" t="n">
        <v>86</v>
      </c>
      <c r="K139" s="12" t="n">
        <v>845</v>
      </c>
      <c r="L139" s="9" t="n">
        <f aca="false">IF(INDEX(選手一覧!$D$5:$D$2736,$K139)="","",INDEX(選手一覧!$D$5:$D$2736,$K139))</f>
        <v>0.0108591435185185</v>
      </c>
      <c r="M139" s="10" t="n">
        <f aca="false">IF(INDEX(選手一覧!$E$5:$E$2736,$K139)="","",INDEX(選手一覧!$E$5:$E$2736,$K139))</f>
        <v>846</v>
      </c>
      <c r="N139" s="11" t="str">
        <f aca="false">IF(INDEX(選手一覧!$F$5:$F$2736,$K139)="","",INDEX(選手一覧!$F$5:$F$2736,$K139))</f>
        <v/>
      </c>
      <c r="O139" s="12" t="str">
        <f aca="false">IF(INDEX(選手一覧!$G$5:$G$2736,$K139)="","",INDEX(選手一覧!$G$5:$G$2736,$K139))</f>
        <v/>
      </c>
      <c r="P139" s="11" t="str">
        <f aca="false">IF(INDEX(選手一覧!$H$5:$H$2736,$K139)="","",INDEX(選手一覧!$H$5:$H$2736,$K139))</f>
        <v/>
      </c>
      <c r="Q139" s="12" t="str">
        <f aca="false">IF(INDEX(選手一覧!$I$5:$I$2736,$K139)="","",INDEX(選手一覧!$I$5:$I$2736,$K139))</f>
        <v/>
      </c>
    </row>
    <row r="140" customFormat="false" ht="15" hidden="false" customHeight="false" outlineLevel="0" collapsed="false">
      <c r="A140" s="35" t="n">
        <v>4</v>
      </c>
      <c r="B140" s="36" t="n">
        <v>8.0875</v>
      </c>
      <c r="C140" s="10" t="n">
        <v>81</v>
      </c>
      <c r="D140" s="12" t="n">
        <f aca="false">COUNTIFS($A$5:$A$229,A140,$E$5:$E$229,"&lt;"&amp;E140)+1</f>
        <v>32</v>
      </c>
      <c r="E140" s="37" t="n">
        <v>0.0186226851851852</v>
      </c>
      <c r="F140" s="37" t="n">
        <f aca="false">E140/B140</f>
        <v>0.00230265040929647</v>
      </c>
      <c r="G140" s="8" t="s">
        <v>4412</v>
      </c>
      <c r="H140" s="8" t="s">
        <v>4359</v>
      </c>
      <c r="I140" s="38" t="s">
        <v>4187</v>
      </c>
      <c r="J140" s="12" t="n">
        <v>76</v>
      </c>
      <c r="K140" s="12" t="n">
        <v>846</v>
      </c>
      <c r="L140" s="9" t="n">
        <f aca="false">IF(INDEX(選手一覧!$D$5:$D$2736,$K140)="","",INDEX(選手一覧!$D$5:$D$2736,$K140))</f>
        <v>0.0108596064814815</v>
      </c>
      <c r="M140" s="10" t="n">
        <f aca="false">IF(INDEX(選手一覧!$E$5:$E$2736,$K140)="","",INDEX(選手一覧!$E$5:$E$2736,$K140))</f>
        <v>847</v>
      </c>
      <c r="N140" s="11" t="n">
        <f aca="false">IF(INDEX(選手一覧!$F$5:$F$2736,$K140)="","",INDEX(選手一覧!$F$5:$F$2736,$K140))</f>
        <v>0.00684479166666667</v>
      </c>
      <c r="O140" s="12" t="n">
        <f aca="false">IF(INDEX(選手一覧!$G$5:$G$2736,$K140)="","",INDEX(選手一覧!$G$5:$G$2736,$K140))</f>
        <v>200</v>
      </c>
      <c r="P140" s="11" t="n">
        <f aca="false">IF(INDEX(選手一覧!$H$5:$H$2736,$K140)="","",INDEX(選手一覧!$H$5:$H$2736,$K140))</f>
        <v>0.00286238425925926</v>
      </c>
      <c r="Q140" s="12" t="n">
        <f aca="false">IF(INDEX(選手一覧!$I$5:$I$2736,$K140)="","",INDEX(選手一覧!$I$5:$I$2736,$K140))</f>
        <v>650</v>
      </c>
    </row>
    <row r="141" customFormat="false" ht="15" hidden="false" customHeight="false" outlineLevel="0" collapsed="false">
      <c r="A141" s="35" t="n">
        <v>4</v>
      </c>
      <c r="B141" s="36" t="n">
        <v>8.0875</v>
      </c>
      <c r="C141" s="10" t="n">
        <v>86</v>
      </c>
      <c r="D141" s="12" t="n">
        <f aca="false">COUNTIFS($A$5:$A$229,A141,$E$5:$E$229,"&lt;"&amp;E141)+1</f>
        <v>33</v>
      </c>
      <c r="E141" s="37" t="n">
        <v>0.0187384259259259</v>
      </c>
      <c r="F141" s="37" t="n">
        <f aca="false">E141/B141</f>
        <v>0.00231696147461217</v>
      </c>
      <c r="G141" s="8" t="s">
        <v>4413</v>
      </c>
      <c r="H141" s="8" t="s">
        <v>4365</v>
      </c>
      <c r="I141" s="38" t="s">
        <v>4184</v>
      </c>
      <c r="J141" s="12" t="n">
        <v>99</v>
      </c>
      <c r="K141" s="12" t="n">
        <v>1041</v>
      </c>
      <c r="L141" s="9" t="n">
        <f aca="false">IF(INDEX(選手一覧!$D$5:$D$2736,$K141)="","",INDEX(選手一覧!$D$5:$D$2736,$K141))</f>
        <v>0.0109711805555556</v>
      </c>
      <c r="M141" s="10" t="n">
        <f aca="false">IF(INDEX(選手一覧!$E$5:$E$2736,$K141)="","",INDEX(選手一覧!$E$5:$E$2736,$K141))</f>
        <v>1042</v>
      </c>
      <c r="N141" s="11" t="str">
        <f aca="false">IF(INDEX(選手一覧!$F$5:$F$2736,$K141)="","",INDEX(選手一覧!$F$5:$F$2736,$K141))</f>
        <v/>
      </c>
      <c r="O141" s="12" t="str">
        <f aca="false">IF(INDEX(選手一覧!$G$5:$G$2736,$K141)="","",INDEX(選手一覧!$G$5:$G$2736,$K141))</f>
        <v/>
      </c>
      <c r="P141" s="11" t="str">
        <f aca="false">IF(INDEX(選手一覧!$H$5:$H$2736,$K141)="","",INDEX(選手一覧!$H$5:$H$2736,$K141))</f>
        <v/>
      </c>
      <c r="Q141" s="12" t="str">
        <f aca="false">IF(INDEX(選手一覧!$I$5:$I$2736,$K141)="","",INDEX(選手一覧!$I$5:$I$2736,$K141))</f>
        <v/>
      </c>
    </row>
    <row r="142" customFormat="false" ht="15" hidden="false" customHeight="false" outlineLevel="0" collapsed="false">
      <c r="A142" s="35" t="n">
        <v>4</v>
      </c>
      <c r="B142" s="36" t="n">
        <v>8.0875</v>
      </c>
      <c r="C142" s="10" t="n">
        <v>88</v>
      </c>
      <c r="D142" s="12" t="n">
        <f aca="false">COUNTIFS($A$5:$A$229,A142,$E$5:$E$229,"&lt;"&amp;E142)+1</f>
        <v>34</v>
      </c>
      <c r="E142" s="37" t="n">
        <v>0.0187847222222222</v>
      </c>
      <c r="F142" s="37" t="n">
        <f aca="false">E142/B142</f>
        <v>0.00232268590073845</v>
      </c>
      <c r="G142" s="8" t="s">
        <v>4414</v>
      </c>
      <c r="H142" s="8" t="s">
        <v>4253</v>
      </c>
      <c r="I142" s="38" t="s">
        <v>4181</v>
      </c>
      <c r="J142" s="12" t="n">
        <v>105</v>
      </c>
      <c r="K142" s="12" t="n">
        <v>1153</v>
      </c>
      <c r="L142" s="9" t="n">
        <f aca="false">IF(INDEX(選手一覧!$D$5:$D$2736,$K142)="","",INDEX(選手一覧!$D$5:$D$2736,$K142))</f>
        <v>0.0110311342592593</v>
      </c>
      <c r="M142" s="10" t="n">
        <f aca="false">IF(INDEX(選手一覧!$E$5:$E$2736,$K142)="","",INDEX(選手一覧!$E$5:$E$2736,$K142))</f>
        <v>1154</v>
      </c>
      <c r="N142" s="11" t="n">
        <f aca="false">IF(INDEX(選手一覧!$F$5:$F$2736,$K142)="","",INDEX(選手一覧!$F$5:$F$2736,$K142))</f>
        <v>0.00716990740740741</v>
      </c>
      <c r="O142" s="12" t="n">
        <f aca="false">IF(INDEX(選手一覧!$G$5:$G$2736,$K142)="","",INDEX(選手一覧!$G$5:$G$2736,$K142))</f>
        <v>509</v>
      </c>
      <c r="P142" s="11" t="str">
        <f aca="false">IF(INDEX(選手一覧!$H$5:$H$2736,$K142)="","",INDEX(選手一覧!$H$5:$H$2736,$K142))</f>
        <v/>
      </c>
      <c r="Q142" s="12" t="str">
        <f aca="false">IF(INDEX(選手一覧!$I$5:$I$2736,$K142)="","",INDEX(選手一覧!$I$5:$I$2736,$K142))</f>
        <v/>
      </c>
    </row>
    <row r="143" customFormat="false" ht="15" hidden="false" customHeight="false" outlineLevel="0" collapsed="false">
      <c r="A143" s="35" t="n">
        <v>4</v>
      </c>
      <c r="B143" s="36" t="n">
        <v>8.0875</v>
      </c>
      <c r="C143" s="10" t="n">
        <v>89</v>
      </c>
      <c r="D143" s="12" t="n">
        <f aca="false">COUNTIFS($A$5:$A$229,A143,$E$5:$E$229,"&lt;"&amp;E143)+1</f>
        <v>35</v>
      </c>
      <c r="E143" s="37" t="n">
        <v>0.0187962962962963</v>
      </c>
      <c r="F143" s="37" t="n">
        <f aca="false">E143/B143</f>
        <v>0.00232411700727002</v>
      </c>
      <c r="G143" s="8" t="s">
        <v>4415</v>
      </c>
      <c r="H143" s="8" t="s">
        <v>4416</v>
      </c>
      <c r="I143" s="38" t="s">
        <v>4173</v>
      </c>
      <c r="J143" s="12" t="n">
        <v>94</v>
      </c>
      <c r="K143" s="12" t="n">
        <v>1681</v>
      </c>
      <c r="L143" s="9" t="str">
        <f aca="false">IF(INDEX(選手一覧!$D$5:$D$2736,$K143)="","",INDEX(選手一覧!$D$5:$D$2736,$K143))</f>
        <v/>
      </c>
      <c r="M143" s="10" t="str">
        <f aca="false">IF(INDEX(選手一覧!$E$5:$E$2736,$K143)="","",INDEX(選手一覧!$E$5:$E$2736,$K143))</f>
        <v/>
      </c>
      <c r="N143" s="11" t="n">
        <f aca="false">IF(INDEX(選手一覧!$F$5:$F$2736,$K143)="","",INDEX(選手一覧!$F$5:$F$2736,$K143))</f>
        <v>0.00723854166666667</v>
      </c>
      <c r="O143" s="12" t="n">
        <f aca="false">IF(INDEX(選手一覧!$G$5:$G$2736,$K143)="","",INDEX(選手一覧!$G$5:$G$2736,$K143))</f>
        <v>585</v>
      </c>
      <c r="P143" s="11" t="str">
        <f aca="false">IF(INDEX(選手一覧!$H$5:$H$2736,$K143)="","",INDEX(選手一覧!$H$5:$H$2736,$K143))</f>
        <v/>
      </c>
      <c r="Q143" s="12" t="str">
        <f aca="false">IF(INDEX(選手一覧!$I$5:$I$2736,$K143)="","",INDEX(選手一覧!$I$5:$I$2736,$K143))</f>
        <v/>
      </c>
    </row>
    <row r="144" customFormat="false" ht="15" hidden="false" customHeight="false" outlineLevel="0" collapsed="false">
      <c r="A144" s="35" t="n">
        <v>4</v>
      </c>
      <c r="B144" s="36" t="n">
        <v>8.0875</v>
      </c>
      <c r="C144" s="10" t="n">
        <v>90</v>
      </c>
      <c r="D144" s="12" t="n">
        <f aca="false">COUNTIFS($A$5:$A$229,A144,$E$5:$E$229,"&lt;"&amp;E144)+1</f>
        <v>36</v>
      </c>
      <c r="E144" s="37" t="n">
        <v>0.0188310185185185</v>
      </c>
      <c r="F144" s="37" t="n">
        <f aca="false">E144/B144</f>
        <v>0.00232841032686473</v>
      </c>
      <c r="G144" s="8" t="s">
        <v>4417</v>
      </c>
      <c r="H144" s="8" t="s">
        <v>4355</v>
      </c>
      <c r="I144" s="38" t="s">
        <v>4181</v>
      </c>
      <c r="J144" s="12" t="n">
        <v>85</v>
      </c>
      <c r="K144" s="12" t="n">
        <v>1124</v>
      </c>
      <c r="L144" s="9" t="n">
        <f aca="false">IF(INDEX(選手一覧!$D$5:$D$2736,$K144)="","",INDEX(選手一覧!$D$5:$D$2736,$K144))</f>
        <v>0.0110180555555556</v>
      </c>
      <c r="M144" s="10" t="n">
        <f aca="false">IF(INDEX(選手一覧!$E$5:$E$2736,$K144)="","",INDEX(選手一覧!$E$5:$E$2736,$K144))</f>
        <v>1125</v>
      </c>
      <c r="N144" s="11" t="n">
        <f aca="false">IF(INDEX(選手一覧!$F$5:$F$2736,$K144)="","",INDEX(選手一覧!$F$5:$F$2736,$K144))</f>
        <v>0.00719201388888889</v>
      </c>
      <c r="O144" s="12" t="n">
        <f aca="false">IF(INDEX(選手一覧!$G$5:$G$2736,$K144)="","",INDEX(選手一覧!$G$5:$G$2736,$K144))</f>
        <v>531</v>
      </c>
      <c r="P144" s="11" t="str">
        <f aca="false">IF(INDEX(選手一覧!$H$5:$H$2736,$K144)="","",INDEX(選手一覧!$H$5:$H$2736,$K144))</f>
        <v/>
      </c>
      <c r="Q144" s="12" t="str">
        <f aca="false">IF(INDEX(選手一覧!$I$5:$I$2736,$K144)="","",INDEX(選手一覧!$I$5:$I$2736,$K144))</f>
        <v/>
      </c>
    </row>
    <row r="145" customFormat="false" ht="15" hidden="false" customHeight="false" outlineLevel="0" collapsed="false">
      <c r="A145" s="35" t="n">
        <v>4</v>
      </c>
      <c r="B145" s="36" t="n">
        <v>8.0875</v>
      </c>
      <c r="C145" s="10" t="n">
        <v>92</v>
      </c>
      <c r="D145" s="12" t="n">
        <f aca="false">COUNTIFS($A$5:$A$229,A145,$E$5:$E$229,"&lt;"&amp;E145)+1</f>
        <v>37</v>
      </c>
      <c r="E145" s="37" t="n">
        <v>0.0188773148148148</v>
      </c>
      <c r="F145" s="37" t="n">
        <f aca="false">E145/B145</f>
        <v>0.00233413475299101</v>
      </c>
      <c r="G145" s="8" t="s">
        <v>4418</v>
      </c>
      <c r="H145" s="8" t="s">
        <v>4419</v>
      </c>
      <c r="I145" s="38" t="s">
        <v>4200</v>
      </c>
      <c r="J145" s="12" t="n">
        <v>70</v>
      </c>
      <c r="K145" s="12" t="n">
        <v>1177</v>
      </c>
      <c r="L145" s="9" t="n">
        <f aca="false">IF(INDEX(選手一覧!$D$5:$D$2736,$K145)="","",INDEX(選手一覧!$D$5:$D$2736,$K145))</f>
        <v>0.0110403935185185</v>
      </c>
      <c r="M145" s="10" t="n">
        <f aca="false">IF(INDEX(選手一覧!$E$5:$E$2736,$K145)="","",INDEX(選手一覧!$E$5:$E$2736,$K145))</f>
        <v>1178</v>
      </c>
      <c r="N145" s="11" t="str">
        <f aca="false">IF(INDEX(選手一覧!$F$5:$F$2736,$K145)="","",INDEX(選手一覧!$F$5:$F$2736,$K145))</f>
        <v/>
      </c>
      <c r="O145" s="12" t="str">
        <f aca="false">IF(INDEX(選手一覧!$G$5:$G$2736,$K145)="","",INDEX(選手一覧!$G$5:$G$2736,$K145))</f>
        <v/>
      </c>
      <c r="P145" s="11" t="n">
        <f aca="false">IF(INDEX(選手一覧!$H$5:$H$2736,$K145)="","",INDEX(選手一覧!$H$5:$H$2736,$K145))</f>
        <v>0.00285289351851852</v>
      </c>
      <c r="Q145" s="12" t="n">
        <f aca="false">IF(INDEX(選手一覧!$I$5:$I$2736,$K145)="","",INDEX(選手一覧!$I$5:$I$2736,$K145))</f>
        <v>585</v>
      </c>
    </row>
    <row r="146" customFormat="false" ht="15" hidden="false" customHeight="false" outlineLevel="0" collapsed="false">
      <c r="A146" s="35" t="n">
        <v>4</v>
      </c>
      <c r="B146" s="36" t="n">
        <v>8.0875</v>
      </c>
      <c r="C146" s="10" t="n">
        <v>100</v>
      </c>
      <c r="D146" s="12" t="n">
        <f aca="false">COUNTIFS($A$5:$A$229,A146,$E$5:$E$229,"&lt;"&amp;E146)+1</f>
        <v>38</v>
      </c>
      <c r="E146" s="37" t="n">
        <v>0.0191203703703704</v>
      </c>
      <c r="F146" s="37" t="n">
        <f aca="false">E146/B146</f>
        <v>0.00236418799015399</v>
      </c>
      <c r="G146" s="8" t="s">
        <v>4420</v>
      </c>
      <c r="H146" s="8" t="s">
        <v>4314</v>
      </c>
      <c r="I146" s="38" t="s">
        <v>4187</v>
      </c>
      <c r="J146" s="12" t="n">
        <v>87</v>
      </c>
      <c r="K146" s="12" t="n">
        <v>1350</v>
      </c>
      <c r="L146" s="9" t="str">
        <f aca="false">IF(INDEX(選手一覧!$D$5:$D$2736,$K146)="","",INDEX(選手一覧!$D$5:$D$2736,$K146))</f>
        <v/>
      </c>
      <c r="M146" s="10" t="str">
        <f aca="false">IF(INDEX(選手一覧!$E$5:$E$2736,$K146)="","",INDEX(選手一覧!$E$5:$E$2736,$K146))</f>
        <v/>
      </c>
      <c r="N146" s="11" t="n">
        <f aca="false">IF(INDEX(選手一覧!$F$5:$F$2736,$K146)="","",INDEX(選手一覧!$F$5:$F$2736,$K146))</f>
        <v>0.00685393518518518</v>
      </c>
      <c r="O146" s="12" t="n">
        <f aca="false">IF(INDEX(選手一覧!$G$5:$G$2736,$K146)="","",INDEX(選手一覧!$G$5:$G$2736,$K146))</f>
        <v>204</v>
      </c>
      <c r="P146" s="11" t="str">
        <f aca="false">IF(INDEX(選手一覧!$H$5:$H$2736,$K146)="","",INDEX(選手一覧!$H$5:$H$2736,$K146))</f>
        <v/>
      </c>
      <c r="Q146" s="12" t="str">
        <f aca="false">IF(INDEX(選手一覧!$I$5:$I$2736,$K146)="","",INDEX(選手一覧!$I$5:$I$2736,$K146))</f>
        <v/>
      </c>
    </row>
    <row r="147" customFormat="false" ht="15" hidden="false" customHeight="false" outlineLevel="0" collapsed="false">
      <c r="A147" s="35" t="n">
        <v>4</v>
      </c>
      <c r="B147" s="36" t="n">
        <v>8.0875</v>
      </c>
      <c r="C147" s="10" t="n">
        <v>102</v>
      </c>
      <c r="D147" s="12" t="n">
        <f aca="false">COUNTIFS($A$5:$A$229,A147,$E$5:$E$229,"&lt;"&amp;E147)+1</f>
        <v>39</v>
      </c>
      <c r="E147" s="37" t="n">
        <v>0.019224537037037</v>
      </c>
      <c r="F147" s="37" t="n">
        <f aca="false">E147/B147</f>
        <v>0.00237706794893812</v>
      </c>
      <c r="G147" s="8" t="s">
        <v>4421</v>
      </c>
      <c r="H147" s="8" t="s">
        <v>4245</v>
      </c>
      <c r="I147" s="38" t="s">
        <v>4173</v>
      </c>
      <c r="J147" s="12" t="n">
        <v>81</v>
      </c>
      <c r="K147" s="12" t="n">
        <v>1943</v>
      </c>
      <c r="L147" s="9" t="str">
        <f aca="false">IF(INDEX(選手一覧!$D$5:$D$2736,$K147)="","",INDEX(選手一覧!$D$5:$D$2736,$K147))</f>
        <v/>
      </c>
      <c r="M147" s="10" t="str">
        <f aca="false">IF(INDEX(選手一覧!$E$5:$E$2736,$K147)="","",INDEX(選手一覧!$E$5:$E$2736,$K147))</f>
        <v/>
      </c>
      <c r="N147" s="11" t="str">
        <f aca="false">IF(INDEX(選手一覧!$F$5:$F$2736,$K147)="","",INDEX(選手一覧!$F$5:$F$2736,$K147))</f>
        <v/>
      </c>
      <c r="O147" s="12" t="str">
        <f aca="false">IF(INDEX(選手一覧!$G$5:$G$2736,$K147)="","",INDEX(選手一覧!$G$5:$G$2736,$K147))</f>
        <v/>
      </c>
      <c r="P147" s="11" t="n">
        <f aca="false">IF(INDEX(選手一覧!$H$5:$H$2736,$K147)="","",INDEX(選手一覧!$H$5:$H$2736,$K147))</f>
        <v>0.00288391203703704</v>
      </c>
      <c r="Q147" s="12" t="n">
        <f aca="false">IF(INDEX(選手一覧!$I$5:$I$2736,$K147)="","",INDEX(選手一覧!$I$5:$I$2736,$K147))</f>
        <v>807</v>
      </c>
    </row>
    <row r="148" customFormat="false" ht="15" hidden="false" customHeight="false" outlineLevel="0" collapsed="false">
      <c r="A148" s="25" t="n">
        <v>5</v>
      </c>
      <c r="B148" s="26" t="n">
        <v>3.1</v>
      </c>
      <c r="C148" s="10" t="n">
        <v>2</v>
      </c>
      <c r="D148" s="27" t="n">
        <f aca="false">COUNTIFS($A$5:$A$229,A148,$E$5:$E$229,"&lt;"&amp;E148)+1</f>
        <v>1</v>
      </c>
      <c r="E148" s="28" t="n">
        <v>0.00633101851851852</v>
      </c>
      <c r="F148" s="28" t="n">
        <f aca="false">E148/B148</f>
        <v>0.00204226403823178</v>
      </c>
      <c r="G148" s="29" t="s">
        <v>4422</v>
      </c>
      <c r="H148" s="29" t="s">
        <v>4175</v>
      </c>
      <c r="I148" s="30" t="s">
        <v>4176</v>
      </c>
      <c r="J148" s="27" t="n">
        <v>3</v>
      </c>
      <c r="K148" s="27" t="n">
        <v>77</v>
      </c>
      <c r="L148" s="9" t="n">
        <f aca="false">IF(INDEX(選手一覧!$D$5:$D$2736,$K148)="","",INDEX(選手一覧!$D$5:$D$2736,$K148))</f>
        <v>0.0101642361111111</v>
      </c>
      <c r="M148" s="10" t="n">
        <f aca="false">IF(INDEX(選手一覧!$E$5:$E$2736,$K148)="","",INDEX(選手一覧!$E$5:$E$2736,$K148))</f>
        <v>78</v>
      </c>
      <c r="N148" s="11" t="n">
        <f aca="false">IF(INDEX(選手一覧!$F$5:$F$2736,$K148)="","",INDEX(選手一覧!$F$5:$F$2736,$K148))</f>
        <v>0.00702662037037037</v>
      </c>
      <c r="O148" s="12" t="n">
        <f aca="false">IF(INDEX(選手一覧!$G$5:$G$2736,$K148)="","",INDEX(選手一覧!$G$5:$G$2736,$K148))</f>
        <v>360</v>
      </c>
      <c r="P148" s="11" t="n">
        <f aca="false">IF(INDEX(選手一覧!$H$5:$H$2736,$K148)="","",INDEX(選手一覧!$H$5:$H$2736,$K148))</f>
        <v>0.00284363425925926</v>
      </c>
      <c r="Q148" s="12" t="n">
        <f aca="false">IF(INDEX(選手一覧!$I$5:$I$2736,$K148)="","",INDEX(選手一覧!$I$5:$I$2736,$K148))</f>
        <v>522</v>
      </c>
    </row>
    <row r="149" customFormat="false" ht="15" hidden="false" customHeight="false" outlineLevel="0" collapsed="false">
      <c r="A149" s="25" t="n">
        <v>5</v>
      </c>
      <c r="B149" s="26" t="n">
        <v>3.1</v>
      </c>
      <c r="C149" s="10" t="n">
        <v>3</v>
      </c>
      <c r="D149" s="27" t="n">
        <f aca="false">COUNTIFS($A$5:$A$229,A149,$E$5:$E$229,"&lt;"&amp;E149)+1</f>
        <v>2</v>
      </c>
      <c r="E149" s="28" t="n">
        <v>0.00635416666666667</v>
      </c>
      <c r="F149" s="28" t="n">
        <f aca="false">E149/B149</f>
        <v>0.0020497311827957</v>
      </c>
      <c r="G149" s="29" t="s">
        <v>4423</v>
      </c>
      <c r="H149" s="29" t="s">
        <v>4328</v>
      </c>
      <c r="I149" s="30" t="s">
        <v>4222</v>
      </c>
      <c r="J149" s="27" t="n">
        <v>25</v>
      </c>
      <c r="K149" s="27" t="n">
        <v>783</v>
      </c>
      <c r="L149" s="9" t="n">
        <f aca="false">IF(INDEX(選手一覧!$D$5:$D$2736,$K149)="","",INDEX(選手一覧!$D$5:$D$2736,$K149))</f>
        <v>0.0108256944444445</v>
      </c>
      <c r="M149" s="10" t="n">
        <f aca="false">IF(INDEX(選手一覧!$E$5:$E$2736,$K149)="","",INDEX(選手一覧!$E$5:$E$2736,$K149))</f>
        <v>784</v>
      </c>
      <c r="N149" s="11" t="str">
        <f aca="false">IF(INDEX(選手一覧!$F$5:$F$2736,$K149)="","",INDEX(選手一覧!$F$5:$F$2736,$K149))</f>
        <v/>
      </c>
      <c r="O149" s="12" t="str">
        <f aca="false">IF(INDEX(選手一覧!$G$5:$G$2736,$K149)="","",INDEX(選手一覧!$G$5:$G$2736,$K149))</f>
        <v/>
      </c>
      <c r="P149" s="11" t="n">
        <f aca="false">IF(INDEX(選手一覧!$H$5:$H$2736,$K149)="","",INDEX(選手一覧!$H$5:$H$2736,$K149))</f>
        <v>0.00266215277777778</v>
      </c>
      <c r="Q149" s="12" t="n">
        <f aca="false">IF(INDEX(選手一覧!$I$5:$I$2736,$K149)="","",INDEX(選手一覧!$I$5:$I$2736,$K149))</f>
        <v>5</v>
      </c>
    </row>
    <row r="150" customFormat="false" ht="15" hidden="false" customHeight="false" outlineLevel="0" collapsed="false">
      <c r="A150" s="25" t="n">
        <v>5</v>
      </c>
      <c r="B150" s="26" t="n">
        <v>3.1</v>
      </c>
      <c r="C150" s="10" t="n">
        <v>7</v>
      </c>
      <c r="D150" s="27" t="n">
        <f aca="false">COUNTIFS($A$5:$A$229,A150,$E$5:$E$229,"&lt;"&amp;E150)+1</f>
        <v>3</v>
      </c>
      <c r="E150" s="28" t="n">
        <v>0.00643518518518519</v>
      </c>
      <c r="F150" s="28" t="n">
        <f aca="false">E150/B150</f>
        <v>0.00207586618876941</v>
      </c>
      <c r="G150" s="29" t="s">
        <v>4424</v>
      </c>
      <c r="H150" s="29" t="s">
        <v>4286</v>
      </c>
      <c r="I150" s="30" t="s">
        <v>4264</v>
      </c>
      <c r="J150" s="27" t="n">
        <v>13</v>
      </c>
      <c r="K150" s="27" t="n">
        <v>166</v>
      </c>
      <c r="L150" s="9" t="n">
        <f aca="false">IF(INDEX(選手一覧!$D$5:$D$2736,$K150)="","",INDEX(選手一覧!$D$5:$D$2736,$K150))</f>
        <v>0.0103144675925926</v>
      </c>
      <c r="M150" s="10" t="n">
        <f aca="false">IF(INDEX(選手一覧!$E$5:$E$2736,$K150)="","",INDEX(選手一覧!$E$5:$E$2736,$K150))</f>
        <v>167</v>
      </c>
      <c r="N150" s="11" t="n">
        <f aca="false">IF(INDEX(選手一覧!$F$5:$F$2736,$K150)="","",INDEX(選手一覧!$F$5:$F$2736,$K150))</f>
        <v>0.00674305555555556</v>
      </c>
      <c r="O150" s="12" t="n">
        <f aca="false">IF(INDEX(選手一覧!$G$5:$G$2736,$K150)="","",INDEX(選手一覧!$G$5:$G$2736,$K150))</f>
        <v>123</v>
      </c>
      <c r="P150" s="11" t="n">
        <f aca="false">IF(INDEX(選手一覧!$H$5:$H$2736,$K150)="","",INDEX(選手一覧!$H$5:$H$2736,$K150))</f>
        <v>0.00277951388888889</v>
      </c>
      <c r="Q150" s="12" t="n">
        <f aca="false">IF(INDEX(選手一覧!$I$5:$I$2736,$K150)="","",INDEX(選手一覧!$I$5:$I$2736,$K150))</f>
        <v>199</v>
      </c>
    </row>
    <row r="151" customFormat="false" ht="15" hidden="false" customHeight="false" outlineLevel="0" collapsed="false">
      <c r="A151" s="25" t="n">
        <v>5</v>
      </c>
      <c r="B151" s="26" t="n">
        <v>3.1</v>
      </c>
      <c r="C151" s="10" t="n">
        <v>12</v>
      </c>
      <c r="D151" s="27" t="n">
        <f aca="false">COUNTIFS($A$5:$A$229,A151,$E$5:$E$229,"&lt;"&amp;E151)+1</f>
        <v>4</v>
      </c>
      <c r="E151" s="28" t="n">
        <v>0.00649305555555556</v>
      </c>
      <c r="F151" s="28" t="n">
        <f aca="false">E151/B151</f>
        <v>0.00209453405017921</v>
      </c>
      <c r="G151" s="29" t="s">
        <v>4425</v>
      </c>
      <c r="H151" s="29" t="s">
        <v>4325</v>
      </c>
      <c r="I151" s="30" t="s">
        <v>4205</v>
      </c>
      <c r="J151" s="27" t="n">
        <v>15</v>
      </c>
      <c r="K151" s="27" t="n">
        <v>1002</v>
      </c>
      <c r="L151" s="9" t="n">
        <f aca="false">IF(INDEX(選手一覧!$D$5:$D$2736,$K151)="","",INDEX(選手一覧!$D$5:$D$2736,$K151))</f>
        <v>0.0109517361111111</v>
      </c>
      <c r="M151" s="10" t="n">
        <f aca="false">IF(INDEX(選手一覧!$E$5:$E$2736,$K151)="","",INDEX(選手一覧!$E$5:$E$2736,$K151))</f>
        <v>1003</v>
      </c>
      <c r="N151" s="11" t="n">
        <f aca="false">IF(INDEX(選手一覧!$F$5:$F$2736,$K151)="","",INDEX(選手一覧!$F$5:$F$2736,$K151))</f>
        <v>0.00680671296296296</v>
      </c>
      <c r="O151" s="12" t="n">
        <f aca="false">IF(INDEX(選手一覧!$G$5:$G$2736,$K151)="","",INDEX(選手一覧!$G$5:$G$2736,$K151))</f>
        <v>177</v>
      </c>
      <c r="P151" s="11" t="str">
        <f aca="false">IF(INDEX(選手一覧!$H$5:$H$2736,$K151)="","",INDEX(選手一覧!$H$5:$H$2736,$K151))</f>
        <v/>
      </c>
      <c r="Q151" s="12" t="str">
        <f aca="false">IF(INDEX(選手一覧!$I$5:$I$2736,$K151)="","",INDEX(選手一覧!$I$5:$I$2736,$K151))</f>
        <v/>
      </c>
    </row>
    <row r="152" customFormat="false" ht="15" hidden="false" customHeight="false" outlineLevel="0" collapsed="false">
      <c r="A152" s="25" t="n">
        <v>5</v>
      </c>
      <c r="B152" s="26" t="n">
        <v>3.1</v>
      </c>
      <c r="C152" s="10" t="n">
        <v>12</v>
      </c>
      <c r="D152" s="27" t="n">
        <f aca="false">COUNTIFS($A$5:$A$229,A152,$E$5:$E$229,"&lt;"&amp;E152)+1</f>
        <v>4</v>
      </c>
      <c r="E152" s="28" t="n">
        <v>0.00649305555555556</v>
      </c>
      <c r="F152" s="28" t="n">
        <f aca="false">E152/B152</f>
        <v>0.00209453405017921</v>
      </c>
      <c r="G152" s="29" t="s">
        <v>4426</v>
      </c>
      <c r="H152" s="29" t="s">
        <v>4186</v>
      </c>
      <c r="I152" s="30" t="s">
        <v>4187</v>
      </c>
      <c r="J152" s="27" t="n">
        <v>37</v>
      </c>
      <c r="K152" s="27" t="n">
        <v>278</v>
      </c>
      <c r="L152" s="9" t="n">
        <f aca="false">IF(INDEX(選手一覧!$D$5:$D$2736,$K152)="","",INDEX(選手一覧!$D$5:$D$2736,$K152))</f>
        <v>0.0104118055555556</v>
      </c>
      <c r="M152" s="10" t="n">
        <f aca="false">IF(INDEX(選手一覧!$E$5:$E$2736,$K152)="","",INDEX(選手一覧!$E$5:$E$2736,$K152))</f>
        <v>279</v>
      </c>
      <c r="N152" s="11" t="n">
        <f aca="false">IF(INDEX(選手一覧!$F$5:$F$2736,$K152)="","",INDEX(選手一覧!$F$5:$F$2736,$K152))</f>
        <v>0.00650740740740741</v>
      </c>
      <c r="O152" s="12" t="n">
        <f aca="false">IF(INDEX(選手一覧!$G$5:$G$2736,$K152)="","",INDEX(選手一覧!$G$5:$G$2736,$K152))</f>
        <v>38</v>
      </c>
      <c r="P152" s="11" t="n">
        <f aca="false">IF(INDEX(選手一覧!$H$5:$H$2736,$K152)="","",INDEX(選手一覧!$H$5:$H$2736,$K152))</f>
        <v>0.00278425925925926</v>
      </c>
      <c r="Q152" s="12" t="n">
        <f aca="false">IF(INDEX(選手一覧!$I$5:$I$2736,$K152)="","",INDEX(選手一覧!$I$5:$I$2736,$K152))</f>
        <v>217</v>
      </c>
    </row>
    <row r="153" customFormat="false" ht="15" hidden="false" customHeight="false" outlineLevel="0" collapsed="false">
      <c r="A153" s="25" t="n">
        <v>5</v>
      </c>
      <c r="B153" s="26" t="n">
        <v>3.1</v>
      </c>
      <c r="C153" s="10" t="n">
        <v>16</v>
      </c>
      <c r="D153" s="27" t="n">
        <f aca="false">COUNTIFS($A$5:$A$229,A153,$E$5:$E$229,"&lt;"&amp;E153)+1</f>
        <v>6</v>
      </c>
      <c r="E153" s="28" t="n">
        <v>0.00652777777777778</v>
      </c>
      <c r="F153" s="28" t="n">
        <f aca="false">E153/B153</f>
        <v>0.00210573476702509</v>
      </c>
      <c r="G153" s="29" t="s">
        <v>4427</v>
      </c>
      <c r="H153" s="29" t="s">
        <v>4198</v>
      </c>
      <c r="I153" s="30" t="s">
        <v>4173</v>
      </c>
      <c r="J153" s="27" t="n">
        <v>23</v>
      </c>
      <c r="K153" s="27" t="n">
        <v>267</v>
      </c>
      <c r="L153" s="9" t="n">
        <f aca="false">IF(INDEX(選手一覧!$D$5:$D$2736,$K153)="","",INDEX(選手一覧!$D$5:$D$2736,$K153))</f>
        <v>0.0104017361111111</v>
      </c>
      <c r="M153" s="10" t="n">
        <f aca="false">IF(INDEX(選手一覧!$E$5:$E$2736,$K153)="","",INDEX(選手一覧!$E$5:$E$2736,$K153))</f>
        <v>268</v>
      </c>
      <c r="N153" s="11" t="n">
        <f aca="false">IF(INDEX(選手一覧!$F$5:$F$2736,$K153)="","",INDEX(選手一覧!$F$5:$F$2736,$K153))</f>
        <v>0.00663773148148148</v>
      </c>
      <c r="O153" s="12" t="n">
        <f aca="false">IF(INDEX(選手一覧!$G$5:$G$2736,$K153)="","",INDEX(選手一覧!$G$5:$G$2736,$K153))</f>
        <v>77</v>
      </c>
      <c r="P153" s="11" t="str">
        <f aca="false">IF(INDEX(選手一覧!$H$5:$H$2736,$K153)="","",INDEX(選手一覧!$H$5:$H$2736,$K153))</f>
        <v/>
      </c>
      <c r="Q153" s="12" t="str">
        <f aca="false">IF(INDEX(選手一覧!$I$5:$I$2736,$K153)="","",INDEX(選手一覧!$I$5:$I$2736,$K153))</f>
        <v/>
      </c>
    </row>
    <row r="154" customFormat="false" ht="15" hidden="false" customHeight="false" outlineLevel="0" collapsed="false">
      <c r="A154" s="25" t="n">
        <v>5</v>
      </c>
      <c r="B154" s="26" t="n">
        <v>3.1</v>
      </c>
      <c r="C154" s="10" t="n">
        <v>23</v>
      </c>
      <c r="D154" s="27" t="n">
        <f aca="false">COUNTIFS($A$5:$A$229,A154,$E$5:$E$229,"&lt;"&amp;E154)+1</f>
        <v>7</v>
      </c>
      <c r="E154" s="28" t="n">
        <v>0.00659722222222222</v>
      </c>
      <c r="F154" s="28" t="n">
        <f aca="false">E154/B154</f>
        <v>0.00212813620071685</v>
      </c>
      <c r="G154" s="29" t="s">
        <v>4428</v>
      </c>
      <c r="H154" s="29" t="s">
        <v>4282</v>
      </c>
      <c r="I154" s="30" t="s">
        <v>4264</v>
      </c>
      <c r="J154" s="27" t="n">
        <v>9</v>
      </c>
      <c r="K154" s="27" t="n">
        <v>247</v>
      </c>
      <c r="L154" s="9" t="n">
        <f aca="false">IF(INDEX(選手一覧!$D$5:$D$2736,$K154)="","",INDEX(選手一覧!$D$5:$D$2736,$K154))</f>
        <v>0.010387962962963</v>
      </c>
      <c r="M154" s="10" t="n">
        <f aca="false">IF(INDEX(選手一覧!$E$5:$E$2736,$K154)="","",INDEX(選手一覧!$E$5:$E$2736,$K154))</f>
        <v>248</v>
      </c>
      <c r="N154" s="11" t="n">
        <f aca="false">IF(INDEX(選手一覧!$F$5:$F$2736,$K154)="","",INDEX(選手一覧!$F$5:$F$2736,$K154))</f>
        <v>0.00696041666666667</v>
      </c>
      <c r="O154" s="12" t="n">
        <f aca="false">IF(INDEX(選手一覧!$G$5:$G$2736,$K154)="","",INDEX(選手一覧!$G$5:$G$2736,$K154))</f>
        <v>294</v>
      </c>
      <c r="P154" s="11" t="n">
        <f aca="false">IF(INDEX(選手一覧!$H$5:$H$2736,$K154)="","",INDEX(選手一覧!$H$5:$H$2736,$K154))</f>
        <v>0.00292326388888889</v>
      </c>
      <c r="Q154" s="12" t="n">
        <f aca="false">IF(INDEX(選手一覧!$I$5:$I$2736,$K154)="","",INDEX(選手一覧!$I$5:$I$2736,$K154))</f>
        <v>1129</v>
      </c>
    </row>
    <row r="155" customFormat="false" ht="15" hidden="false" customHeight="false" outlineLevel="0" collapsed="false">
      <c r="A155" s="25" t="n">
        <v>5</v>
      </c>
      <c r="B155" s="26" t="n">
        <v>3.1</v>
      </c>
      <c r="C155" s="10" t="n">
        <v>23</v>
      </c>
      <c r="D155" s="27" t="n">
        <f aca="false">COUNTIFS($A$5:$A$229,A155,$E$5:$E$229,"&lt;"&amp;E155)+1</f>
        <v>7</v>
      </c>
      <c r="E155" s="28" t="n">
        <v>0.00659722222222222</v>
      </c>
      <c r="F155" s="28" t="n">
        <f aca="false">E155/B155</f>
        <v>0.00212813620071685</v>
      </c>
      <c r="G155" s="29" t="s">
        <v>4429</v>
      </c>
      <c r="H155" s="29" t="s">
        <v>4226</v>
      </c>
      <c r="I155" s="30" t="s">
        <v>4200</v>
      </c>
      <c r="J155" s="27" t="n">
        <v>17</v>
      </c>
      <c r="K155" s="27" t="n">
        <v>597</v>
      </c>
      <c r="L155" s="9" t="n">
        <f aca="false">IF(INDEX(選手一覧!$D$5:$D$2736,$K155)="","",INDEX(選手一覧!$D$5:$D$2736,$K155))</f>
        <v>0.010708912037037</v>
      </c>
      <c r="M155" s="10" t="n">
        <f aca="false">IF(INDEX(選手一覧!$E$5:$E$2736,$K155)="","",INDEX(選手一覧!$E$5:$E$2736,$K155))</f>
        <v>598</v>
      </c>
      <c r="N155" s="11" t="str">
        <f aca="false">IF(INDEX(選手一覧!$F$5:$F$2736,$K155)="","",INDEX(選手一覧!$F$5:$F$2736,$K155))</f>
        <v/>
      </c>
      <c r="O155" s="12" t="str">
        <f aca="false">IF(INDEX(選手一覧!$G$5:$G$2736,$K155)="","",INDEX(選手一覧!$G$5:$G$2736,$K155))</f>
        <v/>
      </c>
      <c r="P155" s="11" t="n">
        <f aca="false">IF(INDEX(選手一覧!$H$5:$H$2736,$K155)="","",INDEX(選手一覧!$H$5:$H$2736,$K155))</f>
        <v>0.00287673611111111</v>
      </c>
      <c r="Q155" s="12" t="n">
        <f aca="false">IF(INDEX(選手一覧!$I$5:$I$2736,$K155)="","",INDEX(選手一覧!$I$5:$I$2736,$K155))</f>
        <v>745</v>
      </c>
    </row>
    <row r="156" customFormat="false" ht="15" hidden="false" customHeight="false" outlineLevel="0" collapsed="false">
      <c r="A156" s="25" t="n">
        <v>5</v>
      </c>
      <c r="B156" s="26" t="n">
        <v>3.1</v>
      </c>
      <c r="C156" s="10" t="n">
        <v>25</v>
      </c>
      <c r="D156" s="27" t="n">
        <f aca="false">COUNTIFS($A$5:$A$229,A156,$E$5:$E$229,"&lt;"&amp;E156)+1</f>
        <v>9</v>
      </c>
      <c r="E156" s="28" t="n">
        <v>0.0066087962962963</v>
      </c>
      <c r="F156" s="28" t="n">
        <f aca="false">E156/B156</f>
        <v>0.00213186977299881</v>
      </c>
      <c r="G156" s="29" t="s">
        <v>4430</v>
      </c>
      <c r="H156" s="29" t="s">
        <v>4279</v>
      </c>
      <c r="I156" s="30" t="s">
        <v>4264</v>
      </c>
      <c r="J156" s="27" t="n">
        <v>48</v>
      </c>
      <c r="K156" s="27" t="n">
        <v>1856</v>
      </c>
      <c r="L156" s="9" t="str">
        <f aca="false">IF(INDEX(選手一覧!$D$5:$D$2736,$K156)="","",INDEX(選手一覧!$D$5:$D$2736,$K156))</f>
        <v/>
      </c>
      <c r="M156" s="10" t="str">
        <f aca="false">IF(INDEX(選手一覧!$E$5:$E$2736,$K156)="","",INDEX(選手一覧!$E$5:$E$2736,$K156))</f>
        <v/>
      </c>
      <c r="N156" s="11" t="str">
        <f aca="false">IF(INDEX(選手一覧!$F$5:$F$2736,$K156)="","",INDEX(選手一覧!$F$5:$F$2736,$K156))</f>
        <v/>
      </c>
      <c r="O156" s="12" t="str">
        <f aca="false">IF(INDEX(選手一覧!$G$5:$G$2736,$K156)="","",INDEX(選手一覧!$G$5:$G$2736,$K156))</f>
        <v/>
      </c>
      <c r="P156" s="11" t="n">
        <f aca="false">IF(INDEX(選手一覧!$H$5:$H$2736,$K156)="","",INDEX(選手一覧!$H$5:$H$2736,$K156))</f>
        <v>0.00287592592592593</v>
      </c>
      <c r="Q156" s="12" t="n">
        <f aca="false">IF(INDEX(選手一覧!$I$5:$I$2736,$K156)="","",INDEX(選手一覧!$I$5:$I$2736,$K156))</f>
        <v>740</v>
      </c>
    </row>
    <row r="157" customFormat="false" ht="15" hidden="false" customHeight="false" outlineLevel="0" collapsed="false">
      <c r="A157" s="25" t="n">
        <v>5</v>
      </c>
      <c r="B157" s="26" t="n">
        <v>3.1</v>
      </c>
      <c r="C157" s="10" t="n">
        <v>25</v>
      </c>
      <c r="D157" s="27" t="n">
        <f aca="false">COUNTIFS($A$5:$A$229,A157,$E$5:$E$229,"&lt;"&amp;E157)+1</f>
        <v>9</v>
      </c>
      <c r="E157" s="28" t="n">
        <v>0.0066087962962963</v>
      </c>
      <c r="F157" s="28" t="n">
        <f aca="false">E157/B157</f>
        <v>0.00213186977299881</v>
      </c>
      <c r="G157" s="29" t="s">
        <v>4431</v>
      </c>
      <c r="H157" s="29" t="s">
        <v>4310</v>
      </c>
      <c r="I157" s="30" t="s">
        <v>4264</v>
      </c>
      <c r="J157" s="27" t="n">
        <v>65</v>
      </c>
      <c r="K157" s="27" t="n">
        <v>589</v>
      </c>
      <c r="L157" s="9" t="n">
        <f aca="false">IF(INDEX(選手一覧!$D$5:$D$2736,$K157)="","",INDEX(選手一覧!$D$5:$D$2736,$K157))</f>
        <v>0.01070625</v>
      </c>
      <c r="M157" s="10" t="n">
        <f aca="false">IF(INDEX(選手一覧!$E$5:$E$2736,$K157)="","",INDEX(選手一覧!$E$5:$E$2736,$K157))</f>
        <v>590</v>
      </c>
      <c r="N157" s="11" t="str">
        <f aca="false">IF(INDEX(選手一覧!$F$5:$F$2736,$K157)="","",INDEX(選手一覧!$F$5:$F$2736,$K157))</f>
        <v/>
      </c>
      <c r="O157" s="12" t="str">
        <f aca="false">IF(INDEX(選手一覧!$G$5:$G$2736,$K157)="","",INDEX(選手一覧!$G$5:$G$2736,$K157))</f>
        <v/>
      </c>
      <c r="P157" s="11" t="n">
        <f aca="false">IF(INDEX(選手一覧!$H$5:$H$2736,$K157)="","",INDEX(選手一覧!$H$5:$H$2736,$K157))</f>
        <v>0.00276585648148148</v>
      </c>
      <c r="Q157" s="12" t="n">
        <f aca="false">IF(INDEX(選手一覧!$I$5:$I$2736,$K157)="","",INDEX(選手一覧!$I$5:$I$2736,$K157))</f>
        <v>151</v>
      </c>
    </row>
    <row r="158" customFormat="false" ht="15" hidden="false" customHeight="false" outlineLevel="0" collapsed="false">
      <c r="A158" s="25" t="n">
        <v>5</v>
      </c>
      <c r="B158" s="26" t="n">
        <v>3.1</v>
      </c>
      <c r="C158" s="10" t="n">
        <v>28</v>
      </c>
      <c r="D158" s="27" t="n">
        <f aca="false">COUNTIFS($A$5:$A$229,A158,$E$5:$E$229,"&lt;"&amp;E158)+1</f>
        <v>11</v>
      </c>
      <c r="E158" s="28" t="n">
        <v>0.00662037037037037</v>
      </c>
      <c r="F158" s="28" t="n">
        <f aca="false">E158/B158</f>
        <v>0.00213560334528076</v>
      </c>
      <c r="G158" s="29" t="s">
        <v>4432</v>
      </c>
      <c r="H158" s="29" t="s">
        <v>4337</v>
      </c>
      <c r="I158" s="30" t="s">
        <v>4196</v>
      </c>
      <c r="J158" s="27" t="n">
        <v>35</v>
      </c>
      <c r="K158" s="27" t="n">
        <v>467</v>
      </c>
      <c r="L158" s="9" t="n">
        <f aca="false">IF(INDEX(選手一覧!$D$5:$D$2736,$K158)="","",INDEX(選手一覧!$D$5:$D$2736,$K158))</f>
        <v>0.0106052083333333</v>
      </c>
      <c r="M158" s="10" t="n">
        <f aca="false">IF(INDEX(選手一覧!$E$5:$E$2736,$K158)="","",INDEX(選手一覧!$E$5:$E$2736,$K158))</f>
        <v>468</v>
      </c>
      <c r="N158" s="11" t="n">
        <f aca="false">IF(INDEX(選手一覧!$F$5:$F$2736,$K158)="","",INDEX(選手一覧!$F$5:$F$2736,$K158))</f>
        <v>0.00659479166666667</v>
      </c>
      <c r="O158" s="12" t="n">
        <f aca="false">IF(INDEX(選手一覧!$G$5:$G$2736,$K158)="","",INDEX(選手一覧!$G$5:$G$2736,$K158))</f>
        <v>67</v>
      </c>
      <c r="P158" s="11" t="n">
        <f aca="false">IF(INDEX(選手一覧!$H$5:$H$2736,$K158)="","",INDEX(選手一覧!$H$5:$H$2736,$K158))</f>
        <v>0.0027806712962963</v>
      </c>
      <c r="Q158" s="12" t="n">
        <f aca="false">IF(INDEX(選手一覧!$I$5:$I$2736,$K158)="","",INDEX(選手一覧!$I$5:$I$2736,$K158))</f>
        <v>205</v>
      </c>
    </row>
    <row r="159" customFormat="false" ht="15" hidden="false" customHeight="false" outlineLevel="0" collapsed="false">
      <c r="A159" s="25" t="n">
        <v>5</v>
      </c>
      <c r="B159" s="26" t="n">
        <v>3.1</v>
      </c>
      <c r="C159" s="10" t="n">
        <v>30</v>
      </c>
      <c r="D159" s="27" t="n">
        <f aca="false">COUNTIFS($A$5:$A$229,A159,$E$5:$E$229,"&lt;"&amp;E159)+1</f>
        <v>12</v>
      </c>
      <c r="E159" s="28" t="n">
        <v>0.00663194444444445</v>
      </c>
      <c r="F159" s="28" t="n">
        <f aca="false">E159/B159</f>
        <v>0.00213933691756272</v>
      </c>
      <c r="G159" s="29" t="s">
        <v>4433</v>
      </c>
      <c r="H159" s="29" t="s">
        <v>4344</v>
      </c>
      <c r="I159" s="30" t="s">
        <v>4200</v>
      </c>
      <c r="J159" s="27" t="n">
        <v>39</v>
      </c>
      <c r="K159" s="27" t="n">
        <v>572</v>
      </c>
      <c r="L159" s="9" t="n">
        <f aca="false">IF(INDEX(選手一覧!$D$5:$D$2736,$K159)="","",INDEX(選手一覧!$D$5:$D$2736,$K159))</f>
        <v>0.0106957175925926</v>
      </c>
      <c r="M159" s="10" t="n">
        <f aca="false">IF(INDEX(選手一覧!$E$5:$E$2736,$K159)="","",INDEX(選手一覧!$E$5:$E$2736,$K159))</f>
        <v>573</v>
      </c>
      <c r="N159" s="11" t="n">
        <f aca="false">IF(INDEX(選手一覧!$F$5:$F$2736,$K159)="","",INDEX(選手一覧!$F$5:$F$2736,$K159))</f>
        <v>0.0064099537037037</v>
      </c>
      <c r="O159" s="12" t="n">
        <f aca="false">IF(INDEX(選手一覧!$G$5:$G$2736,$K159)="","",INDEX(選手一覧!$G$5:$G$2736,$K159))</f>
        <v>16</v>
      </c>
      <c r="P159" s="11" t="n">
        <f aca="false">IF(INDEX(選手一覧!$H$5:$H$2736,$K159)="","",INDEX(選手一覧!$H$5:$H$2736,$K159))</f>
        <v>0.00277777777777778</v>
      </c>
      <c r="Q159" s="12" t="n">
        <f aca="false">IF(INDEX(選手一覧!$I$5:$I$2736,$K159)="","",INDEX(選手一覧!$I$5:$I$2736,$K159))</f>
        <v>189</v>
      </c>
    </row>
    <row r="160" customFormat="false" ht="15" hidden="false" customHeight="false" outlineLevel="0" collapsed="false">
      <c r="A160" s="25" t="n">
        <v>5</v>
      </c>
      <c r="B160" s="26" t="n">
        <v>3.1</v>
      </c>
      <c r="C160" s="10" t="n">
        <v>35</v>
      </c>
      <c r="D160" s="27" t="n">
        <f aca="false">COUNTIFS($A$5:$A$229,A160,$E$5:$E$229,"&lt;"&amp;E160)+1</f>
        <v>13</v>
      </c>
      <c r="E160" s="28" t="n">
        <v>0.00668981481481482</v>
      </c>
      <c r="F160" s="28" t="n">
        <f aca="false">E160/B160</f>
        <v>0.00215800477897252</v>
      </c>
      <c r="G160" s="29" t="s">
        <v>4434</v>
      </c>
      <c r="H160" s="29" t="s">
        <v>4401</v>
      </c>
      <c r="I160" s="30" t="s">
        <v>4196</v>
      </c>
      <c r="J160" s="27" t="n">
        <v>55</v>
      </c>
      <c r="K160" s="27" t="n">
        <v>1384</v>
      </c>
      <c r="L160" s="9" t="str">
        <f aca="false">IF(INDEX(選手一覧!$D$5:$D$2736,$K160)="","",INDEX(選手一覧!$D$5:$D$2736,$K160))</f>
        <v/>
      </c>
      <c r="M160" s="10" t="str">
        <f aca="false">IF(INDEX(選手一覧!$E$5:$E$2736,$K160)="","",INDEX(選手一覧!$E$5:$E$2736,$K160))</f>
        <v/>
      </c>
      <c r="N160" s="11" t="str">
        <f aca="false">IF(INDEX(選手一覧!$F$5:$F$2736,$K160)="","",INDEX(選手一覧!$F$5:$F$2736,$K160))</f>
        <v/>
      </c>
      <c r="O160" s="12" t="str">
        <f aca="false">IF(INDEX(選手一覧!$G$5:$G$2736,$K160)="","",INDEX(選手一覧!$G$5:$G$2736,$K160))</f>
        <v/>
      </c>
      <c r="P160" s="11" t="n">
        <f aca="false">IF(INDEX(選手一覧!$H$5:$H$2736,$K160)="","",INDEX(選手一覧!$H$5:$H$2736,$K160))</f>
        <v>0.00279409722222222</v>
      </c>
      <c r="Q160" s="12" t="n">
        <f aca="false">IF(INDEX(選手一覧!$I$5:$I$2736,$K160)="","",INDEX(選手一覧!$I$5:$I$2736,$K160))</f>
        <v>254</v>
      </c>
    </row>
    <row r="161" customFormat="false" ht="15" hidden="false" customHeight="false" outlineLevel="0" collapsed="false">
      <c r="A161" s="25" t="n">
        <v>5</v>
      </c>
      <c r="B161" s="26" t="n">
        <v>3.1</v>
      </c>
      <c r="C161" s="10" t="n">
        <v>42</v>
      </c>
      <c r="D161" s="27" t="n">
        <f aca="false">COUNTIFS($A$5:$A$229,A161,$E$5:$E$229,"&lt;"&amp;E161)+1</f>
        <v>14</v>
      </c>
      <c r="E161" s="28" t="n">
        <v>0.00672453703703704</v>
      </c>
      <c r="F161" s="28" t="n">
        <f aca="false">E161/B161</f>
        <v>0.0021692054958184</v>
      </c>
      <c r="G161" s="29" t="s">
        <v>4435</v>
      </c>
      <c r="H161" s="29" t="s">
        <v>4353</v>
      </c>
      <c r="I161" s="30" t="s">
        <v>4222</v>
      </c>
      <c r="J161" s="27" t="n">
        <v>54</v>
      </c>
      <c r="K161" s="27" t="n">
        <v>762</v>
      </c>
      <c r="L161" s="9" t="n">
        <f aca="false">IF(INDEX(選手一覧!$D$5:$D$2736,$K161)="","",INDEX(選手一覧!$D$5:$D$2736,$K161))</f>
        <v>0.0108096064814815</v>
      </c>
      <c r="M161" s="10" t="n">
        <f aca="false">IF(INDEX(選手一覧!$E$5:$E$2736,$K161)="","",INDEX(選手一覧!$E$5:$E$2736,$K161))</f>
        <v>763</v>
      </c>
      <c r="N161" s="11" t="str">
        <f aca="false">IF(INDEX(選手一覧!$F$5:$F$2736,$K161)="","",INDEX(選手一覧!$F$5:$F$2736,$K161))</f>
        <v/>
      </c>
      <c r="O161" s="12" t="str">
        <f aca="false">IF(INDEX(選手一覧!$G$5:$G$2736,$K161)="","",INDEX(選手一覧!$G$5:$G$2736,$K161))</f>
        <v/>
      </c>
      <c r="P161" s="11" t="str">
        <f aca="false">IF(INDEX(選手一覧!$H$5:$H$2736,$K161)="","",INDEX(選手一覧!$H$5:$H$2736,$K161))</f>
        <v/>
      </c>
      <c r="Q161" s="12" t="str">
        <f aca="false">IF(INDEX(選手一覧!$I$5:$I$2736,$K161)="","",INDEX(選手一覧!$I$5:$I$2736,$K161))</f>
        <v/>
      </c>
    </row>
    <row r="162" customFormat="false" ht="15" hidden="false" customHeight="false" outlineLevel="0" collapsed="false">
      <c r="A162" s="25" t="n">
        <v>5</v>
      </c>
      <c r="B162" s="26" t="n">
        <v>3.1</v>
      </c>
      <c r="C162" s="10" t="n">
        <v>43</v>
      </c>
      <c r="D162" s="27" t="n">
        <f aca="false">COUNTIFS($A$5:$A$229,A162,$E$5:$E$229,"&lt;"&amp;E162)+1</f>
        <v>15</v>
      </c>
      <c r="E162" s="28" t="n">
        <v>0.00674768518518519</v>
      </c>
      <c r="F162" s="28" t="n">
        <f aca="false">E162/B162</f>
        <v>0.00217667264038232</v>
      </c>
      <c r="G162" s="29" t="s">
        <v>4436</v>
      </c>
      <c r="H162" s="29" t="s">
        <v>4437</v>
      </c>
      <c r="I162" s="30" t="s">
        <v>4229</v>
      </c>
      <c r="J162" s="27" t="n">
        <v>50</v>
      </c>
      <c r="K162" s="27" t="n">
        <v>816</v>
      </c>
      <c r="L162" s="9" t="n">
        <f aca="false">IF(INDEX(選手一覧!$D$5:$D$2736,$K162)="","",INDEX(選手一覧!$D$5:$D$2736,$K162))</f>
        <v>0.0108423611111111</v>
      </c>
      <c r="M162" s="10" t="n">
        <f aca="false">IF(INDEX(選手一覧!$E$5:$E$2736,$K162)="","",INDEX(選手一覧!$E$5:$E$2736,$K162))</f>
        <v>817</v>
      </c>
      <c r="N162" s="11" t="str">
        <f aca="false">IF(INDEX(選手一覧!$F$5:$F$2736,$K162)="","",INDEX(選手一覧!$F$5:$F$2736,$K162))</f>
        <v/>
      </c>
      <c r="O162" s="12" t="str">
        <f aca="false">IF(INDEX(選手一覧!$G$5:$G$2736,$K162)="","",INDEX(選手一覧!$G$5:$G$2736,$K162))</f>
        <v/>
      </c>
      <c r="P162" s="11" t="str">
        <f aca="false">IF(INDEX(選手一覧!$H$5:$H$2736,$K162)="","",INDEX(選手一覧!$H$5:$H$2736,$K162))</f>
        <v/>
      </c>
      <c r="Q162" s="12" t="str">
        <f aca="false">IF(INDEX(選手一覧!$I$5:$I$2736,$K162)="","",INDEX(選手一覧!$I$5:$I$2736,$K162))</f>
        <v/>
      </c>
    </row>
    <row r="163" customFormat="false" ht="15" hidden="false" customHeight="false" outlineLevel="0" collapsed="false">
      <c r="A163" s="25" t="n">
        <v>5</v>
      </c>
      <c r="B163" s="26" t="n">
        <v>3.1</v>
      </c>
      <c r="C163" s="10" t="n">
        <v>43</v>
      </c>
      <c r="D163" s="27" t="n">
        <f aca="false">COUNTIFS($A$5:$A$229,A163,$E$5:$E$229,"&lt;"&amp;E163)+1</f>
        <v>15</v>
      </c>
      <c r="E163" s="28" t="n">
        <v>0.00674768518518519</v>
      </c>
      <c r="F163" s="28" t="n">
        <f aca="false">E163/B163</f>
        <v>0.00217667264038232</v>
      </c>
      <c r="G163" s="29" t="s">
        <v>4438</v>
      </c>
      <c r="H163" s="29" t="s">
        <v>4407</v>
      </c>
      <c r="I163" s="30" t="s">
        <v>4408</v>
      </c>
      <c r="J163" s="27" t="n">
        <v>58</v>
      </c>
      <c r="K163" s="27" t="n">
        <v>704</v>
      </c>
      <c r="L163" s="9" t="n">
        <f aca="false">IF(INDEX(選手一覧!$D$5:$D$2736,$K163)="","",INDEX(選手一覧!$D$5:$D$2736,$K163))</f>
        <v>0.0107778935185185</v>
      </c>
      <c r="M163" s="10" t="n">
        <f aca="false">IF(INDEX(選手一覧!$E$5:$E$2736,$K163)="","",INDEX(選手一覧!$E$5:$E$2736,$K163))</f>
        <v>705</v>
      </c>
      <c r="N163" s="11" t="n">
        <f aca="false">IF(INDEX(選手一覧!$F$5:$F$2736,$K163)="","",INDEX(選手一覧!$F$5:$F$2736,$K163))</f>
        <v>0.0066275462962963</v>
      </c>
      <c r="O163" s="12" t="n">
        <f aca="false">IF(INDEX(選手一覧!$G$5:$G$2736,$K163)="","",INDEX(選手一覧!$G$5:$G$2736,$K163))</f>
        <v>73</v>
      </c>
      <c r="P163" s="11" t="n">
        <f aca="false">IF(INDEX(選手一覧!$H$5:$H$2736,$K163)="","",INDEX(選手一覧!$H$5:$H$2736,$K163))</f>
        <v>0.00289895833333333</v>
      </c>
      <c r="Q163" s="12" t="n">
        <f aca="false">IF(INDEX(選手一覧!$I$5:$I$2736,$K163)="","",INDEX(選手一覧!$I$5:$I$2736,$K163))</f>
        <v>938</v>
      </c>
    </row>
    <row r="164" customFormat="false" ht="15" hidden="false" customHeight="false" outlineLevel="0" collapsed="false">
      <c r="A164" s="25" t="n">
        <v>5</v>
      </c>
      <c r="B164" s="26" t="n">
        <v>3.1</v>
      </c>
      <c r="C164" s="10" t="n">
        <v>46</v>
      </c>
      <c r="D164" s="27" t="n">
        <f aca="false">COUNTIFS($A$5:$A$229,A164,$E$5:$E$229,"&lt;"&amp;E164)+1</f>
        <v>17</v>
      </c>
      <c r="E164" s="28" t="n">
        <v>0.00677083333333333</v>
      </c>
      <c r="F164" s="28" t="n">
        <f aca="false">E164/B164</f>
        <v>0.00218413978494624</v>
      </c>
      <c r="G164" s="29" t="s">
        <v>4439</v>
      </c>
      <c r="H164" s="29" t="s">
        <v>4395</v>
      </c>
      <c r="I164" s="30" t="s">
        <v>4190</v>
      </c>
      <c r="J164" s="27" t="n">
        <v>45</v>
      </c>
      <c r="K164" s="27" t="n">
        <v>717</v>
      </c>
      <c r="L164" s="9" t="n">
        <f aca="false">IF(INDEX(選手一覧!$D$5:$D$2736,$K164)="","",INDEX(選手一覧!$D$5:$D$2736,$K164))</f>
        <v>0.0107881944444444</v>
      </c>
      <c r="M164" s="10" t="n">
        <f aca="false">IF(INDEX(選手一覧!$E$5:$E$2736,$K164)="","",INDEX(選手一覧!$E$5:$E$2736,$K164))</f>
        <v>718</v>
      </c>
      <c r="N164" s="11" t="n">
        <f aca="false">IF(INDEX(選手一覧!$F$5:$F$2736,$K164)="","",INDEX(選手一覧!$F$5:$F$2736,$K164))</f>
        <v>0.00738912037037037</v>
      </c>
      <c r="O164" s="12" t="n">
        <f aca="false">IF(INDEX(選手一覧!$G$5:$G$2736,$K164)="","",INDEX(選手一覧!$G$5:$G$2736,$K164))</f>
        <v>760</v>
      </c>
      <c r="P164" s="11" t="n">
        <f aca="false">IF(INDEX(選手一覧!$H$5:$H$2736,$K164)="","",INDEX(選手一覧!$H$5:$H$2736,$K164))</f>
        <v>0.00278356481481482</v>
      </c>
      <c r="Q164" s="12" t="n">
        <f aca="false">IF(INDEX(選手一覧!$I$5:$I$2736,$K164)="","",INDEX(選手一覧!$I$5:$I$2736,$K164))</f>
        <v>214</v>
      </c>
    </row>
    <row r="165" customFormat="false" ht="15" hidden="false" customHeight="false" outlineLevel="0" collapsed="false">
      <c r="A165" s="25" t="n">
        <v>5</v>
      </c>
      <c r="B165" s="26" t="n">
        <v>3.1</v>
      </c>
      <c r="C165" s="10" t="n">
        <v>46</v>
      </c>
      <c r="D165" s="27" t="n">
        <f aca="false">COUNTIFS($A$5:$A$229,A165,$E$5:$E$229,"&lt;"&amp;E165)+1</f>
        <v>17</v>
      </c>
      <c r="E165" s="28" t="n">
        <v>0.00677083333333333</v>
      </c>
      <c r="F165" s="28" t="n">
        <f aca="false">E165/B165</f>
        <v>0.00218413978494624</v>
      </c>
      <c r="G165" s="29" t="s">
        <v>4440</v>
      </c>
      <c r="H165" s="29" t="s">
        <v>4257</v>
      </c>
      <c r="I165" s="30" t="s">
        <v>4214</v>
      </c>
      <c r="J165" s="27" t="n">
        <v>57</v>
      </c>
      <c r="K165" s="27" t="n">
        <v>785</v>
      </c>
      <c r="L165" s="9" t="n">
        <f aca="false">IF(INDEX(選手一覧!$D$5:$D$2736,$K165)="","",INDEX(選手一覧!$D$5:$D$2736,$K165))</f>
        <v>0.0108262731481482</v>
      </c>
      <c r="M165" s="10" t="n">
        <f aca="false">IF(INDEX(選手一覧!$E$5:$E$2736,$K165)="","",INDEX(選手一覧!$E$5:$E$2736,$K165))</f>
        <v>786</v>
      </c>
      <c r="N165" s="11" t="str">
        <f aca="false">IF(INDEX(選手一覧!$F$5:$F$2736,$K165)="","",INDEX(選手一覧!$F$5:$F$2736,$K165))</f>
        <v/>
      </c>
      <c r="O165" s="12" t="str">
        <f aca="false">IF(INDEX(選手一覧!$G$5:$G$2736,$K165)="","",INDEX(選手一覧!$G$5:$G$2736,$K165))</f>
        <v/>
      </c>
      <c r="P165" s="11" t="n">
        <f aca="false">IF(INDEX(選手一覧!$H$5:$H$2736,$K165)="","",INDEX(選手一覧!$H$5:$H$2736,$K165))</f>
        <v>0.00283958333333333</v>
      </c>
      <c r="Q165" s="12" t="n">
        <f aca="false">IF(INDEX(選手一覧!$I$5:$I$2736,$K165)="","",INDEX(選手一覧!$I$5:$I$2736,$K165))</f>
        <v>494</v>
      </c>
    </row>
    <row r="166" customFormat="false" ht="15" hidden="false" customHeight="false" outlineLevel="0" collapsed="false">
      <c r="A166" s="25" t="n">
        <v>5</v>
      </c>
      <c r="B166" s="26" t="n">
        <v>3.1</v>
      </c>
      <c r="C166" s="10" t="n">
        <v>60</v>
      </c>
      <c r="D166" s="27" t="n">
        <f aca="false">COUNTIFS($A$5:$A$229,A166,$E$5:$E$229,"&lt;"&amp;E166)+1</f>
        <v>19</v>
      </c>
      <c r="E166" s="28" t="n">
        <v>0.00689814814814815</v>
      </c>
      <c r="F166" s="28" t="n">
        <f aca="false">E166/B166</f>
        <v>0.00222520908004779</v>
      </c>
      <c r="G166" s="29" t="s">
        <v>4441</v>
      </c>
      <c r="H166" s="29" t="s">
        <v>4442</v>
      </c>
      <c r="I166" s="30" t="s">
        <v>4173</v>
      </c>
      <c r="J166" s="27" t="n">
        <v>63</v>
      </c>
      <c r="K166" s="27" t="n">
        <v>2098</v>
      </c>
      <c r="L166" s="9" t="str">
        <f aca="false">IF(INDEX(選手一覧!$D$5:$D$2736,$K166)="","",INDEX(選手一覧!$D$5:$D$2736,$K166))</f>
        <v/>
      </c>
      <c r="M166" s="10" t="str">
        <f aca="false">IF(INDEX(選手一覧!$E$5:$E$2736,$K166)="","",INDEX(選手一覧!$E$5:$E$2736,$K166))</f>
        <v/>
      </c>
      <c r="N166" s="11" t="str">
        <f aca="false">IF(INDEX(選手一覧!$F$5:$F$2736,$K166)="","",INDEX(選手一覧!$F$5:$F$2736,$K166))</f>
        <v/>
      </c>
      <c r="O166" s="12" t="str">
        <f aca="false">IF(INDEX(選手一覧!$G$5:$G$2736,$K166)="","",INDEX(選手一覧!$G$5:$G$2736,$K166))</f>
        <v/>
      </c>
      <c r="P166" s="11" t="n">
        <f aca="false">IF(INDEX(選手一覧!$H$5:$H$2736,$K166)="","",INDEX(選手一覧!$H$5:$H$2736,$K166))</f>
        <v>0.00289618055555556</v>
      </c>
      <c r="Q166" s="12" t="n">
        <f aca="false">IF(INDEX(選手一覧!$I$5:$I$2736,$K166)="","",INDEX(選手一覧!$I$5:$I$2736,$K166))</f>
        <v>923</v>
      </c>
    </row>
    <row r="167" customFormat="false" ht="15" hidden="false" customHeight="false" outlineLevel="0" collapsed="false">
      <c r="A167" s="25" t="n">
        <v>5</v>
      </c>
      <c r="B167" s="26" t="n">
        <v>3.1</v>
      </c>
      <c r="C167" s="10" t="n">
        <v>79</v>
      </c>
      <c r="D167" s="27" t="n">
        <f aca="false">COUNTIFS($A$5:$A$229,A167,$E$5:$E$229,"&lt;"&amp;E167)+1</f>
        <v>20</v>
      </c>
      <c r="E167" s="28" t="n">
        <v>0.00710648148148148</v>
      </c>
      <c r="F167" s="28" t="n">
        <f aca="false">E167/B167</f>
        <v>0.00229241338112306</v>
      </c>
      <c r="G167" s="29" t="s">
        <v>4443</v>
      </c>
      <c r="H167" s="29" t="s">
        <v>4245</v>
      </c>
      <c r="I167" s="30" t="s">
        <v>4173</v>
      </c>
      <c r="J167" s="27" t="n">
        <v>81</v>
      </c>
      <c r="K167" s="27" t="n">
        <v>1749</v>
      </c>
      <c r="L167" s="9" t="str">
        <f aca="false">IF(INDEX(選手一覧!$D$5:$D$2736,$K167)="","",INDEX(選手一覧!$D$5:$D$2736,$K167))</f>
        <v/>
      </c>
      <c r="M167" s="10" t="str">
        <f aca="false">IF(INDEX(選手一覧!$E$5:$E$2736,$K167)="","",INDEX(選手一覧!$E$5:$E$2736,$K167))</f>
        <v/>
      </c>
      <c r="N167" s="11" t="n">
        <f aca="false">IF(INDEX(選手一覧!$F$5:$F$2736,$K167)="","",INDEX(選手一覧!$F$5:$F$2736,$K167))</f>
        <v>0.00729988425925926</v>
      </c>
      <c r="O167" s="12" t="n">
        <f aca="false">IF(INDEX(選手一覧!$G$5:$G$2736,$K167)="","",INDEX(選手一覧!$G$5:$G$2736,$K167))</f>
        <v>647</v>
      </c>
      <c r="P167" s="11" t="str">
        <f aca="false">IF(INDEX(選手一覧!$H$5:$H$2736,$K167)="","",INDEX(選手一覧!$H$5:$H$2736,$K167))</f>
        <v/>
      </c>
      <c r="Q167" s="12" t="str">
        <f aca="false">IF(INDEX(選手一覧!$I$5:$I$2736,$K167)="","",INDEX(選手一覧!$I$5:$I$2736,$K167))</f>
        <v/>
      </c>
    </row>
    <row r="168" customFormat="false" ht="15" hidden="false" customHeight="false" outlineLevel="0" collapsed="false">
      <c r="A168" s="25" t="n">
        <v>5</v>
      </c>
      <c r="B168" s="26" t="n">
        <v>3.1</v>
      </c>
      <c r="C168" s="10" t="n">
        <v>80</v>
      </c>
      <c r="D168" s="27" t="n">
        <f aca="false">COUNTIFS($A$5:$A$229,A168,$E$5:$E$229,"&lt;"&amp;E168)+1</f>
        <v>21</v>
      </c>
      <c r="E168" s="28" t="n">
        <v>0.00711805555555556</v>
      </c>
      <c r="F168" s="28" t="n">
        <f aca="false">E168/B168</f>
        <v>0.00229614695340502</v>
      </c>
      <c r="G168" s="29" t="s">
        <v>4444</v>
      </c>
      <c r="H168" s="29" t="s">
        <v>4445</v>
      </c>
      <c r="I168" s="30" t="s">
        <v>4248</v>
      </c>
      <c r="J168" s="27" t="n">
        <v>101</v>
      </c>
      <c r="K168" s="27" t="n">
        <v>2385</v>
      </c>
      <c r="L168" s="9" t="str">
        <f aca="false">IF(INDEX(選手一覧!$D$5:$D$2736,$K168)="","",INDEX(選手一覧!$D$5:$D$2736,$K168))</f>
        <v/>
      </c>
      <c r="M168" s="10" t="str">
        <f aca="false">IF(INDEX(選手一覧!$E$5:$E$2736,$K168)="","",INDEX(選手一覧!$E$5:$E$2736,$K168))</f>
        <v/>
      </c>
      <c r="N168" s="11" t="str">
        <f aca="false">IF(INDEX(選手一覧!$F$5:$F$2736,$K168)="","",INDEX(選手一覧!$F$5:$F$2736,$K168))</f>
        <v/>
      </c>
      <c r="O168" s="12" t="str">
        <f aca="false">IF(INDEX(選手一覧!$G$5:$G$2736,$K168)="","",INDEX(選手一覧!$G$5:$G$2736,$K168))</f>
        <v/>
      </c>
      <c r="P168" s="11" t="n">
        <f aca="false">IF(INDEX(選手一覧!$H$5:$H$2736,$K168)="","",INDEX(選手一覧!$H$5:$H$2736,$K168))</f>
        <v>0.00292326388888889</v>
      </c>
      <c r="Q168" s="12" t="n">
        <f aca="false">IF(INDEX(選手一覧!$I$5:$I$2736,$K168)="","",INDEX(選手一覧!$I$5:$I$2736,$K168))</f>
        <v>1131</v>
      </c>
    </row>
    <row r="169" customFormat="false" ht="15" hidden="false" customHeight="false" outlineLevel="0" collapsed="false">
      <c r="A169" s="35" t="n">
        <v>6</v>
      </c>
      <c r="B169" s="36" t="n">
        <v>4.9</v>
      </c>
      <c r="C169" s="10" t="n">
        <v>4</v>
      </c>
      <c r="D169" s="12" t="n">
        <f aca="false">COUNTIFS($A$5:$A$229,A169,$E$5:$E$229,"&lt;"&amp;E169)+1</f>
        <v>1</v>
      </c>
      <c r="E169" s="37" t="n">
        <v>0.0100462962962963</v>
      </c>
      <c r="F169" s="37" t="n">
        <f aca="false">E169/B169</f>
        <v>0.00205026455026455</v>
      </c>
      <c r="G169" s="8" t="s">
        <v>4446</v>
      </c>
      <c r="H169" s="8" t="s">
        <v>4378</v>
      </c>
      <c r="I169" s="38" t="s">
        <v>4208</v>
      </c>
      <c r="J169" s="12" t="n">
        <v>5</v>
      </c>
      <c r="K169" s="12" t="n">
        <v>64</v>
      </c>
      <c r="L169" s="9" t="n">
        <f aca="false">IF(INDEX(選手一覧!$D$5:$D$2736,$K169)="","",INDEX(選手一覧!$D$5:$D$2736,$K169))</f>
        <v>0.0101371527777778</v>
      </c>
      <c r="M169" s="10" t="n">
        <f aca="false">IF(INDEX(選手一覧!$E$5:$E$2736,$K169)="","",INDEX(選手一覧!$E$5:$E$2736,$K169))</f>
        <v>65</v>
      </c>
      <c r="N169" s="11" t="str">
        <f aca="false">IF(INDEX(選手一覧!$F$5:$F$2736,$K169)="","",INDEX(選手一覧!$F$5:$F$2736,$K169))</f>
        <v/>
      </c>
      <c r="O169" s="12" t="str">
        <f aca="false">IF(INDEX(選手一覧!$G$5:$G$2736,$K169)="","",INDEX(選手一覧!$G$5:$G$2736,$K169))</f>
        <v/>
      </c>
      <c r="P169" s="11" t="n">
        <f aca="false">IF(INDEX(選手一覧!$H$5:$H$2736,$K169)="","",INDEX(選手一覧!$H$5:$H$2736,$K169))</f>
        <v>0.00269143518518519</v>
      </c>
      <c r="Q169" s="12" t="n">
        <f aca="false">IF(INDEX(選手一覧!$I$5:$I$2736,$K169)="","",INDEX(選手一覧!$I$5:$I$2736,$K169))</f>
        <v>19</v>
      </c>
    </row>
    <row r="170" customFormat="false" ht="15" hidden="false" customHeight="false" outlineLevel="0" collapsed="false">
      <c r="A170" s="35" t="n">
        <v>6</v>
      </c>
      <c r="B170" s="36" t="n">
        <v>4.9</v>
      </c>
      <c r="C170" s="10" t="n">
        <v>10</v>
      </c>
      <c r="D170" s="12" t="n">
        <f aca="false">COUNTIFS($A$5:$A$229,A170,$E$5:$E$229,"&lt;"&amp;E170)+1</f>
        <v>2</v>
      </c>
      <c r="E170" s="37" t="n">
        <v>0.0100925925925926</v>
      </c>
      <c r="F170" s="37" t="n">
        <f aca="false">E170/B170</f>
        <v>0.00205971277399849</v>
      </c>
      <c r="G170" s="8" t="s">
        <v>4447</v>
      </c>
      <c r="H170" s="8" t="s">
        <v>4189</v>
      </c>
      <c r="I170" s="38" t="s">
        <v>4190</v>
      </c>
      <c r="J170" s="12" t="n">
        <v>10</v>
      </c>
      <c r="K170" s="12" t="n">
        <v>260</v>
      </c>
      <c r="L170" s="9" t="n">
        <f aca="false">IF(INDEX(選手一覧!$D$5:$D$2736,$K170)="","",INDEX(選手一覧!$D$5:$D$2736,$K170))</f>
        <v>0.0103976851851852</v>
      </c>
      <c r="M170" s="10" t="n">
        <f aca="false">IF(INDEX(選手一覧!$E$5:$E$2736,$K170)="","",INDEX(選手一覧!$E$5:$E$2736,$K170))</f>
        <v>261</v>
      </c>
      <c r="N170" s="11" t="str">
        <f aca="false">IF(INDEX(選手一覧!$F$5:$F$2736,$K170)="","",INDEX(選手一覧!$F$5:$F$2736,$K170))</f>
        <v/>
      </c>
      <c r="O170" s="12" t="str">
        <f aca="false">IF(INDEX(選手一覧!$G$5:$G$2736,$K170)="","",INDEX(選手一覧!$G$5:$G$2736,$K170))</f>
        <v/>
      </c>
      <c r="P170" s="11" t="n">
        <f aca="false">IF(INDEX(選手一覧!$H$5:$H$2736,$K170)="","",INDEX(選手一覧!$H$5:$H$2736,$K170))</f>
        <v>0.00282592592592593</v>
      </c>
      <c r="Q170" s="12" t="n">
        <f aca="false">IF(INDEX(選手一覧!$I$5:$I$2736,$K170)="","",INDEX(選手一覧!$I$5:$I$2736,$K170))</f>
        <v>398</v>
      </c>
    </row>
    <row r="171" customFormat="false" ht="15" hidden="false" customHeight="false" outlineLevel="0" collapsed="false">
      <c r="A171" s="35" t="n">
        <v>6</v>
      </c>
      <c r="B171" s="36" t="n">
        <v>4.9</v>
      </c>
      <c r="C171" s="10" t="n">
        <v>15</v>
      </c>
      <c r="D171" s="12" t="n">
        <f aca="false">COUNTIFS($A$5:$A$229,A171,$E$5:$E$229,"&lt;"&amp;E171)+1</f>
        <v>3</v>
      </c>
      <c r="E171" s="37" t="n">
        <v>0.0101388888888889</v>
      </c>
      <c r="F171" s="37" t="n">
        <f aca="false">E171/B171</f>
        <v>0.00206916099773243</v>
      </c>
      <c r="G171" s="8" t="s">
        <v>4448</v>
      </c>
      <c r="H171" s="8" t="s">
        <v>4216</v>
      </c>
      <c r="I171" s="38" t="s">
        <v>4217</v>
      </c>
      <c r="J171" s="12" t="n">
        <v>19</v>
      </c>
      <c r="K171" s="12" t="n">
        <v>259</v>
      </c>
      <c r="L171" s="9" t="n">
        <f aca="false">IF(INDEX(選手一覧!$D$5:$D$2736,$K171)="","",INDEX(選手一覧!$D$5:$D$2736,$K171))</f>
        <v>0.0103972222222222</v>
      </c>
      <c r="M171" s="10" t="n">
        <f aca="false">IF(INDEX(選手一覧!$E$5:$E$2736,$K171)="","",INDEX(選手一覧!$E$5:$E$2736,$K171))</f>
        <v>260</v>
      </c>
      <c r="N171" s="11" t="str">
        <f aca="false">IF(INDEX(選手一覧!$F$5:$F$2736,$K171)="","",INDEX(選手一覧!$F$5:$F$2736,$K171))</f>
        <v/>
      </c>
      <c r="O171" s="12" t="str">
        <f aca="false">IF(INDEX(選手一覧!$G$5:$G$2736,$K171)="","",INDEX(選手一覧!$G$5:$G$2736,$K171))</f>
        <v/>
      </c>
      <c r="P171" s="11" t="n">
        <f aca="false">IF(INDEX(選手一覧!$H$5:$H$2736,$K171)="","",INDEX(選手一覧!$H$5:$H$2736,$K171))</f>
        <v>0.0028130787037037</v>
      </c>
      <c r="Q171" s="12" t="n">
        <f aca="false">IF(INDEX(選手一覧!$I$5:$I$2736,$K171)="","",INDEX(選手一覧!$I$5:$I$2736,$K171))</f>
        <v>334</v>
      </c>
    </row>
    <row r="172" customFormat="false" ht="15" hidden="false" customHeight="false" outlineLevel="0" collapsed="false">
      <c r="A172" s="35" t="n">
        <v>6</v>
      </c>
      <c r="B172" s="36" t="n">
        <v>4.9</v>
      </c>
      <c r="C172" s="10" t="n">
        <v>18</v>
      </c>
      <c r="D172" s="12" t="n">
        <f aca="false">COUNTIFS($A$5:$A$229,A172,$E$5:$E$229,"&lt;"&amp;E172)+1</f>
        <v>4</v>
      </c>
      <c r="E172" s="37" t="n">
        <v>0.0101851851851852</v>
      </c>
      <c r="F172" s="37" t="n">
        <f aca="false">E172/B172</f>
        <v>0.00207860922146637</v>
      </c>
      <c r="G172" s="8" t="s">
        <v>4449</v>
      </c>
      <c r="H172" s="8" t="s">
        <v>4450</v>
      </c>
      <c r="I172" s="38" t="s">
        <v>4214</v>
      </c>
      <c r="J172" s="12" t="n">
        <v>27</v>
      </c>
      <c r="K172" s="12" t="n">
        <v>377</v>
      </c>
      <c r="L172" s="9" t="n">
        <f aca="false">IF(INDEX(選手一覧!$D$5:$D$2736,$K172)="","",INDEX(選手一覧!$D$5:$D$2736,$K172))</f>
        <v>0.0105351851851852</v>
      </c>
      <c r="M172" s="10" t="n">
        <f aca="false">IF(INDEX(選手一覧!$E$5:$E$2736,$K172)="","",INDEX(選手一覧!$E$5:$E$2736,$K172))</f>
        <v>378</v>
      </c>
      <c r="N172" s="11" t="str">
        <f aca="false">IF(INDEX(選手一覧!$F$5:$F$2736,$K172)="","",INDEX(選手一覧!$F$5:$F$2736,$K172))</f>
        <v/>
      </c>
      <c r="O172" s="12" t="str">
        <f aca="false">IF(INDEX(選手一覧!$G$5:$G$2736,$K172)="","",INDEX(選手一覧!$G$5:$G$2736,$K172))</f>
        <v/>
      </c>
      <c r="P172" s="11" t="n">
        <f aca="false">IF(INDEX(選手一覧!$H$5:$H$2736,$K172)="","",INDEX(選手一覧!$H$5:$H$2736,$K172))</f>
        <v>0.00287175925925926</v>
      </c>
      <c r="Q172" s="12" t="n">
        <f aca="false">IF(INDEX(選手一覧!$I$5:$I$2736,$K172)="","",INDEX(選手一覧!$I$5:$I$2736,$K172))</f>
        <v>715</v>
      </c>
    </row>
    <row r="173" customFormat="false" ht="15" hidden="false" customHeight="false" outlineLevel="0" collapsed="false">
      <c r="A173" s="35" t="n">
        <v>6</v>
      </c>
      <c r="B173" s="36" t="n">
        <v>4.9</v>
      </c>
      <c r="C173" s="10" t="n">
        <v>23</v>
      </c>
      <c r="D173" s="12" t="n">
        <f aca="false">COUNTIFS($A$5:$A$229,A173,$E$5:$E$229,"&lt;"&amp;E173)+1</f>
        <v>6</v>
      </c>
      <c r="E173" s="37" t="n">
        <v>0.0102430555555556</v>
      </c>
      <c r="F173" s="37" t="n">
        <f aca="false">E173/B173</f>
        <v>0.00209041950113379</v>
      </c>
      <c r="G173" s="8" t="s">
        <v>4451</v>
      </c>
      <c r="H173" s="8" t="s">
        <v>4344</v>
      </c>
      <c r="I173" s="38" t="s">
        <v>4200</v>
      </c>
      <c r="J173" s="12" t="n">
        <v>39</v>
      </c>
      <c r="K173" s="12" t="n">
        <v>372</v>
      </c>
      <c r="L173" s="9" t="n">
        <f aca="false">IF(INDEX(選手一覧!$D$5:$D$2736,$K173)="","",INDEX(選手一覧!$D$5:$D$2736,$K173))</f>
        <v>0.0105304398148148</v>
      </c>
      <c r="M173" s="10" t="n">
        <f aca="false">IF(INDEX(選手一覧!$E$5:$E$2736,$K173)="","",INDEX(選手一覧!$E$5:$E$2736,$K173))</f>
        <v>373</v>
      </c>
      <c r="N173" s="11" t="str">
        <f aca="false">IF(INDEX(選手一覧!$F$5:$F$2736,$K173)="","",INDEX(選手一覧!$F$5:$F$2736,$K173))</f>
        <v/>
      </c>
      <c r="O173" s="12" t="str">
        <f aca="false">IF(INDEX(選手一覧!$G$5:$G$2736,$K173)="","",INDEX(選手一覧!$G$5:$G$2736,$K173))</f>
        <v/>
      </c>
      <c r="P173" s="11" t="n">
        <f aca="false">IF(INDEX(選手一覧!$H$5:$H$2736,$K173)="","",INDEX(選手一覧!$H$5:$H$2736,$K173))</f>
        <v>0.00277627314814815</v>
      </c>
      <c r="Q173" s="12" t="n">
        <f aca="false">IF(INDEX(選手一覧!$I$5:$I$2736,$K173)="","",INDEX(選手一覧!$I$5:$I$2736,$K173))</f>
        <v>183</v>
      </c>
    </row>
    <row r="174" customFormat="false" ht="15" hidden="false" customHeight="false" outlineLevel="0" collapsed="false">
      <c r="A174" s="35" t="n">
        <v>6</v>
      </c>
      <c r="B174" s="36" t="n">
        <v>4.9</v>
      </c>
      <c r="C174" s="10" t="n">
        <v>26</v>
      </c>
      <c r="D174" s="12" t="n">
        <f aca="false">COUNTIFS($A$5:$A$229,A174,$E$5:$E$229,"&lt;"&amp;E174)+1</f>
        <v>7</v>
      </c>
      <c r="E174" s="37" t="n">
        <v>0.0102893518518519</v>
      </c>
      <c r="F174" s="37" t="n">
        <f aca="false">E174/B174</f>
        <v>0.00209986772486772</v>
      </c>
      <c r="G174" s="8" t="s">
        <v>4452</v>
      </c>
      <c r="H174" s="8" t="s">
        <v>4235</v>
      </c>
      <c r="I174" s="38" t="s">
        <v>4184</v>
      </c>
      <c r="J174" s="12" t="n">
        <v>36</v>
      </c>
      <c r="K174" s="12" t="n">
        <v>479</v>
      </c>
      <c r="L174" s="9" t="n">
        <f aca="false">IF(INDEX(選手一覧!$D$5:$D$2736,$K174)="","",INDEX(選手一覧!$D$5:$D$2736,$K174))</f>
        <v>0.0106119212962963</v>
      </c>
      <c r="M174" s="10" t="n">
        <f aca="false">IF(INDEX(選手一覧!$E$5:$E$2736,$K174)="","",INDEX(選手一覧!$E$5:$E$2736,$K174))</f>
        <v>480</v>
      </c>
      <c r="N174" s="11" t="str">
        <f aca="false">IF(INDEX(選手一覧!$F$5:$F$2736,$K174)="","",INDEX(選手一覧!$F$5:$F$2736,$K174))</f>
        <v/>
      </c>
      <c r="O174" s="12" t="str">
        <f aca="false">IF(INDEX(選手一覧!$G$5:$G$2736,$K174)="","",INDEX(選手一覧!$G$5:$G$2736,$K174))</f>
        <v/>
      </c>
      <c r="P174" s="11" t="n">
        <f aca="false">IF(INDEX(選手一覧!$H$5:$H$2736,$K174)="","",INDEX(選手一覧!$H$5:$H$2736,$K174))</f>
        <v>0.00273506944444444</v>
      </c>
      <c r="Q174" s="12" t="n">
        <f aca="false">IF(INDEX(選手一覧!$I$5:$I$2736,$K174)="","",INDEX(選手一覧!$I$5:$I$2736,$K174))</f>
        <v>72</v>
      </c>
    </row>
    <row r="175" customFormat="false" ht="15" hidden="false" customHeight="false" outlineLevel="0" collapsed="false">
      <c r="A175" s="35" t="n">
        <v>6</v>
      </c>
      <c r="B175" s="36" t="n">
        <v>4.9</v>
      </c>
      <c r="C175" s="10" t="n">
        <v>28</v>
      </c>
      <c r="D175" s="12" t="n">
        <f aca="false">COUNTIFS($A$5:$A$229,A175,$E$5:$E$229,"&lt;"&amp;E175)+1</f>
        <v>7</v>
      </c>
      <c r="E175" s="37" t="n">
        <v>0.0103240740740741</v>
      </c>
      <c r="F175" s="37" t="n">
        <f aca="false">E175/B175</f>
        <v>0.00210695389266818</v>
      </c>
      <c r="G175" s="8" t="s">
        <v>4453</v>
      </c>
      <c r="H175" s="8" t="s">
        <v>4183</v>
      </c>
      <c r="I175" s="38" t="s">
        <v>4184</v>
      </c>
      <c r="J175" s="12" t="n">
        <v>6</v>
      </c>
      <c r="K175" s="12" t="n">
        <v>410</v>
      </c>
      <c r="L175" s="9" t="n">
        <f aca="false">IF(INDEX(選手一覧!$D$5:$D$2736,$K175)="","",INDEX(選手一覧!$D$5:$D$2736,$K175))</f>
        <v>0.0105601851851852</v>
      </c>
      <c r="M175" s="10" t="n">
        <f aca="false">IF(INDEX(選手一覧!$E$5:$E$2736,$K175)="","",INDEX(選手一覧!$E$5:$E$2736,$K175))</f>
        <v>411</v>
      </c>
      <c r="N175" s="11" t="n">
        <f aca="false">IF(INDEX(選手一覧!$F$5:$F$2736,$K175)="","",INDEX(選手一覧!$F$5:$F$2736,$K175))</f>
        <v>0.00656631944444445</v>
      </c>
      <c r="O175" s="12" t="n">
        <f aca="false">IF(INDEX(選手一覧!$G$5:$G$2736,$K175)="","",INDEX(選手一覧!$G$5:$G$2736,$K175))</f>
        <v>54</v>
      </c>
      <c r="P175" s="11" t="n">
        <f aca="false">IF(INDEX(選手一覧!$H$5:$H$2736,$K175)="","",INDEX(選手一覧!$H$5:$H$2736,$K175))</f>
        <v>0.00290775462962963</v>
      </c>
      <c r="Q175" s="12" t="n">
        <f aca="false">IF(INDEX(選手一覧!$I$5:$I$2736,$K175)="","",INDEX(選手一覧!$I$5:$I$2736,$K175))</f>
        <v>999</v>
      </c>
    </row>
    <row r="176" customFormat="false" ht="15" hidden="false" customHeight="false" outlineLevel="0" collapsed="false">
      <c r="A176" s="35" t="n">
        <v>6</v>
      </c>
      <c r="B176" s="36" t="n">
        <v>4.9</v>
      </c>
      <c r="C176" s="10" t="n">
        <v>30</v>
      </c>
      <c r="D176" s="12" t="n">
        <f aca="false">COUNTIFS($A$5:$A$229,A176,$E$5:$E$229,"&lt;"&amp;E176)+1</f>
        <v>9</v>
      </c>
      <c r="E176" s="37" t="n">
        <v>0.0103356481481482</v>
      </c>
      <c r="F176" s="37" t="n">
        <f aca="false">E176/B176</f>
        <v>0.00210931594860166</v>
      </c>
      <c r="G176" s="8" t="s">
        <v>4454</v>
      </c>
      <c r="H176" s="8" t="s">
        <v>4323</v>
      </c>
      <c r="I176" s="38" t="s">
        <v>4184</v>
      </c>
      <c r="J176" s="12" t="n">
        <v>44</v>
      </c>
      <c r="K176" s="12" t="n">
        <v>395</v>
      </c>
      <c r="L176" s="9" t="n">
        <f aca="false">IF(INDEX(選手一覧!$D$5:$D$2736,$K176)="","",INDEX(選手一覧!$D$5:$D$2736,$K176))</f>
        <v>0.0105479166666667</v>
      </c>
      <c r="M176" s="10" t="n">
        <f aca="false">IF(INDEX(選手一覧!$E$5:$E$2736,$K176)="","",INDEX(選手一覧!$E$5:$E$2736,$K176))</f>
        <v>396</v>
      </c>
      <c r="N176" s="11" t="str">
        <f aca="false">IF(INDEX(選手一覧!$F$5:$F$2736,$K176)="","",INDEX(選手一覧!$F$5:$F$2736,$K176))</f>
        <v/>
      </c>
      <c r="O176" s="12" t="str">
        <f aca="false">IF(INDEX(選手一覧!$G$5:$G$2736,$K176)="","",INDEX(選手一覧!$G$5:$G$2736,$K176))</f>
        <v/>
      </c>
      <c r="P176" s="11" t="n">
        <f aca="false">IF(INDEX(選手一覧!$H$5:$H$2736,$K176)="","",INDEX(選手一覧!$H$5:$H$2736,$K176))</f>
        <v>0.0028087962962963</v>
      </c>
      <c r="Q176" s="12" t="n">
        <f aca="false">IF(INDEX(選手一覧!$I$5:$I$2736,$K176)="","",INDEX(選手一覧!$I$5:$I$2736,$K176))</f>
        <v>321</v>
      </c>
    </row>
    <row r="177" customFormat="false" ht="15" hidden="false" customHeight="false" outlineLevel="0" collapsed="false">
      <c r="A177" s="35" t="n">
        <v>6</v>
      </c>
      <c r="B177" s="36" t="n">
        <v>4.9</v>
      </c>
      <c r="C177" s="10" t="n">
        <v>32</v>
      </c>
      <c r="D177" s="12" t="n">
        <f aca="false">COUNTIFS($A$5:$A$229,A177,$E$5:$E$229,"&lt;"&amp;E177)+1</f>
        <v>9</v>
      </c>
      <c r="E177" s="37" t="n">
        <v>0.0103472222222222</v>
      </c>
      <c r="F177" s="37" t="n">
        <f aca="false">E177/B177</f>
        <v>0.00211167800453515</v>
      </c>
      <c r="G177" s="8" t="s">
        <v>4455</v>
      </c>
      <c r="H177" s="8" t="s">
        <v>4337</v>
      </c>
      <c r="I177" s="38" t="s">
        <v>4196</v>
      </c>
      <c r="J177" s="12" t="n">
        <v>35</v>
      </c>
      <c r="K177" s="12" t="n">
        <v>526</v>
      </c>
      <c r="L177" s="9" t="n">
        <f aca="false">IF(INDEX(選手一覧!$D$5:$D$2736,$K177)="","",INDEX(選手一覧!$D$5:$D$2736,$K177))</f>
        <v>0.0106516203703704</v>
      </c>
      <c r="M177" s="10" t="n">
        <f aca="false">IF(INDEX(選手一覧!$E$5:$E$2736,$K177)="","",INDEX(選手一覧!$E$5:$E$2736,$K177))</f>
        <v>527</v>
      </c>
      <c r="N177" s="11" t="str">
        <f aca="false">IF(INDEX(選手一覧!$F$5:$F$2736,$K177)="","",INDEX(選手一覧!$F$5:$F$2736,$K177))</f>
        <v/>
      </c>
      <c r="O177" s="12" t="str">
        <f aca="false">IF(INDEX(選手一覧!$G$5:$G$2736,$K177)="","",INDEX(選手一覧!$G$5:$G$2736,$K177))</f>
        <v/>
      </c>
      <c r="P177" s="11" t="n">
        <f aca="false">IF(INDEX(選手一覧!$H$5:$H$2736,$K177)="","",INDEX(選手一覧!$H$5:$H$2736,$K177))</f>
        <v>0.00281875</v>
      </c>
      <c r="Q177" s="12" t="n">
        <f aca="false">IF(INDEX(選手一覧!$I$5:$I$2736,$K177)="","",INDEX(選手一覧!$I$5:$I$2736,$K177))</f>
        <v>357</v>
      </c>
    </row>
    <row r="178" customFormat="false" ht="15" hidden="false" customHeight="false" outlineLevel="0" collapsed="false">
      <c r="A178" s="35" t="n">
        <v>6</v>
      </c>
      <c r="B178" s="36" t="n">
        <v>4.9</v>
      </c>
      <c r="C178" s="10" t="n">
        <v>33</v>
      </c>
      <c r="D178" s="12" t="n">
        <f aca="false">COUNTIFS($A$5:$A$229,A178,$E$5:$E$229,"&lt;"&amp;E178)+1</f>
        <v>10</v>
      </c>
      <c r="E178" s="37" t="n">
        <v>0.0103587962962963</v>
      </c>
      <c r="F178" s="37" t="n">
        <f aca="false">E178/B178</f>
        <v>0.00211404006046863</v>
      </c>
      <c r="G178" s="8" t="s">
        <v>4456</v>
      </c>
      <c r="H178" s="8" t="s">
        <v>4457</v>
      </c>
      <c r="I178" s="38" t="s">
        <v>4208</v>
      </c>
      <c r="J178" s="12" t="n">
        <v>47</v>
      </c>
      <c r="K178" s="12" t="n">
        <v>612</v>
      </c>
      <c r="L178" s="9" t="n">
        <f aca="false">IF(INDEX(選手一覧!$D$5:$D$2736,$K178)="","",INDEX(選手一覧!$D$5:$D$2736,$K178))</f>
        <v>0.0107209490740741</v>
      </c>
      <c r="M178" s="10" t="n">
        <f aca="false">IF(INDEX(選手一覧!$E$5:$E$2736,$K178)="","",INDEX(選手一覧!$E$5:$E$2736,$K178))</f>
        <v>613</v>
      </c>
      <c r="N178" s="11" t="str">
        <f aca="false">IF(INDEX(選手一覧!$F$5:$F$2736,$K178)="","",INDEX(選手一覧!$F$5:$F$2736,$K178))</f>
        <v/>
      </c>
      <c r="O178" s="12" t="str">
        <f aca="false">IF(INDEX(選手一覧!$G$5:$G$2736,$K178)="","",INDEX(選手一覧!$G$5:$G$2736,$K178))</f>
        <v/>
      </c>
      <c r="P178" s="11" t="n">
        <f aca="false">IF(INDEX(選手一覧!$H$5:$H$2736,$K178)="","",INDEX(選手一覧!$H$5:$H$2736,$K178))</f>
        <v>0.0027568287037037</v>
      </c>
      <c r="Q178" s="12" t="n">
        <f aca="false">IF(INDEX(選手一覧!$I$5:$I$2736,$K178)="","",INDEX(選手一覧!$I$5:$I$2736,$K178))</f>
        <v>126</v>
      </c>
    </row>
    <row r="179" customFormat="false" ht="15" hidden="false" customHeight="false" outlineLevel="0" collapsed="false">
      <c r="A179" s="35" t="n">
        <v>6</v>
      </c>
      <c r="B179" s="36" t="n">
        <v>4.9</v>
      </c>
      <c r="C179" s="10" t="n">
        <v>35</v>
      </c>
      <c r="D179" s="12" t="n">
        <f aca="false">COUNTIFS($A$5:$A$229,A179,$E$5:$E$229,"&lt;"&amp;E179)+1</f>
        <v>11</v>
      </c>
      <c r="E179" s="37" t="n">
        <v>0.0103819444444444</v>
      </c>
      <c r="F179" s="37" t="n">
        <f aca="false">E179/B179</f>
        <v>0.0021187641723356</v>
      </c>
      <c r="G179" s="8" t="s">
        <v>4458</v>
      </c>
      <c r="H179" s="8" t="s">
        <v>4284</v>
      </c>
      <c r="I179" s="38" t="s">
        <v>4173</v>
      </c>
      <c r="J179" s="12" t="n">
        <v>21</v>
      </c>
      <c r="K179" s="12" t="n">
        <v>524</v>
      </c>
      <c r="L179" s="9" t="n">
        <f aca="false">IF(INDEX(選手一覧!$D$5:$D$2736,$K179)="","",INDEX(選手一覧!$D$5:$D$2736,$K179))</f>
        <v>0.0106498842592593</v>
      </c>
      <c r="M179" s="10" t="n">
        <f aca="false">IF(INDEX(選手一覧!$E$5:$E$2736,$K179)="","",INDEX(選手一覧!$E$5:$E$2736,$K179))</f>
        <v>525</v>
      </c>
      <c r="N179" s="11" t="n">
        <f aca="false">IF(INDEX(選手一覧!$F$5:$F$2736,$K179)="","",INDEX(選手一覧!$F$5:$F$2736,$K179))</f>
        <v>0.006834375</v>
      </c>
      <c r="O179" s="12" t="n">
        <f aca="false">IF(INDEX(選手一覧!$G$5:$G$2736,$K179)="","",INDEX(選手一覧!$G$5:$G$2736,$K179))</f>
        <v>196</v>
      </c>
      <c r="P179" s="11" t="n">
        <f aca="false">IF(INDEX(選手一覧!$H$5:$H$2736,$K179)="","",INDEX(選手一覧!$H$5:$H$2736,$K179))</f>
        <v>0.00289097222222222</v>
      </c>
      <c r="Q179" s="12" t="n">
        <f aca="false">IF(INDEX(選手一覧!$I$5:$I$2736,$K179)="","",INDEX(選手一覧!$I$5:$I$2736,$K179))</f>
        <v>875</v>
      </c>
    </row>
    <row r="180" customFormat="false" ht="15" hidden="false" customHeight="false" outlineLevel="0" collapsed="false">
      <c r="A180" s="35" t="n">
        <v>6</v>
      </c>
      <c r="B180" s="36" t="n">
        <v>4.9</v>
      </c>
      <c r="C180" s="10" t="n">
        <v>37</v>
      </c>
      <c r="D180" s="12" t="n">
        <f aca="false">COUNTIFS($A$5:$A$229,A180,$E$5:$E$229,"&lt;"&amp;E180)+1</f>
        <v>12</v>
      </c>
      <c r="E180" s="37" t="n">
        <v>0.0104166666666667</v>
      </c>
      <c r="F180" s="37" t="n">
        <f aca="false">E180/B180</f>
        <v>0.00212585034013606</v>
      </c>
      <c r="G180" s="8" t="s">
        <v>4459</v>
      </c>
      <c r="H180" s="8" t="s">
        <v>4180</v>
      </c>
      <c r="I180" s="38" t="s">
        <v>4181</v>
      </c>
      <c r="J180" s="12" t="n">
        <v>11</v>
      </c>
      <c r="K180" s="12" t="n">
        <v>551</v>
      </c>
      <c r="L180" s="9" t="n">
        <f aca="false">IF(INDEX(選手一覧!$D$5:$D$2736,$K180)="","",INDEX(選手一覧!$D$5:$D$2736,$K180))</f>
        <v>0.0106728009259259</v>
      </c>
      <c r="M180" s="10" t="n">
        <f aca="false">IF(INDEX(選手一覧!$E$5:$E$2736,$K180)="","",INDEX(選手一覧!$E$5:$E$2736,$K180))</f>
        <v>552</v>
      </c>
      <c r="N180" s="11" t="n">
        <f aca="false">IF(INDEX(選手一覧!$F$5:$F$2736,$K180)="","",INDEX(選手一覧!$F$5:$F$2736,$K180))</f>
        <v>0.00665798611111111</v>
      </c>
      <c r="O180" s="12" t="n">
        <f aca="false">IF(INDEX(選手一覧!$G$5:$G$2736,$K180)="","",INDEX(選手一覧!$G$5:$G$2736,$K180))</f>
        <v>86</v>
      </c>
      <c r="P180" s="11" t="n">
        <f aca="false">IF(INDEX(選手一覧!$H$5:$H$2736,$K180)="","",INDEX(選手一覧!$H$5:$H$2736,$K180))</f>
        <v>0.00286006944444445</v>
      </c>
      <c r="Q180" s="12" t="n">
        <f aca="false">IF(INDEX(選手一覧!$I$5:$I$2736,$K180)="","",INDEX(選手一覧!$I$5:$I$2736,$K180))</f>
        <v>636</v>
      </c>
    </row>
    <row r="181" customFormat="false" ht="15" hidden="false" customHeight="false" outlineLevel="0" collapsed="false">
      <c r="A181" s="35" t="n">
        <v>6</v>
      </c>
      <c r="B181" s="36" t="n">
        <v>4.9</v>
      </c>
      <c r="C181" s="10" t="n">
        <v>39</v>
      </c>
      <c r="D181" s="12" t="n">
        <f aca="false">COUNTIFS($A$5:$A$229,A181,$E$5:$E$229,"&lt;"&amp;E181)+1</f>
        <v>13</v>
      </c>
      <c r="E181" s="37" t="n">
        <v>0.0104513888888889</v>
      </c>
      <c r="F181" s="37" t="n">
        <f aca="false">E181/B181</f>
        <v>0.00213293650793651</v>
      </c>
      <c r="G181" s="8" t="s">
        <v>4460</v>
      </c>
      <c r="H181" s="8" t="s">
        <v>4264</v>
      </c>
      <c r="I181" s="38" t="s">
        <v>4264</v>
      </c>
      <c r="J181" s="12" t="n">
        <v>42</v>
      </c>
      <c r="K181" s="12" t="n">
        <v>433</v>
      </c>
      <c r="L181" s="9" t="n">
        <f aca="false">IF(INDEX(選手一覧!$D$5:$D$2736,$K181)="","",INDEX(選手一覧!$D$5:$D$2736,$K181))</f>
        <v>0.010580787037037</v>
      </c>
      <c r="M181" s="10" t="n">
        <f aca="false">IF(INDEX(選手一覧!$E$5:$E$2736,$K181)="","",INDEX(選手一覧!$E$5:$E$2736,$K181))</f>
        <v>434</v>
      </c>
      <c r="N181" s="11" t="str">
        <f aca="false">IF(INDEX(選手一覧!$F$5:$F$2736,$K181)="","",INDEX(選手一覧!$F$5:$F$2736,$K181))</f>
        <v/>
      </c>
      <c r="O181" s="12" t="str">
        <f aca="false">IF(INDEX(選手一覧!$G$5:$G$2736,$K181)="","",INDEX(選手一覧!$G$5:$G$2736,$K181))</f>
        <v/>
      </c>
      <c r="P181" s="11" t="n">
        <f aca="false">IF(INDEX(選手一覧!$H$5:$H$2736,$K181)="","",INDEX(選手一覧!$H$5:$H$2736,$K181))</f>
        <v>0.00290289351851852</v>
      </c>
      <c r="Q181" s="12" t="n">
        <f aca="false">IF(INDEX(選手一覧!$I$5:$I$2736,$K181)="","",INDEX(選手一覧!$I$5:$I$2736,$K181))</f>
        <v>970</v>
      </c>
    </row>
    <row r="182" customFormat="false" ht="15" hidden="false" customHeight="false" outlineLevel="0" collapsed="false">
      <c r="A182" s="35" t="n">
        <v>6</v>
      </c>
      <c r="B182" s="36" t="n">
        <v>4.9</v>
      </c>
      <c r="C182" s="10" t="n">
        <v>41</v>
      </c>
      <c r="D182" s="12" t="n">
        <f aca="false">COUNTIFS($A$5:$A$229,A182,$E$5:$E$229,"&lt;"&amp;E182)+1</f>
        <v>16</v>
      </c>
      <c r="E182" s="37" t="n">
        <v>0.0105555555555556</v>
      </c>
      <c r="F182" s="37" t="n">
        <f aca="false">E182/B182</f>
        <v>0.00215419501133787</v>
      </c>
      <c r="G182" s="8" t="s">
        <v>4461</v>
      </c>
      <c r="H182" s="8" t="s">
        <v>4279</v>
      </c>
      <c r="I182" s="38" t="s">
        <v>4264</v>
      </c>
      <c r="J182" s="12" t="n">
        <v>48</v>
      </c>
      <c r="K182" s="12" t="n">
        <v>1139</v>
      </c>
      <c r="L182" s="9" t="n">
        <f aca="false">IF(INDEX(選手一覧!$D$5:$D$2736,$K182)="","",INDEX(選手一覧!$D$5:$D$2736,$K182))</f>
        <v>0.0110256944444444</v>
      </c>
      <c r="M182" s="10" t="n">
        <f aca="false">IF(INDEX(選手一覧!$E$5:$E$2736,$K182)="","",INDEX(選手一覧!$E$5:$E$2736,$K182))</f>
        <v>1140</v>
      </c>
      <c r="N182" s="11" t="n">
        <f aca="false">IF(INDEX(選手一覧!$F$5:$F$2736,$K182)="","",INDEX(選手一覧!$F$5:$F$2736,$K182))</f>
        <v>0.00750810185185185</v>
      </c>
      <c r="O182" s="12" t="n">
        <f aca="false">IF(INDEX(選手一覧!$G$5:$G$2736,$K182)="","",INDEX(選手一覧!$G$5:$G$2736,$K182))</f>
        <v>897</v>
      </c>
      <c r="P182" s="11" t="n">
        <f aca="false">IF(INDEX(選手一覧!$H$5:$H$2736,$K182)="","",INDEX(選手一覧!$H$5:$H$2736,$K182))</f>
        <v>0.00280104166666667</v>
      </c>
      <c r="Q182" s="12" t="n">
        <f aca="false">IF(INDEX(選手一覧!$I$5:$I$2736,$K182)="","",INDEX(選手一覧!$I$5:$I$2736,$K182))</f>
        <v>287</v>
      </c>
    </row>
    <row r="183" customFormat="false" ht="15" hidden="false" customHeight="false" outlineLevel="0" collapsed="false">
      <c r="A183" s="35" t="n">
        <v>6</v>
      </c>
      <c r="B183" s="36" t="n">
        <v>4.9</v>
      </c>
      <c r="C183" s="10" t="n">
        <v>41</v>
      </c>
      <c r="D183" s="12" t="n">
        <f aca="false">COUNTIFS($A$5:$A$229,A183,$E$5:$E$229,"&lt;"&amp;E183)+1</f>
        <v>16</v>
      </c>
      <c r="E183" s="37" t="n">
        <v>0.0105555555555556</v>
      </c>
      <c r="F183" s="37" t="n">
        <f aca="false">E183/B183</f>
        <v>0.00215419501133787</v>
      </c>
      <c r="G183" s="8" t="s">
        <v>4462</v>
      </c>
      <c r="H183" s="8" t="s">
        <v>4463</v>
      </c>
      <c r="I183" s="38" t="s">
        <v>4184</v>
      </c>
      <c r="J183" s="12" t="n">
        <v>56</v>
      </c>
      <c r="K183" s="12" t="n">
        <v>719</v>
      </c>
      <c r="L183" s="9" t="n">
        <f aca="false">IF(INDEX(選手一覧!$D$5:$D$2736,$K183)="","",INDEX(選手一覧!$D$5:$D$2736,$K183))</f>
        <v>0.0107890046296296</v>
      </c>
      <c r="M183" s="10" t="n">
        <f aca="false">IF(INDEX(選手一覧!$E$5:$E$2736,$K183)="","",INDEX(選手一覧!$E$5:$E$2736,$K183))</f>
        <v>720</v>
      </c>
      <c r="N183" s="11" t="str">
        <f aca="false">IF(INDEX(選手一覧!$F$5:$F$2736,$K183)="","",INDEX(選手一覧!$F$5:$F$2736,$K183))</f>
        <v/>
      </c>
      <c r="O183" s="12" t="str">
        <f aca="false">IF(INDEX(選手一覧!$G$5:$G$2736,$K183)="","",INDEX(選手一覧!$G$5:$G$2736,$K183))</f>
        <v/>
      </c>
      <c r="P183" s="11" t="n">
        <f aca="false">IF(INDEX(選手一覧!$H$5:$H$2736,$K183)="","",INDEX(選手一覧!$H$5:$H$2736,$K183))</f>
        <v>0.00283587962962963</v>
      </c>
      <c r="Q183" s="12" t="n">
        <f aca="false">IF(INDEX(選手一覧!$I$5:$I$2736,$K183)="","",INDEX(選手一覧!$I$5:$I$2736,$K183))</f>
        <v>470</v>
      </c>
    </row>
    <row r="184" customFormat="false" ht="15" hidden="false" customHeight="false" outlineLevel="0" collapsed="false">
      <c r="A184" s="35" t="n">
        <v>6</v>
      </c>
      <c r="B184" s="36" t="n">
        <v>4.9</v>
      </c>
      <c r="C184" s="10" t="n">
        <v>48</v>
      </c>
      <c r="D184" s="12" t="n">
        <f aca="false">COUNTIFS($A$5:$A$229,A184,$E$5:$E$229,"&lt;"&amp;E184)+1</f>
        <v>16</v>
      </c>
      <c r="E184" s="37" t="n">
        <v>0.010625</v>
      </c>
      <c r="F184" s="37" t="n">
        <f aca="false">E184/B184</f>
        <v>0.00216836734693878</v>
      </c>
      <c r="G184" s="8" t="s">
        <v>4464</v>
      </c>
      <c r="H184" s="8" t="s">
        <v>4204</v>
      </c>
      <c r="I184" s="38" t="s">
        <v>4205</v>
      </c>
      <c r="J184" s="12" t="n">
        <v>34</v>
      </c>
      <c r="K184" s="12" t="n">
        <v>1372</v>
      </c>
      <c r="L184" s="9" t="str">
        <f aca="false">IF(INDEX(選手一覧!$D$5:$D$2736,$K184)="","",INDEX(選手一覧!$D$5:$D$2736,$K184))</f>
        <v/>
      </c>
      <c r="M184" s="10" t="str">
        <f aca="false">IF(INDEX(選手一覧!$E$5:$E$2736,$K184)="","",INDEX(選手一覧!$E$5:$E$2736,$K184))</f>
        <v/>
      </c>
      <c r="N184" s="11" t="n">
        <f aca="false">IF(INDEX(選手一覧!$F$5:$F$2736,$K184)="","",INDEX(選手一覧!$F$5:$F$2736,$K184))</f>
        <v>0.00689525462962963</v>
      </c>
      <c r="O184" s="12" t="n">
        <f aca="false">IF(INDEX(選手一覧!$G$5:$G$2736,$K184)="","",INDEX(選手一覧!$G$5:$G$2736,$K184))</f>
        <v>237</v>
      </c>
      <c r="P184" s="11" t="str">
        <f aca="false">IF(INDEX(選手一覧!$H$5:$H$2736,$K184)="","",INDEX(選手一覧!$H$5:$H$2736,$K184))</f>
        <v/>
      </c>
      <c r="Q184" s="12" t="str">
        <f aca="false">IF(INDEX(選手一覧!$I$5:$I$2736,$K184)="","",INDEX(選手一覧!$I$5:$I$2736,$K184))</f>
        <v/>
      </c>
    </row>
    <row r="185" customFormat="false" ht="15" hidden="false" customHeight="false" outlineLevel="0" collapsed="false">
      <c r="A185" s="35" t="n">
        <v>6</v>
      </c>
      <c r="B185" s="36" t="n">
        <v>4.9</v>
      </c>
      <c r="C185" s="10" t="n">
        <v>48</v>
      </c>
      <c r="D185" s="12" t="n">
        <f aca="false">COUNTIFS($A$5:$A$229,A185,$E$5:$E$229,"&lt;"&amp;E185)+1</f>
        <v>16</v>
      </c>
      <c r="E185" s="37" t="n">
        <v>0.010625</v>
      </c>
      <c r="F185" s="37" t="n">
        <f aca="false">E185/B185</f>
        <v>0.00216836734693878</v>
      </c>
      <c r="G185" s="8" t="s">
        <v>4465</v>
      </c>
      <c r="H185" s="8" t="s">
        <v>4237</v>
      </c>
      <c r="I185" s="38" t="s">
        <v>4173</v>
      </c>
      <c r="J185" s="12" t="n">
        <v>49</v>
      </c>
      <c r="K185" s="12" t="n">
        <v>806</v>
      </c>
      <c r="L185" s="9" t="n">
        <f aca="false">IF(INDEX(選手一覧!$D$5:$D$2736,$K185)="","",INDEX(選手一覧!$D$5:$D$2736,$K185))</f>
        <v>0.0108380787037037</v>
      </c>
      <c r="M185" s="10" t="n">
        <f aca="false">IF(INDEX(選手一覧!$E$5:$E$2736,$K185)="","",INDEX(選手一覧!$E$5:$E$2736,$K185))</f>
        <v>807</v>
      </c>
      <c r="N185" s="11" t="str">
        <f aca="false">IF(INDEX(選手一覧!$F$5:$F$2736,$K185)="","",INDEX(選手一覧!$F$5:$F$2736,$K185))</f>
        <v/>
      </c>
      <c r="O185" s="12" t="str">
        <f aca="false">IF(INDEX(選手一覧!$G$5:$G$2736,$K185)="","",INDEX(選手一覧!$G$5:$G$2736,$K185))</f>
        <v/>
      </c>
      <c r="P185" s="11" t="str">
        <f aca="false">IF(INDEX(選手一覧!$H$5:$H$2736,$K185)="","",INDEX(選手一覧!$H$5:$H$2736,$K185))</f>
        <v/>
      </c>
      <c r="Q185" s="12" t="str">
        <f aca="false">IF(INDEX(選手一覧!$I$5:$I$2736,$K185)="","",INDEX(選手一覧!$I$5:$I$2736,$K185))</f>
        <v/>
      </c>
    </row>
    <row r="186" customFormat="false" ht="15" hidden="false" customHeight="false" outlineLevel="0" collapsed="false">
      <c r="A186" s="35" t="n">
        <v>6</v>
      </c>
      <c r="B186" s="36" t="n">
        <v>4.9</v>
      </c>
      <c r="C186" s="10" t="n">
        <v>52</v>
      </c>
      <c r="D186" s="12" t="n">
        <f aca="false">COUNTIFS($A$5:$A$229,A186,$E$5:$E$229,"&lt;"&amp;E186)+1</f>
        <v>18</v>
      </c>
      <c r="E186" s="37" t="n">
        <v>0.0106944444444444</v>
      </c>
      <c r="F186" s="37" t="n">
        <f aca="false">E186/B186</f>
        <v>0.00218253968253968</v>
      </c>
      <c r="G186" s="8" t="s">
        <v>4466</v>
      </c>
      <c r="H186" s="8" t="s">
        <v>4293</v>
      </c>
      <c r="I186" s="38" t="s">
        <v>4294</v>
      </c>
      <c r="J186" s="12" t="n">
        <v>53</v>
      </c>
      <c r="K186" s="12" t="n">
        <v>663</v>
      </c>
      <c r="L186" s="9" t="n">
        <f aca="false">IF(INDEX(選手一覧!$D$5:$D$2736,$K186)="","",INDEX(選手一覧!$D$5:$D$2736,$K186))</f>
        <v>0.0107466435185185</v>
      </c>
      <c r="M186" s="10" t="n">
        <f aca="false">IF(INDEX(選手一覧!$E$5:$E$2736,$K186)="","",INDEX(選手一覧!$E$5:$E$2736,$K186))</f>
        <v>664</v>
      </c>
      <c r="N186" s="11" t="str">
        <f aca="false">IF(INDEX(選手一覧!$F$5:$F$2736,$K186)="","",INDEX(選手一覧!$F$5:$F$2736,$K186))</f>
        <v/>
      </c>
      <c r="O186" s="12" t="str">
        <f aca="false">IF(INDEX(選手一覧!$G$5:$G$2736,$K186)="","",INDEX(選手一覧!$G$5:$G$2736,$K186))</f>
        <v/>
      </c>
      <c r="P186" s="11" t="n">
        <f aca="false">IF(INDEX(選手一覧!$H$5:$H$2736,$K186)="","",INDEX(選手一覧!$H$5:$H$2736,$K186))</f>
        <v>0.00274930555555556</v>
      </c>
      <c r="Q186" s="12" t="n">
        <f aca="false">IF(INDEX(選手一覧!$I$5:$I$2736,$K186)="","",INDEX(選手一覧!$I$5:$I$2736,$K186))</f>
        <v>102</v>
      </c>
    </row>
    <row r="187" customFormat="false" ht="15" hidden="false" customHeight="false" outlineLevel="0" collapsed="false">
      <c r="A187" s="35" t="n">
        <v>6</v>
      </c>
      <c r="B187" s="36" t="n">
        <v>4.9</v>
      </c>
      <c r="C187" s="10" t="n">
        <v>54</v>
      </c>
      <c r="D187" s="12" t="n">
        <f aca="false">COUNTIFS($A$5:$A$229,A187,$E$5:$E$229,"&lt;"&amp;E187)+1</f>
        <v>19</v>
      </c>
      <c r="E187" s="37" t="n">
        <v>0.0107175925925926</v>
      </c>
      <c r="F187" s="37" t="n">
        <f aca="false">E187/B187</f>
        <v>0.00218726379440665</v>
      </c>
      <c r="G187" s="8" t="s">
        <v>4467</v>
      </c>
      <c r="H187" s="8" t="s">
        <v>4401</v>
      </c>
      <c r="I187" s="38" t="s">
        <v>4196</v>
      </c>
      <c r="J187" s="12" t="n">
        <v>55</v>
      </c>
      <c r="K187" s="12" t="n">
        <v>411</v>
      </c>
      <c r="L187" s="9" t="n">
        <f aca="false">IF(INDEX(選手一覧!$D$5:$D$2736,$K187)="","",INDEX(選手一覧!$D$5:$D$2736,$K187))</f>
        <v>0.0105601851851852</v>
      </c>
      <c r="M187" s="10" t="n">
        <f aca="false">IF(INDEX(選手一覧!$E$5:$E$2736,$K187)="","",INDEX(選手一覧!$E$5:$E$2736,$K187))</f>
        <v>412</v>
      </c>
      <c r="N187" s="11" t="str">
        <f aca="false">IF(INDEX(選手一覧!$F$5:$F$2736,$K187)="","",INDEX(選手一覧!$F$5:$F$2736,$K187))</f>
        <v/>
      </c>
      <c r="O187" s="12" t="str">
        <f aca="false">IF(INDEX(選手一覧!$G$5:$G$2736,$K187)="","",INDEX(選手一覧!$G$5:$G$2736,$K187))</f>
        <v/>
      </c>
      <c r="P187" s="11" t="n">
        <f aca="false">IF(INDEX(選手一覧!$H$5:$H$2736,$K187)="","",INDEX(選手一覧!$H$5:$H$2736,$K187))</f>
        <v>0.00284988425925926</v>
      </c>
      <c r="Q187" s="12" t="n">
        <f aca="false">IF(INDEX(選手一覧!$I$5:$I$2736,$K187)="","",INDEX(選手一覧!$I$5:$I$2736,$K187))</f>
        <v>570</v>
      </c>
    </row>
    <row r="188" customFormat="false" ht="15" hidden="false" customHeight="false" outlineLevel="0" collapsed="false">
      <c r="A188" s="35" t="n">
        <v>6</v>
      </c>
      <c r="B188" s="36" t="n">
        <v>4.9</v>
      </c>
      <c r="C188" s="10" t="n">
        <v>54</v>
      </c>
      <c r="D188" s="12" t="n">
        <f aca="false">COUNTIFS($A$5:$A$229,A188,$E$5:$E$229,"&lt;"&amp;E188)+1</f>
        <v>19</v>
      </c>
      <c r="E188" s="37" t="n">
        <v>0.0107175925925926</v>
      </c>
      <c r="F188" s="37" t="n">
        <f aca="false">E188/B188</f>
        <v>0.00218726379440665</v>
      </c>
      <c r="G188" s="8" t="s">
        <v>4468</v>
      </c>
      <c r="H188" s="8" t="s">
        <v>4316</v>
      </c>
      <c r="I188" s="38" t="s">
        <v>4187</v>
      </c>
      <c r="J188" s="12" t="n">
        <v>71</v>
      </c>
      <c r="K188" s="12" t="n">
        <v>1028</v>
      </c>
      <c r="L188" s="9" t="n">
        <f aca="false">IF(INDEX(選手一覧!$D$5:$D$2736,$K188)="","",INDEX(選手一覧!$D$5:$D$2736,$K188))</f>
        <v>0.0109672453703704</v>
      </c>
      <c r="M188" s="10" t="n">
        <f aca="false">IF(INDEX(選手一覧!$E$5:$E$2736,$K188)="","",INDEX(選手一覧!$E$5:$E$2736,$K188))</f>
        <v>1029</v>
      </c>
      <c r="N188" s="11" t="n">
        <f aca="false">IF(INDEX(選手一覧!$F$5:$F$2736,$K188)="","",INDEX(選手一覧!$F$5:$F$2736,$K188))</f>
        <v>0.00675219907407407</v>
      </c>
      <c r="O188" s="12" t="n">
        <f aca="false">IF(INDEX(選手一覧!$G$5:$G$2736,$K188)="","",INDEX(選手一覧!$G$5:$G$2736,$K188))</f>
        <v>130</v>
      </c>
      <c r="P188" s="11" t="n">
        <f aca="false">IF(INDEX(選手一覧!$H$5:$H$2736,$K188)="","",INDEX(選手一覧!$H$5:$H$2736,$K188))</f>
        <v>0.0029099537037037</v>
      </c>
      <c r="Q188" s="12" t="n">
        <f aca="false">IF(INDEX(選手一覧!$I$5:$I$2736,$K188)="","",INDEX(選手一覧!$I$5:$I$2736,$K188))</f>
        <v>1019</v>
      </c>
    </row>
    <row r="189" customFormat="false" ht="15" hidden="false" customHeight="false" outlineLevel="0" collapsed="false">
      <c r="A189" s="35" t="n">
        <v>6</v>
      </c>
      <c r="B189" s="36" t="n">
        <v>4.9</v>
      </c>
      <c r="C189" s="10" t="n">
        <v>56</v>
      </c>
      <c r="D189" s="12" t="n">
        <f aca="false">COUNTIFS($A$5:$A$229,A189,$E$5:$E$229,"&lt;"&amp;E189)+1</f>
        <v>21</v>
      </c>
      <c r="E189" s="37" t="n">
        <v>0.0107407407407407</v>
      </c>
      <c r="F189" s="37" t="n">
        <f aca="false">E189/B189</f>
        <v>0.00219198790627362</v>
      </c>
      <c r="G189" s="8" t="s">
        <v>4469</v>
      </c>
      <c r="H189" s="8" t="s">
        <v>4296</v>
      </c>
      <c r="I189" s="38" t="s">
        <v>4200</v>
      </c>
      <c r="J189" s="12" t="n">
        <v>43</v>
      </c>
      <c r="K189" s="12" t="n">
        <v>832</v>
      </c>
      <c r="L189" s="9" t="n">
        <f aca="false">IF(INDEX(選手一覧!$D$5:$D$2736,$K189)="","",INDEX(選手一覧!$D$5:$D$2736,$K189))</f>
        <v>0.0108482638888889</v>
      </c>
      <c r="M189" s="10" t="n">
        <f aca="false">IF(INDEX(選手一覧!$E$5:$E$2736,$K189)="","",INDEX(選手一覧!$E$5:$E$2736,$K189))</f>
        <v>833</v>
      </c>
      <c r="N189" s="11" t="str">
        <f aca="false">IF(INDEX(選手一覧!$F$5:$F$2736,$K189)="","",INDEX(選手一覧!$F$5:$F$2736,$K189))</f>
        <v/>
      </c>
      <c r="O189" s="12" t="str">
        <f aca="false">IF(INDEX(選手一覧!$G$5:$G$2736,$K189)="","",INDEX(選手一覧!$G$5:$G$2736,$K189))</f>
        <v/>
      </c>
      <c r="P189" s="11" t="str">
        <f aca="false">IF(INDEX(選手一覧!$H$5:$H$2736,$K189)="","",INDEX(選手一覧!$H$5:$H$2736,$K189))</f>
        <v/>
      </c>
      <c r="Q189" s="12" t="str">
        <f aca="false">IF(INDEX(選手一覧!$I$5:$I$2736,$K189)="","",INDEX(選手一覧!$I$5:$I$2736,$K189))</f>
        <v/>
      </c>
    </row>
    <row r="190" customFormat="false" ht="15" hidden="false" customHeight="false" outlineLevel="0" collapsed="false">
      <c r="A190" s="35" t="n">
        <v>6</v>
      </c>
      <c r="B190" s="36" t="n">
        <v>4.9</v>
      </c>
      <c r="C190" s="10" t="n">
        <v>61</v>
      </c>
      <c r="D190" s="12" t="n">
        <f aca="false">COUNTIFS($A$5:$A$229,A190,$E$5:$E$229,"&lt;"&amp;E190)+1</f>
        <v>22</v>
      </c>
      <c r="E190" s="37" t="n">
        <v>0.0108101851851852</v>
      </c>
      <c r="F190" s="37" t="n">
        <f aca="false">E190/B190</f>
        <v>0.00220616024187453</v>
      </c>
      <c r="G190" s="8" t="s">
        <v>4470</v>
      </c>
      <c r="H190" s="8" t="s">
        <v>4250</v>
      </c>
      <c r="I190" s="38" t="s">
        <v>4251</v>
      </c>
      <c r="J190" s="12" t="n">
        <v>61</v>
      </c>
      <c r="K190" s="12" t="n">
        <v>916</v>
      </c>
      <c r="L190" s="9" t="n">
        <f aca="false">IF(INDEX(選手一覧!$D$5:$D$2736,$K190)="","",INDEX(選手一覧!$D$5:$D$2736,$K190))</f>
        <v>0.010896875</v>
      </c>
      <c r="M190" s="10" t="n">
        <f aca="false">IF(INDEX(選手一覧!$E$5:$E$2736,$K190)="","",INDEX(選手一覧!$E$5:$E$2736,$K190))</f>
        <v>917</v>
      </c>
      <c r="N190" s="11" t="n">
        <f aca="false">IF(INDEX(選手一覧!$F$5:$F$2736,$K190)="","",INDEX(選手一覧!$F$5:$F$2736,$K190))</f>
        <v>0.00691886574074074</v>
      </c>
      <c r="O190" s="12" t="n">
        <f aca="false">IF(INDEX(選手一覧!$G$5:$G$2736,$K190)="","",INDEX(選手一覧!$G$5:$G$2736,$K190))</f>
        <v>254</v>
      </c>
      <c r="P190" s="11" t="str">
        <f aca="false">IF(INDEX(選手一覧!$H$5:$H$2736,$K190)="","",INDEX(選手一覧!$H$5:$H$2736,$K190))</f>
        <v/>
      </c>
      <c r="Q190" s="12" t="str">
        <f aca="false">IF(INDEX(選手一覧!$I$5:$I$2736,$K190)="","",INDEX(選手一覧!$I$5:$I$2736,$K190))</f>
        <v/>
      </c>
    </row>
    <row r="191" customFormat="false" ht="15" hidden="false" customHeight="false" outlineLevel="0" collapsed="false">
      <c r="A191" s="35" t="n">
        <v>6</v>
      </c>
      <c r="B191" s="36" t="n">
        <v>4.9</v>
      </c>
      <c r="C191" s="10" t="n">
        <v>63</v>
      </c>
      <c r="D191" s="12" t="n">
        <f aca="false">COUNTIFS($A$5:$A$229,A191,$E$5:$E$229,"&lt;"&amp;E191)+1</f>
        <v>23</v>
      </c>
      <c r="E191" s="37" t="n">
        <v>0.0108564814814815</v>
      </c>
      <c r="F191" s="37" t="n">
        <f aca="false">E191/B191</f>
        <v>0.00221560846560847</v>
      </c>
      <c r="G191" s="8" t="s">
        <v>4471</v>
      </c>
      <c r="H191" s="8" t="s">
        <v>4385</v>
      </c>
      <c r="I191" s="38" t="s">
        <v>4386</v>
      </c>
      <c r="J191" s="12" t="n">
        <v>32</v>
      </c>
      <c r="K191" s="12" t="n">
        <v>1739</v>
      </c>
      <c r="L191" s="9" t="str">
        <f aca="false">IF(INDEX(選手一覧!$D$5:$D$2736,$K191)="","",INDEX(選手一覧!$D$5:$D$2736,$K191))</f>
        <v/>
      </c>
      <c r="M191" s="10" t="str">
        <f aca="false">IF(INDEX(選手一覧!$E$5:$E$2736,$K191)="","",INDEX(選手一覧!$E$5:$E$2736,$K191))</f>
        <v/>
      </c>
      <c r="N191" s="11" t="str">
        <f aca="false">IF(INDEX(選手一覧!$F$5:$F$2736,$K191)="","",INDEX(選手一覧!$F$5:$F$2736,$K191))</f>
        <v/>
      </c>
      <c r="O191" s="12" t="str">
        <f aca="false">IF(INDEX(選手一覧!$G$5:$G$2736,$K191)="","",INDEX(選手一覧!$G$5:$G$2736,$K191))</f>
        <v/>
      </c>
      <c r="P191" s="11" t="n">
        <f aca="false">IF(INDEX(選手一覧!$H$5:$H$2736,$K191)="","",INDEX(選手一覧!$H$5:$H$2736,$K191))</f>
        <v>0.00286099537037037</v>
      </c>
      <c r="Q191" s="12" t="n">
        <f aca="false">IF(INDEX(選手一覧!$I$5:$I$2736,$K191)="","",INDEX(選手一覧!$I$5:$I$2736,$K191))</f>
        <v>639</v>
      </c>
    </row>
    <row r="192" customFormat="false" ht="15" hidden="false" customHeight="false" outlineLevel="0" collapsed="false">
      <c r="A192" s="35" t="n">
        <v>6</v>
      </c>
      <c r="B192" s="36" t="n">
        <v>4.9</v>
      </c>
      <c r="C192" s="10" t="n">
        <v>70</v>
      </c>
      <c r="D192" s="12" t="n">
        <f aca="false">COUNTIFS($A$5:$A$229,A192,$E$5:$E$229,"&lt;"&amp;E192)+1</f>
        <v>24</v>
      </c>
      <c r="E192" s="37" t="n">
        <v>0.0109722222222222</v>
      </c>
      <c r="F192" s="37" t="n">
        <f aca="false">E192/B192</f>
        <v>0.00223922902494331</v>
      </c>
      <c r="G192" s="8" t="s">
        <v>4472</v>
      </c>
      <c r="H192" s="8" t="s">
        <v>4357</v>
      </c>
      <c r="I192" s="38" t="s">
        <v>4248</v>
      </c>
      <c r="J192" s="12" t="n">
        <v>72</v>
      </c>
      <c r="K192" s="12" t="n">
        <v>1415</v>
      </c>
      <c r="L192" s="9" t="str">
        <f aca="false">IF(INDEX(選手一覧!$D$5:$D$2736,$K192)="","",INDEX(選手一覧!$D$5:$D$2736,$K192))</f>
        <v/>
      </c>
      <c r="M192" s="10" t="str">
        <f aca="false">IF(INDEX(選手一覧!$E$5:$E$2736,$K192)="","",INDEX(選手一覧!$E$5:$E$2736,$K192))</f>
        <v/>
      </c>
      <c r="N192" s="11" t="n">
        <f aca="false">IF(INDEX(選手一覧!$F$5:$F$2736,$K192)="","",INDEX(選手一覧!$F$5:$F$2736,$K192))</f>
        <v>0.00695972222222222</v>
      </c>
      <c r="O192" s="12" t="n">
        <f aca="false">IF(INDEX(選手一覧!$G$5:$G$2736,$K192)="","",INDEX(選手一覧!$G$5:$G$2736,$K192))</f>
        <v>292</v>
      </c>
      <c r="P192" s="11" t="str">
        <f aca="false">IF(INDEX(選手一覧!$H$5:$H$2736,$K192)="","",INDEX(選手一覧!$H$5:$H$2736,$K192))</f>
        <v/>
      </c>
      <c r="Q192" s="12" t="str">
        <f aca="false">IF(INDEX(選手一覧!$I$5:$I$2736,$K192)="","",INDEX(選手一覧!$I$5:$I$2736,$K192))</f>
        <v/>
      </c>
    </row>
    <row r="193" customFormat="false" ht="15" hidden="false" customHeight="false" outlineLevel="0" collapsed="false">
      <c r="A193" s="35" t="n">
        <v>6</v>
      </c>
      <c r="B193" s="36" t="n">
        <v>4.9</v>
      </c>
      <c r="C193" s="10" t="n">
        <v>70</v>
      </c>
      <c r="D193" s="12" t="n">
        <f aca="false">COUNTIFS($A$5:$A$229,A193,$E$5:$E$229,"&lt;"&amp;E193)+1</f>
        <v>24</v>
      </c>
      <c r="E193" s="37" t="n">
        <v>0.0109722222222222</v>
      </c>
      <c r="F193" s="37" t="n">
        <f aca="false">E193/B193</f>
        <v>0.00223922902494331</v>
      </c>
      <c r="G193" s="8" t="s">
        <v>4473</v>
      </c>
      <c r="H193" s="8" t="s">
        <v>4474</v>
      </c>
      <c r="I193" s="38" t="s">
        <v>4173</v>
      </c>
      <c r="J193" s="12" t="n">
        <v>78</v>
      </c>
      <c r="K193" s="12" t="n">
        <v>1132</v>
      </c>
      <c r="L193" s="9" t="n">
        <f aca="false">IF(INDEX(選手一覧!$D$5:$D$2736,$K193)="","",INDEX(選手一覧!$D$5:$D$2736,$K193))</f>
        <v>0.011021875</v>
      </c>
      <c r="M193" s="10" t="n">
        <f aca="false">IF(INDEX(選手一覧!$E$5:$E$2736,$K193)="","",INDEX(選手一覧!$E$5:$E$2736,$K193))</f>
        <v>1133</v>
      </c>
      <c r="N193" s="11" t="str">
        <f aca="false">IF(INDEX(選手一覧!$F$5:$F$2736,$K193)="","",INDEX(選手一覧!$F$5:$F$2736,$K193))</f>
        <v/>
      </c>
      <c r="O193" s="12" t="str">
        <f aca="false">IF(INDEX(選手一覧!$G$5:$G$2736,$K193)="","",INDEX(選手一覧!$G$5:$G$2736,$K193))</f>
        <v/>
      </c>
      <c r="P193" s="11" t="str">
        <f aca="false">IF(INDEX(選手一覧!$H$5:$H$2736,$K193)="","",INDEX(選手一覧!$H$5:$H$2736,$K193))</f>
        <v/>
      </c>
      <c r="Q193" s="12" t="str">
        <f aca="false">IF(INDEX(選手一覧!$I$5:$I$2736,$K193)="","",INDEX(選手一覧!$I$5:$I$2736,$K193))</f>
        <v/>
      </c>
    </row>
    <row r="194" customFormat="false" ht="15" hidden="false" customHeight="false" outlineLevel="0" collapsed="false">
      <c r="A194" s="35" t="n">
        <v>6</v>
      </c>
      <c r="B194" s="36" t="n">
        <v>4.9</v>
      </c>
      <c r="C194" s="10" t="n">
        <v>75</v>
      </c>
      <c r="D194" s="12" t="n">
        <f aca="false">COUNTIFS($A$5:$A$229,A194,$E$5:$E$229,"&lt;"&amp;E194)+1</f>
        <v>26</v>
      </c>
      <c r="E194" s="37" t="n">
        <v>0.0110532407407407</v>
      </c>
      <c r="F194" s="37" t="n">
        <f aca="false">E194/B194</f>
        <v>0.0022557634164777</v>
      </c>
      <c r="G194" s="8" t="s">
        <v>4475</v>
      </c>
      <c r="H194" s="8" t="s">
        <v>4363</v>
      </c>
      <c r="I194" s="38" t="s">
        <v>4184</v>
      </c>
      <c r="J194" s="12" t="n">
        <v>75</v>
      </c>
      <c r="K194" s="12" t="n">
        <v>1435</v>
      </c>
      <c r="L194" s="9" t="str">
        <f aca="false">IF(INDEX(選手一覧!$D$5:$D$2736,$K194)="","",INDEX(選手一覧!$D$5:$D$2736,$K194))</f>
        <v/>
      </c>
      <c r="M194" s="10" t="str">
        <f aca="false">IF(INDEX(選手一覧!$E$5:$E$2736,$K194)="","",INDEX(選手一覧!$E$5:$E$2736,$K194))</f>
        <v/>
      </c>
      <c r="N194" s="11" t="n">
        <f aca="false">IF(INDEX(選手一覧!$F$5:$F$2736,$K194)="","",INDEX(選手一覧!$F$5:$F$2736,$K194))</f>
        <v>0.00699039351851852</v>
      </c>
      <c r="O194" s="12" t="n">
        <f aca="false">IF(INDEX(選手一覧!$G$5:$G$2736,$K194)="","",INDEX(選手一覧!$G$5:$G$2736,$K194))</f>
        <v>324</v>
      </c>
      <c r="P194" s="11" t="str">
        <f aca="false">IF(INDEX(選手一覧!$H$5:$H$2736,$K194)="","",INDEX(選手一覧!$H$5:$H$2736,$K194))</f>
        <v/>
      </c>
      <c r="Q194" s="12" t="str">
        <f aca="false">IF(INDEX(選手一覧!$I$5:$I$2736,$K194)="","",INDEX(選手一覧!$I$5:$I$2736,$K194))</f>
        <v/>
      </c>
    </row>
    <row r="195" customFormat="false" ht="15" hidden="false" customHeight="false" outlineLevel="0" collapsed="false">
      <c r="A195" s="35" t="n">
        <v>6</v>
      </c>
      <c r="B195" s="36" t="n">
        <v>4.9</v>
      </c>
      <c r="C195" s="10" t="n">
        <v>80</v>
      </c>
      <c r="D195" s="12" t="n">
        <f aca="false">COUNTIFS($A$5:$A$229,A195,$E$5:$E$229,"&lt;"&amp;E195)+1</f>
        <v>27</v>
      </c>
      <c r="E195" s="37" t="n">
        <v>0.0111574074074074</v>
      </c>
      <c r="F195" s="37" t="n">
        <f aca="false">E195/B195</f>
        <v>0.00227702191987906</v>
      </c>
      <c r="G195" s="8" t="s">
        <v>4476</v>
      </c>
      <c r="H195" s="8" t="s">
        <v>4271</v>
      </c>
      <c r="I195" s="38" t="s">
        <v>4173</v>
      </c>
      <c r="J195" s="12" t="n">
        <v>103</v>
      </c>
      <c r="K195" s="12" t="n">
        <v>2029</v>
      </c>
      <c r="L195" s="9" t="str">
        <f aca="false">IF(INDEX(選手一覧!$D$5:$D$2736,$K195)="","",INDEX(選手一覧!$D$5:$D$2736,$K195))</f>
        <v/>
      </c>
      <c r="M195" s="10" t="str">
        <f aca="false">IF(INDEX(選手一覧!$E$5:$E$2736,$K195)="","",INDEX(選手一覧!$E$5:$E$2736,$K195))</f>
        <v/>
      </c>
      <c r="N195" s="11" t="str">
        <f aca="false">IF(INDEX(選手一覧!$F$5:$F$2736,$K195)="","",INDEX(選手一覧!$F$5:$F$2736,$K195))</f>
        <v/>
      </c>
      <c r="O195" s="12" t="str">
        <f aca="false">IF(INDEX(選手一覧!$G$5:$G$2736,$K195)="","",INDEX(選手一覧!$G$5:$G$2736,$K195))</f>
        <v/>
      </c>
      <c r="P195" s="11" t="n">
        <f aca="false">IF(INDEX(選手一覧!$H$5:$H$2736,$K195)="","",INDEX(選手一覧!$H$5:$H$2736,$K195))</f>
        <v>0.00289085648148148</v>
      </c>
      <c r="Q195" s="12" t="n">
        <f aca="false">IF(INDEX(選手一覧!$I$5:$I$2736,$K195)="","",INDEX(選手一覧!$I$5:$I$2736,$K195))</f>
        <v>873</v>
      </c>
    </row>
    <row r="196" customFormat="false" ht="15" hidden="false" customHeight="false" outlineLevel="0" collapsed="false">
      <c r="A196" s="35" t="n">
        <v>6</v>
      </c>
      <c r="B196" s="36" t="n">
        <v>4.9</v>
      </c>
      <c r="C196" s="10" t="n">
        <v>82</v>
      </c>
      <c r="D196" s="12" t="n">
        <f aca="false">COUNTIFS($A$5:$A$229,A196,$E$5:$E$229,"&lt;"&amp;E196)+1</f>
        <v>29</v>
      </c>
      <c r="E196" s="37" t="n">
        <v>0.0112268518518519</v>
      </c>
      <c r="F196" s="37" t="n">
        <f aca="false">E196/B196</f>
        <v>0.00229119425547997</v>
      </c>
      <c r="G196" s="8" t="s">
        <v>4477</v>
      </c>
      <c r="H196" s="8" t="s">
        <v>4310</v>
      </c>
      <c r="I196" s="38" t="s">
        <v>4264</v>
      </c>
      <c r="J196" s="12" t="n">
        <v>65</v>
      </c>
      <c r="K196" s="12" t="n">
        <v>1599</v>
      </c>
      <c r="L196" s="9" t="str">
        <f aca="false">IF(INDEX(選手一覧!$D$5:$D$2736,$K196)="","",INDEX(選手一覧!$D$5:$D$2736,$K196))</f>
        <v/>
      </c>
      <c r="M196" s="10" t="str">
        <f aca="false">IF(INDEX(選手一覧!$E$5:$E$2736,$K196)="","",INDEX(選手一覧!$E$5:$E$2736,$K196))</f>
        <v/>
      </c>
      <c r="N196" s="11" t="n">
        <f aca="false">IF(INDEX(選手一覧!$F$5:$F$2736,$K196)="","",INDEX(選手一覧!$F$5:$F$2736,$K196))</f>
        <v>0.00716898148148148</v>
      </c>
      <c r="O196" s="12" t="n">
        <f aca="false">IF(INDEX(選手一覧!$G$5:$G$2736,$K196)="","",INDEX(選手一覧!$G$5:$G$2736,$K196))</f>
        <v>507</v>
      </c>
      <c r="P196" s="11" t="str">
        <f aca="false">IF(INDEX(選手一覧!$H$5:$H$2736,$K196)="","",INDEX(選手一覧!$H$5:$H$2736,$K196))</f>
        <v/>
      </c>
      <c r="Q196" s="12" t="str">
        <f aca="false">IF(INDEX(選手一覧!$I$5:$I$2736,$K196)="","",INDEX(選手一覧!$I$5:$I$2736,$K196))</f>
        <v/>
      </c>
    </row>
    <row r="197" customFormat="false" ht="15" hidden="false" customHeight="false" outlineLevel="0" collapsed="false">
      <c r="A197" s="35" t="n">
        <v>6</v>
      </c>
      <c r="B197" s="36" t="n">
        <v>4.9</v>
      </c>
      <c r="C197" s="10" t="n">
        <v>90</v>
      </c>
      <c r="D197" s="12" t="n">
        <f aca="false">COUNTIFS($A$5:$A$229,A197,$E$5:$E$229,"&lt;"&amp;E197)+1</f>
        <v>29</v>
      </c>
      <c r="E197" s="37" t="n">
        <v>0.0114351851851852</v>
      </c>
      <c r="F197" s="37" t="n">
        <f aca="false">E197/B197</f>
        <v>0.00233371126228269</v>
      </c>
      <c r="G197" s="8" t="s">
        <v>4478</v>
      </c>
      <c r="H197" s="8" t="s">
        <v>4442</v>
      </c>
      <c r="I197" s="38" t="s">
        <v>4173</v>
      </c>
      <c r="J197" s="12" t="n">
        <v>63</v>
      </c>
      <c r="K197" s="12" t="n">
        <v>857</v>
      </c>
      <c r="L197" s="9" t="n">
        <f aca="false">IF(INDEX(選手一覧!$D$5:$D$2736,$K197)="","",INDEX(選手一覧!$D$5:$D$2736,$K197))</f>
        <v>0.0108633101851852</v>
      </c>
      <c r="M197" s="10" t="n">
        <f aca="false">IF(INDEX(選手一覧!$E$5:$E$2736,$K197)="","",INDEX(選手一覧!$E$5:$E$2736,$K197))</f>
        <v>858</v>
      </c>
      <c r="N197" s="11" t="str">
        <f aca="false">IF(INDEX(選手一覧!$F$5:$F$2736,$K197)="","",INDEX(選手一覧!$F$5:$F$2736,$K197))</f>
        <v/>
      </c>
      <c r="O197" s="12" t="str">
        <f aca="false">IF(INDEX(選手一覧!$G$5:$G$2736,$K197)="","",INDEX(選手一覧!$G$5:$G$2736,$K197))</f>
        <v/>
      </c>
      <c r="P197" s="11" t="n">
        <f aca="false">IF(INDEX(選手一覧!$H$5:$H$2736,$K197)="","",INDEX(選手一覧!$H$5:$H$2736,$K197))</f>
        <v>0.00289016203703704</v>
      </c>
      <c r="Q197" s="12" t="n">
        <f aca="false">IF(INDEX(選手一覧!$I$5:$I$2736,$K197)="","",INDEX(選手一覧!$I$5:$I$2736,$K197))</f>
        <v>866</v>
      </c>
    </row>
    <row r="198" customFormat="false" ht="15" hidden="false" customHeight="false" outlineLevel="0" collapsed="false">
      <c r="A198" s="35" t="n">
        <v>6</v>
      </c>
      <c r="B198" s="36" t="n">
        <v>4.9</v>
      </c>
      <c r="C198" s="10" t="n">
        <v>100</v>
      </c>
      <c r="D198" s="12" t="n">
        <f aca="false">COUNTIFS($A$5:$A$229,A198,$E$5:$E$229,"&lt;"&amp;E198)+1</f>
        <v>30</v>
      </c>
      <c r="E198" s="37" t="n">
        <v>0.0116666666666667</v>
      </c>
      <c r="F198" s="37" t="n">
        <f aca="false">E198/B198</f>
        <v>0.00238095238095238</v>
      </c>
      <c r="G198" s="8" t="s">
        <v>4479</v>
      </c>
      <c r="H198" s="8" t="s">
        <v>4369</v>
      </c>
      <c r="I198" s="38" t="s">
        <v>4181</v>
      </c>
      <c r="J198" s="12" t="n">
        <v>96</v>
      </c>
      <c r="K198" s="12" t="n">
        <v>2068</v>
      </c>
      <c r="L198" s="9" t="str">
        <f aca="false">IF(INDEX(選手一覧!$D$5:$D$2736,$K198)="","",INDEX(選手一覧!$D$5:$D$2736,$K198))</f>
        <v/>
      </c>
      <c r="M198" s="10" t="str">
        <f aca="false">IF(INDEX(選手一覧!$E$5:$E$2736,$K198)="","",INDEX(選手一覧!$E$5:$E$2736,$K198))</f>
        <v/>
      </c>
      <c r="N198" s="11" t="n">
        <f aca="false">IF(INDEX(選手一覧!$F$5:$F$2736,$K198)="","",INDEX(選手一覧!$F$5:$F$2736,$K198))</f>
        <v>0.00751053240740741</v>
      </c>
      <c r="O198" s="12" t="n">
        <f aca="false">IF(INDEX(選手一覧!$G$5:$G$2736,$K198)="","",INDEX(選手一覧!$G$5:$G$2736,$K198))</f>
        <v>902</v>
      </c>
      <c r="P198" s="11" t="str">
        <f aca="false">IF(INDEX(選手一覧!$H$5:$H$2736,$K198)="","",INDEX(選手一覧!$H$5:$H$2736,$K198))</f>
        <v/>
      </c>
      <c r="Q198" s="12" t="str">
        <f aca="false">IF(INDEX(選手一覧!$I$5:$I$2736,$K198)="","",INDEX(選手一覧!$I$5:$I$2736,$K198))</f>
        <v/>
      </c>
    </row>
    <row r="199" customFormat="false" ht="15" hidden="false" customHeight="false" outlineLevel="0" collapsed="false">
      <c r="A199" s="35" t="n">
        <v>6</v>
      </c>
      <c r="B199" s="36" t="n">
        <v>4.9</v>
      </c>
      <c r="C199" s="10" t="n">
        <v>101</v>
      </c>
      <c r="D199" s="12" t="n">
        <f aca="false">COUNTIFS($A$5:$A$229,A199,$E$5:$E$229,"&lt;"&amp;E199)+1</f>
        <v>31</v>
      </c>
      <c r="E199" s="37" t="n">
        <v>0.0117592592592593</v>
      </c>
      <c r="F199" s="37" t="n">
        <f aca="false">E199/B199</f>
        <v>0.00239984882842026</v>
      </c>
      <c r="G199" s="8" t="s">
        <v>4480</v>
      </c>
      <c r="H199" s="8" t="s">
        <v>4253</v>
      </c>
      <c r="I199" s="38" t="s">
        <v>4181</v>
      </c>
      <c r="J199" s="12" t="n">
        <v>105</v>
      </c>
      <c r="K199" s="12" t="n">
        <v>2181</v>
      </c>
      <c r="L199" s="9" t="str">
        <f aca="false">IF(INDEX(選手一覧!$D$5:$D$2736,$K199)="","",INDEX(選手一覧!$D$5:$D$2736,$K199))</f>
        <v/>
      </c>
      <c r="M199" s="10" t="str">
        <f aca="false">IF(INDEX(選手一覧!$E$5:$E$2736,$K199)="","",INDEX(選手一覧!$E$5:$E$2736,$K199))</f>
        <v/>
      </c>
      <c r="N199" s="11" t="n">
        <f aca="false">IF(INDEX(選手一覧!$F$5:$F$2736,$K199)="","",INDEX(選手一覧!$F$5:$F$2736,$K199))</f>
        <v>0.00759097222222222</v>
      </c>
      <c r="O199" s="12" t="n">
        <f aca="false">IF(INDEX(選手一覧!$G$5:$G$2736,$K199)="","",INDEX(選手一覧!$G$5:$G$2736,$K199))</f>
        <v>987</v>
      </c>
      <c r="P199" s="11" t="str">
        <f aca="false">IF(INDEX(選手一覧!$H$5:$H$2736,$K199)="","",INDEX(選手一覧!$H$5:$H$2736,$K199))</f>
        <v/>
      </c>
      <c r="Q199" s="12" t="str">
        <f aca="false">IF(INDEX(選手一覧!$I$5:$I$2736,$K199)="","",INDEX(選手一覧!$I$5:$I$2736,$K199))</f>
        <v/>
      </c>
    </row>
    <row r="200" customFormat="false" ht="15" hidden="false" customHeight="false" outlineLevel="0" collapsed="false">
      <c r="A200" s="35" t="n">
        <v>6</v>
      </c>
      <c r="B200" s="36" t="n">
        <v>4.9</v>
      </c>
      <c r="C200" s="10" t="n">
        <v>106</v>
      </c>
      <c r="D200" s="12" t="n">
        <f aca="false">COUNTIFS($A$5:$A$229,A200,$E$5:$E$229,"&lt;"&amp;E200)+1</f>
        <v>33</v>
      </c>
      <c r="E200" s="37" t="n">
        <v>0.0122569444444445</v>
      </c>
      <c r="F200" s="37" t="n">
        <f aca="false">E200/B200</f>
        <v>0.00250141723356009</v>
      </c>
      <c r="G200" s="8" t="s">
        <v>4481</v>
      </c>
      <c r="H200" s="8" t="s">
        <v>4263</v>
      </c>
      <c r="I200" s="38" t="s">
        <v>4264</v>
      </c>
      <c r="J200" s="12" t="n">
        <v>102</v>
      </c>
      <c r="K200" s="12" t="n">
        <v>1472</v>
      </c>
      <c r="L200" s="9" t="str">
        <f aca="false">IF(INDEX(選手一覧!$D$5:$D$2736,$K200)="","",INDEX(選手一覧!$D$5:$D$2736,$K200))</f>
        <v/>
      </c>
      <c r="M200" s="10" t="str">
        <f aca="false">IF(INDEX(選手一覧!$E$5:$E$2736,$K200)="","",INDEX(選手一覧!$E$5:$E$2736,$K200))</f>
        <v/>
      </c>
      <c r="N200" s="11" t="n">
        <f aca="false">IF(INDEX(選手一覧!$F$5:$F$2736,$K200)="","",INDEX(選手一覧!$F$5:$F$2736,$K200))</f>
        <v>0.00703854166666667</v>
      </c>
      <c r="O200" s="12" t="n">
        <f aca="false">IF(INDEX(選手一覧!$G$5:$G$2736,$K200)="","",INDEX(選手一覧!$G$5:$G$2736,$K200))</f>
        <v>372</v>
      </c>
      <c r="P200" s="11" t="str">
        <f aca="false">IF(INDEX(選手一覧!$H$5:$H$2736,$K200)="","",INDEX(選手一覧!$H$5:$H$2736,$K200))</f>
        <v/>
      </c>
      <c r="Q200" s="12" t="str">
        <f aca="false">IF(INDEX(選手一覧!$I$5:$I$2736,$K200)="","",INDEX(選手一覧!$I$5:$I$2736,$K200))</f>
        <v/>
      </c>
    </row>
    <row r="201" customFormat="false" ht="15" hidden="false" customHeight="false" outlineLevel="0" collapsed="false">
      <c r="A201" s="25" t="n">
        <v>7</v>
      </c>
      <c r="B201" s="26" t="n">
        <v>5</v>
      </c>
      <c r="C201" s="10" t="n">
        <v>2</v>
      </c>
      <c r="D201" s="27" t="n">
        <f aca="false">COUNTIFS($A$5:$A$229,A201,$E$5:$E$229,"&lt;"&amp;E201)+1</f>
        <v>1</v>
      </c>
      <c r="E201" s="28" t="n">
        <v>0.0100462962962963</v>
      </c>
      <c r="F201" s="28" t="n">
        <f aca="false">E201/B201</f>
        <v>0.00200925925925926</v>
      </c>
      <c r="G201" s="29" t="s">
        <v>4482</v>
      </c>
      <c r="H201" s="29" t="s">
        <v>4172</v>
      </c>
      <c r="I201" s="30" t="s">
        <v>4173</v>
      </c>
      <c r="J201" s="27" t="n">
        <v>2</v>
      </c>
      <c r="K201" s="27" t="n">
        <v>3</v>
      </c>
      <c r="L201" s="9" t="n">
        <f aca="false">IF(INDEX(選手一覧!$D$5:$D$2736,$K201)="","",INDEX(選手一覧!$D$5:$D$2736,$K201))</f>
        <v>0.00968773148148148</v>
      </c>
      <c r="M201" s="10" t="n">
        <f aca="false">IF(INDEX(選手一覧!$E$5:$E$2736,$K201)="","",INDEX(選手一覧!$E$5:$E$2736,$K201))</f>
        <v>3</v>
      </c>
      <c r="N201" s="11" t="str">
        <f aca="false">IF(INDEX(選手一覧!$F$5:$F$2736,$K201)="","",INDEX(選手一覧!$F$5:$F$2736,$K201))</f>
        <v/>
      </c>
      <c r="O201" s="12" t="str">
        <f aca="false">IF(INDEX(選手一覧!$G$5:$G$2736,$K201)="","",INDEX(選手一覧!$G$5:$G$2736,$K201))</f>
        <v/>
      </c>
      <c r="P201" s="11" t="n">
        <f aca="false">IF(INDEX(選手一覧!$H$5:$H$2736,$K201)="","",INDEX(選手一覧!$H$5:$H$2736,$K201))</f>
        <v>0.00262800925925926</v>
      </c>
      <c r="Q201" s="12" t="n">
        <f aca="false">IF(INDEX(選手一覧!$I$5:$I$2736,$K201)="","",INDEX(選手一覧!$I$5:$I$2736,$K201))</f>
        <v>2</v>
      </c>
    </row>
    <row r="202" customFormat="false" ht="15" hidden="false" customHeight="false" outlineLevel="0" collapsed="false">
      <c r="A202" s="25" t="n">
        <v>7</v>
      </c>
      <c r="B202" s="26" t="n">
        <v>5</v>
      </c>
      <c r="C202" s="10" t="n">
        <v>7</v>
      </c>
      <c r="D202" s="27" t="n">
        <f aca="false">COUNTIFS($A$5:$A$229,A202,$E$5:$E$229,"&lt;"&amp;E202)+1</f>
        <v>2</v>
      </c>
      <c r="E202" s="28" t="n">
        <v>0.0102314814814815</v>
      </c>
      <c r="F202" s="28" t="n">
        <f aca="false">E202/B202</f>
        <v>0.0020462962962963</v>
      </c>
      <c r="G202" s="29" t="s">
        <v>4483</v>
      </c>
      <c r="H202" s="29" t="s">
        <v>4183</v>
      </c>
      <c r="I202" s="30" t="s">
        <v>4184</v>
      </c>
      <c r="J202" s="27" t="n">
        <v>6</v>
      </c>
      <c r="K202" s="27" t="n">
        <v>195</v>
      </c>
      <c r="L202" s="9" t="n">
        <f aca="false">IF(INDEX(選手一覧!$D$5:$D$2736,$K202)="","",INDEX(選手一覧!$D$5:$D$2736,$K202))</f>
        <v>0.0103417824074074</v>
      </c>
      <c r="M202" s="10" t="n">
        <f aca="false">IF(INDEX(選手一覧!$E$5:$E$2736,$K202)="","",INDEX(選手一覧!$E$5:$E$2736,$K202))</f>
        <v>196</v>
      </c>
      <c r="N202" s="11" t="str">
        <f aca="false">IF(INDEX(選手一覧!$F$5:$F$2736,$K202)="","",INDEX(選手一覧!$F$5:$F$2736,$K202))</f>
        <v/>
      </c>
      <c r="O202" s="12" t="str">
        <f aca="false">IF(INDEX(選手一覧!$G$5:$G$2736,$K202)="","",INDEX(選手一覧!$G$5:$G$2736,$K202))</f>
        <v/>
      </c>
      <c r="P202" s="11" t="n">
        <f aca="false">IF(INDEX(選手一覧!$H$5:$H$2736,$K202)="","",INDEX(選手一覧!$H$5:$H$2736,$K202))</f>
        <v>0.00290543981481482</v>
      </c>
      <c r="Q202" s="12" t="n">
        <f aca="false">IF(INDEX(選手一覧!$I$5:$I$2736,$K202)="","",INDEX(選手一覧!$I$5:$I$2736,$K202))</f>
        <v>986</v>
      </c>
    </row>
    <row r="203" customFormat="false" ht="15" hidden="false" customHeight="false" outlineLevel="0" collapsed="false">
      <c r="A203" s="25" t="n">
        <v>7</v>
      </c>
      <c r="B203" s="26" t="n">
        <v>5</v>
      </c>
      <c r="C203" s="10" t="n">
        <v>8</v>
      </c>
      <c r="D203" s="27" t="n">
        <f aca="false">COUNTIFS($A$5:$A$229,A203,$E$5:$E$229,"&lt;"&amp;E203)+1</f>
        <v>3</v>
      </c>
      <c r="E203" s="28" t="n">
        <v>0.0102546296296296</v>
      </c>
      <c r="F203" s="28" t="n">
        <f aca="false">E203/B203</f>
        <v>0.00205092592592593</v>
      </c>
      <c r="G203" s="29" t="s">
        <v>4484</v>
      </c>
      <c r="H203" s="29" t="s">
        <v>4485</v>
      </c>
      <c r="I203" s="30" t="s">
        <v>4173</v>
      </c>
      <c r="J203" s="27" t="n">
        <v>7</v>
      </c>
      <c r="K203" s="27" t="n">
        <v>87</v>
      </c>
      <c r="L203" s="9" t="n">
        <f aca="false">IF(INDEX(選手一覧!$D$5:$D$2736,$K203)="","",INDEX(選手一覧!$D$5:$D$2736,$K203))</f>
        <v>0.0101863425925926</v>
      </c>
      <c r="M203" s="10" t="n">
        <f aca="false">IF(INDEX(選手一覧!$E$5:$E$2736,$K203)="","",INDEX(選手一覧!$E$5:$E$2736,$K203))</f>
        <v>88</v>
      </c>
      <c r="N203" s="11" t="str">
        <f aca="false">IF(INDEX(選手一覧!$F$5:$F$2736,$K203)="","",INDEX(選手一覧!$F$5:$F$2736,$K203))</f>
        <v/>
      </c>
      <c r="O203" s="12" t="str">
        <f aca="false">IF(INDEX(選手一覧!$G$5:$G$2736,$K203)="","",INDEX(選手一覧!$G$5:$G$2736,$K203))</f>
        <v/>
      </c>
      <c r="P203" s="11" t="n">
        <f aca="false">IF(INDEX(選手一覧!$H$5:$H$2736,$K203)="","",INDEX(選手一覧!$H$5:$H$2736,$K203))</f>
        <v>0.00270231481481482</v>
      </c>
      <c r="Q203" s="12" t="n">
        <f aca="false">IF(INDEX(選手一覧!$I$5:$I$2736,$K203)="","",INDEX(選手一覧!$I$5:$I$2736,$K203))</f>
        <v>27</v>
      </c>
    </row>
    <row r="204" customFormat="false" ht="15" hidden="false" customHeight="false" outlineLevel="0" collapsed="false">
      <c r="A204" s="25" t="n">
        <v>7</v>
      </c>
      <c r="B204" s="26" t="n">
        <v>5</v>
      </c>
      <c r="C204" s="10" t="n">
        <v>11</v>
      </c>
      <c r="D204" s="27" t="n">
        <f aca="false">COUNTIFS($A$5:$A$229,A204,$E$5:$E$229,"&lt;"&amp;E204)+1</f>
        <v>4</v>
      </c>
      <c r="E204" s="28" t="n">
        <v>0.0103472222222222</v>
      </c>
      <c r="F204" s="28" t="n">
        <f aca="false">E204/B204</f>
        <v>0.00206944444444444</v>
      </c>
      <c r="G204" s="29" t="s">
        <v>4486</v>
      </c>
      <c r="H204" s="29" t="s">
        <v>4207</v>
      </c>
      <c r="I204" s="30" t="s">
        <v>4208</v>
      </c>
      <c r="J204" s="27" t="n">
        <v>16</v>
      </c>
      <c r="K204" s="27" t="n">
        <v>268</v>
      </c>
      <c r="L204" s="9" t="n">
        <f aca="false">IF(INDEX(選手一覧!$D$5:$D$2736,$K204)="","",INDEX(選手一覧!$D$5:$D$2736,$K204))</f>
        <v>0.0104037037037037</v>
      </c>
      <c r="M204" s="10" t="n">
        <f aca="false">IF(INDEX(選手一覧!$E$5:$E$2736,$K204)="","",INDEX(選手一覧!$E$5:$E$2736,$K204))</f>
        <v>269</v>
      </c>
      <c r="N204" s="11" t="str">
        <f aca="false">IF(INDEX(選手一覧!$F$5:$F$2736,$K204)="","",INDEX(選手一覧!$F$5:$F$2736,$K204))</f>
        <v/>
      </c>
      <c r="O204" s="12" t="str">
        <f aca="false">IF(INDEX(選手一覧!$G$5:$G$2736,$K204)="","",INDEX(選手一覧!$G$5:$G$2736,$K204))</f>
        <v/>
      </c>
      <c r="P204" s="11" t="n">
        <f aca="false">IF(INDEX(選手一覧!$H$5:$H$2736,$K204)="","",INDEX(選手一覧!$H$5:$H$2736,$K204))</f>
        <v>0.002796875</v>
      </c>
      <c r="Q204" s="12" t="n">
        <f aca="false">IF(INDEX(選手一覧!$I$5:$I$2736,$K204)="","",INDEX(選手一覧!$I$5:$I$2736,$K204))</f>
        <v>269</v>
      </c>
    </row>
    <row r="205" customFormat="false" ht="15" hidden="false" customHeight="false" outlineLevel="0" collapsed="false">
      <c r="A205" s="25" t="n">
        <v>7</v>
      </c>
      <c r="B205" s="26" t="n">
        <v>5</v>
      </c>
      <c r="C205" s="10" t="n">
        <v>17</v>
      </c>
      <c r="D205" s="27" t="n">
        <f aca="false">COUNTIFS($A$5:$A$229,A205,$E$5:$E$229,"&lt;"&amp;E205)+1</f>
        <v>5</v>
      </c>
      <c r="E205" s="28" t="n">
        <v>0.0103819444444444</v>
      </c>
      <c r="F205" s="28" t="n">
        <f aca="false">E205/B205</f>
        <v>0.00207638888888889</v>
      </c>
      <c r="G205" s="29" t="s">
        <v>4487</v>
      </c>
      <c r="H205" s="29" t="s">
        <v>4186</v>
      </c>
      <c r="I205" s="30" t="s">
        <v>4187</v>
      </c>
      <c r="J205" s="27" t="n">
        <v>37</v>
      </c>
      <c r="K205" s="27" t="n">
        <v>596</v>
      </c>
      <c r="L205" s="9" t="n">
        <f aca="false">IF(INDEX(選手一覧!$D$5:$D$2736,$K205)="","",INDEX(選手一覧!$D$5:$D$2736,$K205))</f>
        <v>0.0107082175925926</v>
      </c>
      <c r="M205" s="10" t="n">
        <f aca="false">IF(INDEX(選手一覧!$E$5:$E$2736,$K205)="","",INDEX(選手一覧!$E$5:$E$2736,$K205))</f>
        <v>597</v>
      </c>
      <c r="N205" s="11" t="str">
        <f aca="false">IF(INDEX(選手一覧!$F$5:$F$2736,$K205)="","",INDEX(選手一覧!$F$5:$F$2736,$K205))</f>
        <v/>
      </c>
      <c r="O205" s="12" t="str">
        <f aca="false">IF(INDEX(選手一覧!$G$5:$G$2736,$K205)="","",INDEX(選手一覧!$G$5:$G$2736,$K205))</f>
        <v/>
      </c>
      <c r="P205" s="11" t="n">
        <f aca="false">IF(INDEX(選手一覧!$H$5:$H$2736,$K205)="","",INDEX(選手一覧!$H$5:$H$2736,$K205))</f>
        <v>0.00273611111111111</v>
      </c>
      <c r="Q205" s="12" t="n">
        <f aca="false">IF(INDEX(選手一覧!$I$5:$I$2736,$K205)="","",INDEX(選手一覧!$I$5:$I$2736,$K205))</f>
        <v>77</v>
      </c>
    </row>
    <row r="206" customFormat="false" ht="15" hidden="false" customHeight="false" outlineLevel="0" collapsed="false">
      <c r="A206" s="25" t="n">
        <v>7</v>
      </c>
      <c r="B206" s="26" t="n">
        <v>5</v>
      </c>
      <c r="C206" s="10" t="n">
        <v>25</v>
      </c>
      <c r="D206" s="27" t="n">
        <f aca="false">COUNTIFS($A$5:$A$229,A206,$E$5:$E$229,"&lt;"&amp;E206)+1</f>
        <v>6</v>
      </c>
      <c r="E206" s="28" t="n">
        <v>0.0104861111111111</v>
      </c>
      <c r="F206" s="28" t="n">
        <f aca="false">E206/B206</f>
        <v>0.00209722222222222</v>
      </c>
      <c r="G206" s="29" t="s">
        <v>4488</v>
      </c>
      <c r="H206" s="29" t="s">
        <v>4216</v>
      </c>
      <c r="I206" s="30" t="s">
        <v>4217</v>
      </c>
      <c r="J206" s="27" t="n">
        <v>19</v>
      </c>
      <c r="K206" s="27" t="n">
        <v>351</v>
      </c>
      <c r="L206" s="9" t="n">
        <f aca="false">IF(INDEX(選手一覧!$D$5:$D$2736,$K206)="","",INDEX(選手一覧!$D$5:$D$2736,$K206))</f>
        <v>0.0105116898148148</v>
      </c>
      <c r="M206" s="10" t="n">
        <f aca="false">IF(INDEX(選手一覧!$E$5:$E$2736,$K206)="","",INDEX(選手一覧!$E$5:$E$2736,$K206))</f>
        <v>352</v>
      </c>
      <c r="N206" s="11" t="n">
        <f aca="false">IF(INDEX(選手一覧!$F$5:$F$2736,$K206)="","",INDEX(選手一覧!$F$5:$F$2736,$K206))</f>
        <v>0.00655925925925926</v>
      </c>
      <c r="O206" s="12" t="n">
        <f aca="false">IF(INDEX(選手一覧!$G$5:$G$2736,$K206)="","",INDEX(選手一覧!$G$5:$G$2736,$K206))</f>
        <v>46</v>
      </c>
      <c r="P206" s="11" t="n">
        <f aca="false">IF(INDEX(選手一覧!$H$5:$H$2736,$K206)="","",INDEX(選手一覧!$H$5:$H$2736,$K206))</f>
        <v>0.00283414351851852</v>
      </c>
      <c r="Q206" s="12" t="n">
        <f aca="false">IF(INDEX(選手一覧!$I$5:$I$2736,$K206)="","",INDEX(選手一覧!$I$5:$I$2736,$K206))</f>
        <v>451</v>
      </c>
    </row>
    <row r="207" customFormat="false" ht="15" hidden="false" customHeight="false" outlineLevel="0" collapsed="false">
      <c r="A207" s="25" t="n">
        <v>7</v>
      </c>
      <c r="B207" s="26" t="n">
        <v>5</v>
      </c>
      <c r="C207" s="10" t="n">
        <v>35</v>
      </c>
      <c r="D207" s="27" t="n">
        <f aca="false">COUNTIFS($A$5:$A$229,A207,$E$5:$E$229,"&lt;"&amp;E207)+1</f>
        <v>7</v>
      </c>
      <c r="E207" s="28" t="n">
        <v>0.0105787037037037</v>
      </c>
      <c r="F207" s="28" t="n">
        <f aca="false">E207/B207</f>
        <v>0.00211574074074074</v>
      </c>
      <c r="G207" s="29" t="s">
        <v>4489</v>
      </c>
      <c r="H207" s="29" t="s">
        <v>4348</v>
      </c>
      <c r="I207" s="30" t="s">
        <v>4229</v>
      </c>
      <c r="J207" s="27" t="n">
        <v>51</v>
      </c>
      <c r="K207" s="27" t="n">
        <v>365</v>
      </c>
      <c r="L207" s="9" t="n">
        <f aca="false">IF(INDEX(選手一覧!$D$5:$D$2736,$K207)="","",INDEX(選手一覧!$D$5:$D$2736,$K207))</f>
        <v>0.0105252314814815</v>
      </c>
      <c r="M207" s="10" t="n">
        <f aca="false">IF(INDEX(選手一覧!$E$5:$E$2736,$K207)="","",INDEX(選手一覧!$E$5:$E$2736,$K207))</f>
        <v>366</v>
      </c>
      <c r="N207" s="11" t="n">
        <f aca="false">IF(INDEX(選手一覧!$F$5:$F$2736,$K207)="","",INDEX(選手一覧!$F$5:$F$2736,$K207))</f>
        <v>0.00732141203703704</v>
      </c>
      <c r="O207" s="12" t="n">
        <f aca="false">IF(INDEX(選手一覧!$G$5:$G$2736,$K207)="","",INDEX(選手一覧!$G$5:$G$2736,$K207))</f>
        <v>671</v>
      </c>
      <c r="P207" s="11" t="n">
        <f aca="false">IF(INDEX(選手一覧!$H$5:$H$2736,$K207)="","",INDEX(選手一覧!$H$5:$H$2736,$K207))</f>
        <v>0.00289467592592593</v>
      </c>
      <c r="Q207" s="12" t="n">
        <f aca="false">IF(INDEX(選手一覧!$I$5:$I$2736,$K207)="","",INDEX(選手一覧!$I$5:$I$2736,$K207))</f>
        <v>910</v>
      </c>
    </row>
    <row r="208" customFormat="false" ht="15" hidden="false" customHeight="false" outlineLevel="0" collapsed="false">
      <c r="A208" s="25" t="n">
        <v>7</v>
      </c>
      <c r="B208" s="26" t="n">
        <v>5</v>
      </c>
      <c r="C208" s="10" t="n">
        <v>36</v>
      </c>
      <c r="D208" s="27" t="n">
        <f aca="false">COUNTIFS($A$5:$A$229,A208,$E$5:$E$229,"&lt;"&amp;E208)+1</f>
        <v>8</v>
      </c>
      <c r="E208" s="28" t="n">
        <v>0.0106134259259259</v>
      </c>
      <c r="F208" s="28" t="n">
        <f aca="false">E208/B208</f>
        <v>0.00212268518518519</v>
      </c>
      <c r="G208" s="29" t="s">
        <v>4490</v>
      </c>
      <c r="H208" s="29" t="s">
        <v>4219</v>
      </c>
      <c r="I208" s="30" t="s">
        <v>4173</v>
      </c>
      <c r="J208" s="27" t="n">
        <v>41</v>
      </c>
      <c r="K208" s="27" t="n">
        <v>418</v>
      </c>
      <c r="L208" s="9" t="n">
        <f aca="false">IF(INDEX(選手一覧!$D$5:$D$2736,$K208)="","",INDEX(選手一覧!$D$5:$D$2736,$K208))</f>
        <v>0.0105650462962963</v>
      </c>
      <c r="M208" s="10" t="n">
        <f aca="false">IF(INDEX(選手一覧!$E$5:$E$2736,$K208)="","",INDEX(選手一覧!$E$5:$E$2736,$K208))</f>
        <v>419</v>
      </c>
      <c r="N208" s="11" t="str">
        <f aca="false">IF(INDEX(選手一覧!$F$5:$F$2736,$K208)="","",INDEX(選手一覧!$F$5:$F$2736,$K208))</f>
        <v/>
      </c>
      <c r="O208" s="12" t="str">
        <f aca="false">IF(INDEX(選手一覧!$G$5:$G$2736,$K208)="","",INDEX(選手一覧!$G$5:$G$2736,$K208))</f>
        <v/>
      </c>
      <c r="P208" s="11" t="str">
        <f aca="false">IF(INDEX(選手一覧!$H$5:$H$2736,$K208)="","",INDEX(選手一覧!$H$5:$H$2736,$K208))</f>
        <v/>
      </c>
      <c r="Q208" s="12" t="str">
        <f aca="false">IF(INDEX(選手一覧!$I$5:$I$2736,$K208)="","",INDEX(選手一覧!$I$5:$I$2736,$K208))</f>
        <v/>
      </c>
    </row>
    <row r="209" customFormat="false" ht="15" hidden="false" customHeight="false" outlineLevel="0" collapsed="false">
      <c r="A209" s="25" t="n">
        <v>7</v>
      </c>
      <c r="B209" s="26" t="n">
        <v>5</v>
      </c>
      <c r="C209" s="10" t="n">
        <v>40</v>
      </c>
      <c r="D209" s="27" t="n">
        <f aca="false">COUNTIFS($A$5:$A$229,A209,$E$5:$E$229,"&lt;"&amp;E209)+1</f>
        <v>9</v>
      </c>
      <c r="E209" s="28" t="n">
        <v>0.0106712962962963</v>
      </c>
      <c r="F209" s="28" t="n">
        <f aca="false">E209/B209</f>
        <v>0.00213425925925926</v>
      </c>
      <c r="G209" s="29" t="s">
        <v>4491</v>
      </c>
      <c r="H209" s="29" t="s">
        <v>4250</v>
      </c>
      <c r="I209" s="30" t="s">
        <v>4251</v>
      </c>
      <c r="J209" s="27" t="n">
        <v>61</v>
      </c>
      <c r="K209" s="27" t="n">
        <v>672</v>
      </c>
      <c r="L209" s="9" t="n">
        <f aca="false">IF(INDEX(選手一覧!$D$5:$D$2736,$K209)="","",INDEX(選手一覧!$D$5:$D$2736,$K209))</f>
        <v>0.0107538194444444</v>
      </c>
      <c r="M209" s="10" t="n">
        <f aca="false">IF(INDEX(選手一覧!$E$5:$E$2736,$K209)="","",INDEX(選手一覧!$E$5:$E$2736,$K209))</f>
        <v>673</v>
      </c>
      <c r="N209" s="11" t="n">
        <f aca="false">IF(INDEX(選手一覧!$F$5:$F$2736,$K209)="","",INDEX(選手一覧!$F$5:$F$2736,$K209))</f>
        <v>0.007290625</v>
      </c>
      <c r="O209" s="12" t="n">
        <f aca="false">IF(INDEX(選手一覧!$G$5:$G$2736,$K209)="","",INDEX(選手一覧!$G$5:$G$2736,$K209))</f>
        <v>630</v>
      </c>
      <c r="P209" s="11" t="str">
        <f aca="false">IF(INDEX(選手一覧!$H$5:$H$2736,$K209)="","",INDEX(選手一覧!$H$5:$H$2736,$K209))</f>
        <v/>
      </c>
      <c r="Q209" s="12" t="str">
        <f aca="false">IF(INDEX(選手一覧!$I$5:$I$2736,$K209)="","",INDEX(選手一覧!$I$5:$I$2736,$K209))</f>
        <v/>
      </c>
    </row>
    <row r="210" customFormat="false" ht="15" hidden="false" customHeight="false" outlineLevel="0" collapsed="false">
      <c r="A210" s="25" t="n">
        <v>7</v>
      </c>
      <c r="B210" s="26" t="n">
        <v>5</v>
      </c>
      <c r="C210" s="10" t="n">
        <v>46</v>
      </c>
      <c r="D210" s="27" t="n">
        <f aca="false">COUNTIFS($A$5:$A$229,A210,$E$5:$E$229,"&lt;"&amp;E210)+1</f>
        <v>10</v>
      </c>
      <c r="E210" s="28" t="n">
        <v>0.0107986111111111</v>
      </c>
      <c r="F210" s="28" t="n">
        <f aca="false">E210/B210</f>
        <v>0.00215972222222222</v>
      </c>
      <c r="G210" s="29" t="s">
        <v>4492</v>
      </c>
      <c r="H210" s="29" t="s">
        <v>4279</v>
      </c>
      <c r="I210" s="30" t="s">
        <v>4264</v>
      </c>
      <c r="J210" s="27" t="n">
        <v>48</v>
      </c>
      <c r="K210" s="27" t="n">
        <v>851</v>
      </c>
      <c r="L210" s="9" t="n">
        <f aca="false">IF(INDEX(選手一覧!$D$5:$D$2736,$K210)="","",INDEX(選手一覧!$D$5:$D$2736,$K210))</f>
        <v>0.0108613425925926</v>
      </c>
      <c r="M210" s="10" t="n">
        <f aca="false">IF(INDEX(選手一覧!$E$5:$E$2736,$K210)="","",INDEX(選手一覧!$E$5:$E$2736,$K210))</f>
        <v>852</v>
      </c>
      <c r="N210" s="11" t="n">
        <f aca="false">IF(INDEX(選手一覧!$F$5:$F$2736,$K210)="","",INDEX(選手一覧!$F$5:$F$2736,$K210))</f>
        <v>0.00705833333333333</v>
      </c>
      <c r="O210" s="12" t="n">
        <f aca="false">IF(INDEX(選手一覧!$G$5:$G$2736,$K210)="","",INDEX(選手一覧!$G$5:$G$2736,$K210))</f>
        <v>399</v>
      </c>
      <c r="P210" s="11" t="n">
        <f aca="false">IF(INDEX(選手一覧!$H$5:$H$2736,$K210)="","",INDEX(選手一覧!$H$5:$H$2736,$K210))</f>
        <v>0.00287476851851852</v>
      </c>
      <c r="Q210" s="12" t="n">
        <f aca="false">IF(INDEX(選手一覧!$I$5:$I$2736,$K210)="","",INDEX(選手一覧!$I$5:$I$2736,$K210))</f>
        <v>733</v>
      </c>
    </row>
    <row r="211" customFormat="false" ht="15" hidden="false" customHeight="false" outlineLevel="0" collapsed="false">
      <c r="A211" s="25" t="n">
        <v>7</v>
      </c>
      <c r="B211" s="26" t="n">
        <v>5</v>
      </c>
      <c r="C211" s="10" t="n">
        <v>51</v>
      </c>
      <c r="D211" s="27" t="n">
        <f aca="false">COUNTIFS($A$5:$A$229,A211,$E$5:$E$229,"&lt;"&amp;E211)+1</f>
        <v>13</v>
      </c>
      <c r="E211" s="28" t="n">
        <v>0.0108217592592593</v>
      </c>
      <c r="F211" s="28" t="n">
        <f aca="false">E211/B211</f>
        <v>0.00216435185185185</v>
      </c>
      <c r="G211" s="29" t="s">
        <v>4493</v>
      </c>
      <c r="H211" s="29" t="s">
        <v>4200</v>
      </c>
      <c r="I211" s="30" t="s">
        <v>4200</v>
      </c>
      <c r="J211" s="27" t="n">
        <v>29</v>
      </c>
      <c r="K211" s="27" t="n">
        <v>862</v>
      </c>
      <c r="L211" s="9" t="n">
        <f aca="false">IF(INDEX(選手一覧!$D$5:$D$2736,$K211)="","",INDEX(選手一覧!$D$5:$D$2736,$K211))</f>
        <v>0.0108665509259259</v>
      </c>
      <c r="M211" s="10" t="n">
        <f aca="false">IF(INDEX(選手一覧!$E$5:$E$2736,$K211)="","",INDEX(選手一覧!$E$5:$E$2736,$K211))</f>
        <v>863</v>
      </c>
      <c r="N211" s="11" t="str">
        <f aca="false">IF(INDEX(選手一覧!$F$5:$F$2736,$K211)="","",INDEX(選手一覧!$F$5:$F$2736,$K211))</f>
        <v/>
      </c>
      <c r="O211" s="12" t="str">
        <f aca="false">IF(INDEX(選手一覧!$G$5:$G$2736,$K211)="","",INDEX(選手一覧!$G$5:$G$2736,$K211))</f>
        <v/>
      </c>
      <c r="P211" s="11" t="n">
        <f aca="false">IF(INDEX(選手一覧!$H$5:$H$2736,$K211)="","",INDEX(選手一覧!$H$5:$H$2736,$K211))</f>
        <v>0.002834375</v>
      </c>
      <c r="Q211" s="12" t="n">
        <f aca="false">IF(INDEX(選手一覧!$I$5:$I$2736,$K211)="","",INDEX(選手一覧!$I$5:$I$2736,$K211))</f>
        <v>452</v>
      </c>
    </row>
    <row r="212" customFormat="false" ht="15" hidden="false" customHeight="false" outlineLevel="0" collapsed="false">
      <c r="A212" s="25" t="n">
        <v>7</v>
      </c>
      <c r="B212" s="26" t="n">
        <v>5</v>
      </c>
      <c r="C212" s="10" t="n">
        <v>51</v>
      </c>
      <c r="D212" s="27" t="n">
        <f aca="false">COUNTIFS($A$5:$A$229,A212,$E$5:$E$229,"&lt;"&amp;E212)+1</f>
        <v>13</v>
      </c>
      <c r="E212" s="28" t="n">
        <v>0.0108217592592593</v>
      </c>
      <c r="F212" s="28" t="n">
        <f aca="false">E212/B212</f>
        <v>0.00216435185185185</v>
      </c>
      <c r="G212" s="29" t="s">
        <v>4494</v>
      </c>
      <c r="H212" s="29" t="s">
        <v>4228</v>
      </c>
      <c r="I212" s="30" t="s">
        <v>4229</v>
      </c>
      <c r="J212" s="27" t="n">
        <v>40</v>
      </c>
      <c r="K212" s="27" t="n">
        <v>1065</v>
      </c>
      <c r="L212" s="9" t="n">
        <f aca="false">IF(INDEX(選手一覧!$D$5:$D$2736,$K212)="","",INDEX(選手一覧!$D$5:$D$2736,$K212))</f>
        <v>0.0109842592592593</v>
      </c>
      <c r="M212" s="10" t="n">
        <f aca="false">IF(INDEX(選手一覧!$E$5:$E$2736,$K212)="","",INDEX(選手一覧!$E$5:$E$2736,$K212))</f>
        <v>1066</v>
      </c>
      <c r="N212" s="11" t="n">
        <f aca="false">IF(INDEX(選手一覧!$F$5:$F$2736,$K212)="","",INDEX(選手一覧!$F$5:$F$2736,$K212))</f>
        <v>0.006828125</v>
      </c>
      <c r="O212" s="12" t="n">
        <f aca="false">IF(INDEX(選手一覧!$G$5:$G$2736,$K212)="","",INDEX(選手一覧!$G$5:$G$2736,$K212))</f>
        <v>192</v>
      </c>
      <c r="P212" s="11" t="str">
        <f aca="false">IF(INDEX(選手一覧!$H$5:$H$2736,$K212)="","",INDEX(選手一覧!$H$5:$H$2736,$K212))</f>
        <v/>
      </c>
      <c r="Q212" s="12" t="str">
        <f aca="false">IF(INDEX(選手一覧!$I$5:$I$2736,$K212)="","",INDEX(選手一覧!$I$5:$I$2736,$K212))</f>
        <v/>
      </c>
    </row>
    <row r="213" customFormat="false" ht="15" hidden="false" customHeight="false" outlineLevel="0" collapsed="false">
      <c r="A213" s="25" t="n">
        <v>7</v>
      </c>
      <c r="B213" s="26" t="n">
        <v>5</v>
      </c>
      <c r="C213" s="10" t="n">
        <v>54</v>
      </c>
      <c r="D213" s="27" t="n">
        <f aca="false">COUNTIFS($A$5:$A$229,A213,$E$5:$E$229,"&lt;"&amp;E213)+1</f>
        <v>13</v>
      </c>
      <c r="E213" s="28" t="n">
        <v>0.0108564814814815</v>
      </c>
      <c r="F213" s="28" t="n">
        <f aca="false">E213/B213</f>
        <v>0.0021712962962963</v>
      </c>
      <c r="G213" s="29" t="s">
        <v>4495</v>
      </c>
      <c r="H213" s="29" t="s">
        <v>4385</v>
      </c>
      <c r="I213" s="30" t="s">
        <v>4386</v>
      </c>
      <c r="J213" s="27" t="n">
        <v>32</v>
      </c>
      <c r="K213" s="27" t="n">
        <v>766</v>
      </c>
      <c r="L213" s="9" t="n">
        <f aca="false">IF(INDEX(選手一覧!$D$5:$D$2736,$K213)="","",INDEX(選手一覧!$D$5:$D$2736,$K213))</f>
        <v>0.0108128472222222</v>
      </c>
      <c r="M213" s="10" t="n">
        <f aca="false">IF(INDEX(選手一覧!$E$5:$E$2736,$K213)="","",INDEX(選手一覧!$E$5:$E$2736,$K213))</f>
        <v>767</v>
      </c>
      <c r="N213" s="11" t="str">
        <f aca="false">IF(INDEX(選手一覧!$F$5:$F$2736,$K213)="","",INDEX(選手一覧!$F$5:$F$2736,$K213))</f>
        <v/>
      </c>
      <c r="O213" s="12" t="str">
        <f aca="false">IF(INDEX(選手一覧!$G$5:$G$2736,$K213)="","",INDEX(選手一覧!$G$5:$G$2736,$K213))</f>
        <v/>
      </c>
      <c r="P213" s="11" t="str">
        <f aca="false">IF(INDEX(選手一覧!$H$5:$H$2736,$K213)="","",INDEX(選手一覧!$H$5:$H$2736,$K213))</f>
        <v/>
      </c>
      <c r="Q213" s="12" t="str">
        <f aca="false">IF(INDEX(選手一覧!$I$5:$I$2736,$K213)="","",INDEX(選手一覧!$I$5:$I$2736,$K213))</f>
        <v/>
      </c>
    </row>
    <row r="214" customFormat="false" ht="15" hidden="false" customHeight="false" outlineLevel="0" collapsed="false">
      <c r="A214" s="25" t="n">
        <v>7</v>
      </c>
      <c r="B214" s="26" t="n">
        <v>5</v>
      </c>
      <c r="C214" s="10" t="n">
        <v>55</v>
      </c>
      <c r="D214" s="27" t="n">
        <f aca="false">COUNTIFS($A$5:$A$229,A214,$E$5:$E$229,"&lt;"&amp;E214)+1</f>
        <v>14</v>
      </c>
      <c r="E214" s="28" t="n">
        <v>0.0108796296296296</v>
      </c>
      <c r="F214" s="28" t="n">
        <f aca="false">E214/B214</f>
        <v>0.00217592592592593</v>
      </c>
      <c r="G214" s="29" t="s">
        <v>4496</v>
      </c>
      <c r="H214" s="29" t="s">
        <v>4213</v>
      </c>
      <c r="I214" s="30" t="s">
        <v>4214</v>
      </c>
      <c r="J214" s="27" t="n">
        <v>59</v>
      </c>
      <c r="K214" s="27" t="n">
        <v>869</v>
      </c>
      <c r="L214" s="9" t="n">
        <f aca="false">IF(INDEX(選手一覧!$D$5:$D$2736,$K214)="","",INDEX(選手一覧!$D$5:$D$2736,$K214))</f>
        <v>0.0108693287037037</v>
      </c>
      <c r="M214" s="10" t="n">
        <f aca="false">IF(INDEX(選手一覧!$E$5:$E$2736,$K214)="","",INDEX(選手一覧!$E$5:$E$2736,$K214))</f>
        <v>870</v>
      </c>
      <c r="N214" s="11" t="str">
        <f aca="false">IF(INDEX(選手一覧!$F$5:$F$2736,$K214)="","",INDEX(選手一覧!$F$5:$F$2736,$K214))</f>
        <v/>
      </c>
      <c r="O214" s="12" t="str">
        <f aca="false">IF(INDEX(選手一覧!$G$5:$G$2736,$K214)="","",INDEX(選手一覧!$G$5:$G$2736,$K214))</f>
        <v/>
      </c>
      <c r="P214" s="11" t="n">
        <f aca="false">IF(INDEX(選手一覧!$H$5:$H$2736,$K214)="","",INDEX(選手一覧!$H$5:$H$2736,$K214))</f>
        <v>0.00290625</v>
      </c>
      <c r="Q214" s="12" t="n">
        <f aca="false">IF(INDEX(選手一覧!$I$5:$I$2736,$K214)="","",INDEX(選手一覧!$I$5:$I$2736,$K214))</f>
        <v>991</v>
      </c>
    </row>
    <row r="215" customFormat="false" ht="15" hidden="false" customHeight="false" outlineLevel="0" collapsed="false">
      <c r="A215" s="25" t="n">
        <v>7</v>
      </c>
      <c r="B215" s="26" t="n">
        <v>5</v>
      </c>
      <c r="C215" s="10" t="n">
        <v>59</v>
      </c>
      <c r="D215" s="27" t="n">
        <f aca="false">COUNTIFS($A$5:$A$229,A215,$E$5:$E$229,"&lt;"&amp;E215)+1</f>
        <v>16</v>
      </c>
      <c r="E215" s="28" t="n">
        <v>0.0109143518518519</v>
      </c>
      <c r="F215" s="28" t="n">
        <f aca="false">E215/B215</f>
        <v>0.00218287037037037</v>
      </c>
      <c r="G215" s="29" t="s">
        <v>4497</v>
      </c>
      <c r="H215" s="29" t="s">
        <v>4498</v>
      </c>
      <c r="I215" s="30" t="s">
        <v>4264</v>
      </c>
      <c r="J215" s="27" t="n">
        <v>60</v>
      </c>
      <c r="K215" s="27" t="n">
        <v>843</v>
      </c>
      <c r="L215" s="9" t="n">
        <f aca="false">IF(INDEX(選手一覧!$D$5:$D$2736,$K215)="","",INDEX(選手一覧!$D$5:$D$2736,$K215))</f>
        <v>0.01085625</v>
      </c>
      <c r="M215" s="10" t="n">
        <f aca="false">IF(INDEX(選手一覧!$E$5:$E$2736,$K215)="","",INDEX(選手一覧!$E$5:$E$2736,$K215))</f>
        <v>844</v>
      </c>
      <c r="N215" s="11" t="n">
        <f aca="false">IF(INDEX(選手一覧!$F$5:$F$2736,$K215)="","",INDEX(選手一覧!$F$5:$F$2736,$K215))</f>
        <v>0.00656909722222222</v>
      </c>
      <c r="O215" s="12" t="n">
        <f aca="false">IF(INDEX(選手一覧!$G$5:$G$2736,$K215)="","",INDEX(選手一覧!$G$5:$G$2736,$K215))</f>
        <v>58</v>
      </c>
      <c r="P215" s="11" t="n">
        <f aca="false">IF(INDEX(選手一覧!$H$5:$H$2736,$K215)="","",INDEX(選手一覧!$H$5:$H$2736,$K215))</f>
        <v>0.00284525462962963</v>
      </c>
      <c r="Q215" s="12" t="n">
        <f aca="false">IF(INDEX(選手一覧!$I$5:$I$2736,$K215)="","",INDEX(選手一覧!$I$5:$I$2736,$K215))</f>
        <v>538</v>
      </c>
    </row>
    <row r="216" customFormat="false" ht="15" hidden="false" customHeight="false" outlineLevel="0" collapsed="false">
      <c r="A216" s="25" t="n">
        <v>7</v>
      </c>
      <c r="B216" s="26" t="n">
        <v>5</v>
      </c>
      <c r="C216" s="10" t="n">
        <v>63</v>
      </c>
      <c r="D216" s="27" t="n">
        <f aca="false">COUNTIFS($A$5:$A$229,A216,$E$5:$E$229,"&lt;"&amp;E216)+1</f>
        <v>16</v>
      </c>
      <c r="E216" s="28" t="n">
        <v>0.0109837962962963</v>
      </c>
      <c r="F216" s="28" t="n">
        <f aca="false">E216/B216</f>
        <v>0.00219675925925926</v>
      </c>
      <c r="G216" s="29" t="s">
        <v>4499</v>
      </c>
      <c r="H216" s="29" t="s">
        <v>4331</v>
      </c>
      <c r="I216" s="30" t="s">
        <v>4222</v>
      </c>
      <c r="J216" s="27" t="n">
        <v>28</v>
      </c>
      <c r="K216" s="27" t="n">
        <v>565</v>
      </c>
      <c r="L216" s="9" t="n">
        <f aca="false">IF(INDEX(選手一覧!$D$5:$D$2736,$K216)="","",INDEX(選手一覧!$D$5:$D$2736,$K216))</f>
        <v>0.0106886574074074</v>
      </c>
      <c r="M216" s="10" t="n">
        <f aca="false">IF(INDEX(選手一覧!$E$5:$E$2736,$K216)="","",INDEX(選手一覧!$E$5:$E$2736,$K216))</f>
        <v>566</v>
      </c>
      <c r="N216" s="11" t="n">
        <f aca="false">IF(INDEX(選手一覧!$F$5:$F$2736,$K216)="","",INDEX(選手一覧!$F$5:$F$2736,$K216))</f>
        <v>0.00705543981481482</v>
      </c>
      <c r="O216" s="12" t="n">
        <f aca="false">IF(INDEX(選手一覧!$G$5:$G$2736,$K216)="","",INDEX(選手一覧!$G$5:$G$2736,$K216))</f>
        <v>396</v>
      </c>
      <c r="P216" s="11" t="str">
        <f aca="false">IF(INDEX(選手一覧!$H$5:$H$2736,$K216)="","",INDEX(選手一覧!$H$5:$H$2736,$K216))</f>
        <v/>
      </c>
      <c r="Q216" s="12" t="str">
        <f aca="false">IF(INDEX(選手一覧!$I$5:$I$2736,$K216)="","",INDEX(選手一覧!$I$5:$I$2736,$K216))</f>
        <v/>
      </c>
    </row>
    <row r="217" customFormat="false" ht="15" hidden="false" customHeight="false" outlineLevel="0" collapsed="false">
      <c r="A217" s="25" t="n">
        <v>7</v>
      </c>
      <c r="B217" s="26" t="n">
        <v>5</v>
      </c>
      <c r="C217" s="10" t="n">
        <v>66</v>
      </c>
      <c r="D217" s="27" t="n">
        <f aca="false">COUNTIFS($A$5:$A$229,A217,$E$5:$E$229,"&lt;"&amp;E217)+1</f>
        <v>17</v>
      </c>
      <c r="E217" s="28" t="n">
        <v>0.0110300925925926</v>
      </c>
      <c r="F217" s="28" t="n">
        <f aca="false">E217/B217</f>
        <v>0.00220601851851852</v>
      </c>
      <c r="G217" s="29" t="s">
        <v>4500</v>
      </c>
      <c r="H217" s="29" t="s">
        <v>4501</v>
      </c>
      <c r="I217" s="30" t="s">
        <v>4184</v>
      </c>
      <c r="J217" s="27" t="n">
        <v>67</v>
      </c>
      <c r="K217" s="27" t="n">
        <v>1096</v>
      </c>
      <c r="L217" s="9" t="n">
        <f aca="false">IF(INDEX(選手一覧!$D$5:$D$2736,$K217)="","",INDEX(選手一覧!$D$5:$D$2736,$K217))</f>
        <v>0.0110001157407407</v>
      </c>
      <c r="M217" s="10" t="n">
        <f aca="false">IF(INDEX(選手一覧!$E$5:$E$2736,$K217)="","",INDEX(選手一覧!$E$5:$E$2736,$K217))</f>
        <v>1097</v>
      </c>
      <c r="N217" s="11" t="n">
        <f aca="false">IF(INDEX(選手一覧!$F$5:$F$2736,$K217)="","",INDEX(選手一覧!$F$5:$F$2736,$K217))</f>
        <v>0.00709780092592593</v>
      </c>
      <c r="O217" s="12" t="n">
        <f aca="false">IF(INDEX(選手一覧!$G$5:$G$2736,$K217)="","",INDEX(選手一覧!$G$5:$G$2736,$K217))</f>
        <v>447</v>
      </c>
      <c r="P217" s="11" t="str">
        <f aca="false">IF(INDEX(選手一覧!$H$5:$H$2736,$K217)="","",INDEX(選手一覧!$H$5:$H$2736,$K217))</f>
        <v/>
      </c>
      <c r="Q217" s="12" t="str">
        <f aca="false">IF(INDEX(選手一覧!$I$5:$I$2736,$K217)="","",INDEX(選手一覧!$I$5:$I$2736,$K217))</f>
        <v/>
      </c>
    </row>
    <row r="218" customFormat="false" ht="15" hidden="false" customHeight="false" outlineLevel="0" collapsed="false">
      <c r="A218" s="25" t="n">
        <v>7</v>
      </c>
      <c r="B218" s="26" t="n">
        <v>5</v>
      </c>
      <c r="C218" s="10" t="n">
        <v>68</v>
      </c>
      <c r="D218" s="27" t="n">
        <f aca="false">COUNTIFS($A$5:$A$229,A218,$E$5:$E$229,"&lt;"&amp;E218)+1</f>
        <v>18</v>
      </c>
      <c r="E218" s="28" t="n">
        <v>0.0110648148148148</v>
      </c>
      <c r="F218" s="28" t="n">
        <f aca="false">E218/B218</f>
        <v>0.00221296296296296</v>
      </c>
      <c r="G218" s="29" t="s">
        <v>4502</v>
      </c>
      <c r="H218" s="29" t="s">
        <v>4355</v>
      </c>
      <c r="I218" s="30" t="s">
        <v>4181</v>
      </c>
      <c r="J218" s="27" t="n">
        <v>85</v>
      </c>
      <c r="K218" s="27" t="n">
        <v>160</v>
      </c>
      <c r="L218" s="9" t="n">
        <f aca="false">IF(INDEX(選手一覧!$D$5:$D$2736,$K218)="","",INDEX(選手一覧!$D$5:$D$2736,$K218))</f>
        <v>0.0103003472222222</v>
      </c>
      <c r="M218" s="10" t="n">
        <f aca="false">IF(INDEX(選手一覧!$E$5:$E$2736,$K218)="","",INDEX(選手一覧!$E$5:$E$2736,$K218))</f>
        <v>161</v>
      </c>
      <c r="N218" s="11" t="n">
        <f aca="false">IF(INDEX(選手一覧!$F$5:$F$2736,$K218)="","",INDEX(選手一覧!$F$5:$F$2736,$K218))</f>
        <v>0.0070880787037037</v>
      </c>
      <c r="O218" s="12" t="n">
        <f aca="false">IF(INDEX(選手一覧!$G$5:$G$2736,$K218)="","",INDEX(選手一覧!$G$5:$G$2736,$K218))</f>
        <v>437</v>
      </c>
      <c r="P218" s="11" t="n">
        <f aca="false">IF(INDEX(選手一覧!$H$5:$H$2736,$K218)="","",INDEX(選手一覧!$H$5:$H$2736,$K218))</f>
        <v>0.00275381944444445</v>
      </c>
      <c r="Q218" s="12" t="n">
        <f aca="false">IF(INDEX(選手一覧!$I$5:$I$2736,$K218)="","",INDEX(選手一覧!$I$5:$I$2736,$K218))</f>
        <v>113</v>
      </c>
    </row>
    <row r="219" customFormat="false" ht="15" hidden="false" customHeight="false" outlineLevel="0" collapsed="false">
      <c r="A219" s="25" t="n">
        <v>7</v>
      </c>
      <c r="B219" s="26" t="n">
        <v>5</v>
      </c>
      <c r="C219" s="10" t="n">
        <v>69</v>
      </c>
      <c r="D219" s="27" t="n">
        <f aca="false">COUNTIFS($A$5:$A$229,A219,$E$5:$E$229,"&lt;"&amp;E219)+1</f>
        <v>20</v>
      </c>
      <c r="E219" s="28" t="n">
        <v>0.011087962962963</v>
      </c>
      <c r="F219" s="28" t="n">
        <f aca="false">E219/B219</f>
        <v>0.00221759259259259</v>
      </c>
      <c r="G219" s="29" t="s">
        <v>4503</v>
      </c>
      <c r="H219" s="29" t="s">
        <v>4323</v>
      </c>
      <c r="I219" s="30" t="s">
        <v>4184</v>
      </c>
      <c r="J219" s="27" t="n">
        <v>44</v>
      </c>
      <c r="K219" s="27" t="n">
        <v>1376</v>
      </c>
      <c r="L219" s="9" t="str">
        <f aca="false">IF(INDEX(選手一覧!$D$5:$D$2736,$K219)="","",INDEX(選手一覧!$D$5:$D$2736,$K219))</f>
        <v/>
      </c>
      <c r="M219" s="10" t="str">
        <f aca="false">IF(INDEX(選手一覧!$E$5:$E$2736,$K219)="","",INDEX(選手一覧!$E$5:$E$2736,$K219))</f>
        <v/>
      </c>
      <c r="N219" s="11" t="n">
        <f aca="false">IF(INDEX(選手一覧!$F$5:$F$2736,$K219)="","",INDEX(選手一覧!$F$5:$F$2736,$K219))</f>
        <v>0.00690069444444445</v>
      </c>
      <c r="O219" s="12" t="n">
        <f aca="false">IF(INDEX(選手一覧!$G$5:$G$2736,$K219)="","",INDEX(選手一覧!$G$5:$G$2736,$K219))</f>
        <v>242</v>
      </c>
      <c r="P219" s="11" t="str">
        <f aca="false">IF(INDEX(選手一覧!$H$5:$H$2736,$K219)="","",INDEX(選手一覧!$H$5:$H$2736,$K219))</f>
        <v/>
      </c>
      <c r="Q219" s="12" t="str">
        <f aca="false">IF(INDEX(選手一覧!$I$5:$I$2736,$K219)="","",INDEX(選手一覧!$I$5:$I$2736,$K219))</f>
        <v/>
      </c>
    </row>
    <row r="220" customFormat="false" ht="15" hidden="false" customHeight="false" outlineLevel="0" collapsed="false">
      <c r="A220" s="25" t="n">
        <v>7</v>
      </c>
      <c r="B220" s="26" t="n">
        <v>5</v>
      </c>
      <c r="C220" s="10" t="n">
        <v>71</v>
      </c>
      <c r="D220" s="27" t="n">
        <f aca="false">COUNTIFS($A$5:$A$229,A220,$E$5:$E$229,"&lt;"&amp;E220)+1</f>
        <v>21</v>
      </c>
      <c r="E220" s="28" t="n">
        <v>0.0111342592592593</v>
      </c>
      <c r="F220" s="28" t="n">
        <f aca="false">E220/B220</f>
        <v>0.00222685185185185</v>
      </c>
      <c r="G220" s="29" t="s">
        <v>4504</v>
      </c>
      <c r="H220" s="29" t="s">
        <v>4353</v>
      </c>
      <c r="I220" s="30" t="s">
        <v>4222</v>
      </c>
      <c r="J220" s="27" t="n">
        <v>54</v>
      </c>
      <c r="K220" s="27" t="n">
        <v>1021</v>
      </c>
      <c r="L220" s="9" t="n">
        <f aca="false">IF(INDEX(選手一覧!$D$5:$D$2736,$K220)="","",INDEX(選手一覧!$D$5:$D$2736,$K220))</f>
        <v>0.0109625</v>
      </c>
      <c r="M220" s="10" t="n">
        <f aca="false">IF(INDEX(選手一覧!$E$5:$E$2736,$K220)="","",INDEX(選手一覧!$E$5:$E$2736,$K220))</f>
        <v>1022</v>
      </c>
      <c r="N220" s="11" t="n">
        <f aca="false">IF(INDEX(選手一覧!$F$5:$F$2736,$K220)="","",INDEX(選手一覧!$F$5:$F$2736,$K220))</f>
        <v>0.00737592592592593</v>
      </c>
      <c r="O220" s="12" t="n">
        <f aca="false">IF(INDEX(選手一覧!$G$5:$G$2736,$K220)="","",INDEX(選手一覧!$G$5:$G$2736,$K220))</f>
        <v>743</v>
      </c>
      <c r="P220" s="11" t="str">
        <f aca="false">IF(INDEX(選手一覧!$H$5:$H$2736,$K220)="","",INDEX(選手一覧!$H$5:$H$2736,$K220))</f>
        <v/>
      </c>
      <c r="Q220" s="12" t="str">
        <f aca="false">IF(INDEX(選手一覧!$I$5:$I$2736,$K220)="","",INDEX(選手一覧!$I$5:$I$2736,$K220))</f>
        <v/>
      </c>
    </row>
    <row r="221" customFormat="false" ht="15" hidden="false" customHeight="false" outlineLevel="0" collapsed="false">
      <c r="A221" s="25" t="n">
        <v>7</v>
      </c>
      <c r="B221" s="26" t="n">
        <v>5</v>
      </c>
      <c r="C221" s="10" t="n">
        <v>72</v>
      </c>
      <c r="D221" s="27" t="n">
        <f aca="false">COUNTIFS($A$5:$A$229,A221,$E$5:$E$229,"&lt;"&amp;E221)+1</f>
        <v>21</v>
      </c>
      <c r="E221" s="28" t="n">
        <v>0.0111458333333333</v>
      </c>
      <c r="F221" s="28" t="n">
        <f aca="false">E221/B221</f>
        <v>0.00222916666666667</v>
      </c>
      <c r="G221" s="29" t="s">
        <v>4505</v>
      </c>
      <c r="H221" s="29" t="s">
        <v>4314</v>
      </c>
      <c r="I221" s="30" t="s">
        <v>4187</v>
      </c>
      <c r="J221" s="27" t="n">
        <v>87</v>
      </c>
      <c r="K221" s="27" t="n">
        <v>1012</v>
      </c>
      <c r="L221" s="9" t="n">
        <f aca="false">IF(INDEX(選手一覧!$D$5:$D$2736,$K221)="","",INDEX(選手一覧!$D$5:$D$2736,$K221))</f>
        <v>0.0109548611111111</v>
      </c>
      <c r="M221" s="10" t="n">
        <f aca="false">IF(INDEX(選手一覧!$E$5:$E$2736,$K221)="","",INDEX(選手一覧!$E$5:$E$2736,$K221))</f>
        <v>1013</v>
      </c>
      <c r="N221" s="11" t="str">
        <f aca="false">IF(INDEX(選手一覧!$F$5:$F$2736,$K221)="","",INDEX(選手一覧!$F$5:$F$2736,$K221))</f>
        <v/>
      </c>
      <c r="O221" s="12" t="str">
        <f aca="false">IF(INDEX(選手一覧!$G$5:$G$2736,$K221)="","",INDEX(選手一覧!$G$5:$G$2736,$K221))</f>
        <v/>
      </c>
      <c r="P221" s="11" t="n">
        <f aca="false">IF(INDEX(選手一覧!$H$5:$H$2736,$K221)="","",INDEX(選手一覧!$H$5:$H$2736,$K221))</f>
        <v>0.00297916666666667</v>
      </c>
      <c r="Q221" s="12" t="n">
        <f aca="false">IF(INDEX(選手一覧!$I$5:$I$2736,$K221)="","",INDEX(選手一覧!$I$5:$I$2736,$K221))</f>
        <v>1349</v>
      </c>
    </row>
    <row r="222" customFormat="false" ht="15" hidden="false" customHeight="false" outlineLevel="0" collapsed="false">
      <c r="A222" s="25" t="n">
        <v>7</v>
      </c>
      <c r="B222" s="26" t="n">
        <v>5</v>
      </c>
      <c r="C222" s="10" t="n">
        <v>73</v>
      </c>
      <c r="D222" s="27" t="n">
        <f aca="false">COUNTIFS($A$5:$A$229,A222,$E$5:$E$229,"&lt;"&amp;E222)+1</f>
        <v>22</v>
      </c>
      <c r="E222" s="28" t="n">
        <v>0.0111574074074074</v>
      </c>
      <c r="F222" s="28" t="n">
        <f aca="false">E222/B222</f>
        <v>0.00223148148148148</v>
      </c>
      <c r="G222" s="29" t="s">
        <v>4506</v>
      </c>
      <c r="H222" s="29" t="s">
        <v>4316</v>
      </c>
      <c r="I222" s="30" t="s">
        <v>4187</v>
      </c>
      <c r="J222" s="27" t="n">
        <v>71</v>
      </c>
      <c r="K222" s="27" t="n">
        <v>918</v>
      </c>
      <c r="L222" s="9" t="n">
        <f aca="false">IF(INDEX(選手一覧!$D$5:$D$2736,$K222)="","",INDEX(選手一覧!$D$5:$D$2736,$K222))</f>
        <v>0.0108982638888889</v>
      </c>
      <c r="M222" s="10" t="n">
        <f aca="false">IF(INDEX(選手一覧!$E$5:$E$2736,$K222)="","",INDEX(選手一覧!$E$5:$E$2736,$K222))</f>
        <v>919</v>
      </c>
      <c r="N222" s="11" t="str">
        <f aca="false">IF(INDEX(選手一覧!$F$5:$F$2736,$K222)="","",INDEX(選手一覧!$F$5:$F$2736,$K222))</f>
        <v/>
      </c>
      <c r="O222" s="12" t="str">
        <f aca="false">IF(INDEX(選手一覧!$G$5:$G$2736,$K222)="","",INDEX(選手一覧!$G$5:$G$2736,$K222))</f>
        <v/>
      </c>
      <c r="P222" s="11" t="n">
        <f aca="false">IF(INDEX(選手一覧!$H$5:$H$2736,$K222)="","",INDEX(選手一覧!$H$5:$H$2736,$K222))</f>
        <v>0.00288506944444444</v>
      </c>
      <c r="Q222" s="12" t="n">
        <f aca="false">IF(INDEX(選手一覧!$I$5:$I$2736,$K222)="","",INDEX(選手一覧!$I$5:$I$2736,$K222))</f>
        <v>817</v>
      </c>
    </row>
    <row r="223" customFormat="false" ht="15" hidden="false" customHeight="false" outlineLevel="0" collapsed="false">
      <c r="A223" s="25" t="n">
        <v>7</v>
      </c>
      <c r="B223" s="26" t="n">
        <v>5</v>
      </c>
      <c r="C223" s="10" t="n">
        <v>78</v>
      </c>
      <c r="D223" s="27" t="n">
        <f aca="false">COUNTIFS($A$5:$A$229,A223,$E$5:$E$229,"&lt;"&amp;E223)+1</f>
        <v>23</v>
      </c>
      <c r="E223" s="28" t="n">
        <v>0.0113194444444444</v>
      </c>
      <c r="F223" s="28" t="n">
        <f aca="false">E223/B223</f>
        <v>0.00226388888888889</v>
      </c>
      <c r="G223" s="29" t="s">
        <v>4507</v>
      </c>
      <c r="H223" s="29" t="s">
        <v>4508</v>
      </c>
      <c r="I223" s="30" t="s">
        <v>4187</v>
      </c>
      <c r="J223" s="27" t="n">
        <v>90</v>
      </c>
      <c r="K223" s="27" t="n">
        <v>1020</v>
      </c>
      <c r="L223" s="9" t="n">
        <f aca="false">IF(INDEX(選手一覧!$D$5:$D$2736,$K223)="","",INDEX(選手一覧!$D$5:$D$2736,$K223))</f>
        <v>0.0109608796296296</v>
      </c>
      <c r="M223" s="10" t="n">
        <f aca="false">IF(INDEX(選手一覧!$E$5:$E$2736,$K223)="","",INDEX(選手一覧!$E$5:$E$2736,$K223))</f>
        <v>1021</v>
      </c>
      <c r="N223" s="11" t="n">
        <f aca="false">IF(INDEX(選手一覧!$F$5:$F$2736,$K223)="","",INDEX(選手一覧!$F$5:$F$2736,$K223))</f>
        <v>0.00672141203703704</v>
      </c>
      <c r="O223" s="12" t="n">
        <f aca="false">IF(INDEX(選手一覧!$G$5:$G$2736,$K223)="","",INDEX(選手一覧!$G$5:$G$2736,$K223))</f>
        <v>114</v>
      </c>
      <c r="P223" s="11" t="str">
        <f aca="false">IF(INDEX(選手一覧!$H$5:$H$2736,$K223)="","",INDEX(選手一覧!$H$5:$H$2736,$K223))</f>
        <v/>
      </c>
      <c r="Q223" s="12" t="str">
        <f aca="false">IF(INDEX(選手一覧!$I$5:$I$2736,$K223)="","",INDEX(選手一覧!$I$5:$I$2736,$K223))</f>
        <v/>
      </c>
    </row>
    <row r="224" customFormat="false" ht="15" hidden="false" customHeight="false" outlineLevel="0" collapsed="false">
      <c r="A224" s="25" t="n">
        <v>7</v>
      </c>
      <c r="B224" s="26" t="n">
        <v>5</v>
      </c>
      <c r="C224" s="10" t="n">
        <v>84</v>
      </c>
      <c r="D224" s="27" t="n">
        <f aca="false">COUNTIFS($A$5:$A$229,A224,$E$5:$E$229,"&lt;"&amp;E224)+1</f>
        <v>24</v>
      </c>
      <c r="E224" s="28" t="n">
        <v>0.0114467592592593</v>
      </c>
      <c r="F224" s="28" t="n">
        <f aca="false">E224/B224</f>
        <v>0.00228935185185185</v>
      </c>
      <c r="G224" s="29" t="s">
        <v>4509</v>
      </c>
      <c r="H224" s="29" t="s">
        <v>4416</v>
      </c>
      <c r="I224" s="30" t="s">
        <v>4173</v>
      </c>
      <c r="J224" s="27" t="n">
        <v>94</v>
      </c>
      <c r="K224" s="27" t="n">
        <v>1767</v>
      </c>
      <c r="L224" s="9" t="str">
        <f aca="false">IF(INDEX(選手一覧!$D$5:$D$2736,$K224)="","",INDEX(選手一覧!$D$5:$D$2736,$K224))</f>
        <v/>
      </c>
      <c r="M224" s="10" t="str">
        <f aca="false">IF(INDEX(選手一覧!$E$5:$E$2736,$K224)="","",INDEX(選手一覧!$E$5:$E$2736,$K224))</f>
        <v/>
      </c>
      <c r="N224" s="11" t="n">
        <f aca="false">IF(INDEX(選手一覧!$F$5:$F$2736,$K224)="","",INDEX(選手一覧!$F$5:$F$2736,$K224))</f>
        <v>0.00731724537037037</v>
      </c>
      <c r="O224" s="12" t="n">
        <f aca="false">IF(INDEX(選手一覧!$G$5:$G$2736,$K224)="","",INDEX(選手一覧!$G$5:$G$2736,$K224))</f>
        <v>666</v>
      </c>
      <c r="P224" s="11" t="str">
        <f aca="false">IF(INDEX(選手一覧!$H$5:$H$2736,$K224)="","",INDEX(選手一覧!$H$5:$H$2736,$K224))</f>
        <v/>
      </c>
      <c r="Q224" s="12" t="str">
        <f aca="false">IF(INDEX(選手一覧!$I$5:$I$2736,$K224)="","",INDEX(選手一覧!$I$5:$I$2736,$K224))</f>
        <v/>
      </c>
    </row>
    <row r="225" customFormat="false" ht="15" hidden="false" customHeight="false" outlineLevel="0" collapsed="false">
      <c r="A225" s="25" t="n">
        <v>7</v>
      </c>
      <c r="B225" s="26" t="n">
        <v>5</v>
      </c>
      <c r="C225" s="10" t="n">
        <v>91</v>
      </c>
      <c r="D225" s="27" t="n">
        <f aca="false">COUNTIFS($A$5:$A$229,A225,$E$5:$E$229,"&lt;"&amp;E225)+1</f>
        <v>25</v>
      </c>
      <c r="E225" s="28" t="n">
        <v>0.0117013888888889</v>
      </c>
      <c r="F225" s="28" t="n">
        <f aca="false">E225/B225</f>
        <v>0.00234027777777778</v>
      </c>
      <c r="G225" s="29" t="s">
        <v>4510</v>
      </c>
      <c r="H225" s="29" t="s">
        <v>4365</v>
      </c>
      <c r="I225" s="30" t="s">
        <v>4184</v>
      </c>
      <c r="J225" s="27" t="n">
        <v>99</v>
      </c>
      <c r="K225" s="27" t="n">
        <v>1746</v>
      </c>
      <c r="L225" s="9" t="str">
        <f aca="false">IF(INDEX(選手一覧!$D$5:$D$2736,$K225)="","",INDEX(選手一覧!$D$5:$D$2736,$K225))</f>
        <v/>
      </c>
      <c r="M225" s="10" t="str">
        <f aca="false">IF(INDEX(選手一覧!$E$5:$E$2736,$K225)="","",INDEX(選手一覧!$E$5:$E$2736,$K225))</f>
        <v/>
      </c>
      <c r="N225" s="11" t="n">
        <f aca="false">IF(INDEX(選手一覧!$F$5:$F$2736,$K225)="","",INDEX(選手一覧!$F$5:$F$2736,$K225))</f>
        <v>0.00729930555555556</v>
      </c>
      <c r="O225" s="12" t="n">
        <f aca="false">IF(INDEX(選手一覧!$G$5:$G$2736,$K225)="","",INDEX(選手一覧!$G$5:$G$2736,$K225))</f>
        <v>645</v>
      </c>
      <c r="P225" s="11" t="str">
        <f aca="false">IF(INDEX(選手一覧!$H$5:$H$2736,$K225)="","",INDEX(選手一覧!$H$5:$H$2736,$K225))</f>
        <v/>
      </c>
      <c r="Q225" s="12" t="str">
        <f aca="false">IF(INDEX(選手一覧!$I$5:$I$2736,$K225)="","",INDEX(選手一覧!$I$5:$I$2736,$K225))</f>
        <v/>
      </c>
    </row>
    <row r="226" customFormat="false" ht="15" hidden="false" customHeight="false" outlineLevel="0" collapsed="false">
      <c r="A226" s="25" t="n">
        <v>7</v>
      </c>
      <c r="B226" s="26" t="n">
        <v>5</v>
      </c>
      <c r="C226" s="10" t="n">
        <v>92</v>
      </c>
      <c r="D226" s="27" t="n">
        <f aca="false">COUNTIFS($A$5:$A$229,A226,$E$5:$E$229,"&lt;"&amp;E226)+1</f>
        <v>26</v>
      </c>
      <c r="E226" s="28" t="n">
        <v>0.011712962962963</v>
      </c>
      <c r="F226" s="28" t="n">
        <f aca="false">E226/B226</f>
        <v>0.00234259259259259</v>
      </c>
      <c r="G226" s="29" t="s">
        <v>4511</v>
      </c>
      <c r="H226" s="29" t="s">
        <v>4512</v>
      </c>
      <c r="I226" s="30" t="s">
        <v>4264</v>
      </c>
      <c r="J226" s="27" t="n">
        <v>89</v>
      </c>
      <c r="K226" s="27" t="n">
        <v>2355</v>
      </c>
      <c r="L226" s="9" t="str">
        <f aca="false">IF(INDEX(選手一覧!$D$5:$D$2736,$K226)="","",INDEX(選手一覧!$D$5:$D$2736,$K226))</f>
        <v/>
      </c>
      <c r="M226" s="10" t="str">
        <f aca="false">IF(INDEX(選手一覧!$E$5:$E$2736,$K226)="","",INDEX(選手一覧!$E$5:$E$2736,$K226))</f>
        <v/>
      </c>
      <c r="N226" s="11" t="str">
        <f aca="false">IF(INDEX(選手一覧!$F$5:$F$2736,$K226)="","",INDEX(選手一覧!$F$5:$F$2736,$K226))</f>
        <v/>
      </c>
      <c r="O226" s="12" t="str">
        <f aca="false">IF(INDEX(選手一覧!$G$5:$G$2736,$K226)="","",INDEX(選手一覧!$G$5:$G$2736,$K226))</f>
        <v/>
      </c>
      <c r="P226" s="11" t="n">
        <f aca="false">IF(INDEX(選手一覧!$H$5:$H$2736,$K226)="","",INDEX(選手一覧!$H$5:$H$2736,$K226))</f>
        <v>0.00292141203703704</v>
      </c>
      <c r="Q226" s="12" t="n">
        <f aca="false">IF(INDEX(選手一覧!$I$5:$I$2736,$K226)="","",INDEX(選手一覧!$I$5:$I$2736,$K226))</f>
        <v>1110</v>
      </c>
    </row>
    <row r="227" customFormat="false" ht="15" hidden="false" customHeight="false" outlineLevel="0" collapsed="false">
      <c r="A227" s="25" t="n">
        <v>7</v>
      </c>
      <c r="B227" s="26" t="n">
        <v>5</v>
      </c>
      <c r="C227" s="10" t="n">
        <v>95</v>
      </c>
      <c r="D227" s="27" t="n">
        <f aca="false">COUNTIFS($A$5:$A$229,A227,$E$5:$E$229,"&lt;"&amp;E227)+1</f>
        <v>27</v>
      </c>
      <c r="E227" s="28" t="n">
        <v>0.0117592592592593</v>
      </c>
      <c r="F227" s="28" t="n">
        <f aca="false">E227/B227</f>
        <v>0.00235185185185185</v>
      </c>
      <c r="G227" s="29" t="s">
        <v>4513</v>
      </c>
      <c r="H227" s="29" t="s">
        <v>4245</v>
      </c>
      <c r="I227" s="30" t="s">
        <v>4173</v>
      </c>
      <c r="J227" s="27" t="n">
        <v>81</v>
      </c>
      <c r="K227" s="27" t="n">
        <v>1755</v>
      </c>
      <c r="L227" s="9" t="str">
        <f aca="false">IF(INDEX(選手一覧!$D$5:$D$2736,$K227)="","",INDEX(選手一覧!$D$5:$D$2736,$K227))</f>
        <v/>
      </c>
      <c r="M227" s="10" t="str">
        <f aca="false">IF(INDEX(選手一覧!$E$5:$E$2736,$K227)="","",INDEX(選手一覧!$E$5:$E$2736,$K227))</f>
        <v/>
      </c>
      <c r="N227" s="11" t="n">
        <f aca="false">IF(INDEX(選手一覧!$F$5:$F$2736,$K227)="","",INDEX(選手一覧!$F$5:$F$2736,$K227))</f>
        <v>0.0073068287037037</v>
      </c>
      <c r="O227" s="12" t="n">
        <f aca="false">IF(INDEX(選手一覧!$G$5:$G$2736,$K227)="","",INDEX(選手一覧!$G$5:$G$2736,$K227))</f>
        <v>656</v>
      </c>
      <c r="P227" s="11" t="str">
        <f aca="false">IF(INDEX(選手一覧!$H$5:$H$2736,$K227)="","",INDEX(選手一覧!$H$5:$H$2736,$K227))</f>
        <v/>
      </c>
      <c r="Q227" s="12" t="str">
        <f aca="false">IF(INDEX(選手一覧!$I$5:$I$2736,$K227)="","",INDEX(選手一覧!$I$5:$I$2736,$K227))</f>
        <v/>
      </c>
    </row>
    <row r="228" customFormat="false" ht="15" hidden="false" customHeight="false" outlineLevel="0" collapsed="false">
      <c r="A228" s="25" t="n">
        <v>7</v>
      </c>
      <c r="B228" s="26" t="n">
        <v>5</v>
      </c>
      <c r="C228" s="10" t="n">
        <v>97</v>
      </c>
      <c r="D228" s="27" t="n">
        <f aca="false">COUNTIFS($A$5:$A$229,A228,$E$5:$E$229,"&lt;"&amp;E228)+1</f>
        <v>28</v>
      </c>
      <c r="E228" s="28" t="n">
        <v>0.0119675925925926</v>
      </c>
      <c r="F228" s="28" t="n">
        <f aca="false">E228/B228</f>
        <v>0.00239351851851852</v>
      </c>
      <c r="G228" s="29" t="s">
        <v>4514</v>
      </c>
      <c r="H228" s="29" t="s">
        <v>4263</v>
      </c>
      <c r="I228" s="30" t="s">
        <v>4264</v>
      </c>
      <c r="J228" s="27" t="n">
        <v>102</v>
      </c>
      <c r="K228" s="27" t="n">
        <v>2359</v>
      </c>
      <c r="L228" s="9" t="str">
        <f aca="false">IF(INDEX(選手一覧!$D$5:$D$2736,$K228)="","",INDEX(選手一覧!$D$5:$D$2736,$K228))</f>
        <v/>
      </c>
      <c r="M228" s="10" t="str">
        <f aca="false">IF(INDEX(選手一覧!$E$5:$E$2736,$K228)="","",INDEX(選手一覧!$E$5:$E$2736,$K228))</f>
        <v/>
      </c>
      <c r="N228" s="11" t="n">
        <f aca="false">IF(INDEX(選手一覧!$F$5:$F$2736,$K228)="","",INDEX(選手一覧!$F$5:$F$2736,$K228))</f>
        <v>0.00775231481481481</v>
      </c>
      <c r="O228" s="12" t="n">
        <f aca="false">IF(INDEX(選手一覧!$G$5:$G$2736,$K228)="","",INDEX(選手一覧!$G$5:$G$2736,$K228))</f>
        <v>1114</v>
      </c>
      <c r="P228" s="11" t="str">
        <f aca="false">IF(INDEX(選手一覧!$H$5:$H$2736,$K228)="","",INDEX(選手一覧!$H$5:$H$2736,$K228))</f>
        <v/>
      </c>
      <c r="Q228" s="12" t="str">
        <f aca="false">IF(INDEX(選手一覧!$I$5:$I$2736,$K228)="","",INDEX(選手一覧!$I$5:$I$2736,$K228))</f>
        <v/>
      </c>
    </row>
    <row r="229" customFormat="false" ht="15" hidden="false" customHeight="false" outlineLevel="0" collapsed="false">
      <c r="A229" s="25" t="n">
        <v>7</v>
      </c>
      <c r="B229" s="26" t="n">
        <v>5</v>
      </c>
      <c r="C229" s="10" t="n">
        <v>98</v>
      </c>
      <c r="D229" s="27" t="n">
        <f aca="false">COUNTIFS($A$5:$A$229,A229,$E$5:$E$229,"&lt;"&amp;E229)+1</f>
        <v>29</v>
      </c>
      <c r="E229" s="28" t="n">
        <v>0.0120138888888889</v>
      </c>
      <c r="F229" s="28" t="n">
        <f aca="false">E229/B229</f>
        <v>0.00240277777777778</v>
      </c>
      <c r="G229" s="29" t="s">
        <v>4515</v>
      </c>
      <c r="H229" s="29" t="s">
        <v>4268</v>
      </c>
      <c r="I229" s="30" t="s">
        <v>4269</v>
      </c>
      <c r="J229" s="27" t="n">
        <v>93</v>
      </c>
      <c r="K229" s="27" t="n">
        <v>1495</v>
      </c>
      <c r="L229" s="9" t="str">
        <f aca="false">IF(INDEX(選手一覧!$D$5:$D$2736,$K229)="","",INDEX(選手一覧!$D$5:$D$2736,$K229))</f>
        <v/>
      </c>
      <c r="M229" s="10" t="str">
        <f aca="false">IF(INDEX(選手一覧!$E$5:$E$2736,$K229)="","",INDEX(選手一覧!$E$5:$E$2736,$K229))</f>
        <v/>
      </c>
      <c r="N229" s="11" t="n">
        <f aca="false">IF(INDEX(選手一覧!$F$5:$F$2736,$K229)="","",INDEX(選手一覧!$F$5:$F$2736,$K229))</f>
        <v>0.00705462962962963</v>
      </c>
      <c r="O229" s="12" t="n">
        <f aca="false">IF(INDEX(選手一覧!$G$5:$G$2736,$K229)="","",INDEX(選手一覧!$G$5:$G$2736,$K229))</f>
        <v>395</v>
      </c>
      <c r="P229" s="11" t="str">
        <f aca="false">IF(INDEX(選手一覧!$H$5:$H$2736,$K229)="","",INDEX(選手一覧!$H$5:$H$2736,$K229))</f>
        <v/>
      </c>
      <c r="Q229" s="12" t="str">
        <f aca="false">IF(INDEX(選手一覧!$I$5:$I$2736,$K229)="","",INDEX(選手一覧!$I$5:$I$2736,$K229))</f>
        <v/>
      </c>
    </row>
  </sheetData>
  <autoFilter ref="A4:Q229"/>
  <conditionalFormatting sqref="C5:C229">
    <cfRule type="expression" priority="2" aboveAverage="0" equalAverage="0" bottom="0" percent="0" rank="0" text="" dxfId="9">
      <formula>AND(ISNUMBER(C5),C5&lt;=3)</formula>
    </cfRule>
    <cfRule type="expression" priority="3" aboveAverage="0" equalAverage="0" bottom="0" percent="0" rank="0" text="" dxfId="10">
      <formula>AND(ISNUMBER(C5),C5&lt;=10)</formula>
    </cfRule>
    <cfRule type="expression" priority="4" aboveAverage="0" equalAverage="0" bottom="0" percent="0" rank="0" text="" dxfId="11">
      <formula>AND(ISNUMBER(C5),C5&lt;=30)</formula>
    </cfRule>
  </conditionalFormatting>
  <conditionalFormatting sqref="M5:M229">
    <cfRule type="expression" priority="5" aboveAverage="0" equalAverage="0" bottom="0" percent="0" rank="0" text="" dxfId="9">
      <formula>AND(ISNUMBER(M5),M5&lt;=10)</formula>
    </cfRule>
    <cfRule type="expression" priority="6" aboveAverage="0" equalAverage="0" bottom="0" percent="0" rank="0" text="" dxfId="10">
      <formula>AND(ISNUMBER(M5),M5&lt;=50)</formula>
    </cfRule>
    <cfRule type="expression" priority="7" aboveAverage="0" equalAverage="0" bottom="0" percent="0" rank="0" text="" dxfId="11">
      <formula>AND(ISNUMBER(M5),M5&lt;=100)</formula>
    </cfRule>
  </conditionalFormatting>
  <conditionalFormatting sqref="O5:O229">
    <cfRule type="expression" priority="8" aboveAverage="0" equalAverage="0" bottom="0" percent="0" rank="0" text="" dxfId="9">
      <formula>AND(ISNUMBER(O5),O5&lt;=10)</formula>
    </cfRule>
    <cfRule type="expression" priority="9" aboveAverage="0" equalAverage="0" bottom="0" percent="0" rank="0" text="" dxfId="10">
      <formula>AND(ISNUMBER(O5),O5&lt;=50)</formula>
    </cfRule>
    <cfRule type="expression" priority="10" aboveAverage="0" equalAverage="0" bottom="0" percent="0" rank="0" text="" dxfId="11">
      <formula>AND(ISNUMBER(O5),O5&lt;=100)</formula>
    </cfRule>
  </conditionalFormatting>
  <conditionalFormatting sqref="Q5:Q229">
    <cfRule type="expression" priority="11" aboveAverage="0" equalAverage="0" bottom="0" percent="0" rank="0" text="" dxfId="9">
      <formula>AND(ISNUMBER(Q5),Q5&lt;=10)</formula>
    </cfRule>
    <cfRule type="expression" priority="12" aboveAverage="0" equalAverage="0" bottom="0" percent="0" rank="0" text="" dxfId="10">
      <formula>AND(ISNUMBER(Q5),Q5&lt;=50)</formula>
    </cfRule>
    <cfRule type="expression" priority="13" aboveAverage="0" equalAverage="0" bottom="0" percent="0" rank="0" text="" dxfId="11">
      <formula>AND(ISNUMBER(Q5),Q5&lt;=100)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8"/>
    <col collapsed="false" customWidth="true" hidden="false" outlineLevel="0" max="8" min="8" style="0" width="20"/>
    <col collapsed="false" customWidth="true" hidden="tru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6"/>
    <col collapsed="false" customWidth="true" hidden="false" outlineLevel="0" max="12" min="12" style="0" width="11"/>
    <col collapsed="false" customWidth="true" hidden="false" outlineLevel="0" max="13" min="13" style="0" width="8"/>
    <col collapsed="false" customWidth="true" hidden="false" outlineLevel="0" max="14" min="14" style="0" width="10"/>
    <col collapsed="false" customWidth="true" hidden="false" outlineLevel="0" max="15" min="15" style="0" width="8"/>
    <col collapsed="false" customWidth="true" hidden="false" outlineLevel="0" max="16" min="16" style="0" width="10"/>
    <col collapsed="false" customWidth="true" hidden="false" outlineLevel="0" max="17" min="17" style="0" width="8"/>
  </cols>
  <sheetData>
    <row r="1" customFormat="false" ht="19.4" hidden="false" customHeight="false" outlineLevel="0" collapsed="false">
      <c r="A1" s="24" t="s">
        <v>4516</v>
      </c>
    </row>
    <row r="2" customFormat="false" ht="15" hidden="false" customHeight="false" outlineLevel="0" collapsed="false">
      <c r="A2" s="2" t="s">
        <v>4161</v>
      </c>
    </row>
    <row r="4" customFormat="false" ht="33.75" hidden="false" customHeight="true" outlineLevel="0" collapsed="false">
      <c r="A4" s="4" t="s">
        <v>4162</v>
      </c>
      <c r="B4" s="4" t="s">
        <v>4163</v>
      </c>
      <c r="C4" s="4" t="s">
        <v>4164</v>
      </c>
      <c r="D4" s="3" t="s">
        <v>4165</v>
      </c>
      <c r="E4" s="4" t="s">
        <v>4166</v>
      </c>
      <c r="F4" s="3" t="s">
        <v>4167</v>
      </c>
      <c r="G4" s="4" t="s">
        <v>3</v>
      </c>
      <c r="H4" s="4" t="s">
        <v>4168</v>
      </c>
      <c r="I4" s="4" t="s">
        <v>4169</v>
      </c>
      <c r="J4" s="4" t="s">
        <v>4170</v>
      </c>
      <c r="K4" s="3" t="s">
        <v>2</v>
      </c>
      <c r="L4" s="5" t="s">
        <v>5</v>
      </c>
      <c r="M4" s="5" t="s">
        <v>6</v>
      </c>
      <c r="N4" s="3" t="s">
        <v>7</v>
      </c>
      <c r="O4" s="3" t="s">
        <v>8</v>
      </c>
      <c r="P4" s="3" t="s">
        <v>9</v>
      </c>
      <c r="Q4" s="3" t="s">
        <v>10</v>
      </c>
    </row>
    <row r="5" customFormat="false" ht="15" hidden="false" customHeight="false" outlineLevel="0" collapsed="false">
      <c r="A5" s="25" t="n">
        <v>1</v>
      </c>
      <c r="B5" s="26" t="n">
        <v>10</v>
      </c>
      <c r="C5" s="10" t="n">
        <v>6</v>
      </c>
      <c r="D5" s="27" t="n">
        <f aca="false">COUNTIFS($A$5:$A$115,A5,$E$5:$E$115,"&lt;"&amp;E5)+1</f>
        <v>1</v>
      </c>
      <c r="E5" s="28" t="n">
        <v>0.0206828703703704</v>
      </c>
      <c r="F5" s="28" t="n">
        <f aca="false">E5/B5</f>
        <v>0.00206828703703704</v>
      </c>
      <c r="G5" s="29" t="s">
        <v>4517</v>
      </c>
      <c r="H5" s="29" t="s">
        <v>4518</v>
      </c>
      <c r="I5" s="30"/>
      <c r="J5" s="27" t="n">
        <v>16</v>
      </c>
      <c r="K5" s="27" t="n">
        <v>40</v>
      </c>
      <c r="L5" s="9" t="n">
        <f aca="false">IF(INDEX(選手一覧!$D$5:$D$2736,$K5)="","",INDEX(選手一覧!$D$5:$D$2736,$K5))</f>
        <v>0.0100755787037037</v>
      </c>
      <c r="M5" s="10" t="n">
        <f aca="false">IF(INDEX(選手一覧!$E$5:$E$2736,$K5)="","",INDEX(選手一覧!$E$5:$E$2736,$K5))</f>
        <v>41</v>
      </c>
      <c r="N5" s="11" t="str">
        <f aca="false">IF(INDEX(選手一覧!$F$5:$F$2736,$K5)="","",INDEX(選手一覧!$F$5:$F$2736,$K5))</f>
        <v/>
      </c>
      <c r="O5" s="12" t="str">
        <f aca="false">IF(INDEX(選手一覧!$G$5:$G$2736,$K5)="","",INDEX(選手一覧!$G$5:$G$2736,$K5))</f>
        <v/>
      </c>
      <c r="P5" s="11" t="n">
        <f aca="false">IF(INDEX(選手一覧!$H$5:$H$2736,$K5)="","",INDEX(選手一覧!$H$5:$H$2736,$K5))</f>
        <v>0.00276655092592593</v>
      </c>
      <c r="Q5" s="12" t="n">
        <f aca="false">IF(INDEX(選手一覧!$I$5:$I$2736,$K5)="","",INDEX(選手一覧!$I$5:$I$2736,$K5))</f>
        <v>153</v>
      </c>
    </row>
    <row r="6" customFormat="false" ht="15" hidden="false" customHeight="false" outlineLevel="0" collapsed="false">
      <c r="A6" s="25" t="n">
        <v>1</v>
      </c>
      <c r="B6" s="26" t="n">
        <v>10</v>
      </c>
      <c r="C6" s="10" t="n">
        <v>7</v>
      </c>
      <c r="D6" s="27" t="n">
        <f aca="false">COUNTIFS($A$5:$A$115,A6,$E$5:$E$115,"&lt;"&amp;E6)+1</f>
        <v>2</v>
      </c>
      <c r="E6" s="28" t="n">
        <v>0.0207175925925926</v>
      </c>
      <c r="F6" s="28" t="n">
        <f aca="false">E6/B6</f>
        <v>0.00207175925925926</v>
      </c>
      <c r="G6" s="29" t="s">
        <v>4519</v>
      </c>
      <c r="H6" s="29" t="s">
        <v>4520</v>
      </c>
      <c r="I6" s="30"/>
      <c r="J6" s="27" t="n">
        <v>4</v>
      </c>
      <c r="K6" s="27" t="n">
        <v>24</v>
      </c>
      <c r="L6" s="9" t="n">
        <f aca="false">IF(INDEX(選手一覧!$D$5:$D$2736,$K6)="","",INDEX(選手一覧!$D$5:$D$2736,$K6))</f>
        <v>0.0100194444444444</v>
      </c>
      <c r="M6" s="10" t="n">
        <f aca="false">IF(INDEX(選手一覧!$E$5:$E$2736,$K6)="","",INDEX(選手一覧!$E$5:$E$2736,$K6))</f>
        <v>25</v>
      </c>
      <c r="N6" s="11" t="str">
        <f aca="false">IF(INDEX(選手一覧!$F$5:$F$2736,$K6)="","",INDEX(選手一覧!$F$5:$F$2736,$K6))</f>
        <v/>
      </c>
      <c r="O6" s="12" t="str">
        <f aca="false">IF(INDEX(選手一覧!$G$5:$G$2736,$K6)="","",INDEX(選手一覧!$G$5:$G$2736,$K6))</f>
        <v/>
      </c>
      <c r="P6" s="11" t="n">
        <f aca="false">IF(INDEX(選手一覧!$H$5:$H$2736,$K6)="","",INDEX(選手一覧!$H$5:$H$2736,$K6))</f>
        <v>0.00267650462962963</v>
      </c>
      <c r="Q6" s="12" t="n">
        <f aca="false">IF(INDEX(選手一覧!$I$5:$I$2736,$K6)="","",INDEX(選手一覧!$I$5:$I$2736,$K6))</f>
        <v>9</v>
      </c>
    </row>
    <row r="7" customFormat="false" ht="15" hidden="false" customHeight="false" outlineLevel="0" collapsed="false">
      <c r="A7" s="25" t="n">
        <v>1</v>
      </c>
      <c r="B7" s="26" t="n">
        <v>10</v>
      </c>
      <c r="C7" s="10" t="n">
        <v>12</v>
      </c>
      <c r="D7" s="27" t="n">
        <f aca="false">COUNTIFS($A$5:$A$115,A7,$E$5:$E$115,"&lt;"&amp;E7)+1</f>
        <v>3</v>
      </c>
      <c r="E7" s="28" t="n">
        <v>0.0209606481481482</v>
      </c>
      <c r="F7" s="28" t="n">
        <f aca="false">E7/B7</f>
        <v>0.00209606481481482</v>
      </c>
      <c r="G7" s="29" t="s">
        <v>4521</v>
      </c>
      <c r="H7" s="29" t="s">
        <v>4522</v>
      </c>
      <c r="I7" s="30"/>
      <c r="J7" s="27" t="n">
        <v>17</v>
      </c>
      <c r="K7" s="27" t="n">
        <v>51</v>
      </c>
      <c r="L7" s="9" t="n">
        <f aca="false">IF(INDEX(選手一覧!$D$5:$D$2736,$K7)="","",INDEX(選手一覧!$D$5:$D$2736,$K7))</f>
        <v>0.0101003472222222</v>
      </c>
      <c r="M7" s="10" t="n">
        <f aca="false">IF(INDEX(選手一覧!$E$5:$E$2736,$K7)="","",INDEX(選手一覧!$E$5:$E$2736,$K7))</f>
        <v>52</v>
      </c>
      <c r="N7" s="11" t="str">
        <f aca="false">IF(INDEX(選手一覧!$F$5:$F$2736,$K7)="","",INDEX(選手一覧!$F$5:$F$2736,$K7))</f>
        <v/>
      </c>
      <c r="O7" s="12" t="str">
        <f aca="false">IF(INDEX(選手一覧!$G$5:$G$2736,$K7)="","",INDEX(選手一覧!$G$5:$G$2736,$K7))</f>
        <v/>
      </c>
      <c r="P7" s="11" t="n">
        <f aca="false">IF(INDEX(選手一覧!$H$5:$H$2736,$K7)="","",INDEX(選手一覧!$H$5:$H$2736,$K7))</f>
        <v>0.00271296296296296</v>
      </c>
      <c r="Q7" s="12" t="n">
        <f aca="false">IF(INDEX(選手一覧!$I$5:$I$2736,$K7)="","",INDEX(選手一覧!$I$5:$I$2736,$K7))</f>
        <v>39</v>
      </c>
    </row>
    <row r="8" customFormat="false" ht="15" hidden="false" customHeight="false" outlineLevel="0" collapsed="false">
      <c r="A8" s="25" t="n">
        <v>1</v>
      </c>
      <c r="B8" s="26" t="n">
        <v>10</v>
      </c>
      <c r="C8" s="10" t="n">
        <v>19</v>
      </c>
      <c r="D8" s="27" t="n">
        <f aca="false">COUNTIFS($A$5:$A$115,A8,$E$5:$E$115,"&lt;"&amp;E8)+1</f>
        <v>4</v>
      </c>
      <c r="E8" s="28" t="n">
        <v>0.0211805555555556</v>
      </c>
      <c r="F8" s="28" t="n">
        <f aca="false">E8/B8</f>
        <v>0.00211805555555556</v>
      </c>
      <c r="G8" s="29" t="s">
        <v>4523</v>
      </c>
      <c r="H8" s="29" t="s">
        <v>4524</v>
      </c>
      <c r="I8" s="30"/>
      <c r="J8" s="27" t="n">
        <v>26</v>
      </c>
      <c r="K8" s="27" t="n">
        <v>135</v>
      </c>
      <c r="L8" s="9" t="n">
        <f aca="false">IF(INDEX(選手一覧!$D$5:$D$2736,$K8)="","",INDEX(選手一覧!$D$5:$D$2736,$K8))</f>
        <v>0.0102678240740741</v>
      </c>
      <c r="M8" s="10" t="n">
        <f aca="false">IF(INDEX(選手一覧!$E$5:$E$2736,$K8)="","",INDEX(選手一覧!$E$5:$E$2736,$K8))</f>
        <v>136</v>
      </c>
      <c r="N8" s="11" t="str">
        <f aca="false">IF(INDEX(選手一覧!$F$5:$F$2736,$K8)="","",INDEX(選手一覧!$F$5:$F$2736,$K8))</f>
        <v/>
      </c>
      <c r="O8" s="12" t="str">
        <f aca="false">IF(INDEX(選手一覧!$G$5:$G$2736,$K8)="","",INDEX(選手一覧!$G$5:$G$2736,$K8))</f>
        <v/>
      </c>
      <c r="P8" s="11" t="str">
        <f aca="false">IF(INDEX(選手一覧!$H$5:$H$2736,$K8)="","",INDEX(選手一覧!$H$5:$H$2736,$K8))</f>
        <v/>
      </c>
      <c r="Q8" s="12" t="str">
        <f aca="false">IF(INDEX(選手一覧!$I$5:$I$2736,$K8)="","",INDEX(選手一覧!$I$5:$I$2736,$K8))</f>
        <v/>
      </c>
    </row>
    <row r="9" customFormat="false" ht="15" hidden="false" customHeight="false" outlineLevel="0" collapsed="false">
      <c r="A9" s="25" t="n">
        <v>1</v>
      </c>
      <c r="B9" s="26" t="n">
        <v>10</v>
      </c>
      <c r="C9" s="10" t="n">
        <v>22</v>
      </c>
      <c r="D9" s="27" t="n">
        <f aca="false">COUNTIFS($A$5:$A$115,A9,$E$5:$E$115,"&lt;"&amp;E9)+1</f>
        <v>5</v>
      </c>
      <c r="E9" s="28" t="n">
        <v>0.0214699074074074</v>
      </c>
      <c r="F9" s="28" t="n">
        <f aca="false">E9/B9</f>
        <v>0.00214699074074074</v>
      </c>
      <c r="G9" s="29" t="s">
        <v>4525</v>
      </c>
      <c r="H9" s="29" t="s">
        <v>4526</v>
      </c>
      <c r="I9" s="30"/>
      <c r="J9" s="27" t="n">
        <v>12</v>
      </c>
      <c r="K9" s="27" t="n">
        <v>230</v>
      </c>
      <c r="L9" s="9" t="n">
        <f aca="false">IF(INDEX(選手一覧!$D$5:$D$2736,$K9)="","",INDEX(選手一覧!$D$5:$D$2736,$K9))</f>
        <v>0.0103753472222222</v>
      </c>
      <c r="M9" s="10" t="n">
        <f aca="false">IF(INDEX(選手一覧!$E$5:$E$2736,$K9)="","",INDEX(選手一覧!$E$5:$E$2736,$K9))</f>
        <v>231</v>
      </c>
      <c r="N9" s="11" t="str">
        <f aca="false">IF(INDEX(選手一覧!$F$5:$F$2736,$K9)="","",INDEX(選手一覧!$F$5:$F$2736,$K9))</f>
        <v/>
      </c>
      <c r="O9" s="12" t="str">
        <f aca="false">IF(INDEX(選手一覧!$G$5:$G$2736,$K9)="","",INDEX(選手一覧!$G$5:$G$2736,$K9))</f>
        <v/>
      </c>
      <c r="P9" s="11" t="n">
        <f aca="false">IF(INDEX(選手一覧!$H$5:$H$2736,$K9)="","",INDEX(選手一覧!$H$5:$H$2736,$K9))</f>
        <v>0.0027912037037037</v>
      </c>
      <c r="Q9" s="12" t="n">
        <f aca="false">IF(INDEX(選手一覧!$I$5:$I$2736,$K9)="","",INDEX(選手一覧!$I$5:$I$2736,$K9))</f>
        <v>246</v>
      </c>
    </row>
    <row r="10" customFormat="false" ht="15" hidden="false" customHeight="false" outlineLevel="0" collapsed="false">
      <c r="A10" s="25" t="n">
        <v>1</v>
      </c>
      <c r="B10" s="26" t="n">
        <v>10</v>
      </c>
      <c r="C10" s="10" t="n">
        <v>24</v>
      </c>
      <c r="D10" s="27" t="n">
        <f aca="false">COUNTIFS($A$5:$A$115,A10,$E$5:$E$115,"&lt;"&amp;E10)+1</f>
        <v>6</v>
      </c>
      <c r="E10" s="28" t="n">
        <v>0.0216203703703704</v>
      </c>
      <c r="F10" s="28" t="n">
        <f aca="false">E10/B10</f>
        <v>0.00216203703703704</v>
      </c>
      <c r="G10" s="29" t="s">
        <v>4527</v>
      </c>
      <c r="H10" s="29" t="s">
        <v>4528</v>
      </c>
      <c r="I10" s="30"/>
      <c r="J10" s="27" t="n">
        <v>34</v>
      </c>
      <c r="K10" s="27" t="n">
        <v>153</v>
      </c>
      <c r="L10" s="9" t="n">
        <f aca="false">IF(INDEX(選手一覧!$D$5:$D$2736,$K10)="","",INDEX(選手一覧!$D$5:$D$2736,$K10))</f>
        <v>0.0102885416666667</v>
      </c>
      <c r="M10" s="10" t="n">
        <f aca="false">IF(INDEX(選手一覧!$E$5:$E$2736,$K10)="","",INDEX(選手一覧!$E$5:$E$2736,$K10))</f>
        <v>154</v>
      </c>
      <c r="N10" s="11" t="str">
        <f aca="false">IF(INDEX(選手一覧!$F$5:$F$2736,$K10)="","",INDEX(選手一覧!$F$5:$F$2736,$K10))</f>
        <v/>
      </c>
      <c r="O10" s="12" t="str">
        <f aca="false">IF(INDEX(選手一覧!$G$5:$G$2736,$K10)="","",INDEX(選手一覧!$G$5:$G$2736,$K10))</f>
        <v/>
      </c>
      <c r="P10" s="11" t="n">
        <f aca="false">IF(INDEX(選手一覧!$H$5:$H$2736,$K10)="","",INDEX(選手一覧!$H$5:$H$2736,$K10))</f>
        <v>0.00280694444444444</v>
      </c>
      <c r="Q10" s="12" t="n">
        <f aca="false">IF(INDEX(選手一覧!$I$5:$I$2736,$K10)="","",INDEX(選手一覧!$I$5:$I$2736,$K10))</f>
        <v>313</v>
      </c>
    </row>
    <row r="11" customFormat="false" ht="15" hidden="false" customHeight="false" outlineLevel="0" collapsed="false">
      <c r="A11" s="25" t="n">
        <v>1</v>
      </c>
      <c r="B11" s="26" t="n">
        <v>10</v>
      </c>
      <c r="C11" s="10" t="n">
        <v>28</v>
      </c>
      <c r="D11" s="27" t="n">
        <f aca="false">COUNTIFS($A$5:$A$115,A11,$E$5:$E$115,"&lt;"&amp;E11)+1</f>
        <v>7</v>
      </c>
      <c r="E11" s="28" t="n">
        <v>0.0217824074074074</v>
      </c>
      <c r="F11" s="28" t="n">
        <f aca="false">E11/B11</f>
        <v>0.00217824074074074</v>
      </c>
      <c r="G11" s="29" t="s">
        <v>4529</v>
      </c>
      <c r="H11" s="29" t="s">
        <v>4530</v>
      </c>
      <c r="I11" s="30"/>
      <c r="J11" s="27" t="n">
        <v>24</v>
      </c>
      <c r="K11" s="27" t="n">
        <v>459</v>
      </c>
      <c r="L11" s="9" t="n">
        <f aca="false">IF(INDEX(選手一覧!$D$5:$D$2736,$K11)="","",INDEX(選手一覧!$D$5:$D$2736,$K11))</f>
        <v>0.0105972222222222</v>
      </c>
      <c r="M11" s="10" t="n">
        <f aca="false">IF(INDEX(選手一覧!$E$5:$E$2736,$K11)="","",INDEX(選手一覧!$E$5:$E$2736,$K11))</f>
        <v>460</v>
      </c>
      <c r="N11" s="11" t="str">
        <f aca="false">IF(INDEX(選手一覧!$F$5:$F$2736,$K11)="","",INDEX(選手一覧!$F$5:$F$2736,$K11))</f>
        <v/>
      </c>
      <c r="O11" s="12" t="str">
        <f aca="false">IF(INDEX(選手一覧!$G$5:$G$2736,$K11)="","",INDEX(選手一覧!$G$5:$G$2736,$K11))</f>
        <v/>
      </c>
      <c r="P11" s="11" t="n">
        <f aca="false">IF(INDEX(選手一覧!$H$5:$H$2736,$K11)="","",INDEX(選手一覧!$H$5:$H$2736,$K11))</f>
        <v>0.0028568287037037</v>
      </c>
      <c r="Q11" s="12" t="n">
        <f aca="false">IF(INDEX(選手一覧!$I$5:$I$2736,$K11)="","",INDEX(選手一覧!$I$5:$I$2736,$K11))</f>
        <v>614</v>
      </c>
    </row>
    <row r="12" customFormat="false" ht="15" hidden="false" customHeight="false" outlineLevel="0" collapsed="false">
      <c r="A12" s="25" t="n">
        <v>1</v>
      </c>
      <c r="B12" s="26" t="n">
        <v>10</v>
      </c>
      <c r="C12" s="10" t="n">
        <v>30</v>
      </c>
      <c r="D12" s="27" t="n">
        <f aca="false">COUNTIFS($A$5:$A$115,A12,$E$5:$E$115,"&lt;"&amp;E12)+1</f>
        <v>8</v>
      </c>
      <c r="E12" s="28" t="n">
        <v>0.0219907407407407</v>
      </c>
      <c r="F12" s="28" t="n">
        <f aca="false">E12/B12</f>
        <v>0.00219907407407407</v>
      </c>
      <c r="G12" s="29" t="s">
        <v>4531</v>
      </c>
      <c r="H12" s="29" t="s">
        <v>4532</v>
      </c>
      <c r="I12" s="30"/>
      <c r="J12" s="27" t="n">
        <v>20</v>
      </c>
      <c r="K12" s="27" t="n">
        <v>183</v>
      </c>
      <c r="L12" s="9" t="n">
        <f aca="false">IF(INDEX(選手一覧!$D$5:$D$2736,$K12)="","",INDEX(選手一覧!$D$5:$D$2736,$K12))</f>
        <v>0.0103328703703704</v>
      </c>
      <c r="M12" s="10" t="n">
        <f aca="false">IF(INDEX(選手一覧!$E$5:$E$2736,$K12)="","",INDEX(選手一覧!$E$5:$E$2736,$K12))</f>
        <v>184</v>
      </c>
      <c r="N12" s="11" t="str">
        <f aca="false">IF(INDEX(選手一覧!$F$5:$F$2736,$K12)="","",INDEX(選手一覧!$F$5:$F$2736,$K12))</f>
        <v/>
      </c>
      <c r="O12" s="12" t="str">
        <f aca="false">IF(INDEX(選手一覧!$G$5:$G$2736,$K12)="","",INDEX(選手一覧!$G$5:$G$2736,$K12))</f>
        <v/>
      </c>
      <c r="P12" s="11" t="n">
        <f aca="false">IF(INDEX(選手一覧!$H$5:$H$2736,$K12)="","",INDEX(選手一覧!$H$5:$H$2736,$K12))</f>
        <v>0.00282314814814815</v>
      </c>
      <c r="Q12" s="12" t="n">
        <f aca="false">IF(INDEX(選手一覧!$I$5:$I$2736,$K12)="","",INDEX(選手一覧!$I$5:$I$2736,$K12))</f>
        <v>382</v>
      </c>
    </row>
    <row r="13" customFormat="false" ht="15" hidden="false" customHeight="false" outlineLevel="0" collapsed="false">
      <c r="A13" s="25" t="n">
        <v>1</v>
      </c>
      <c r="B13" s="26" t="n">
        <v>10</v>
      </c>
      <c r="C13" s="10" t="n">
        <v>31</v>
      </c>
      <c r="D13" s="27" t="n">
        <f aca="false">COUNTIFS($A$5:$A$115,A13,$E$5:$E$115,"&lt;"&amp;E13)+1</f>
        <v>9</v>
      </c>
      <c r="E13" s="28" t="n">
        <v>0.0220023148148148</v>
      </c>
      <c r="F13" s="28" t="n">
        <f aca="false">E13/B13</f>
        <v>0.00220023148148148</v>
      </c>
      <c r="G13" s="29" t="s">
        <v>4533</v>
      </c>
      <c r="H13" s="29" t="s">
        <v>4534</v>
      </c>
      <c r="I13" s="30"/>
      <c r="J13" s="27" t="n">
        <v>28</v>
      </c>
      <c r="K13" s="27" t="n">
        <v>355</v>
      </c>
      <c r="L13" s="9" t="n">
        <f aca="false">IF(INDEX(選手一覧!$D$5:$D$2736,$K13)="","",INDEX(選手一覧!$D$5:$D$2736,$K13))</f>
        <v>0.0105146990740741</v>
      </c>
      <c r="M13" s="10" t="n">
        <f aca="false">IF(INDEX(選手一覧!$E$5:$E$2736,$K13)="","",INDEX(選手一覧!$E$5:$E$2736,$K13))</f>
        <v>356</v>
      </c>
      <c r="N13" s="11" t="str">
        <f aca="false">IF(INDEX(選手一覧!$F$5:$F$2736,$K13)="","",INDEX(選手一覧!$F$5:$F$2736,$K13))</f>
        <v/>
      </c>
      <c r="O13" s="12" t="str">
        <f aca="false">IF(INDEX(選手一覧!$G$5:$G$2736,$K13)="","",INDEX(選手一覧!$G$5:$G$2736,$K13))</f>
        <v/>
      </c>
      <c r="P13" s="11" t="str">
        <f aca="false">IF(INDEX(選手一覧!$H$5:$H$2736,$K13)="","",INDEX(選手一覧!$H$5:$H$2736,$K13))</f>
        <v/>
      </c>
      <c r="Q13" s="12" t="str">
        <f aca="false">IF(INDEX(選手一覧!$I$5:$I$2736,$K13)="","",INDEX(選手一覧!$I$5:$I$2736,$K13))</f>
        <v/>
      </c>
    </row>
    <row r="14" customFormat="false" ht="15" hidden="false" customHeight="false" outlineLevel="0" collapsed="false">
      <c r="A14" s="25" t="n">
        <v>1</v>
      </c>
      <c r="B14" s="26" t="n">
        <v>10</v>
      </c>
      <c r="C14" s="10" t="n">
        <v>36</v>
      </c>
      <c r="D14" s="27" t="n">
        <f aca="false">COUNTIFS($A$5:$A$115,A14,$E$5:$E$115,"&lt;"&amp;E14)+1</f>
        <v>10</v>
      </c>
      <c r="E14" s="28" t="n">
        <v>0.0221759259259259</v>
      </c>
      <c r="F14" s="28" t="n">
        <f aca="false">E14/B14</f>
        <v>0.00221759259259259</v>
      </c>
      <c r="G14" s="29" t="s">
        <v>4535</v>
      </c>
      <c r="H14" s="29" t="s">
        <v>4536</v>
      </c>
      <c r="I14" s="30"/>
      <c r="J14" s="27" t="n">
        <v>29</v>
      </c>
      <c r="K14" s="27" t="n">
        <v>236</v>
      </c>
      <c r="L14" s="9" t="n">
        <f aca="false">IF(INDEX(選手一覧!$D$5:$D$2736,$K14)="","",INDEX(選手一覧!$D$5:$D$2736,$K14))</f>
        <v>0.0103766203703704</v>
      </c>
      <c r="M14" s="10" t="n">
        <f aca="false">IF(INDEX(選手一覧!$E$5:$E$2736,$K14)="","",INDEX(選手一覧!$E$5:$E$2736,$K14))</f>
        <v>237</v>
      </c>
      <c r="N14" s="11" t="str">
        <f aca="false">IF(INDEX(選手一覧!$F$5:$F$2736,$K14)="","",INDEX(選手一覧!$F$5:$F$2736,$K14))</f>
        <v/>
      </c>
      <c r="O14" s="12" t="str">
        <f aca="false">IF(INDEX(選手一覧!$G$5:$G$2736,$K14)="","",INDEX(選手一覧!$G$5:$G$2736,$K14))</f>
        <v/>
      </c>
      <c r="P14" s="11" t="n">
        <f aca="false">IF(INDEX(選手一覧!$H$5:$H$2736,$K14)="","",INDEX(選手一覧!$H$5:$H$2736,$K14))</f>
        <v>0.00276319444444444</v>
      </c>
      <c r="Q14" s="12" t="n">
        <f aca="false">IF(INDEX(選手一覧!$I$5:$I$2736,$K14)="","",INDEX(選手一覧!$I$5:$I$2736,$K14))</f>
        <v>143</v>
      </c>
    </row>
    <row r="15" customFormat="false" ht="15" hidden="false" customHeight="false" outlineLevel="0" collapsed="false">
      <c r="A15" s="25" t="n">
        <v>1</v>
      </c>
      <c r="B15" s="26" t="n">
        <v>10</v>
      </c>
      <c r="C15" s="10" t="n">
        <v>38</v>
      </c>
      <c r="D15" s="27" t="n">
        <f aca="false">COUNTIFS($A$5:$A$115,A15,$E$5:$E$115,"&lt;"&amp;E15)+1</f>
        <v>11</v>
      </c>
      <c r="E15" s="28" t="n">
        <v>0.0222685185185185</v>
      </c>
      <c r="F15" s="28" t="n">
        <f aca="false">E15/B15</f>
        <v>0.00222685185185185</v>
      </c>
      <c r="G15" s="29" t="s">
        <v>4537</v>
      </c>
      <c r="H15" s="29" t="s">
        <v>4538</v>
      </c>
      <c r="I15" s="30"/>
      <c r="J15" s="27" t="n">
        <v>33</v>
      </c>
      <c r="K15" s="27" t="n">
        <v>747</v>
      </c>
      <c r="L15" s="9" t="n">
        <f aca="false">IF(INDEX(選手一覧!$D$5:$D$2736,$K15)="","",INDEX(選手一覧!$D$5:$D$2736,$K15))</f>
        <v>0.0108025462962963</v>
      </c>
      <c r="M15" s="10" t="n">
        <f aca="false">IF(INDEX(選手一覧!$E$5:$E$2736,$K15)="","",INDEX(選手一覧!$E$5:$E$2736,$K15))</f>
        <v>748</v>
      </c>
      <c r="N15" s="11" t="str">
        <f aca="false">IF(INDEX(選手一覧!$F$5:$F$2736,$K15)="","",INDEX(選手一覧!$F$5:$F$2736,$K15))</f>
        <v/>
      </c>
      <c r="O15" s="12" t="str">
        <f aca="false">IF(INDEX(選手一覧!$G$5:$G$2736,$K15)="","",INDEX(選手一覧!$G$5:$G$2736,$K15))</f>
        <v/>
      </c>
      <c r="P15" s="11" t="str">
        <f aca="false">IF(INDEX(選手一覧!$H$5:$H$2736,$K15)="","",INDEX(選手一覧!$H$5:$H$2736,$K15))</f>
        <v/>
      </c>
      <c r="Q15" s="12" t="str">
        <f aca="false">IF(INDEX(選手一覧!$I$5:$I$2736,$K15)="","",INDEX(選手一覧!$I$5:$I$2736,$K15))</f>
        <v/>
      </c>
    </row>
    <row r="16" customFormat="false" ht="15" hidden="false" customHeight="false" outlineLevel="0" collapsed="false">
      <c r="A16" s="25" t="n">
        <v>1</v>
      </c>
      <c r="B16" s="26" t="n">
        <v>10</v>
      </c>
      <c r="C16" s="10" t="n">
        <v>38</v>
      </c>
      <c r="D16" s="27" t="n">
        <f aca="false">COUNTIFS($A$5:$A$115,A16,$E$5:$E$115,"&lt;"&amp;E16)+1</f>
        <v>11</v>
      </c>
      <c r="E16" s="28" t="n">
        <v>0.0222685185185185</v>
      </c>
      <c r="F16" s="28" t="n">
        <f aca="false">E16/B16</f>
        <v>0.00222685185185185</v>
      </c>
      <c r="G16" s="29" t="s">
        <v>4539</v>
      </c>
      <c r="H16" s="29" t="s">
        <v>4540</v>
      </c>
      <c r="I16" s="30"/>
      <c r="J16" s="27" t="n">
        <v>42</v>
      </c>
      <c r="K16" s="27" t="n">
        <v>556</v>
      </c>
      <c r="L16" s="9" t="n">
        <f aca="false">IF(INDEX(選手一覧!$D$5:$D$2736,$K16)="","",INDEX(選手一覧!$D$5:$D$2736,$K16))</f>
        <v>0.0106783564814815</v>
      </c>
      <c r="M16" s="10" t="n">
        <f aca="false">IF(INDEX(選手一覧!$E$5:$E$2736,$K16)="","",INDEX(選手一覧!$E$5:$E$2736,$K16))</f>
        <v>557</v>
      </c>
      <c r="N16" s="11" t="str">
        <f aca="false">IF(INDEX(選手一覧!$F$5:$F$2736,$K16)="","",INDEX(選手一覧!$F$5:$F$2736,$K16))</f>
        <v/>
      </c>
      <c r="O16" s="12" t="str">
        <f aca="false">IF(INDEX(選手一覧!$G$5:$G$2736,$K16)="","",INDEX(選手一覧!$G$5:$G$2736,$K16))</f>
        <v/>
      </c>
      <c r="P16" s="11" t="str">
        <f aca="false">IF(INDEX(選手一覧!$H$5:$H$2736,$K16)="","",INDEX(選手一覧!$H$5:$H$2736,$K16))</f>
        <v/>
      </c>
      <c r="Q16" s="12" t="str">
        <f aca="false">IF(INDEX(選手一覧!$I$5:$I$2736,$K16)="","",INDEX(選手一覧!$I$5:$I$2736,$K16))</f>
        <v/>
      </c>
    </row>
    <row r="17" customFormat="false" ht="15" hidden="false" customHeight="false" outlineLevel="0" collapsed="false">
      <c r="A17" s="25" t="n">
        <v>1</v>
      </c>
      <c r="B17" s="26" t="n">
        <v>10</v>
      </c>
      <c r="C17" s="10" t="n">
        <v>40</v>
      </c>
      <c r="D17" s="27" t="n">
        <f aca="false">COUNTIFS($A$5:$A$115,A17,$E$5:$E$115,"&lt;"&amp;E17)+1</f>
        <v>13</v>
      </c>
      <c r="E17" s="28" t="n">
        <v>0.0223263888888889</v>
      </c>
      <c r="F17" s="28" t="n">
        <f aca="false">E17/B17</f>
        <v>0.00223263888888889</v>
      </c>
      <c r="G17" s="29" t="s">
        <v>4541</v>
      </c>
      <c r="H17" s="29" t="s">
        <v>4542</v>
      </c>
      <c r="I17" s="30"/>
      <c r="J17" s="27" t="n">
        <v>45</v>
      </c>
      <c r="K17" s="27" t="n">
        <v>689</v>
      </c>
      <c r="L17" s="9" t="n">
        <f aca="false">IF(INDEX(選手一覧!$D$5:$D$2736,$K17)="","",INDEX(選手一覧!$D$5:$D$2736,$K17))</f>
        <v>0.0107650462962963</v>
      </c>
      <c r="M17" s="10" t="n">
        <f aca="false">IF(INDEX(選手一覧!$E$5:$E$2736,$K17)="","",INDEX(選手一覧!$E$5:$E$2736,$K17))</f>
        <v>690</v>
      </c>
      <c r="N17" s="11" t="str">
        <f aca="false">IF(INDEX(選手一覧!$F$5:$F$2736,$K17)="","",INDEX(選手一覧!$F$5:$F$2736,$K17))</f>
        <v/>
      </c>
      <c r="O17" s="12" t="str">
        <f aca="false">IF(INDEX(選手一覧!$G$5:$G$2736,$K17)="","",INDEX(選手一覧!$G$5:$G$2736,$K17))</f>
        <v/>
      </c>
      <c r="P17" s="11" t="str">
        <f aca="false">IF(INDEX(選手一覧!$H$5:$H$2736,$K17)="","",INDEX(選手一覧!$H$5:$H$2736,$K17))</f>
        <v/>
      </c>
      <c r="Q17" s="12" t="str">
        <f aca="false">IF(INDEX(選手一覧!$I$5:$I$2736,$K17)="","",INDEX(選手一覧!$I$5:$I$2736,$K17))</f>
        <v/>
      </c>
    </row>
    <row r="18" customFormat="false" ht="15" hidden="false" customHeight="false" outlineLevel="0" collapsed="false">
      <c r="A18" s="25" t="n">
        <v>1</v>
      </c>
      <c r="B18" s="26" t="n">
        <v>10</v>
      </c>
      <c r="C18" s="10" t="n">
        <v>41</v>
      </c>
      <c r="D18" s="27" t="n">
        <f aca="false">COUNTIFS($A$5:$A$115,A18,$E$5:$E$115,"&lt;"&amp;E18)+1</f>
        <v>14</v>
      </c>
      <c r="E18" s="28" t="n">
        <v>0.022337962962963</v>
      </c>
      <c r="F18" s="28" t="n">
        <f aca="false">E18/B18</f>
        <v>0.0022337962962963</v>
      </c>
      <c r="G18" s="29" t="s">
        <v>4543</v>
      </c>
      <c r="H18" s="29" t="s">
        <v>4544</v>
      </c>
      <c r="I18" s="30"/>
      <c r="J18" s="27" t="n">
        <v>43</v>
      </c>
      <c r="K18" s="27" t="n">
        <v>431</v>
      </c>
      <c r="L18" s="9" t="n">
        <f aca="false">IF(INDEX(選手一覧!$D$5:$D$2736,$K18)="","",INDEX(選手一覧!$D$5:$D$2736,$K18))</f>
        <v>0.0105770833333333</v>
      </c>
      <c r="M18" s="10" t="n">
        <f aca="false">IF(INDEX(選手一覧!$E$5:$E$2736,$K18)="","",INDEX(選手一覧!$E$5:$E$2736,$K18))</f>
        <v>432</v>
      </c>
      <c r="N18" s="11" t="str">
        <f aca="false">IF(INDEX(選手一覧!$F$5:$F$2736,$K18)="","",INDEX(選手一覧!$F$5:$F$2736,$K18))</f>
        <v/>
      </c>
      <c r="O18" s="12" t="str">
        <f aca="false">IF(INDEX(選手一覧!$G$5:$G$2736,$K18)="","",INDEX(選手一覧!$G$5:$G$2736,$K18))</f>
        <v/>
      </c>
      <c r="P18" s="11" t="n">
        <f aca="false">IF(INDEX(選手一覧!$H$5:$H$2736,$K18)="","",INDEX(選手一覧!$H$5:$H$2736,$K18))</f>
        <v>0.00285173611111111</v>
      </c>
      <c r="Q18" s="12" t="n">
        <f aca="false">IF(INDEX(選手一覧!$I$5:$I$2736,$K18)="","",INDEX(選手一覧!$I$5:$I$2736,$K18))</f>
        <v>579</v>
      </c>
    </row>
    <row r="19" customFormat="false" ht="15" hidden="false" customHeight="false" outlineLevel="0" collapsed="false">
      <c r="A19" s="25" t="n">
        <v>1</v>
      </c>
      <c r="B19" s="26" t="n">
        <v>10</v>
      </c>
      <c r="C19" s="10" t="n">
        <v>54</v>
      </c>
      <c r="D19" s="27" t="n">
        <f aca="false">COUNTIFS($A$5:$A$115,A19,$E$5:$E$115,"&lt;"&amp;E19)+1</f>
        <v>15</v>
      </c>
      <c r="E19" s="28" t="n">
        <v>0.0240740740740741</v>
      </c>
      <c r="F19" s="28" t="n">
        <f aca="false">E19/B19</f>
        <v>0.00240740740740741</v>
      </c>
      <c r="G19" s="29" t="s">
        <v>4545</v>
      </c>
      <c r="H19" s="29" t="s">
        <v>4546</v>
      </c>
      <c r="I19" s="30"/>
      <c r="J19" s="27" t="n">
        <v>52</v>
      </c>
      <c r="K19" s="27" t="n">
        <v>974</v>
      </c>
      <c r="L19" s="9" t="n">
        <f aca="false">IF(INDEX(選手一覧!$D$5:$D$2736,$K19)="","",INDEX(選手一覧!$D$5:$D$2736,$K19))</f>
        <v>0.0109340277777778</v>
      </c>
      <c r="M19" s="10" t="n">
        <f aca="false">IF(INDEX(選手一覧!$E$5:$E$2736,$K19)="","",INDEX(選手一覧!$E$5:$E$2736,$K19))</f>
        <v>975</v>
      </c>
      <c r="N19" s="11" t="str">
        <f aca="false">IF(INDEX(選手一覧!$F$5:$F$2736,$K19)="","",INDEX(選手一覧!$F$5:$F$2736,$K19))</f>
        <v/>
      </c>
      <c r="O19" s="12" t="str">
        <f aca="false">IF(INDEX(選手一覧!$G$5:$G$2736,$K19)="","",INDEX(選手一覧!$G$5:$G$2736,$K19))</f>
        <v/>
      </c>
      <c r="P19" s="11" t="str">
        <f aca="false">IF(INDEX(選手一覧!$H$5:$H$2736,$K19)="","",INDEX(選手一覧!$H$5:$H$2736,$K19))</f>
        <v/>
      </c>
      <c r="Q19" s="12" t="str">
        <f aca="false">IF(INDEX(選手一覧!$I$5:$I$2736,$K19)="","",INDEX(選手一覧!$I$5:$I$2736,$K19))</f>
        <v/>
      </c>
    </row>
    <row r="20" customFormat="false" ht="15" hidden="false" customHeight="false" outlineLevel="0" collapsed="false">
      <c r="A20" s="35" t="n">
        <v>2</v>
      </c>
      <c r="B20" s="36" t="n">
        <v>3</v>
      </c>
      <c r="C20" s="10" t="n">
        <v>1</v>
      </c>
      <c r="D20" s="12" t="n">
        <f aca="false">COUNTIFS($A$5:$A$115,A20,$E$5:$E$115,"&lt;"&amp;E20)+1</f>
        <v>1</v>
      </c>
      <c r="E20" s="37" t="n">
        <v>0.00572916666666667</v>
      </c>
      <c r="F20" s="37" t="n">
        <f aca="false">E20/B20</f>
        <v>0.00190972222222222</v>
      </c>
      <c r="G20" s="8" t="s">
        <v>4547</v>
      </c>
      <c r="H20" s="8" t="s">
        <v>4548</v>
      </c>
      <c r="I20" s="6"/>
      <c r="J20" s="12" t="n">
        <v>1</v>
      </c>
      <c r="K20" s="12" t="n">
        <v>146</v>
      </c>
      <c r="L20" s="9" t="n">
        <f aca="false">IF(INDEX(選手一覧!$D$5:$D$2736,$K20)="","",INDEX(選手一覧!$D$5:$D$2736,$K20))</f>
        <v>0.0102784722222222</v>
      </c>
      <c r="M20" s="10" t="n">
        <f aca="false">IF(INDEX(選手一覧!$E$5:$E$2736,$K20)="","",INDEX(選手一覧!$E$5:$E$2736,$K20))</f>
        <v>147</v>
      </c>
      <c r="N20" s="11" t="n">
        <f aca="false">IF(INDEX(選手一覧!$F$5:$F$2736,$K20)="","",INDEX(選手一覧!$F$5:$F$2736,$K20))</f>
        <v>0.00638402777777778</v>
      </c>
      <c r="O20" s="12" t="n">
        <f aca="false">IF(INDEX(選手一覧!$G$5:$G$2736,$K20)="","",INDEX(選手一覧!$G$5:$G$2736,$K20))</f>
        <v>12</v>
      </c>
      <c r="P20" s="11" t="n">
        <f aca="false">IF(INDEX(選手一覧!$H$5:$H$2736,$K20)="","",INDEX(選手一覧!$H$5:$H$2736,$K20))</f>
        <v>0.0027630787037037</v>
      </c>
      <c r="Q20" s="12" t="n">
        <f aca="false">IF(INDEX(選手一覧!$I$5:$I$2736,$K20)="","",INDEX(選手一覧!$I$5:$I$2736,$K20))</f>
        <v>142</v>
      </c>
    </row>
    <row r="21" customFormat="false" ht="15" hidden="false" customHeight="false" outlineLevel="0" collapsed="false">
      <c r="A21" s="35" t="n">
        <v>2</v>
      </c>
      <c r="B21" s="36" t="n">
        <v>3</v>
      </c>
      <c r="C21" s="10" t="n">
        <v>2</v>
      </c>
      <c r="D21" s="12" t="n">
        <f aca="false">COUNTIFS($A$5:$A$115,A21,$E$5:$E$115,"&lt;"&amp;E21)+1</f>
        <v>2</v>
      </c>
      <c r="E21" s="37" t="n">
        <v>0.00574074074074074</v>
      </c>
      <c r="F21" s="37" t="n">
        <f aca="false">E21/B21</f>
        <v>0.00191358024691358</v>
      </c>
      <c r="G21" s="8" t="s">
        <v>4549</v>
      </c>
      <c r="H21" s="8" t="s">
        <v>4550</v>
      </c>
      <c r="I21" s="6"/>
      <c r="J21" s="12" t="n">
        <v>22</v>
      </c>
      <c r="K21" s="12" t="n">
        <v>8</v>
      </c>
      <c r="L21" s="9" t="n">
        <f aca="false">IF(INDEX(選手一覧!$D$5:$D$2736,$K21)="","",INDEX(選手一覧!$D$5:$D$2736,$K21))</f>
        <v>0.00981168981481482</v>
      </c>
      <c r="M21" s="10" t="n">
        <f aca="false">IF(INDEX(選手一覧!$E$5:$E$2736,$K21)="","",INDEX(選手一覧!$E$5:$E$2736,$K21))</f>
        <v>8</v>
      </c>
      <c r="N21" s="11" t="str">
        <f aca="false">IF(INDEX(選手一覧!$F$5:$F$2736,$K21)="","",INDEX(選手一覧!$F$5:$F$2736,$K21))</f>
        <v/>
      </c>
      <c r="O21" s="12" t="str">
        <f aca="false">IF(INDEX(選手一覧!$G$5:$G$2736,$K21)="","",INDEX(選手一覧!$G$5:$G$2736,$K21))</f>
        <v/>
      </c>
      <c r="P21" s="11" t="n">
        <f aca="false">IF(INDEX(選手一覧!$H$5:$H$2736,$K21)="","",INDEX(選手一覧!$H$5:$H$2736,$K21))</f>
        <v>0.00269803240740741</v>
      </c>
      <c r="Q21" s="12" t="n">
        <f aca="false">IF(INDEX(選手一覧!$I$5:$I$2736,$K21)="","",INDEX(選手一覧!$I$5:$I$2736,$K21))</f>
        <v>24</v>
      </c>
    </row>
    <row r="22" customFormat="false" ht="15" hidden="false" customHeight="false" outlineLevel="0" collapsed="false">
      <c r="A22" s="35" t="n">
        <v>2</v>
      </c>
      <c r="B22" s="36" t="n">
        <v>3</v>
      </c>
      <c r="C22" s="10" t="n">
        <v>4</v>
      </c>
      <c r="D22" s="12" t="n">
        <f aca="false">COUNTIFS($A$5:$A$115,A22,$E$5:$E$115,"&lt;"&amp;E22)+1</f>
        <v>3</v>
      </c>
      <c r="E22" s="37" t="n">
        <v>0.00586805555555556</v>
      </c>
      <c r="F22" s="37" t="n">
        <f aca="false">E22/B22</f>
        <v>0.00195601851851852</v>
      </c>
      <c r="G22" s="8" t="s">
        <v>4551</v>
      </c>
      <c r="H22" s="8" t="s">
        <v>4552</v>
      </c>
      <c r="I22" s="6"/>
      <c r="J22" s="12" t="n">
        <v>13</v>
      </c>
      <c r="K22" s="12" t="n">
        <v>161</v>
      </c>
      <c r="L22" s="9" t="n">
        <f aca="false">IF(INDEX(選手一覧!$D$5:$D$2736,$K22)="","",INDEX(選手一覧!$D$5:$D$2736,$K22))</f>
        <v>0.0103006944444444</v>
      </c>
      <c r="M22" s="10" t="n">
        <f aca="false">IF(INDEX(選手一覧!$E$5:$E$2736,$K22)="","",INDEX(選手一覧!$E$5:$E$2736,$K22))</f>
        <v>162</v>
      </c>
      <c r="N22" s="11" t="str">
        <f aca="false">IF(INDEX(選手一覧!$F$5:$F$2736,$K22)="","",INDEX(選手一覧!$F$5:$F$2736,$K22))</f>
        <v/>
      </c>
      <c r="O22" s="12" t="str">
        <f aca="false">IF(INDEX(選手一覧!$G$5:$G$2736,$K22)="","",INDEX(選手一覧!$G$5:$G$2736,$K22))</f>
        <v/>
      </c>
      <c r="P22" s="11" t="n">
        <f aca="false">IF(INDEX(選手一覧!$H$5:$H$2736,$K22)="","",INDEX(選手一覧!$H$5:$H$2736,$K22))</f>
        <v>0.00268900462962963</v>
      </c>
      <c r="Q22" s="12" t="n">
        <f aca="false">IF(INDEX(選手一覧!$I$5:$I$2736,$K22)="","",INDEX(選手一覧!$I$5:$I$2736,$K22))</f>
        <v>17</v>
      </c>
    </row>
    <row r="23" customFormat="false" ht="15" hidden="false" customHeight="false" outlineLevel="0" collapsed="false">
      <c r="A23" s="35" t="n">
        <v>2</v>
      </c>
      <c r="B23" s="36" t="n">
        <v>3</v>
      </c>
      <c r="C23" s="10" t="n">
        <v>9</v>
      </c>
      <c r="D23" s="12" t="n">
        <f aca="false">COUNTIFS($A$5:$A$115,A23,$E$5:$E$115,"&lt;"&amp;E23)+1</f>
        <v>4</v>
      </c>
      <c r="E23" s="37" t="n">
        <v>0.00597222222222222</v>
      </c>
      <c r="F23" s="37" t="n">
        <f aca="false">E23/B23</f>
        <v>0.00199074074074074</v>
      </c>
      <c r="G23" s="8" t="s">
        <v>4553</v>
      </c>
      <c r="H23" s="8" t="s">
        <v>4554</v>
      </c>
      <c r="I23" s="6"/>
      <c r="J23" s="12" t="n">
        <v>15</v>
      </c>
      <c r="K23" s="12" t="n">
        <v>514</v>
      </c>
      <c r="L23" s="9" t="n">
        <f aca="false">IF(INDEX(選手一覧!$D$5:$D$2736,$K23)="","",INDEX(選手一覧!$D$5:$D$2736,$K23))</f>
        <v>0.0106431712962963</v>
      </c>
      <c r="M23" s="10" t="n">
        <f aca="false">IF(INDEX(選手一覧!$E$5:$E$2736,$K23)="","",INDEX(選手一覧!$E$5:$E$2736,$K23))</f>
        <v>515</v>
      </c>
      <c r="N23" s="11" t="str">
        <f aca="false">IF(INDEX(選手一覧!$F$5:$F$2736,$K23)="","",INDEX(選手一覧!$F$5:$F$2736,$K23))</f>
        <v/>
      </c>
      <c r="O23" s="12" t="str">
        <f aca="false">IF(INDEX(選手一覧!$G$5:$G$2736,$K23)="","",INDEX(選手一覧!$G$5:$G$2736,$K23))</f>
        <v/>
      </c>
      <c r="P23" s="11" t="n">
        <f aca="false">IF(INDEX(選手一覧!$H$5:$H$2736,$K23)="","",INDEX(選手一覧!$H$5:$H$2736,$K23))</f>
        <v>0.0028369212962963</v>
      </c>
      <c r="Q23" s="12" t="n">
        <f aca="false">IF(INDEX(選手一覧!$I$5:$I$2736,$K23)="","",INDEX(選手一覧!$I$5:$I$2736,$K23))</f>
        <v>478</v>
      </c>
    </row>
    <row r="24" customFormat="false" ht="15" hidden="false" customHeight="false" outlineLevel="0" collapsed="false">
      <c r="A24" s="35" t="n">
        <v>2</v>
      </c>
      <c r="B24" s="36" t="n">
        <v>3</v>
      </c>
      <c r="C24" s="10" t="n">
        <v>9</v>
      </c>
      <c r="D24" s="12" t="n">
        <f aca="false">COUNTIFS($A$5:$A$115,A24,$E$5:$E$115,"&lt;"&amp;E24)+1</f>
        <v>4</v>
      </c>
      <c r="E24" s="37" t="n">
        <v>0.00597222222222222</v>
      </c>
      <c r="F24" s="37" t="n">
        <f aca="false">E24/B24</f>
        <v>0.00199074074074074</v>
      </c>
      <c r="G24" s="8" t="s">
        <v>4555</v>
      </c>
      <c r="H24" s="8" t="s">
        <v>4538</v>
      </c>
      <c r="I24" s="6"/>
      <c r="J24" s="12" t="n">
        <v>33</v>
      </c>
      <c r="K24" s="12" t="n">
        <v>7</v>
      </c>
      <c r="L24" s="9" t="n">
        <f aca="false">IF(INDEX(選手一覧!$D$5:$D$2736,$K24)="","",INDEX(選手一覧!$D$5:$D$2736,$K24))</f>
        <v>0.00977974537037037</v>
      </c>
      <c r="M24" s="10" t="n">
        <f aca="false">IF(INDEX(選手一覧!$E$5:$E$2736,$K24)="","",INDEX(選手一覧!$E$5:$E$2736,$K24))</f>
        <v>7</v>
      </c>
      <c r="N24" s="11" t="str">
        <f aca="false">IF(INDEX(選手一覧!$F$5:$F$2736,$K24)="","",INDEX(選手一覧!$F$5:$F$2736,$K24))</f>
        <v/>
      </c>
      <c r="O24" s="12" t="str">
        <f aca="false">IF(INDEX(選手一覧!$G$5:$G$2736,$K24)="","",INDEX(選手一覧!$G$5:$G$2736,$K24))</f>
        <v/>
      </c>
      <c r="P24" s="11" t="str">
        <f aca="false">IF(INDEX(選手一覧!$H$5:$H$2736,$K24)="","",INDEX(選手一覧!$H$5:$H$2736,$K24))</f>
        <v/>
      </c>
      <c r="Q24" s="12" t="str">
        <f aca="false">IF(INDEX(選手一覧!$I$5:$I$2736,$K24)="","",INDEX(選手一覧!$I$5:$I$2736,$K24))</f>
        <v/>
      </c>
    </row>
    <row r="25" customFormat="false" ht="15" hidden="false" customHeight="false" outlineLevel="0" collapsed="false">
      <c r="A25" s="35" t="n">
        <v>2</v>
      </c>
      <c r="B25" s="36" t="n">
        <v>3</v>
      </c>
      <c r="C25" s="10" t="n">
        <v>13</v>
      </c>
      <c r="D25" s="12" t="n">
        <f aca="false">COUNTIFS($A$5:$A$115,A25,$E$5:$E$115,"&lt;"&amp;E25)+1</f>
        <v>6</v>
      </c>
      <c r="E25" s="37" t="n">
        <v>0.00599537037037037</v>
      </c>
      <c r="F25" s="37" t="n">
        <f aca="false">E25/B25</f>
        <v>0.00199845679012346</v>
      </c>
      <c r="G25" s="8" t="s">
        <v>4556</v>
      </c>
      <c r="H25" s="8" t="s">
        <v>4557</v>
      </c>
      <c r="I25" s="6"/>
      <c r="J25" s="12" t="n">
        <v>2</v>
      </c>
      <c r="K25" s="12" t="n">
        <v>147</v>
      </c>
      <c r="L25" s="9" t="n">
        <f aca="false">IF(INDEX(選手一覧!$D$5:$D$2736,$K25)="","",INDEX(選手一覧!$D$5:$D$2736,$K25))</f>
        <v>0.0102799768518519</v>
      </c>
      <c r="M25" s="10" t="n">
        <f aca="false">IF(INDEX(選手一覧!$E$5:$E$2736,$K25)="","",INDEX(選手一覧!$E$5:$E$2736,$K25))</f>
        <v>148</v>
      </c>
      <c r="N25" s="11" t="str">
        <f aca="false">IF(INDEX(選手一覧!$F$5:$F$2736,$K25)="","",INDEX(選手一覧!$F$5:$F$2736,$K25))</f>
        <v/>
      </c>
      <c r="O25" s="12" t="str">
        <f aca="false">IF(INDEX(選手一覧!$G$5:$G$2736,$K25)="","",INDEX(選手一覧!$G$5:$G$2736,$K25))</f>
        <v/>
      </c>
      <c r="P25" s="11" t="n">
        <f aca="false">IF(INDEX(選手一覧!$H$5:$H$2736,$K25)="","",INDEX(選手一覧!$H$5:$H$2736,$K25))</f>
        <v>0.00274988425925926</v>
      </c>
      <c r="Q25" s="12" t="n">
        <f aca="false">IF(INDEX(選手一覧!$I$5:$I$2736,$K25)="","",INDEX(選手一覧!$I$5:$I$2736,$K25))</f>
        <v>104</v>
      </c>
    </row>
    <row r="26" customFormat="false" ht="15" hidden="false" customHeight="false" outlineLevel="0" collapsed="false">
      <c r="A26" s="35" t="n">
        <v>2</v>
      </c>
      <c r="B26" s="36" t="n">
        <v>3</v>
      </c>
      <c r="C26" s="10" t="n">
        <v>13</v>
      </c>
      <c r="D26" s="12" t="n">
        <f aca="false">COUNTIFS($A$5:$A$115,A26,$E$5:$E$115,"&lt;"&amp;E26)+1</f>
        <v>6</v>
      </c>
      <c r="E26" s="37" t="n">
        <v>0.00599537037037037</v>
      </c>
      <c r="F26" s="37" t="n">
        <f aca="false">E26/B26</f>
        <v>0.00199845679012346</v>
      </c>
      <c r="G26" s="8" t="s">
        <v>4558</v>
      </c>
      <c r="H26" s="8" t="s">
        <v>4559</v>
      </c>
      <c r="I26" s="6"/>
      <c r="J26" s="12" t="n">
        <v>41</v>
      </c>
      <c r="K26" s="12" t="n">
        <v>642</v>
      </c>
      <c r="L26" s="9" t="n">
        <f aca="false">IF(INDEX(選手一覧!$D$5:$D$2736,$K26)="","",INDEX(選手一覧!$D$5:$D$2736,$K26))</f>
        <v>0.0107357638888889</v>
      </c>
      <c r="M26" s="10" t="n">
        <f aca="false">IF(INDEX(選手一覧!$E$5:$E$2736,$K26)="","",INDEX(選手一覧!$E$5:$E$2736,$K26))</f>
        <v>643</v>
      </c>
      <c r="N26" s="11" t="str">
        <f aca="false">IF(INDEX(選手一覧!$F$5:$F$2736,$K26)="","",INDEX(選手一覧!$F$5:$F$2736,$K26))</f>
        <v/>
      </c>
      <c r="O26" s="12" t="str">
        <f aca="false">IF(INDEX(選手一覧!$G$5:$G$2736,$K26)="","",INDEX(選手一覧!$G$5:$G$2736,$K26))</f>
        <v/>
      </c>
      <c r="P26" s="11" t="n">
        <f aca="false">IF(INDEX(選手一覧!$H$5:$H$2736,$K26)="","",INDEX(選手一覧!$H$5:$H$2736,$K26))</f>
        <v>0.00276481481481482</v>
      </c>
      <c r="Q26" s="12" t="n">
        <f aca="false">IF(INDEX(選手一覧!$I$5:$I$2736,$K26)="","",INDEX(選手一覧!$I$5:$I$2736,$K26))</f>
        <v>148</v>
      </c>
    </row>
    <row r="27" customFormat="false" ht="15" hidden="false" customHeight="false" outlineLevel="0" collapsed="false">
      <c r="A27" s="35" t="n">
        <v>2</v>
      </c>
      <c r="B27" s="36" t="n">
        <v>3</v>
      </c>
      <c r="C27" s="10" t="n">
        <v>15</v>
      </c>
      <c r="D27" s="12" t="n">
        <f aca="false">COUNTIFS($A$5:$A$115,A27,$E$5:$E$115,"&lt;"&amp;E27)+1</f>
        <v>8</v>
      </c>
      <c r="E27" s="37" t="n">
        <v>0.00601851851851852</v>
      </c>
      <c r="F27" s="37" t="n">
        <f aca="false">E27/B27</f>
        <v>0.00200617283950617</v>
      </c>
      <c r="G27" s="8" t="s">
        <v>4560</v>
      </c>
      <c r="H27" s="8" t="s">
        <v>4561</v>
      </c>
      <c r="I27" s="6"/>
      <c r="J27" s="12" t="n">
        <v>7</v>
      </c>
      <c r="K27" s="12" t="n">
        <v>106</v>
      </c>
      <c r="L27" s="9" t="n">
        <f aca="false">IF(INDEX(選手一覧!$D$5:$D$2736,$K27)="","",INDEX(選手一覧!$D$5:$D$2736,$K27))</f>
        <v>0.0102170138888889</v>
      </c>
      <c r="M27" s="10" t="n">
        <f aca="false">IF(INDEX(選手一覧!$E$5:$E$2736,$K27)="","",INDEX(選手一覧!$E$5:$E$2736,$K27))</f>
        <v>107</v>
      </c>
      <c r="N27" s="11" t="str">
        <f aca="false">IF(INDEX(選手一覧!$F$5:$F$2736,$K27)="","",INDEX(選手一覧!$F$5:$F$2736,$K27))</f>
        <v/>
      </c>
      <c r="O27" s="12" t="str">
        <f aca="false">IF(INDEX(選手一覧!$G$5:$G$2736,$K27)="","",INDEX(選手一覧!$G$5:$G$2736,$K27))</f>
        <v/>
      </c>
      <c r="P27" s="11" t="n">
        <f aca="false">IF(INDEX(選手一覧!$H$5:$H$2736,$K27)="","",INDEX(選手一覧!$H$5:$H$2736,$K27))</f>
        <v>0.00274849537037037</v>
      </c>
      <c r="Q27" s="12" t="n">
        <f aca="false">IF(INDEX(選手一覧!$I$5:$I$2736,$K27)="","",INDEX(選手一覧!$I$5:$I$2736,$K27))</f>
        <v>97</v>
      </c>
    </row>
    <row r="28" customFormat="false" ht="15" hidden="false" customHeight="false" outlineLevel="0" collapsed="false">
      <c r="A28" s="35" t="n">
        <v>2</v>
      </c>
      <c r="B28" s="36" t="n">
        <v>3</v>
      </c>
      <c r="C28" s="10" t="n">
        <v>18</v>
      </c>
      <c r="D28" s="12" t="n">
        <f aca="false">COUNTIFS($A$5:$A$115,A28,$E$5:$E$115,"&lt;"&amp;E28)+1</f>
        <v>9</v>
      </c>
      <c r="E28" s="37" t="n">
        <v>0.00607638888888889</v>
      </c>
      <c r="F28" s="37" t="n">
        <f aca="false">E28/B28</f>
        <v>0.00202546296296296</v>
      </c>
      <c r="G28" s="8" t="s">
        <v>4562</v>
      </c>
      <c r="H28" s="8" t="s">
        <v>4532</v>
      </c>
      <c r="I28" s="6"/>
      <c r="J28" s="12" t="n">
        <v>20</v>
      </c>
      <c r="K28" s="12" t="n">
        <v>977</v>
      </c>
      <c r="L28" s="9" t="n">
        <f aca="false">IF(INDEX(選手一覧!$D$5:$D$2736,$K28)="","",INDEX(選手一覧!$D$5:$D$2736,$K28))</f>
        <v>0.0109368055555556</v>
      </c>
      <c r="M28" s="10" t="n">
        <f aca="false">IF(INDEX(選手一覧!$E$5:$E$2736,$K28)="","",INDEX(選手一覧!$E$5:$E$2736,$K28))</f>
        <v>978</v>
      </c>
      <c r="N28" s="11" t="str">
        <f aca="false">IF(INDEX(選手一覧!$F$5:$F$2736,$K28)="","",INDEX(選手一覧!$F$5:$F$2736,$K28))</f>
        <v/>
      </c>
      <c r="O28" s="12" t="str">
        <f aca="false">IF(INDEX(選手一覧!$G$5:$G$2736,$K28)="","",INDEX(選手一覧!$G$5:$G$2736,$K28))</f>
        <v/>
      </c>
      <c r="P28" s="11" t="n">
        <f aca="false">IF(INDEX(選手一覧!$H$5:$H$2736,$K28)="","",INDEX(選手一覧!$H$5:$H$2736,$K28))</f>
        <v>0.00283229166666667</v>
      </c>
      <c r="Q28" s="12" t="n">
        <f aca="false">IF(INDEX(選手一覧!$I$5:$I$2736,$K28)="","",INDEX(選手一覧!$I$5:$I$2736,$K28))</f>
        <v>441</v>
      </c>
    </row>
    <row r="29" customFormat="false" ht="15" hidden="false" customHeight="false" outlineLevel="0" collapsed="false">
      <c r="A29" s="35" t="n">
        <v>2</v>
      </c>
      <c r="B29" s="36" t="n">
        <v>3</v>
      </c>
      <c r="C29" s="10" t="n">
        <v>20</v>
      </c>
      <c r="D29" s="12" t="n">
        <f aca="false">COUNTIFS($A$5:$A$115,A29,$E$5:$E$115,"&lt;"&amp;E29)+1</f>
        <v>10</v>
      </c>
      <c r="E29" s="37" t="n">
        <v>0.00611111111111111</v>
      </c>
      <c r="F29" s="37" t="n">
        <f aca="false">E29/B29</f>
        <v>0.00203703703703704</v>
      </c>
      <c r="G29" s="8" t="s">
        <v>4563</v>
      </c>
      <c r="H29" s="8" t="s">
        <v>4564</v>
      </c>
      <c r="I29" s="6"/>
      <c r="J29" s="12" t="n">
        <v>14</v>
      </c>
      <c r="K29" s="12" t="n">
        <v>508</v>
      </c>
      <c r="L29" s="9" t="n">
        <f aca="false">IF(INDEX(選手一覧!$D$5:$D$2736,$K29)="","",INDEX(選手一覧!$D$5:$D$2736,$K29))</f>
        <v>0.0106396990740741</v>
      </c>
      <c r="M29" s="10" t="n">
        <f aca="false">IF(INDEX(選手一覧!$E$5:$E$2736,$K29)="","",INDEX(選手一覧!$E$5:$E$2736,$K29))</f>
        <v>509</v>
      </c>
      <c r="N29" s="11" t="n">
        <f aca="false">IF(INDEX(選手一覧!$F$5:$F$2736,$K29)="","",INDEX(選手一覧!$F$5:$F$2736,$K29))</f>
        <v>0.00661840277777778</v>
      </c>
      <c r="O29" s="12" t="n">
        <f aca="false">IF(INDEX(選手一覧!$G$5:$G$2736,$K29)="","",INDEX(選手一覧!$G$5:$G$2736,$K29))</f>
        <v>71</v>
      </c>
      <c r="P29" s="11" t="n">
        <f aca="false">IF(INDEX(選手一覧!$H$5:$H$2736,$K29)="","",INDEX(選手一覧!$H$5:$H$2736,$K29))</f>
        <v>0.002884375</v>
      </c>
      <c r="Q29" s="12" t="n">
        <f aca="false">IF(INDEX(選手一覧!$I$5:$I$2736,$K29)="","",INDEX(選手一覧!$I$5:$I$2736,$K29))</f>
        <v>811</v>
      </c>
    </row>
    <row r="30" customFormat="false" ht="15" hidden="false" customHeight="false" outlineLevel="0" collapsed="false">
      <c r="A30" s="35" t="n">
        <v>2</v>
      </c>
      <c r="B30" s="36" t="n">
        <v>3</v>
      </c>
      <c r="C30" s="10" t="n">
        <v>21</v>
      </c>
      <c r="D30" s="12" t="n">
        <f aca="false">COUNTIFS($A$5:$A$115,A30,$E$5:$E$115,"&lt;"&amp;E30)+1</f>
        <v>11</v>
      </c>
      <c r="E30" s="37" t="n">
        <v>0.00614583333333333</v>
      </c>
      <c r="F30" s="37" t="n">
        <f aca="false">E30/B30</f>
        <v>0.00204861111111111</v>
      </c>
      <c r="G30" s="8" t="s">
        <v>4565</v>
      </c>
      <c r="H30" s="8" t="s">
        <v>4566</v>
      </c>
      <c r="I30" s="6"/>
      <c r="J30" s="12" t="n">
        <v>19</v>
      </c>
      <c r="K30" s="12" t="n">
        <v>531</v>
      </c>
      <c r="L30" s="9" t="n">
        <f aca="false">IF(INDEX(選手一覧!$D$5:$D$2736,$K30)="","",INDEX(選手一覧!$D$5:$D$2736,$K30))</f>
        <v>0.0106579861111111</v>
      </c>
      <c r="M30" s="10" t="n">
        <f aca="false">IF(INDEX(選手一覧!$E$5:$E$2736,$K30)="","",INDEX(選手一覧!$E$5:$E$2736,$K30))</f>
        <v>532</v>
      </c>
      <c r="N30" s="11" t="str">
        <f aca="false">IF(INDEX(選手一覧!$F$5:$F$2736,$K30)="","",INDEX(選手一覧!$F$5:$F$2736,$K30))</f>
        <v/>
      </c>
      <c r="O30" s="12" t="str">
        <f aca="false">IF(INDEX(選手一覧!$G$5:$G$2736,$K30)="","",INDEX(選手一覧!$G$5:$G$2736,$K30))</f>
        <v/>
      </c>
      <c r="P30" s="11" t="n">
        <f aca="false">IF(INDEX(選手一覧!$H$5:$H$2736,$K30)="","",INDEX(選手一覧!$H$5:$H$2736,$K30))</f>
        <v>0.00285520833333333</v>
      </c>
      <c r="Q30" s="12" t="n">
        <f aca="false">IF(INDEX(選手一覧!$I$5:$I$2736,$K30)="","",INDEX(選手一覧!$I$5:$I$2736,$K30))</f>
        <v>597</v>
      </c>
    </row>
    <row r="31" customFormat="false" ht="15" hidden="false" customHeight="false" outlineLevel="0" collapsed="false">
      <c r="A31" s="35" t="n">
        <v>2</v>
      </c>
      <c r="B31" s="36" t="n">
        <v>3</v>
      </c>
      <c r="C31" s="10" t="n">
        <v>23</v>
      </c>
      <c r="D31" s="12" t="n">
        <f aca="false">COUNTIFS($A$5:$A$115,A31,$E$5:$E$115,"&lt;"&amp;E31)+1</f>
        <v>12</v>
      </c>
      <c r="E31" s="37" t="n">
        <v>0.00616898148148148</v>
      </c>
      <c r="F31" s="37" t="n">
        <f aca="false">E31/B31</f>
        <v>0.00205632716049383</v>
      </c>
      <c r="G31" s="8" t="s">
        <v>4567</v>
      </c>
      <c r="H31" s="8" t="s">
        <v>4568</v>
      </c>
      <c r="I31" s="6"/>
      <c r="J31" s="12" t="n">
        <v>47</v>
      </c>
      <c r="K31" s="12" t="n">
        <v>826</v>
      </c>
      <c r="L31" s="9" t="n">
        <f aca="false">IF(INDEX(選手一覧!$D$5:$D$2736,$K31)="","",INDEX(選手一覧!$D$5:$D$2736,$K31))</f>
        <v>0.010846412037037</v>
      </c>
      <c r="M31" s="10" t="n">
        <f aca="false">IF(INDEX(選手一覧!$E$5:$E$2736,$K31)="","",INDEX(選手一覧!$E$5:$E$2736,$K31))</f>
        <v>827</v>
      </c>
      <c r="N31" s="11" t="n">
        <f aca="false">IF(INDEX(選手一覧!$F$5:$F$2736,$K31)="","",INDEX(選手一覧!$F$5:$F$2736,$K31))</f>
        <v>0.0066087962962963</v>
      </c>
      <c r="O31" s="12" t="n">
        <f aca="false">IF(INDEX(選手一覧!$G$5:$G$2736,$K31)="","",INDEX(選手一覧!$G$5:$G$2736,$K31))</f>
        <v>69</v>
      </c>
      <c r="P31" s="11" t="n">
        <f aca="false">IF(INDEX(選手一覧!$H$5:$H$2736,$K31)="","",INDEX(選手一覧!$H$5:$H$2736,$K31))</f>
        <v>0.00290763888888889</v>
      </c>
      <c r="Q31" s="12" t="n">
        <f aca="false">IF(INDEX(選手一覧!$I$5:$I$2736,$K31)="","",INDEX(選手一覧!$I$5:$I$2736,$K31))</f>
        <v>997</v>
      </c>
    </row>
    <row r="32" customFormat="false" ht="15" hidden="false" customHeight="false" outlineLevel="0" collapsed="false">
      <c r="A32" s="35" t="n">
        <v>2</v>
      </c>
      <c r="B32" s="36" t="n">
        <v>3</v>
      </c>
      <c r="C32" s="10" t="n">
        <v>24</v>
      </c>
      <c r="D32" s="12" t="n">
        <f aca="false">COUNTIFS($A$5:$A$115,A32,$E$5:$E$115,"&lt;"&amp;E32)+1</f>
        <v>13</v>
      </c>
      <c r="E32" s="37" t="n">
        <v>0.00621527777777778</v>
      </c>
      <c r="F32" s="37" t="n">
        <f aca="false">E32/B32</f>
        <v>0.00207175925925926</v>
      </c>
      <c r="G32" s="8" t="s">
        <v>4569</v>
      </c>
      <c r="H32" s="8" t="s">
        <v>4570</v>
      </c>
      <c r="I32" s="6"/>
      <c r="J32" s="12" t="n">
        <v>32</v>
      </c>
      <c r="K32" s="12" t="n">
        <v>477</v>
      </c>
      <c r="L32" s="9" t="n">
        <f aca="false">IF(INDEX(選手一覧!$D$5:$D$2736,$K32)="","",INDEX(選手一覧!$D$5:$D$2736,$K32))</f>
        <v>0.0106114583333333</v>
      </c>
      <c r="M32" s="10" t="n">
        <f aca="false">IF(INDEX(選手一覧!$E$5:$E$2736,$K32)="","",INDEX(選手一覧!$E$5:$E$2736,$K32))</f>
        <v>478</v>
      </c>
      <c r="N32" s="11" t="str">
        <f aca="false">IF(INDEX(選手一覧!$F$5:$F$2736,$K32)="","",INDEX(選手一覧!$F$5:$F$2736,$K32))</f>
        <v/>
      </c>
      <c r="O32" s="12" t="str">
        <f aca="false">IF(INDEX(選手一覧!$G$5:$G$2736,$K32)="","",INDEX(選手一覧!$G$5:$G$2736,$K32))</f>
        <v/>
      </c>
      <c r="P32" s="11" t="n">
        <f aca="false">IF(INDEX(選手一覧!$H$5:$H$2736,$K32)="","",INDEX(選手一覧!$H$5:$H$2736,$K32))</f>
        <v>0.00285543981481482</v>
      </c>
      <c r="Q32" s="12" t="n">
        <f aca="false">IF(INDEX(選手一覧!$I$5:$I$2736,$K32)="","",INDEX(選手一覧!$I$5:$I$2736,$K32))</f>
        <v>599</v>
      </c>
    </row>
    <row r="33" customFormat="false" ht="15" hidden="false" customHeight="false" outlineLevel="0" collapsed="false">
      <c r="A33" s="35" t="n">
        <v>2</v>
      </c>
      <c r="B33" s="36" t="n">
        <v>3</v>
      </c>
      <c r="C33" s="10" t="n">
        <v>27</v>
      </c>
      <c r="D33" s="12" t="n">
        <f aca="false">COUNTIFS($A$5:$A$115,A33,$E$5:$E$115,"&lt;"&amp;E33)+1</f>
        <v>14</v>
      </c>
      <c r="E33" s="37" t="n">
        <v>0.00622685185185185</v>
      </c>
      <c r="F33" s="37" t="n">
        <f aca="false">E33/B33</f>
        <v>0.00207561728395062</v>
      </c>
      <c r="G33" s="8" t="s">
        <v>4571</v>
      </c>
      <c r="H33" s="8" t="s">
        <v>4528</v>
      </c>
      <c r="I33" s="6"/>
      <c r="J33" s="12" t="n">
        <v>34</v>
      </c>
      <c r="K33" s="12" t="n">
        <v>2141</v>
      </c>
      <c r="L33" s="9" t="str">
        <f aca="false">IF(INDEX(選手一覧!$D$5:$D$2736,$K33)="","",INDEX(選手一覧!$D$5:$D$2736,$K33))</f>
        <v/>
      </c>
      <c r="M33" s="10" t="str">
        <f aca="false">IF(INDEX(選手一覧!$E$5:$E$2736,$K33)="","",INDEX(選手一覧!$E$5:$E$2736,$K33))</f>
        <v/>
      </c>
      <c r="N33" s="11" t="str">
        <f aca="false">IF(INDEX(選手一覧!$F$5:$F$2736,$K33)="","",INDEX(選手一覧!$F$5:$F$2736,$K33))</f>
        <v/>
      </c>
      <c r="O33" s="12" t="str">
        <f aca="false">IF(INDEX(選手一覧!$G$5:$G$2736,$K33)="","",INDEX(選手一覧!$G$5:$G$2736,$K33))</f>
        <v/>
      </c>
      <c r="P33" s="11" t="n">
        <f aca="false">IF(INDEX(選手一覧!$H$5:$H$2736,$K33)="","",INDEX(選手一覧!$H$5:$H$2736,$K33))</f>
        <v>0.00290138888888889</v>
      </c>
      <c r="Q33" s="12" t="n">
        <f aca="false">IF(INDEX(選手一覧!$I$5:$I$2736,$K33)="","",INDEX(選手一覧!$I$5:$I$2736,$K33))</f>
        <v>957</v>
      </c>
    </row>
    <row r="34" customFormat="false" ht="15" hidden="false" customHeight="false" outlineLevel="0" collapsed="false">
      <c r="A34" s="35" t="n">
        <v>2</v>
      </c>
      <c r="B34" s="36" t="n">
        <v>3</v>
      </c>
      <c r="C34" s="10" t="n">
        <v>28</v>
      </c>
      <c r="D34" s="12" t="n">
        <f aca="false">COUNTIFS($A$5:$A$115,A34,$E$5:$E$115,"&lt;"&amp;E34)+1</f>
        <v>15</v>
      </c>
      <c r="E34" s="37" t="n">
        <v>0.00623842592592593</v>
      </c>
      <c r="F34" s="37" t="n">
        <f aca="false">E34/B34</f>
        <v>0.00207947530864198</v>
      </c>
      <c r="G34" s="8" t="s">
        <v>4572</v>
      </c>
      <c r="H34" s="8" t="s">
        <v>4534</v>
      </c>
      <c r="I34" s="6"/>
      <c r="J34" s="12" t="n">
        <v>28</v>
      </c>
      <c r="K34" s="12" t="n">
        <v>898</v>
      </c>
      <c r="L34" s="9" t="n">
        <f aca="false">IF(INDEX(選手一覧!$D$5:$D$2736,$K34)="","",INDEX(選手一覧!$D$5:$D$2736,$K34))</f>
        <v>0.0108835648148148</v>
      </c>
      <c r="M34" s="10" t="n">
        <f aca="false">IF(INDEX(選手一覧!$E$5:$E$2736,$K34)="","",INDEX(選手一覧!$E$5:$E$2736,$K34))</f>
        <v>899</v>
      </c>
      <c r="N34" s="11" t="n">
        <f aca="false">IF(INDEX(選手一覧!$F$5:$F$2736,$K34)="","",INDEX(選手一覧!$F$5:$F$2736,$K34))</f>
        <v>0.00708460648148148</v>
      </c>
      <c r="O34" s="12" t="n">
        <f aca="false">IF(INDEX(選手一覧!$G$5:$G$2736,$K34)="","",INDEX(選手一覧!$G$5:$G$2736,$K34))</f>
        <v>432</v>
      </c>
      <c r="P34" s="11" t="n">
        <f aca="false">IF(INDEX(選手一覧!$H$5:$H$2736,$K34)="","",INDEX(選手一覧!$H$5:$H$2736,$K34))</f>
        <v>0.00284363425925926</v>
      </c>
      <c r="Q34" s="12" t="n">
        <f aca="false">IF(INDEX(選手一覧!$I$5:$I$2736,$K34)="","",INDEX(選手一覧!$I$5:$I$2736,$K34))</f>
        <v>521</v>
      </c>
    </row>
    <row r="35" customFormat="false" ht="15" hidden="false" customHeight="false" outlineLevel="0" collapsed="false">
      <c r="A35" s="35" t="n">
        <v>2</v>
      </c>
      <c r="B35" s="36" t="n">
        <v>3</v>
      </c>
      <c r="C35" s="10" t="n">
        <v>30</v>
      </c>
      <c r="D35" s="12" t="n">
        <f aca="false">COUNTIFS($A$5:$A$115,A35,$E$5:$E$115,"&lt;"&amp;E35)+1</f>
        <v>16</v>
      </c>
      <c r="E35" s="37" t="n">
        <v>0.00625</v>
      </c>
      <c r="F35" s="37" t="n">
        <f aca="false">E35/B35</f>
        <v>0.00208333333333333</v>
      </c>
      <c r="G35" s="8" t="s">
        <v>4573</v>
      </c>
      <c r="H35" s="8" t="s">
        <v>4526</v>
      </c>
      <c r="I35" s="6"/>
      <c r="J35" s="12" t="n">
        <v>12</v>
      </c>
      <c r="K35" s="12" t="n">
        <v>1248</v>
      </c>
      <c r="L35" s="9" t="n">
        <f aca="false">IF(INDEX(選手一覧!$D$5:$D$2736,$K35)="","",INDEX(選手一覧!$D$5:$D$2736,$K35))</f>
        <v>0.0110791666666667</v>
      </c>
      <c r="M35" s="10" t="n">
        <f aca="false">IF(INDEX(選手一覧!$E$5:$E$2736,$K35)="","",INDEX(選手一覧!$E$5:$E$2736,$K35))</f>
        <v>1249</v>
      </c>
      <c r="N35" s="11" t="n">
        <f aca="false">IF(INDEX(選手一覧!$F$5:$F$2736,$K35)="","",INDEX(選手一覧!$F$5:$F$2736,$K35))</f>
        <v>0.00676053240740741</v>
      </c>
      <c r="O35" s="12" t="n">
        <f aca="false">IF(INDEX(選手一覧!$G$5:$G$2736,$K35)="","",INDEX(選手一覧!$G$5:$G$2736,$K35))</f>
        <v>135</v>
      </c>
      <c r="P35" s="11" t="n">
        <f aca="false">IF(INDEX(選手一覧!$H$5:$H$2736,$K35)="","",INDEX(選手一覧!$H$5:$H$2736,$K35))</f>
        <v>0.00285729166666667</v>
      </c>
      <c r="Q35" s="12" t="n">
        <f aca="false">IF(INDEX(選手一覧!$I$5:$I$2736,$K35)="","",INDEX(選手一覧!$I$5:$I$2736,$K35))</f>
        <v>617</v>
      </c>
    </row>
    <row r="36" customFormat="false" ht="15" hidden="false" customHeight="false" outlineLevel="0" collapsed="false">
      <c r="A36" s="35" t="n">
        <v>2</v>
      </c>
      <c r="B36" s="36" t="n">
        <v>3</v>
      </c>
      <c r="C36" s="10" t="n">
        <v>36</v>
      </c>
      <c r="D36" s="12" t="n">
        <f aca="false">COUNTIFS($A$5:$A$115,A36,$E$5:$E$115,"&lt;"&amp;E36)+1</f>
        <v>17</v>
      </c>
      <c r="E36" s="37" t="n">
        <v>0.00631944444444444</v>
      </c>
      <c r="F36" s="37" t="n">
        <f aca="false">E36/B36</f>
        <v>0.00210648148148148</v>
      </c>
      <c r="G36" s="8" t="s">
        <v>4574</v>
      </c>
      <c r="H36" s="8" t="s">
        <v>4575</v>
      </c>
      <c r="I36" s="6"/>
      <c r="J36" s="12" t="n">
        <v>31</v>
      </c>
      <c r="K36" s="12" t="n">
        <v>2201</v>
      </c>
      <c r="L36" s="9" t="str">
        <f aca="false">IF(INDEX(選手一覧!$D$5:$D$2736,$K36)="","",INDEX(選手一覧!$D$5:$D$2736,$K36))</f>
        <v/>
      </c>
      <c r="M36" s="10" t="str">
        <f aca="false">IF(INDEX(選手一覧!$E$5:$E$2736,$K36)="","",INDEX(選手一覧!$E$5:$E$2736,$K36))</f>
        <v/>
      </c>
      <c r="N36" s="11" t="str">
        <f aca="false">IF(INDEX(選手一覧!$F$5:$F$2736,$K36)="","",INDEX(選手一覧!$F$5:$F$2736,$K36))</f>
        <v/>
      </c>
      <c r="O36" s="12" t="str">
        <f aca="false">IF(INDEX(選手一覧!$G$5:$G$2736,$K36)="","",INDEX(選手一覧!$G$5:$G$2736,$K36))</f>
        <v/>
      </c>
      <c r="P36" s="11" t="n">
        <f aca="false">IF(INDEX(選手一覧!$H$5:$H$2736,$K36)="","",INDEX(選手一覧!$H$5:$H$2736,$K36))</f>
        <v>0.00290821759259259</v>
      </c>
      <c r="Q36" s="12" t="n">
        <f aca="false">IF(INDEX(選手一覧!$I$5:$I$2736,$K36)="","",INDEX(選手一覧!$I$5:$I$2736,$K36))</f>
        <v>1002</v>
      </c>
    </row>
    <row r="37" customFormat="false" ht="15" hidden="false" customHeight="false" outlineLevel="0" collapsed="false">
      <c r="A37" s="35" t="n">
        <v>2</v>
      </c>
      <c r="B37" s="36" t="n">
        <v>3</v>
      </c>
      <c r="C37" s="10" t="n">
        <v>37</v>
      </c>
      <c r="D37" s="12" t="n">
        <f aca="false">COUNTIFS($A$5:$A$115,A37,$E$5:$E$115,"&lt;"&amp;E37)+1</f>
        <v>18</v>
      </c>
      <c r="E37" s="37" t="n">
        <v>0.00633101851851852</v>
      </c>
      <c r="F37" s="37" t="n">
        <f aca="false">E37/B37</f>
        <v>0.00211033950617284</v>
      </c>
      <c r="G37" s="8" t="s">
        <v>4576</v>
      </c>
      <c r="H37" s="8" t="s">
        <v>4577</v>
      </c>
      <c r="I37" s="6"/>
      <c r="J37" s="12" t="n">
        <v>30</v>
      </c>
      <c r="K37" s="12" t="n">
        <v>2021</v>
      </c>
      <c r="L37" s="9" t="str">
        <f aca="false">IF(INDEX(選手一覧!$D$5:$D$2736,$K37)="","",INDEX(選手一覧!$D$5:$D$2736,$K37))</f>
        <v/>
      </c>
      <c r="M37" s="10" t="str">
        <f aca="false">IF(INDEX(選手一覧!$E$5:$E$2736,$K37)="","",INDEX(選手一覧!$E$5:$E$2736,$K37))</f>
        <v/>
      </c>
      <c r="N37" s="11" t="str">
        <f aca="false">IF(INDEX(選手一覧!$F$5:$F$2736,$K37)="","",INDEX(選手一覧!$F$5:$F$2736,$K37))</f>
        <v/>
      </c>
      <c r="O37" s="12" t="str">
        <f aca="false">IF(INDEX(選手一覧!$G$5:$G$2736,$K37)="","",INDEX(選手一覧!$G$5:$G$2736,$K37))</f>
        <v/>
      </c>
      <c r="P37" s="11" t="n">
        <f aca="false">IF(INDEX(選手一覧!$H$5:$H$2736,$K37)="","",INDEX(選手一覧!$H$5:$H$2736,$K37))</f>
        <v>0.00289016203703704</v>
      </c>
      <c r="Q37" s="12" t="n">
        <f aca="false">IF(INDEX(選手一覧!$I$5:$I$2736,$K37)="","",INDEX(選手一覧!$I$5:$I$2736,$K37))</f>
        <v>867</v>
      </c>
    </row>
    <row r="38" customFormat="false" ht="15" hidden="false" customHeight="false" outlineLevel="0" collapsed="false">
      <c r="A38" s="35" t="n">
        <v>2</v>
      </c>
      <c r="B38" s="36" t="n">
        <v>3</v>
      </c>
      <c r="C38" s="10" t="n">
        <v>50</v>
      </c>
      <c r="D38" s="12" t="n">
        <f aca="false">COUNTIFS($A$5:$A$115,A38,$E$5:$E$115,"&lt;"&amp;E38)+1</f>
        <v>19</v>
      </c>
      <c r="E38" s="37" t="n">
        <v>0.00665509259259259</v>
      </c>
      <c r="F38" s="37" t="n">
        <f aca="false">E38/B38</f>
        <v>0.00221836419753086</v>
      </c>
      <c r="G38" s="8" t="s">
        <v>4578</v>
      </c>
      <c r="H38" s="8" t="s">
        <v>4546</v>
      </c>
      <c r="I38" s="6"/>
      <c r="J38" s="12" t="n">
        <v>52</v>
      </c>
      <c r="K38" s="12" t="n">
        <v>2126</v>
      </c>
      <c r="L38" s="9" t="str">
        <f aca="false">IF(INDEX(選手一覧!$D$5:$D$2736,$K38)="","",INDEX(選手一覧!$D$5:$D$2736,$K38))</f>
        <v/>
      </c>
      <c r="M38" s="10" t="str">
        <f aca="false">IF(INDEX(選手一覧!$E$5:$E$2736,$K38)="","",INDEX(選手一覧!$E$5:$E$2736,$K38))</f>
        <v/>
      </c>
      <c r="N38" s="11" t="str">
        <f aca="false">IF(INDEX(選手一覧!$F$5:$F$2736,$K38)="","",INDEX(選手一覧!$F$5:$F$2736,$K38))</f>
        <v/>
      </c>
      <c r="O38" s="12" t="str">
        <f aca="false">IF(INDEX(選手一覧!$G$5:$G$2736,$K38)="","",INDEX(選手一覧!$G$5:$G$2736,$K38))</f>
        <v/>
      </c>
      <c r="P38" s="11" t="n">
        <f aca="false">IF(INDEX(選手一覧!$H$5:$H$2736,$K38)="","",INDEX(選手一覧!$H$5:$H$2736,$K38))</f>
        <v>0.00289988425925926</v>
      </c>
      <c r="Q38" s="12" t="n">
        <f aca="false">IF(INDEX(選手一覧!$I$5:$I$2736,$K38)="","",INDEX(選手一覧!$I$5:$I$2736,$K38))</f>
        <v>945</v>
      </c>
    </row>
    <row r="39" customFormat="false" ht="15" hidden="false" customHeight="false" outlineLevel="0" collapsed="false">
      <c r="A39" s="31" t="n">
        <v>3</v>
      </c>
      <c r="B39" s="32" t="n">
        <v>8.25</v>
      </c>
      <c r="C39" s="19" t="n">
        <v>3</v>
      </c>
      <c r="D39" s="21" t="n">
        <f aca="false">COUNTIFS($A$5:$A$115,A39,$E$5:$E$115,"&lt;"&amp;E39)+1</f>
        <v>1</v>
      </c>
      <c r="E39" s="33" t="n">
        <v>0.0165972222222222</v>
      </c>
      <c r="F39" s="33" t="n">
        <f aca="false">E39/B39</f>
        <v>0.00201178451178451</v>
      </c>
      <c r="G39" s="17" t="s">
        <v>4579</v>
      </c>
      <c r="H39" s="17" t="s">
        <v>4548</v>
      </c>
      <c r="I39" s="15"/>
      <c r="J39" s="21" t="n">
        <v>1</v>
      </c>
      <c r="K39" s="21" t="n">
        <v>14</v>
      </c>
      <c r="L39" s="18" t="n">
        <f aca="false">IF(INDEX(選手一覧!$D$5:$D$2736,$K39)="","",INDEX(選手一覧!$D$5:$D$2736,$K39))</f>
        <v>0.00990787037037037</v>
      </c>
      <c r="M39" s="19" t="n">
        <f aca="false">IF(INDEX(選手一覧!$E$5:$E$2736,$K39)="","",INDEX(選手一覧!$E$5:$E$2736,$K39))</f>
        <v>15</v>
      </c>
      <c r="N39" s="20" t="str">
        <f aca="false">IF(INDEX(選手一覧!$F$5:$F$2736,$K39)="","",INDEX(選手一覧!$F$5:$F$2736,$K39))</f>
        <v/>
      </c>
      <c r="O39" s="21" t="str">
        <f aca="false">IF(INDEX(選手一覧!$G$5:$G$2736,$K39)="","",INDEX(選手一覧!$G$5:$G$2736,$K39))</f>
        <v/>
      </c>
      <c r="P39" s="20" t="n">
        <f aca="false">IF(INDEX(選手一覧!$H$5:$H$2736,$K39)="","",INDEX(選手一覧!$H$5:$H$2736,$K39))</f>
        <v>0.00283935185185185</v>
      </c>
      <c r="Q39" s="21" t="n">
        <f aca="false">IF(INDEX(選手一覧!$I$5:$I$2736,$K39)="","",INDEX(選手一覧!$I$5:$I$2736,$K39))</f>
        <v>491</v>
      </c>
    </row>
    <row r="40" customFormat="false" ht="15" hidden="false" customHeight="false" outlineLevel="0" collapsed="false">
      <c r="A40" s="31" t="n">
        <v>3</v>
      </c>
      <c r="B40" s="32" t="n">
        <v>8.25</v>
      </c>
      <c r="C40" s="19" t="n">
        <v>7</v>
      </c>
      <c r="D40" s="21" t="n">
        <f aca="false">COUNTIFS($A$5:$A$115,A40,$E$5:$E$115,"&lt;"&amp;E40)+1</f>
        <v>2</v>
      </c>
      <c r="E40" s="33" t="n">
        <v>0.0169560185185185</v>
      </c>
      <c r="F40" s="33" t="n">
        <f aca="false">E40/B40</f>
        <v>0.00205527497194164</v>
      </c>
      <c r="G40" s="17" t="s">
        <v>4580</v>
      </c>
      <c r="H40" s="17" t="s">
        <v>4561</v>
      </c>
      <c r="I40" s="15"/>
      <c r="J40" s="21" t="n">
        <v>7</v>
      </c>
      <c r="K40" s="21" t="n">
        <v>205</v>
      </c>
      <c r="L40" s="18" t="n">
        <f aca="false">IF(INDEX(選手一覧!$D$5:$D$2736,$K40)="","",INDEX(選手一覧!$D$5:$D$2736,$K40))</f>
        <v>0.0103516203703704</v>
      </c>
      <c r="M40" s="19" t="n">
        <f aca="false">IF(INDEX(選手一覧!$E$5:$E$2736,$K40)="","",INDEX(選手一覧!$E$5:$E$2736,$K40))</f>
        <v>206</v>
      </c>
      <c r="N40" s="20" t="str">
        <f aca="false">IF(INDEX(選手一覧!$F$5:$F$2736,$K40)="","",INDEX(選手一覧!$F$5:$F$2736,$K40))</f>
        <v/>
      </c>
      <c r="O40" s="21" t="str">
        <f aca="false">IF(INDEX(選手一覧!$G$5:$G$2736,$K40)="","",INDEX(選手一覧!$G$5:$G$2736,$K40))</f>
        <v/>
      </c>
      <c r="P40" s="20" t="n">
        <f aca="false">IF(INDEX(選手一覧!$H$5:$H$2736,$K40)="","",INDEX(選手一覧!$H$5:$H$2736,$K40))</f>
        <v>0.00282152777777778</v>
      </c>
      <c r="Q40" s="21" t="n">
        <f aca="false">IF(INDEX(選手一覧!$I$5:$I$2736,$K40)="","",INDEX(選手一覧!$I$5:$I$2736,$K40))</f>
        <v>372</v>
      </c>
    </row>
    <row r="41" customFormat="false" ht="15" hidden="false" customHeight="false" outlineLevel="0" collapsed="false">
      <c r="A41" s="25" t="n">
        <v>3</v>
      </c>
      <c r="B41" s="26" t="n">
        <v>8.25</v>
      </c>
      <c r="C41" s="10" t="n">
        <v>10</v>
      </c>
      <c r="D41" s="27" t="n">
        <f aca="false">COUNTIFS($A$5:$A$115,A41,$E$5:$E$115,"&lt;"&amp;E41)+1</f>
        <v>3</v>
      </c>
      <c r="E41" s="28" t="n">
        <v>0.0172337962962963</v>
      </c>
      <c r="F41" s="28" t="n">
        <f aca="false">E41/B41</f>
        <v>0.00208894500561167</v>
      </c>
      <c r="G41" s="29" t="s">
        <v>4581</v>
      </c>
      <c r="H41" s="29" t="s">
        <v>4526</v>
      </c>
      <c r="I41" s="30"/>
      <c r="J41" s="27" t="n">
        <v>12</v>
      </c>
      <c r="K41" s="27" t="n">
        <v>713</v>
      </c>
      <c r="L41" s="9" t="n">
        <f aca="false">IF(INDEX(選手一覧!$D$5:$D$2736,$K41)="","",INDEX(選手一覧!$D$5:$D$2736,$K41))</f>
        <v>0.0107869212962963</v>
      </c>
      <c r="M41" s="10" t="n">
        <f aca="false">IF(INDEX(選手一覧!$E$5:$E$2736,$K41)="","",INDEX(選手一覧!$E$5:$E$2736,$K41))</f>
        <v>714</v>
      </c>
      <c r="N41" s="11" t="str">
        <f aca="false">IF(INDEX(選手一覧!$F$5:$F$2736,$K41)="","",INDEX(選手一覧!$F$5:$F$2736,$K41))</f>
        <v/>
      </c>
      <c r="O41" s="12" t="str">
        <f aca="false">IF(INDEX(選手一覧!$G$5:$G$2736,$K41)="","",INDEX(選手一覧!$G$5:$G$2736,$K41))</f>
        <v/>
      </c>
      <c r="P41" s="11" t="n">
        <f aca="false">IF(INDEX(選手一覧!$H$5:$H$2736,$K41)="","",INDEX(選手一覧!$H$5:$H$2736,$K41))</f>
        <v>0.00276516203703704</v>
      </c>
      <c r="Q41" s="12" t="n">
        <f aca="false">IF(INDEX(選手一覧!$I$5:$I$2736,$K41)="","",INDEX(選手一覧!$I$5:$I$2736,$K41))</f>
        <v>150</v>
      </c>
    </row>
    <row r="42" customFormat="false" ht="15" hidden="false" customHeight="false" outlineLevel="0" collapsed="false">
      <c r="A42" s="25" t="n">
        <v>3</v>
      </c>
      <c r="B42" s="26" t="n">
        <v>8.25</v>
      </c>
      <c r="C42" s="10" t="n">
        <v>12</v>
      </c>
      <c r="D42" s="27" t="n">
        <f aca="false">COUNTIFS($A$5:$A$115,A42,$E$5:$E$115,"&lt;"&amp;E42)+1</f>
        <v>4</v>
      </c>
      <c r="E42" s="28" t="n">
        <v>0.0172453703703704</v>
      </c>
      <c r="F42" s="28" t="n">
        <f aca="false">E42/B42</f>
        <v>0.00209034792368126</v>
      </c>
      <c r="G42" s="29" t="s">
        <v>4582</v>
      </c>
      <c r="H42" s="29" t="s">
        <v>4583</v>
      </c>
      <c r="I42" s="30"/>
      <c r="J42" s="27" t="n">
        <v>11</v>
      </c>
      <c r="K42" s="27" t="n">
        <v>124</v>
      </c>
      <c r="L42" s="9" t="n">
        <f aca="false">IF(INDEX(選手一覧!$D$5:$D$2736,$K42)="","",INDEX(選手一覧!$D$5:$D$2736,$K42))</f>
        <v>0.0102445601851852</v>
      </c>
      <c r="M42" s="10" t="n">
        <f aca="false">IF(INDEX(選手一覧!$E$5:$E$2736,$K42)="","",INDEX(選手一覧!$E$5:$E$2736,$K42))</f>
        <v>125</v>
      </c>
      <c r="N42" s="11" t="str">
        <f aca="false">IF(INDEX(選手一覧!$F$5:$F$2736,$K42)="","",INDEX(選手一覧!$F$5:$F$2736,$K42))</f>
        <v/>
      </c>
      <c r="O42" s="12" t="str">
        <f aca="false">IF(INDEX(選手一覧!$G$5:$G$2736,$K42)="","",INDEX(選手一覧!$G$5:$G$2736,$K42))</f>
        <v/>
      </c>
      <c r="P42" s="11" t="n">
        <f aca="false">IF(INDEX(選手一覧!$H$5:$H$2736,$K42)="","",INDEX(選手一覧!$H$5:$H$2736,$K42))</f>
        <v>0.00285393518518519</v>
      </c>
      <c r="Q42" s="12" t="n">
        <f aca="false">IF(INDEX(選手一覧!$I$5:$I$2736,$K42)="","",INDEX(選手一覧!$I$5:$I$2736,$K42))</f>
        <v>593</v>
      </c>
    </row>
    <row r="43" customFormat="false" ht="15" hidden="false" customHeight="false" outlineLevel="0" collapsed="false">
      <c r="A43" s="25" t="n">
        <v>3</v>
      </c>
      <c r="B43" s="26" t="n">
        <v>8.25</v>
      </c>
      <c r="C43" s="10" t="n">
        <v>18</v>
      </c>
      <c r="D43" s="27" t="n">
        <f aca="false">COUNTIFS($A$5:$A$115,A43,$E$5:$E$115,"&lt;"&amp;E43)+1</f>
        <v>5</v>
      </c>
      <c r="E43" s="28" t="n">
        <v>0.0175462962962963</v>
      </c>
      <c r="F43" s="28" t="n">
        <f aca="false">E43/B43</f>
        <v>0.00212682379349046</v>
      </c>
      <c r="G43" s="29" t="s">
        <v>4584</v>
      </c>
      <c r="H43" s="29" t="s">
        <v>4585</v>
      </c>
      <c r="I43" s="30"/>
      <c r="J43" s="27" t="n">
        <v>21</v>
      </c>
      <c r="K43" s="27" t="n">
        <v>155</v>
      </c>
      <c r="L43" s="9" t="n">
        <f aca="false">IF(INDEX(選手一覧!$D$5:$D$2736,$K43)="","",INDEX(選手一覧!$D$5:$D$2736,$K43))</f>
        <v>0.0102929398148148</v>
      </c>
      <c r="M43" s="10" t="n">
        <f aca="false">IF(INDEX(選手一覧!$E$5:$E$2736,$K43)="","",INDEX(選手一覧!$E$5:$E$2736,$K43))</f>
        <v>156</v>
      </c>
      <c r="N43" s="11" t="n">
        <f aca="false">IF(INDEX(選手一覧!$F$5:$F$2736,$K43)="","",INDEX(選手一覧!$F$5:$F$2736,$K43))</f>
        <v>0.00667303240740741</v>
      </c>
      <c r="O43" s="12" t="n">
        <f aca="false">IF(INDEX(選手一覧!$G$5:$G$2736,$K43)="","",INDEX(選手一覧!$G$5:$G$2736,$K43))</f>
        <v>92</v>
      </c>
      <c r="P43" s="11" t="n">
        <f aca="false">IF(INDEX(選手一覧!$H$5:$H$2736,$K43)="","",INDEX(選手一覧!$H$5:$H$2736,$K43))</f>
        <v>0.00289953703703704</v>
      </c>
      <c r="Q43" s="12" t="n">
        <f aca="false">IF(INDEX(選手一覧!$I$5:$I$2736,$K43)="","",INDEX(選手一覧!$I$5:$I$2736,$K43))</f>
        <v>941</v>
      </c>
    </row>
    <row r="44" customFormat="false" ht="15" hidden="false" customHeight="false" outlineLevel="0" collapsed="false">
      <c r="A44" s="25" t="n">
        <v>3</v>
      </c>
      <c r="B44" s="26" t="n">
        <v>8.25</v>
      </c>
      <c r="C44" s="10" t="n">
        <v>23</v>
      </c>
      <c r="D44" s="27" t="n">
        <f aca="false">COUNTIFS($A$5:$A$115,A44,$E$5:$E$115,"&lt;"&amp;E44)+1</f>
        <v>6</v>
      </c>
      <c r="E44" s="28" t="n">
        <v>0.0177314814814815</v>
      </c>
      <c r="F44" s="28" t="n">
        <f aca="false">E44/B44</f>
        <v>0.00214927048260382</v>
      </c>
      <c r="G44" s="29" t="s">
        <v>4586</v>
      </c>
      <c r="H44" s="29" t="s">
        <v>4550</v>
      </c>
      <c r="I44" s="30"/>
      <c r="J44" s="27" t="n">
        <v>22</v>
      </c>
      <c r="K44" s="27" t="n">
        <v>273</v>
      </c>
      <c r="L44" s="9" t="n">
        <f aca="false">IF(INDEX(選手一覧!$D$5:$D$2736,$K44)="","",INDEX(選手一覧!$D$5:$D$2736,$K44))</f>
        <v>0.010409375</v>
      </c>
      <c r="M44" s="10" t="n">
        <f aca="false">IF(INDEX(選手一覧!$E$5:$E$2736,$K44)="","",INDEX(選手一覧!$E$5:$E$2736,$K44))</f>
        <v>274</v>
      </c>
      <c r="N44" s="11" t="str">
        <f aca="false">IF(INDEX(選手一覧!$F$5:$F$2736,$K44)="","",INDEX(選手一覧!$F$5:$F$2736,$K44))</f>
        <v/>
      </c>
      <c r="O44" s="12" t="str">
        <f aca="false">IF(INDEX(選手一覧!$G$5:$G$2736,$K44)="","",INDEX(選手一覧!$G$5:$G$2736,$K44))</f>
        <v/>
      </c>
      <c r="P44" s="11" t="n">
        <f aca="false">IF(INDEX(選手一覧!$H$5:$H$2736,$K44)="","",INDEX(選手一覧!$H$5:$H$2736,$K44))</f>
        <v>0.0028974537037037</v>
      </c>
      <c r="Q44" s="12" t="n">
        <f aca="false">IF(INDEX(選手一覧!$I$5:$I$2736,$K44)="","",INDEX(選手一覧!$I$5:$I$2736,$K44))</f>
        <v>932</v>
      </c>
    </row>
    <row r="45" customFormat="false" ht="15" hidden="false" customHeight="false" outlineLevel="0" collapsed="false">
      <c r="A45" s="25" t="n">
        <v>3</v>
      </c>
      <c r="B45" s="26" t="n">
        <v>8.25</v>
      </c>
      <c r="C45" s="10" t="n">
        <v>25</v>
      </c>
      <c r="D45" s="27" t="n">
        <f aca="false">COUNTIFS($A$5:$A$115,A45,$E$5:$E$115,"&lt;"&amp;E45)+1</f>
        <v>7</v>
      </c>
      <c r="E45" s="28" t="n">
        <v>0.0177777777777778</v>
      </c>
      <c r="F45" s="28" t="n">
        <f aca="false">E45/B45</f>
        <v>0.00215488215488216</v>
      </c>
      <c r="G45" s="29" t="s">
        <v>4587</v>
      </c>
      <c r="H45" s="29" t="s">
        <v>4518</v>
      </c>
      <c r="I45" s="30"/>
      <c r="J45" s="27" t="n">
        <v>16</v>
      </c>
      <c r="K45" s="27" t="n">
        <v>282</v>
      </c>
      <c r="L45" s="9" t="n">
        <f aca="false">IF(INDEX(選手一覧!$D$5:$D$2736,$K45)="","",INDEX(選手一覧!$D$5:$D$2736,$K45))</f>
        <v>0.0104184027777778</v>
      </c>
      <c r="M45" s="10" t="n">
        <f aca="false">IF(INDEX(選手一覧!$E$5:$E$2736,$K45)="","",INDEX(選手一覧!$E$5:$E$2736,$K45))</f>
        <v>283</v>
      </c>
      <c r="N45" s="11" t="n">
        <f aca="false">IF(INDEX(選手一覧!$F$5:$F$2736,$K45)="","",INDEX(選手一覧!$F$5:$F$2736,$K45))</f>
        <v>0.00663900462962963</v>
      </c>
      <c r="O45" s="12" t="n">
        <f aca="false">IF(INDEX(選手一覧!$G$5:$G$2736,$K45)="","",INDEX(選手一覧!$G$5:$G$2736,$K45))</f>
        <v>78</v>
      </c>
      <c r="P45" s="11" t="n">
        <f aca="false">IF(INDEX(選手一覧!$H$5:$H$2736,$K45)="","",INDEX(選手一覧!$H$5:$H$2736,$K45))</f>
        <v>0.00285671296296296</v>
      </c>
      <c r="Q45" s="12" t="n">
        <f aca="false">IF(INDEX(選手一覧!$I$5:$I$2736,$K45)="","",INDEX(選手一覧!$I$5:$I$2736,$K45))</f>
        <v>612</v>
      </c>
    </row>
    <row r="46" customFormat="false" ht="15" hidden="false" customHeight="false" outlineLevel="0" collapsed="false">
      <c r="A46" s="25" t="n">
        <v>3</v>
      </c>
      <c r="B46" s="26" t="n">
        <v>8.25</v>
      </c>
      <c r="C46" s="10" t="n">
        <v>26</v>
      </c>
      <c r="D46" s="27" t="n">
        <f aca="false">COUNTIFS($A$5:$A$115,A46,$E$5:$E$115,"&lt;"&amp;E46)+1</f>
        <v>8</v>
      </c>
      <c r="E46" s="28" t="n">
        <v>0.0177893518518519</v>
      </c>
      <c r="F46" s="28" t="n">
        <f aca="false">E46/B46</f>
        <v>0.00215628507295174</v>
      </c>
      <c r="G46" s="29" t="s">
        <v>4588</v>
      </c>
      <c r="H46" s="29" t="s">
        <v>4528</v>
      </c>
      <c r="I46" s="30"/>
      <c r="J46" s="27" t="n">
        <v>34</v>
      </c>
      <c r="K46" s="27" t="n">
        <v>639</v>
      </c>
      <c r="L46" s="9" t="n">
        <f aca="false">IF(INDEX(選手一覧!$D$5:$D$2736,$K46)="","",INDEX(選手一覧!$D$5:$D$2736,$K46))</f>
        <v>0.0107333333333333</v>
      </c>
      <c r="M46" s="10" t="n">
        <f aca="false">IF(INDEX(選手一覧!$E$5:$E$2736,$K46)="","",INDEX(選手一覧!$E$5:$E$2736,$K46))</f>
        <v>640</v>
      </c>
      <c r="N46" s="11" t="n">
        <f aca="false">IF(INDEX(選手一覧!$F$5:$F$2736,$K46)="","",INDEX(選手一覧!$F$5:$F$2736,$K46))</f>
        <v>0.00676458333333333</v>
      </c>
      <c r="O46" s="12" t="n">
        <f aca="false">IF(INDEX(選手一覧!$G$5:$G$2736,$K46)="","",INDEX(選手一覧!$G$5:$G$2736,$K46))</f>
        <v>142</v>
      </c>
      <c r="P46" s="11" t="str">
        <f aca="false">IF(INDEX(選手一覧!$H$5:$H$2736,$K46)="","",INDEX(選手一覧!$H$5:$H$2736,$K46))</f>
        <v/>
      </c>
      <c r="Q46" s="12" t="str">
        <f aca="false">IF(INDEX(選手一覧!$I$5:$I$2736,$K46)="","",INDEX(選手一覧!$I$5:$I$2736,$K46))</f>
        <v/>
      </c>
    </row>
    <row r="47" customFormat="false" ht="15" hidden="false" customHeight="false" outlineLevel="0" collapsed="false">
      <c r="A47" s="25" t="n">
        <v>3</v>
      </c>
      <c r="B47" s="26" t="n">
        <v>8.25</v>
      </c>
      <c r="C47" s="10" t="n">
        <v>30</v>
      </c>
      <c r="D47" s="27" t="n">
        <f aca="false">COUNTIFS($A$5:$A$115,A47,$E$5:$E$115,"&lt;"&amp;E47)+1</f>
        <v>9</v>
      </c>
      <c r="E47" s="28" t="n">
        <v>0.0179282407407407</v>
      </c>
      <c r="F47" s="28" t="n">
        <f aca="false">E47/B47</f>
        <v>0.00217312008978676</v>
      </c>
      <c r="G47" s="29" t="s">
        <v>4589</v>
      </c>
      <c r="H47" s="29" t="s">
        <v>4590</v>
      </c>
      <c r="I47" s="30"/>
      <c r="J47" s="27" t="n">
        <v>50</v>
      </c>
      <c r="K47" s="27" t="n">
        <v>580</v>
      </c>
      <c r="L47" s="9" t="n">
        <f aca="false">IF(INDEX(選手一覧!$D$5:$D$2736,$K47)="","",INDEX(選手一覧!$D$5:$D$2736,$K47))</f>
        <v>0.0106994212962963</v>
      </c>
      <c r="M47" s="10" t="n">
        <f aca="false">IF(INDEX(選手一覧!$E$5:$E$2736,$K47)="","",INDEX(選手一覧!$E$5:$E$2736,$K47))</f>
        <v>581</v>
      </c>
      <c r="N47" s="11" t="str">
        <f aca="false">IF(INDEX(選手一覧!$F$5:$F$2736,$K47)="","",INDEX(選手一覧!$F$5:$F$2736,$K47))</f>
        <v/>
      </c>
      <c r="O47" s="12" t="str">
        <f aca="false">IF(INDEX(選手一覧!$G$5:$G$2736,$K47)="","",INDEX(選手一覧!$G$5:$G$2736,$K47))</f>
        <v/>
      </c>
      <c r="P47" s="11" t="n">
        <f aca="false">IF(INDEX(選手一覧!$H$5:$H$2736,$K47)="","",INDEX(選手一覧!$H$5:$H$2736,$K47))</f>
        <v>0.00272546296296296</v>
      </c>
      <c r="Q47" s="12" t="n">
        <f aca="false">IF(INDEX(選手一覧!$I$5:$I$2736,$K47)="","",INDEX(選手一覧!$I$5:$I$2736,$K47))</f>
        <v>59</v>
      </c>
    </row>
    <row r="48" customFormat="false" ht="15" hidden="false" customHeight="false" outlineLevel="0" collapsed="false">
      <c r="A48" s="25" t="n">
        <v>3</v>
      </c>
      <c r="B48" s="26" t="n">
        <v>8.25</v>
      </c>
      <c r="C48" s="10" t="n">
        <v>33</v>
      </c>
      <c r="D48" s="27" t="n">
        <f aca="false">COUNTIFS($A$5:$A$115,A48,$E$5:$E$115,"&lt;"&amp;E48)+1</f>
        <v>10</v>
      </c>
      <c r="E48" s="28" t="n">
        <v>0.0179976851851852</v>
      </c>
      <c r="F48" s="28" t="n">
        <f aca="false">E48/B48</f>
        <v>0.00218153759820427</v>
      </c>
      <c r="G48" s="29" t="s">
        <v>4591</v>
      </c>
      <c r="H48" s="29" t="s">
        <v>4592</v>
      </c>
      <c r="I48" s="30"/>
      <c r="J48" s="27" t="n">
        <v>38</v>
      </c>
      <c r="K48" s="27" t="n">
        <v>656</v>
      </c>
      <c r="L48" s="9" t="n">
        <f aca="false">IF(INDEX(選手一覧!$D$5:$D$2736,$K48)="","",INDEX(選手一覧!$D$5:$D$2736,$K48))</f>
        <v>0.0107427083333333</v>
      </c>
      <c r="M48" s="10" t="n">
        <f aca="false">IF(INDEX(選手一覧!$E$5:$E$2736,$K48)="","",INDEX(選手一覧!$E$5:$E$2736,$K48))</f>
        <v>657</v>
      </c>
      <c r="N48" s="11" t="n">
        <f aca="false">IF(INDEX(選手一覧!$F$5:$F$2736,$K48)="","",INDEX(選手一覧!$F$5:$F$2736,$K48))</f>
        <v>0.00656342592592593</v>
      </c>
      <c r="O48" s="12" t="n">
        <f aca="false">IF(INDEX(選手一覧!$G$5:$G$2736,$K48)="","",INDEX(選手一覧!$G$5:$G$2736,$K48))</f>
        <v>49</v>
      </c>
      <c r="P48" s="11" t="n">
        <f aca="false">IF(INDEX(選手一覧!$H$5:$H$2736,$K48)="","",INDEX(選手一覧!$H$5:$H$2736,$K48))</f>
        <v>0.00286423611111111</v>
      </c>
      <c r="Q48" s="12" t="n">
        <f aca="false">IF(INDEX(選手一覧!$I$5:$I$2736,$K48)="","",INDEX(選手一覧!$I$5:$I$2736,$K48))</f>
        <v>661</v>
      </c>
    </row>
    <row r="49" customFormat="false" ht="15" hidden="false" customHeight="false" outlineLevel="0" collapsed="false">
      <c r="A49" s="25" t="n">
        <v>3</v>
      </c>
      <c r="B49" s="26" t="n">
        <v>8.25</v>
      </c>
      <c r="C49" s="10" t="n">
        <v>36</v>
      </c>
      <c r="D49" s="27" t="n">
        <f aca="false">COUNTIFS($A$5:$A$115,A49,$E$5:$E$115,"&lt;"&amp;E49)+1</f>
        <v>11</v>
      </c>
      <c r="E49" s="28" t="n">
        <v>0.0181018518518519</v>
      </c>
      <c r="F49" s="28" t="n">
        <f aca="false">E49/B49</f>
        <v>0.00219416386083053</v>
      </c>
      <c r="G49" s="29" t="s">
        <v>4593</v>
      </c>
      <c r="H49" s="29" t="s">
        <v>4594</v>
      </c>
      <c r="I49" s="30"/>
      <c r="J49" s="27" t="n">
        <v>18</v>
      </c>
      <c r="K49" s="27" t="n">
        <v>413</v>
      </c>
      <c r="L49" s="9" t="n">
        <f aca="false">IF(INDEX(選手一覧!$D$5:$D$2736,$K49)="","",INDEX(選手一覧!$D$5:$D$2736,$K49))</f>
        <v>0.010562962962963</v>
      </c>
      <c r="M49" s="10" t="n">
        <f aca="false">IF(INDEX(選手一覧!$E$5:$E$2736,$K49)="","",INDEX(選手一覧!$E$5:$E$2736,$K49))</f>
        <v>414</v>
      </c>
      <c r="N49" s="11" t="str">
        <f aca="false">IF(INDEX(選手一覧!$F$5:$F$2736,$K49)="","",INDEX(選手一覧!$F$5:$F$2736,$K49))</f>
        <v/>
      </c>
      <c r="O49" s="12" t="str">
        <f aca="false">IF(INDEX(選手一覧!$G$5:$G$2736,$K49)="","",INDEX(選手一覧!$G$5:$G$2736,$K49))</f>
        <v/>
      </c>
      <c r="P49" s="11" t="n">
        <f aca="false">IF(INDEX(選手一覧!$H$5:$H$2736,$K49)="","",INDEX(選手一覧!$H$5:$H$2736,$K49))</f>
        <v>0.00275613425925926</v>
      </c>
      <c r="Q49" s="12" t="n">
        <f aca="false">IF(INDEX(選手一覧!$I$5:$I$2736,$K49)="","",INDEX(選手一覧!$I$5:$I$2736,$K49))</f>
        <v>124</v>
      </c>
    </row>
    <row r="50" customFormat="false" ht="15" hidden="false" customHeight="false" outlineLevel="0" collapsed="false">
      <c r="A50" s="25" t="n">
        <v>3</v>
      </c>
      <c r="B50" s="26" t="n">
        <v>8.25</v>
      </c>
      <c r="C50" s="10" t="n">
        <v>38</v>
      </c>
      <c r="D50" s="27" t="n">
        <f aca="false">COUNTIFS($A$5:$A$115,A50,$E$5:$E$115,"&lt;"&amp;E50)+1</f>
        <v>12</v>
      </c>
      <c r="E50" s="28" t="n">
        <v>0.0182060185185185</v>
      </c>
      <c r="F50" s="28" t="n">
        <f aca="false">E50/B50</f>
        <v>0.00220679012345679</v>
      </c>
      <c r="G50" s="29" t="s">
        <v>4595</v>
      </c>
      <c r="H50" s="29" t="s">
        <v>4559</v>
      </c>
      <c r="I50" s="30"/>
      <c r="J50" s="27" t="n">
        <v>41</v>
      </c>
      <c r="K50" s="27" t="n">
        <v>863</v>
      </c>
      <c r="L50" s="9" t="n">
        <f aca="false">IF(INDEX(選手一覧!$D$5:$D$2736,$K50)="","",INDEX(選手一覧!$D$5:$D$2736,$K50))</f>
        <v>0.0108673611111111</v>
      </c>
      <c r="M50" s="10" t="n">
        <f aca="false">IF(INDEX(選手一覧!$E$5:$E$2736,$K50)="","",INDEX(選手一覧!$E$5:$E$2736,$K50))</f>
        <v>864</v>
      </c>
      <c r="N50" s="11" t="str">
        <f aca="false">IF(INDEX(選手一覧!$F$5:$F$2736,$K50)="","",INDEX(選手一覧!$F$5:$F$2736,$K50))</f>
        <v/>
      </c>
      <c r="O50" s="12" t="str">
        <f aca="false">IF(INDEX(選手一覧!$G$5:$G$2736,$K50)="","",INDEX(選手一覧!$G$5:$G$2736,$K50))</f>
        <v/>
      </c>
      <c r="P50" s="11" t="str">
        <f aca="false">IF(INDEX(選手一覧!$H$5:$H$2736,$K50)="","",INDEX(選手一覧!$H$5:$H$2736,$K50))</f>
        <v/>
      </c>
      <c r="Q50" s="12" t="str">
        <f aca="false">IF(INDEX(選手一覧!$I$5:$I$2736,$K50)="","",INDEX(選手一覧!$I$5:$I$2736,$K50))</f>
        <v/>
      </c>
    </row>
    <row r="51" customFormat="false" ht="15" hidden="false" customHeight="false" outlineLevel="0" collapsed="false">
      <c r="A51" s="25" t="n">
        <v>3</v>
      </c>
      <c r="B51" s="26" t="n">
        <v>8.25</v>
      </c>
      <c r="C51" s="10" t="n">
        <v>42</v>
      </c>
      <c r="D51" s="27" t="n">
        <f aca="false">COUNTIFS($A$5:$A$115,A51,$E$5:$E$115,"&lt;"&amp;E51)+1</f>
        <v>13</v>
      </c>
      <c r="E51" s="28" t="n">
        <v>0.0183796296296296</v>
      </c>
      <c r="F51" s="28" t="n">
        <f aca="false">E51/B51</f>
        <v>0.00222783389450056</v>
      </c>
      <c r="G51" s="29" t="s">
        <v>4596</v>
      </c>
      <c r="H51" s="29" t="s">
        <v>4597</v>
      </c>
      <c r="I51" s="30"/>
      <c r="J51" s="27" t="n">
        <v>37</v>
      </c>
      <c r="K51" s="27" t="n">
        <v>997</v>
      </c>
      <c r="L51" s="9" t="n">
        <f aca="false">IF(INDEX(選手一覧!$D$5:$D$2736,$K51)="","",INDEX(選手一覧!$D$5:$D$2736,$K51))</f>
        <v>0.0109494212962963</v>
      </c>
      <c r="M51" s="10" t="n">
        <f aca="false">IF(INDEX(選手一覧!$E$5:$E$2736,$K51)="","",INDEX(選手一覧!$E$5:$E$2736,$K51))</f>
        <v>998</v>
      </c>
      <c r="N51" s="11" t="str">
        <f aca="false">IF(INDEX(選手一覧!$F$5:$F$2736,$K51)="","",INDEX(選手一覧!$F$5:$F$2736,$K51))</f>
        <v/>
      </c>
      <c r="O51" s="12" t="str">
        <f aca="false">IF(INDEX(選手一覧!$G$5:$G$2736,$K51)="","",INDEX(選手一覧!$G$5:$G$2736,$K51))</f>
        <v/>
      </c>
      <c r="P51" s="11" t="str">
        <f aca="false">IF(INDEX(選手一覧!$H$5:$H$2736,$K51)="","",INDEX(選手一覧!$H$5:$H$2736,$K51))</f>
        <v/>
      </c>
      <c r="Q51" s="12" t="str">
        <f aca="false">IF(INDEX(選手一覧!$I$5:$I$2736,$K51)="","",INDEX(選手一覧!$I$5:$I$2736,$K51))</f>
        <v/>
      </c>
    </row>
    <row r="52" customFormat="false" ht="15" hidden="false" customHeight="false" outlineLevel="0" collapsed="false">
      <c r="A52" s="25" t="n">
        <v>3</v>
      </c>
      <c r="B52" s="26" t="n">
        <v>8.25</v>
      </c>
      <c r="C52" s="10" t="n">
        <v>46</v>
      </c>
      <c r="D52" s="27" t="n">
        <f aca="false">COUNTIFS($A$5:$A$115,A52,$E$5:$E$115,"&lt;"&amp;E52)+1</f>
        <v>14</v>
      </c>
      <c r="E52" s="28" t="n">
        <v>0.0188541666666667</v>
      </c>
      <c r="F52" s="28" t="n">
        <f aca="false">E52/B52</f>
        <v>0.00228535353535354</v>
      </c>
      <c r="G52" s="29" t="s">
        <v>4598</v>
      </c>
      <c r="H52" s="29" t="s">
        <v>4599</v>
      </c>
      <c r="I52" s="30"/>
      <c r="J52" s="27" t="n">
        <v>46</v>
      </c>
      <c r="K52" s="27" t="n">
        <v>1570</v>
      </c>
      <c r="L52" s="9" t="str">
        <f aca="false">IF(INDEX(選手一覧!$D$5:$D$2736,$K52)="","",INDEX(選手一覧!$D$5:$D$2736,$K52))</f>
        <v/>
      </c>
      <c r="M52" s="10" t="str">
        <f aca="false">IF(INDEX(選手一覧!$E$5:$E$2736,$K52)="","",INDEX(選手一覧!$E$5:$E$2736,$K52))</f>
        <v/>
      </c>
      <c r="N52" s="11" t="n">
        <f aca="false">IF(INDEX(選手一覧!$F$5:$F$2736,$K52)="","",INDEX(選手一覧!$F$5:$F$2736,$K52))</f>
        <v>0.00713900462962963</v>
      </c>
      <c r="O52" s="12" t="n">
        <f aca="false">IF(INDEX(選手一覧!$G$5:$G$2736,$K52)="","",INDEX(選手一覧!$G$5:$G$2736,$K52))</f>
        <v>479</v>
      </c>
      <c r="P52" s="11" t="str">
        <f aca="false">IF(INDEX(選手一覧!$H$5:$H$2736,$K52)="","",INDEX(選手一覧!$H$5:$H$2736,$K52))</f>
        <v/>
      </c>
      <c r="Q52" s="12" t="str">
        <f aca="false">IF(INDEX(選手一覧!$I$5:$I$2736,$K52)="","",INDEX(選手一覧!$I$5:$I$2736,$K52))</f>
        <v/>
      </c>
    </row>
    <row r="53" customFormat="false" ht="15" hidden="false" customHeight="false" outlineLevel="0" collapsed="false">
      <c r="A53" s="25" t="n">
        <v>3</v>
      </c>
      <c r="B53" s="26" t="n">
        <v>8.25</v>
      </c>
      <c r="C53" s="10" t="n">
        <v>48</v>
      </c>
      <c r="D53" s="27" t="n">
        <f aca="false">COUNTIFS($A$5:$A$115,A53,$E$5:$E$115,"&lt;"&amp;E53)+1</f>
        <v>15</v>
      </c>
      <c r="E53" s="28" t="n">
        <v>0.0190972222222222</v>
      </c>
      <c r="F53" s="28" t="n">
        <f aca="false">E53/B53</f>
        <v>0.00231481481481481</v>
      </c>
      <c r="G53" s="29" t="s">
        <v>4600</v>
      </c>
      <c r="H53" s="29" t="s">
        <v>4601</v>
      </c>
      <c r="I53" s="30"/>
      <c r="J53" s="27" t="n">
        <v>49</v>
      </c>
      <c r="K53" s="27" t="n">
        <v>1063</v>
      </c>
      <c r="L53" s="9" t="n">
        <f aca="false">IF(INDEX(選手一覧!$D$5:$D$2736,$K53)="","",INDEX(選手一覧!$D$5:$D$2736,$K53))</f>
        <v>0.0109837962962963</v>
      </c>
      <c r="M53" s="10" t="n">
        <f aca="false">IF(INDEX(選手一覧!$E$5:$E$2736,$K53)="","",INDEX(選手一覧!$E$5:$E$2736,$K53))</f>
        <v>1064</v>
      </c>
      <c r="N53" s="11" t="n">
        <f aca="false">IF(INDEX(選手一覧!$F$5:$F$2736,$K53)="","",INDEX(選手一覧!$F$5:$F$2736,$K53))</f>
        <v>0.00699490740740741</v>
      </c>
      <c r="O53" s="12" t="n">
        <f aca="false">IF(INDEX(選手一覧!$G$5:$G$2736,$K53)="","",INDEX(選手一覧!$G$5:$G$2736,$K53))</f>
        <v>328</v>
      </c>
      <c r="P53" s="11" t="str">
        <f aca="false">IF(INDEX(選手一覧!$H$5:$H$2736,$K53)="","",INDEX(選手一覧!$H$5:$H$2736,$K53))</f>
        <v/>
      </c>
      <c r="Q53" s="12" t="str">
        <f aca="false">IF(INDEX(選手一覧!$I$5:$I$2736,$K53)="","",INDEX(選手一覧!$I$5:$I$2736,$K53))</f>
        <v/>
      </c>
    </row>
    <row r="54" customFormat="false" ht="15" hidden="false" customHeight="false" outlineLevel="0" collapsed="false">
      <c r="A54" s="25" t="n">
        <v>3</v>
      </c>
      <c r="B54" s="26" t="n">
        <v>8.25</v>
      </c>
      <c r="C54" s="10" t="n">
        <v>53</v>
      </c>
      <c r="D54" s="27" t="n">
        <f aca="false">COUNTIFS($A$5:$A$115,A54,$E$5:$E$115,"&lt;"&amp;E54)+1</f>
        <v>16</v>
      </c>
      <c r="E54" s="28" t="n">
        <v>0.0197453703703704</v>
      </c>
      <c r="F54" s="28" t="n">
        <f aca="false">E54/B54</f>
        <v>0.00239337822671156</v>
      </c>
      <c r="G54" s="29" t="s">
        <v>4602</v>
      </c>
      <c r="H54" s="29" t="s">
        <v>4603</v>
      </c>
      <c r="I54" s="30"/>
      <c r="J54" s="27" t="n">
        <v>51</v>
      </c>
      <c r="K54" s="27" t="n">
        <v>1174</v>
      </c>
      <c r="L54" s="9" t="n">
        <f aca="false">IF(INDEX(選手一覧!$D$5:$D$2736,$K54)="","",INDEX(選手一覧!$D$5:$D$2736,$K54))</f>
        <v>0.0110388888888889</v>
      </c>
      <c r="M54" s="10" t="n">
        <f aca="false">IF(INDEX(選手一覧!$E$5:$E$2736,$K54)="","",INDEX(選手一覧!$E$5:$E$2736,$K54))</f>
        <v>1175</v>
      </c>
      <c r="N54" s="11" t="n">
        <f aca="false">IF(INDEX(選手一覧!$F$5:$F$2736,$K54)="","",INDEX(選手一覧!$F$5:$F$2736,$K54))</f>
        <v>0.00679861111111111</v>
      </c>
      <c r="O54" s="12" t="n">
        <f aca="false">IF(INDEX(選手一覧!$G$5:$G$2736,$K54)="","",INDEX(選手一覧!$G$5:$G$2736,$K54))</f>
        <v>169</v>
      </c>
      <c r="P54" s="11" t="str">
        <f aca="false">IF(INDEX(選手一覧!$H$5:$H$2736,$K54)="","",INDEX(選手一覧!$H$5:$H$2736,$K54))</f>
        <v/>
      </c>
      <c r="Q54" s="12" t="str">
        <f aca="false">IF(INDEX(選手一覧!$I$5:$I$2736,$K54)="","",INDEX(選手一覧!$I$5:$I$2736,$K54))</f>
        <v/>
      </c>
    </row>
    <row r="55" customFormat="false" ht="15" hidden="false" customHeight="false" outlineLevel="0" collapsed="false">
      <c r="A55" s="35" t="n">
        <v>4</v>
      </c>
      <c r="B55" s="36" t="n">
        <v>7.9</v>
      </c>
      <c r="C55" s="10" t="n">
        <v>3</v>
      </c>
      <c r="D55" s="12" t="n">
        <f aca="false">COUNTIFS($A$5:$A$115,A55,$E$5:$E$115,"&lt;"&amp;E55)+1</f>
        <v>1</v>
      </c>
      <c r="E55" s="37" t="n">
        <v>0.0166203703703704</v>
      </c>
      <c r="F55" s="37" t="n">
        <f aca="false">E55/B55</f>
        <v>0.00210384435067979</v>
      </c>
      <c r="G55" s="8" t="s">
        <v>4604</v>
      </c>
      <c r="H55" s="8" t="s">
        <v>4520</v>
      </c>
      <c r="I55" s="6"/>
      <c r="J55" s="12" t="n">
        <v>4</v>
      </c>
      <c r="K55" s="12" t="n">
        <v>28</v>
      </c>
      <c r="L55" s="9" t="n">
        <f aca="false">IF(INDEX(選手一覧!$D$5:$D$2736,$K55)="","",INDEX(選手一覧!$D$5:$D$2736,$K55))</f>
        <v>0.0100400462962963</v>
      </c>
      <c r="M55" s="10" t="n">
        <f aca="false">IF(INDEX(選手一覧!$E$5:$E$2736,$K55)="","",INDEX(選手一覧!$E$5:$E$2736,$K55))</f>
        <v>29</v>
      </c>
      <c r="N55" s="11" t="n">
        <f aca="false">IF(INDEX(選手一覧!$F$5:$F$2736,$K55)="","",INDEX(選手一覧!$F$5:$F$2736,$K55))</f>
        <v>0.00702037037037037</v>
      </c>
      <c r="O55" s="12" t="n">
        <f aca="false">IF(INDEX(選手一覧!$G$5:$G$2736,$K55)="","",INDEX(選手一覧!$G$5:$G$2736,$K55))</f>
        <v>355</v>
      </c>
      <c r="P55" s="11" t="n">
        <f aca="false">IF(INDEX(選手一覧!$H$5:$H$2736,$K55)="","",INDEX(選手一覧!$H$5:$H$2736,$K55))</f>
        <v>0.00270590277777778</v>
      </c>
      <c r="Q55" s="12" t="n">
        <f aca="false">IF(INDEX(選手一覧!$I$5:$I$2736,$K55)="","",INDEX(選手一覧!$I$5:$I$2736,$K55))</f>
        <v>29</v>
      </c>
    </row>
    <row r="56" customFormat="false" ht="15" hidden="false" customHeight="false" outlineLevel="0" collapsed="false">
      <c r="A56" s="35" t="n">
        <v>4</v>
      </c>
      <c r="B56" s="36" t="n">
        <v>7.9</v>
      </c>
      <c r="C56" s="10" t="n">
        <v>4</v>
      </c>
      <c r="D56" s="12" t="n">
        <f aca="false">COUNTIFS($A$5:$A$115,A56,$E$5:$E$115,"&lt;"&amp;E56)+1</f>
        <v>2</v>
      </c>
      <c r="E56" s="37" t="n">
        <v>0.016724537037037</v>
      </c>
      <c r="F56" s="37" t="n">
        <f aca="false">E56/B56</f>
        <v>0.00211703000468823</v>
      </c>
      <c r="G56" s="8" t="s">
        <v>4605</v>
      </c>
      <c r="H56" s="8" t="s">
        <v>4561</v>
      </c>
      <c r="I56" s="6"/>
      <c r="J56" s="12" t="n">
        <v>7</v>
      </c>
      <c r="K56" s="12" t="n">
        <v>139</v>
      </c>
      <c r="L56" s="9" t="n">
        <f aca="false">IF(INDEX(選手一覧!$D$5:$D$2736,$K56)="","",INDEX(選手一覧!$D$5:$D$2736,$K56))</f>
        <v>0.0102734953703704</v>
      </c>
      <c r="M56" s="10" t="n">
        <f aca="false">IF(INDEX(選手一覧!$E$5:$E$2736,$K56)="","",INDEX(選手一覧!$E$5:$E$2736,$K56))</f>
        <v>140</v>
      </c>
      <c r="N56" s="11" t="str">
        <f aca="false">IF(INDEX(選手一覧!$F$5:$F$2736,$K56)="","",INDEX(選手一覧!$F$5:$F$2736,$K56))</f>
        <v/>
      </c>
      <c r="O56" s="12" t="str">
        <f aca="false">IF(INDEX(選手一覧!$G$5:$G$2736,$K56)="","",INDEX(選手一覧!$G$5:$G$2736,$K56))</f>
        <v/>
      </c>
      <c r="P56" s="11" t="n">
        <f aca="false">IF(INDEX(選手一覧!$H$5:$H$2736,$K56)="","",INDEX(選手一覧!$H$5:$H$2736,$K56))</f>
        <v>0.00287731481481482</v>
      </c>
      <c r="Q56" s="12" t="n">
        <f aca="false">IF(INDEX(選手一覧!$I$5:$I$2736,$K56)="","",INDEX(選手一覧!$I$5:$I$2736,$K56))</f>
        <v>749</v>
      </c>
    </row>
    <row r="57" customFormat="false" ht="15" hidden="false" customHeight="false" outlineLevel="0" collapsed="false">
      <c r="A57" s="35" t="n">
        <v>4</v>
      </c>
      <c r="B57" s="36" t="n">
        <v>7.9</v>
      </c>
      <c r="C57" s="10" t="n">
        <v>5</v>
      </c>
      <c r="D57" s="12" t="n">
        <f aca="false">COUNTIFS($A$5:$A$115,A57,$E$5:$E$115,"&lt;"&amp;E57)+1</f>
        <v>3</v>
      </c>
      <c r="E57" s="37" t="n">
        <v>0.0167708333333333</v>
      </c>
      <c r="F57" s="37" t="n">
        <f aca="false">E57/B57</f>
        <v>0.00212289029535865</v>
      </c>
      <c r="G57" s="8" t="s">
        <v>4606</v>
      </c>
      <c r="H57" s="8" t="s">
        <v>4522</v>
      </c>
      <c r="I57" s="6"/>
      <c r="J57" s="12" t="n">
        <v>17</v>
      </c>
      <c r="K57" s="12" t="n">
        <v>309</v>
      </c>
      <c r="L57" s="9" t="n">
        <f aca="false">IF(INDEX(選手一覧!$D$5:$D$2736,$K57)="","",INDEX(選手一覧!$D$5:$D$2736,$K57))</f>
        <v>0.010459375</v>
      </c>
      <c r="M57" s="10" t="n">
        <f aca="false">IF(INDEX(選手一覧!$E$5:$E$2736,$K57)="","",INDEX(選手一覧!$E$5:$E$2736,$K57))</f>
        <v>310</v>
      </c>
      <c r="N57" s="11" t="str">
        <f aca="false">IF(INDEX(選手一覧!$F$5:$F$2736,$K57)="","",INDEX(選手一覧!$F$5:$F$2736,$K57))</f>
        <v/>
      </c>
      <c r="O57" s="12" t="str">
        <f aca="false">IF(INDEX(選手一覧!$G$5:$G$2736,$K57)="","",INDEX(選手一覧!$G$5:$G$2736,$K57))</f>
        <v/>
      </c>
      <c r="P57" s="11" t="str">
        <f aca="false">IF(INDEX(選手一覧!$H$5:$H$2736,$K57)="","",INDEX(選手一覧!$H$5:$H$2736,$K57))</f>
        <v/>
      </c>
      <c r="Q57" s="12" t="str">
        <f aca="false">IF(INDEX(選手一覧!$I$5:$I$2736,$K57)="","",INDEX(選手一覧!$I$5:$I$2736,$K57))</f>
        <v/>
      </c>
    </row>
    <row r="58" customFormat="false" ht="15" hidden="false" customHeight="false" outlineLevel="0" collapsed="false">
      <c r="A58" s="35" t="n">
        <v>4</v>
      </c>
      <c r="B58" s="36" t="n">
        <v>7.9</v>
      </c>
      <c r="C58" s="10" t="n">
        <v>10</v>
      </c>
      <c r="D58" s="12" t="n">
        <f aca="false">COUNTIFS($A$5:$A$115,A58,$E$5:$E$115,"&lt;"&amp;E58)+1</f>
        <v>4</v>
      </c>
      <c r="E58" s="37" t="n">
        <v>0.0169444444444445</v>
      </c>
      <c r="F58" s="37" t="n">
        <f aca="false">E58/B58</f>
        <v>0.00214486638537272</v>
      </c>
      <c r="G58" s="8" t="s">
        <v>4607</v>
      </c>
      <c r="H58" s="8" t="s">
        <v>4518</v>
      </c>
      <c r="I58" s="6"/>
      <c r="J58" s="12" t="n">
        <v>16</v>
      </c>
      <c r="K58" s="12" t="n">
        <v>376</v>
      </c>
      <c r="L58" s="9" t="n">
        <f aca="false">IF(INDEX(選手一覧!$D$5:$D$2736,$K58)="","",INDEX(選手一覧!$D$5:$D$2736,$K58))</f>
        <v>0.0105350694444444</v>
      </c>
      <c r="M58" s="10" t="n">
        <f aca="false">IF(INDEX(選手一覧!$E$5:$E$2736,$K58)="","",INDEX(選手一覧!$E$5:$E$2736,$K58))</f>
        <v>377</v>
      </c>
      <c r="N58" s="11" t="str">
        <f aca="false">IF(INDEX(選手一覧!$F$5:$F$2736,$K58)="","",INDEX(選手一覧!$F$5:$F$2736,$K58))</f>
        <v/>
      </c>
      <c r="O58" s="12" t="str">
        <f aca="false">IF(INDEX(選手一覧!$G$5:$G$2736,$K58)="","",INDEX(選手一覧!$G$5:$G$2736,$K58))</f>
        <v/>
      </c>
      <c r="P58" s="11" t="n">
        <f aca="false">IF(INDEX(選手一覧!$H$5:$H$2736,$K58)="","",INDEX(選手一覧!$H$5:$H$2736,$K58))</f>
        <v>0.00281574074074074</v>
      </c>
      <c r="Q58" s="12" t="n">
        <f aca="false">IF(INDEX(選手一覧!$I$5:$I$2736,$K58)="","",INDEX(選手一覧!$I$5:$I$2736,$K58))</f>
        <v>344</v>
      </c>
    </row>
    <row r="59" customFormat="false" ht="15" hidden="false" customHeight="false" outlineLevel="0" collapsed="false">
      <c r="A59" s="35" t="n">
        <v>4</v>
      </c>
      <c r="B59" s="36" t="n">
        <v>7.9</v>
      </c>
      <c r="C59" s="10" t="n">
        <v>13</v>
      </c>
      <c r="D59" s="12" t="n">
        <f aca="false">COUNTIFS($A$5:$A$115,A59,$E$5:$E$115,"&lt;"&amp;E59)+1</f>
        <v>5</v>
      </c>
      <c r="E59" s="37" t="n">
        <v>0.0171180555555556</v>
      </c>
      <c r="F59" s="37" t="n">
        <f aca="false">E59/B59</f>
        <v>0.00216684247538678</v>
      </c>
      <c r="G59" s="8" t="s">
        <v>4608</v>
      </c>
      <c r="H59" s="8" t="s">
        <v>4564</v>
      </c>
      <c r="I59" s="6"/>
      <c r="J59" s="12" t="n">
        <v>14</v>
      </c>
      <c r="K59" s="12" t="n">
        <v>594</v>
      </c>
      <c r="L59" s="9" t="n">
        <f aca="false">IF(INDEX(選手一覧!$D$5:$D$2736,$K59)="","",INDEX(選手一覧!$D$5:$D$2736,$K59))</f>
        <v>0.0107081018518519</v>
      </c>
      <c r="M59" s="10" t="n">
        <f aca="false">IF(INDEX(選手一覧!$E$5:$E$2736,$K59)="","",INDEX(選手一覧!$E$5:$E$2736,$K59))</f>
        <v>595</v>
      </c>
      <c r="N59" s="11" t="str">
        <f aca="false">IF(INDEX(選手一覧!$F$5:$F$2736,$K59)="","",INDEX(選手一覧!$F$5:$F$2736,$K59))</f>
        <v/>
      </c>
      <c r="O59" s="12" t="str">
        <f aca="false">IF(INDEX(選手一覧!$G$5:$G$2736,$K59)="","",INDEX(選手一覧!$G$5:$G$2736,$K59))</f>
        <v/>
      </c>
      <c r="P59" s="11" t="n">
        <f aca="false">IF(INDEX(選手一覧!$H$5:$H$2736,$K59)="","",INDEX(選手一覧!$H$5:$H$2736,$K59))</f>
        <v>0.00285115740740741</v>
      </c>
      <c r="Q59" s="12" t="n">
        <f aca="false">IF(INDEX(選手一覧!$I$5:$I$2736,$K59)="","",INDEX(選手一覧!$I$5:$I$2736,$K59))</f>
        <v>576</v>
      </c>
    </row>
    <row r="60" customFormat="false" ht="15" hidden="false" customHeight="false" outlineLevel="0" collapsed="false">
      <c r="A60" s="35" t="n">
        <v>4</v>
      </c>
      <c r="B60" s="36" t="n">
        <v>7.9</v>
      </c>
      <c r="C60" s="10" t="n">
        <v>16</v>
      </c>
      <c r="D60" s="12" t="n">
        <f aca="false">COUNTIFS($A$5:$A$115,A60,$E$5:$E$115,"&lt;"&amp;E60)+1</f>
        <v>6</v>
      </c>
      <c r="E60" s="37" t="n">
        <v>0.0172337962962963</v>
      </c>
      <c r="F60" s="37" t="n">
        <f aca="false">E60/B60</f>
        <v>0.00218149320206282</v>
      </c>
      <c r="G60" s="8" t="s">
        <v>4609</v>
      </c>
      <c r="H60" s="8" t="s">
        <v>4585</v>
      </c>
      <c r="I60" s="6"/>
      <c r="J60" s="12" t="n">
        <v>21</v>
      </c>
      <c r="K60" s="12" t="n">
        <v>537</v>
      </c>
      <c r="L60" s="9" t="n">
        <f aca="false">IF(INDEX(選手一覧!$D$5:$D$2736,$K60)="","",INDEX(選手一覧!$D$5:$D$2736,$K60))</f>
        <v>0.0106627314814815</v>
      </c>
      <c r="M60" s="10" t="n">
        <f aca="false">IF(INDEX(選手一覧!$E$5:$E$2736,$K60)="","",INDEX(選手一覧!$E$5:$E$2736,$K60))</f>
        <v>538</v>
      </c>
      <c r="N60" s="11" t="str">
        <f aca="false">IF(INDEX(選手一覧!$F$5:$F$2736,$K60)="","",INDEX(選手一覧!$F$5:$F$2736,$K60))</f>
        <v/>
      </c>
      <c r="O60" s="12" t="str">
        <f aca="false">IF(INDEX(選手一覧!$G$5:$G$2736,$K60)="","",INDEX(選手一覧!$G$5:$G$2736,$K60))</f>
        <v/>
      </c>
      <c r="P60" s="11" t="str">
        <f aca="false">IF(INDEX(選手一覧!$H$5:$H$2736,$K60)="","",INDEX(選手一覧!$H$5:$H$2736,$K60))</f>
        <v/>
      </c>
      <c r="Q60" s="12" t="str">
        <f aca="false">IF(INDEX(選手一覧!$I$5:$I$2736,$K60)="","",INDEX(選手一覧!$I$5:$I$2736,$K60))</f>
        <v/>
      </c>
    </row>
    <row r="61" customFormat="false" ht="15" hidden="false" customHeight="false" outlineLevel="0" collapsed="false">
      <c r="A61" s="35" t="n">
        <v>4</v>
      </c>
      <c r="B61" s="36" t="n">
        <v>7.9</v>
      </c>
      <c r="C61" s="10" t="n">
        <v>17</v>
      </c>
      <c r="D61" s="12" t="n">
        <f aca="false">COUNTIFS($A$5:$A$115,A61,$E$5:$E$115,"&lt;"&amp;E61)+1</f>
        <v>7</v>
      </c>
      <c r="E61" s="37" t="n">
        <v>0.0172800925925926</v>
      </c>
      <c r="F61" s="37" t="n">
        <f aca="false">E61/B61</f>
        <v>0.00218735349273324</v>
      </c>
      <c r="G61" s="8" t="s">
        <v>4610</v>
      </c>
      <c r="H61" s="8" t="s">
        <v>4594</v>
      </c>
      <c r="I61" s="6"/>
      <c r="J61" s="12" t="n">
        <v>18</v>
      </c>
      <c r="K61" s="12" t="n">
        <v>302</v>
      </c>
      <c r="L61" s="9" t="n">
        <f aca="false">IF(INDEX(選手一覧!$D$5:$D$2736,$K61)="","",INDEX(選手一覧!$D$5:$D$2736,$K61))</f>
        <v>0.0104486111111111</v>
      </c>
      <c r="M61" s="10" t="n">
        <f aca="false">IF(INDEX(選手一覧!$E$5:$E$2736,$K61)="","",INDEX(選手一覧!$E$5:$E$2736,$K61))</f>
        <v>303</v>
      </c>
      <c r="N61" s="11" t="n">
        <f aca="false">IF(INDEX(選手一覧!$F$5:$F$2736,$K61)="","",INDEX(選手一覧!$F$5:$F$2736,$K61))</f>
        <v>0.00772731481481481</v>
      </c>
      <c r="O61" s="12" t="n">
        <f aca="false">IF(INDEX(選手一覧!$G$5:$G$2736,$K61)="","",INDEX(選手一覧!$G$5:$G$2736,$K61))</f>
        <v>1094</v>
      </c>
      <c r="P61" s="11" t="n">
        <f aca="false">IF(INDEX(選手一覧!$H$5:$H$2736,$K61)="","",INDEX(選手一覧!$H$5:$H$2736,$K61))</f>
        <v>0.00287083333333333</v>
      </c>
      <c r="Q61" s="12" t="n">
        <f aca="false">IF(INDEX(選手一覧!$I$5:$I$2736,$K61)="","",INDEX(選手一覧!$I$5:$I$2736,$K61))</f>
        <v>703</v>
      </c>
    </row>
    <row r="62" customFormat="false" ht="15" hidden="false" customHeight="false" outlineLevel="0" collapsed="false">
      <c r="A62" s="35" t="n">
        <v>4</v>
      </c>
      <c r="B62" s="36" t="n">
        <v>7.9</v>
      </c>
      <c r="C62" s="10" t="n">
        <v>18</v>
      </c>
      <c r="D62" s="12" t="n">
        <f aca="false">COUNTIFS($A$5:$A$115,A62,$E$5:$E$115,"&lt;"&amp;E62)+1</f>
        <v>8</v>
      </c>
      <c r="E62" s="37" t="n">
        <v>0.0173032407407407</v>
      </c>
      <c r="F62" s="37" t="n">
        <f aca="false">E62/B62</f>
        <v>0.00219028363806845</v>
      </c>
      <c r="G62" s="8" t="s">
        <v>4611</v>
      </c>
      <c r="H62" s="8" t="s">
        <v>4550</v>
      </c>
      <c r="I62" s="6"/>
      <c r="J62" s="12" t="n">
        <v>22</v>
      </c>
      <c r="K62" s="12" t="n">
        <v>614</v>
      </c>
      <c r="L62" s="9" t="n">
        <f aca="false">IF(INDEX(選手一覧!$D$5:$D$2736,$K62)="","",INDEX(選手一覧!$D$5:$D$2736,$K62))</f>
        <v>0.0107228009259259</v>
      </c>
      <c r="M62" s="10" t="n">
        <f aca="false">IF(INDEX(選手一覧!$E$5:$E$2736,$K62)="","",INDEX(選手一覧!$E$5:$E$2736,$K62))</f>
        <v>615</v>
      </c>
      <c r="N62" s="11" t="n">
        <f aca="false">IF(INDEX(選手一覧!$F$5:$F$2736,$K62)="","",INDEX(選手一覧!$F$5:$F$2736,$K62))</f>
        <v>0.00667372685185185</v>
      </c>
      <c r="O62" s="12" t="n">
        <f aca="false">IF(INDEX(選手一覧!$G$5:$G$2736,$K62)="","",INDEX(選手一覧!$G$5:$G$2736,$K62))</f>
        <v>93</v>
      </c>
      <c r="P62" s="11" t="n">
        <f aca="false">IF(INDEX(選手一覧!$H$5:$H$2736,$K62)="","",INDEX(選手一覧!$H$5:$H$2736,$K62))</f>
        <v>0.00285810185185185</v>
      </c>
      <c r="Q62" s="12" t="n">
        <f aca="false">IF(INDEX(選手一覧!$I$5:$I$2736,$K62)="","",INDEX(選手一覧!$I$5:$I$2736,$K62))</f>
        <v>622</v>
      </c>
    </row>
    <row r="63" customFormat="false" ht="15" hidden="false" customHeight="false" outlineLevel="0" collapsed="false">
      <c r="A63" s="35" t="n">
        <v>4</v>
      </c>
      <c r="B63" s="36" t="n">
        <v>7.9</v>
      </c>
      <c r="C63" s="10" t="n">
        <v>20</v>
      </c>
      <c r="D63" s="12" t="n">
        <f aca="false">COUNTIFS($A$5:$A$115,A63,$E$5:$E$115,"&lt;"&amp;E63)+1</f>
        <v>9</v>
      </c>
      <c r="E63" s="37" t="n">
        <v>0.0174305555555556</v>
      </c>
      <c r="F63" s="37" t="n">
        <f aca="false">E63/B63</f>
        <v>0.0022063994374121</v>
      </c>
      <c r="G63" s="8" t="s">
        <v>4612</v>
      </c>
      <c r="H63" s="8" t="s">
        <v>4526</v>
      </c>
      <c r="I63" s="6"/>
      <c r="J63" s="12" t="n">
        <v>12</v>
      </c>
      <c r="K63" s="12" t="n">
        <v>162</v>
      </c>
      <c r="L63" s="9" t="n">
        <f aca="false">IF(INDEX(選手一覧!$D$5:$D$2736,$K63)="","",INDEX(選手一覧!$D$5:$D$2736,$K63))</f>
        <v>0.0103019675925926</v>
      </c>
      <c r="M63" s="10" t="n">
        <f aca="false">IF(INDEX(選手一覧!$E$5:$E$2736,$K63)="","",INDEX(選手一覧!$E$5:$E$2736,$K63))</f>
        <v>163</v>
      </c>
      <c r="N63" s="11" t="n">
        <f aca="false">IF(INDEX(選手一覧!$F$5:$F$2736,$K63)="","",INDEX(選手一覧!$F$5:$F$2736,$K63))</f>
        <v>0.00693576388888889</v>
      </c>
      <c r="O63" s="12" t="n">
        <f aca="false">IF(INDEX(選手一覧!$G$5:$G$2736,$K63)="","",INDEX(選手一覧!$G$5:$G$2736,$K63))</f>
        <v>278</v>
      </c>
      <c r="P63" s="11" t="n">
        <f aca="false">IF(INDEX(選手一覧!$H$5:$H$2736,$K63)="","",INDEX(選手一覧!$H$5:$H$2736,$K63))</f>
        <v>0.00278275462962963</v>
      </c>
      <c r="Q63" s="12" t="n">
        <f aca="false">IF(INDEX(選手一覧!$I$5:$I$2736,$K63)="","",INDEX(選手一覧!$I$5:$I$2736,$K63))</f>
        <v>212</v>
      </c>
    </row>
    <row r="64" customFormat="false" ht="15" hidden="false" customHeight="false" outlineLevel="0" collapsed="false">
      <c r="A64" s="35" t="n">
        <v>4</v>
      </c>
      <c r="B64" s="36" t="n">
        <v>7.9</v>
      </c>
      <c r="C64" s="10" t="n">
        <v>25</v>
      </c>
      <c r="D64" s="12" t="n">
        <f aca="false">COUNTIFS($A$5:$A$115,A64,$E$5:$E$115,"&lt;"&amp;E64)+1</f>
        <v>10</v>
      </c>
      <c r="E64" s="37" t="n">
        <v>0.0176157407407407</v>
      </c>
      <c r="F64" s="37" t="n">
        <f aca="false">E64/B64</f>
        <v>0.00222984060009376</v>
      </c>
      <c r="G64" s="8" t="s">
        <v>4613</v>
      </c>
      <c r="H64" s="8" t="s">
        <v>4614</v>
      </c>
      <c r="I64" s="6"/>
      <c r="J64" s="12" t="n">
        <v>27</v>
      </c>
      <c r="K64" s="12" t="n">
        <v>896</v>
      </c>
      <c r="L64" s="9" t="n">
        <f aca="false">IF(INDEX(選手一覧!$D$5:$D$2736,$K64)="","",INDEX(選手一覧!$D$5:$D$2736,$K64))</f>
        <v>0.0108834490740741</v>
      </c>
      <c r="M64" s="10" t="n">
        <f aca="false">IF(INDEX(選手一覧!$E$5:$E$2736,$K64)="","",INDEX(選手一覧!$E$5:$E$2736,$K64))</f>
        <v>897</v>
      </c>
      <c r="N64" s="11" t="str">
        <f aca="false">IF(INDEX(選手一覧!$F$5:$F$2736,$K64)="","",INDEX(選手一覧!$F$5:$F$2736,$K64))</f>
        <v/>
      </c>
      <c r="O64" s="12" t="str">
        <f aca="false">IF(INDEX(選手一覧!$G$5:$G$2736,$K64)="","",INDEX(選手一覧!$G$5:$G$2736,$K64))</f>
        <v/>
      </c>
      <c r="P64" s="11" t="n">
        <f aca="false">IF(INDEX(選手一覧!$H$5:$H$2736,$K64)="","",INDEX(選手一覧!$H$5:$H$2736,$K64))</f>
        <v>0.00288657407407407</v>
      </c>
      <c r="Q64" s="12" t="n">
        <f aca="false">IF(INDEX(選手一覧!$I$5:$I$2736,$K64)="","",INDEX(選手一覧!$I$5:$I$2736,$K64))</f>
        <v>828</v>
      </c>
    </row>
    <row r="65" customFormat="false" ht="15" hidden="false" customHeight="false" outlineLevel="0" collapsed="false">
      <c r="A65" s="35" t="n">
        <v>4</v>
      </c>
      <c r="B65" s="36" t="n">
        <v>7.9</v>
      </c>
      <c r="C65" s="10" t="n">
        <v>28</v>
      </c>
      <c r="D65" s="12" t="n">
        <f aca="false">COUNTIFS($A$5:$A$115,A65,$E$5:$E$115,"&lt;"&amp;E65)+1</f>
        <v>11</v>
      </c>
      <c r="E65" s="37" t="n">
        <v>0.0176736111111111</v>
      </c>
      <c r="F65" s="37" t="n">
        <f aca="false">E65/B65</f>
        <v>0.00223716596343179</v>
      </c>
      <c r="G65" s="8" t="s">
        <v>4615</v>
      </c>
      <c r="H65" s="8" t="s">
        <v>4616</v>
      </c>
      <c r="I65" s="6"/>
      <c r="J65" s="12" t="n">
        <v>36</v>
      </c>
      <c r="K65" s="12" t="n">
        <v>492</v>
      </c>
      <c r="L65" s="9" t="n">
        <f aca="false">IF(INDEX(選手一覧!$D$5:$D$2736,$K65)="","",INDEX(選手一覧!$D$5:$D$2736,$K65))</f>
        <v>0.0106174768518519</v>
      </c>
      <c r="M65" s="10" t="n">
        <f aca="false">IF(INDEX(選手一覧!$E$5:$E$2736,$K65)="","",INDEX(選手一覧!$E$5:$E$2736,$K65))</f>
        <v>493</v>
      </c>
      <c r="N65" s="11" t="str">
        <f aca="false">IF(INDEX(選手一覧!$F$5:$F$2736,$K65)="","",INDEX(選手一覧!$F$5:$F$2736,$K65))</f>
        <v/>
      </c>
      <c r="O65" s="12" t="str">
        <f aca="false">IF(INDEX(選手一覧!$G$5:$G$2736,$K65)="","",INDEX(選手一覧!$G$5:$G$2736,$K65))</f>
        <v/>
      </c>
      <c r="P65" s="11" t="str">
        <f aca="false">IF(INDEX(選手一覧!$H$5:$H$2736,$K65)="","",INDEX(選手一覧!$H$5:$H$2736,$K65))</f>
        <v/>
      </c>
      <c r="Q65" s="12" t="str">
        <f aca="false">IF(INDEX(選手一覧!$I$5:$I$2736,$K65)="","",INDEX(選手一覧!$I$5:$I$2736,$K65))</f>
        <v/>
      </c>
    </row>
    <row r="66" customFormat="false" ht="15" hidden="false" customHeight="false" outlineLevel="0" collapsed="false">
      <c r="A66" s="35" t="n">
        <v>4</v>
      </c>
      <c r="B66" s="36" t="n">
        <v>7.9</v>
      </c>
      <c r="C66" s="10" t="n">
        <v>31</v>
      </c>
      <c r="D66" s="12" t="n">
        <f aca="false">COUNTIFS($A$5:$A$115,A66,$E$5:$E$115,"&lt;"&amp;E66)+1</f>
        <v>12</v>
      </c>
      <c r="E66" s="37" t="n">
        <v>0.0177083333333333</v>
      </c>
      <c r="F66" s="37" t="n">
        <f aca="false">E66/B66</f>
        <v>0.0022415611814346</v>
      </c>
      <c r="G66" s="8" t="s">
        <v>4617</v>
      </c>
      <c r="H66" s="8" t="s">
        <v>4536</v>
      </c>
      <c r="I66" s="6"/>
      <c r="J66" s="12" t="n">
        <v>29</v>
      </c>
      <c r="K66" s="12" t="n">
        <v>481</v>
      </c>
      <c r="L66" s="9" t="n">
        <f aca="false">IF(INDEX(選手一覧!$D$5:$D$2736,$K66)="","",INDEX(選手一覧!$D$5:$D$2736,$K66))</f>
        <v>0.0106128472222222</v>
      </c>
      <c r="M66" s="10" t="n">
        <f aca="false">IF(INDEX(選手一覧!$E$5:$E$2736,$K66)="","",INDEX(選手一覧!$E$5:$E$2736,$K66))</f>
        <v>482</v>
      </c>
      <c r="N66" s="11" t="n">
        <f aca="false">IF(INDEX(選手一覧!$F$5:$F$2736,$K66)="","",INDEX(選手一覧!$F$5:$F$2736,$K66))</f>
        <v>0.00723171296296296</v>
      </c>
      <c r="O66" s="12" t="n">
        <f aca="false">IF(INDEX(選手一覧!$G$5:$G$2736,$K66)="","",INDEX(選手一覧!$G$5:$G$2736,$K66))</f>
        <v>576</v>
      </c>
      <c r="P66" s="11" t="n">
        <f aca="false">IF(INDEX(選手一覧!$H$5:$H$2736,$K66)="","",INDEX(選手一覧!$H$5:$H$2736,$K66))</f>
        <v>0.00281458333333333</v>
      </c>
      <c r="Q66" s="12" t="n">
        <f aca="false">IF(INDEX(選手一覧!$I$5:$I$2736,$K66)="","",INDEX(選手一覧!$I$5:$I$2736,$K66))</f>
        <v>341</v>
      </c>
    </row>
    <row r="67" customFormat="false" ht="15" hidden="false" customHeight="false" outlineLevel="0" collapsed="false">
      <c r="A67" s="35" t="n">
        <v>4</v>
      </c>
      <c r="B67" s="36" t="n">
        <v>7.9</v>
      </c>
      <c r="C67" s="10" t="n">
        <v>33</v>
      </c>
      <c r="D67" s="12" t="n">
        <f aca="false">COUNTIFS($A$5:$A$115,A67,$E$5:$E$115,"&lt;"&amp;E67)+1</f>
        <v>13</v>
      </c>
      <c r="E67" s="37" t="n">
        <v>0.0178819444444444</v>
      </c>
      <c r="F67" s="37" t="n">
        <f aca="false">E67/B67</f>
        <v>0.00226353727144866</v>
      </c>
      <c r="G67" s="8" t="s">
        <v>4618</v>
      </c>
      <c r="H67" s="8" t="s">
        <v>4575</v>
      </c>
      <c r="I67" s="6"/>
      <c r="J67" s="12" t="n">
        <v>31</v>
      </c>
      <c r="K67" s="12" t="n">
        <v>630</v>
      </c>
      <c r="L67" s="9" t="n">
        <f aca="false">IF(INDEX(選手一覧!$D$5:$D$2736,$K67)="","",INDEX(選手一覧!$D$5:$D$2736,$K67))</f>
        <v>0.0107291666666667</v>
      </c>
      <c r="M67" s="10" t="n">
        <f aca="false">IF(INDEX(選手一覧!$E$5:$E$2736,$K67)="","",INDEX(選手一覧!$E$5:$E$2736,$K67))</f>
        <v>631</v>
      </c>
      <c r="N67" s="11" t="str">
        <f aca="false">IF(INDEX(選手一覧!$F$5:$F$2736,$K67)="","",INDEX(選手一覧!$F$5:$F$2736,$K67))</f>
        <v/>
      </c>
      <c r="O67" s="12" t="str">
        <f aca="false">IF(INDEX(選手一覧!$G$5:$G$2736,$K67)="","",INDEX(選手一覧!$G$5:$G$2736,$K67))</f>
        <v/>
      </c>
      <c r="P67" s="11" t="n">
        <f aca="false">IF(INDEX(選手一覧!$H$5:$H$2736,$K67)="","",INDEX(選手一覧!$H$5:$H$2736,$K67))</f>
        <v>0.0029412037037037</v>
      </c>
      <c r="Q67" s="12" t="n">
        <f aca="false">IF(INDEX(選手一覧!$I$5:$I$2736,$K67)="","",INDEX(選手一覧!$I$5:$I$2736,$K67))</f>
        <v>1203</v>
      </c>
    </row>
    <row r="68" customFormat="false" ht="15" hidden="false" customHeight="false" outlineLevel="0" collapsed="false">
      <c r="A68" s="35" t="n">
        <v>4</v>
      </c>
      <c r="B68" s="36" t="n">
        <v>7.9</v>
      </c>
      <c r="C68" s="10" t="n">
        <v>38</v>
      </c>
      <c r="D68" s="12" t="n">
        <f aca="false">COUNTIFS($A$5:$A$115,A68,$E$5:$E$115,"&lt;"&amp;E68)+1</f>
        <v>14</v>
      </c>
      <c r="E68" s="37" t="n">
        <v>0.0180092592592593</v>
      </c>
      <c r="F68" s="37" t="n">
        <f aca="false">E68/B68</f>
        <v>0.00227965307079231</v>
      </c>
      <c r="G68" s="8" t="s">
        <v>4619</v>
      </c>
      <c r="H68" s="8" t="s">
        <v>4540</v>
      </c>
      <c r="I68" s="6"/>
      <c r="J68" s="12" t="n">
        <v>42</v>
      </c>
      <c r="K68" s="12" t="n">
        <v>800</v>
      </c>
      <c r="L68" s="9" t="n">
        <f aca="false">IF(INDEX(選手一覧!$D$5:$D$2736,$K68)="","",INDEX(選手一覧!$D$5:$D$2736,$K68))</f>
        <v>0.0108334490740741</v>
      </c>
      <c r="M68" s="10" t="n">
        <f aca="false">IF(INDEX(選手一覧!$E$5:$E$2736,$K68)="","",INDEX(選手一覧!$E$5:$E$2736,$K68))</f>
        <v>801</v>
      </c>
      <c r="N68" s="11" t="str">
        <f aca="false">IF(INDEX(選手一覧!$F$5:$F$2736,$K68)="","",INDEX(選手一覧!$F$5:$F$2736,$K68))</f>
        <v/>
      </c>
      <c r="O68" s="12" t="str">
        <f aca="false">IF(INDEX(選手一覧!$G$5:$G$2736,$K68)="","",INDEX(選手一覧!$G$5:$G$2736,$K68))</f>
        <v/>
      </c>
      <c r="P68" s="11" t="n">
        <f aca="false">IF(INDEX(選手一覧!$H$5:$H$2736,$K68)="","",INDEX(選手一覧!$H$5:$H$2736,$K68))</f>
        <v>0.00292476851851852</v>
      </c>
      <c r="Q68" s="12" t="n">
        <f aca="false">IF(INDEX(選手一覧!$I$5:$I$2736,$K68)="","",INDEX(選手一覧!$I$5:$I$2736,$K68))</f>
        <v>1144</v>
      </c>
    </row>
    <row r="69" customFormat="false" ht="15" hidden="false" customHeight="false" outlineLevel="0" collapsed="false">
      <c r="A69" s="35" t="n">
        <v>4</v>
      </c>
      <c r="B69" s="36" t="n">
        <v>7.9</v>
      </c>
      <c r="C69" s="10" t="n">
        <v>40</v>
      </c>
      <c r="D69" s="12" t="n">
        <f aca="false">COUNTIFS($A$5:$A$115,A69,$E$5:$E$115,"&lt;"&amp;E69)+1</f>
        <v>15</v>
      </c>
      <c r="E69" s="37" t="n">
        <v>0.018125</v>
      </c>
      <c r="F69" s="37" t="n">
        <f aca="false">E69/B69</f>
        <v>0.00229430379746835</v>
      </c>
      <c r="G69" s="8" t="s">
        <v>4620</v>
      </c>
      <c r="H69" s="8" t="s">
        <v>4621</v>
      </c>
      <c r="I69" s="6"/>
      <c r="J69" s="12" t="n">
        <v>35</v>
      </c>
      <c r="K69" s="12" t="n">
        <v>798</v>
      </c>
      <c r="L69" s="9" t="n">
        <f aca="false">IF(INDEX(選手一覧!$D$5:$D$2736,$K69)="","",INDEX(選手一覧!$D$5:$D$2736,$K69))</f>
        <v>0.0108329861111111</v>
      </c>
      <c r="M69" s="10" t="n">
        <f aca="false">IF(INDEX(選手一覧!$E$5:$E$2736,$K69)="","",INDEX(選手一覧!$E$5:$E$2736,$K69))</f>
        <v>799</v>
      </c>
      <c r="N69" s="11" t="n">
        <f aca="false">IF(INDEX(選手一覧!$F$5:$F$2736,$K69)="","",INDEX(選手一覧!$F$5:$F$2736,$K69))</f>
        <v>0.00678356481481482</v>
      </c>
      <c r="O69" s="12" t="n">
        <f aca="false">IF(INDEX(選手一覧!$G$5:$G$2736,$K69)="","",INDEX(選手一覧!$G$5:$G$2736,$K69))</f>
        <v>158</v>
      </c>
      <c r="P69" s="11" t="n">
        <f aca="false">IF(INDEX(選手一覧!$H$5:$H$2736,$K69)="","",INDEX(選手一覧!$H$5:$H$2736,$K69))</f>
        <v>0.00286273148148148</v>
      </c>
      <c r="Q69" s="12" t="n">
        <f aca="false">IF(INDEX(選手一覧!$I$5:$I$2736,$K69)="","",INDEX(選手一覧!$I$5:$I$2736,$K69))</f>
        <v>655</v>
      </c>
    </row>
    <row r="70" customFormat="false" ht="15" hidden="false" customHeight="false" outlineLevel="0" collapsed="false">
      <c r="A70" s="35" t="n">
        <v>4</v>
      </c>
      <c r="B70" s="36" t="n">
        <v>7.9</v>
      </c>
      <c r="C70" s="10" t="n">
        <v>46</v>
      </c>
      <c r="D70" s="12" t="n">
        <f aca="false">COUNTIFS($A$5:$A$115,A70,$E$5:$E$115,"&lt;"&amp;E70)+1</f>
        <v>16</v>
      </c>
      <c r="E70" s="37" t="n">
        <v>0.0184375</v>
      </c>
      <c r="F70" s="37" t="n">
        <f aca="false">E70/B70</f>
        <v>0.00233386075949367</v>
      </c>
      <c r="G70" s="8" t="s">
        <v>4622</v>
      </c>
      <c r="H70" s="8" t="s">
        <v>4546</v>
      </c>
      <c r="I70" s="6"/>
      <c r="J70" s="12" t="n">
        <v>52</v>
      </c>
      <c r="K70" s="12" t="n">
        <v>1100</v>
      </c>
      <c r="L70" s="9" t="n">
        <f aca="false">IF(INDEX(選手一覧!$D$5:$D$2736,$K70)="","",INDEX(選手一覧!$D$5:$D$2736,$K70))</f>
        <v>0.0110046296296296</v>
      </c>
      <c r="M70" s="10" t="n">
        <f aca="false">IF(INDEX(選手一覧!$E$5:$E$2736,$K70)="","",INDEX(選手一覧!$E$5:$E$2736,$K70))</f>
        <v>1101</v>
      </c>
      <c r="N70" s="11" t="str">
        <f aca="false">IF(INDEX(選手一覧!$F$5:$F$2736,$K70)="","",INDEX(選手一覧!$F$5:$F$2736,$K70))</f>
        <v/>
      </c>
      <c r="O70" s="12" t="str">
        <f aca="false">IF(INDEX(選手一覧!$G$5:$G$2736,$K70)="","",INDEX(選手一覧!$G$5:$G$2736,$K70))</f>
        <v/>
      </c>
      <c r="P70" s="11" t="n">
        <f aca="false">IF(INDEX(選手一覧!$H$5:$H$2736,$K70)="","",INDEX(選手一覧!$H$5:$H$2736,$K70))</f>
        <v>0.0028599537037037</v>
      </c>
      <c r="Q70" s="12" t="n">
        <f aca="false">IF(INDEX(選手一覧!$I$5:$I$2736,$K70)="","",INDEX(選手一覧!$I$5:$I$2736,$K70))</f>
        <v>634</v>
      </c>
    </row>
    <row r="71" customFormat="false" ht="15" hidden="false" customHeight="false" outlineLevel="0" collapsed="false">
      <c r="A71" s="35" t="n">
        <v>4</v>
      </c>
      <c r="B71" s="36" t="n">
        <v>7.9</v>
      </c>
      <c r="C71" s="10" t="n">
        <v>49</v>
      </c>
      <c r="D71" s="12" t="n">
        <f aca="false">COUNTIFS($A$5:$A$115,A71,$E$5:$E$115,"&lt;"&amp;E71)+1</f>
        <v>17</v>
      </c>
      <c r="E71" s="37" t="n">
        <v>0.0185300925925926</v>
      </c>
      <c r="F71" s="37" t="n">
        <f aca="false">E71/B71</f>
        <v>0.00234558134083451</v>
      </c>
      <c r="G71" s="8" t="s">
        <v>4623</v>
      </c>
      <c r="H71" s="8" t="s">
        <v>4599</v>
      </c>
      <c r="I71" s="6"/>
      <c r="J71" s="12" t="n">
        <v>46</v>
      </c>
      <c r="K71" s="12" t="n">
        <v>801</v>
      </c>
      <c r="L71" s="9" t="n">
        <f aca="false">IF(INDEX(選手一覧!$D$5:$D$2736,$K71)="","",INDEX(選手一覧!$D$5:$D$2736,$K71))</f>
        <v>0.0108364583333333</v>
      </c>
      <c r="M71" s="10" t="n">
        <f aca="false">IF(INDEX(選手一覧!$E$5:$E$2736,$K71)="","",INDEX(選手一覧!$E$5:$E$2736,$K71))</f>
        <v>802</v>
      </c>
      <c r="N71" s="11" t="str">
        <f aca="false">IF(INDEX(選手一覧!$F$5:$F$2736,$K71)="","",INDEX(選手一覧!$F$5:$F$2736,$K71))</f>
        <v/>
      </c>
      <c r="O71" s="12" t="str">
        <f aca="false">IF(INDEX(選手一覧!$G$5:$G$2736,$K71)="","",INDEX(選手一覧!$G$5:$G$2736,$K71))</f>
        <v/>
      </c>
      <c r="P71" s="11" t="str">
        <f aca="false">IF(INDEX(選手一覧!$H$5:$H$2736,$K71)="","",INDEX(選手一覧!$H$5:$H$2736,$K71))</f>
        <v/>
      </c>
      <c r="Q71" s="12" t="str">
        <f aca="false">IF(INDEX(選手一覧!$I$5:$I$2736,$K71)="","",INDEX(選手一覧!$I$5:$I$2736,$K71))</f>
        <v/>
      </c>
    </row>
    <row r="72" customFormat="false" ht="15" hidden="false" customHeight="false" outlineLevel="0" collapsed="false">
      <c r="A72" s="35" t="n">
        <v>4</v>
      </c>
      <c r="B72" s="36" t="n">
        <v>7.9</v>
      </c>
      <c r="C72" s="10" t="n">
        <v>51</v>
      </c>
      <c r="D72" s="12" t="n">
        <f aca="false">COUNTIFS($A$5:$A$115,A72,$E$5:$E$115,"&lt;"&amp;E72)+1</f>
        <v>18</v>
      </c>
      <c r="E72" s="37" t="n">
        <v>0.0188541666666667</v>
      </c>
      <c r="F72" s="37" t="n">
        <f aca="false">E72/B72</f>
        <v>0.00238660337552743</v>
      </c>
      <c r="G72" s="8" t="s">
        <v>4624</v>
      </c>
      <c r="H72" s="8" t="s">
        <v>4625</v>
      </c>
      <c r="I72" s="6"/>
      <c r="J72" s="12" t="n">
        <v>40</v>
      </c>
      <c r="K72" s="12" t="n">
        <v>1280</v>
      </c>
      <c r="L72" s="9" t="n">
        <f aca="false">IF(INDEX(選手一覧!$D$5:$D$2736,$K72)="","",INDEX(選手一覧!$D$5:$D$2736,$K72))</f>
        <v>0.0111152777777778</v>
      </c>
      <c r="M72" s="10" t="n">
        <f aca="false">IF(INDEX(選手一覧!$E$5:$E$2736,$K72)="","",INDEX(選手一覧!$E$5:$E$2736,$K72))</f>
        <v>1281</v>
      </c>
      <c r="N72" s="11" t="str">
        <f aca="false">IF(INDEX(選手一覧!$F$5:$F$2736,$K72)="","",INDEX(選手一覧!$F$5:$F$2736,$K72))</f>
        <v/>
      </c>
      <c r="O72" s="12" t="str">
        <f aca="false">IF(INDEX(選手一覧!$G$5:$G$2736,$K72)="","",INDEX(選手一覧!$G$5:$G$2736,$K72))</f>
        <v/>
      </c>
      <c r="P72" s="11" t="n">
        <f aca="false">IF(INDEX(選手一覧!$H$5:$H$2736,$K72)="","",INDEX(選手一覧!$H$5:$H$2736,$K72))</f>
        <v>0.00296331018518519</v>
      </c>
      <c r="Q72" s="12" t="n">
        <f aca="false">IF(INDEX(選手一覧!$I$5:$I$2736,$K72)="","",INDEX(選手一覧!$I$5:$I$2736,$K72))</f>
        <v>1284</v>
      </c>
    </row>
    <row r="73" customFormat="false" ht="15" hidden="false" customHeight="false" outlineLevel="0" collapsed="false">
      <c r="A73" s="31" t="n">
        <v>5</v>
      </c>
      <c r="B73" s="32" t="n">
        <v>3</v>
      </c>
      <c r="C73" s="19" t="n">
        <v>3</v>
      </c>
      <c r="D73" s="21" t="n">
        <f aca="false">COUNTIFS($A$5:$A$115,A73,$E$5:$E$115,"&lt;"&amp;E73)+1</f>
        <v>1</v>
      </c>
      <c r="E73" s="33" t="n">
        <v>0.00585648148148148</v>
      </c>
      <c r="F73" s="33" t="n">
        <f aca="false">E73/B73</f>
        <v>0.00195216049382716</v>
      </c>
      <c r="G73" s="17" t="s">
        <v>4626</v>
      </c>
      <c r="H73" s="17" t="s">
        <v>4548</v>
      </c>
      <c r="I73" s="15"/>
      <c r="J73" s="21" t="n">
        <v>1</v>
      </c>
      <c r="K73" s="21" t="n">
        <v>45</v>
      </c>
      <c r="L73" s="18" t="n">
        <f aca="false">IF(INDEX(選手一覧!$D$5:$D$2736,$K73)="","",INDEX(選手一覧!$D$5:$D$2736,$K73))</f>
        <v>0.0100895833333333</v>
      </c>
      <c r="M73" s="19" t="n">
        <f aca="false">IF(INDEX(選手一覧!$E$5:$E$2736,$K73)="","",INDEX(選手一覧!$E$5:$E$2736,$K73))</f>
        <v>46</v>
      </c>
      <c r="N73" s="20" t="str">
        <f aca="false">IF(INDEX(選手一覧!$F$5:$F$2736,$K73)="","",INDEX(選手一覧!$F$5:$F$2736,$K73))</f>
        <v/>
      </c>
      <c r="O73" s="21" t="str">
        <f aca="false">IF(INDEX(選手一覧!$G$5:$G$2736,$K73)="","",INDEX(選手一覧!$G$5:$G$2736,$K73))</f>
        <v/>
      </c>
      <c r="P73" s="20" t="n">
        <f aca="false">IF(INDEX(選手一覧!$H$5:$H$2736,$K73)="","",INDEX(選手一覧!$H$5:$H$2736,$K73))</f>
        <v>0.00271238425925926</v>
      </c>
      <c r="Q73" s="21" t="n">
        <f aca="false">IF(INDEX(選手一覧!$I$5:$I$2736,$K73)="","",INDEX(選手一覧!$I$5:$I$2736,$K73))</f>
        <v>38</v>
      </c>
    </row>
    <row r="74" customFormat="false" ht="15" hidden="false" customHeight="false" outlineLevel="0" collapsed="false">
      <c r="A74" s="25" t="n">
        <v>5</v>
      </c>
      <c r="B74" s="26" t="n">
        <v>3</v>
      </c>
      <c r="C74" s="10" t="n">
        <v>4</v>
      </c>
      <c r="D74" s="27" t="n">
        <f aca="false">COUNTIFS($A$5:$A$115,A74,$E$5:$E$115,"&lt;"&amp;E74)+1</f>
        <v>2</v>
      </c>
      <c r="E74" s="28" t="n">
        <v>0.00587962962962963</v>
      </c>
      <c r="F74" s="28" t="n">
        <f aca="false">E74/B74</f>
        <v>0.00195987654320988</v>
      </c>
      <c r="G74" s="29" t="s">
        <v>4627</v>
      </c>
      <c r="H74" s="29" t="s">
        <v>4526</v>
      </c>
      <c r="I74" s="30"/>
      <c r="J74" s="27" t="n">
        <v>12</v>
      </c>
      <c r="K74" s="27" t="n">
        <v>213</v>
      </c>
      <c r="L74" s="9" t="n">
        <f aca="false">IF(INDEX(選手一覧!$D$5:$D$2736,$K74)="","",INDEX(選手一覧!$D$5:$D$2736,$K74))</f>
        <v>0.0103591435185185</v>
      </c>
      <c r="M74" s="10" t="n">
        <f aca="false">IF(INDEX(選手一覧!$E$5:$E$2736,$K74)="","",INDEX(選手一覧!$E$5:$E$2736,$K74))</f>
        <v>214</v>
      </c>
      <c r="N74" s="11" t="str">
        <f aca="false">IF(INDEX(選手一覧!$F$5:$F$2736,$K74)="","",INDEX(選手一覧!$F$5:$F$2736,$K74))</f>
        <v/>
      </c>
      <c r="O74" s="12" t="str">
        <f aca="false">IF(INDEX(選手一覧!$G$5:$G$2736,$K74)="","",INDEX(選手一覧!$G$5:$G$2736,$K74))</f>
        <v/>
      </c>
      <c r="P74" s="11" t="n">
        <f aca="false">IF(INDEX(選手一覧!$H$5:$H$2736,$K74)="","",INDEX(選手一覧!$H$5:$H$2736,$K74))</f>
        <v>0.00284479166666667</v>
      </c>
      <c r="Q74" s="12" t="n">
        <f aca="false">IF(INDEX(選手一覧!$I$5:$I$2736,$K74)="","",INDEX(選手一覧!$I$5:$I$2736,$K74))</f>
        <v>533</v>
      </c>
    </row>
    <row r="75" customFormat="false" ht="15" hidden="false" customHeight="false" outlineLevel="0" collapsed="false">
      <c r="A75" s="25" t="n">
        <v>5</v>
      </c>
      <c r="B75" s="26" t="n">
        <v>3</v>
      </c>
      <c r="C75" s="10" t="n">
        <v>9</v>
      </c>
      <c r="D75" s="27" t="n">
        <f aca="false">COUNTIFS($A$5:$A$115,A75,$E$5:$E$115,"&lt;"&amp;E75)+1</f>
        <v>3</v>
      </c>
      <c r="E75" s="28" t="n">
        <v>0.00605324074074074</v>
      </c>
      <c r="F75" s="28" t="n">
        <f aca="false">E75/B75</f>
        <v>0.00201774691358025</v>
      </c>
      <c r="G75" s="29" t="s">
        <v>4628</v>
      </c>
      <c r="H75" s="29" t="s">
        <v>4629</v>
      </c>
      <c r="I75" s="30"/>
      <c r="J75" s="27" t="n">
        <v>3</v>
      </c>
      <c r="K75" s="27" t="n">
        <v>133</v>
      </c>
      <c r="L75" s="9" t="n">
        <f aca="false">IF(INDEX(選手一覧!$D$5:$D$2736,$K75)="","",INDEX(選手一覧!$D$5:$D$2736,$K75))</f>
        <v>0.0102667824074074</v>
      </c>
      <c r="M75" s="10" t="n">
        <f aca="false">IF(INDEX(選手一覧!$E$5:$E$2736,$K75)="","",INDEX(選手一覧!$E$5:$E$2736,$K75))</f>
        <v>134</v>
      </c>
      <c r="N75" s="11" t="str">
        <f aca="false">IF(INDEX(選手一覧!$F$5:$F$2736,$K75)="","",INDEX(選手一覧!$F$5:$F$2736,$K75))</f>
        <v/>
      </c>
      <c r="O75" s="12" t="str">
        <f aca="false">IF(INDEX(選手一覧!$G$5:$G$2736,$K75)="","",INDEX(選手一覧!$G$5:$G$2736,$K75))</f>
        <v/>
      </c>
      <c r="P75" s="11" t="str">
        <f aca="false">IF(INDEX(選手一覧!$H$5:$H$2736,$K75)="","",INDEX(選手一覧!$H$5:$H$2736,$K75))</f>
        <v/>
      </c>
      <c r="Q75" s="12" t="str">
        <f aca="false">IF(INDEX(選手一覧!$I$5:$I$2736,$K75)="","",INDEX(選手一覧!$I$5:$I$2736,$K75))</f>
        <v/>
      </c>
    </row>
    <row r="76" customFormat="false" ht="15" hidden="false" customHeight="false" outlineLevel="0" collapsed="false">
      <c r="A76" s="25" t="n">
        <v>5</v>
      </c>
      <c r="B76" s="26" t="n">
        <v>3</v>
      </c>
      <c r="C76" s="10" t="n">
        <v>11</v>
      </c>
      <c r="D76" s="27" t="n">
        <f aca="false">COUNTIFS($A$5:$A$115,A76,$E$5:$E$115,"&lt;"&amp;E76)+1</f>
        <v>4</v>
      </c>
      <c r="E76" s="28" t="n">
        <v>0.00608796296296296</v>
      </c>
      <c r="F76" s="28" t="n">
        <f aca="false">E76/B76</f>
        <v>0.00202932098765432</v>
      </c>
      <c r="G76" s="29" t="s">
        <v>4630</v>
      </c>
      <c r="H76" s="29" t="s">
        <v>4538</v>
      </c>
      <c r="I76" s="30"/>
      <c r="J76" s="27" t="n">
        <v>33</v>
      </c>
      <c r="K76" s="27" t="n">
        <v>684</v>
      </c>
      <c r="L76" s="9" t="n">
        <f aca="false">IF(INDEX(選手一覧!$D$5:$D$2736,$K76)="","",INDEX(選手一覧!$D$5:$D$2736,$K76))</f>
        <v>0.0107623842592593</v>
      </c>
      <c r="M76" s="10" t="n">
        <f aca="false">IF(INDEX(選手一覧!$E$5:$E$2736,$K76)="","",INDEX(選手一覧!$E$5:$E$2736,$K76))</f>
        <v>685</v>
      </c>
      <c r="N76" s="11" t="str">
        <f aca="false">IF(INDEX(選手一覧!$F$5:$F$2736,$K76)="","",INDEX(選手一覧!$F$5:$F$2736,$K76))</f>
        <v/>
      </c>
      <c r="O76" s="12" t="str">
        <f aca="false">IF(INDEX(選手一覧!$G$5:$G$2736,$K76)="","",INDEX(選手一覧!$G$5:$G$2736,$K76))</f>
        <v/>
      </c>
      <c r="P76" s="11" t="n">
        <f aca="false">IF(INDEX(選手一覧!$H$5:$H$2736,$K76)="","",INDEX(選手一覧!$H$5:$H$2736,$K76))</f>
        <v>0.00273078703703704</v>
      </c>
      <c r="Q76" s="12" t="n">
        <f aca="false">IF(INDEX(選手一覧!$I$5:$I$2736,$K76)="","",INDEX(選手一覧!$I$5:$I$2736,$K76))</f>
        <v>66</v>
      </c>
    </row>
    <row r="77" customFormat="false" ht="15" hidden="false" customHeight="false" outlineLevel="0" collapsed="false">
      <c r="A77" s="25" t="n">
        <v>5</v>
      </c>
      <c r="B77" s="26" t="n">
        <v>3</v>
      </c>
      <c r="C77" s="10" t="n">
        <v>13</v>
      </c>
      <c r="D77" s="27" t="n">
        <f aca="false">COUNTIFS($A$5:$A$115,A77,$E$5:$E$115,"&lt;"&amp;E77)+1</f>
        <v>5</v>
      </c>
      <c r="E77" s="28" t="n">
        <v>0.00609953703703704</v>
      </c>
      <c r="F77" s="28" t="n">
        <f aca="false">E77/B77</f>
        <v>0.00203317901234568</v>
      </c>
      <c r="G77" s="29" t="s">
        <v>4631</v>
      </c>
      <c r="H77" s="29" t="s">
        <v>4522</v>
      </c>
      <c r="I77" s="30"/>
      <c r="J77" s="27" t="n">
        <v>17</v>
      </c>
      <c r="K77" s="27" t="n">
        <v>586</v>
      </c>
      <c r="L77" s="9" t="n">
        <f aca="false">IF(INDEX(選手一覧!$D$5:$D$2736,$K77)="","",INDEX(選手一覧!$D$5:$D$2736,$K77))</f>
        <v>0.0107016203703704</v>
      </c>
      <c r="M77" s="10" t="n">
        <f aca="false">IF(INDEX(選手一覧!$E$5:$E$2736,$K77)="","",INDEX(選手一覧!$E$5:$E$2736,$K77))</f>
        <v>587</v>
      </c>
      <c r="N77" s="11" t="n">
        <f aca="false">IF(INDEX(選手一覧!$F$5:$F$2736,$K77)="","",INDEX(選手一覧!$F$5:$F$2736,$K77))</f>
        <v>0.00677569444444444</v>
      </c>
      <c r="O77" s="12" t="n">
        <f aca="false">IF(INDEX(選手一覧!$G$5:$G$2736,$K77)="","",INDEX(選手一覧!$G$5:$G$2736,$K77))</f>
        <v>152</v>
      </c>
      <c r="P77" s="11" t="n">
        <f aca="false">IF(INDEX(選手一覧!$H$5:$H$2736,$K77)="","",INDEX(選手一覧!$H$5:$H$2736,$K77))</f>
        <v>0.00289988425925926</v>
      </c>
      <c r="Q77" s="12" t="n">
        <f aca="false">IF(INDEX(選手一覧!$I$5:$I$2736,$K77)="","",INDEX(選手一覧!$I$5:$I$2736,$K77))</f>
        <v>946</v>
      </c>
    </row>
    <row r="78" customFormat="false" ht="15" hidden="false" customHeight="false" outlineLevel="0" collapsed="false">
      <c r="A78" s="25" t="n">
        <v>5</v>
      </c>
      <c r="B78" s="26" t="n">
        <v>3</v>
      </c>
      <c r="C78" s="10" t="n">
        <v>16</v>
      </c>
      <c r="D78" s="27" t="n">
        <f aca="false">COUNTIFS($A$5:$A$115,A78,$E$5:$E$115,"&lt;"&amp;E78)+1</f>
        <v>6</v>
      </c>
      <c r="E78" s="28" t="n">
        <v>0.00611111111111111</v>
      </c>
      <c r="F78" s="28" t="n">
        <f aca="false">E78/B78</f>
        <v>0.00203703703703704</v>
      </c>
      <c r="G78" s="29" t="s">
        <v>4632</v>
      </c>
      <c r="H78" s="29" t="s">
        <v>4583</v>
      </c>
      <c r="I78" s="30"/>
      <c r="J78" s="27" t="n">
        <v>11</v>
      </c>
      <c r="K78" s="27" t="n">
        <v>781</v>
      </c>
      <c r="L78" s="9" t="n">
        <f aca="false">IF(INDEX(選手一覧!$D$5:$D$2736,$K78)="","",INDEX(選手一覧!$D$5:$D$2736,$K78))</f>
        <v>0.0108236111111111</v>
      </c>
      <c r="M78" s="10" t="n">
        <f aca="false">IF(INDEX(選手一覧!$E$5:$E$2736,$K78)="","",INDEX(選手一覧!$E$5:$E$2736,$K78))</f>
        <v>782</v>
      </c>
      <c r="N78" s="11" t="str">
        <f aca="false">IF(INDEX(選手一覧!$F$5:$F$2736,$K78)="","",INDEX(選手一覧!$F$5:$F$2736,$K78))</f>
        <v/>
      </c>
      <c r="O78" s="12" t="str">
        <f aca="false">IF(INDEX(選手一覧!$G$5:$G$2736,$K78)="","",INDEX(選手一覧!$G$5:$G$2736,$K78))</f>
        <v/>
      </c>
      <c r="P78" s="11" t="n">
        <f aca="false">IF(INDEX(選手一覧!$H$5:$H$2736,$K78)="","",INDEX(選手一覧!$H$5:$H$2736,$K78))</f>
        <v>0.00287025462962963</v>
      </c>
      <c r="Q78" s="12" t="n">
        <f aca="false">IF(INDEX(選手一覧!$I$5:$I$2736,$K78)="","",INDEX(選手一覧!$I$5:$I$2736,$K78))</f>
        <v>698</v>
      </c>
    </row>
    <row r="79" customFormat="false" ht="15" hidden="false" customHeight="false" outlineLevel="0" collapsed="false">
      <c r="A79" s="25" t="n">
        <v>5</v>
      </c>
      <c r="B79" s="26" t="n">
        <v>3</v>
      </c>
      <c r="C79" s="10" t="n">
        <v>17</v>
      </c>
      <c r="D79" s="27" t="n">
        <f aca="false">COUNTIFS($A$5:$A$115,A79,$E$5:$E$115,"&lt;"&amp;E79)+1</f>
        <v>7</v>
      </c>
      <c r="E79" s="28" t="n">
        <v>0.00613425925925926</v>
      </c>
      <c r="F79" s="28" t="n">
        <f aca="false">E79/B79</f>
        <v>0.00204475308641975</v>
      </c>
      <c r="G79" s="29" t="s">
        <v>4633</v>
      </c>
      <c r="H79" s="29" t="s">
        <v>4577</v>
      </c>
      <c r="I79" s="30"/>
      <c r="J79" s="27" t="n">
        <v>30</v>
      </c>
      <c r="K79" s="27" t="n">
        <v>745</v>
      </c>
      <c r="L79" s="9" t="n">
        <f aca="false">IF(INDEX(選手一覧!$D$5:$D$2736,$K79)="","",INDEX(選手一覧!$D$5:$D$2736,$K79))</f>
        <v>0.0108021990740741</v>
      </c>
      <c r="M79" s="10" t="n">
        <f aca="false">IF(INDEX(選手一覧!$E$5:$E$2736,$K79)="","",INDEX(選手一覧!$E$5:$E$2736,$K79))</f>
        <v>746</v>
      </c>
      <c r="N79" s="11" t="str">
        <f aca="false">IF(INDEX(選手一覧!$F$5:$F$2736,$K79)="","",INDEX(選手一覧!$F$5:$F$2736,$K79))</f>
        <v/>
      </c>
      <c r="O79" s="12" t="str">
        <f aca="false">IF(INDEX(選手一覧!$G$5:$G$2736,$K79)="","",INDEX(選手一覧!$G$5:$G$2736,$K79))</f>
        <v/>
      </c>
      <c r="P79" s="11" t="n">
        <f aca="false">IF(INDEX(選手一覧!$H$5:$H$2736,$K79)="","",INDEX(選手一覧!$H$5:$H$2736,$K79))</f>
        <v>0.00288425925925926</v>
      </c>
      <c r="Q79" s="12" t="n">
        <f aca="false">IF(INDEX(選手一覧!$I$5:$I$2736,$K79)="","",INDEX(選手一覧!$I$5:$I$2736,$K79))</f>
        <v>810</v>
      </c>
    </row>
    <row r="80" customFormat="false" ht="15" hidden="false" customHeight="false" outlineLevel="0" collapsed="false">
      <c r="A80" s="25" t="n">
        <v>5</v>
      </c>
      <c r="B80" s="26" t="n">
        <v>3</v>
      </c>
      <c r="C80" s="10" t="n">
        <v>21</v>
      </c>
      <c r="D80" s="27" t="n">
        <f aca="false">COUNTIFS($A$5:$A$115,A80,$E$5:$E$115,"&lt;"&amp;E80)+1</f>
        <v>8</v>
      </c>
      <c r="E80" s="28" t="n">
        <v>0.00621527777777778</v>
      </c>
      <c r="F80" s="28" t="n">
        <f aca="false">E80/B80</f>
        <v>0.00207175925925926</v>
      </c>
      <c r="G80" s="29" t="s">
        <v>4634</v>
      </c>
      <c r="H80" s="29" t="s">
        <v>4564</v>
      </c>
      <c r="I80" s="30"/>
      <c r="J80" s="27" t="n">
        <v>14</v>
      </c>
      <c r="K80" s="27" t="n">
        <v>735</v>
      </c>
      <c r="L80" s="9" t="n">
        <f aca="false">IF(INDEX(選手一覧!$D$5:$D$2736,$K80)="","",INDEX(選手一覧!$D$5:$D$2736,$K80))</f>
        <v>0.010796875</v>
      </c>
      <c r="M80" s="10" t="n">
        <f aca="false">IF(INDEX(選手一覧!$E$5:$E$2736,$K80)="","",INDEX(選手一覧!$E$5:$E$2736,$K80))</f>
        <v>736</v>
      </c>
      <c r="N80" s="11" t="str">
        <f aca="false">IF(INDEX(選手一覧!$F$5:$F$2736,$K80)="","",INDEX(選手一覧!$F$5:$F$2736,$K80))</f>
        <v/>
      </c>
      <c r="O80" s="12" t="str">
        <f aca="false">IF(INDEX(選手一覧!$G$5:$G$2736,$K80)="","",INDEX(選手一覧!$G$5:$G$2736,$K80))</f>
        <v/>
      </c>
      <c r="P80" s="11" t="n">
        <f aca="false">IF(INDEX(選手一覧!$H$5:$H$2736,$K80)="","",INDEX(選手一覧!$H$5:$H$2736,$K80))</f>
        <v>0.0028587962962963</v>
      </c>
      <c r="Q80" s="12" t="n">
        <f aca="false">IF(INDEX(選手一覧!$I$5:$I$2736,$K80)="","",INDEX(選手一覧!$I$5:$I$2736,$K80))</f>
        <v>628</v>
      </c>
    </row>
    <row r="81" customFormat="false" ht="15" hidden="false" customHeight="false" outlineLevel="0" collapsed="false">
      <c r="A81" s="25" t="n">
        <v>5</v>
      </c>
      <c r="B81" s="26" t="n">
        <v>3</v>
      </c>
      <c r="C81" s="10" t="n">
        <v>29</v>
      </c>
      <c r="D81" s="27" t="n">
        <f aca="false">COUNTIFS($A$5:$A$115,A81,$E$5:$E$115,"&lt;"&amp;E81)+1</f>
        <v>9</v>
      </c>
      <c r="E81" s="28" t="n">
        <v>0.00634259259259259</v>
      </c>
      <c r="F81" s="28" t="n">
        <f aca="false">E81/B81</f>
        <v>0.0021141975308642</v>
      </c>
      <c r="G81" s="29" t="s">
        <v>4635</v>
      </c>
      <c r="H81" s="29" t="s">
        <v>4599</v>
      </c>
      <c r="I81" s="30"/>
      <c r="J81" s="27" t="n">
        <v>46</v>
      </c>
      <c r="K81" s="27" t="n">
        <v>1186</v>
      </c>
      <c r="L81" s="9" t="n">
        <f aca="false">IF(INDEX(選手一覧!$D$5:$D$2736,$K81)="","",INDEX(選手一覧!$D$5:$D$2736,$K81))</f>
        <v>0.0110439814814815</v>
      </c>
      <c r="M81" s="10" t="n">
        <f aca="false">IF(INDEX(選手一覧!$E$5:$E$2736,$K81)="","",INDEX(選手一覧!$E$5:$E$2736,$K81))</f>
        <v>1187</v>
      </c>
      <c r="N81" s="11" t="n">
        <f aca="false">IF(INDEX(選手一覧!$F$5:$F$2736,$K81)="","",INDEX(選手一覧!$F$5:$F$2736,$K81))</f>
        <v>0.00698113425925926</v>
      </c>
      <c r="O81" s="12" t="n">
        <f aca="false">IF(INDEX(選手一覧!$G$5:$G$2736,$K81)="","",INDEX(選手一覧!$G$5:$G$2736,$K81))</f>
        <v>315</v>
      </c>
      <c r="P81" s="11" t="str">
        <f aca="false">IF(INDEX(選手一覧!$H$5:$H$2736,$K81)="","",INDEX(選手一覧!$H$5:$H$2736,$K81))</f>
        <v/>
      </c>
      <c r="Q81" s="12" t="str">
        <f aca="false">IF(INDEX(選手一覧!$I$5:$I$2736,$K81)="","",INDEX(選手一覧!$I$5:$I$2736,$K81))</f>
        <v/>
      </c>
    </row>
    <row r="82" customFormat="false" ht="15" hidden="false" customHeight="false" outlineLevel="0" collapsed="false">
      <c r="A82" s="25" t="n">
        <v>5</v>
      </c>
      <c r="B82" s="26" t="n">
        <v>3</v>
      </c>
      <c r="C82" s="10" t="n">
        <v>34</v>
      </c>
      <c r="D82" s="27" t="n">
        <f aca="false">COUNTIFS($A$5:$A$115,A82,$E$5:$E$115,"&lt;"&amp;E82)+1</f>
        <v>10</v>
      </c>
      <c r="E82" s="28" t="n">
        <v>0.00637731481481482</v>
      </c>
      <c r="F82" s="28" t="n">
        <f aca="false">E82/B82</f>
        <v>0.00212577160493827</v>
      </c>
      <c r="G82" s="29" t="s">
        <v>4636</v>
      </c>
      <c r="H82" s="29" t="s">
        <v>4625</v>
      </c>
      <c r="I82" s="30"/>
      <c r="J82" s="27" t="n">
        <v>40</v>
      </c>
      <c r="K82" s="27" t="n">
        <v>2424</v>
      </c>
      <c r="L82" s="9" t="str">
        <f aca="false">IF(INDEX(選手一覧!$D$5:$D$2736,$K82)="","",INDEX(選手一覧!$D$5:$D$2736,$K82))</f>
        <v/>
      </c>
      <c r="M82" s="10" t="str">
        <f aca="false">IF(INDEX(選手一覧!$E$5:$E$2736,$K82)="","",INDEX(選手一覧!$E$5:$E$2736,$K82))</f>
        <v/>
      </c>
      <c r="N82" s="11" t="str">
        <f aca="false">IF(INDEX(選手一覧!$F$5:$F$2736,$K82)="","",INDEX(選手一覧!$F$5:$F$2736,$K82))</f>
        <v/>
      </c>
      <c r="O82" s="12" t="str">
        <f aca="false">IF(INDEX(選手一覧!$G$5:$G$2736,$K82)="","",INDEX(選手一覧!$G$5:$G$2736,$K82))</f>
        <v/>
      </c>
      <c r="P82" s="11" t="n">
        <f aca="false">IF(INDEX(選手一覧!$H$5:$H$2736,$K82)="","",INDEX(選手一覧!$H$5:$H$2736,$K82))</f>
        <v>0.00292627314814815</v>
      </c>
      <c r="Q82" s="12" t="n">
        <f aca="false">IF(INDEX(選手一覧!$I$5:$I$2736,$K82)="","",INDEX(選手一覧!$I$5:$I$2736,$K82))</f>
        <v>1160</v>
      </c>
    </row>
    <row r="83" customFormat="false" ht="15" hidden="false" customHeight="false" outlineLevel="0" collapsed="false">
      <c r="A83" s="25" t="n">
        <v>5</v>
      </c>
      <c r="B83" s="26" t="n">
        <v>3</v>
      </c>
      <c r="C83" s="10" t="n">
        <v>48</v>
      </c>
      <c r="D83" s="27" t="n">
        <f aca="false">COUNTIFS($A$5:$A$115,A83,$E$5:$E$115,"&lt;"&amp;E83)+1</f>
        <v>11</v>
      </c>
      <c r="E83" s="28" t="n">
        <v>0.00667824074074074</v>
      </c>
      <c r="F83" s="28" t="n">
        <f aca="false">E83/B83</f>
        <v>0.00222608024691358</v>
      </c>
      <c r="G83" s="29" t="s">
        <v>4637</v>
      </c>
      <c r="H83" s="29" t="s">
        <v>4638</v>
      </c>
      <c r="I83" s="30"/>
      <c r="J83" s="27" t="n">
        <v>54</v>
      </c>
      <c r="K83" s="27" t="n">
        <v>1531</v>
      </c>
      <c r="L83" s="9" t="str">
        <f aca="false">IF(INDEX(選手一覧!$D$5:$D$2736,$K83)="","",INDEX(選手一覧!$D$5:$D$2736,$K83))</f>
        <v/>
      </c>
      <c r="M83" s="10" t="str">
        <f aca="false">IF(INDEX(選手一覧!$E$5:$E$2736,$K83)="","",INDEX(選手一覧!$E$5:$E$2736,$K83))</f>
        <v/>
      </c>
      <c r="N83" s="11" t="n">
        <f aca="false">IF(INDEX(選手一覧!$F$5:$F$2736,$K83)="","",INDEX(選手一覧!$F$5:$F$2736,$K83))</f>
        <v>0.00708622685185185</v>
      </c>
      <c r="O83" s="12" t="n">
        <f aca="false">IF(INDEX(選手一覧!$G$5:$G$2736,$K83)="","",INDEX(選手一覧!$G$5:$G$2736,$K83))</f>
        <v>434</v>
      </c>
      <c r="P83" s="11" t="str">
        <f aca="false">IF(INDEX(選手一覧!$H$5:$H$2736,$K83)="","",INDEX(選手一覧!$H$5:$H$2736,$K83))</f>
        <v/>
      </c>
      <c r="Q83" s="12" t="str">
        <f aca="false">IF(INDEX(選手一覧!$I$5:$I$2736,$K83)="","",INDEX(選手一覧!$I$5:$I$2736,$K83))</f>
        <v/>
      </c>
    </row>
    <row r="84" customFormat="false" ht="15" hidden="false" customHeight="false" outlineLevel="0" collapsed="false">
      <c r="A84" s="25" t="n">
        <v>5</v>
      </c>
      <c r="B84" s="26" t="n">
        <v>3</v>
      </c>
      <c r="C84" s="10" t="n">
        <v>53</v>
      </c>
      <c r="D84" s="27" t="n">
        <f aca="false">COUNTIFS($A$5:$A$115,A84,$E$5:$E$115,"&lt;"&amp;E84)+1</f>
        <v>12</v>
      </c>
      <c r="E84" s="28" t="n">
        <v>0.00685185185185185</v>
      </c>
      <c r="F84" s="28" t="n">
        <f aca="false">E84/B84</f>
        <v>0.00228395061728395</v>
      </c>
      <c r="G84" s="29" t="s">
        <v>4639</v>
      </c>
      <c r="H84" s="29" t="s">
        <v>4601</v>
      </c>
      <c r="I84" s="30"/>
      <c r="J84" s="27" t="n">
        <v>49</v>
      </c>
      <c r="K84" s="27" t="n">
        <v>1695</v>
      </c>
      <c r="L84" s="9" t="str">
        <f aca="false">IF(INDEX(選手一覧!$D$5:$D$2736,$K84)="","",INDEX(選手一覧!$D$5:$D$2736,$K84))</f>
        <v/>
      </c>
      <c r="M84" s="10" t="str">
        <f aca="false">IF(INDEX(選手一覧!$E$5:$E$2736,$K84)="","",INDEX(選手一覧!$E$5:$E$2736,$K84))</f>
        <v/>
      </c>
      <c r="N84" s="11" t="n">
        <f aca="false">IF(INDEX(選手一覧!$F$5:$F$2736,$K84)="","",INDEX(選手一覧!$F$5:$F$2736,$K84))</f>
        <v>0.00725393518518519</v>
      </c>
      <c r="O84" s="12" t="n">
        <f aca="false">IF(INDEX(選手一覧!$G$5:$G$2736,$K84)="","",INDEX(選手一覧!$G$5:$G$2736,$K84))</f>
        <v>600</v>
      </c>
      <c r="P84" s="11" t="str">
        <f aca="false">IF(INDEX(選手一覧!$H$5:$H$2736,$K84)="","",INDEX(選手一覧!$H$5:$H$2736,$K84))</f>
        <v/>
      </c>
      <c r="Q84" s="12" t="str">
        <f aca="false">IF(INDEX(選手一覧!$I$5:$I$2736,$K84)="","",INDEX(選手一覧!$I$5:$I$2736,$K84))</f>
        <v/>
      </c>
    </row>
    <row r="85" customFormat="false" ht="15" hidden="false" customHeight="false" outlineLevel="0" collapsed="false">
      <c r="A85" s="35" t="n">
        <v>6</v>
      </c>
      <c r="B85" s="36" t="n">
        <v>5.2</v>
      </c>
      <c r="C85" s="10" t="n">
        <v>4</v>
      </c>
      <c r="D85" s="12" t="n">
        <f aca="false">COUNTIFS($A$5:$A$115,A85,$E$5:$E$115,"&lt;"&amp;E85)+1</f>
        <v>1</v>
      </c>
      <c r="E85" s="37" t="n">
        <v>0.0104861111111111</v>
      </c>
      <c r="F85" s="37" t="n">
        <f aca="false">E85/B85</f>
        <v>0.00201655982905983</v>
      </c>
      <c r="G85" s="8" t="s">
        <v>4640</v>
      </c>
      <c r="H85" s="8" t="s">
        <v>4526</v>
      </c>
      <c r="I85" s="6"/>
      <c r="J85" s="12" t="n">
        <v>12</v>
      </c>
      <c r="K85" s="12" t="n">
        <v>127</v>
      </c>
      <c r="L85" s="9" t="n">
        <f aca="false">IF(INDEX(選手一覧!$D$5:$D$2736,$K85)="","",INDEX(選手一覧!$D$5:$D$2736,$K85))</f>
        <v>0.0102480324074074</v>
      </c>
      <c r="M85" s="10" t="n">
        <f aca="false">IF(INDEX(選手一覧!$E$5:$E$2736,$K85)="","",INDEX(選手一覧!$E$5:$E$2736,$K85))</f>
        <v>128</v>
      </c>
      <c r="N85" s="11" t="str">
        <f aca="false">IF(INDEX(選手一覧!$F$5:$F$2736,$K85)="","",INDEX(選手一覧!$F$5:$F$2736,$K85))</f>
        <v/>
      </c>
      <c r="O85" s="12" t="str">
        <f aca="false">IF(INDEX(選手一覧!$G$5:$G$2736,$K85)="","",INDEX(選手一覧!$G$5:$G$2736,$K85))</f>
        <v/>
      </c>
      <c r="P85" s="11" t="n">
        <f aca="false">IF(INDEX(選手一覧!$H$5:$H$2736,$K85)="","",INDEX(選手一覧!$H$5:$H$2736,$K85))</f>
        <v>0.00277349537037037</v>
      </c>
      <c r="Q85" s="12" t="n">
        <f aca="false">IF(INDEX(選手一覧!$I$5:$I$2736,$K85)="","",INDEX(選手一覧!$I$5:$I$2736,$K85))</f>
        <v>170</v>
      </c>
    </row>
    <row r="86" customFormat="false" ht="15" hidden="false" customHeight="false" outlineLevel="0" collapsed="false">
      <c r="A86" s="35" t="n">
        <v>6</v>
      </c>
      <c r="B86" s="36" t="n">
        <v>5.2</v>
      </c>
      <c r="C86" s="10" t="n">
        <v>7</v>
      </c>
      <c r="D86" s="12" t="n">
        <f aca="false">COUNTIFS($A$5:$A$115,A86,$E$5:$E$115,"&lt;"&amp;E86)+1</f>
        <v>2</v>
      </c>
      <c r="E86" s="37" t="n">
        <v>0.0107291666666667</v>
      </c>
      <c r="F86" s="37" t="n">
        <f aca="false">E86/B86</f>
        <v>0.00206330128205128</v>
      </c>
      <c r="G86" s="8" t="s">
        <v>4641</v>
      </c>
      <c r="H86" s="8" t="s">
        <v>4642</v>
      </c>
      <c r="I86" s="6"/>
      <c r="J86" s="12" t="n">
        <v>9</v>
      </c>
      <c r="K86" s="12" t="n">
        <v>140</v>
      </c>
      <c r="L86" s="9" t="n">
        <f aca="false">IF(INDEX(選手一覧!$D$5:$D$2736,$K86)="","",INDEX(選手一覧!$D$5:$D$2736,$K86))</f>
        <v>0.010275462962963</v>
      </c>
      <c r="M86" s="10" t="n">
        <f aca="false">IF(INDEX(選手一覧!$E$5:$E$2736,$K86)="","",INDEX(選手一覧!$E$5:$E$2736,$K86))</f>
        <v>141</v>
      </c>
      <c r="N86" s="11" t="str">
        <f aca="false">IF(INDEX(選手一覧!$F$5:$F$2736,$K86)="","",INDEX(選手一覧!$F$5:$F$2736,$K86))</f>
        <v/>
      </c>
      <c r="O86" s="12" t="str">
        <f aca="false">IF(INDEX(選手一覧!$G$5:$G$2736,$K86)="","",INDEX(選手一覧!$G$5:$G$2736,$K86))</f>
        <v/>
      </c>
      <c r="P86" s="11" t="n">
        <f aca="false">IF(INDEX(選手一覧!$H$5:$H$2736,$K86)="","",INDEX(選手一覧!$H$5:$H$2736,$K86))</f>
        <v>0.00270763888888889</v>
      </c>
      <c r="Q86" s="12" t="n">
        <f aca="false">IF(INDEX(選手一覧!$I$5:$I$2736,$K86)="","",INDEX(選手一覧!$I$5:$I$2736,$K86))</f>
        <v>31</v>
      </c>
    </row>
    <row r="87" customFormat="false" ht="15" hidden="false" customHeight="false" outlineLevel="0" collapsed="false">
      <c r="A87" s="35" t="n">
        <v>6</v>
      </c>
      <c r="B87" s="36" t="n">
        <v>5.2</v>
      </c>
      <c r="C87" s="10" t="n">
        <v>8</v>
      </c>
      <c r="D87" s="12" t="n">
        <f aca="false">COUNTIFS($A$5:$A$115,A87,$E$5:$E$115,"&lt;"&amp;E87)+1</f>
        <v>3</v>
      </c>
      <c r="E87" s="37" t="n">
        <v>0.0107407407407407</v>
      </c>
      <c r="F87" s="37" t="n">
        <f aca="false">E87/B87</f>
        <v>0.00206552706552707</v>
      </c>
      <c r="G87" s="8" t="s">
        <v>4643</v>
      </c>
      <c r="H87" s="8" t="s">
        <v>4644</v>
      </c>
      <c r="I87" s="6"/>
      <c r="J87" s="12" t="n">
        <v>5</v>
      </c>
      <c r="K87" s="12" t="n">
        <v>404</v>
      </c>
      <c r="L87" s="9" t="n">
        <f aca="false">IF(INDEX(選手一覧!$D$5:$D$2736,$K87)="","",INDEX(選手一覧!$D$5:$D$2736,$K87))</f>
        <v>0.0105543981481482</v>
      </c>
      <c r="M87" s="10" t="n">
        <f aca="false">IF(INDEX(選手一覧!$E$5:$E$2736,$K87)="","",INDEX(選手一覧!$E$5:$E$2736,$K87))</f>
        <v>405</v>
      </c>
      <c r="N87" s="11" t="str">
        <f aca="false">IF(INDEX(選手一覧!$F$5:$F$2736,$K87)="","",INDEX(選手一覧!$F$5:$F$2736,$K87))</f>
        <v/>
      </c>
      <c r="O87" s="12" t="str">
        <f aca="false">IF(INDEX(選手一覧!$G$5:$G$2736,$K87)="","",INDEX(選手一覧!$G$5:$G$2736,$K87))</f>
        <v/>
      </c>
      <c r="P87" s="11" t="n">
        <f aca="false">IF(INDEX(選手一覧!$H$5:$H$2736,$K87)="","",INDEX(選手一覧!$H$5:$H$2736,$K87))</f>
        <v>0.00285266203703704</v>
      </c>
      <c r="Q87" s="12" t="n">
        <f aca="false">IF(INDEX(選手一覧!$I$5:$I$2736,$K87)="","",INDEX(選手一覧!$I$5:$I$2736,$K87))</f>
        <v>584</v>
      </c>
    </row>
    <row r="88" customFormat="false" ht="15" hidden="false" customHeight="false" outlineLevel="0" collapsed="false">
      <c r="A88" s="35" t="n">
        <v>6</v>
      </c>
      <c r="B88" s="36" t="n">
        <v>5.2</v>
      </c>
      <c r="C88" s="10" t="n">
        <v>10</v>
      </c>
      <c r="D88" s="12" t="n">
        <f aca="false">COUNTIFS($A$5:$A$115,A88,$E$5:$E$115,"&lt;"&amp;E88)+1</f>
        <v>5</v>
      </c>
      <c r="E88" s="37" t="n">
        <v>0.0108217592592593</v>
      </c>
      <c r="F88" s="37" t="n">
        <f aca="false">E88/B88</f>
        <v>0.00208110754985755</v>
      </c>
      <c r="G88" s="8" t="s">
        <v>4645</v>
      </c>
      <c r="H88" s="8" t="s">
        <v>4520</v>
      </c>
      <c r="I88" s="6"/>
      <c r="J88" s="12" t="n">
        <v>4</v>
      </c>
      <c r="K88" s="12" t="n">
        <v>179</v>
      </c>
      <c r="L88" s="9" t="n">
        <f aca="false">IF(INDEX(選手一覧!$D$5:$D$2736,$K88)="","",INDEX(選手一覧!$D$5:$D$2736,$K88))</f>
        <v>0.0103270833333333</v>
      </c>
      <c r="M88" s="10" t="n">
        <f aca="false">IF(INDEX(選手一覧!$E$5:$E$2736,$K88)="","",INDEX(選手一覧!$E$5:$E$2736,$K88))</f>
        <v>180</v>
      </c>
      <c r="N88" s="11" t="n">
        <f aca="false">IF(INDEX(選手一覧!$F$5:$F$2736,$K88)="","",INDEX(選手一覧!$F$5:$F$2736,$K88))</f>
        <v>0.00692604166666667</v>
      </c>
      <c r="O88" s="12" t="n">
        <f aca="false">IF(INDEX(選手一覧!$G$5:$G$2736,$K88)="","",INDEX(選手一覧!$G$5:$G$2736,$K88))</f>
        <v>266</v>
      </c>
      <c r="P88" s="11" t="n">
        <f aca="false">IF(INDEX(選手一覧!$H$5:$H$2736,$K88)="","",INDEX(選手一覧!$H$5:$H$2736,$K88))</f>
        <v>0.00286608796296296</v>
      </c>
      <c r="Q88" s="12" t="n">
        <f aca="false">IF(INDEX(選手一覧!$I$5:$I$2736,$K88)="","",INDEX(選手一覧!$I$5:$I$2736,$K88))</f>
        <v>670</v>
      </c>
    </row>
    <row r="89" customFormat="false" ht="15" hidden="false" customHeight="false" outlineLevel="0" collapsed="false">
      <c r="A89" s="35" t="n">
        <v>6</v>
      </c>
      <c r="B89" s="36" t="n">
        <v>5.2</v>
      </c>
      <c r="C89" s="10" t="n">
        <v>13</v>
      </c>
      <c r="D89" s="12" t="n">
        <f aca="false">COUNTIFS($A$5:$A$115,A89,$E$5:$E$115,"&lt;"&amp;E89)+1</f>
        <v>5</v>
      </c>
      <c r="E89" s="37" t="n">
        <v>0.0109027777777778</v>
      </c>
      <c r="F89" s="37" t="n">
        <f aca="false">E89/B89</f>
        <v>0.00209668803418803</v>
      </c>
      <c r="G89" s="8" t="s">
        <v>4646</v>
      </c>
      <c r="H89" s="8" t="s">
        <v>4552</v>
      </c>
      <c r="I89" s="6"/>
      <c r="J89" s="12" t="n">
        <v>13</v>
      </c>
      <c r="K89" s="12" t="n">
        <v>350</v>
      </c>
      <c r="L89" s="9" t="n">
        <f aca="false">IF(INDEX(選手一覧!$D$5:$D$2736,$K89)="","",INDEX(選手一覧!$D$5:$D$2736,$K89))</f>
        <v>0.0105115740740741</v>
      </c>
      <c r="M89" s="10" t="n">
        <f aca="false">IF(INDEX(選手一覧!$E$5:$E$2736,$K89)="","",INDEX(選手一覧!$E$5:$E$2736,$K89))</f>
        <v>351</v>
      </c>
      <c r="N89" s="11" t="n">
        <f aca="false">IF(INDEX(選手一覧!$F$5:$F$2736,$K89)="","",INDEX(選手一覧!$F$5:$F$2736,$K89))</f>
        <v>0.006559375</v>
      </c>
      <c r="O89" s="12" t="n">
        <f aca="false">IF(INDEX(選手一覧!$G$5:$G$2736,$K89)="","",INDEX(選手一覧!$G$5:$G$2736,$K89))</f>
        <v>47</v>
      </c>
      <c r="P89" s="11" t="n">
        <f aca="false">IF(INDEX(選手一覧!$H$5:$H$2736,$K89)="","",INDEX(選手一覧!$H$5:$H$2736,$K89))</f>
        <v>0.00293391203703704</v>
      </c>
      <c r="Q89" s="12" t="n">
        <f aca="false">IF(INDEX(選手一覧!$I$5:$I$2736,$K89)="","",INDEX(選手一覧!$I$5:$I$2736,$K89))</f>
        <v>1182</v>
      </c>
    </row>
    <row r="90" customFormat="false" ht="15" hidden="false" customHeight="false" outlineLevel="0" collapsed="false">
      <c r="A90" s="35" t="n">
        <v>6</v>
      </c>
      <c r="B90" s="36" t="n">
        <v>5.2</v>
      </c>
      <c r="C90" s="10" t="n">
        <v>17</v>
      </c>
      <c r="D90" s="12" t="n">
        <f aca="false">COUNTIFS($A$5:$A$115,A90,$E$5:$E$115,"&lt;"&amp;E90)+1</f>
        <v>6</v>
      </c>
      <c r="E90" s="37" t="n">
        <v>0.0109953703703704</v>
      </c>
      <c r="F90" s="37" t="n">
        <f aca="false">E90/B90</f>
        <v>0.0021144943019943</v>
      </c>
      <c r="G90" s="8" t="s">
        <v>4647</v>
      </c>
      <c r="H90" s="8" t="s">
        <v>4564</v>
      </c>
      <c r="I90" s="6"/>
      <c r="J90" s="12" t="n">
        <v>14</v>
      </c>
      <c r="K90" s="12" t="n">
        <v>336</v>
      </c>
      <c r="L90" s="9" t="n">
        <f aca="false">IF(INDEX(選手一覧!$D$5:$D$2736,$K90)="","",INDEX(選手一覧!$D$5:$D$2736,$K90))</f>
        <v>0.0104947916666667</v>
      </c>
      <c r="M90" s="10" t="n">
        <f aca="false">IF(INDEX(選手一覧!$E$5:$E$2736,$K90)="","",INDEX(選手一覧!$E$5:$E$2736,$K90))</f>
        <v>337</v>
      </c>
      <c r="N90" s="11" t="str">
        <f aca="false">IF(INDEX(選手一覧!$F$5:$F$2736,$K90)="","",INDEX(選手一覧!$F$5:$F$2736,$K90))</f>
        <v/>
      </c>
      <c r="O90" s="12" t="str">
        <f aca="false">IF(INDEX(選手一覧!$G$5:$G$2736,$K90)="","",INDEX(選手一覧!$G$5:$G$2736,$K90))</f>
        <v/>
      </c>
      <c r="P90" s="11" t="n">
        <f aca="false">IF(INDEX(選手一覧!$H$5:$H$2736,$K90)="","",INDEX(選手一覧!$H$5:$H$2736,$K90))</f>
        <v>0.00279537037037037</v>
      </c>
      <c r="Q90" s="12" t="n">
        <f aca="false">IF(INDEX(選手一覧!$I$5:$I$2736,$K90)="","",INDEX(選手一覧!$I$5:$I$2736,$K90))</f>
        <v>261</v>
      </c>
    </row>
    <row r="91" customFormat="false" ht="15" hidden="false" customHeight="false" outlineLevel="0" collapsed="false">
      <c r="A91" s="35" t="n">
        <v>6</v>
      </c>
      <c r="B91" s="36" t="n">
        <v>5.2</v>
      </c>
      <c r="C91" s="10" t="n">
        <v>19</v>
      </c>
      <c r="D91" s="12" t="n">
        <f aca="false">COUNTIFS($A$5:$A$115,A91,$E$5:$E$115,"&lt;"&amp;E91)+1</f>
        <v>7</v>
      </c>
      <c r="E91" s="37" t="n">
        <v>0.0110069444444444</v>
      </c>
      <c r="F91" s="37" t="n">
        <f aca="false">E91/B91</f>
        <v>0.00211672008547009</v>
      </c>
      <c r="G91" s="8" t="s">
        <v>4648</v>
      </c>
      <c r="H91" s="8" t="s">
        <v>4538</v>
      </c>
      <c r="I91" s="6"/>
      <c r="J91" s="12" t="n">
        <v>33</v>
      </c>
      <c r="K91" s="12" t="n">
        <v>403</v>
      </c>
      <c r="L91" s="9" t="n">
        <f aca="false">IF(INDEX(選手一覧!$D$5:$D$2736,$K91)="","",INDEX(選手一覧!$D$5:$D$2736,$K91))</f>
        <v>0.0105528935185185</v>
      </c>
      <c r="M91" s="10" t="n">
        <f aca="false">IF(INDEX(選手一覧!$E$5:$E$2736,$K91)="","",INDEX(選手一覧!$E$5:$E$2736,$K91))</f>
        <v>404</v>
      </c>
      <c r="N91" s="11" t="n">
        <f aca="false">IF(INDEX(選手一覧!$F$5:$F$2736,$K91)="","",INDEX(選手一覧!$F$5:$F$2736,$K91))</f>
        <v>0.00656655092592593</v>
      </c>
      <c r="O91" s="12" t="n">
        <f aca="false">IF(INDEX(選手一覧!$G$5:$G$2736,$K91)="","",INDEX(選手一覧!$G$5:$G$2736,$K91))</f>
        <v>55</v>
      </c>
      <c r="P91" s="11" t="n">
        <f aca="false">IF(INDEX(選手一覧!$H$5:$H$2736,$K91)="","",INDEX(選手一覧!$H$5:$H$2736,$K91))</f>
        <v>0.00294768518518519</v>
      </c>
      <c r="Q91" s="12" t="n">
        <f aca="false">IF(INDEX(選手一覧!$I$5:$I$2736,$K91)="","",INDEX(選手一覧!$I$5:$I$2736,$K91))</f>
        <v>1225</v>
      </c>
    </row>
    <row r="92" customFormat="false" ht="15" hidden="false" customHeight="false" outlineLevel="0" collapsed="false">
      <c r="A92" s="35" t="n">
        <v>6</v>
      </c>
      <c r="B92" s="36" t="n">
        <v>5.2</v>
      </c>
      <c r="C92" s="10" t="n">
        <v>28</v>
      </c>
      <c r="D92" s="12" t="n">
        <f aca="false">COUNTIFS($A$5:$A$115,A92,$E$5:$E$115,"&lt;"&amp;E92)+1</f>
        <v>8</v>
      </c>
      <c r="E92" s="37" t="n">
        <v>0.0111689814814815</v>
      </c>
      <c r="F92" s="37" t="n">
        <f aca="false">E92/B92</f>
        <v>0.00214788105413105</v>
      </c>
      <c r="G92" s="8" t="s">
        <v>4649</v>
      </c>
      <c r="H92" s="8" t="s">
        <v>4522</v>
      </c>
      <c r="I92" s="6"/>
      <c r="J92" s="12" t="n">
        <v>17</v>
      </c>
      <c r="K92" s="12" t="n">
        <v>323</v>
      </c>
      <c r="L92" s="9" t="n">
        <f aca="false">IF(INDEX(選手一覧!$D$5:$D$2736,$K92)="","",INDEX(選手一覧!$D$5:$D$2736,$K92))</f>
        <v>0.0104804398148148</v>
      </c>
      <c r="M92" s="10" t="n">
        <f aca="false">IF(INDEX(選手一覧!$E$5:$E$2736,$K92)="","",INDEX(選手一覧!$E$5:$E$2736,$K92))</f>
        <v>324</v>
      </c>
      <c r="N92" s="11" t="str">
        <f aca="false">IF(INDEX(選手一覧!$F$5:$F$2736,$K92)="","",INDEX(選手一覧!$F$5:$F$2736,$K92))</f>
        <v/>
      </c>
      <c r="O92" s="12" t="str">
        <f aca="false">IF(INDEX(選手一覧!$G$5:$G$2736,$K92)="","",INDEX(選手一覧!$G$5:$G$2736,$K92))</f>
        <v/>
      </c>
      <c r="P92" s="11" t="n">
        <f aca="false">IF(INDEX(選手一覧!$H$5:$H$2736,$K92)="","",INDEX(選手一覧!$H$5:$H$2736,$K92))</f>
        <v>0.00280532407407407</v>
      </c>
      <c r="Q92" s="12" t="n">
        <f aca="false">IF(INDEX(選手一覧!$I$5:$I$2736,$K92)="","",INDEX(選手一覧!$I$5:$I$2736,$K92))</f>
        <v>304</v>
      </c>
    </row>
    <row r="93" customFormat="false" ht="15" hidden="false" customHeight="false" outlineLevel="0" collapsed="false">
      <c r="A93" s="35" t="n">
        <v>6</v>
      </c>
      <c r="B93" s="36" t="n">
        <v>5.2</v>
      </c>
      <c r="C93" s="10" t="n">
        <v>32</v>
      </c>
      <c r="D93" s="12" t="n">
        <f aca="false">COUNTIFS($A$5:$A$115,A93,$E$5:$E$115,"&lt;"&amp;E93)+1</f>
        <v>9</v>
      </c>
      <c r="E93" s="37" t="n">
        <v>0.0112962962962963</v>
      </c>
      <c r="F93" s="37" t="n">
        <f aca="false">E93/B93</f>
        <v>0.00217236467236467</v>
      </c>
      <c r="G93" s="8" t="s">
        <v>4650</v>
      </c>
      <c r="H93" s="8" t="s">
        <v>4570</v>
      </c>
      <c r="I93" s="6"/>
      <c r="J93" s="12" t="n">
        <v>32</v>
      </c>
      <c r="K93" s="12" t="n">
        <v>1276</v>
      </c>
      <c r="L93" s="9" t="n">
        <f aca="false">IF(INDEX(選手一覧!$D$5:$D$2736,$K93)="","",INDEX(選手一覧!$D$5:$D$2736,$K93))</f>
        <v>0.0111061342592593</v>
      </c>
      <c r="M93" s="10" t="n">
        <f aca="false">IF(INDEX(選手一覧!$E$5:$E$2736,$K93)="","",INDEX(選手一覧!$E$5:$E$2736,$K93))</f>
        <v>1277</v>
      </c>
      <c r="N93" s="11" t="n">
        <f aca="false">IF(INDEX(選手一覧!$F$5:$F$2736,$K93)="","",INDEX(選手一覧!$F$5:$F$2736,$K93))</f>
        <v>0.00669803240740741</v>
      </c>
      <c r="O93" s="12" t="n">
        <f aca="false">IF(INDEX(選手一覧!$G$5:$G$2736,$K93)="","",INDEX(選手一覧!$G$5:$G$2736,$K93))</f>
        <v>106</v>
      </c>
      <c r="P93" s="11" t="str">
        <f aca="false">IF(INDEX(選手一覧!$H$5:$H$2736,$K93)="","",INDEX(選手一覧!$H$5:$H$2736,$K93))</f>
        <v/>
      </c>
      <c r="Q93" s="12" t="str">
        <f aca="false">IF(INDEX(選手一覧!$I$5:$I$2736,$K93)="","",INDEX(選手一覧!$I$5:$I$2736,$K93))</f>
        <v/>
      </c>
    </row>
    <row r="94" customFormat="false" ht="15" hidden="false" customHeight="false" outlineLevel="0" collapsed="false">
      <c r="A94" s="35" t="n">
        <v>6</v>
      </c>
      <c r="B94" s="36" t="n">
        <v>5.2</v>
      </c>
      <c r="C94" s="10" t="n">
        <v>33</v>
      </c>
      <c r="D94" s="12" t="n">
        <f aca="false">COUNTIFS($A$5:$A$115,A94,$E$5:$E$115,"&lt;"&amp;E94)+1</f>
        <v>10</v>
      </c>
      <c r="E94" s="37" t="n">
        <v>0.0113425925925926</v>
      </c>
      <c r="F94" s="37" t="n">
        <f aca="false">E94/B94</f>
        <v>0.00218126780626781</v>
      </c>
      <c r="G94" s="8" t="s">
        <v>4651</v>
      </c>
      <c r="H94" s="8" t="s">
        <v>4614</v>
      </c>
      <c r="I94" s="6"/>
      <c r="J94" s="12" t="n">
        <v>27</v>
      </c>
      <c r="K94" s="12" t="n">
        <v>1156</v>
      </c>
      <c r="L94" s="9" t="n">
        <f aca="false">IF(INDEX(選手一覧!$D$5:$D$2736,$K94)="","",INDEX(選手一覧!$D$5:$D$2736,$K94))</f>
        <v>0.0110321759259259</v>
      </c>
      <c r="M94" s="10" t="n">
        <f aca="false">IF(INDEX(選手一覧!$E$5:$E$2736,$K94)="","",INDEX(選手一覧!$E$5:$E$2736,$K94))</f>
        <v>1157</v>
      </c>
      <c r="N94" s="11" t="n">
        <f aca="false">IF(INDEX(選手一覧!$F$5:$F$2736,$K94)="","",INDEX(選手一覧!$F$5:$F$2736,$K94))</f>
        <v>0.00668368055555556</v>
      </c>
      <c r="O94" s="12" t="n">
        <f aca="false">IF(INDEX(選手一覧!$G$5:$G$2736,$K94)="","",INDEX(選手一覧!$G$5:$G$2736,$K94))</f>
        <v>100</v>
      </c>
      <c r="P94" s="11" t="str">
        <f aca="false">IF(INDEX(選手一覧!$H$5:$H$2736,$K94)="","",INDEX(選手一覧!$H$5:$H$2736,$K94))</f>
        <v/>
      </c>
      <c r="Q94" s="12" t="str">
        <f aca="false">IF(INDEX(選手一覧!$I$5:$I$2736,$K94)="","",INDEX(選手一覧!$I$5:$I$2736,$K94))</f>
        <v/>
      </c>
    </row>
    <row r="95" customFormat="false" ht="15" hidden="false" customHeight="false" outlineLevel="0" collapsed="false">
      <c r="A95" s="35" t="n">
        <v>6</v>
      </c>
      <c r="B95" s="36" t="n">
        <v>5.2</v>
      </c>
      <c r="C95" s="10" t="n">
        <v>46</v>
      </c>
      <c r="D95" s="12" t="n">
        <f aca="false">COUNTIFS($A$5:$A$115,A95,$E$5:$E$115,"&lt;"&amp;E95)+1</f>
        <v>11</v>
      </c>
      <c r="E95" s="37" t="n">
        <v>0.0118171296296296</v>
      </c>
      <c r="F95" s="37" t="n">
        <f aca="false">E95/B95</f>
        <v>0.00227252492877493</v>
      </c>
      <c r="G95" s="8" t="s">
        <v>4652</v>
      </c>
      <c r="H95" s="8" t="s">
        <v>4621</v>
      </c>
      <c r="I95" s="6"/>
      <c r="J95" s="12" t="n">
        <v>35</v>
      </c>
      <c r="K95" s="12" t="n">
        <v>2609</v>
      </c>
      <c r="L95" s="9" t="str">
        <f aca="false">IF(INDEX(選手一覧!$D$5:$D$2736,$K95)="","",INDEX(選手一覧!$D$5:$D$2736,$K95))</f>
        <v/>
      </c>
      <c r="M95" s="10" t="str">
        <f aca="false">IF(INDEX(選手一覧!$E$5:$E$2736,$K95)="","",INDEX(選手一覧!$E$5:$E$2736,$K95))</f>
        <v/>
      </c>
      <c r="N95" s="11" t="str">
        <f aca="false">IF(INDEX(選手一覧!$F$5:$F$2736,$K95)="","",INDEX(選手一覧!$F$5:$F$2736,$K95))</f>
        <v/>
      </c>
      <c r="O95" s="12" t="str">
        <f aca="false">IF(INDEX(選手一覧!$G$5:$G$2736,$K95)="","",INDEX(選手一覧!$G$5:$G$2736,$K95))</f>
        <v/>
      </c>
      <c r="P95" s="11" t="n">
        <f aca="false">IF(INDEX(選手一覧!$H$5:$H$2736,$K95)="","",INDEX(選手一覧!$H$5:$H$2736,$K95))</f>
        <v>0.00296388888888889</v>
      </c>
      <c r="Q95" s="12" t="n">
        <f aca="false">IF(INDEX(選手一覧!$I$5:$I$2736,$K95)="","",INDEX(選手一覧!$I$5:$I$2736,$K95))</f>
        <v>1287</v>
      </c>
    </row>
    <row r="96" customFormat="false" ht="15" hidden="false" customHeight="false" outlineLevel="0" collapsed="false">
      <c r="A96" s="35" t="n">
        <v>6</v>
      </c>
      <c r="B96" s="36" t="n">
        <v>5.2</v>
      </c>
      <c r="C96" s="10" t="n">
        <v>48</v>
      </c>
      <c r="D96" s="12" t="n">
        <f aca="false">COUNTIFS($A$5:$A$115,A96,$E$5:$E$115,"&lt;"&amp;E96)+1</f>
        <v>12</v>
      </c>
      <c r="E96" s="37" t="n">
        <v>0.012037037037037</v>
      </c>
      <c r="F96" s="37" t="n">
        <f aca="false">E96/B96</f>
        <v>0.00231481481481482</v>
      </c>
      <c r="G96" s="8" t="s">
        <v>4653</v>
      </c>
      <c r="H96" s="8" t="s">
        <v>4544</v>
      </c>
      <c r="I96" s="6"/>
      <c r="J96" s="12" t="n">
        <v>43</v>
      </c>
      <c r="K96" s="12" t="n">
        <v>671</v>
      </c>
      <c r="L96" s="9" t="n">
        <f aca="false">IF(INDEX(選手一覧!$D$5:$D$2736,$K96)="","",INDEX(選手一覧!$D$5:$D$2736,$K96))</f>
        <v>0.010753125</v>
      </c>
      <c r="M96" s="10" t="n">
        <f aca="false">IF(INDEX(選手一覧!$E$5:$E$2736,$K96)="","",INDEX(選手一覧!$E$5:$E$2736,$K96))</f>
        <v>672</v>
      </c>
      <c r="N96" s="11" t="n">
        <f aca="false">IF(INDEX(選手一覧!$F$5:$F$2736,$K96)="","",INDEX(選手一覧!$F$5:$F$2736,$K96))</f>
        <v>0.00746712962962963</v>
      </c>
      <c r="O96" s="12" t="n">
        <f aca="false">IF(INDEX(選手一覧!$G$5:$G$2736,$K96)="","",INDEX(選手一覧!$G$5:$G$2736,$K96))</f>
        <v>857</v>
      </c>
      <c r="P96" s="11" t="n">
        <f aca="false">IF(INDEX(選手一覧!$H$5:$H$2736,$K96)="","",INDEX(選手一覧!$H$5:$H$2736,$K96))</f>
        <v>0.00291041666666667</v>
      </c>
      <c r="Q96" s="12" t="n">
        <f aca="false">IF(INDEX(選手一覧!$I$5:$I$2736,$K96)="","",INDEX(選手一覧!$I$5:$I$2736,$K96))</f>
        <v>1024</v>
      </c>
    </row>
    <row r="97" customFormat="false" ht="15" hidden="false" customHeight="false" outlineLevel="0" collapsed="false">
      <c r="A97" s="35" t="n">
        <v>6</v>
      </c>
      <c r="B97" s="36" t="n">
        <v>5.2</v>
      </c>
      <c r="C97" s="10" t="n">
        <v>51</v>
      </c>
      <c r="D97" s="12" t="n">
        <f aca="false">COUNTIFS($A$5:$A$115,A97,$E$5:$E$115,"&lt;"&amp;E97)+1</f>
        <v>13</v>
      </c>
      <c r="E97" s="37" t="n">
        <v>0.0124305555555556</v>
      </c>
      <c r="F97" s="37" t="n">
        <f aca="false">E97/B97</f>
        <v>0.00239049145299145</v>
      </c>
      <c r="G97" s="8" t="s">
        <v>4654</v>
      </c>
      <c r="H97" s="8" t="s">
        <v>4546</v>
      </c>
      <c r="I97" s="6"/>
      <c r="J97" s="12" t="n">
        <v>52</v>
      </c>
      <c r="K97" s="12" t="n">
        <v>1703</v>
      </c>
      <c r="L97" s="9" t="str">
        <f aca="false">IF(INDEX(選手一覧!$D$5:$D$2736,$K97)="","",INDEX(選手一覧!$D$5:$D$2736,$K97))</f>
        <v/>
      </c>
      <c r="M97" s="10" t="str">
        <f aca="false">IF(INDEX(選手一覧!$E$5:$E$2736,$K97)="","",INDEX(選手一覧!$E$5:$E$2736,$K97))</f>
        <v/>
      </c>
      <c r="N97" s="11" t="n">
        <f aca="false">IF(INDEX(選手一覧!$F$5:$F$2736,$K97)="","",INDEX(選手一覧!$F$5:$F$2736,$K97))</f>
        <v>0.00726076388888889</v>
      </c>
      <c r="O97" s="12" t="n">
        <f aca="false">IF(INDEX(選手一覧!$G$5:$G$2736,$K97)="","",INDEX(選手一覧!$G$5:$G$2736,$K97))</f>
        <v>607</v>
      </c>
      <c r="P97" s="11" t="str">
        <f aca="false">IF(INDEX(選手一覧!$H$5:$H$2736,$K97)="","",INDEX(選手一覧!$H$5:$H$2736,$K97))</f>
        <v/>
      </c>
      <c r="Q97" s="12" t="str">
        <f aca="false">IF(INDEX(選手一覧!$I$5:$I$2736,$K97)="","",INDEX(選手一覧!$I$5:$I$2736,$K97))</f>
        <v/>
      </c>
    </row>
    <row r="98" customFormat="false" ht="15" hidden="false" customHeight="false" outlineLevel="0" collapsed="false">
      <c r="A98" s="25" t="n">
        <v>7</v>
      </c>
      <c r="B98" s="26" t="n">
        <v>4.845</v>
      </c>
      <c r="C98" s="10" t="n">
        <v>1</v>
      </c>
      <c r="D98" s="27" t="n">
        <f aca="false">COUNTIFS($A$5:$A$115,A98,$E$5:$E$115,"&lt;"&amp;E98)+1</f>
        <v>1</v>
      </c>
      <c r="E98" s="28" t="n">
        <v>0.00954861111111111</v>
      </c>
      <c r="F98" s="28" t="n">
        <f aca="false">E98/B98</f>
        <v>0.0019708175667928</v>
      </c>
      <c r="G98" s="29" t="s">
        <v>4655</v>
      </c>
      <c r="H98" s="29" t="s">
        <v>4548</v>
      </c>
      <c r="I98" s="30"/>
      <c r="J98" s="27" t="n">
        <v>1</v>
      </c>
      <c r="K98" s="27" t="n">
        <v>12</v>
      </c>
      <c r="L98" s="9" t="n">
        <f aca="false">IF(INDEX(選手一覧!$D$5:$D$2736,$K98)="","",INDEX(選手一覧!$D$5:$D$2736,$K98))</f>
        <v>0.00987303240740741</v>
      </c>
      <c r="M98" s="10" t="n">
        <f aca="false">IF(INDEX(選手一覧!$E$5:$E$2736,$K98)="","",INDEX(選手一覧!$E$5:$E$2736,$K98))</f>
        <v>12</v>
      </c>
      <c r="N98" s="11" t="str">
        <f aca="false">IF(INDEX(選手一覧!$F$5:$F$2736,$K98)="","",INDEX(選手一覧!$F$5:$F$2736,$K98))</f>
        <v/>
      </c>
      <c r="O98" s="12" t="str">
        <f aca="false">IF(INDEX(選手一覧!$G$5:$G$2736,$K98)="","",INDEX(選手一覧!$G$5:$G$2736,$K98))</f>
        <v/>
      </c>
      <c r="P98" s="11" t="n">
        <f aca="false">IF(INDEX(選手一覧!$H$5:$H$2736,$K98)="","",INDEX(選手一覧!$H$5:$H$2736,$K98))</f>
        <v>0.00267592592592593</v>
      </c>
      <c r="Q98" s="12" t="n">
        <f aca="false">IF(INDEX(選手一覧!$I$5:$I$2736,$K98)="","",INDEX(選手一覧!$I$5:$I$2736,$K98))</f>
        <v>8</v>
      </c>
    </row>
    <row r="99" customFormat="false" ht="15" hidden="false" customHeight="false" outlineLevel="0" collapsed="false">
      <c r="A99" s="25" t="n">
        <v>7</v>
      </c>
      <c r="B99" s="26" t="n">
        <v>4.845</v>
      </c>
      <c r="C99" s="10" t="n">
        <v>2</v>
      </c>
      <c r="D99" s="27" t="n">
        <f aca="false">COUNTIFS($A$5:$A$115,A99,$E$5:$E$115,"&lt;"&amp;E99)+1</f>
        <v>2</v>
      </c>
      <c r="E99" s="28" t="n">
        <v>0.00962962962962963</v>
      </c>
      <c r="F99" s="28" t="n">
        <f aca="false">E99/B99</f>
        <v>0.00198753965523831</v>
      </c>
      <c r="G99" s="29" t="s">
        <v>4656</v>
      </c>
      <c r="H99" s="29" t="s">
        <v>4557</v>
      </c>
      <c r="I99" s="30"/>
      <c r="J99" s="27" t="n">
        <v>2</v>
      </c>
      <c r="K99" s="27" t="n">
        <v>116</v>
      </c>
      <c r="L99" s="9" t="n">
        <f aca="false">IF(INDEX(選手一覧!$D$5:$D$2736,$K99)="","",INDEX(選手一覧!$D$5:$D$2736,$K99))</f>
        <v>0.0102376157407407</v>
      </c>
      <c r="M99" s="10" t="n">
        <f aca="false">IF(INDEX(選手一覧!$E$5:$E$2736,$K99)="","",INDEX(選手一覧!$E$5:$E$2736,$K99))</f>
        <v>117</v>
      </c>
      <c r="N99" s="11" t="str">
        <f aca="false">IF(INDEX(選手一覧!$F$5:$F$2736,$K99)="","",INDEX(選手一覧!$F$5:$F$2736,$K99))</f>
        <v/>
      </c>
      <c r="O99" s="12" t="str">
        <f aca="false">IF(INDEX(選手一覧!$G$5:$G$2736,$K99)="","",INDEX(選手一覧!$G$5:$G$2736,$K99))</f>
        <v/>
      </c>
      <c r="P99" s="11" t="n">
        <f aca="false">IF(INDEX(選手一覧!$H$5:$H$2736,$K99)="","",INDEX(選手一覧!$H$5:$H$2736,$K99))</f>
        <v>0.00285590277777778</v>
      </c>
      <c r="Q99" s="12" t="n">
        <f aca="false">IF(INDEX(選手一覧!$I$5:$I$2736,$K99)="","",INDEX(選手一覧!$I$5:$I$2736,$K99))</f>
        <v>605</v>
      </c>
    </row>
    <row r="100" customFormat="false" ht="15" hidden="false" customHeight="false" outlineLevel="0" collapsed="false">
      <c r="A100" s="25" t="n">
        <v>7</v>
      </c>
      <c r="B100" s="26" t="n">
        <v>4.845</v>
      </c>
      <c r="C100" s="10" t="n">
        <v>5</v>
      </c>
      <c r="D100" s="27" t="n">
        <f aca="false">COUNTIFS($A$5:$A$115,A100,$E$5:$E$115,"&lt;"&amp;E100)+1</f>
        <v>3</v>
      </c>
      <c r="E100" s="28" t="n">
        <v>0.00969907407407407</v>
      </c>
      <c r="F100" s="28" t="n">
        <f aca="false">E100/B100</f>
        <v>0.0020018728739059</v>
      </c>
      <c r="G100" s="29" t="s">
        <v>4657</v>
      </c>
      <c r="H100" s="29" t="s">
        <v>4566</v>
      </c>
      <c r="I100" s="30"/>
      <c r="J100" s="27" t="n">
        <v>19</v>
      </c>
      <c r="K100" s="27" t="n">
        <v>122</v>
      </c>
      <c r="L100" s="9" t="n">
        <f aca="false">IF(INDEX(選手一覧!$D$5:$D$2736,$K100)="","",INDEX(選手一覧!$D$5:$D$2736,$K100))</f>
        <v>0.0102435185185185</v>
      </c>
      <c r="M100" s="10" t="n">
        <f aca="false">IF(INDEX(選手一覧!$E$5:$E$2736,$K100)="","",INDEX(選手一覧!$E$5:$E$2736,$K100))</f>
        <v>123</v>
      </c>
      <c r="N100" s="11" t="str">
        <f aca="false">IF(INDEX(選手一覧!$F$5:$F$2736,$K100)="","",INDEX(選手一覧!$F$5:$F$2736,$K100))</f>
        <v/>
      </c>
      <c r="O100" s="12" t="str">
        <f aca="false">IF(INDEX(選手一覧!$G$5:$G$2736,$K100)="","",INDEX(選手一覧!$G$5:$G$2736,$K100))</f>
        <v/>
      </c>
      <c r="P100" s="11" t="n">
        <f aca="false">IF(INDEX(選手一覧!$H$5:$H$2736,$K100)="","",INDEX(選手一覧!$H$5:$H$2736,$K100))</f>
        <v>0.00274872685185185</v>
      </c>
      <c r="Q100" s="12" t="n">
        <f aca="false">IF(INDEX(選手一覧!$I$5:$I$2736,$K100)="","",INDEX(選手一覧!$I$5:$I$2736,$K100))</f>
        <v>99</v>
      </c>
    </row>
    <row r="101" customFormat="false" ht="15" hidden="false" customHeight="false" outlineLevel="0" collapsed="false">
      <c r="A101" s="25" t="n">
        <v>7</v>
      </c>
      <c r="B101" s="26" t="n">
        <v>4.845</v>
      </c>
      <c r="C101" s="10" t="n">
        <v>7</v>
      </c>
      <c r="D101" s="27" t="n">
        <f aca="false">COUNTIFS($A$5:$A$115,A101,$E$5:$E$115,"&lt;"&amp;E101)+1</f>
        <v>4</v>
      </c>
      <c r="E101" s="28" t="n">
        <v>0.00976851851851852</v>
      </c>
      <c r="F101" s="28" t="n">
        <f aca="false">E101/B101</f>
        <v>0.00201620609257348</v>
      </c>
      <c r="G101" s="29" t="s">
        <v>4658</v>
      </c>
      <c r="H101" s="29" t="s">
        <v>4644</v>
      </c>
      <c r="I101" s="30"/>
      <c r="J101" s="27" t="n">
        <v>5</v>
      </c>
      <c r="K101" s="27" t="n">
        <v>528</v>
      </c>
      <c r="L101" s="9" t="n">
        <f aca="false">IF(INDEX(選手一覧!$D$5:$D$2736,$K101)="","",INDEX(選手一覧!$D$5:$D$2736,$K101))</f>
        <v>0.0106528935185185</v>
      </c>
      <c r="M101" s="10" t="n">
        <f aca="false">IF(INDEX(選手一覧!$E$5:$E$2736,$K101)="","",INDEX(選手一覧!$E$5:$E$2736,$K101))</f>
        <v>529</v>
      </c>
      <c r="N101" s="11" t="str">
        <f aca="false">IF(INDEX(選手一覧!$F$5:$F$2736,$K101)="","",INDEX(選手一覧!$F$5:$F$2736,$K101))</f>
        <v/>
      </c>
      <c r="O101" s="12" t="str">
        <f aca="false">IF(INDEX(選手一覧!$G$5:$G$2736,$K101)="","",INDEX(選手一覧!$G$5:$G$2736,$K101))</f>
        <v/>
      </c>
      <c r="P101" s="11" t="n">
        <f aca="false">IF(INDEX(選手一覧!$H$5:$H$2736,$K101)="","",INDEX(選手一覧!$H$5:$H$2736,$K101))</f>
        <v>0.00286041666666667</v>
      </c>
      <c r="Q101" s="12" t="n">
        <f aca="false">IF(INDEX(選手一覧!$I$5:$I$2736,$K101)="","",INDEX(選手一覧!$I$5:$I$2736,$K101))</f>
        <v>637</v>
      </c>
    </row>
    <row r="102" customFormat="false" ht="15" hidden="false" customHeight="false" outlineLevel="0" collapsed="false">
      <c r="A102" s="25" t="n">
        <v>7</v>
      </c>
      <c r="B102" s="26" t="n">
        <v>4.845</v>
      </c>
      <c r="C102" s="10" t="n">
        <v>7</v>
      </c>
      <c r="D102" s="27" t="n">
        <f aca="false">COUNTIFS($A$5:$A$115,A102,$E$5:$E$115,"&lt;"&amp;E102)+1</f>
        <v>4</v>
      </c>
      <c r="E102" s="28" t="n">
        <v>0.00976851851851852</v>
      </c>
      <c r="F102" s="28" t="n">
        <f aca="false">E102/B102</f>
        <v>0.00201620609257348</v>
      </c>
      <c r="G102" s="29" t="s">
        <v>4659</v>
      </c>
      <c r="H102" s="29" t="s">
        <v>4642</v>
      </c>
      <c r="I102" s="30"/>
      <c r="J102" s="27" t="n">
        <v>9</v>
      </c>
      <c r="K102" s="27" t="n">
        <v>424</v>
      </c>
      <c r="L102" s="9" t="n">
        <f aca="false">IF(INDEX(選手一覧!$D$5:$D$2736,$K102)="","",INDEX(選手一覧!$D$5:$D$2736,$K102))</f>
        <v>0.0105715277777778</v>
      </c>
      <c r="M102" s="10" t="n">
        <f aca="false">IF(INDEX(選手一覧!$E$5:$E$2736,$K102)="","",INDEX(選手一覧!$E$5:$E$2736,$K102))</f>
        <v>425</v>
      </c>
      <c r="N102" s="11" t="n">
        <f aca="false">IF(INDEX(選手一覧!$F$5:$F$2736,$K102)="","",INDEX(選手一覧!$F$5:$F$2736,$K102))</f>
        <v>0.00665925925925926</v>
      </c>
      <c r="O102" s="12" t="n">
        <f aca="false">IF(INDEX(選手一覧!$G$5:$G$2736,$K102)="","",INDEX(選手一覧!$G$5:$G$2736,$K102))</f>
        <v>87</v>
      </c>
      <c r="P102" s="11" t="str">
        <f aca="false">IF(INDEX(選手一覧!$H$5:$H$2736,$K102)="","",INDEX(選手一覧!$H$5:$H$2736,$K102))</f>
        <v/>
      </c>
      <c r="Q102" s="12" t="str">
        <f aca="false">IF(INDEX(選手一覧!$I$5:$I$2736,$K102)="","",INDEX(選手一覧!$I$5:$I$2736,$K102))</f>
        <v/>
      </c>
    </row>
    <row r="103" customFormat="false" ht="15" hidden="false" customHeight="false" outlineLevel="0" collapsed="false">
      <c r="A103" s="25" t="n">
        <v>7</v>
      </c>
      <c r="B103" s="26" t="n">
        <v>4.845</v>
      </c>
      <c r="C103" s="10" t="n">
        <v>9</v>
      </c>
      <c r="D103" s="27" t="n">
        <f aca="false">COUNTIFS($A$5:$A$115,A103,$E$5:$E$115,"&lt;"&amp;E103)+1</f>
        <v>6</v>
      </c>
      <c r="E103" s="28" t="n">
        <v>0.00980324074074074</v>
      </c>
      <c r="F103" s="28" t="n">
        <f aca="false">E103/B103</f>
        <v>0.00202337270190727</v>
      </c>
      <c r="G103" s="29" t="s">
        <v>4660</v>
      </c>
      <c r="H103" s="29" t="s">
        <v>4526</v>
      </c>
      <c r="I103" s="30"/>
      <c r="J103" s="27" t="n">
        <v>12</v>
      </c>
      <c r="K103" s="27" t="n">
        <v>71</v>
      </c>
      <c r="L103" s="9" t="n">
        <f aca="false">IF(INDEX(選手一覧!$D$5:$D$2736,$K103)="","",INDEX(選手一覧!$D$5:$D$2736,$K103))</f>
        <v>0.0101538194444444</v>
      </c>
      <c r="M103" s="10" t="n">
        <f aca="false">IF(INDEX(選手一覧!$E$5:$E$2736,$K103)="","",INDEX(選手一覧!$E$5:$E$2736,$K103))</f>
        <v>72</v>
      </c>
      <c r="N103" s="11" t="str">
        <f aca="false">IF(INDEX(選手一覧!$F$5:$F$2736,$K103)="","",INDEX(選手一覧!$F$5:$F$2736,$K103))</f>
        <v/>
      </c>
      <c r="O103" s="12" t="str">
        <f aca="false">IF(INDEX(選手一覧!$G$5:$G$2736,$K103)="","",INDEX(選手一覧!$G$5:$G$2736,$K103))</f>
        <v/>
      </c>
      <c r="P103" s="11" t="n">
        <f aca="false">IF(INDEX(選手一覧!$H$5:$H$2736,$K103)="","",INDEX(選手一覧!$H$5:$H$2736,$K103))</f>
        <v>0.00274097222222222</v>
      </c>
      <c r="Q103" s="12" t="n">
        <f aca="false">IF(INDEX(選手一覧!$I$5:$I$2736,$K103)="","",INDEX(選手一覧!$I$5:$I$2736,$K103))</f>
        <v>86</v>
      </c>
    </row>
    <row r="104" customFormat="false" ht="15" hidden="false" customHeight="false" outlineLevel="0" collapsed="false">
      <c r="A104" s="25" t="n">
        <v>7</v>
      </c>
      <c r="B104" s="26" t="n">
        <v>4.845</v>
      </c>
      <c r="C104" s="10" t="n">
        <v>10</v>
      </c>
      <c r="D104" s="27" t="n">
        <f aca="false">COUNTIFS($A$5:$A$115,A104,$E$5:$E$115,"&lt;"&amp;E104)+1</f>
        <v>7</v>
      </c>
      <c r="E104" s="28" t="n">
        <v>0.00983796296296296</v>
      </c>
      <c r="F104" s="28" t="n">
        <f aca="false">E104/B104</f>
        <v>0.00203053931124107</v>
      </c>
      <c r="G104" s="29" t="s">
        <v>4661</v>
      </c>
      <c r="H104" s="29" t="s">
        <v>4522</v>
      </c>
      <c r="I104" s="30"/>
      <c r="J104" s="27" t="n">
        <v>17</v>
      </c>
      <c r="K104" s="27" t="n">
        <v>80</v>
      </c>
      <c r="L104" s="9" t="n">
        <f aca="false">IF(INDEX(選手一覧!$D$5:$D$2736,$K104)="","",INDEX(選手一覧!$D$5:$D$2736,$K104))</f>
        <v>0.0101733796296296</v>
      </c>
      <c r="M104" s="10" t="n">
        <f aca="false">IF(INDEX(選手一覧!$E$5:$E$2736,$K104)="","",INDEX(選手一覧!$E$5:$E$2736,$K104))</f>
        <v>81</v>
      </c>
      <c r="N104" s="11" t="str">
        <f aca="false">IF(INDEX(選手一覧!$F$5:$F$2736,$K104)="","",INDEX(選手一覧!$F$5:$F$2736,$K104))</f>
        <v/>
      </c>
      <c r="O104" s="12" t="str">
        <f aca="false">IF(INDEX(選手一覧!$G$5:$G$2736,$K104)="","",INDEX(選手一覧!$G$5:$G$2736,$K104))</f>
        <v/>
      </c>
      <c r="P104" s="11" t="n">
        <f aca="false">IF(INDEX(選手一覧!$H$5:$H$2736,$K104)="","",INDEX(選手一覧!$H$5:$H$2736,$K104))</f>
        <v>0.00274398148148148</v>
      </c>
      <c r="Q104" s="12" t="n">
        <f aca="false">IF(INDEX(選手一覧!$I$5:$I$2736,$K104)="","",INDEX(選手一覧!$I$5:$I$2736,$K104))</f>
        <v>87</v>
      </c>
    </row>
    <row r="105" customFormat="false" ht="15" hidden="false" customHeight="false" outlineLevel="0" collapsed="false">
      <c r="A105" s="25" t="n">
        <v>7</v>
      </c>
      <c r="B105" s="26" t="n">
        <v>4.845</v>
      </c>
      <c r="C105" s="10" t="n">
        <v>13</v>
      </c>
      <c r="D105" s="27" t="n">
        <f aca="false">COUNTIFS($A$5:$A$115,A105,$E$5:$E$115,"&lt;"&amp;E105)+1</f>
        <v>8</v>
      </c>
      <c r="E105" s="28" t="n">
        <v>0.00987268518518519</v>
      </c>
      <c r="F105" s="28" t="n">
        <f aca="false">E105/B105</f>
        <v>0.00203770592057486</v>
      </c>
      <c r="G105" s="29" t="s">
        <v>4662</v>
      </c>
      <c r="H105" s="29" t="s">
        <v>4554</v>
      </c>
      <c r="I105" s="30"/>
      <c r="J105" s="27" t="n">
        <v>15</v>
      </c>
      <c r="K105" s="27" t="n">
        <v>169</v>
      </c>
      <c r="L105" s="9" t="n">
        <f aca="false">IF(INDEX(選手一覧!$D$5:$D$2736,$K105)="","",INDEX(選手一覧!$D$5:$D$2736,$K105))</f>
        <v>0.0103172453703704</v>
      </c>
      <c r="M105" s="10" t="n">
        <f aca="false">IF(INDEX(選手一覧!$E$5:$E$2736,$K105)="","",INDEX(選手一覧!$E$5:$E$2736,$K105))</f>
        <v>170</v>
      </c>
      <c r="N105" s="11" t="n">
        <f aca="false">IF(INDEX(選手一覧!$F$5:$F$2736,$K105)="","",INDEX(選手一覧!$F$5:$F$2736,$K105))</f>
        <v>0.00654826388888889</v>
      </c>
      <c r="O105" s="12" t="n">
        <f aca="false">IF(INDEX(選手一覧!$G$5:$G$2736,$K105)="","",INDEX(選手一覧!$G$5:$G$2736,$K105))</f>
        <v>45</v>
      </c>
      <c r="P105" s="11" t="n">
        <f aca="false">IF(INDEX(選手一覧!$H$5:$H$2736,$K105)="","",INDEX(選手一覧!$H$5:$H$2736,$K105))</f>
        <v>0.00278391203703704</v>
      </c>
      <c r="Q105" s="12" t="n">
        <f aca="false">IF(INDEX(選手一覧!$I$5:$I$2736,$K105)="","",INDEX(選手一覧!$I$5:$I$2736,$K105))</f>
        <v>216</v>
      </c>
    </row>
    <row r="106" customFormat="false" ht="15" hidden="false" customHeight="false" outlineLevel="0" collapsed="false">
      <c r="A106" s="25" t="n">
        <v>7</v>
      </c>
      <c r="B106" s="26" t="n">
        <v>4.845</v>
      </c>
      <c r="C106" s="10" t="n">
        <v>15</v>
      </c>
      <c r="D106" s="27" t="n">
        <f aca="false">COUNTIFS($A$5:$A$115,A106,$E$5:$E$115,"&lt;"&amp;E106)+1</f>
        <v>9</v>
      </c>
      <c r="E106" s="28" t="n">
        <v>0.00997685185185185</v>
      </c>
      <c r="F106" s="28" t="n">
        <f aca="false">E106/B106</f>
        <v>0.00205920574857623</v>
      </c>
      <c r="G106" s="29" t="s">
        <v>4663</v>
      </c>
      <c r="H106" s="29" t="s">
        <v>4664</v>
      </c>
      <c r="I106" s="30"/>
      <c r="J106" s="27" t="n">
        <v>23</v>
      </c>
      <c r="K106" s="27" t="n">
        <v>558</v>
      </c>
      <c r="L106" s="9" t="n">
        <f aca="false">IF(INDEX(選手一覧!$D$5:$D$2736,$K106)="","",INDEX(選手一覧!$D$5:$D$2736,$K106))</f>
        <v>0.0106834490740741</v>
      </c>
      <c r="M106" s="10" t="n">
        <f aca="false">IF(INDEX(選手一覧!$E$5:$E$2736,$K106)="","",INDEX(選手一覧!$E$5:$E$2736,$K106))</f>
        <v>559</v>
      </c>
      <c r="N106" s="11" t="str">
        <f aca="false">IF(INDEX(選手一覧!$F$5:$F$2736,$K106)="","",INDEX(選手一覧!$F$5:$F$2736,$K106))</f>
        <v/>
      </c>
      <c r="O106" s="12" t="str">
        <f aca="false">IF(INDEX(選手一覧!$G$5:$G$2736,$K106)="","",INDEX(選手一覧!$G$5:$G$2736,$K106))</f>
        <v/>
      </c>
      <c r="P106" s="11" t="n">
        <f aca="false">IF(INDEX(選手一覧!$H$5:$H$2736,$K106)="","",INDEX(選手一覧!$H$5:$H$2736,$K106))</f>
        <v>0.00283483796296296</v>
      </c>
      <c r="Q106" s="12" t="n">
        <f aca="false">IF(INDEX(選手一覧!$I$5:$I$2736,$K106)="","",INDEX(選手一覧!$I$5:$I$2736,$K106))</f>
        <v>459</v>
      </c>
    </row>
    <row r="107" customFormat="false" ht="15" hidden="false" customHeight="false" outlineLevel="0" collapsed="false">
      <c r="A107" s="25" t="n">
        <v>7</v>
      </c>
      <c r="B107" s="26" t="n">
        <v>4.845</v>
      </c>
      <c r="C107" s="10" t="n">
        <v>16</v>
      </c>
      <c r="D107" s="27" t="n">
        <f aca="false">COUNTIFS($A$5:$A$115,A107,$E$5:$E$115,"&lt;"&amp;E107)+1</f>
        <v>10</v>
      </c>
      <c r="E107" s="28" t="n">
        <v>0.00998842592592593</v>
      </c>
      <c r="F107" s="28" t="n">
        <f aca="false">E107/B107</f>
        <v>0.00206159461835416</v>
      </c>
      <c r="G107" s="29" t="s">
        <v>4665</v>
      </c>
      <c r="H107" s="29" t="s">
        <v>4561</v>
      </c>
      <c r="I107" s="30"/>
      <c r="J107" s="27" t="n">
        <v>7</v>
      </c>
      <c r="K107" s="27" t="n">
        <v>398</v>
      </c>
      <c r="L107" s="9" t="n">
        <f aca="false">IF(INDEX(選手一覧!$D$5:$D$2736,$K107)="","",INDEX(選手一覧!$D$5:$D$2736,$K107))</f>
        <v>0.0105503472222222</v>
      </c>
      <c r="M107" s="10" t="n">
        <f aca="false">IF(INDEX(選手一覧!$E$5:$E$2736,$K107)="","",INDEX(選手一覧!$E$5:$E$2736,$K107))</f>
        <v>399</v>
      </c>
      <c r="N107" s="11" t="n">
        <f aca="false">IF(INDEX(選手一覧!$F$5:$F$2736,$K107)="","",INDEX(選手一覧!$F$5:$F$2736,$K107))</f>
        <v>0.00646284722222222</v>
      </c>
      <c r="O107" s="12" t="n">
        <f aca="false">IF(INDEX(選手一覧!$G$5:$G$2736,$K107)="","",INDEX(選手一覧!$G$5:$G$2736,$K107))</f>
        <v>27</v>
      </c>
      <c r="P107" s="11" t="n">
        <f aca="false">IF(INDEX(選手一覧!$H$5:$H$2736,$K107)="","",INDEX(選手一覧!$H$5:$H$2736,$K107))</f>
        <v>0.00287256944444445</v>
      </c>
      <c r="Q107" s="12" t="n">
        <f aca="false">IF(INDEX(選手一覧!$I$5:$I$2736,$K107)="","",INDEX(選手一覧!$I$5:$I$2736,$K107))</f>
        <v>719</v>
      </c>
    </row>
    <row r="108" customFormat="false" ht="15" hidden="false" customHeight="false" outlineLevel="0" collapsed="false">
      <c r="A108" s="25" t="n">
        <v>7</v>
      </c>
      <c r="B108" s="26" t="n">
        <v>4.845</v>
      </c>
      <c r="C108" s="10" t="n">
        <v>21</v>
      </c>
      <c r="D108" s="27" t="n">
        <f aca="false">COUNTIFS($A$5:$A$115,A108,$E$5:$E$115,"&lt;"&amp;E108)+1</f>
        <v>11</v>
      </c>
      <c r="E108" s="28" t="n">
        <v>0.0101388888888889</v>
      </c>
      <c r="F108" s="28" t="n">
        <f aca="false">E108/B108</f>
        <v>0.00209264992546726</v>
      </c>
      <c r="G108" s="29" t="s">
        <v>4666</v>
      </c>
      <c r="H108" s="29" t="s">
        <v>4575</v>
      </c>
      <c r="I108" s="30"/>
      <c r="J108" s="27" t="n">
        <v>31</v>
      </c>
      <c r="K108" s="27" t="n">
        <v>535</v>
      </c>
      <c r="L108" s="9" t="n">
        <f aca="false">IF(INDEX(選手一覧!$D$5:$D$2736,$K108)="","",INDEX(選手一覧!$D$5:$D$2736,$K108))</f>
        <v>0.0106615740740741</v>
      </c>
      <c r="M108" s="10" t="n">
        <f aca="false">IF(INDEX(選手一覧!$E$5:$E$2736,$K108)="","",INDEX(選手一覧!$E$5:$E$2736,$K108))</f>
        <v>536</v>
      </c>
      <c r="N108" s="11" t="str">
        <f aca="false">IF(INDEX(選手一覧!$F$5:$F$2736,$K108)="","",INDEX(選手一覧!$F$5:$F$2736,$K108))</f>
        <v/>
      </c>
      <c r="O108" s="12" t="str">
        <f aca="false">IF(INDEX(選手一覧!$G$5:$G$2736,$K108)="","",INDEX(選手一覧!$G$5:$G$2736,$K108))</f>
        <v/>
      </c>
      <c r="P108" s="11" t="n">
        <f aca="false">IF(INDEX(選手一覧!$H$5:$H$2736,$K108)="","",INDEX(選手一覧!$H$5:$H$2736,$K108))</f>
        <v>0.00294699074074074</v>
      </c>
      <c r="Q108" s="12" t="n">
        <f aca="false">IF(INDEX(選手一覧!$I$5:$I$2736,$K108)="","",INDEX(選手一覧!$I$5:$I$2736,$K108))</f>
        <v>1223</v>
      </c>
    </row>
    <row r="109" customFormat="false" ht="15" hidden="false" customHeight="false" outlineLevel="0" collapsed="false">
      <c r="A109" s="25" t="n">
        <v>7</v>
      </c>
      <c r="B109" s="26" t="n">
        <v>4.845</v>
      </c>
      <c r="C109" s="10" t="n">
        <v>30</v>
      </c>
      <c r="D109" s="27" t="n">
        <f aca="false">COUNTIFS($A$5:$A$115,A109,$E$5:$E$115,"&lt;"&amp;E109)+1</f>
        <v>12</v>
      </c>
      <c r="E109" s="28" t="n">
        <v>0.0102083333333333</v>
      </c>
      <c r="F109" s="28" t="n">
        <f aca="false">E109/B109</f>
        <v>0.00210698314413485</v>
      </c>
      <c r="G109" s="29" t="s">
        <v>4667</v>
      </c>
      <c r="H109" s="29" t="s">
        <v>4668</v>
      </c>
      <c r="I109" s="30"/>
      <c r="J109" s="27" t="n">
        <v>44</v>
      </c>
      <c r="K109" s="27" t="n">
        <v>877</v>
      </c>
      <c r="L109" s="9" t="n">
        <f aca="false">IF(INDEX(選手一覧!$D$5:$D$2736,$K109)="","",INDEX(選手一覧!$D$5:$D$2736,$K109))</f>
        <v>0.0108737268518519</v>
      </c>
      <c r="M109" s="10" t="n">
        <f aca="false">IF(INDEX(選手一覧!$E$5:$E$2736,$K109)="","",INDEX(選手一覧!$E$5:$E$2736,$K109))</f>
        <v>878</v>
      </c>
      <c r="N109" s="11" t="str">
        <f aca="false">IF(INDEX(選手一覧!$F$5:$F$2736,$K109)="","",INDEX(選手一覧!$F$5:$F$2736,$K109))</f>
        <v/>
      </c>
      <c r="O109" s="12" t="str">
        <f aca="false">IF(INDEX(選手一覧!$G$5:$G$2736,$K109)="","",INDEX(選手一覧!$G$5:$G$2736,$K109))</f>
        <v/>
      </c>
      <c r="P109" s="11" t="n">
        <f aca="false">IF(INDEX(選手一覧!$H$5:$H$2736,$K109)="","",INDEX(選手一覧!$H$5:$H$2736,$K109))</f>
        <v>0.00273611111111111</v>
      </c>
      <c r="Q109" s="12" t="n">
        <f aca="false">IF(INDEX(選手一覧!$I$5:$I$2736,$K109)="","",INDEX(選手一覧!$I$5:$I$2736,$K109))</f>
        <v>76</v>
      </c>
    </row>
    <row r="110" customFormat="false" ht="15" hidden="false" customHeight="false" outlineLevel="0" collapsed="false">
      <c r="A110" s="25" t="n">
        <v>7</v>
      </c>
      <c r="B110" s="26" t="n">
        <v>4.845</v>
      </c>
      <c r="C110" s="10" t="n">
        <v>32</v>
      </c>
      <c r="D110" s="27" t="n">
        <f aca="false">COUNTIFS($A$5:$A$115,A110,$E$5:$E$115,"&lt;"&amp;E110)+1</f>
        <v>14</v>
      </c>
      <c r="E110" s="28" t="n">
        <v>0.0102430555555556</v>
      </c>
      <c r="F110" s="28" t="n">
        <f aca="false">E110/B110</f>
        <v>0.00211414975346864</v>
      </c>
      <c r="G110" s="29" t="s">
        <v>4669</v>
      </c>
      <c r="H110" s="29" t="s">
        <v>4532</v>
      </c>
      <c r="I110" s="30"/>
      <c r="J110" s="27" t="n">
        <v>20</v>
      </c>
      <c r="K110" s="27" t="n">
        <v>749</v>
      </c>
      <c r="L110" s="9" t="n">
        <f aca="false">IF(INDEX(選手一覧!$D$5:$D$2736,$K110)="","",INDEX(選手一覧!$D$5:$D$2736,$K110))</f>
        <v>0.0108045138888889</v>
      </c>
      <c r="M110" s="10" t="n">
        <f aca="false">IF(INDEX(選手一覧!$E$5:$E$2736,$K110)="","",INDEX(選手一覧!$E$5:$E$2736,$K110))</f>
        <v>750</v>
      </c>
      <c r="N110" s="11" t="str">
        <f aca="false">IF(INDEX(選手一覧!$F$5:$F$2736,$K110)="","",INDEX(選手一覧!$F$5:$F$2736,$K110))</f>
        <v/>
      </c>
      <c r="O110" s="12" t="str">
        <f aca="false">IF(INDEX(選手一覧!$G$5:$G$2736,$K110)="","",INDEX(選手一覧!$G$5:$G$2736,$K110))</f>
        <v/>
      </c>
      <c r="P110" s="11" t="n">
        <f aca="false">IF(INDEX(選手一覧!$H$5:$H$2736,$K110)="","",INDEX(選手一覧!$H$5:$H$2736,$K110))</f>
        <v>0.0028556712962963</v>
      </c>
      <c r="Q110" s="12" t="n">
        <f aca="false">IF(INDEX(選手一覧!$I$5:$I$2736,$K110)="","",INDEX(選手一覧!$I$5:$I$2736,$K110))</f>
        <v>602</v>
      </c>
    </row>
    <row r="111" customFormat="false" ht="15" hidden="false" customHeight="false" outlineLevel="0" collapsed="false">
      <c r="A111" s="25" t="n">
        <v>7</v>
      </c>
      <c r="B111" s="26" t="n">
        <v>4.845</v>
      </c>
      <c r="C111" s="10" t="n">
        <v>42</v>
      </c>
      <c r="D111" s="27" t="n">
        <f aca="false">COUNTIFS($A$5:$A$115,A111,$E$5:$E$115,"&lt;"&amp;E111)+1</f>
        <v>14</v>
      </c>
      <c r="E111" s="28" t="n">
        <v>0.0105902777777778</v>
      </c>
      <c r="F111" s="28" t="n">
        <f aca="false">E111/B111</f>
        <v>0.00218581584680656</v>
      </c>
      <c r="G111" s="29" t="s">
        <v>4670</v>
      </c>
      <c r="H111" s="29" t="s">
        <v>4524</v>
      </c>
      <c r="I111" s="30"/>
      <c r="J111" s="27" t="n">
        <v>26</v>
      </c>
      <c r="K111" s="27" t="n">
        <v>1338</v>
      </c>
      <c r="L111" s="9" t="str">
        <f aca="false">IF(INDEX(選手一覧!$D$5:$D$2736,$K111)="","",INDEX(選手一覧!$D$5:$D$2736,$K111))</f>
        <v/>
      </c>
      <c r="M111" s="10" t="str">
        <f aca="false">IF(INDEX(選手一覧!$E$5:$E$2736,$K111)="","",INDEX(選手一覧!$E$5:$E$2736,$K111))</f>
        <v/>
      </c>
      <c r="N111" s="11" t="n">
        <f aca="false">IF(INDEX(選手一覧!$F$5:$F$2736,$K111)="","",INDEX(選手一覧!$F$5:$F$2736,$K111))</f>
        <v>0.00681712962962963</v>
      </c>
      <c r="O111" s="12" t="n">
        <f aca="false">IF(INDEX(選手一覧!$G$5:$G$2736,$K111)="","",INDEX(選手一覧!$G$5:$G$2736,$K111))</f>
        <v>185</v>
      </c>
      <c r="P111" s="11" t="str">
        <f aca="false">IF(INDEX(選手一覧!$H$5:$H$2736,$K111)="","",INDEX(選手一覧!$H$5:$H$2736,$K111))</f>
        <v/>
      </c>
      <c r="Q111" s="12" t="str">
        <f aca="false">IF(INDEX(選手一覧!$I$5:$I$2736,$K111)="","",INDEX(選手一覧!$I$5:$I$2736,$K111))</f>
        <v/>
      </c>
    </row>
    <row r="112" customFormat="false" ht="15" hidden="false" customHeight="false" outlineLevel="0" collapsed="false">
      <c r="A112" s="25" t="n">
        <v>7</v>
      </c>
      <c r="B112" s="26" t="n">
        <v>4.845</v>
      </c>
      <c r="C112" s="10" t="n">
        <v>43</v>
      </c>
      <c r="D112" s="27" t="n">
        <f aca="false">COUNTIFS($A$5:$A$115,A112,$E$5:$E$115,"&lt;"&amp;E112)+1</f>
        <v>16</v>
      </c>
      <c r="E112" s="28" t="n">
        <v>0.0106018518518519</v>
      </c>
      <c r="F112" s="28" t="n">
        <f aca="false">E112/B112</f>
        <v>0.00218820471658449</v>
      </c>
      <c r="G112" s="29" t="s">
        <v>4671</v>
      </c>
      <c r="H112" s="29" t="s">
        <v>4601</v>
      </c>
      <c r="I112" s="30"/>
      <c r="J112" s="27" t="n">
        <v>49</v>
      </c>
      <c r="K112" s="27" t="n">
        <v>1768</v>
      </c>
      <c r="L112" s="9" t="str">
        <f aca="false">IF(INDEX(選手一覧!$D$5:$D$2736,$K112)="","",INDEX(選手一覧!$D$5:$D$2736,$K112))</f>
        <v/>
      </c>
      <c r="M112" s="10" t="str">
        <f aca="false">IF(INDEX(選手一覧!$E$5:$E$2736,$K112)="","",INDEX(選手一覧!$E$5:$E$2736,$K112))</f>
        <v/>
      </c>
      <c r="N112" s="11" t="n">
        <f aca="false">IF(INDEX(選手一覧!$F$5:$F$2736,$K112)="","",INDEX(選手一覧!$F$5:$F$2736,$K112))</f>
        <v>0.00731782407407407</v>
      </c>
      <c r="O112" s="12" t="n">
        <f aca="false">IF(INDEX(選手一覧!$G$5:$G$2736,$K112)="","",INDEX(選手一覧!$G$5:$G$2736,$K112))</f>
        <v>667</v>
      </c>
      <c r="P112" s="11" t="n">
        <f aca="false">IF(INDEX(選手一覧!$H$5:$H$2736,$K112)="","",INDEX(選手一覧!$H$5:$H$2736,$K112))</f>
        <v>0.0028869212962963</v>
      </c>
      <c r="Q112" s="12" t="n">
        <f aca="false">IF(INDEX(選手一覧!$I$5:$I$2736,$K112)="","",INDEX(選手一覧!$I$5:$I$2736,$K112))</f>
        <v>832</v>
      </c>
    </row>
    <row r="113" customFormat="false" ht="15" hidden="false" customHeight="false" outlineLevel="0" collapsed="false">
      <c r="A113" s="25" t="n">
        <v>7</v>
      </c>
      <c r="B113" s="26" t="n">
        <v>4.845</v>
      </c>
      <c r="C113" s="10" t="n">
        <v>49</v>
      </c>
      <c r="D113" s="27" t="n">
        <f aca="false">COUNTIFS($A$5:$A$115,A113,$E$5:$E$115,"&lt;"&amp;E113)+1</f>
        <v>17</v>
      </c>
      <c r="E113" s="28" t="n">
        <v>0.0108680555555556</v>
      </c>
      <c r="F113" s="28" t="n">
        <f aca="false">E113/B113</f>
        <v>0.0022431487214769</v>
      </c>
      <c r="G113" s="29" t="s">
        <v>4672</v>
      </c>
      <c r="H113" s="29" t="s">
        <v>4621</v>
      </c>
      <c r="I113" s="30"/>
      <c r="J113" s="27" t="n">
        <v>35</v>
      </c>
      <c r="K113" s="27" t="n">
        <v>2166</v>
      </c>
      <c r="L113" s="9" t="str">
        <f aca="false">IF(INDEX(選手一覧!$D$5:$D$2736,$K113)="","",INDEX(選手一覧!$D$5:$D$2736,$K113))</f>
        <v/>
      </c>
      <c r="M113" s="10" t="str">
        <f aca="false">IF(INDEX(選手一覧!$E$5:$E$2736,$K113)="","",INDEX(選手一覧!$E$5:$E$2736,$K113))</f>
        <v/>
      </c>
      <c r="N113" s="11" t="str">
        <f aca="false">IF(INDEX(選手一覧!$F$5:$F$2736,$K113)="","",INDEX(選手一覧!$F$5:$F$2736,$K113))</f>
        <v/>
      </c>
      <c r="O113" s="12" t="str">
        <f aca="false">IF(INDEX(選手一覧!$G$5:$G$2736,$K113)="","",INDEX(選手一覧!$G$5:$G$2736,$K113))</f>
        <v/>
      </c>
      <c r="P113" s="11" t="n">
        <f aca="false">IF(INDEX(選手一覧!$H$5:$H$2736,$K113)="","",INDEX(選手一覧!$H$5:$H$2736,$K113))</f>
        <v>0.00290335648148148</v>
      </c>
      <c r="Q113" s="12" t="n">
        <f aca="false">IF(INDEX(選手一覧!$I$5:$I$2736,$K113)="","",INDEX(選手一覧!$I$5:$I$2736,$K113))</f>
        <v>974</v>
      </c>
    </row>
    <row r="114" customFormat="false" ht="15" hidden="false" customHeight="false" outlineLevel="0" collapsed="false">
      <c r="A114" s="25" t="n">
        <v>7</v>
      </c>
      <c r="B114" s="26" t="n">
        <v>4.845</v>
      </c>
      <c r="C114" s="10" t="n">
        <v>50</v>
      </c>
      <c r="D114" s="27" t="n">
        <f aca="false">COUNTIFS($A$5:$A$115,A114,$E$5:$E$115,"&lt;"&amp;E114)+1</f>
        <v>17</v>
      </c>
      <c r="E114" s="28" t="n">
        <v>0.0108796296296296</v>
      </c>
      <c r="F114" s="28" t="n">
        <f aca="false">E114/B114</f>
        <v>0.00224553759125483</v>
      </c>
      <c r="G114" s="29" t="s">
        <v>4673</v>
      </c>
      <c r="H114" s="29" t="s">
        <v>4616</v>
      </c>
      <c r="I114" s="30"/>
      <c r="J114" s="27" t="n">
        <v>36</v>
      </c>
      <c r="K114" s="27" t="n">
        <v>1561</v>
      </c>
      <c r="L114" s="9" t="str">
        <f aca="false">IF(INDEX(選手一覧!$D$5:$D$2736,$K114)="","",INDEX(選手一覧!$D$5:$D$2736,$K114))</f>
        <v/>
      </c>
      <c r="M114" s="10" t="str">
        <f aca="false">IF(INDEX(選手一覧!$E$5:$E$2736,$K114)="","",INDEX(選手一覧!$E$5:$E$2736,$K114))</f>
        <v/>
      </c>
      <c r="N114" s="11" t="n">
        <f aca="false">IF(INDEX(選手一覧!$F$5:$F$2736,$K114)="","",INDEX(選手一覧!$F$5:$F$2736,$K114))</f>
        <v>0.00712511574074074</v>
      </c>
      <c r="O114" s="12" t="n">
        <f aca="false">IF(INDEX(選手一覧!$G$5:$G$2736,$K114)="","",INDEX(選手一覧!$G$5:$G$2736,$K114))</f>
        <v>470</v>
      </c>
      <c r="P114" s="11" t="str">
        <f aca="false">IF(INDEX(選手一覧!$H$5:$H$2736,$K114)="","",INDEX(選手一覧!$H$5:$H$2736,$K114))</f>
        <v/>
      </c>
      <c r="Q114" s="12" t="str">
        <f aca="false">IF(INDEX(選手一覧!$I$5:$I$2736,$K114)="","",INDEX(選手一覧!$I$5:$I$2736,$K114))</f>
        <v/>
      </c>
    </row>
    <row r="115" customFormat="false" ht="15" hidden="false" customHeight="false" outlineLevel="0" collapsed="false">
      <c r="A115" s="25" t="n">
        <v>7</v>
      </c>
      <c r="B115" s="26" t="n">
        <v>4.845</v>
      </c>
      <c r="C115" s="10" t="n">
        <v>51</v>
      </c>
      <c r="D115" s="27" t="n">
        <f aca="false">COUNTIFS($A$5:$A$115,A115,$E$5:$E$115,"&lt;"&amp;E115)+1</f>
        <v>18</v>
      </c>
      <c r="E115" s="28" t="n">
        <v>0.0110185185185185</v>
      </c>
      <c r="F115" s="28" t="n">
        <f aca="false">E115/B115</f>
        <v>0.00227420402858999</v>
      </c>
      <c r="G115" s="29" t="s">
        <v>4674</v>
      </c>
      <c r="H115" s="29" t="s">
        <v>4546</v>
      </c>
      <c r="I115" s="30"/>
      <c r="J115" s="27" t="n">
        <v>52</v>
      </c>
      <c r="K115" s="27" t="n">
        <v>2292</v>
      </c>
      <c r="L115" s="9" t="str">
        <f aca="false">IF(INDEX(選手一覧!$D$5:$D$2736,$K115)="","",INDEX(選手一覧!$D$5:$D$2736,$K115))</f>
        <v/>
      </c>
      <c r="M115" s="10" t="str">
        <f aca="false">IF(INDEX(選手一覧!$E$5:$E$2736,$K115)="","",INDEX(選手一覧!$E$5:$E$2736,$K115))</f>
        <v/>
      </c>
      <c r="N115" s="11" t="n">
        <f aca="false">IF(INDEX(選手一覧!$F$5:$F$2736,$K115)="","",INDEX(選手一覧!$F$5:$F$2736,$K115))</f>
        <v>0.0077005787037037</v>
      </c>
      <c r="O115" s="12" t="n">
        <f aca="false">IF(INDEX(選手一覧!$G$5:$G$2736,$K115)="","",INDEX(選手一覧!$G$5:$G$2736,$K115))</f>
        <v>1066</v>
      </c>
      <c r="P115" s="11" t="str">
        <f aca="false">IF(INDEX(選手一覧!$H$5:$H$2736,$K115)="","",INDEX(選手一覧!$H$5:$H$2736,$K115))</f>
        <v/>
      </c>
      <c r="Q115" s="12" t="str">
        <f aca="false">IF(INDEX(選手一覧!$I$5:$I$2736,$K115)="","",INDEX(選手一覧!$I$5:$I$2736,$K115))</f>
        <v/>
      </c>
    </row>
  </sheetData>
  <autoFilter ref="A4:Q115"/>
  <conditionalFormatting sqref="C5:C115">
    <cfRule type="expression" priority="2" aboveAverage="0" equalAverage="0" bottom="0" percent="0" rank="0" text="" dxfId="9">
      <formula>AND(ISNUMBER(C5),C5&lt;=3)</formula>
    </cfRule>
    <cfRule type="expression" priority="3" aboveAverage="0" equalAverage="0" bottom="0" percent="0" rank="0" text="" dxfId="10">
      <formula>AND(ISNUMBER(C5),C5&lt;=10)</formula>
    </cfRule>
    <cfRule type="expression" priority="4" aboveAverage="0" equalAverage="0" bottom="0" percent="0" rank="0" text="" dxfId="11">
      <formula>AND(ISNUMBER(C5),C5&lt;=30)</formula>
    </cfRule>
  </conditionalFormatting>
  <conditionalFormatting sqref="M5:M115">
    <cfRule type="expression" priority="5" aboveAverage="0" equalAverage="0" bottom="0" percent="0" rank="0" text="" dxfId="9">
      <formula>AND(ISNUMBER(M5),M5&lt;=10)</formula>
    </cfRule>
    <cfRule type="expression" priority="6" aboveAverage="0" equalAverage="0" bottom="0" percent="0" rank="0" text="" dxfId="10">
      <formula>AND(ISNUMBER(M5),M5&lt;=50)</formula>
    </cfRule>
    <cfRule type="expression" priority="7" aboveAverage="0" equalAverage="0" bottom="0" percent="0" rank="0" text="" dxfId="11">
      <formula>AND(ISNUMBER(M5),M5&lt;=100)</formula>
    </cfRule>
  </conditionalFormatting>
  <conditionalFormatting sqref="O5:O115">
    <cfRule type="expression" priority="8" aboveAverage="0" equalAverage="0" bottom="0" percent="0" rank="0" text="" dxfId="9">
      <formula>AND(ISNUMBER(O5),O5&lt;=10)</formula>
    </cfRule>
    <cfRule type="expression" priority="9" aboveAverage="0" equalAverage="0" bottom="0" percent="0" rank="0" text="" dxfId="10">
      <formula>AND(ISNUMBER(O5),O5&lt;=50)</formula>
    </cfRule>
    <cfRule type="expression" priority="10" aboveAverage="0" equalAverage="0" bottom="0" percent="0" rank="0" text="" dxfId="11">
      <formula>AND(ISNUMBER(O5),O5&lt;=100)</formula>
    </cfRule>
  </conditionalFormatting>
  <conditionalFormatting sqref="Q5:Q115">
    <cfRule type="expression" priority="11" aboveAverage="0" equalAverage="0" bottom="0" percent="0" rank="0" text="" dxfId="9">
      <formula>AND(ISNUMBER(Q5),Q5&lt;=10)</formula>
    </cfRule>
    <cfRule type="expression" priority="12" aboveAverage="0" equalAverage="0" bottom="0" percent="0" rank="0" text="" dxfId="10">
      <formula>AND(ISNUMBER(Q5),Q5&lt;=50)</formula>
    </cfRule>
    <cfRule type="expression" priority="13" aboveAverage="0" equalAverage="0" bottom="0" percent="0" rank="0" text="" dxfId="11">
      <formula>AND(ISNUMBER(Q5),Q5&lt;=100)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8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6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8"/>
  </cols>
  <sheetData>
    <row r="1" customFormat="false" ht="19.4" hidden="false" customHeight="false" outlineLevel="0" collapsed="false">
      <c r="A1" s="1" t="s">
        <v>4675</v>
      </c>
    </row>
    <row r="2" customFormat="false" ht="15" hidden="false" customHeight="false" outlineLevel="0" collapsed="false">
      <c r="A2" s="2" t="s">
        <v>4676</v>
      </c>
    </row>
    <row r="4" customFormat="false" ht="33.75" hidden="false" customHeight="true" outlineLevel="0" collapsed="false">
      <c r="A4" s="4" t="s">
        <v>4677</v>
      </c>
      <c r="B4" s="4" t="s">
        <v>3</v>
      </c>
      <c r="C4" s="4" t="s">
        <v>4</v>
      </c>
      <c r="D4" s="4" t="s">
        <v>4678</v>
      </c>
      <c r="E4" s="4" t="s">
        <v>4679</v>
      </c>
      <c r="F4" s="3" t="s">
        <v>2</v>
      </c>
      <c r="G4" s="3" t="s">
        <v>4680</v>
      </c>
      <c r="H4" s="3" t="s">
        <v>4681</v>
      </c>
      <c r="I4" s="3" t="s">
        <v>9</v>
      </c>
      <c r="J4" s="3" t="s">
        <v>10</v>
      </c>
    </row>
    <row r="5" customFormat="false" ht="15" hidden="false" customHeight="false" outlineLevel="0" collapsed="false">
      <c r="A5" s="12" t="n">
        <v>1</v>
      </c>
      <c r="B5" s="8" t="s">
        <v>217</v>
      </c>
      <c r="C5" s="8" t="s">
        <v>52</v>
      </c>
      <c r="D5" s="11" t="n">
        <v>0.00623865740740741</v>
      </c>
      <c r="E5" s="39" t="n">
        <f aca="false">ROUND((D5-$D$5)*86400,2)</f>
        <v>0</v>
      </c>
      <c r="F5" s="12" t="n">
        <v>103</v>
      </c>
      <c r="G5" s="11" t="n">
        <f aca="false">IF(INDEX(選手一覧!$D$5:$D$2736,$F5)="","",INDEX(選手一覧!$D$5:$D$2736,$F5))</f>
        <v>0.0102148148148148</v>
      </c>
      <c r="H5" s="12" t="n">
        <f aca="false">IF(INDEX(選手一覧!$E$5:$E$2736,$F5)="","",INDEX(選手一覧!$E$5:$E$2736,$F5))</f>
        <v>104</v>
      </c>
      <c r="I5" s="11" t="n">
        <f aca="false">IF(INDEX(選手一覧!$H$5:$H$2736,$F5)="","",INDEX(選手一覧!$H$5:$H$2736,$F5))</f>
        <v>0.00286273148148148</v>
      </c>
      <c r="J5" s="12" t="n">
        <f aca="false">IF(INDEX(選手一覧!$I$5:$I$2736,$F5)="","",INDEX(選手一覧!$I$5:$I$2736,$F5))</f>
        <v>654</v>
      </c>
    </row>
    <row r="6" customFormat="false" ht="15" hidden="false" customHeight="false" outlineLevel="0" collapsed="false">
      <c r="A6" s="21" t="n">
        <v>2</v>
      </c>
      <c r="B6" s="17" t="s">
        <v>27</v>
      </c>
      <c r="C6" s="17" t="s">
        <v>28</v>
      </c>
      <c r="D6" s="20" t="n">
        <v>0.00626909722222222</v>
      </c>
      <c r="E6" s="40" t="n">
        <f aca="false">ROUND((D6-$D$5)*86400,2)</f>
        <v>2.63</v>
      </c>
      <c r="F6" s="21" t="n">
        <v>6</v>
      </c>
      <c r="G6" s="20" t="n">
        <f aca="false">IF(INDEX(選手一覧!$D$5:$D$2736,$F6)="","",INDEX(選手一覧!$D$5:$D$2736,$F6))</f>
        <v>0.00975914351851852</v>
      </c>
      <c r="H6" s="21" t="n">
        <f aca="false">IF(INDEX(選手一覧!$E$5:$E$2736,$F6)="","",INDEX(選手一覧!$E$5:$E$2736,$F6))</f>
        <v>6</v>
      </c>
      <c r="I6" s="20" t="n">
        <f aca="false">IF(INDEX(選手一覧!$H$5:$H$2736,$F6)="","",INDEX(選手一覧!$H$5:$H$2736,$F6))</f>
        <v>0.00278136574074074</v>
      </c>
      <c r="J6" s="21" t="n">
        <f aca="false">IF(INDEX(選手一覧!$I$5:$I$2736,$F6)="","",INDEX(選手一覧!$I$5:$I$2736,$F6))</f>
        <v>209</v>
      </c>
    </row>
    <row r="7" customFormat="false" ht="15" hidden="false" customHeight="false" outlineLevel="0" collapsed="false">
      <c r="A7" s="12" t="n">
        <v>3</v>
      </c>
      <c r="B7" s="8" t="s">
        <v>297</v>
      </c>
      <c r="C7" s="8" t="s">
        <v>212</v>
      </c>
      <c r="D7" s="11" t="n">
        <v>0.00627025462962963</v>
      </c>
      <c r="E7" s="39" t="n">
        <f aca="false">ROUND((D7-$D$5)*86400,2)</f>
        <v>2.73</v>
      </c>
      <c r="F7" s="12" t="n">
        <v>145</v>
      </c>
      <c r="G7" s="11" t="n">
        <f aca="false">IF(INDEX(選手一覧!$D$5:$D$2736,$F7)="","",INDEX(選手一覧!$D$5:$D$2736,$F7))</f>
        <v>0.0102784722222222</v>
      </c>
      <c r="H7" s="12" t="n">
        <f aca="false">IF(INDEX(選手一覧!$E$5:$E$2736,$F7)="","",INDEX(選手一覧!$E$5:$E$2736,$F7))</f>
        <v>146</v>
      </c>
      <c r="I7" s="11" t="n">
        <f aca="false">IF(INDEX(選手一覧!$H$5:$H$2736,$F7)="","",INDEX(選手一覧!$H$5:$H$2736,$F7))</f>
        <v>0.0029193287037037</v>
      </c>
      <c r="J7" s="12" t="n">
        <f aca="false">IF(INDEX(選手一覧!$I$5:$I$2736,$F7)="","",INDEX(選手一覧!$I$5:$I$2736,$F7))</f>
        <v>1088</v>
      </c>
    </row>
    <row r="8" customFormat="false" ht="15" hidden="false" customHeight="false" outlineLevel="0" collapsed="false">
      <c r="A8" s="12" t="n">
        <v>4</v>
      </c>
      <c r="B8" s="8" t="s">
        <v>393</v>
      </c>
      <c r="C8" s="8" t="s">
        <v>394</v>
      </c>
      <c r="D8" s="11" t="n">
        <v>0.00630729166666667</v>
      </c>
      <c r="E8" s="39" t="n">
        <f aca="false">ROUND((D8-$D$5)*86400,2)</f>
        <v>5.93</v>
      </c>
      <c r="F8" s="12" t="n">
        <v>200</v>
      </c>
      <c r="G8" s="11" t="n">
        <f aca="false">IF(INDEX(選手一覧!$D$5:$D$2736,$F8)="","",INDEX(選手一覧!$D$5:$D$2736,$F8))</f>
        <v>0.0103481481481482</v>
      </c>
      <c r="H8" s="12" t="n">
        <f aca="false">IF(INDEX(選手一覧!$E$5:$E$2736,$F8)="","",INDEX(選手一覧!$E$5:$E$2736,$F8))</f>
        <v>201</v>
      </c>
      <c r="I8" s="11" t="n">
        <f aca="false">IF(INDEX(選手一覧!$H$5:$H$2736,$F8)="","",INDEX(選手一覧!$H$5:$H$2736,$F8))</f>
        <v>0.00273877314814815</v>
      </c>
      <c r="J8" s="12" t="n">
        <f aca="false">IF(INDEX(選手一覧!$I$5:$I$2736,$F8)="","",INDEX(選手一覧!$I$5:$I$2736,$F8))</f>
        <v>82</v>
      </c>
    </row>
    <row r="9" customFormat="false" ht="15" hidden="false" customHeight="false" outlineLevel="0" collapsed="false">
      <c r="A9" s="12" t="n">
        <v>5</v>
      </c>
      <c r="B9" s="8" t="s">
        <v>315</v>
      </c>
      <c r="C9" s="8" t="s">
        <v>316</v>
      </c>
      <c r="D9" s="11" t="n">
        <v>0.00632650462962963</v>
      </c>
      <c r="E9" s="39" t="n">
        <f aca="false">ROUND((D9-$D$5)*86400,2)</f>
        <v>7.59</v>
      </c>
      <c r="F9" s="12" t="n">
        <v>154</v>
      </c>
      <c r="G9" s="11" t="n">
        <f aca="false">IF(INDEX(選手一覧!$D$5:$D$2736,$F9)="","",INDEX(選手一覧!$D$5:$D$2736,$F9))</f>
        <v>0.0102916666666667</v>
      </c>
      <c r="H9" s="12" t="n">
        <f aca="false">IF(INDEX(選手一覧!$E$5:$E$2736,$F9)="","",INDEX(選手一覧!$E$5:$E$2736,$F9))</f>
        <v>155</v>
      </c>
      <c r="I9" s="11" t="n">
        <f aca="false">IF(INDEX(選手一覧!$H$5:$H$2736,$F9)="","",INDEX(選手一覧!$H$5:$H$2736,$F9))</f>
        <v>0.00284988425925926</v>
      </c>
      <c r="J9" s="12" t="n">
        <f aca="false">IF(INDEX(選手一覧!$I$5:$I$2736,$F9)="","",INDEX(選手一覧!$I$5:$I$2736,$F9))</f>
        <v>569</v>
      </c>
    </row>
    <row r="10" customFormat="false" ht="15" hidden="false" customHeight="false" outlineLevel="0" collapsed="false">
      <c r="A10" s="12" t="n">
        <v>6</v>
      </c>
      <c r="B10" s="8" t="s">
        <v>214</v>
      </c>
      <c r="C10" s="8" t="s">
        <v>154</v>
      </c>
      <c r="D10" s="11" t="n">
        <v>0.00633553240740741</v>
      </c>
      <c r="E10" s="39" t="n">
        <f aca="false">ROUND((D10-$D$5)*86400,2)</f>
        <v>8.37</v>
      </c>
      <c r="F10" s="12" t="n">
        <v>101</v>
      </c>
      <c r="G10" s="11" t="n">
        <f aca="false">IF(INDEX(選手一覧!$D$5:$D$2736,$F10)="","",INDEX(選手一覧!$D$5:$D$2736,$F10))</f>
        <v>0.0102140046296296</v>
      </c>
      <c r="H10" s="12" t="n">
        <f aca="false">IF(INDEX(選手一覧!$E$5:$E$2736,$F10)="","",INDEX(選手一覧!$E$5:$E$2736,$F10))</f>
        <v>102</v>
      </c>
      <c r="I10" s="11" t="n">
        <f aca="false">IF(INDEX(選手一覧!$H$5:$H$2736,$F10)="","",INDEX(選手一覧!$H$5:$H$2736,$F10))</f>
        <v>0.00285925925925926</v>
      </c>
      <c r="J10" s="12" t="n">
        <f aca="false">IF(INDEX(選手一覧!$I$5:$I$2736,$F10)="","",INDEX(選手一覧!$I$5:$I$2736,$F10))</f>
        <v>630</v>
      </c>
    </row>
    <row r="11" customFormat="false" ht="15" hidden="false" customHeight="false" outlineLevel="0" collapsed="false">
      <c r="A11" s="21" t="n">
        <v>7</v>
      </c>
      <c r="B11" s="17" t="s">
        <v>149</v>
      </c>
      <c r="C11" s="17" t="s">
        <v>150</v>
      </c>
      <c r="D11" s="20" t="n">
        <v>0.00634039351851852</v>
      </c>
      <c r="E11" s="40" t="n">
        <f aca="false">ROUND((D11-$D$5)*86400,2)</f>
        <v>8.79</v>
      </c>
      <c r="F11" s="21" t="n">
        <v>66</v>
      </c>
      <c r="G11" s="20" t="n">
        <f aca="false">IF(INDEX(選手一覧!$D$5:$D$2736,$F11)="","",INDEX(選手一覧!$D$5:$D$2736,$F11))</f>
        <v>0.0101377314814815</v>
      </c>
      <c r="H11" s="21" t="n">
        <f aca="false">IF(INDEX(選手一覧!$E$5:$E$2736,$F11)="","",INDEX(選手一覧!$E$5:$E$2736,$F11))</f>
        <v>67</v>
      </c>
      <c r="I11" s="20" t="n">
        <f aca="false">IF(INDEX(選手一覧!$H$5:$H$2736,$F11)="","",INDEX(選手一覧!$H$5:$H$2736,$F11))</f>
        <v>0.0028818287037037</v>
      </c>
      <c r="J11" s="21" t="n">
        <f aca="false">IF(INDEX(選手一覧!$I$5:$I$2736,$F11)="","",INDEX(選手一覧!$I$5:$I$2736,$F11))</f>
        <v>787</v>
      </c>
    </row>
    <row r="12" customFormat="false" ht="15" hidden="false" customHeight="false" outlineLevel="0" collapsed="false">
      <c r="A12" s="12" t="n">
        <v>8</v>
      </c>
      <c r="B12" s="8" t="s">
        <v>421</v>
      </c>
      <c r="C12" s="8" t="s">
        <v>281</v>
      </c>
      <c r="D12" s="11" t="n">
        <v>0.00634456018518519</v>
      </c>
      <c r="E12" s="39" t="n">
        <f aca="false">ROUND((D12-$D$5)*86400,2)</f>
        <v>9.15</v>
      </c>
      <c r="F12" s="12" t="n">
        <v>219</v>
      </c>
      <c r="G12" s="11" t="n">
        <f aca="false">IF(INDEX(選手一覧!$D$5:$D$2736,$F12)="","",INDEX(選手一覧!$D$5:$D$2736,$F12))</f>
        <v>0.0103640046296296</v>
      </c>
      <c r="H12" s="12" t="n">
        <f aca="false">IF(INDEX(選手一覧!$E$5:$E$2736,$F12)="","",INDEX(選手一覧!$E$5:$E$2736,$F12))</f>
        <v>220</v>
      </c>
      <c r="I12" s="11" t="str">
        <f aca="false">IF(INDEX(選手一覧!$H$5:$H$2736,$F12)="","",INDEX(選手一覧!$H$5:$H$2736,$F12))</f>
        <v/>
      </c>
      <c r="J12" s="12" t="str">
        <f aca="false">IF(INDEX(選手一覧!$I$5:$I$2736,$F12)="","",INDEX(選手一覧!$I$5:$I$2736,$F12))</f>
        <v/>
      </c>
    </row>
    <row r="13" customFormat="false" ht="15" hidden="false" customHeight="false" outlineLevel="0" collapsed="false">
      <c r="A13" s="12" t="n">
        <v>9</v>
      </c>
      <c r="B13" s="8" t="s">
        <v>1035</v>
      </c>
      <c r="C13" s="8" t="s">
        <v>186</v>
      </c>
      <c r="D13" s="11" t="n">
        <v>0.00634525462962963</v>
      </c>
      <c r="E13" s="39" t="n">
        <f aca="false">ROUND((D13-$D$5)*86400,2)</f>
        <v>9.21</v>
      </c>
      <c r="F13" s="12" t="n">
        <v>607</v>
      </c>
      <c r="G13" s="11" t="n">
        <f aca="false">IF(INDEX(選手一覧!$D$5:$D$2736,$F13)="","",INDEX(選手一覧!$D$5:$D$2736,$F13))</f>
        <v>0.010716087962963</v>
      </c>
      <c r="H13" s="12" t="n">
        <f aca="false">IF(INDEX(選手一覧!$E$5:$E$2736,$F13)="","",INDEX(選手一覧!$E$5:$E$2736,$F13))</f>
        <v>608</v>
      </c>
      <c r="I13" s="11" t="n">
        <f aca="false">IF(INDEX(選手一覧!$H$5:$H$2736,$F13)="","",INDEX(選手一覧!$H$5:$H$2736,$F13))</f>
        <v>0.00277592592592593</v>
      </c>
      <c r="J13" s="12" t="n">
        <f aca="false">IF(INDEX(選手一覧!$I$5:$I$2736,$F13)="","",INDEX(選手一覧!$I$5:$I$2736,$F13))</f>
        <v>180</v>
      </c>
    </row>
    <row r="14" customFormat="false" ht="15" hidden="false" customHeight="false" outlineLevel="0" collapsed="false">
      <c r="A14" s="12" t="n">
        <v>10</v>
      </c>
      <c r="B14" s="8" t="s">
        <v>182</v>
      </c>
      <c r="C14" s="8" t="s">
        <v>18</v>
      </c>
      <c r="D14" s="11" t="n">
        <v>0.00635891203703704</v>
      </c>
      <c r="E14" s="39" t="n">
        <f aca="false">ROUND((D14-$D$5)*86400,2)</f>
        <v>10.39</v>
      </c>
      <c r="F14" s="12" t="n">
        <v>83</v>
      </c>
      <c r="G14" s="11" t="n">
        <f aca="false">IF(INDEX(選手一覧!$D$5:$D$2736,$F14)="","",INDEX(選手一覧!$D$5:$D$2736,$F14))</f>
        <v>0.0101787037037037</v>
      </c>
      <c r="H14" s="12" t="n">
        <f aca="false">IF(INDEX(選手一覧!$E$5:$E$2736,$F14)="","",INDEX(選手一覧!$E$5:$E$2736,$F14))</f>
        <v>84</v>
      </c>
      <c r="I14" s="11" t="str">
        <f aca="false">IF(INDEX(選手一覧!$H$5:$H$2736,$F14)="","",INDEX(選手一覧!$H$5:$H$2736,$F14))</f>
        <v/>
      </c>
      <c r="J14" s="12" t="str">
        <f aca="false">IF(INDEX(選手一覧!$I$5:$I$2736,$F14)="","",INDEX(選手一覧!$I$5:$I$2736,$F14))</f>
        <v/>
      </c>
    </row>
    <row r="15" customFormat="false" ht="15" hidden="false" customHeight="false" outlineLevel="0" collapsed="false">
      <c r="A15" s="12" t="n">
        <v>11</v>
      </c>
      <c r="B15" s="8" t="s">
        <v>67</v>
      </c>
      <c r="C15" s="8" t="s">
        <v>28</v>
      </c>
      <c r="D15" s="11" t="n">
        <v>0.00636747685185185</v>
      </c>
      <c r="E15" s="39" t="n">
        <f aca="false">ROUND((D15-$D$5)*86400,2)</f>
        <v>11.13</v>
      </c>
      <c r="F15" s="12" t="n">
        <v>23</v>
      </c>
      <c r="G15" s="11" t="n">
        <f aca="false">IF(INDEX(選手一覧!$D$5:$D$2736,$F15)="","",INDEX(選手一覧!$D$5:$D$2736,$F15))</f>
        <v>0.0100170138888889</v>
      </c>
      <c r="H15" s="12" t="n">
        <f aca="false">IF(INDEX(選手一覧!$E$5:$E$2736,$F15)="","",INDEX(選手一覧!$E$5:$E$2736,$F15))</f>
        <v>24</v>
      </c>
      <c r="I15" s="11" t="n">
        <f aca="false">IF(INDEX(選手一覧!$H$5:$H$2736,$F15)="","",INDEX(選手一覧!$H$5:$H$2736,$F15))</f>
        <v>0.00280856481481482</v>
      </c>
      <c r="J15" s="12" t="n">
        <f aca="false">IF(INDEX(選手一覧!$I$5:$I$2736,$F15)="","",INDEX(選手一覧!$I$5:$I$2736,$F15))</f>
        <v>320</v>
      </c>
    </row>
    <row r="16" customFormat="false" ht="15" hidden="false" customHeight="false" outlineLevel="0" collapsed="false">
      <c r="A16" s="12" t="n">
        <v>12</v>
      </c>
      <c r="B16" s="8" t="s">
        <v>298</v>
      </c>
      <c r="C16" s="8" t="s">
        <v>41</v>
      </c>
      <c r="D16" s="11" t="n">
        <v>0.00638402777777778</v>
      </c>
      <c r="E16" s="39" t="n">
        <f aca="false">ROUND((D16-$D$5)*86400,2)</f>
        <v>12.56</v>
      </c>
      <c r="F16" s="12" t="n">
        <v>146</v>
      </c>
      <c r="G16" s="11" t="n">
        <f aca="false">IF(INDEX(選手一覧!$D$5:$D$2736,$F16)="","",INDEX(選手一覧!$D$5:$D$2736,$F16))</f>
        <v>0.0102784722222222</v>
      </c>
      <c r="H16" s="12" t="n">
        <f aca="false">IF(INDEX(選手一覧!$E$5:$E$2736,$F16)="","",INDEX(選手一覧!$E$5:$E$2736,$F16))</f>
        <v>147</v>
      </c>
      <c r="I16" s="11" t="n">
        <f aca="false">IF(INDEX(選手一覧!$H$5:$H$2736,$F16)="","",INDEX(選手一覧!$H$5:$H$2736,$F16))</f>
        <v>0.0027630787037037</v>
      </c>
      <c r="J16" s="12" t="n">
        <f aca="false">IF(INDEX(選手一覧!$I$5:$I$2736,$F16)="","",INDEX(選手一覧!$I$5:$I$2736,$F16))</f>
        <v>142</v>
      </c>
    </row>
    <row r="17" customFormat="false" ht="15" hidden="false" customHeight="false" outlineLevel="0" collapsed="false">
      <c r="A17" s="12" t="n">
        <v>13</v>
      </c>
      <c r="B17" s="8" t="s">
        <v>1226</v>
      </c>
      <c r="C17" s="8" t="s">
        <v>233</v>
      </c>
      <c r="D17" s="11" t="n">
        <v>0.00638576388888889</v>
      </c>
      <c r="E17" s="39" t="n">
        <f aca="false">ROUND((D17-$D$5)*86400,2)</f>
        <v>12.71</v>
      </c>
      <c r="F17" s="12" t="n">
        <v>734</v>
      </c>
      <c r="G17" s="11" t="n">
        <f aca="false">IF(INDEX(選手一覧!$D$5:$D$2736,$F17)="","",INDEX(選手一覧!$D$5:$D$2736,$F17))</f>
        <v>0.0107954861111111</v>
      </c>
      <c r="H17" s="12" t="n">
        <f aca="false">IF(INDEX(選手一覧!$E$5:$E$2736,$F17)="","",INDEX(選手一覧!$E$5:$E$2736,$F17))</f>
        <v>735</v>
      </c>
      <c r="I17" s="11" t="n">
        <f aca="false">IF(INDEX(選手一覧!$H$5:$H$2736,$F17)="","",INDEX(選手一覧!$H$5:$H$2736,$F17))</f>
        <v>0.00290115740740741</v>
      </c>
      <c r="J17" s="12" t="n">
        <f aca="false">IF(INDEX(選手一覧!$I$5:$I$2736,$F17)="","",INDEX(選手一覧!$I$5:$I$2736,$F17))</f>
        <v>956</v>
      </c>
    </row>
    <row r="18" customFormat="false" ht="15" hidden="false" customHeight="false" outlineLevel="0" collapsed="false">
      <c r="A18" s="12" t="n">
        <v>14</v>
      </c>
      <c r="B18" s="8" t="s">
        <v>690</v>
      </c>
      <c r="C18" s="8" t="s">
        <v>691</v>
      </c>
      <c r="D18" s="11" t="n">
        <v>0.00639525462962963</v>
      </c>
      <c r="E18" s="39" t="n">
        <f aca="false">ROUND((D18-$D$5)*86400,2)</f>
        <v>13.53</v>
      </c>
      <c r="F18" s="12" t="n">
        <v>384</v>
      </c>
      <c r="G18" s="11" t="n">
        <f aca="false">IF(INDEX(選手一覧!$D$5:$D$2736,$F18)="","",INDEX(選手一覧!$D$5:$D$2736,$F18))</f>
        <v>0.0105398148148148</v>
      </c>
      <c r="H18" s="12" t="n">
        <f aca="false">IF(INDEX(選手一覧!$E$5:$E$2736,$F18)="","",INDEX(選手一覧!$E$5:$E$2736,$F18))</f>
        <v>385</v>
      </c>
      <c r="I18" s="11" t="n">
        <f aca="false">IF(INDEX(選手一覧!$H$5:$H$2736,$F18)="","",INDEX(選手一覧!$H$5:$H$2736,$F18))</f>
        <v>0.00272905092592593</v>
      </c>
      <c r="J18" s="12" t="n">
        <f aca="false">IF(INDEX(選手一覧!$I$5:$I$2736,$F18)="","",INDEX(選手一覧!$I$5:$I$2736,$F18))</f>
        <v>63</v>
      </c>
    </row>
    <row r="19" customFormat="false" ht="15" hidden="false" customHeight="false" outlineLevel="0" collapsed="false">
      <c r="A19" s="12" t="n">
        <v>15</v>
      </c>
      <c r="B19" s="8" t="s">
        <v>599</v>
      </c>
      <c r="C19" s="8" t="s">
        <v>150</v>
      </c>
      <c r="D19" s="11" t="n">
        <v>0.00640497685185185</v>
      </c>
      <c r="E19" s="39" t="n">
        <f aca="false">ROUND((D19-$D$5)*86400,2)</f>
        <v>14.37</v>
      </c>
      <c r="F19" s="12" t="n">
        <v>325</v>
      </c>
      <c r="G19" s="11" t="n">
        <f aca="false">IF(INDEX(選手一覧!$D$5:$D$2736,$F19)="","",INDEX(選手一覧!$D$5:$D$2736,$F19))</f>
        <v>0.0104841435185185</v>
      </c>
      <c r="H19" s="12" t="n">
        <f aca="false">IF(INDEX(選手一覧!$E$5:$E$2736,$F19)="","",INDEX(選手一覧!$E$5:$E$2736,$F19))</f>
        <v>326</v>
      </c>
      <c r="I19" s="11" t="str">
        <f aca="false">IF(INDEX(選手一覧!$H$5:$H$2736,$F19)="","",INDEX(選手一覧!$H$5:$H$2736,$F19))</f>
        <v/>
      </c>
      <c r="J19" s="12" t="str">
        <f aca="false">IF(INDEX(選手一覧!$I$5:$I$2736,$F19)="","",INDEX(選手一覧!$I$5:$I$2736,$F19))</f>
        <v/>
      </c>
    </row>
    <row r="20" customFormat="false" ht="15" hidden="false" customHeight="false" outlineLevel="0" collapsed="false">
      <c r="A20" s="12" t="n">
        <v>16</v>
      </c>
      <c r="B20" s="8" t="s">
        <v>986</v>
      </c>
      <c r="C20" s="8" t="s">
        <v>283</v>
      </c>
      <c r="D20" s="11" t="n">
        <v>0.0064099537037037</v>
      </c>
      <c r="E20" s="39" t="n">
        <f aca="false">ROUND((D20-$D$5)*86400,2)</f>
        <v>14.8</v>
      </c>
      <c r="F20" s="12" t="n">
        <v>572</v>
      </c>
      <c r="G20" s="11" t="n">
        <f aca="false">IF(INDEX(選手一覧!$D$5:$D$2736,$F20)="","",INDEX(選手一覧!$D$5:$D$2736,$F20))</f>
        <v>0.0106957175925926</v>
      </c>
      <c r="H20" s="12" t="n">
        <f aca="false">IF(INDEX(選手一覧!$E$5:$E$2736,$F20)="","",INDEX(選手一覧!$E$5:$E$2736,$F20))</f>
        <v>573</v>
      </c>
      <c r="I20" s="11" t="n">
        <f aca="false">IF(INDEX(選手一覧!$H$5:$H$2736,$F20)="","",INDEX(選手一覧!$H$5:$H$2736,$F20))</f>
        <v>0.00277777777777778</v>
      </c>
      <c r="J20" s="12" t="n">
        <f aca="false">IF(INDEX(選手一覧!$I$5:$I$2736,$F20)="","",INDEX(選手一覧!$I$5:$I$2736,$F20))</f>
        <v>189</v>
      </c>
    </row>
    <row r="21" customFormat="false" ht="15" hidden="false" customHeight="false" outlineLevel="0" collapsed="false">
      <c r="A21" s="12" t="n">
        <v>17</v>
      </c>
      <c r="B21" s="8" t="s">
        <v>1251</v>
      </c>
      <c r="C21" s="8" t="s">
        <v>1252</v>
      </c>
      <c r="D21" s="11" t="n">
        <v>0.00641087962962963</v>
      </c>
      <c r="E21" s="39" t="n">
        <f aca="false">ROUND((D21-$D$5)*86400,2)</f>
        <v>14.88</v>
      </c>
      <c r="F21" s="12" t="n">
        <v>750</v>
      </c>
      <c r="G21" s="11" t="n">
        <f aca="false">IF(INDEX(選手一覧!$D$5:$D$2736,$F21)="","",INDEX(選手一覧!$D$5:$D$2736,$F21))</f>
        <v>0.0108052083333333</v>
      </c>
      <c r="H21" s="12" t="n">
        <f aca="false">IF(INDEX(選手一覧!$E$5:$E$2736,$F21)="","",INDEX(選手一覧!$E$5:$E$2736,$F21))</f>
        <v>751</v>
      </c>
      <c r="I21" s="11" t="n">
        <f aca="false">IF(INDEX(選手一覧!$H$5:$H$2736,$F21)="","",INDEX(選手一覧!$H$5:$H$2736,$F21))</f>
        <v>0.00279456018518519</v>
      </c>
      <c r="J21" s="12" t="n">
        <f aca="false">IF(INDEX(選手一覧!$I$5:$I$2736,$F21)="","",INDEX(選手一覧!$I$5:$I$2736,$F21))</f>
        <v>257</v>
      </c>
    </row>
    <row r="22" customFormat="false" ht="15" hidden="false" customHeight="false" outlineLevel="0" collapsed="false">
      <c r="A22" s="12" t="n">
        <v>18</v>
      </c>
      <c r="B22" s="8" t="s">
        <v>794</v>
      </c>
      <c r="C22" s="8" t="s">
        <v>795</v>
      </c>
      <c r="D22" s="11" t="n">
        <v>0.00641585648148148</v>
      </c>
      <c r="E22" s="39" t="n">
        <f aca="false">ROUND((D22-$D$5)*86400,2)</f>
        <v>15.31</v>
      </c>
      <c r="F22" s="12" t="n">
        <v>450</v>
      </c>
      <c r="G22" s="11" t="n">
        <f aca="false">IF(INDEX(選手一覧!$D$5:$D$2736,$F22)="","",INDEX(選手一覧!$D$5:$D$2736,$F22))</f>
        <v>0.0105877314814815</v>
      </c>
      <c r="H22" s="12" t="n">
        <f aca="false">IF(INDEX(選手一覧!$E$5:$E$2736,$F22)="","",INDEX(選手一覧!$E$5:$E$2736,$F22))</f>
        <v>451</v>
      </c>
      <c r="I22" s="11" t="n">
        <f aca="false">IF(INDEX(選手一覧!$H$5:$H$2736,$F22)="","",INDEX(選手一覧!$H$5:$H$2736,$F22))</f>
        <v>0.00284467592592593</v>
      </c>
      <c r="J22" s="12" t="n">
        <f aca="false">IF(INDEX(選手一覧!$I$5:$I$2736,$F22)="","",INDEX(選手一覧!$I$5:$I$2736,$F22))</f>
        <v>532</v>
      </c>
    </row>
    <row r="23" customFormat="false" ht="15" hidden="false" customHeight="false" outlineLevel="0" collapsed="false">
      <c r="A23" s="12" t="n">
        <v>19</v>
      </c>
      <c r="B23" s="8" t="s">
        <v>17</v>
      </c>
      <c r="C23" s="8" t="s">
        <v>18</v>
      </c>
      <c r="D23" s="11" t="n">
        <v>0.00642048611111111</v>
      </c>
      <c r="E23" s="39" t="n">
        <f aca="false">ROUND((D23-$D$5)*86400,2)</f>
        <v>15.71</v>
      </c>
      <c r="F23" s="12" t="n">
        <v>2</v>
      </c>
      <c r="G23" s="11" t="n">
        <f aca="false">IF(INDEX(選手一覧!$D$5:$D$2736,$F23)="","",INDEX(選手一覧!$D$5:$D$2736,$F23))</f>
        <v>0.00964340277777778</v>
      </c>
      <c r="H23" s="12" t="n">
        <f aca="false">IF(INDEX(選手一覧!$E$5:$E$2736,$F23)="","",INDEX(選手一覧!$E$5:$E$2736,$F23))</f>
        <v>2</v>
      </c>
      <c r="I23" s="11" t="n">
        <f aca="false">IF(INDEX(選手一覧!$H$5:$H$2736,$F23)="","",INDEX(選手一覧!$H$5:$H$2736,$F23))</f>
        <v>0.00260451388888889</v>
      </c>
      <c r="J23" s="12" t="n">
        <f aca="false">IF(INDEX(選手一覧!$I$5:$I$2736,$F23)="","",INDEX(選手一覧!$I$5:$I$2736,$F23))</f>
        <v>1</v>
      </c>
    </row>
    <row r="24" customFormat="false" ht="15" hidden="false" customHeight="false" outlineLevel="0" collapsed="false">
      <c r="A24" s="12" t="n">
        <v>20</v>
      </c>
      <c r="B24" s="8" t="s">
        <v>664</v>
      </c>
      <c r="C24" s="8" t="s">
        <v>52</v>
      </c>
      <c r="D24" s="11" t="n">
        <v>0.00642326388888889</v>
      </c>
      <c r="E24" s="39" t="n">
        <f aca="false">ROUND((D24-$D$5)*86400,2)</f>
        <v>15.95</v>
      </c>
      <c r="F24" s="12" t="n">
        <v>368</v>
      </c>
      <c r="G24" s="11" t="n">
        <f aca="false">IF(INDEX(選手一覧!$D$5:$D$2736,$F24)="","",INDEX(選手一覧!$D$5:$D$2736,$F24))</f>
        <v>0.0105289351851852</v>
      </c>
      <c r="H24" s="12" t="n">
        <f aca="false">IF(INDEX(選手一覧!$E$5:$E$2736,$F24)="","",INDEX(選手一覧!$E$5:$E$2736,$F24))</f>
        <v>369</v>
      </c>
      <c r="I24" s="11" t="str">
        <f aca="false">IF(INDEX(選手一覧!$H$5:$H$2736,$F24)="","",INDEX(選手一覧!$H$5:$H$2736,$F24))</f>
        <v/>
      </c>
      <c r="J24" s="12" t="str">
        <f aca="false">IF(INDEX(選手一覧!$I$5:$I$2736,$F24)="","",INDEX(選手一覧!$I$5:$I$2736,$F24))</f>
        <v/>
      </c>
    </row>
    <row r="25" customFormat="false" ht="15" hidden="false" customHeight="false" outlineLevel="0" collapsed="false">
      <c r="A25" s="12" t="n">
        <v>21</v>
      </c>
      <c r="B25" s="8" t="s">
        <v>591</v>
      </c>
      <c r="C25" s="8" t="s">
        <v>592</v>
      </c>
      <c r="D25" s="11" t="n">
        <v>0.0064306712962963</v>
      </c>
      <c r="E25" s="39" t="n">
        <f aca="false">ROUND((D25-$D$5)*86400,2)</f>
        <v>16.59</v>
      </c>
      <c r="F25" s="12" t="n">
        <v>320</v>
      </c>
      <c r="G25" s="11" t="n">
        <f aca="false">IF(INDEX(選手一覧!$D$5:$D$2736,$F25)="","",INDEX(選手一覧!$D$5:$D$2736,$F25))</f>
        <v>0.0104758101851852</v>
      </c>
      <c r="H25" s="12" t="n">
        <f aca="false">IF(INDEX(選手一覧!$E$5:$E$2736,$F25)="","",INDEX(選手一覧!$E$5:$E$2736,$F25))</f>
        <v>321</v>
      </c>
      <c r="I25" s="11" t="n">
        <f aca="false">IF(INDEX(選手一覧!$H$5:$H$2736,$F25)="","",INDEX(選手一覧!$H$5:$H$2736,$F25))</f>
        <v>0.00282106481481482</v>
      </c>
      <c r="J25" s="12" t="n">
        <f aca="false">IF(INDEX(選手一覧!$I$5:$I$2736,$F25)="","",INDEX(選手一覧!$I$5:$I$2736,$F25))</f>
        <v>369</v>
      </c>
    </row>
    <row r="26" customFormat="false" ht="15" hidden="false" customHeight="false" outlineLevel="0" collapsed="false">
      <c r="A26" s="12" t="n">
        <v>22</v>
      </c>
      <c r="B26" s="8" t="s">
        <v>308</v>
      </c>
      <c r="C26" s="8" t="s">
        <v>309</v>
      </c>
      <c r="D26" s="11" t="n">
        <v>0.00644189814814815</v>
      </c>
      <c r="E26" s="39" t="n">
        <f aca="false">ROUND((D26-$D$5)*86400,2)</f>
        <v>17.56</v>
      </c>
      <c r="F26" s="12" t="n">
        <v>151</v>
      </c>
      <c r="G26" s="11" t="n">
        <f aca="false">IF(INDEX(選手一覧!$D$5:$D$2736,$F26)="","",INDEX(選手一覧!$D$5:$D$2736,$F26))</f>
        <v>0.0102828703703704</v>
      </c>
      <c r="H26" s="12" t="n">
        <f aca="false">IF(INDEX(選手一覧!$E$5:$E$2736,$F26)="","",INDEX(選手一覧!$E$5:$E$2736,$F26))</f>
        <v>152</v>
      </c>
      <c r="I26" s="11" t="n">
        <f aca="false">IF(INDEX(選手一覧!$H$5:$H$2736,$F26)="","",INDEX(選手一覧!$H$5:$H$2736,$F26))</f>
        <v>0.00278020833333333</v>
      </c>
      <c r="J26" s="12" t="n">
        <f aca="false">IF(INDEX(選手一覧!$I$5:$I$2736,$F26)="","",INDEX(選手一覧!$I$5:$I$2736,$F26))</f>
        <v>201</v>
      </c>
    </row>
    <row r="27" customFormat="false" ht="15" hidden="false" customHeight="false" outlineLevel="0" collapsed="false">
      <c r="A27" s="12" t="n">
        <v>23</v>
      </c>
      <c r="B27" s="8" t="s">
        <v>848</v>
      </c>
      <c r="C27" s="8" t="s">
        <v>704</v>
      </c>
      <c r="D27" s="11" t="n">
        <v>0.00645543981481482</v>
      </c>
      <c r="E27" s="39" t="n">
        <f aca="false">ROUND((D27-$D$5)*86400,2)</f>
        <v>18.73</v>
      </c>
      <c r="F27" s="12" t="n">
        <v>486</v>
      </c>
      <c r="G27" s="11" t="n">
        <f aca="false">IF(INDEX(選手一覧!$D$5:$D$2736,$F27)="","",INDEX(選手一覧!$D$5:$D$2736,$F27))</f>
        <v>0.0106157407407407</v>
      </c>
      <c r="H27" s="12" t="n">
        <f aca="false">IF(INDEX(選手一覧!$E$5:$E$2736,$F27)="","",INDEX(選手一覧!$E$5:$E$2736,$F27))</f>
        <v>487</v>
      </c>
      <c r="I27" s="11" t="n">
        <f aca="false">IF(INDEX(選手一覧!$H$5:$H$2736,$F27)="","",INDEX(選手一覧!$H$5:$H$2736,$F27))</f>
        <v>0.00290162037037037</v>
      </c>
      <c r="J27" s="12" t="n">
        <f aca="false">IF(INDEX(選手一覧!$I$5:$I$2736,$F27)="","",INDEX(選手一覧!$I$5:$I$2736,$F27))</f>
        <v>960</v>
      </c>
    </row>
    <row r="28" customFormat="false" ht="15" hidden="false" customHeight="false" outlineLevel="0" collapsed="false">
      <c r="A28" s="12" t="n">
        <v>24</v>
      </c>
      <c r="B28" s="8" t="s">
        <v>1613</v>
      </c>
      <c r="C28" s="8" t="s">
        <v>1364</v>
      </c>
      <c r="D28" s="11" t="n">
        <v>0.00645844907407407</v>
      </c>
      <c r="E28" s="39" t="n">
        <f aca="false">ROUND((D28-$D$5)*86400,2)</f>
        <v>18.99</v>
      </c>
      <c r="F28" s="12" t="n">
        <v>995</v>
      </c>
      <c r="G28" s="11" t="n">
        <f aca="false">IF(INDEX(選手一覧!$D$5:$D$2736,$F28)="","",INDEX(選手一覧!$D$5:$D$2736,$F28))</f>
        <v>0.0109490740740741</v>
      </c>
      <c r="H28" s="12" t="n">
        <f aca="false">IF(INDEX(選手一覧!$E$5:$E$2736,$F28)="","",INDEX(選手一覧!$E$5:$E$2736,$F28))</f>
        <v>996</v>
      </c>
      <c r="I28" s="11" t="n">
        <f aca="false">IF(INDEX(選手一覧!$H$5:$H$2736,$F28)="","",INDEX(選手一覧!$H$5:$H$2736,$F28))</f>
        <v>0.00285740740740741</v>
      </c>
      <c r="J28" s="12" t="n">
        <f aca="false">IF(INDEX(選手一覧!$I$5:$I$2736,$F28)="","",INDEX(選手一覧!$I$5:$I$2736,$F28))</f>
        <v>618</v>
      </c>
    </row>
    <row r="29" customFormat="false" ht="15" hidden="false" customHeight="false" outlineLevel="0" collapsed="false">
      <c r="A29" s="12" t="n">
        <v>25</v>
      </c>
      <c r="B29" s="8" t="s">
        <v>480</v>
      </c>
      <c r="C29" s="8" t="s">
        <v>481</v>
      </c>
      <c r="D29" s="11" t="n">
        <v>0.00646053240740741</v>
      </c>
      <c r="E29" s="39" t="n">
        <f aca="false">ROUND((D29-$D$5)*86400,2)</f>
        <v>19.17</v>
      </c>
      <c r="F29" s="12" t="n">
        <v>251</v>
      </c>
      <c r="G29" s="11" t="n">
        <f aca="false">IF(INDEX(選手一覧!$D$5:$D$2736,$F29)="","",INDEX(選手一覧!$D$5:$D$2736,$F29))</f>
        <v>0.0103917824074074</v>
      </c>
      <c r="H29" s="12" t="n">
        <f aca="false">IF(INDEX(選手一覧!$E$5:$E$2736,$F29)="","",INDEX(選手一覧!$E$5:$E$2736,$F29))</f>
        <v>252</v>
      </c>
      <c r="I29" s="11" t="n">
        <f aca="false">IF(INDEX(選手一覧!$H$5:$H$2736,$F29)="","",INDEX(選手一覧!$H$5:$H$2736,$F29))</f>
        <v>0.00286458333333333</v>
      </c>
      <c r="J29" s="12" t="n">
        <f aca="false">IF(INDEX(選手一覧!$I$5:$I$2736,$F29)="","",INDEX(選手一覧!$I$5:$I$2736,$F29))</f>
        <v>663</v>
      </c>
    </row>
    <row r="30" customFormat="false" ht="15" hidden="false" customHeight="false" outlineLevel="0" collapsed="false">
      <c r="A30" s="12" t="n">
        <v>26</v>
      </c>
      <c r="B30" s="8" t="s">
        <v>424</v>
      </c>
      <c r="C30" s="8" t="s">
        <v>179</v>
      </c>
      <c r="D30" s="11" t="n">
        <v>0.0064625</v>
      </c>
      <c r="E30" s="39" t="n">
        <f aca="false">ROUND((D30-$D$5)*86400,2)</f>
        <v>19.34</v>
      </c>
      <c r="F30" s="12" t="n">
        <v>221</v>
      </c>
      <c r="G30" s="11" t="n">
        <f aca="false">IF(INDEX(選手一覧!$D$5:$D$2736,$F30)="","",INDEX(選手一覧!$D$5:$D$2736,$F30))</f>
        <v>0.0103675925925926</v>
      </c>
      <c r="H30" s="12" t="n">
        <f aca="false">IF(INDEX(選手一覧!$E$5:$E$2736,$F30)="","",INDEX(選手一覧!$E$5:$E$2736,$F30))</f>
        <v>222</v>
      </c>
      <c r="I30" s="11" t="n">
        <f aca="false">IF(INDEX(選手一覧!$H$5:$H$2736,$F30)="","",INDEX(選手一覧!$H$5:$H$2736,$F30))</f>
        <v>0.00275833333333333</v>
      </c>
      <c r="J30" s="12" t="n">
        <f aca="false">IF(INDEX(選手一覧!$I$5:$I$2736,$F30)="","",INDEX(選手一覧!$I$5:$I$2736,$F30))</f>
        <v>130</v>
      </c>
    </row>
    <row r="31" customFormat="false" ht="15" hidden="false" customHeight="false" outlineLevel="0" collapsed="false">
      <c r="A31" s="12" t="n">
        <v>27</v>
      </c>
      <c r="B31" s="8" t="s">
        <v>711</v>
      </c>
      <c r="C31" s="8" t="s">
        <v>221</v>
      </c>
      <c r="D31" s="11" t="n">
        <v>0.00646284722222222</v>
      </c>
      <c r="E31" s="39" t="n">
        <f aca="false">ROUND((D31-$D$5)*86400,2)</f>
        <v>19.37</v>
      </c>
      <c r="F31" s="12" t="n">
        <v>398</v>
      </c>
      <c r="G31" s="11" t="n">
        <f aca="false">IF(INDEX(選手一覧!$D$5:$D$2736,$F31)="","",INDEX(選手一覧!$D$5:$D$2736,$F31))</f>
        <v>0.0105503472222222</v>
      </c>
      <c r="H31" s="12" t="n">
        <f aca="false">IF(INDEX(選手一覧!$E$5:$E$2736,$F31)="","",INDEX(選手一覧!$E$5:$E$2736,$F31))</f>
        <v>399</v>
      </c>
      <c r="I31" s="11" t="n">
        <f aca="false">IF(INDEX(選手一覧!$H$5:$H$2736,$F31)="","",INDEX(選手一覧!$H$5:$H$2736,$F31))</f>
        <v>0.00287256944444445</v>
      </c>
      <c r="J31" s="12" t="n">
        <f aca="false">IF(INDEX(選手一覧!$I$5:$I$2736,$F31)="","",INDEX(選手一覧!$I$5:$I$2736,$F31))</f>
        <v>719</v>
      </c>
    </row>
    <row r="32" customFormat="false" ht="15" hidden="false" customHeight="false" outlineLevel="0" collapsed="false">
      <c r="A32" s="12" t="n">
        <v>28</v>
      </c>
      <c r="B32" s="8" t="s">
        <v>957</v>
      </c>
      <c r="C32" s="8" t="s">
        <v>958</v>
      </c>
      <c r="D32" s="11" t="n">
        <v>0.00646342592592593</v>
      </c>
      <c r="E32" s="39" t="n">
        <f aca="false">ROUND((D32-$D$5)*86400,2)</f>
        <v>19.42</v>
      </c>
      <c r="F32" s="12" t="n">
        <v>552</v>
      </c>
      <c r="G32" s="11" t="n">
        <f aca="false">IF(INDEX(選手一覧!$D$5:$D$2736,$F32)="","",INDEX(選手一覧!$D$5:$D$2736,$F32))</f>
        <v>0.0106737268518519</v>
      </c>
      <c r="H32" s="12" t="n">
        <f aca="false">IF(INDEX(選手一覧!$E$5:$E$2736,$F32)="","",INDEX(選手一覧!$E$5:$E$2736,$F32))</f>
        <v>553</v>
      </c>
      <c r="I32" s="11" t="n">
        <f aca="false">IF(INDEX(選手一覧!$H$5:$H$2736,$F32)="","",INDEX(選手一覧!$H$5:$H$2736,$F32))</f>
        <v>0.00288541666666667</v>
      </c>
      <c r="J32" s="12" t="n">
        <f aca="false">IF(INDEX(選手一覧!$I$5:$I$2736,$F32)="","",INDEX(選手一覧!$I$5:$I$2736,$F32))</f>
        <v>821</v>
      </c>
    </row>
    <row r="33" customFormat="false" ht="15" hidden="false" customHeight="false" outlineLevel="0" collapsed="false">
      <c r="A33" s="12" t="n">
        <v>29</v>
      </c>
      <c r="B33" s="8" t="s">
        <v>164</v>
      </c>
      <c r="C33" s="8" t="s">
        <v>145</v>
      </c>
      <c r="D33" s="11" t="n">
        <v>0.00647060185185185</v>
      </c>
      <c r="E33" s="39" t="n">
        <f aca="false">ROUND((D33-$D$5)*86400,2)</f>
        <v>20.04</v>
      </c>
      <c r="F33" s="12" t="n">
        <v>73</v>
      </c>
      <c r="G33" s="11" t="n">
        <f aca="false">IF(INDEX(選手一覧!$D$5:$D$2736,$F33)="","",INDEX(選手一覧!$D$5:$D$2736,$F33))</f>
        <v>0.0101585648148148</v>
      </c>
      <c r="H33" s="12" t="n">
        <f aca="false">IF(INDEX(選手一覧!$E$5:$E$2736,$F33)="","",INDEX(選手一覧!$E$5:$E$2736,$F33))</f>
        <v>74</v>
      </c>
      <c r="I33" s="11" t="str">
        <f aca="false">IF(INDEX(選手一覧!$H$5:$H$2736,$F33)="","",INDEX(選手一覧!$H$5:$H$2736,$F33))</f>
        <v/>
      </c>
      <c r="J33" s="12" t="str">
        <f aca="false">IF(INDEX(選手一覧!$I$5:$I$2736,$F33)="","",INDEX(選手一覧!$I$5:$I$2736,$F33))</f>
        <v/>
      </c>
    </row>
    <row r="34" customFormat="false" ht="15" hidden="false" customHeight="false" outlineLevel="0" collapsed="false">
      <c r="A34" s="12" t="n">
        <v>30</v>
      </c>
      <c r="B34" s="8" t="s">
        <v>351</v>
      </c>
      <c r="C34" s="8" t="s">
        <v>316</v>
      </c>
      <c r="D34" s="11" t="n">
        <v>0.00648136574074074</v>
      </c>
      <c r="E34" s="39" t="n">
        <f aca="false">ROUND((D34-$D$5)*86400,2)</f>
        <v>20.97</v>
      </c>
      <c r="F34" s="12" t="n">
        <v>174</v>
      </c>
      <c r="G34" s="11" t="n">
        <f aca="false">IF(INDEX(選手一覧!$D$5:$D$2736,$F34)="","",INDEX(選手一覧!$D$5:$D$2736,$F34))</f>
        <v>0.0103246527777778</v>
      </c>
      <c r="H34" s="12" t="n">
        <f aca="false">IF(INDEX(選手一覧!$E$5:$E$2736,$F34)="","",INDEX(選手一覧!$E$5:$E$2736,$F34))</f>
        <v>175</v>
      </c>
      <c r="I34" s="11" t="n">
        <f aca="false">IF(INDEX(選手一覧!$H$5:$H$2736,$F34)="","",INDEX(選手一覧!$H$5:$H$2736,$F34))</f>
        <v>0.00279930555555556</v>
      </c>
      <c r="J34" s="12" t="n">
        <f aca="false">IF(INDEX(選手一覧!$I$5:$I$2736,$F34)="","",INDEX(選手一覧!$I$5:$I$2736,$F34))</f>
        <v>279</v>
      </c>
    </row>
    <row r="35" customFormat="false" ht="15" hidden="false" customHeight="false" outlineLevel="0" collapsed="false">
      <c r="A35" s="12" t="n">
        <v>31</v>
      </c>
      <c r="B35" s="8" t="s">
        <v>204</v>
      </c>
      <c r="C35" s="8" t="s">
        <v>205</v>
      </c>
      <c r="D35" s="11" t="n">
        <v>0.00648483796296296</v>
      </c>
      <c r="E35" s="39" t="n">
        <f aca="false">ROUND((D35-$D$5)*86400,2)</f>
        <v>21.27</v>
      </c>
      <c r="F35" s="12" t="n">
        <v>96</v>
      </c>
      <c r="G35" s="11" t="n">
        <f aca="false">IF(INDEX(選手一覧!$D$5:$D$2736,$F35)="","",INDEX(選手一覧!$D$5:$D$2736,$F35))</f>
        <v>0.0102012731481482</v>
      </c>
      <c r="H35" s="12" t="n">
        <f aca="false">IF(INDEX(選手一覧!$E$5:$E$2736,$F35)="","",INDEX(選手一覧!$E$5:$E$2736,$F35))</f>
        <v>97</v>
      </c>
      <c r="I35" s="11" t="n">
        <f aca="false">IF(INDEX(選手一覧!$H$5:$H$2736,$F35)="","",INDEX(選手一覧!$H$5:$H$2736,$F35))</f>
        <v>0.00275451388888889</v>
      </c>
      <c r="J35" s="12" t="n">
        <f aca="false">IF(INDEX(選手一覧!$I$5:$I$2736,$F35)="","",INDEX(選手一覧!$I$5:$I$2736,$F35))</f>
        <v>120</v>
      </c>
    </row>
    <row r="36" customFormat="false" ht="15" hidden="false" customHeight="false" outlineLevel="0" collapsed="false">
      <c r="A36" s="12" t="n">
        <v>32</v>
      </c>
      <c r="B36" s="8" t="s">
        <v>945</v>
      </c>
      <c r="C36" s="8" t="s">
        <v>946</v>
      </c>
      <c r="D36" s="11" t="n">
        <v>0.00648645833333333</v>
      </c>
      <c r="E36" s="39" t="n">
        <f aca="false">ROUND((D36-$D$5)*86400,2)</f>
        <v>21.41</v>
      </c>
      <c r="F36" s="12" t="n">
        <v>543</v>
      </c>
      <c r="G36" s="11" t="n">
        <f aca="false">IF(INDEX(選手一覧!$D$5:$D$2736,$F36)="","",INDEX(選手一覧!$D$5:$D$2736,$F36))</f>
        <v>0.0106686342592593</v>
      </c>
      <c r="H36" s="12" t="n">
        <f aca="false">IF(INDEX(選手一覧!$E$5:$E$2736,$F36)="","",INDEX(選手一覧!$E$5:$E$2736,$F36))</f>
        <v>544</v>
      </c>
      <c r="I36" s="11" t="n">
        <f aca="false">IF(INDEX(選手一覧!$H$5:$H$2736,$F36)="","",INDEX(選手一覧!$H$5:$H$2736,$F36))</f>
        <v>0.00273206018518519</v>
      </c>
      <c r="J36" s="12" t="n">
        <f aca="false">IF(INDEX(選手一覧!$I$5:$I$2736,$F36)="","",INDEX(選手一覧!$I$5:$I$2736,$F36))</f>
        <v>68</v>
      </c>
    </row>
    <row r="37" customFormat="false" ht="15" hidden="false" customHeight="false" outlineLevel="0" collapsed="false">
      <c r="A37" s="12" t="n">
        <v>33</v>
      </c>
      <c r="B37" s="8" t="s">
        <v>861</v>
      </c>
      <c r="C37" s="8" t="s">
        <v>862</v>
      </c>
      <c r="D37" s="11" t="n">
        <v>0.00649166666666667</v>
      </c>
      <c r="E37" s="39" t="n">
        <f aca="false">ROUND((D37-$D$5)*86400,2)</f>
        <v>21.86</v>
      </c>
      <c r="F37" s="12" t="n">
        <v>494</v>
      </c>
      <c r="G37" s="11" t="n">
        <f aca="false">IF(INDEX(選手一覧!$D$5:$D$2736,$F37)="","",INDEX(選手一覧!$D$5:$D$2736,$F37))</f>
        <v>0.0106184027777778</v>
      </c>
      <c r="H37" s="12" t="n">
        <f aca="false">IF(INDEX(選手一覧!$E$5:$E$2736,$F37)="","",INDEX(選手一覧!$E$5:$E$2736,$F37))</f>
        <v>495</v>
      </c>
      <c r="I37" s="11" t="n">
        <f aca="false">IF(INDEX(選手一覧!$H$5:$H$2736,$F37)="","",INDEX(選手一覧!$H$5:$H$2736,$F37))</f>
        <v>0.0028912037037037</v>
      </c>
      <c r="J37" s="12" t="n">
        <f aca="false">IF(INDEX(選手一覧!$I$5:$I$2736,$F37)="","",INDEX(選手一覧!$I$5:$I$2736,$F37))</f>
        <v>878</v>
      </c>
    </row>
    <row r="38" customFormat="false" ht="15" hidden="false" customHeight="false" outlineLevel="0" collapsed="false">
      <c r="A38" s="12" t="n">
        <v>34</v>
      </c>
      <c r="B38" s="8" t="s">
        <v>601</v>
      </c>
      <c r="C38" s="8" t="s">
        <v>602</v>
      </c>
      <c r="D38" s="11" t="n">
        <v>0.00649502314814815</v>
      </c>
      <c r="E38" s="39" t="n">
        <f aca="false">ROUND((D38-$D$5)*86400,2)</f>
        <v>22.15</v>
      </c>
      <c r="F38" s="12" t="n">
        <v>327</v>
      </c>
      <c r="G38" s="11" t="n">
        <f aca="false">IF(INDEX(選手一覧!$D$5:$D$2736,$F38)="","",INDEX(選手一覧!$D$5:$D$2736,$F38))</f>
        <v>0.0104847222222222</v>
      </c>
      <c r="H38" s="12" t="n">
        <f aca="false">IF(INDEX(選手一覧!$E$5:$E$2736,$F38)="","",INDEX(選手一覧!$E$5:$E$2736,$F38))</f>
        <v>328</v>
      </c>
      <c r="I38" s="11" t="n">
        <f aca="false">IF(INDEX(選手一覧!$H$5:$H$2736,$F38)="","",INDEX(選手一覧!$H$5:$H$2736,$F38))</f>
        <v>0.00281458333333333</v>
      </c>
      <c r="J38" s="12" t="n">
        <f aca="false">IF(INDEX(選手一覧!$I$5:$I$2736,$F38)="","",INDEX(選手一覧!$I$5:$I$2736,$F38))</f>
        <v>342</v>
      </c>
    </row>
    <row r="39" customFormat="false" ht="15" hidden="false" customHeight="false" outlineLevel="0" collapsed="false">
      <c r="A39" s="12" t="n">
        <v>35</v>
      </c>
      <c r="B39" s="8" t="s">
        <v>1747</v>
      </c>
      <c r="C39" s="8" t="s">
        <v>1748</v>
      </c>
      <c r="D39" s="11" t="n">
        <v>0.00649803240740741</v>
      </c>
      <c r="E39" s="39" t="n">
        <f aca="false">ROUND((D39-$D$5)*86400,2)</f>
        <v>22.41</v>
      </c>
      <c r="F39" s="12" t="n">
        <v>1085</v>
      </c>
      <c r="G39" s="11" t="n">
        <f aca="false">IF(INDEX(選手一覧!$D$5:$D$2736,$F39)="","",INDEX(選手一覧!$D$5:$D$2736,$F39))</f>
        <v>0.0109936342592593</v>
      </c>
      <c r="H39" s="12" t="n">
        <f aca="false">IF(INDEX(選手一覧!$E$5:$E$2736,$F39)="","",INDEX(選手一覧!$E$5:$E$2736,$F39))</f>
        <v>1086</v>
      </c>
      <c r="I39" s="11" t="n">
        <f aca="false">IF(INDEX(選手一覧!$H$5:$H$2736,$F39)="","",INDEX(選手一覧!$H$5:$H$2736,$F39))</f>
        <v>0.00290150462962963</v>
      </c>
      <c r="J39" s="12" t="n">
        <f aca="false">IF(INDEX(選手一覧!$I$5:$I$2736,$F39)="","",INDEX(選手一覧!$I$5:$I$2736,$F39))</f>
        <v>958</v>
      </c>
    </row>
    <row r="40" customFormat="false" ht="15" hidden="false" customHeight="false" outlineLevel="0" collapsed="false">
      <c r="A40" s="12" t="n">
        <v>36</v>
      </c>
      <c r="B40" s="8" t="s">
        <v>546</v>
      </c>
      <c r="C40" s="8" t="s">
        <v>431</v>
      </c>
      <c r="D40" s="11" t="n">
        <v>0.00650046296296296</v>
      </c>
      <c r="E40" s="39" t="n">
        <f aca="false">ROUND((D40-$D$5)*86400,2)</f>
        <v>22.62</v>
      </c>
      <c r="F40" s="12" t="n">
        <v>294</v>
      </c>
      <c r="G40" s="11" t="n">
        <f aca="false">IF(INDEX(選手一覧!$D$5:$D$2736,$F40)="","",INDEX(選手一覧!$D$5:$D$2736,$F40))</f>
        <v>0.0104319444444445</v>
      </c>
      <c r="H40" s="12" t="n">
        <f aca="false">IF(INDEX(選手一覧!$E$5:$E$2736,$F40)="","",INDEX(選手一覧!$E$5:$E$2736,$F40))</f>
        <v>295</v>
      </c>
      <c r="I40" s="11" t="n">
        <f aca="false">IF(INDEX(選手一覧!$H$5:$H$2736,$F40)="","",INDEX(選手一覧!$H$5:$H$2736,$F40))</f>
        <v>0.00285821759259259</v>
      </c>
      <c r="J40" s="12" t="n">
        <f aca="false">IF(INDEX(選手一覧!$I$5:$I$2736,$F40)="","",INDEX(選手一覧!$I$5:$I$2736,$F40))</f>
        <v>623</v>
      </c>
    </row>
    <row r="41" customFormat="false" ht="15" hidden="false" customHeight="false" outlineLevel="0" collapsed="false">
      <c r="A41" s="12" t="n">
        <v>37</v>
      </c>
      <c r="B41" s="8" t="s">
        <v>439</v>
      </c>
      <c r="C41" s="8" t="s">
        <v>440</v>
      </c>
      <c r="D41" s="11" t="n">
        <v>0.00650520833333333</v>
      </c>
      <c r="E41" s="39" t="n">
        <f aca="false">ROUND((D41-$D$5)*86400,2)</f>
        <v>23.03</v>
      </c>
      <c r="F41" s="12" t="n">
        <v>228</v>
      </c>
      <c r="G41" s="11" t="n">
        <f aca="false">IF(INDEX(選手一覧!$D$5:$D$2736,$F41)="","",INDEX(選手一覧!$D$5:$D$2736,$F41))</f>
        <v>0.0103741898148148</v>
      </c>
      <c r="H41" s="12" t="n">
        <f aca="false">IF(INDEX(選手一覧!$E$5:$E$2736,$F41)="","",INDEX(選手一覧!$E$5:$E$2736,$F41))</f>
        <v>229</v>
      </c>
      <c r="I41" s="11" t="n">
        <f aca="false">IF(INDEX(選手一覧!$H$5:$H$2736,$F41)="","",INDEX(選手一覧!$H$5:$H$2736,$F41))</f>
        <v>0.00288148148148148</v>
      </c>
      <c r="J41" s="12" t="n">
        <f aca="false">IF(INDEX(選手一覧!$I$5:$I$2736,$F41)="","",INDEX(選手一覧!$I$5:$I$2736,$F41))</f>
        <v>784</v>
      </c>
    </row>
    <row r="42" customFormat="false" ht="15" hidden="false" customHeight="false" outlineLevel="0" collapsed="false">
      <c r="A42" s="12" t="n">
        <v>38</v>
      </c>
      <c r="B42" s="8" t="s">
        <v>520</v>
      </c>
      <c r="C42" s="8" t="s">
        <v>341</v>
      </c>
      <c r="D42" s="11" t="n">
        <v>0.00650740740740741</v>
      </c>
      <c r="E42" s="39" t="n">
        <f aca="false">ROUND((D42-$D$5)*86400,2)</f>
        <v>23.22</v>
      </c>
      <c r="F42" s="12" t="n">
        <v>278</v>
      </c>
      <c r="G42" s="11" t="n">
        <f aca="false">IF(INDEX(選手一覧!$D$5:$D$2736,$F42)="","",INDEX(選手一覧!$D$5:$D$2736,$F42))</f>
        <v>0.0104118055555556</v>
      </c>
      <c r="H42" s="12" t="n">
        <f aca="false">IF(INDEX(選手一覧!$E$5:$E$2736,$F42)="","",INDEX(選手一覧!$E$5:$E$2736,$F42))</f>
        <v>279</v>
      </c>
      <c r="I42" s="11" t="n">
        <f aca="false">IF(INDEX(選手一覧!$H$5:$H$2736,$F42)="","",INDEX(選手一覧!$H$5:$H$2736,$F42))</f>
        <v>0.00278425925925926</v>
      </c>
      <c r="J42" s="12" t="n">
        <f aca="false">IF(INDEX(選手一覧!$I$5:$I$2736,$F42)="","",INDEX(選手一覧!$I$5:$I$2736,$F42))</f>
        <v>217</v>
      </c>
    </row>
    <row r="43" customFormat="false" ht="15" hidden="false" customHeight="false" outlineLevel="0" collapsed="false">
      <c r="A43" s="12" t="n">
        <v>39</v>
      </c>
      <c r="B43" s="8" t="s">
        <v>486</v>
      </c>
      <c r="C43" s="8" t="s">
        <v>207</v>
      </c>
      <c r="D43" s="11" t="n">
        <v>0.00652337962962963</v>
      </c>
      <c r="E43" s="39" t="n">
        <f aca="false">ROUND((D43-$D$5)*86400,2)</f>
        <v>24.6</v>
      </c>
      <c r="F43" s="12" t="n">
        <v>255</v>
      </c>
      <c r="G43" s="11" t="n">
        <f aca="false">IF(INDEX(選手一覧!$D$5:$D$2736,$F43)="","",INDEX(選手一覧!$D$5:$D$2736,$F43))</f>
        <v>0.010396412037037</v>
      </c>
      <c r="H43" s="12" t="n">
        <f aca="false">IF(INDEX(選手一覧!$E$5:$E$2736,$F43)="","",INDEX(選手一覧!$E$5:$E$2736,$F43))</f>
        <v>256</v>
      </c>
      <c r="I43" s="11" t="n">
        <f aca="false">IF(INDEX(選手一覧!$H$5:$H$2736,$F43)="","",INDEX(選手一覧!$H$5:$H$2736,$F43))</f>
        <v>0.00278912037037037</v>
      </c>
      <c r="J43" s="12" t="n">
        <f aca="false">IF(INDEX(選手一覧!$I$5:$I$2736,$F43)="","",INDEX(選手一覧!$I$5:$I$2736,$F43))</f>
        <v>237</v>
      </c>
    </row>
    <row r="44" customFormat="false" ht="15" hidden="false" customHeight="false" outlineLevel="0" collapsed="false">
      <c r="A44" s="12" t="n">
        <v>40</v>
      </c>
      <c r="B44" s="8" t="s">
        <v>595</v>
      </c>
      <c r="C44" s="8" t="s">
        <v>423</v>
      </c>
      <c r="D44" s="11" t="n">
        <v>0.00652893518518519</v>
      </c>
      <c r="E44" s="39" t="n">
        <f aca="false">ROUND((D44-$D$5)*86400,2)</f>
        <v>25.08</v>
      </c>
      <c r="F44" s="12" t="n">
        <v>322</v>
      </c>
      <c r="G44" s="11" t="n">
        <f aca="false">IF(INDEX(選手一覧!$D$5:$D$2736,$F44)="","",INDEX(選手一覧!$D$5:$D$2736,$F44))</f>
        <v>0.0104782407407407</v>
      </c>
      <c r="H44" s="12" t="n">
        <f aca="false">IF(INDEX(選手一覧!$E$5:$E$2736,$F44)="","",INDEX(選手一覧!$E$5:$E$2736,$F44))</f>
        <v>323</v>
      </c>
      <c r="I44" s="11" t="str">
        <f aca="false">IF(INDEX(選手一覧!$H$5:$H$2736,$F44)="","",INDEX(選手一覧!$H$5:$H$2736,$F44))</f>
        <v/>
      </c>
      <c r="J44" s="12" t="str">
        <f aca="false">IF(INDEX(選手一覧!$I$5:$I$2736,$F44)="","",INDEX(選手一覧!$I$5:$I$2736,$F44))</f>
        <v/>
      </c>
    </row>
    <row r="45" customFormat="false" ht="15" hidden="false" customHeight="false" outlineLevel="0" collapsed="false">
      <c r="A45" s="12" t="n">
        <v>41</v>
      </c>
      <c r="B45" s="8" t="s">
        <v>1073</v>
      </c>
      <c r="C45" s="8" t="s">
        <v>70</v>
      </c>
      <c r="D45" s="11" t="n">
        <v>0.00653611111111111</v>
      </c>
      <c r="E45" s="39" t="n">
        <f aca="false">ROUND((D45-$D$5)*86400,2)</f>
        <v>25.7</v>
      </c>
      <c r="F45" s="12" t="n">
        <v>635</v>
      </c>
      <c r="G45" s="11" t="n">
        <f aca="false">IF(INDEX(選手一覧!$D$5:$D$2736,$F45)="","",INDEX(選手一覧!$D$5:$D$2736,$F45))</f>
        <v>0.0107318287037037</v>
      </c>
      <c r="H45" s="12" t="n">
        <f aca="false">IF(INDEX(選手一覧!$E$5:$E$2736,$F45)="","",INDEX(選手一覧!$E$5:$E$2736,$F45))</f>
        <v>636</v>
      </c>
      <c r="I45" s="11" t="n">
        <f aca="false">IF(INDEX(選手一覧!$H$5:$H$2736,$F45)="","",INDEX(選手一覧!$H$5:$H$2736,$F45))</f>
        <v>0.00287986111111111</v>
      </c>
      <c r="J45" s="12" t="n">
        <f aca="false">IF(INDEX(選手一覧!$I$5:$I$2736,$F45)="","",INDEX(選手一覧!$I$5:$I$2736,$F45))</f>
        <v>770</v>
      </c>
    </row>
    <row r="46" customFormat="false" ht="15" hidden="false" customHeight="false" outlineLevel="0" collapsed="false">
      <c r="A46" s="12" t="n">
        <v>42</v>
      </c>
      <c r="B46" s="8" t="s">
        <v>1066</v>
      </c>
      <c r="C46" s="8" t="s">
        <v>236</v>
      </c>
      <c r="D46" s="11" t="n">
        <v>0.00653715277777778</v>
      </c>
      <c r="E46" s="39" t="n">
        <f aca="false">ROUND((D46-$D$5)*86400,2)</f>
        <v>25.79</v>
      </c>
      <c r="F46" s="12" t="n">
        <v>629</v>
      </c>
      <c r="G46" s="11" t="n">
        <f aca="false">IF(INDEX(選手一覧!$D$5:$D$2736,$F46)="","",INDEX(選手一覧!$D$5:$D$2736,$F46))</f>
        <v>0.0107283564814815</v>
      </c>
      <c r="H46" s="12" t="n">
        <f aca="false">IF(INDEX(選手一覧!$E$5:$E$2736,$F46)="","",INDEX(選手一覧!$E$5:$E$2736,$F46))</f>
        <v>630</v>
      </c>
      <c r="I46" s="11" t="str">
        <f aca="false">IF(INDEX(選手一覧!$H$5:$H$2736,$F46)="","",INDEX(選手一覧!$H$5:$H$2736,$F46))</f>
        <v/>
      </c>
      <c r="J46" s="12" t="str">
        <f aca="false">IF(INDEX(選手一覧!$I$5:$I$2736,$F46)="","",INDEX(選手一覧!$I$5:$I$2736,$F46))</f>
        <v/>
      </c>
    </row>
    <row r="47" customFormat="false" ht="15" hidden="false" customHeight="false" outlineLevel="0" collapsed="false">
      <c r="A47" s="12" t="n">
        <v>43</v>
      </c>
      <c r="B47" s="8" t="s">
        <v>347</v>
      </c>
      <c r="C47" s="8" t="s">
        <v>296</v>
      </c>
      <c r="D47" s="11" t="n">
        <v>0.006540625</v>
      </c>
      <c r="E47" s="39" t="n">
        <f aca="false">ROUND((D47-$D$5)*86400,2)</f>
        <v>26.09</v>
      </c>
      <c r="F47" s="12" t="n">
        <v>171</v>
      </c>
      <c r="G47" s="11" t="n">
        <f aca="false">IF(INDEX(選手一覧!$D$5:$D$2736,$F47)="","",INDEX(選手一覧!$D$5:$D$2736,$F47))</f>
        <v>0.0103181712962963</v>
      </c>
      <c r="H47" s="12" t="n">
        <f aca="false">IF(INDEX(選手一覧!$E$5:$E$2736,$F47)="","",INDEX(選手一覧!$E$5:$E$2736,$F47))</f>
        <v>172</v>
      </c>
      <c r="I47" s="11" t="n">
        <f aca="false">IF(INDEX(選手一覧!$H$5:$H$2736,$F47)="","",INDEX(選手一覧!$H$5:$H$2736,$F47))</f>
        <v>0.00277326388888889</v>
      </c>
      <c r="J47" s="12" t="n">
        <f aca="false">IF(INDEX(選手一覧!$I$5:$I$2736,$F47)="","",INDEX(選手一覧!$I$5:$I$2736,$F47))</f>
        <v>168</v>
      </c>
    </row>
    <row r="48" customFormat="false" ht="15" hidden="false" customHeight="false" outlineLevel="0" collapsed="false">
      <c r="A48" s="12" t="n">
        <v>44</v>
      </c>
      <c r="B48" s="8" t="s">
        <v>1633</v>
      </c>
      <c r="C48" s="8" t="s">
        <v>1634</v>
      </c>
      <c r="D48" s="11" t="n">
        <v>0.00654305555555556</v>
      </c>
      <c r="E48" s="39" t="n">
        <f aca="false">ROUND((D48-$D$5)*86400,2)</f>
        <v>26.3</v>
      </c>
      <c r="F48" s="12" t="n">
        <v>1009</v>
      </c>
      <c r="G48" s="11" t="n">
        <f aca="false">IF(INDEX(選手一覧!$D$5:$D$2736,$F48)="","",INDEX(選手一覧!$D$5:$D$2736,$F48))</f>
        <v>0.0109534722222222</v>
      </c>
      <c r="H48" s="12" t="n">
        <f aca="false">IF(INDEX(選手一覧!$E$5:$E$2736,$F48)="","",INDEX(選手一覧!$E$5:$E$2736,$F48))</f>
        <v>1010</v>
      </c>
      <c r="I48" s="11" t="str">
        <f aca="false">IF(INDEX(選手一覧!$H$5:$H$2736,$F48)="","",INDEX(選手一覧!$H$5:$H$2736,$F48))</f>
        <v/>
      </c>
      <c r="J48" s="12" t="str">
        <f aca="false">IF(INDEX(選手一覧!$I$5:$I$2736,$F48)="","",INDEX(選手一覧!$I$5:$I$2736,$F48))</f>
        <v/>
      </c>
    </row>
    <row r="49" customFormat="false" ht="15" hidden="false" customHeight="false" outlineLevel="0" collapsed="false">
      <c r="A49" s="12" t="n">
        <v>45</v>
      </c>
      <c r="B49" s="8" t="s">
        <v>343</v>
      </c>
      <c r="C49" s="8" t="s">
        <v>344</v>
      </c>
      <c r="D49" s="11" t="n">
        <v>0.00654826388888889</v>
      </c>
      <c r="E49" s="39" t="n">
        <f aca="false">ROUND((D49-$D$5)*86400,2)</f>
        <v>26.75</v>
      </c>
      <c r="F49" s="12" t="n">
        <v>169</v>
      </c>
      <c r="G49" s="11" t="n">
        <f aca="false">IF(INDEX(選手一覧!$D$5:$D$2736,$F49)="","",INDEX(選手一覧!$D$5:$D$2736,$F49))</f>
        <v>0.0103172453703704</v>
      </c>
      <c r="H49" s="12" t="n">
        <f aca="false">IF(INDEX(選手一覧!$E$5:$E$2736,$F49)="","",INDEX(選手一覧!$E$5:$E$2736,$F49))</f>
        <v>170</v>
      </c>
      <c r="I49" s="11" t="n">
        <f aca="false">IF(INDEX(選手一覧!$H$5:$H$2736,$F49)="","",INDEX(選手一覧!$H$5:$H$2736,$F49))</f>
        <v>0.00278391203703704</v>
      </c>
      <c r="J49" s="12" t="n">
        <f aca="false">IF(INDEX(選手一覧!$I$5:$I$2736,$F49)="","",INDEX(選手一覧!$I$5:$I$2736,$F49))</f>
        <v>216</v>
      </c>
    </row>
    <row r="50" customFormat="false" ht="15" hidden="false" customHeight="false" outlineLevel="0" collapsed="false">
      <c r="A50" s="12" t="n">
        <v>46</v>
      </c>
      <c r="B50" s="8" t="s">
        <v>638</v>
      </c>
      <c r="C50" s="8" t="s">
        <v>238</v>
      </c>
      <c r="D50" s="11" t="n">
        <v>0.00655925925925926</v>
      </c>
      <c r="E50" s="39" t="n">
        <f aca="false">ROUND((D50-$D$5)*86400,2)</f>
        <v>27.7</v>
      </c>
      <c r="F50" s="12" t="n">
        <v>351</v>
      </c>
      <c r="G50" s="11" t="n">
        <f aca="false">IF(INDEX(選手一覧!$D$5:$D$2736,$F50)="","",INDEX(選手一覧!$D$5:$D$2736,$F50))</f>
        <v>0.0105116898148148</v>
      </c>
      <c r="H50" s="12" t="n">
        <f aca="false">IF(INDEX(選手一覧!$E$5:$E$2736,$F50)="","",INDEX(選手一覧!$E$5:$E$2736,$F50))</f>
        <v>352</v>
      </c>
      <c r="I50" s="11" t="n">
        <f aca="false">IF(INDEX(選手一覧!$H$5:$H$2736,$F50)="","",INDEX(選手一覧!$H$5:$H$2736,$F50))</f>
        <v>0.00283414351851852</v>
      </c>
      <c r="J50" s="12" t="n">
        <f aca="false">IF(INDEX(選手一覧!$I$5:$I$2736,$F50)="","",INDEX(選手一覧!$I$5:$I$2736,$F50))</f>
        <v>451</v>
      </c>
    </row>
    <row r="51" customFormat="false" ht="15" hidden="false" customHeight="false" outlineLevel="0" collapsed="false">
      <c r="A51" s="12" t="n">
        <v>47</v>
      </c>
      <c r="B51" s="8" t="s">
        <v>636</v>
      </c>
      <c r="C51" s="8" t="s">
        <v>70</v>
      </c>
      <c r="D51" s="11" t="n">
        <v>0.006559375</v>
      </c>
      <c r="E51" s="39" t="n">
        <f aca="false">ROUND((D51-$D$5)*86400,2)</f>
        <v>27.71</v>
      </c>
      <c r="F51" s="12" t="n">
        <v>350</v>
      </c>
      <c r="G51" s="11" t="n">
        <f aca="false">IF(INDEX(選手一覧!$D$5:$D$2736,$F51)="","",INDEX(選手一覧!$D$5:$D$2736,$F51))</f>
        <v>0.0105115740740741</v>
      </c>
      <c r="H51" s="12" t="n">
        <f aca="false">IF(INDEX(選手一覧!$E$5:$E$2736,$F51)="","",INDEX(選手一覧!$E$5:$E$2736,$F51))</f>
        <v>351</v>
      </c>
      <c r="I51" s="11" t="n">
        <f aca="false">IF(INDEX(選手一覧!$H$5:$H$2736,$F51)="","",INDEX(選手一覧!$H$5:$H$2736,$F51))</f>
        <v>0.00293391203703704</v>
      </c>
      <c r="J51" s="12" t="n">
        <f aca="false">IF(INDEX(選手一覧!$I$5:$I$2736,$F51)="","",INDEX(選手一覧!$I$5:$I$2736,$F51))</f>
        <v>1182</v>
      </c>
    </row>
    <row r="52" customFormat="false" ht="15" hidden="false" customHeight="false" outlineLevel="0" collapsed="false">
      <c r="A52" s="12" t="n">
        <v>48</v>
      </c>
      <c r="B52" s="8" t="s">
        <v>874</v>
      </c>
      <c r="C52" s="8" t="s">
        <v>453</v>
      </c>
      <c r="D52" s="11" t="n">
        <v>0.00656226851851852</v>
      </c>
      <c r="E52" s="39" t="n">
        <f aca="false">ROUND((D52-$D$5)*86400,2)</f>
        <v>27.96</v>
      </c>
      <c r="F52" s="12" t="n">
        <v>501</v>
      </c>
      <c r="G52" s="11" t="n">
        <f aca="false">IF(INDEX(選手一覧!$D$5:$D$2736,$F52)="","",INDEX(選手一覧!$D$5:$D$2736,$F52))</f>
        <v>0.0106239583333333</v>
      </c>
      <c r="H52" s="12" t="n">
        <f aca="false">IF(INDEX(選手一覧!$E$5:$E$2736,$F52)="","",INDEX(選手一覧!$E$5:$E$2736,$F52))</f>
        <v>502</v>
      </c>
      <c r="I52" s="11" t="n">
        <f aca="false">IF(INDEX(選手一覧!$H$5:$H$2736,$F52)="","",INDEX(選手一覧!$H$5:$H$2736,$F52))</f>
        <v>0.00275960648148148</v>
      </c>
      <c r="J52" s="12" t="n">
        <f aca="false">IF(INDEX(選手一覧!$I$5:$I$2736,$F52)="","",INDEX(選手一覧!$I$5:$I$2736,$F52))</f>
        <v>135</v>
      </c>
    </row>
    <row r="53" customFormat="false" ht="15" hidden="false" customHeight="false" outlineLevel="0" collapsed="false">
      <c r="A53" s="12" t="n">
        <v>49</v>
      </c>
      <c r="B53" s="8" t="s">
        <v>1101</v>
      </c>
      <c r="C53" s="8" t="s">
        <v>344</v>
      </c>
      <c r="D53" s="11" t="n">
        <v>0.00656342592592593</v>
      </c>
      <c r="E53" s="39" t="n">
        <f aca="false">ROUND((D53-$D$5)*86400,2)</f>
        <v>28.06</v>
      </c>
      <c r="F53" s="12" t="n">
        <v>656</v>
      </c>
      <c r="G53" s="11" t="n">
        <f aca="false">IF(INDEX(選手一覧!$D$5:$D$2736,$F53)="","",INDEX(選手一覧!$D$5:$D$2736,$F53))</f>
        <v>0.0107427083333333</v>
      </c>
      <c r="H53" s="12" t="n">
        <f aca="false">IF(INDEX(選手一覧!$E$5:$E$2736,$F53)="","",INDEX(選手一覧!$E$5:$E$2736,$F53))</f>
        <v>657</v>
      </c>
      <c r="I53" s="11" t="n">
        <f aca="false">IF(INDEX(選手一覧!$H$5:$H$2736,$F53)="","",INDEX(選手一覧!$H$5:$H$2736,$F53))</f>
        <v>0.00286423611111111</v>
      </c>
      <c r="J53" s="12" t="n">
        <f aca="false">IF(INDEX(選手一覧!$I$5:$I$2736,$F53)="","",INDEX(選手一覧!$I$5:$I$2736,$F53))</f>
        <v>661</v>
      </c>
    </row>
    <row r="54" customFormat="false" ht="15" hidden="false" customHeight="false" outlineLevel="0" collapsed="false">
      <c r="A54" s="12" t="n">
        <v>50</v>
      </c>
      <c r="B54" s="8" t="s">
        <v>231</v>
      </c>
      <c r="C54" s="8" t="s">
        <v>148</v>
      </c>
      <c r="D54" s="11" t="n">
        <v>0.00656354166666667</v>
      </c>
      <c r="E54" s="39" t="n">
        <f aca="false">ROUND((D54-$D$5)*86400,2)</f>
        <v>28.07</v>
      </c>
      <c r="F54" s="12" t="n">
        <v>113</v>
      </c>
      <c r="G54" s="11" t="n">
        <f aca="false">IF(INDEX(選手一覧!$D$5:$D$2736,$F54)="","",INDEX(選手一覧!$D$5:$D$2736,$F54))</f>
        <v>0.0102357638888889</v>
      </c>
      <c r="H54" s="12" t="n">
        <f aca="false">IF(INDEX(選手一覧!$E$5:$E$2736,$F54)="","",INDEX(選手一覧!$E$5:$E$2736,$F54))</f>
        <v>114</v>
      </c>
      <c r="I54" s="11" t="n">
        <f aca="false">IF(INDEX(選手一覧!$H$5:$H$2736,$F54)="","",INDEX(選手一覧!$H$5:$H$2736,$F54))</f>
        <v>0.00269826388888889</v>
      </c>
      <c r="J54" s="12" t="n">
        <f aca="false">IF(INDEX(選手一覧!$I$5:$I$2736,$F54)="","",INDEX(選手一覧!$I$5:$I$2736,$F54))</f>
        <v>25</v>
      </c>
    </row>
    <row r="55" customFormat="false" ht="15" hidden="false" customHeight="false" outlineLevel="0" collapsed="false">
      <c r="A55" s="12" t="n">
        <v>51</v>
      </c>
      <c r="B55" s="8" t="s">
        <v>850</v>
      </c>
      <c r="C55" s="8" t="s">
        <v>851</v>
      </c>
      <c r="D55" s="11" t="n">
        <v>0.00656377314814815</v>
      </c>
      <c r="E55" s="39" t="n">
        <f aca="false">ROUND((D55-$D$5)*86400,2)</f>
        <v>28.09</v>
      </c>
      <c r="F55" s="12" t="n">
        <v>488</v>
      </c>
      <c r="G55" s="11" t="n">
        <f aca="false">IF(INDEX(選手一覧!$D$5:$D$2736,$F55)="","",INDEX(選手一覧!$D$5:$D$2736,$F55))</f>
        <v>0.0106162037037037</v>
      </c>
      <c r="H55" s="12" t="n">
        <f aca="false">IF(INDEX(選手一覧!$E$5:$E$2736,$F55)="","",INDEX(選手一覧!$E$5:$E$2736,$F55))</f>
        <v>489</v>
      </c>
      <c r="I55" s="11" t="n">
        <f aca="false">IF(INDEX(選手一覧!$H$5:$H$2736,$F55)="","",INDEX(選手一覧!$H$5:$H$2736,$F55))</f>
        <v>0.00284421296296296</v>
      </c>
      <c r="J55" s="12" t="n">
        <f aca="false">IF(INDEX(選手一覧!$I$5:$I$2736,$F55)="","",INDEX(選手一覧!$I$5:$I$2736,$F55))</f>
        <v>528</v>
      </c>
    </row>
    <row r="56" customFormat="false" ht="15" hidden="false" customHeight="false" outlineLevel="0" collapsed="false">
      <c r="A56" s="12" t="n">
        <v>52</v>
      </c>
      <c r="B56" s="8" t="s">
        <v>1115</v>
      </c>
      <c r="C56" s="8" t="s">
        <v>1116</v>
      </c>
      <c r="D56" s="11" t="n">
        <v>0.00656388888888889</v>
      </c>
      <c r="E56" s="39" t="n">
        <f aca="false">ROUND((D56-$D$5)*86400,2)</f>
        <v>28.1</v>
      </c>
      <c r="F56" s="12" t="n">
        <v>665</v>
      </c>
      <c r="G56" s="11" t="n">
        <f aca="false">IF(INDEX(選手一覧!$D$5:$D$2736,$F56)="","",INDEX(選手一覧!$D$5:$D$2736,$F56))</f>
        <v>0.0107493055555556</v>
      </c>
      <c r="H56" s="12" t="n">
        <f aca="false">IF(INDEX(選手一覧!$E$5:$E$2736,$F56)="","",INDEX(選手一覧!$E$5:$E$2736,$F56))</f>
        <v>666</v>
      </c>
      <c r="I56" s="11" t="str">
        <f aca="false">IF(INDEX(選手一覧!$H$5:$H$2736,$F56)="","",INDEX(選手一覧!$H$5:$H$2736,$F56))</f>
        <v/>
      </c>
      <c r="J56" s="12" t="str">
        <f aca="false">IF(INDEX(選手一覧!$I$5:$I$2736,$F56)="","",INDEX(選手一覧!$I$5:$I$2736,$F56))</f>
        <v/>
      </c>
    </row>
    <row r="57" customFormat="false" ht="15" hidden="false" customHeight="false" outlineLevel="0" collapsed="false">
      <c r="A57" s="12" t="n">
        <v>53</v>
      </c>
      <c r="B57" s="8" t="s">
        <v>767</v>
      </c>
      <c r="C57" s="8" t="s">
        <v>116</v>
      </c>
      <c r="D57" s="11" t="n">
        <v>0.00656412037037037</v>
      </c>
      <c r="E57" s="39" t="n">
        <f aca="false">ROUND((D57-$D$5)*86400,2)</f>
        <v>28.12</v>
      </c>
      <c r="F57" s="12" t="n">
        <v>432</v>
      </c>
      <c r="G57" s="11" t="n">
        <f aca="false">IF(INDEX(選手一覧!$D$5:$D$2736,$F57)="","",INDEX(選手一覧!$D$5:$D$2736,$F57))</f>
        <v>0.0105804398148148</v>
      </c>
      <c r="H57" s="12" t="n">
        <f aca="false">IF(INDEX(選手一覧!$E$5:$E$2736,$F57)="","",INDEX(選手一覧!$E$5:$E$2736,$F57))</f>
        <v>433</v>
      </c>
      <c r="I57" s="11" t="n">
        <f aca="false">IF(INDEX(選手一覧!$H$5:$H$2736,$F57)="","",INDEX(選手一覧!$H$5:$H$2736,$F57))</f>
        <v>0.00287986111111111</v>
      </c>
      <c r="J57" s="12" t="n">
        <f aca="false">IF(INDEX(選手一覧!$I$5:$I$2736,$F57)="","",INDEX(選手一覧!$I$5:$I$2736,$F57))</f>
        <v>769</v>
      </c>
    </row>
    <row r="58" customFormat="false" ht="15" hidden="false" customHeight="false" outlineLevel="0" collapsed="false">
      <c r="A58" s="12" t="n">
        <v>54</v>
      </c>
      <c r="B58" s="8" t="s">
        <v>732</v>
      </c>
      <c r="C58" s="8" t="s">
        <v>120</v>
      </c>
      <c r="D58" s="11" t="n">
        <v>0.00656631944444445</v>
      </c>
      <c r="E58" s="39" t="n">
        <f aca="false">ROUND((D58-$D$5)*86400,2)</f>
        <v>28.31</v>
      </c>
      <c r="F58" s="12" t="n">
        <v>410</v>
      </c>
      <c r="G58" s="11" t="n">
        <f aca="false">IF(INDEX(選手一覧!$D$5:$D$2736,$F58)="","",INDEX(選手一覧!$D$5:$D$2736,$F58))</f>
        <v>0.0105601851851852</v>
      </c>
      <c r="H58" s="12" t="n">
        <f aca="false">IF(INDEX(選手一覧!$E$5:$E$2736,$F58)="","",INDEX(選手一覧!$E$5:$E$2736,$F58))</f>
        <v>411</v>
      </c>
      <c r="I58" s="11" t="n">
        <f aca="false">IF(INDEX(選手一覧!$H$5:$H$2736,$F58)="","",INDEX(選手一覧!$H$5:$H$2736,$F58))</f>
        <v>0.00290775462962963</v>
      </c>
      <c r="J58" s="12" t="n">
        <f aca="false">IF(INDEX(選手一覧!$I$5:$I$2736,$F58)="","",INDEX(選手一覧!$I$5:$I$2736,$F58))</f>
        <v>999</v>
      </c>
    </row>
    <row r="59" customFormat="false" ht="15" hidden="false" customHeight="false" outlineLevel="0" collapsed="false">
      <c r="A59" s="12" t="n">
        <v>55</v>
      </c>
      <c r="B59" s="8" t="s">
        <v>718</v>
      </c>
      <c r="C59" s="8" t="s">
        <v>31</v>
      </c>
      <c r="D59" s="11" t="n">
        <v>0.00656655092592593</v>
      </c>
      <c r="E59" s="39" t="n">
        <f aca="false">ROUND((D59-$D$5)*86400,2)</f>
        <v>28.33</v>
      </c>
      <c r="F59" s="12" t="n">
        <v>403</v>
      </c>
      <c r="G59" s="11" t="n">
        <f aca="false">IF(INDEX(選手一覧!$D$5:$D$2736,$F59)="","",INDEX(選手一覧!$D$5:$D$2736,$F59))</f>
        <v>0.0105528935185185</v>
      </c>
      <c r="H59" s="12" t="n">
        <f aca="false">IF(INDEX(選手一覧!$E$5:$E$2736,$F59)="","",INDEX(選手一覧!$E$5:$E$2736,$F59))</f>
        <v>404</v>
      </c>
      <c r="I59" s="11" t="n">
        <f aca="false">IF(INDEX(選手一覧!$H$5:$H$2736,$F59)="","",INDEX(選手一覧!$H$5:$H$2736,$F59))</f>
        <v>0.00294768518518519</v>
      </c>
      <c r="J59" s="12" t="n">
        <f aca="false">IF(INDEX(選手一覧!$I$5:$I$2736,$F59)="","",INDEX(選手一覧!$I$5:$I$2736,$F59))</f>
        <v>1225</v>
      </c>
    </row>
    <row r="60" customFormat="false" ht="15" hidden="false" customHeight="false" outlineLevel="0" collapsed="false">
      <c r="A60" s="12" t="n">
        <v>56</v>
      </c>
      <c r="B60" s="8" t="s">
        <v>2036</v>
      </c>
      <c r="C60" s="8" t="s">
        <v>2037</v>
      </c>
      <c r="D60" s="11" t="n">
        <v>0.00656701388888889</v>
      </c>
      <c r="E60" s="39" t="n">
        <f aca="false">ROUND((D60-$D$5)*86400,2)</f>
        <v>28.37</v>
      </c>
      <c r="F60" s="12" t="n">
        <v>1294</v>
      </c>
      <c r="G60" s="11" t="str">
        <f aca="false">IF(INDEX(選手一覧!$D$5:$D$2736,$F60)="","",INDEX(選手一覧!$D$5:$D$2736,$F60))</f>
        <v/>
      </c>
      <c r="H60" s="12" t="str">
        <f aca="false">IF(INDEX(選手一覧!$E$5:$E$2736,$F60)="","",INDEX(選手一覧!$E$5:$E$2736,$F60))</f>
        <v/>
      </c>
      <c r="I60" s="11" t="n">
        <f aca="false">IF(INDEX(選手一覧!$H$5:$H$2736,$F60)="","",INDEX(選手一覧!$H$5:$H$2736,$F60))</f>
        <v>0.0028380787037037</v>
      </c>
      <c r="J60" s="12" t="n">
        <f aca="false">IF(INDEX(選手一覧!$I$5:$I$2736,$F60)="","",INDEX(選手一覧!$I$5:$I$2736,$F60))</f>
        <v>483</v>
      </c>
    </row>
    <row r="61" customFormat="false" ht="15" hidden="false" customHeight="false" outlineLevel="0" collapsed="false">
      <c r="A61" s="12" t="n">
        <v>57</v>
      </c>
      <c r="B61" s="8" t="s">
        <v>586</v>
      </c>
      <c r="C61" s="8" t="s">
        <v>525</v>
      </c>
      <c r="D61" s="11" t="n">
        <v>0.00656898148148148</v>
      </c>
      <c r="E61" s="39" t="n">
        <f aca="false">ROUND((D61-$D$5)*86400,2)</f>
        <v>28.54</v>
      </c>
      <c r="F61" s="12" t="n">
        <v>317</v>
      </c>
      <c r="G61" s="11" t="n">
        <f aca="false">IF(INDEX(選手一覧!$D$5:$D$2736,$F61)="","",INDEX(選手一覧!$D$5:$D$2736,$F61))</f>
        <v>0.0104730324074074</v>
      </c>
      <c r="H61" s="12" t="n">
        <f aca="false">IF(INDEX(選手一覧!$E$5:$E$2736,$F61)="","",INDEX(選手一覧!$E$5:$E$2736,$F61))</f>
        <v>318</v>
      </c>
      <c r="I61" s="11" t="n">
        <f aca="false">IF(INDEX(選手一覧!$H$5:$H$2736,$F61)="","",INDEX(選手一覧!$H$5:$H$2736,$F61))</f>
        <v>0.00279351851851852</v>
      </c>
      <c r="J61" s="12" t="n">
        <f aca="false">IF(INDEX(選手一覧!$I$5:$I$2736,$F61)="","",INDEX(選手一覧!$I$5:$I$2736,$F61))</f>
        <v>251</v>
      </c>
    </row>
    <row r="62" customFormat="false" ht="15" hidden="false" customHeight="false" outlineLevel="0" collapsed="false">
      <c r="A62" s="12" t="n">
        <v>58</v>
      </c>
      <c r="B62" s="8" t="s">
        <v>1384</v>
      </c>
      <c r="C62" s="8" t="s">
        <v>1385</v>
      </c>
      <c r="D62" s="11" t="n">
        <v>0.00656909722222222</v>
      </c>
      <c r="E62" s="39" t="n">
        <f aca="false">ROUND((D62-$D$5)*86400,2)</f>
        <v>28.55</v>
      </c>
      <c r="F62" s="12" t="n">
        <v>843</v>
      </c>
      <c r="G62" s="11" t="n">
        <f aca="false">IF(INDEX(選手一覧!$D$5:$D$2736,$F62)="","",INDEX(選手一覧!$D$5:$D$2736,$F62))</f>
        <v>0.01085625</v>
      </c>
      <c r="H62" s="12" t="n">
        <f aca="false">IF(INDEX(選手一覧!$E$5:$E$2736,$F62)="","",INDEX(選手一覧!$E$5:$E$2736,$F62))</f>
        <v>844</v>
      </c>
      <c r="I62" s="11" t="n">
        <f aca="false">IF(INDEX(選手一覧!$H$5:$H$2736,$F62)="","",INDEX(選手一覧!$H$5:$H$2736,$F62))</f>
        <v>0.00284525462962963</v>
      </c>
      <c r="J62" s="12" t="n">
        <f aca="false">IF(INDEX(選手一覧!$I$5:$I$2736,$F62)="","",INDEX(選手一覧!$I$5:$I$2736,$F62))</f>
        <v>538</v>
      </c>
    </row>
    <row r="63" customFormat="false" ht="15" hidden="false" customHeight="false" outlineLevel="0" collapsed="false">
      <c r="A63" s="12" t="n">
        <v>59</v>
      </c>
      <c r="B63" s="8" t="s">
        <v>556</v>
      </c>
      <c r="C63" s="8" t="s">
        <v>118</v>
      </c>
      <c r="D63" s="11" t="n">
        <v>0.00657083333333333</v>
      </c>
      <c r="E63" s="39" t="n">
        <f aca="false">ROUND((D63-$D$5)*86400,2)</f>
        <v>28.7</v>
      </c>
      <c r="F63" s="12" t="n">
        <v>300</v>
      </c>
      <c r="G63" s="11" t="n">
        <f aca="false">IF(INDEX(選手一覧!$D$5:$D$2736,$F63)="","",INDEX(選手一覧!$D$5:$D$2736,$F63))</f>
        <v>0.0104480324074074</v>
      </c>
      <c r="H63" s="12" t="n">
        <f aca="false">IF(INDEX(選手一覧!$E$5:$E$2736,$F63)="","",INDEX(選手一覧!$E$5:$E$2736,$F63))</f>
        <v>301</v>
      </c>
      <c r="I63" s="11" t="n">
        <f aca="false">IF(INDEX(選手一覧!$H$5:$H$2736,$F63)="","",INDEX(選手一覧!$H$5:$H$2736,$F63))</f>
        <v>0.00284861111111111</v>
      </c>
      <c r="J63" s="12" t="n">
        <f aca="false">IF(INDEX(選手一覧!$I$5:$I$2736,$F63)="","",INDEX(選手一覧!$I$5:$I$2736,$F63))</f>
        <v>559</v>
      </c>
    </row>
    <row r="64" customFormat="false" ht="15" hidden="false" customHeight="false" outlineLevel="0" collapsed="false">
      <c r="A64" s="12" t="n">
        <v>60</v>
      </c>
      <c r="B64" s="8" t="s">
        <v>740</v>
      </c>
      <c r="C64" s="8" t="s">
        <v>64</v>
      </c>
      <c r="D64" s="11" t="n">
        <v>0.00657152777777778</v>
      </c>
      <c r="E64" s="39" t="n">
        <f aca="false">ROUND((D64-$D$5)*86400,2)</f>
        <v>28.76</v>
      </c>
      <c r="F64" s="12" t="n">
        <v>414</v>
      </c>
      <c r="G64" s="11" t="n">
        <f aca="false">IF(INDEX(選手一覧!$D$5:$D$2736,$F64)="","",INDEX(選手一覧!$D$5:$D$2736,$F64))</f>
        <v>0.0105637731481482</v>
      </c>
      <c r="H64" s="12" t="n">
        <f aca="false">IF(INDEX(選手一覧!$E$5:$E$2736,$F64)="","",INDEX(選手一覧!$E$5:$E$2736,$F64))</f>
        <v>415</v>
      </c>
      <c r="I64" s="11" t="str">
        <f aca="false">IF(INDEX(選手一覧!$H$5:$H$2736,$F64)="","",INDEX(選手一覧!$H$5:$H$2736,$F64))</f>
        <v/>
      </c>
      <c r="J64" s="12" t="str">
        <f aca="false">IF(INDEX(選手一覧!$I$5:$I$2736,$F64)="","",INDEX(選手一覧!$I$5:$I$2736,$F64))</f>
        <v/>
      </c>
    </row>
    <row r="65" customFormat="false" ht="15" hidden="false" customHeight="false" outlineLevel="0" collapsed="false">
      <c r="A65" s="12" t="n">
        <v>61</v>
      </c>
      <c r="B65" s="8" t="s">
        <v>1894</v>
      </c>
      <c r="C65" s="8" t="s">
        <v>341</v>
      </c>
      <c r="D65" s="11" t="n">
        <v>0.006571875</v>
      </c>
      <c r="E65" s="39" t="n">
        <f aca="false">ROUND((D65-$D$5)*86400,2)</f>
        <v>28.79</v>
      </c>
      <c r="F65" s="12" t="n">
        <v>1185</v>
      </c>
      <c r="G65" s="11" t="n">
        <f aca="false">IF(INDEX(選手一覧!$D$5:$D$2736,$F65)="","",INDEX(選手一覧!$D$5:$D$2736,$F65))</f>
        <v>0.0110438657407407</v>
      </c>
      <c r="H65" s="12" t="n">
        <f aca="false">IF(INDEX(選手一覧!$E$5:$E$2736,$F65)="","",INDEX(選手一覧!$E$5:$E$2736,$F65))</f>
        <v>1186</v>
      </c>
      <c r="I65" s="11" t="str">
        <f aca="false">IF(INDEX(選手一覧!$H$5:$H$2736,$F65)="","",INDEX(選手一覧!$H$5:$H$2736,$F65))</f>
        <v/>
      </c>
      <c r="J65" s="12" t="str">
        <f aca="false">IF(INDEX(選手一覧!$I$5:$I$2736,$F65)="","",INDEX(選手一覧!$I$5:$I$2736,$F65))</f>
        <v/>
      </c>
    </row>
    <row r="66" customFormat="false" ht="15" hidden="false" customHeight="false" outlineLevel="0" collapsed="false">
      <c r="A66" s="12" t="n">
        <v>62</v>
      </c>
      <c r="B66" s="8" t="s">
        <v>1223</v>
      </c>
      <c r="C66" s="8" t="s">
        <v>1224</v>
      </c>
      <c r="D66" s="11" t="n">
        <v>0.00658078703703704</v>
      </c>
      <c r="E66" s="39" t="n">
        <f aca="false">ROUND((D66-$D$5)*86400,2)</f>
        <v>29.56</v>
      </c>
      <c r="F66" s="12" t="n">
        <v>732</v>
      </c>
      <c r="G66" s="11" t="n">
        <f aca="false">IF(INDEX(選手一覧!$D$5:$D$2736,$F66)="","",INDEX(選手一覧!$D$5:$D$2736,$F66))</f>
        <v>0.010794212962963</v>
      </c>
      <c r="H66" s="12" t="n">
        <f aca="false">IF(INDEX(選手一覧!$E$5:$E$2736,$F66)="","",INDEX(選手一覧!$E$5:$E$2736,$F66))</f>
        <v>733</v>
      </c>
      <c r="I66" s="11" t="n">
        <f aca="false">IF(INDEX(選手一覧!$H$5:$H$2736,$F66)="","",INDEX(選手一覧!$H$5:$H$2736,$F66))</f>
        <v>0.00291354166666667</v>
      </c>
      <c r="J66" s="12" t="n">
        <f aca="false">IF(INDEX(選手一覧!$I$5:$I$2736,$F66)="","",INDEX(選手一覧!$I$5:$I$2736,$F66))</f>
        <v>1046</v>
      </c>
    </row>
    <row r="67" customFormat="false" ht="15" hidden="false" customHeight="false" outlineLevel="0" collapsed="false">
      <c r="A67" s="12" t="n">
        <v>63</v>
      </c>
      <c r="B67" s="8" t="s">
        <v>2038</v>
      </c>
      <c r="C67" s="8" t="s">
        <v>2039</v>
      </c>
      <c r="D67" s="11" t="n">
        <v>0.00658125</v>
      </c>
      <c r="E67" s="39" t="n">
        <f aca="false">ROUND((D67-$D$5)*86400,2)</f>
        <v>29.6</v>
      </c>
      <c r="F67" s="12" t="n">
        <v>1295</v>
      </c>
      <c r="G67" s="11" t="str">
        <f aca="false">IF(INDEX(選手一覧!$D$5:$D$2736,$F67)="","",INDEX(選手一覧!$D$5:$D$2736,$F67))</f>
        <v/>
      </c>
      <c r="H67" s="12" t="str">
        <f aca="false">IF(INDEX(選手一覧!$E$5:$E$2736,$F67)="","",INDEX(選手一覧!$E$5:$E$2736,$F67))</f>
        <v/>
      </c>
      <c r="I67" s="11" t="n">
        <f aca="false">IF(INDEX(選手一覧!$H$5:$H$2736,$F67)="","",INDEX(選手一覧!$H$5:$H$2736,$F67))</f>
        <v>0.00282916666666667</v>
      </c>
      <c r="J67" s="12" t="n">
        <f aca="false">IF(INDEX(選手一覧!$I$5:$I$2736,$F67)="","",INDEX(選手一覧!$I$5:$I$2736,$F67))</f>
        <v>421</v>
      </c>
    </row>
    <row r="68" customFormat="false" ht="15" hidden="false" customHeight="false" outlineLevel="0" collapsed="false">
      <c r="A68" s="12" t="n">
        <v>64</v>
      </c>
      <c r="B68" s="8" t="s">
        <v>2040</v>
      </c>
      <c r="C68" s="8" t="s">
        <v>1853</v>
      </c>
      <c r="D68" s="11" t="n">
        <v>0.00658298611111111</v>
      </c>
      <c r="E68" s="39" t="n">
        <f aca="false">ROUND((D68-$D$5)*86400,2)</f>
        <v>29.75</v>
      </c>
      <c r="F68" s="12" t="n">
        <v>1296</v>
      </c>
      <c r="G68" s="11" t="str">
        <f aca="false">IF(INDEX(選手一覧!$D$5:$D$2736,$F68)="","",INDEX(選手一覧!$D$5:$D$2736,$F68))</f>
        <v/>
      </c>
      <c r="H68" s="12" t="str">
        <f aca="false">IF(INDEX(選手一覧!$E$5:$E$2736,$F68)="","",INDEX(選手一覧!$E$5:$E$2736,$F68))</f>
        <v/>
      </c>
      <c r="I68" s="11" t="str">
        <f aca="false">IF(INDEX(選手一覧!$H$5:$H$2736,$F68)="","",INDEX(選手一覧!$H$5:$H$2736,$F68))</f>
        <v/>
      </c>
      <c r="J68" s="12" t="str">
        <f aca="false">IF(INDEX(選手一覧!$I$5:$I$2736,$F68)="","",INDEX(選手一覧!$I$5:$I$2736,$F68))</f>
        <v/>
      </c>
    </row>
    <row r="69" customFormat="false" ht="15" hidden="false" customHeight="false" outlineLevel="0" collapsed="false">
      <c r="A69" s="12" t="n">
        <v>65</v>
      </c>
      <c r="B69" s="8" t="s">
        <v>2041</v>
      </c>
      <c r="C69" s="8" t="s">
        <v>2042</v>
      </c>
      <c r="D69" s="11" t="n">
        <v>0.00658587962962963</v>
      </c>
      <c r="E69" s="39" t="n">
        <f aca="false">ROUND((D69-$D$5)*86400,2)</f>
        <v>30</v>
      </c>
      <c r="F69" s="12" t="n">
        <v>1297</v>
      </c>
      <c r="G69" s="11" t="str">
        <f aca="false">IF(INDEX(選手一覧!$D$5:$D$2736,$F69)="","",INDEX(選手一覧!$D$5:$D$2736,$F69))</f>
        <v/>
      </c>
      <c r="H69" s="12" t="str">
        <f aca="false">IF(INDEX(選手一覧!$E$5:$E$2736,$F69)="","",INDEX(選手一覧!$E$5:$E$2736,$F69))</f>
        <v/>
      </c>
      <c r="I69" s="11" t="str">
        <f aca="false">IF(INDEX(選手一覧!$H$5:$H$2736,$F69)="","",INDEX(選手一覧!$H$5:$H$2736,$F69))</f>
        <v/>
      </c>
      <c r="J69" s="12" t="str">
        <f aca="false">IF(INDEX(選手一覧!$I$5:$I$2736,$F69)="","",INDEX(選手一覧!$I$5:$I$2736,$F69))</f>
        <v/>
      </c>
    </row>
    <row r="70" customFormat="false" ht="15" hidden="false" customHeight="false" outlineLevel="0" collapsed="false">
      <c r="A70" s="12" t="n">
        <v>66</v>
      </c>
      <c r="B70" s="8" t="s">
        <v>934</v>
      </c>
      <c r="C70" s="8" t="s">
        <v>309</v>
      </c>
      <c r="D70" s="11" t="n">
        <v>0.00659155092592593</v>
      </c>
      <c r="E70" s="39" t="n">
        <f aca="false">ROUND((D70-$D$5)*86400,2)</f>
        <v>30.49</v>
      </c>
      <c r="F70" s="12" t="n">
        <v>536</v>
      </c>
      <c r="G70" s="11" t="n">
        <f aca="false">IF(INDEX(選手一覧!$D$5:$D$2736,$F70)="","",INDEX(選手一覧!$D$5:$D$2736,$F70))</f>
        <v>0.0106621527777778</v>
      </c>
      <c r="H70" s="12" t="n">
        <f aca="false">IF(INDEX(選手一覧!$E$5:$E$2736,$F70)="","",INDEX(選手一覧!$E$5:$E$2736,$F70))</f>
        <v>537</v>
      </c>
      <c r="I70" s="11" t="str">
        <f aca="false">IF(INDEX(選手一覧!$H$5:$H$2736,$F70)="","",INDEX(選手一覧!$H$5:$H$2736,$F70))</f>
        <v/>
      </c>
      <c r="J70" s="12" t="str">
        <f aca="false">IF(INDEX(選手一覧!$I$5:$I$2736,$F70)="","",INDEX(選手一覧!$I$5:$I$2736,$F70))</f>
        <v/>
      </c>
    </row>
    <row r="71" customFormat="false" ht="15" hidden="false" customHeight="false" outlineLevel="0" collapsed="false">
      <c r="A71" s="12" t="n">
        <v>67</v>
      </c>
      <c r="B71" s="8" t="s">
        <v>819</v>
      </c>
      <c r="C71" s="8" t="s">
        <v>179</v>
      </c>
      <c r="D71" s="11" t="n">
        <v>0.00659479166666667</v>
      </c>
      <c r="E71" s="39" t="n">
        <f aca="false">ROUND((D71-$D$5)*86400,2)</f>
        <v>30.77</v>
      </c>
      <c r="F71" s="12" t="n">
        <v>467</v>
      </c>
      <c r="G71" s="11" t="n">
        <f aca="false">IF(INDEX(選手一覧!$D$5:$D$2736,$F71)="","",INDEX(選手一覧!$D$5:$D$2736,$F71))</f>
        <v>0.0106052083333333</v>
      </c>
      <c r="H71" s="12" t="n">
        <f aca="false">IF(INDEX(選手一覧!$E$5:$E$2736,$F71)="","",INDEX(選手一覧!$E$5:$E$2736,$F71))</f>
        <v>468</v>
      </c>
      <c r="I71" s="11" t="n">
        <f aca="false">IF(INDEX(選手一覧!$H$5:$H$2736,$F71)="","",INDEX(選手一覧!$H$5:$H$2736,$F71))</f>
        <v>0.0027806712962963</v>
      </c>
      <c r="J71" s="12" t="n">
        <f aca="false">IF(INDEX(選手一覧!$I$5:$I$2736,$F71)="","",INDEX(選手一覧!$I$5:$I$2736,$F71))</f>
        <v>205</v>
      </c>
    </row>
    <row r="72" customFormat="false" ht="15" hidden="false" customHeight="false" outlineLevel="0" collapsed="false">
      <c r="A72" s="12" t="n">
        <v>68</v>
      </c>
      <c r="B72" s="8" t="s">
        <v>710</v>
      </c>
      <c r="C72" s="8" t="s">
        <v>316</v>
      </c>
      <c r="D72" s="11" t="n">
        <v>0.00659895833333333</v>
      </c>
      <c r="E72" s="39" t="n">
        <f aca="false">ROUND((D72-$D$5)*86400,2)</f>
        <v>31.13</v>
      </c>
      <c r="F72" s="12" t="n">
        <v>397</v>
      </c>
      <c r="G72" s="11" t="n">
        <f aca="false">IF(INDEX(選手一覧!$D$5:$D$2736,$F72)="","",INDEX(選手一覧!$D$5:$D$2736,$F72))</f>
        <v>0.0105496527777778</v>
      </c>
      <c r="H72" s="12" t="n">
        <f aca="false">IF(INDEX(選手一覧!$E$5:$E$2736,$F72)="","",INDEX(選手一覧!$E$5:$E$2736,$F72))</f>
        <v>398</v>
      </c>
      <c r="I72" s="11" t="n">
        <f aca="false">IF(INDEX(選手一覧!$H$5:$H$2736,$F72)="","",INDEX(選手一覧!$H$5:$H$2736,$F72))</f>
        <v>0.00293402777777778</v>
      </c>
      <c r="J72" s="12" t="n">
        <f aca="false">IF(INDEX(選手一覧!$I$5:$I$2736,$F72)="","",INDEX(選手一覧!$I$5:$I$2736,$F72))</f>
        <v>1183</v>
      </c>
    </row>
    <row r="73" customFormat="false" ht="15" hidden="false" customHeight="false" outlineLevel="0" collapsed="false">
      <c r="A73" s="12" t="n">
        <v>69</v>
      </c>
      <c r="B73" s="8" t="s">
        <v>1361</v>
      </c>
      <c r="C73" s="8" t="s">
        <v>940</v>
      </c>
      <c r="D73" s="11" t="n">
        <v>0.0066087962962963</v>
      </c>
      <c r="E73" s="39" t="n">
        <f aca="false">ROUND((D73-$D$5)*86400,2)</f>
        <v>31.98</v>
      </c>
      <c r="F73" s="12" t="n">
        <v>826</v>
      </c>
      <c r="G73" s="11" t="n">
        <f aca="false">IF(INDEX(選手一覧!$D$5:$D$2736,$F73)="","",INDEX(選手一覧!$D$5:$D$2736,$F73))</f>
        <v>0.010846412037037</v>
      </c>
      <c r="H73" s="12" t="n">
        <f aca="false">IF(INDEX(選手一覧!$E$5:$E$2736,$F73)="","",INDEX(選手一覧!$E$5:$E$2736,$F73))</f>
        <v>827</v>
      </c>
      <c r="I73" s="11" t="n">
        <f aca="false">IF(INDEX(選手一覧!$H$5:$H$2736,$F73)="","",INDEX(選手一覧!$H$5:$H$2736,$F73))</f>
        <v>0.00290763888888889</v>
      </c>
      <c r="J73" s="12" t="n">
        <f aca="false">IF(INDEX(選手一覧!$I$5:$I$2736,$F73)="","",INDEX(選手一覧!$I$5:$I$2736,$F73))</f>
        <v>997</v>
      </c>
    </row>
    <row r="74" customFormat="false" ht="15" hidden="false" customHeight="false" outlineLevel="0" collapsed="false">
      <c r="A74" s="12" t="n">
        <v>70</v>
      </c>
      <c r="B74" s="8" t="s">
        <v>1727</v>
      </c>
      <c r="C74" s="8" t="s">
        <v>58</v>
      </c>
      <c r="D74" s="11" t="n">
        <v>0.00661006944444444</v>
      </c>
      <c r="E74" s="39" t="n">
        <f aca="false">ROUND((D74-$D$5)*86400,2)</f>
        <v>32.09</v>
      </c>
      <c r="F74" s="12" t="n">
        <v>1072</v>
      </c>
      <c r="G74" s="11" t="n">
        <f aca="false">IF(INDEX(選手一覧!$D$5:$D$2736,$F74)="","",INDEX(選手一覧!$D$5:$D$2736,$F74))</f>
        <v>0.0109865740740741</v>
      </c>
      <c r="H74" s="12" t="n">
        <f aca="false">IF(INDEX(選手一覧!$E$5:$E$2736,$F74)="","",INDEX(選手一覧!$E$5:$E$2736,$F74))</f>
        <v>1073</v>
      </c>
      <c r="I74" s="11" t="n">
        <f aca="false">IF(INDEX(選手一覧!$H$5:$H$2736,$F74)="","",INDEX(選手一覧!$H$5:$H$2736,$F74))</f>
        <v>0.00288993055555556</v>
      </c>
      <c r="J74" s="12" t="n">
        <f aca="false">IF(INDEX(選手一覧!$I$5:$I$2736,$F74)="","",INDEX(選手一覧!$I$5:$I$2736,$F74))</f>
        <v>864</v>
      </c>
    </row>
    <row r="75" customFormat="false" ht="15" hidden="false" customHeight="false" outlineLevel="0" collapsed="false">
      <c r="A75" s="12" t="n">
        <v>71</v>
      </c>
      <c r="B75" s="8" t="s">
        <v>887</v>
      </c>
      <c r="C75" s="8" t="s">
        <v>616</v>
      </c>
      <c r="D75" s="11" t="n">
        <v>0.00661840277777778</v>
      </c>
      <c r="E75" s="39" t="n">
        <f aca="false">ROUND((D75-$D$5)*86400,2)</f>
        <v>32.81</v>
      </c>
      <c r="F75" s="12" t="n">
        <v>508</v>
      </c>
      <c r="G75" s="11" t="n">
        <f aca="false">IF(INDEX(選手一覧!$D$5:$D$2736,$F75)="","",INDEX(選手一覧!$D$5:$D$2736,$F75))</f>
        <v>0.0106396990740741</v>
      </c>
      <c r="H75" s="12" t="n">
        <f aca="false">IF(INDEX(選手一覧!$E$5:$E$2736,$F75)="","",INDEX(選手一覧!$E$5:$E$2736,$F75))</f>
        <v>509</v>
      </c>
      <c r="I75" s="11" t="n">
        <f aca="false">IF(INDEX(選手一覧!$H$5:$H$2736,$F75)="","",INDEX(選手一覧!$H$5:$H$2736,$F75))</f>
        <v>0.002884375</v>
      </c>
      <c r="J75" s="12" t="n">
        <f aca="false">IF(INDEX(選手一覧!$I$5:$I$2736,$F75)="","",INDEX(選手一覧!$I$5:$I$2736,$F75))</f>
        <v>811</v>
      </c>
    </row>
    <row r="76" customFormat="false" ht="15" hidden="false" customHeight="false" outlineLevel="0" collapsed="false">
      <c r="A76" s="12" t="n">
        <v>72</v>
      </c>
      <c r="B76" s="8" t="s">
        <v>2045</v>
      </c>
      <c r="C76" s="8" t="s">
        <v>2046</v>
      </c>
      <c r="D76" s="11" t="n">
        <v>0.00662453703703704</v>
      </c>
      <c r="E76" s="39" t="n">
        <f aca="false">ROUND((D76-$D$5)*86400,2)</f>
        <v>33.34</v>
      </c>
      <c r="F76" s="12" t="n">
        <v>1299</v>
      </c>
      <c r="G76" s="11" t="str">
        <f aca="false">IF(INDEX(選手一覧!$D$5:$D$2736,$F76)="","",INDEX(選手一覧!$D$5:$D$2736,$F76))</f>
        <v/>
      </c>
      <c r="H76" s="12" t="str">
        <f aca="false">IF(INDEX(選手一覧!$E$5:$E$2736,$F76)="","",INDEX(選手一覧!$E$5:$E$2736,$F76))</f>
        <v/>
      </c>
      <c r="I76" s="11" t="str">
        <f aca="false">IF(INDEX(選手一覧!$H$5:$H$2736,$F76)="","",INDEX(選手一覧!$H$5:$H$2736,$F76))</f>
        <v/>
      </c>
      <c r="J76" s="12" t="str">
        <f aca="false">IF(INDEX(選手一覧!$I$5:$I$2736,$F76)="","",INDEX(選手一覧!$I$5:$I$2736,$F76))</f>
        <v/>
      </c>
    </row>
    <row r="77" customFormat="false" ht="15" hidden="false" customHeight="false" outlineLevel="0" collapsed="false">
      <c r="A77" s="12" t="n">
        <v>73</v>
      </c>
      <c r="B77" s="8" t="s">
        <v>1178</v>
      </c>
      <c r="C77" s="8" t="s">
        <v>622</v>
      </c>
      <c r="D77" s="11" t="n">
        <v>0.0066275462962963</v>
      </c>
      <c r="E77" s="39" t="n">
        <f aca="false">ROUND((D77-$D$5)*86400,2)</f>
        <v>33.6</v>
      </c>
      <c r="F77" s="12" t="n">
        <v>704</v>
      </c>
      <c r="G77" s="11" t="n">
        <f aca="false">IF(INDEX(選手一覧!$D$5:$D$2736,$F77)="","",INDEX(選手一覧!$D$5:$D$2736,$F77))</f>
        <v>0.0107778935185185</v>
      </c>
      <c r="H77" s="12" t="n">
        <f aca="false">IF(INDEX(選手一覧!$E$5:$E$2736,$F77)="","",INDEX(選手一覧!$E$5:$E$2736,$F77))</f>
        <v>705</v>
      </c>
      <c r="I77" s="11" t="n">
        <f aca="false">IF(INDEX(選手一覧!$H$5:$H$2736,$F77)="","",INDEX(選手一覧!$H$5:$H$2736,$F77))</f>
        <v>0.00289895833333333</v>
      </c>
      <c r="J77" s="12" t="n">
        <f aca="false">IF(INDEX(選手一覧!$I$5:$I$2736,$F77)="","",INDEX(選手一覧!$I$5:$I$2736,$F77))</f>
        <v>938</v>
      </c>
    </row>
    <row r="78" customFormat="false" ht="15" hidden="false" customHeight="false" outlineLevel="0" collapsed="false">
      <c r="A78" s="12" t="n">
        <v>74</v>
      </c>
      <c r="B78" s="8" t="s">
        <v>1135</v>
      </c>
      <c r="C78" s="8" t="s">
        <v>130</v>
      </c>
      <c r="D78" s="11" t="n">
        <v>0.00663287037037037</v>
      </c>
      <c r="E78" s="39" t="n">
        <f aca="false">ROUND((D78-$D$5)*86400,2)</f>
        <v>34.06</v>
      </c>
      <c r="F78" s="12" t="n">
        <v>676</v>
      </c>
      <c r="G78" s="11" t="n">
        <f aca="false">IF(INDEX(選手一覧!$D$5:$D$2736,$F78)="","",INDEX(選手一覧!$D$5:$D$2736,$F78))</f>
        <v>0.01075625</v>
      </c>
      <c r="H78" s="12" t="n">
        <f aca="false">IF(INDEX(選手一覧!$E$5:$E$2736,$F78)="","",INDEX(選手一覧!$E$5:$E$2736,$F78))</f>
        <v>677</v>
      </c>
      <c r="I78" s="11" t="str">
        <f aca="false">IF(INDEX(選手一覧!$H$5:$H$2736,$F78)="","",INDEX(選手一覧!$H$5:$H$2736,$F78))</f>
        <v/>
      </c>
      <c r="J78" s="12" t="str">
        <f aca="false">IF(INDEX(選手一覧!$I$5:$I$2736,$F78)="","",INDEX(選手一覧!$I$5:$I$2736,$F78))</f>
        <v/>
      </c>
    </row>
    <row r="79" customFormat="false" ht="15" hidden="false" customHeight="false" outlineLevel="0" collapsed="false">
      <c r="A79" s="12" t="n">
        <v>75</v>
      </c>
      <c r="B79" s="8" t="s">
        <v>1486</v>
      </c>
      <c r="C79" s="8" t="s">
        <v>1487</v>
      </c>
      <c r="D79" s="11" t="n">
        <v>0.0066337962962963</v>
      </c>
      <c r="E79" s="39" t="n">
        <f aca="false">ROUND((D79-$D$5)*86400,2)</f>
        <v>34.14</v>
      </c>
      <c r="F79" s="12" t="n">
        <v>908</v>
      </c>
      <c r="G79" s="11" t="n">
        <f aca="false">IF(INDEX(選手一覧!$D$5:$D$2736,$F79)="","",INDEX(選手一覧!$D$5:$D$2736,$F79))</f>
        <v>0.0108936342592593</v>
      </c>
      <c r="H79" s="12" t="n">
        <f aca="false">IF(INDEX(選手一覧!$E$5:$E$2736,$F79)="","",INDEX(選手一覧!$E$5:$E$2736,$F79))</f>
        <v>909</v>
      </c>
      <c r="I79" s="11" t="str">
        <f aca="false">IF(INDEX(選手一覧!$H$5:$H$2736,$F79)="","",INDEX(選手一覧!$H$5:$H$2736,$F79))</f>
        <v/>
      </c>
      <c r="J79" s="12" t="str">
        <f aca="false">IF(INDEX(選手一覧!$I$5:$I$2736,$F79)="","",INDEX(選手一覧!$I$5:$I$2736,$F79))</f>
        <v/>
      </c>
    </row>
    <row r="80" customFormat="false" ht="15" hidden="false" customHeight="false" outlineLevel="0" collapsed="false">
      <c r="A80" s="12" t="n">
        <v>76</v>
      </c>
      <c r="B80" s="8" t="s">
        <v>618</v>
      </c>
      <c r="C80" s="8" t="s">
        <v>207</v>
      </c>
      <c r="D80" s="11" t="n">
        <v>0.00663680555555556</v>
      </c>
      <c r="E80" s="39" t="n">
        <f aca="false">ROUND((D80-$D$5)*86400,2)</f>
        <v>34.4</v>
      </c>
      <c r="F80" s="12" t="n">
        <v>337</v>
      </c>
      <c r="G80" s="11" t="n">
        <f aca="false">IF(INDEX(選手一覧!$D$5:$D$2736,$F80)="","",INDEX(選手一覧!$D$5:$D$2736,$F80))</f>
        <v>0.0104962962962963</v>
      </c>
      <c r="H80" s="12" t="n">
        <f aca="false">IF(INDEX(選手一覧!$E$5:$E$2736,$F80)="","",INDEX(選手一覧!$E$5:$E$2736,$F80))</f>
        <v>338</v>
      </c>
      <c r="I80" s="11" t="n">
        <f aca="false">IF(INDEX(選手一覧!$H$5:$H$2736,$F80)="","",INDEX(選手一覧!$H$5:$H$2736,$F80))</f>
        <v>0.00287071759259259</v>
      </c>
      <c r="J80" s="12" t="n">
        <f aca="false">IF(INDEX(選手一覧!$I$5:$I$2736,$F80)="","",INDEX(選手一覧!$I$5:$I$2736,$F80))</f>
        <v>701</v>
      </c>
    </row>
    <row r="81" customFormat="false" ht="15" hidden="false" customHeight="false" outlineLevel="0" collapsed="false">
      <c r="A81" s="12" t="n">
        <v>77</v>
      </c>
      <c r="B81" s="8" t="s">
        <v>502</v>
      </c>
      <c r="C81" s="8" t="s">
        <v>18</v>
      </c>
      <c r="D81" s="11" t="n">
        <v>0.00663773148148148</v>
      </c>
      <c r="E81" s="39" t="n">
        <f aca="false">ROUND((D81-$D$5)*86400,2)</f>
        <v>34.48</v>
      </c>
      <c r="F81" s="12" t="n">
        <v>267</v>
      </c>
      <c r="G81" s="11" t="n">
        <f aca="false">IF(INDEX(選手一覧!$D$5:$D$2736,$F81)="","",INDEX(選手一覧!$D$5:$D$2736,$F81))</f>
        <v>0.0104017361111111</v>
      </c>
      <c r="H81" s="12" t="n">
        <f aca="false">IF(INDEX(選手一覧!$E$5:$E$2736,$F81)="","",INDEX(選手一覧!$E$5:$E$2736,$F81))</f>
        <v>268</v>
      </c>
      <c r="I81" s="11" t="str">
        <f aca="false">IF(INDEX(選手一覧!$H$5:$H$2736,$F81)="","",INDEX(選手一覧!$H$5:$H$2736,$F81))</f>
        <v/>
      </c>
      <c r="J81" s="12" t="str">
        <f aca="false">IF(INDEX(選手一覧!$I$5:$I$2736,$F81)="","",INDEX(選手一覧!$I$5:$I$2736,$F81))</f>
        <v/>
      </c>
    </row>
    <row r="82" customFormat="false" ht="15" hidden="false" customHeight="false" outlineLevel="0" collapsed="false">
      <c r="A82" s="12" t="n">
        <v>78</v>
      </c>
      <c r="B82" s="8" t="s">
        <v>527</v>
      </c>
      <c r="C82" s="8" t="s">
        <v>100</v>
      </c>
      <c r="D82" s="11" t="n">
        <v>0.00663900462962963</v>
      </c>
      <c r="E82" s="39" t="n">
        <f aca="false">ROUND((D82-$D$5)*86400,2)</f>
        <v>34.59</v>
      </c>
      <c r="F82" s="12" t="n">
        <v>282</v>
      </c>
      <c r="G82" s="11" t="n">
        <f aca="false">IF(INDEX(選手一覧!$D$5:$D$2736,$F82)="","",INDEX(選手一覧!$D$5:$D$2736,$F82))</f>
        <v>0.0104184027777778</v>
      </c>
      <c r="H82" s="12" t="n">
        <f aca="false">IF(INDEX(選手一覧!$E$5:$E$2736,$F82)="","",INDEX(選手一覧!$E$5:$E$2736,$F82))</f>
        <v>283</v>
      </c>
      <c r="I82" s="11" t="n">
        <f aca="false">IF(INDEX(選手一覧!$H$5:$H$2736,$F82)="","",INDEX(選手一覧!$H$5:$H$2736,$F82))</f>
        <v>0.00285671296296296</v>
      </c>
      <c r="J82" s="12" t="n">
        <f aca="false">IF(INDEX(選手一覧!$I$5:$I$2736,$F82)="","",INDEX(選手一覧!$I$5:$I$2736,$F82))</f>
        <v>612</v>
      </c>
    </row>
    <row r="83" customFormat="false" ht="15" hidden="false" customHeight="false" outlineLevel="0" collapsed="false">
      <c r="A83" s="12" t="n">
        <v>79</v>
      </c>
      <c r="B83" s="8" t="s">
        <v>407</v>
      </c>
      <c r="C83" s="8" t="s">
        <v>408</v>
      </c>
      <c r="D83" s="11" t="n">
        <v>0.0066412037037037</v>
      </c>
      <c r="E83" s="39" t="n">
        <f aca="false">ROUND((D83-$D$5)*86400,2)</f>
        <v>34.78</v>
      </c>
      <c r="F83" s="12" t="n">
        <v>208</v>
      </c>
      <c r="G83" s="11" t="n">
        <f aca="false">IF(INDEX(選手一覧!$D$5:$D$2736,$F83)="","",INDEX(選手一覧!$D$5:$D$2736,$F83))</f>
        <v>0.0103547453703704</v>
      </c>
      <c r="H83" s="12" t="n">
        <f aca="false">IF(INDEX(選手一覧!$E$5:$E$2736,$F83)="","",INDEX(選手一覧!$E$5:$E$2736,$F83))</f>
        <v>209</v>
      </c>
      <c r="I83" s="11" t="n">
        <f aca="false">IF(INDEX(選手一覧!$H$5:$H$2736,$F83)="","",INDEX(選手一覧!$H$5:$H$2736,$F83))</f>
        <v>0.00275543981481482</v>
      </c>
      <c r="J83" s="12" t="n">
        <f aca="false">IF(INDEX(選手一覧!$I$5:$I$2736,$F83)="","",INDEX(選手一覧!$I$5:$I$2736,$F83))</f>
        <v>121</v>
      </c>
    </row>
    <row r="84" customFormat="false" ht="15" hidden="false" customHeight="false" outlineLevel="0" collapsed="false">
      <c r="A84" s="12" t="n">
        <v>80</v>
      </c>
      <c r="B84" s="8" t="s">
        <v>1677</v>
      </c>
      <c r="C84" s="8" t="s">
        <v>886</v>
      </c>
      <c r="D84" s="11" t="n">
        <v>0.00664293981481482</v>
      </c>
      <c r="E84" s="39" t="n">
        <f aca="false">ROUND((D84-$D$5)*86400,2)</f>
        <v>34.93</v>
      </c>
      <c r="F84" s="12" t="n">
        <v>1039</v>
      </c>
      <c r="G84" s="11" t="n">
        <f aca="false">IF(INDEX(選手一覧!$D$5:$D$2736,$F84)="","",INDEX(選手一覧!$D$5:$D$2736,$F84))</f>
        <v>0.0109703703703704</v>
      </c>
      <c r="H84" s="12" t="n">
        <f aca="false">IF(INDEX(選手一覧!$E$5:$E$2736,$F84)="","",INDEX(選手一覧!$E$5:$E$2736,$F84))</f>
        <v>1040</v>
      </c>
      <c r="I84" s="11" t="n">
        <f aca="false">IF(INDEX(選手一覧!$H$5:$H$2736,$F84)="","",INDEX(選手一覧!$H$5:$H$2736,$F84))</f>
        <v>0.00283680555555556</v>
      </c>
      <c r="J84" s="12" t="n">
        <f aca="false">IF(INDEX(選手一覧!$I$5:$I$2736,$F84)="","",INDEX(選手一覧!$I$5:$I$2736,$F84))</f>
        <v>476</v>
      </c>
    </row>
    <row r="85" customFormat="false" ht="15" hidden="false" customHeight="false" outlineLevel="0" collapsed="false">
      <c r="A85" s="12" t="n">
        <v>81</v>
      </c>
      <c r="B85" s="8" t="s">
        <v>1495</v>
      </c>
      <c r="C85" s="8" t="s">
        <v>1496</v>
      </c>
      <c r="D85" s="11" t="n">
        <v>0.0066474537037037</v>
      </c>
      <c r="E85" s="39" t="n">
        <f aca="false">ROUND((D85-$D$5)*86400,2)</f>
        <v>35.32</v>
      </c>
      <c r="F85" s="12" t="n">
        <v>914</v>
      </c>
      <c r="G85" s="11" t="n">
        <f aca="false">IF(INDEX(選手一覧!$D$5:$D$2736,$F85)="","",INDEX(選手一覧!$D$5:$D$2736,$F85))</f>
        <v>0.0108959490740741</v>
      </c>
      <c r="H85" s="12" t="n">
        <f aca="false">IF(INDEX(選手一覧!$E$5:$E$2736,$F85)="","",INDEX(選手一覧!$E$5:$E$2736,$F85))</f>
        <v>915</v>
      </c>
      <c r="I85" s="11" t="n">
        <f aca="false">IF(INDEX(選手一覧!$H$5:$H$2736,$F85)="","",INDEX(選手一覧!$H$5:$H$2736,$F85))</f>
        <v>0.00277650462962963</v>
      </c>
      <c r="J85" s="12" t="n">
        <f aca="false">IF(INDEX(選手一覧!$I$5:$I$2736,$F85)="","",INDEX(選手一覧!$I$5:$I$2736,$F85))</f>
        <v>184</v>
      </c>
    </row>
    <row r="86" customFormat="false" ht="15" hidden="false" customHeight="false" outlineLevel="0" collapsed="false">
      <c r="A86" s="12" t="n">
        <v>82</v>
      </c>
      <c r="B86" s="8" t="s">
        <v>580</v>
      </c>
      <c r="C86" s="8" t="s">
        <v>4682</v>
      </c>
      <c r="D86" s="11" t="n">
        <v>0.00664930555555556</v>
      </c>
      <c r="E86" s="39" t="n">
        <f aca="false">ROUND((D86-$D$5)*86400,2)</f>
        <v>35.48</v>
      </c>
      <c r="F86" s="12" t="n">
        <v>314</v>
      </c>
      <c r="G86" s="11" t="n">
        <f aca="false">IF(INDEX(選手一覧!$D$5:$D$2736,$F86)="","",INDEX(選手一覧!$D$5:$D$2736,$F86))</f>
        <v>0.010465162037037</v>
      </c>
      <c r="H86" s="12" t="n">
        <f aca="false">IF(INDEX(選手一覧!$E$5:$E$2736,$F86)="","",INDEX(選手一覧!$E$5:$E$2736,$F86))</f>
        <v>315</v>
      </c>
      <c r="I86" s="11" t="n">
        <f aca="false">IF(INDEX(選手一覧!$H$5:$H$2736,$F86)="","",INDEX(選手一覧!$H$5:$H$2736,$F86))</f>
        <v>0.00282824074074074</v>
      </c>
      <c r="J86" s="12" t="n">
        <f aca="false">IF(INDEX(選手一覧!$I$5:$I$2736,$F86)="","",INDEX(選手一覧!$I$5:$I$2736,$F86))</f>
        <v>413</v>
      </c>
    </row>
    <row r="87" customFormat="false" ht="15" hidden="false" customHeight="false" outlineLevel="0" collapsed="false">
      <c r="A87" s="12" t="n">
        <v>83</v>
      </c>
      <c r="B87" s="8" t="s">
        <v>1231</v>
      </c>
      <c r="C87" s="8" t="s">
        <v>143</v>
      </c>
      <c r="D87" s="11" t="n">
        <v>0.00665</v>
      </c>
      <c r="E87" s="39" t="n">
        <f aca="false">ROUND((D87-$D$5)*86400,2)</f>
        <v>35.54</v>
      </c>
      <c r="F87" s="12" t="n">
        <v>737</v>
      </c>
      <c r="G87" s="11" t="n">
        <f aca="false">IF(INDEX(選手一覧!$D$5:$D$2736,$F87)="","",INDEX(選手一覧!$D$5:$D$2736,$F87))</f>
        <v>0.0107975694444444</v>
      </c>
      <c r="H87" s="12" t="n">
        <f aca="false">IF(INDEX(選手一覧!$E$5:$E$2736,$F87)="","",INDEX(選手一覧!$E$5:$E$2736,$F87))</f>
        <v>738</v>
      </c>
      <c r="I87" s="11" t="n">
        <f aca="false">IF(INDEX(選手一覧!$H$5:$H$2736,$F87)="","",INDEX(選手一覧!$H$5:$H$2736,$F87))</f>
        <v>0.00279027777777778</v>
      </c>
      <c r="J87" s="12" t="n">
        <f aca="false">IF(INDEX(選手一覧!$I$5:$I$2736,$F87)="","",INDEX(選手一覧!$I$5:$I$2736,$F87))</f>
        <v>241</v>
      </c>
    </row>
    <row r="88" customFormat="false" ht="15" hidden="false" customHeight="false" outlineLevel="0" collapsed="false">
      <c r="A88" s="12" t="n">
        <v>84</v>
      </c>
      <c r="B88" s="8" t="s">
        <v>194</v>
      </c>
      <c r="C88" s="8" t="s">
        <v>192</v>
      </c>
      <c r="D88" s="11" t="n">
        <v>0.00665277777777778</v>
      </c>
      <c r="E88" s="39" t="n">
        <f aca="false">ROUND((D88-$D$5)*86400,2)</f>
        <v>35.78</v>
      </c>
      <c r="F88" s="12" t="n">
        <v>90</v>
      </c>
      <c r="G88" s="11" t="n">
        <f aca="false">IF(INDEX(選手一覧!$D$5:$D$2736,$F88)="","",INDEX(選手一覧!$D$5:$D$2736,$F88))</f>
        <v>0.0101881944444444</v>
      </c>
      <c r="H88" s="12" t="n">
        <f aca="false">IF(INDEX(選手一覧!$E$5:$E$2736,$F88)="","",INDEX(選手一覧!$E$5:$E$2736,$F88))</f>
        <v>91</v>
      </c>
      <c r="I88" s="11" t="n">
        <f aca="false">IF(INDEX(選手一覧!$H$5:$H$2736,$F88)="","",INDEX(選手一覧!$H$5:$H$2736,$F88))</f>
        <v>0.00280810185185185</v>
      </c>
      <c r="J88" s="12" t="n">
        <f aca="false">IF(INDEX(選手一覧!$I$5:$I$2736,$F88)="","",INDEX(選手一覧!$I$5:$I$2736,$F88))</f>
        <v>317</v>
      </c>
    </row>
    <row r="89" customFormat="false" ht="15" hidden="false" customHeight="false" outlineLevel="0" collapsed="false">
      <c r="A89" s="12" t="n">
        <v>85</v>
      </c>
      <c r="B89" s="8" t="s">
        <v>904</v>
      </c>
      <c r="C89" s="8" t="s">
        <v>905</v>
      </c>
      <c r="D89" s="11" t="n">
        <v>0.00665532407407407</v>
      </c>
      <c r="E89" s="39" t="n">
        <f aca="false">ROUND((D89-$D$5)*86400,2)</f>
        <v>36</v>
      </c>
      <c r="F89" s="12" t="n">
        <v>518</v>
      </c>
      <c r="G89" s="11" t="n">
        <f aca="false">IF(INDEX(選手一覧!$D$5:$D$2736,$F89)="","",INDEX(選手一覧!$D$5:$D$2736,$F89))</f>
        <v>0.010646875</v>
      </c>
      <c r="H89" s="12" t="n">
        <f aca="false">IF(INDEX(選手一覧!$E$5:$E$2736,$F89)="","",INDEX(選手一覧!$E$5:$E$2736,$F89))</f>
        <v>519</v>
      </c>
      <c r="I89" s="11" t="n">
        <f aca="false">IF(INDEX(選手一覧!$H$5:$H$2736,$F89)="","",INDEX(選手一覧!$H$5:$H$2736,$F89))</f>
        <v>0.00282071759259259</v>
      </c>
      <c r="J89" s="12" t="n">
        <f aca="false">IF(INDEX(選手一覧!$I$5:$I$2736,$F89)="","",INDEX(選手一覧!$I$5:$I$2736,$F89))</f>
        <v>365</v>
      </c>
    </row>
    <row r="90" customFormat="false" ht="15" hidden="false" customHeight="false" outlineLevel="0" collapsed="false">
      <c r="A90" s="12" t="n">
        <v>86</v>
      </c>
      <c r="B90" s="8" t="s">
        <v>955</v>
      </c>
      <c r="C90" s="8" t="s">
        <v>89</v>
      </c>
      <c r="D90" s="11" t="n">
        <v>0.00665798611111111</v>
      </c>
      <c r="E90" s="39" t="n">
        <f aca="false">ROUND((D90-$D$5)*86400,2)</f>
        <v>36.23</v>
      </c>
      <c r="F90" s="12" t="n">
        <v>551</v>
      </c>
      <c r="G90" s="11" t="n">
        <f aca="false">IF(INDEX(選手一覧!$D$5:$D$2736,$F90)="","",INDEX(選手一覧!$D$5:$D$2736,$F90))</f>
        <v>0.0106728009259259</v>
      </c>
      <c r="H90" s="12" t="n">
        <f aca="false">IF(INDEX(選手一覧!$E$5:$E$2736,$F90)="","",INDEX(選手一覧!$E$5:$E$2736,$F90))</f>
        <v>552</v>
      </c>
      <c r="I90" s="11" t="n">
        <f aca="false">IF(INDEX(選手一覧!$H$5:$H$2736,$F90)="","",INDEX(選手一覧!$H$5:$H$2736,$F90))</f>
        <v>0.00286006944444445</v>
      </c>
      <c r="J90" s="12" t="n">
        <f aca="false">IF(INDEX(選手一覧!$I$5:$I$2736,$F90)="","",INDEX(選手一覧!$I$5:$I$2736,$F90))</f>
        <v>636</v>
      </c>
    </row>
    <row r="91" customFormat="false" ht="15" hidden="false" customHeight="false" outlineLevel="0" collapsed="false">
      <c r="A91" s="12" t="n">
        <v>87</v>
      </c>
      <c r="B91" s="8" t="s">
        <v>755</v>
      </c>
      <c r="C91" s="8" t="s">
        <v>31</v>
      </c>
      <c r="D91" s="11" t="n">
        <v>0.00665925925925926</v>
      </c>
      <c r="E91" s="39" t="n">
        <f aca="false">ROUND((D91-$D$5)*86400,2)</f>
        <v>36.34</v>
      </c>
      <c r="F91" s="12" t="n">
        <v>424</v>
      </c>
      <c r="G91" s="11" t="n">
        <f aca="false">IF(INDEX(選手一覧!$D$5:$D$2736,$F91)="","",INDEX(選手一覧!$D$5:$D$2736,$F91))</f>
        <v>0.0105715277777778</v>
      </c>
      <c r="H91" s="12" t="n">
        <f aca="false">IF(INDEX(選手一覧!$E$5:$E$2736,$F91)="","",INDEX(選手一覧!$E$5:$E$2736,$F91))</f>
        <v>425</v>
      </c>
      <c r="I91" s="11" t="str">
        <f aca="false">IF(INDEX(選手一覧!$H$5:$H$2736,$F91)="","",INDEX(選手一覧!$H$5:$H$2736,$F91))</f>
        <v/>
      </c>
      <c r="J91" s="12" t="str">
        <f aca="false">IF(INDEX(選手一覧!$I$5:$I$2736,$F91)="","",INDEX(選手一覧!$I$5:$I$2736,$F91))</f>
        <v/>
      </c>
    </row>
    <row r="92" customFormat="false" ht="15" hidden="false" customHeight="false" outlineLevel="0" collapsed="false">
      <c r="A92" s="12" t="n">
        <v>88</v>
      </c>
      <c r="B92" s="8" t="s">
        <v>458</v>
      </c>
      <c r="C92" s="8" t="s">
        <v>120</v>
      </c>
      <c r="D92" s="11" t="n">
        <v>0.006659375</v>
      </c>
      <c r="E92" s="39" t="n">
        <f aca="false">ROUND((D92-$D$5)*86400,2)</f>
        <v>36.35</v>
      </c>
      <c r="F92" s="12" t="n">
        <v>237</v>
      </c>
      <c r="G92" s="11" t="n">
        <f aca="false">IF(INDEX(選手一覧!$D$5:$D$2736,$F92)="","",INDEX(選手一覧!$D$5:$D$2736,$F92))</f>
        <v>0.0103774305555556</v>
      </c>
      <c r="H92" s="12" t="n">
        <f aca="false">IF(INDEX(選手一覧!$E$5:$E$2736,$F92)="","",INDEX(選手一覧!$E$5:$E$2736,$F92))</f>
        <v>238</v>
      </c>
      <c r="I92" s="11" t="n">
        <f aca="false">IF(INDEX(選手一覧!$H$5:$H$2736,$F92)="","",INDEX(選手一覧!$H$5:$H$2736,$F92))</f>
        <v>0.00296747685185185</v>
      </c>
      <c r="J92" s="12" t="n">
        <f aca="false">IF(INDEX(選手一覧!$I$5:$I$2736,$F92)="","",INDEX(選手一覧!$I$5:$I$2736,$F92))</f>
        <v>1300</v>
      </c>
    </row>
    <row r="93" customFormat="false" ht="15" hidden="false" customHeight="false" outlineLevel="0" collapsed="false">
      <c r="A93" s="12" t="n">
        <v>89</v>
      </c>
      <c r="B93" s="8" t="s">
        <v>655</v>
      </c>
      <c r="C93" s="8" t="s">
        <v>56</v>
      </c>
      <c r="D93" s="11" t="n">
        <v>0.00666423611111111</v>
      </c>
      <c r="E93" s="39" t="n">
        <f aca="false">ROUND((D93-$D$5)*86400,2)</f>
        <v>36.77</v>
      </c>
      <c r="F93" s="12" t="n">
        <v>362</v>
      </c>
      <c r="G93" s="11" t="n">
        <f aca="false">IF(INDEX(選手一覧!$D$5:$D$2736,$F93)="","",INDEX(選手一覧!$D$5:$D$2736,$F93))</f>
        <v>0.0105200231481482</v>
      </c>
      <c r="H93" s="12" t="n">
        <f aca="false">IF(INDEX(選手一覧!$E$5:$E$2736,$F93)="","",INDEX(選手一覧!$E$5:$E$2736,$F93))</f>
        <v>363</v>
      </c>
      <c r="I93" s="11" t="n">
        <f aca="false">IF(INDEX(選手一覧!$H$5:$H$2736,$F93)="","",INDEX(選手一覧!$H$5:$H$2736,$F93))</f>
        <v>0.00283993055555556</v>
      </c>
      <c r="J93" s="12" t="n">
        <f aca="false">IF(INDEX(選手一覧!$I$5:$I$2736,$F93)="","",INDEX(選手一覧!$I$5:$I$2736,$F93))</f>
        <v>496</v>
      </c>
    </row>
    <row r="94" customFormat="false" ht="15" hidden="false" customHeight="false" outlineLevel="0" collapsed="false">
      <c r="A94" s="12" t="n">
        <v>90</v>
      </c>
      <c r="B94" s="8" t="s">
        <v>943</v>
      </c>
      <c r="C94" s="8" t="s">
        <v>944</v>
      </c>
      <c r="D94" s="11" t="n">
        <v>0.00666493055555556</v>
      </c>
      <c r="E94" s="39" t="n">
        <f aca="false">ROUND((D94-$D$5)*86400,2)</f>
        <v>36.83</v>
      </c>
      <c r="F94" s="12" t="n">
        <v>542</v>
      </c>
      <c r="G94" s="11" t="n">
        <f aca="false">IF(INDEX(選手一覧!$D$5:$D$2736,$F94)="","",INDEX(選手一覧!$D$5:$D$2736,$F94))</f>
        <v>0.0106671296296296</v>
      </c>
      <c r="H94" s="12" t="n">
        <f aca="false">IF(INDEX(選手一覧!$E$5:$E$2736,$F94)="","",INDEX(選手一覧!$E$5:$E$2736,$F94))</f>
        <v>543</v>
      </c>
      <c r="I94" s="11" t="str">
        <f aca="false">IF(INDEX(選手一覧!$H$5:$H$2736,$F94)="","",INDEX(選手一覧!$H$5:$H$2736,$F94))</f>
        <v/>
      </c>
      <c r="J94" s="12" t="str">
        <f aca="false">IF(INDEX(選手一覧!$I$5:$I$2736,$F94)="","",INDEX(選手一覧!$I$5:$I$2736,$F94))</f>
        <v/>
      </c>
    </row>
    <row r="95" customFormat="false" ht="15" hidden="false" customHeight="false" outlineLevel="0" collapsed="false">
      <c r="A95" s="12" t="n">
        <v>91</v>
      </c>
      <c r="B95" s="8" t="s">
        <v>1048</v>
      </c>
      <c r="C95" s="8" t="s">
        <v>588</v>
      </c>
      <c r="D95" s="11" t="n">
        <v>0.00666805555555556</v>
      </c>
      <c r="E95" s="39" t="n">
        <f aca="false">ROUND((D95-$D$5)*86400,2)</f>
        <v>37.1</v>
      </c>
      <c r="F95" s="12" t="n">
        <v>616</v>
      </c>
      <c r="G95" s="11" t="n">
        <f aca="false">IF(INDEX(選手一覧!$D$5:$D$2736,$F95)="","",INDEX(選手一覧!$D$5:$D$2736,$F95))</f>
        <v>0.0107229166666667</v>
      </c>
      <c r="H95" s="12" t="n">
        <f aca="false">IF(INDEX(選手一覧!$E$5:$E$2736,$F95)="","",INDEX(選手一覧!$E$5:$E$2736,$F95))</f>
        <v>617</v>
      </c>
      <c r="I95" s="11" t="n">
        <f aca="false">IF(INDEX(選手一覧!$H$5:$H$2736,$F95)="","",INDEX(選手一覧!$H$5:$H$2736,$F95))</f>
        <v>0.00291608796296296</v>
      </c>
      <c r="J95" s="12" t="n">
        <f aca="false">IF(INDEX(選手一覧!$I$5:$I$2736,$F95)="","",INDEX(選手一覧!$I$5:$I$2736,$F95))</f>
        <v>1059</v>
      </c>
    </row>
    <row r="96" customFormat="false" ht="15" hidden="false" customHeight="false" outlineLevel="0" collapsed="false">
      <c r="A96" s="12" t="n">
        <v>92</v>
      </c>
      <c r="B96" s="8" t="s">
        <v>317</v>
      </c>
      <c r="C96" s="8" t="s">
        <v>313</v>
      </c>
      <c r="D96" s="11" t="n">
        <v>0.00667303240740741</v>
      </c>
      <c r="E96" s="39" t="n">
        <f aca="false">ROUND((D96-$D$5)*86400,2)</f>
        <v>37.53</v>
      </c>
      <c r="F96" s="12" t="n">
        <v>155</v>
      </c>
      <c r="G96" s="11" t="n">
        <f aca="false">IF(INDEX(選手一覧!$D$5:$D$2736,$F96)="","",INDEX(選手一覧!$D$5:$D$2736,$F96))</f>
        <v>0.0102929398148148</v>
      </c>
      <c r="H96" s="12" t="n">
        <f aca="false">IF(INDEX(選手一覧!$E$5:$E$2736,$F96)="","",INDEX(選手一覧!$E$5:$E$2736,$F96))</f>
        <v>156</v>
      </c>
      <c r="I96" s="11" t="n">
        <f aca="false">IF(INDEX(選手一覧!$H$5:$H$2736,$F96)="","",INDEX(選手一覧!$H$5:$H$2736,$F96))</f>
        <v>0.00289953703703704</v>
      </c>
      <c r="J96" s="12" t="n">
        <f aca="false">IF(INDEX(選手一覧!$I$5:$I$2736,$F96)="","",INDEX(選手一覧!$I$5:$I$2736,$F96))</f>
        <v>941</v>
      </c>
    </row>
    <row r="97" customFormat="false" ht="15" hidden="false" customHeight="false" outlineLevel="0" collapsed="false">
      <c r="A97" s="12" t="n">
        <v>93</v>
      </c>
      <c r="B97" s="8" t="s">
        <v>1045</v>
      </c>
      <c r="C97" s="8" t="s">
        <v>34</v>
      </c>
      <c r="D97" s="11" t="n">
        <v>0.00667372685185185</v>
      </c>
      <c r="E97" s="39" t="n">
        <f aca="false">ROUND((D97-$D$5)*86400,2)</f>
        <v>37.59</v>
      </c>
      <c r="F97" s="12" t="n">
        <v>614</v>
      </c>
      <c r="G97" s="11" t="n">
        <f aca="false">IF(INDEX(選手一覧!$D$5:$D$2736,$F97)="","",INDEX(選手一覧!$D$5:$D$2736,$F97))</f>
        <v>0.0107228009259259</v>
      </c>
      <c r="H97" s="12" t="n">
        <f aca="false">IF(INDEX(選手一覧!$E$5:$E$2736,$F97)="","",INDEX(選手一覧!$E$5:$E$2736,$F97))</f>
        <v>615</v>
      </c>
      <c r="I97" s="11" t="n">
        <f aca="false">IF(INDEX(選手一覧!$H$5:$H$2736,$F97)="","",INDEX(選手一覧!$H$5:$H$2736,$F97))</f>
        <v>0.00285810185185185</v>
      </c>
      <c r="J97" s="12" t="n">
        <f aca="false">IF(INDEX(選手一覧!$I$5:$I$2736,$F97)="","",INDEX(選手一覧!$I$5:$I$2736,$F97))</f>
        <v>622</v>
      </c>
    </row>
    <row r="98" customFormat="false" ht="15" hidden="false" customHeight="false" outlineLevel="0" collapsed="false">
      <c r="A98" s="12" t="n">
        <v>94</v>
      </c>
      <c r="B98" s="8" t="s">
        <v>1108</v>
      </c>
      <c r="C98" s="8" t="s">
        <v>64</v>
      </c>
      <c r="D98" s="11" t="n">
        <v>0.0066755787037037</v>
      </c>
      <c r="E98" s="39" t="n">
        <f aca="false">ROUND((D98-$D$5)*86400,2)</f>
        <v>37.75</v>
      </c>
      <c r="F98" s="12" t="n">
        <v>661</v>
      </c>
      <c r="G98" s="11" t="n">
        <f aca="false">IF(INDEX(選手一覧!$D$5:$D$2736,$F98)="","",INDEX(選手一覧!$D$5:$D$2736,$F98))</f>
        <v>0.0107457175925926</v>
      </c>
      <c r="H98" s="12" t="n">
        <f aca="false">IF(INDEX(選手一覧!$E$5:$E$2736,$F98)="","",INDEX(選手一覧!$E$5:$E$2736,$F98))</f>
        <v>662</v>
      </c>
      <c r="I98" s="11" t="str">
        <f aca="false">IF(INDEX(選手一覧!$H$5:$H$2736,$F98)="","",INDEX(選手一覧!$H$5:$H$2736,$F98))</f>
        <v/>
      </c>
      <c r="J98" s="12" t="str">
        <f aca="false">IF(INDEX(選手一覧!$I$5:$I$2736,$F98)="","",INDEX(選手一覧!$I$5:$I$2736,$F98))</f>
        <v/>
      </c>
    </row>
    <row r="99" customFormat="false" ht="15" hidden="false" customHeight="false" outlineLevel="0" collapsed="false">
      <c r="A99" s="12" t="n">
        <v>95</v>
      </c>
      <c r="B99" s="8" t="s">
        <v>1371</v>
      </c>
      <c r="C99" s="8" t="s">
        <v>679</v>
      </c>
      <c r="D99" s="11" t="n">
        <v>0.00667592592592593</v>
      </c>
      <c r="E99" s="39" t="n">
        <f aca="false">ROUND((D99-$D$5)*86400,2)</f>
        <v>37.78</v>
      </c>
      <c r="F99" s="12" t="n">
        <v>833</v>
      </c>
      <c r="G99" s="11" t="n">
        <f aca="false">IF(INDEX(選手一覧!$D$5:$D$2736,$F99)="","",INDEX(選手一覧!$D$5:$D$2736,$F99))</f>
        <v>0.0108484953703704</v>
      </c>
      <c r="H99" s="12" t="n">
        <f aca="false">IF(INDEX(選手一覧!$E$5:$E$2736,$F99)="","",INDEX(選手一覧!$E$5:$E$2736,$F99))</f>
        <v>834</v>
      </c>
      <c r="I99" s="11" t="n">
        <f aca="false">IF(INDEX(選手一覧!$H$5:$H$2736,$F99)="","",INDEX(選手一覧!$H$5:$H$2736,$F99))</f>
        <v>0.00277916666666667</v>
      </c>
      <c r="J99" s="12" t="n">
        <f aca="false">IF(INDEX(選手一覧!$I$5:$I$2736,$F99)="","",INDEX(選手一覧!$I$5:$I$2736,$F99))</f>
        <v>196</v>
      </c>
    </row>
    <row r="100" customFormat="false" ht="15" hidden="false" customHeight="false" outlineLevel="0" collapsed="false">
      <c r="A100" s="12" t="n">
        <v>96</v>
      </c>
      <c r="B100" s="8" t="s">
        <v>832</v>
      </c>
      <c r="C100" s="8" t="s">
        <v>44</v>
      </c>
      <c r="D100" s="11" t="n">
        <v>0.00667673611111111</v>
      </c>
      <c r="E100" s="39" t="n">
        <f aca="false">ROUND((D100-$D$5)*86400,2)</f>
        <v>37.85</v>
      </c>
      <c r="F100" s="12" t="n">
        <v>476</v>
      </c>
      <c r="G100" s="11" t="n">
        <f aca="false">IF(INDEX(選手一覧!$D$5:$D$2736,$F100)="","",INDEX(選手一覧!$D$5:$D$2736,$F100))</f>
        <v>0.0106108796296296</v>
      </c>
      <c r="H100" s="12" t="n">
        <f aca="false">IF(INDEX(選手一覧!$E$5:$E$2736,$F100)="","",INDEX(選手一覧!$E$5:$E$2736,$F100))</f>
        <v>477</v>
      </c>
      <c r="I100" s="11" t="n">
        <f aca="false">IF(INDEX(選手一覧!$H$5:$H$2736,$F100)="","",INDEX(選手一覧!$H$5:$H$2736,$F100))</f>
        <v>0.00289733796296296</v>
      </c>
      <c r="J100" s="12" t="n">
        <f aca="false">IF(INDEX(選手一覧!$I$5:$I$2736,$F100)="","",INDEX(選手一覧!$I$5:$I$2736,$F100))</f>
        <v>929</v>
      </c>
    </row>
    <row r="101" customFormat="false" ht="15" hidden="false" customHeight="false" outlineLevel="0" collapsed="false">
      <c r="A101" s="12" t="n">
        <v>97</v>
      </c>
      <c r="B101" s="8" t="s">
        <v>1138</v>
      </c>
      <c r="C101" s="8" t="s">
        <v>1139</v>
      </c>
      <c r="D101" s="11" t="n">
        <v>0.00667858796296296</v>
      </c>
      <c r="E101" s="39" t="n">
        <f aca="false">ROUND((D101-$D$5)*86400,2)</f>
        <v>38.01</v>
      </c>
      <c r="F101" s="12" t="n">
        <v>678</v>
      </c>
      <c r="G101" s="11" t="n">
        <f aca="false">IF(INDEX(選手一覧!$D$5:$D$2736,$F101)="","",INDEX(選手一覧!$D$5:$D$2736,$F101))</f>
        <v>0.0107601851851852</v>
      </c>
      <c r="H101" s="12" t="n">
        <f aca="false">IF(INDEX(選手一覧!$E$5:$E$2736,$F101)="","",INDEX(選手一覧!$E$5:$E$2736,$F101))</f>
        <v>679</v>
      </c>
      <c r="I101" s="11" t="n">
        <f aca="false">IF(INDEX(選手一覧!$H$5:$H$2736,$F101)="","",INDEX(選手一覧!$H$5:$H$2736,$F101))</f>
        <v>0.00279768518518519</v>
      </c>
      <c r="J101" s="12" t="n">
        <f aca="false">IF(INDEX(選手一覧!$I$5:$I$2736,$F101)="","",INDEX(選手一覧!$I$5:$I$2736,$F101))</f>
        <v>273</v>
      </c>
    </row>
    <row r="102" customFormat="false" ht="15" hidden="false" customHeight="false" outlineLevel="0" collapsed="false">
      <c r="A102" s="12" t="n">
        <v>98</v>
      </c>
      <c r="B102" s="8" t="s">
        <v>219</v>
      </c>
      <c r="C102" s="8" t="s">
        <v>192</v>
      </c>
      <c r="D102" s="11" t="n">
        <v>0.00668009259259259</v>
      </c>
      <c r="E102" s="39" t="n">
        <f aca="false">ROUND((D102-$D$5)*86400,2)</f>
        <v>38.14</v>
      </c>
      <c r="F102" s="12" t="n">
        <v>105</v>
      </c>
      <c r="G102" s="11" t="n">
        <f aca="false">IF(INDEX(選手一覧!$D$5:$D$2736,$F102)="","",INDEX(選手一覧!$D$5:$D$2736,$F102))</f>
        <v>0.0102157407407407</v>
      </c>
      <c r="H102" s="12" t="n">
        <f aca="false">IF(INDEX(選手一覧!$E$5:$E$2736,$F102)="","",INDEX(選手一覧!$E$5:$E$2736,$F102))</f>
        <v>106</v>
      </c>
      <c r="I102" s="11" t="str">
        <f aca="false">IF(INDEX(選手一覧!$H$5:$H$2736,$F102)="","",INDEX(選手一覧!$H$5:$H$2736,$F102))</f>
        <v/>
      </c>
      <c r="J102" s="12" t="str">
        <f aca="false">IF(INDEX(選手一覧!$I$5:$I$2736,$F102)="","",INDEX(選手一覧!$I$5:$I$2736,$F102))</f>
        <v/>
      </c>
    </row>
    <row r="103" customFormat="false" ht="15" hidden="false" customHeight="false" outlineLevel="0" collapsed="false">
      <c r="A103" s="12" t="n">
        <v>99</v>
      </c>
      <c r="B103" s="8" t="s">
        <v>2051</v>
      </c>
      <c r="C103" s="8" t="s">
        <v>2052</v>
      </c>
      <c r="D103" s="11" t="n">
        <v>0.00668229166666667</v>
      </c>
      <c r="E103" s="39" t="n">
        <f aca="false">ROUND((D103-$D$5)*86400,2)</f>
        <v>38.33</v>
      </c>
      <c r="F103" s="12" t="n">
        <v>1304</v>
      </c>
      <c r="G103" s="11" t="str">
        <f aca="false">IF(INDEX(選手一覧!$D$5:$D$2736,$F103)="","",INDEX(選手一覧!$D$5:$D$2736,$F103))</f>
        <v/>
      </c>
      <c r="H103" s="12" t="str">
        <f aca="false">IF(INDEX(選手一覧!$E$5:$E$2736,$F103)="","",INDEX(選手一覧!$E$5:$E$2736,$F103))</f>
        <v/>
      </c>
      <c r="I103" s="11" t="n">
        <f aca="false">IF(INDEX(選手一覧!$H$5:$H$2736,$F103)="","",INDEX(選手一覧!$H$5:$H$2736,$F103))</f>
        <v>0.00280578703703704</v>
      </c>
      <c r="J103" s="12" t="n">
        <f aca="false">IF(INDEX(選手一覧!$I$5:$I$2736,$F103)="","",INDEX(選手一覧!$I$5:$I$2736,$F103))</f>
        <v>305</v>
      </c>
    </row>
    <row r="104" customFormat="false" ht="15" hidden="false" customHeight="false" outlineLevel="0" collapsed="false">
      <c r="A104" s="12" t="n">
        <v>100</v>
      </c>
      <c r="B104" s="8" t="s">
        <v>1854</v>
      </c>
      <c r="C104" s="8" t="s">
        <v>1469</v>
      </c>
      <c r="D104" s="11" t="n">
        <v>0.00668368055555556</v>
      </c>
      <c r="E104" s="39" t="n">
        <f aca="false">ROUND((D104-$D$5)*86400,2)</f>
        <v>38.45</v>
      </c>
      <c r="F104" s="12" t="n">
        <v>1156</v>
      </c>
      <c r="G104" s="11" t="n">
        <f aca="false">IF(INDEX(選手一覧!$D$5:$D$2736,$F104)="","",INDEX(選手一覧!$D$5:$D$2736,$F104))</f>
        <v>0.0110321759259259</v>
      </c>
      <c r="H104" s="12" t="n">
        <f aca="false">IF(INDEX(選手一覧!$E$5:$E$2736,$F104)="","",INDEX(選手一覧!$E$5:$E$2736,$F104))</f>
        <v>1157</v>
      </c>
      <c r="I104" s="11" t="str">
        <f aca="false">IF(INDEX(選手一覧!$H$5:$H$2736,$F104)="","",INDEX(選手一覧!$H$5:$H$2736,$F104))</f>
        <v/>
      </c>
      <c r="J104" s="12" t="str">
        <f aca="false">IF(INDEX(選手一覧!$I$5:$I$2736,$F104)="","",INDEX(選手一覧!$I$5:$I$2736,$F104))</f>
        <v/>
      </c>
    </row>
    <row r="105" customFormat="false" ht="15" hidden="false" customHeight="false" outlineLevel="0" collapsed="false">
      <c r="A105" s="12" t="n">
        <v>101</v>
      </c>
      <c r="B105" s="8" t="s">
        <v>1161</v>
      </c>
      <c r="C105" s="8" t="s">
        <v>148</v>
      </c>
      <c r="D105" s="11" t="n">
        <v>0.00668391203703704</v>
      </c>
      <c r="E105" s="39" t="n">
        <f aca="false">ROUND((D105-$D$5)*86400,2)</f>
        <v>38.47</v>
      </c>
      <c r="F105" s="12" t="n">
        <v>691</v>
      </c>
      <c r="G105" s="11" t="n">
        <f aca="false">IF(INDEX(選手一覧!$D$5:$D$2736,$F105)="","",INDEX(選手一覧!$D$5:$D$2736,$F105))</f>
        <v>0.0107659722222222</v>
      </c>
      <c r="H105" s="12" t="n">
        <f aca="false">IF(INDEX(選手一覧!$E$5:$E$2736,$F105)="","",INDEX(選手一覧!$E$5:$E$2736,$F105))</f>
        <v>692</v>
      </c>
      <c r="I105" s="11" t="n">
        <f aca="false">IF(INDEX(選手一覧!$H$5:$H$2736,$F105)="","",INDEX(選手一覧!$H$5:$H$2736,$F105))</f>
        <v>0.00280405092592593</v>
      </c>
      <c r="J105" s="12" t="n">
        <f aca="false">IF(INDEX(選手一覧!$I$5:$I$2736,$F105)="","",INDEX(選手一覧!$I$5:$I$2736,$F105))</f>
        <v>300</v>
      </c>
    </row>
    <row r="106" customFormat="false" ht="15" hidden="false" customHeight="false" outlineLevel="0" collapsed="false">
      <c r="A106" s="12" t="n">
        <v>102</v>
      </c>
      <c r="B106" s="8" t="s">
        <v>142</v>
      </c>
      <c r="C106" s="8" t="s">
        <v>143</v>
      </c>
      <c r="D106" s="11" t="n">
        <v>0.00668483796296296</v>
      </c>
      <c r="E106" s="39" t="n">
        <f aca="false">ROUND((D106-$D$5)*86400,2)</f>
        <v>38.55</v>
      </c>
      <c r="F106" s="12" t="n">
        <v>63</v>
      </c>
      <c r="G106" s="11" t="n">
        <f aca="false">IF(INDEX(選手一覧!$D$5:$D$2736,$F106)="","",INDEX(選手一覧!$D$5:$D$2736,$F106))</f>
        <v>0.0101362268518519</v>
      </c>
      <c r="H106" s="12" t="n">
        <f aca="false">IF(INDEX(選手一覧!$E$5:$E$2736,$F106)="","",INDEX(選手一覧!$E$5:$E$2736,$F106))</f>
        <v>64</v>
      </c>
      <c r="I106" s="11" t="n">
        <f aca="false">IF(INDEX(選手一覧!$H$5:$H$2736,$F106)="","",INDEX(選手一覧!$H$5:$H$2736,$F106))</f>
        <v>0.0028724537037037</v>
      </c>
      <c r="J106" s="12" t="n">
        <f aca="false">IF(INDEX(選手一覧!$I$5:$I$2736,$F106)="","",INDEX(選手一覧!$I$5:$I$2736,$F106))</f>
        <v>718</v>
      </c>
    </row>
    <row r="107" customFormat="false" ht="15" hidden="false" customHeight="false" outlineLevel="0" collapsed="false">
      <c r="A107" s="12" t="n">
        <v>103</v>
      </c>
      <c r="B107" s="8" t="s">
        <v>168</v>
      </c>
      <c r="C107" s="8" t="s">
        <v>16</v>
      </c>
      <c r="D107" s="11" t="n">
        <v>0.00668576388888889</v>
      </c>
      <c r="E107" s="39" t="n">
        <f aca="false">ROUND((D107-$D$5)*86400,2)</f>
        <v>38.63</v>
      </c>
      <c r="F107" s="12" t="n">
        <v>76</v>
      </c>
      <c r="G107" s="11" t="n">
        <f aca="false">IF(INDEX(選手一覧!$D$5:$D$2736,$F107)="","",INDEX(選手一覧!$D$5:$D$2736,$F107))</f>
        <v>0.0101636574074074</v>
      </c>
      <c r="H107" s="12" t="n">
        <f aca="false">IF(INDEX(選手一覧!$E$5:$E$2736,$F107)="","",INDEX(選手一覧!$E$5:$E$2736,$F107))</f>
        <v>77</v>
      </c>
      <c r="I107" s="11" t="n">
        <f aca="false">IF(INDEX(選手一覧!$H$5:$H$2736,$F107)="","",INDEX(選手一覧!$H$5:$H$2736,$F107))</f>
        <v>0.00296979166666667</v>
      </c>
      <c r="J107" s="12" t="n">
        <f aca="false">IF(INDEX(選手一覧!$I$5:$I$2736,$F107)="","",INDEX(選手一覧!$I$5:$I$2736,$F107))</f>
        <v>1310</v>
      </c>
    </row>
    <row r="108" customFormat="false" ht="15" hidden="false" customHeight="false" outlineLevel="0" collapsed="false">
      <c r="A108" s="12" t="n">
        <v>104</v>
      </c>
      <c r="B108" s="8" t="s">
        <v>1091</v>
      </c>
      <c r="C108" s="8" t="s">
        <v>108</v>
      </c>
      <c r="D108" s="11" t="n">
        <v>0.00668634259259259</v>
      </c>
      <c r="E108" s="39" t="n">
        <f aca="false">ROUND((D108-$D$5)*86400,2)</f>
        <v>38.68</v>
      </c>
      <c r="F108" s="12" t="n">
        <v>648</v>
      </c>
      <c r="G108" s="11" t="n">
        <f aca="false">IF(INDEX(選手一覧!$D$5:$D$2736,$F108)="","",INDEX(選手一覧!$D$5:$D$2736,$F108))</f>
        <v>0.0107376157407407</v>
      </c>
      <c r="H108" s="12" t="n">
        <f aca="false">IF(INDEX(選手一覧!$E$5:$E$2736,$F108)="","",INDEX(選手一覧!$E$5:$E$2736,$F108))</f>
        <v>649</v>
      </c>
      <c r="I108" s="11" t="str">
        <f aca="false">IF(INDEX(選手一覧!$H$5:$H$2736,$F108)="","",INDEX(選手一覧!$H$5:$H$2736,$F108))</f>
        <v/>
      </c>
      <c r="J108" s="12" t="str">
        <f aca="false">IF(INDEX(選手一覧!$I$5:$I$2736,$F108)="","",INDEX(選手一覧!$I$5:$I$2736,$F108))</f>
        <v/>
      </c>
    </row>
    <row r="109" customFormat="false" ht="15" hidden="false" customHeight="false" outlineLevel="0" collapsed="false">
      <c r="A109" s="12" t="n">
        <v>105</v>
      </c>
      <c r="B109" s="8" t="s">
        <v>2055</v>
      </c>
      <c r="C109" s="8" t="s">
        <v>2056</v>
      </c>
      <c r="D109" s="11" t="n">
        <v>0.00669270833333333</v>
      </c>
      <c r="E109" s="39" t="n">
        <f aca="false">ROUND((D109-$D$5)*86400,2)</f>
        <v>39.23</v>
      </c>
      <c r="F109" s="12" t="n">
        <v>1307</v>
      </c>
      <c r="G109" s="11" t="str">
        <f aca="false">IF(INDEX(選手一覧!$D$5:$D$2736,$F109)="","",INDEX(選手一覧!$D$5:$D$2736,$F109))</f>
        <v/>
      </c>
      <c r="H109" s="12" t="str">
        <f aca="false">IF(INDEX(選手一覧!$E$5:$E$2736,$F109)="","",INDEX(選手一覧!$E$5:$E$2736,$F109))</f>
        <v/>
      </c>
      <c r="I109" s="11" t="n">
        <f aca="false">IF(INDEX(選手一覧!$H$5:$H$2736,$F109)="","",INDEX(選手一覧!$H$5:$H$2736,$F109))</f>
        <v>0.00284722222222222</v>
      </c>
      <c r="J109" s="12" t="n">
        <f aca="false">IF(INDEX(選手一覧!$I$5:$I$2736,$F109)="","",INDEX(選手一覧!$I$5:$I$2736,$F109))</f>
        <v>553</v>
      </c>
    </row>
    <row r="110" customFormat="false" ht="15" hidden="false" customHeight="false" outlineLevel="0" collapsed="false">
      <c r="A110" s="12" t="n">
        <v>106</v>
      </c>
      <c r="B110" s="8" t="s">
        <v>2013</v>
      </c>
      <c r="C110" s="8" t="s">
        <v>721</v>
      </c>
      <c r="D110" s="11" t="n">
        <v>0.00669803240740741</v>
      </c>
      <c r="E110" s="39" t="n">
        <f aca="false">ROUND((D110-$D$5)*86400,2)</f>
        <v>39.69</v>
      </c>
      <c r="F110" s="12" t="n">
        <v>1276</v>
      </c>
      <c r="G110" s="11" t="n">
        <f aca="false">IF(INDEX(選手一覧!$D$5:$D$2736,$F110)="","",INDEX(選手一覧!$D$5:$D$2736,$F110))</f>
        <v>0.0111061342592593</v>
      </c>
      <c r="H110" s="12" t="n">
        <f aca="false">IF(INDEX(選手一覧!$E$5:$E$2736,$F110)="","",INDEX(選手一覧!$E$5:$E$2736,$F110))</f>
        <v>1277</v>
      </c>
      <c r="I110" s="11" t="str">
        <f aca="false">IF(INDEX(選手一覧!$H$5:$H$2736,$F110)="","",INDEX(選手一覧!$H$5:$H$2736,$F110))</f>
        <v/>
      </c>
      <c r="J110" s="12" t="str">
        <f aca="false">IF(INDEX(選手一覧!$I$5:$I$2736,$F110)="","",INDEX(選手一覧!$I$5:$I$2736,$F110))</f>
        <v/>
      </c>
    </row>
    <row r="111" customFormat="false" ht="15" hidden="false" customHeight="false" outlineLevel="0" collapsed="false">
      <c r="A111" s="12" t="n">
        <v>107</v>
      </c>
      <c r="B111" s="8" t="s">
        <v>396</v>
      </c>
      <c r="C111" s="8" t="s">
        <v>283</v>
      </c>
      <c r="D111" s="11" t="n">
        <v>0.00669953703703704</v>
      </c>
      <c r="E111" s="39" t="n">
        <f aca="false">ROUND((D111-$D$5)*86400,2)</f>
        <v>39.82</v>
      </c>
      <c r="F111" s="12" t="n">
        <v>202</v>
      </c>
      <c r="G111" s="11" t="n">
        <f aca="false">IF(INDEX(選手一覧!$D$5:$D$2736,$F111)="","",INDEX(選手一覧!$D$5:$D$2736,$F111))</f>
        <v>0.0103505787037037</v>
      </c>
      <c r="H111" s="12" t="n">
        <f aca="false">IF(INDEX(選手一覧!$E$5:$E$2736,$F111)="","",INDEX(選手一覧!$E$5:$E$2736,$F111))</f>
        <v>203</v>
      </c>
      <c r="I111" s="11" t="n">
        <f aca="false">IF(INDEX(選手一覧!$H$5:$H$2736,$F111)="","",INDEX(選手一覧!$H$5:$H$2736,$F111))</f>
        <v>0.00276481481481482</v>
      </c>
      <c r="J111" s="12" t="n">
        <f aca="false">IF(INDEX(選手一覧!$I$5:$I$2736,$F111)="","",INDEX(選手一覧!$I$5:$I$2736,$F111))</f>
        <v>149</v>
      </c>
    </row>
    <row r="112" customFormat="false" ht="15" hidden="false" customHeight="false" outlineLevel="0" collapsed="false">
      <c r="A112" s="12" t="n">
        <v>108</v>
      </c>
      <c r="B112" s="8" t="s">
        <v>2057</v>
      </c>
      <c r="C112" s="8" t="s">
        <v>18</v>
      </c>
      <c r="D112" s="11" t="n">
        <v>0.00669976851851852</v>
      </c>
      <c r="E112" s="39" t="n">
        <f aca="false">ROUND((D112-$D$5)*86400,2)</f>
        <v>39.84</v>
      </c>
      <c r="F112" s="12" t="n">
        <v>1308</v>
      </c>
      <c r="G112" s="11" t="str">
        <f aca="false">IF(INDEX(選手一覧!$D$5:$D$2736,$F112)="","",INDEX(選手一覧!$D$5:$D$2736,$F112))</f>
        <v/>
      </c>
      <c r="H112" s="12" t="str">
        <f aca="false">IF(INDEX(選手一覧!$E$5:$E$2736,$F112)="","",INDEX(選手一覧!$E$5:$E$2736,$F112))</f>
        <v/>
      </c>
      <c r="I112" s="11" t="str">
        <f aca="false">IF(INDEX(選手一覧!$H$5:$H$2736,$F112)="","",INDEX(選手一覧!$H$5:$H$2736,$F112))</f>
        <v/>
      </c>
      <c r="J112" s="12" t="str">
        <f aca="false">IF(INDEX(選手一覧!$I$5:$I$2736,$F112)="","",INDEX(選手一覧!$I$5:$I$2736,$F112))</f>
        <v/>
      </c>
    </row>
    <row r="113" customFormat="false" ht="15" hidden="false" customHeight="false" outlineLevel="0" collapsed="false">
      <c r="A113" s="12" t="n">
        <v>109</v>
      </c>
      <c r="B113" s="8" t="s">
        <v>928</v>
      </c>
      <c r="C113" s="8" t="s">
        <v>929</v>
      </c>
      <c r="D113" s="11" t="n">
        <v>0.00670185185185185</v>
      </c>
      <c r="E113" s="39" t="n">
        <f aca="false">ROUND((D113-$D$5)*86400,2)</f>
        <v>40.02</v>
      </c>
      <c r="F113" s="12" t="n">
        <v>533</v>
      </c>
      <c r="G113" s="11" t="n">
        <f aca="false">IF(INDEX(選手一覧!$D$5:$D$2736,$F113)="","",INDEX(選手一覧!$D$5:$D$2736,$F113))</f>
        <v>0.0106591435185185</v>
      </c>
      <c r="H113" s="12" t="n">
        <f aca="false">IF(INDEX(選手一覧!$E$5:$E$2736,$F113)="","",INDEX(選手一覧!$E$5:$E$2736,$F113))</f>
        <v>534</v>
      </c>
      <c r="I113" s="11" t="n">
        <f aca="false">IF(INDEX(選手一覧!$H$5:$H$2736,$F113)="","",INDEX(選手一覧!$H$5:$H$2736,$F113))</f>
        <v>0.00288518518518519</v>
      </c>
      <c r="J113" s="12" t="n">
        <f aca="false">IF(INDEX(選手一覧!$I$5:$I$2736,$F113)="","",INDEX(選手一覧!$I$5:$I$2736,$F113))</f>
        <v>820</v>
      </c>
    </row>
    <row r="114" customFormat="false" ht="15" hidden="false" customHeight="false" outlineLevel="0" collapsed="false">
      <c r="A114" s="12" t="n">
        <v>110</v>
      </c>
      <c r="B114" s="8" t="s">
        <v>2058</v>
      </c>
      <c r="C114" s="8" t="s">
        <v>2059</v>
      </c>
      <c r="D114" s="11" t="n">
        <v>0.00670486111111111</v>
      </c>
      <c r="E114" s="39" t="n">
        <f aca="false">ROUND((D114-$D$5)*86400,2)</f>
        <v>40.28</v>
      </c>
      <c r="F114" s="12" t="n">
        <v>1309</v>
      </c>
      <c r="G114" s="11" t="str">
        <f aca="false">IF(INDEX(選手一覧!$D$5:$D$2736,$F114)="","",INDEX(選手一覧!$D$5:$D$2736,$F114))</f>
        <v/>
      </c>
      <c r="H114" s="12" t="str">
        <f aca="false">IF(INDEX(選手一覧!$E$5:$E$2736,$F114)="","",INDEX(選手一覧!$E$5:$E$2736,$F114))</f>
        <v/>
      </c>
      <c r="I114" s="11" t="n">
        <f aca="false">IF(INDEX(選手一覧!$H$5:$H$2736,$F114)="","",INDEX(選手一覧!$H$5:$H$2736,$F114))</f>
        <v>0.00292025462962963</v>
      </c>
      <c r="J114" s="12" t="n">
        <f aca="false">IF(INDEX(選手一覧!$I$5:$I$2736,$F114)="","",INDEX(選手一覧!$I$5:$I$2736,$F114))</f>
        <v>1102</v>
      </c>
    </row>
    <row r="115" customFormat="false" ht="15" hidden="false" customHeight="false" outlineLevel="0" collapsed="false">
      <c r="A115" s="12" t="n">
        <v>111</v>
      </c>
      <c r="B115" s="8" t="s">
        <v>609</v>
      </c>
      <c r="C115" s="8" t="s">
        <v>558</v>
      </c>
      <c r="D115" s="11" t="n">
        <v>0.00670543981481482</v>
      </c>
      <c r="E115" s="39" t="n">
        <f aca="false">ROUND((D115-$D$5)*86400,2)</f>
        <v>40.33</v>
      </c>
      <c r="F115" s="12" t="n">
        <v>332</v>
      </c>
      <c r="G115" s="11" t="n">
        <f aca="false">IF(INDEX(選手一覧!$D$5:$D$2736,$F115)="","",INDEX(選手一覧!$D$5:$D$2736,$F115))</f>
        <v>0.0104903935185185</v>
      </c>
      <c r="H115" s="12" t="n">
        <f aca="false">IF(INDEX(選手一覧!$E$5:$E$2736,$F115)="","",INDEX(選手一覧!$E$5:$E$2736,$F115))</f>
        <v>333</v>
      </c>
      <c r="I115" s="11" t="n">
        <f aca="false">IF(INDEX(選手一覧!$H$5:$H$2736,$F115)="","",INDEX(選手一覧!$H$5:$H$2736,$F115))</f>
        <v>0.00282905092592593</v>
      </c>
      <c r="J115" s="12" t="n">
        <f aca="false">IF(INDEX(選手一覧!$I$5:$I$2736,$F115)="","",INDEX(選手一覧!$I$5:$I$2736,$F115))</f>
        <v>419</v>
      </c>
    </row>
    <row r="116" customFormat="false" ht="15" hidden="false" customHeight="false" outlineLevel="0" collapsed="false">
      <c r="A116" s="12" t="n">
        <v>112</v>
      </c>
      <c r="B116" s="8" t="s">
        <v>652</v>
      </c>
      <c r="C116" s="8" t="s">
        <v>390</v>
      </c>
      <c r="D116" s="11" t="n">
        <v>0.00671261574074074</v>
      </c>
      <c r="E116" s="39" t="n">
        <f aca="false">ROUND((D116-$D$5)*86400,2)</f>
        <v>40.95</v>
      </c>
      <c r="F116" s="12" t="n">
        <v>359</v>
      </c>
      <c r="G116" s="11" t="n">
        <f aca="false">IF(INDEX(選手一覧!$D$5:$D$2736,$F116)="","",INDEX(選手一覧!$D$5:$D$2736,$F116))</f>
        <v>0.0105166666666667</v>
      </c>
      <c r="H116" s="12" t="n">
        <f aca="false">IF(INDEX(選手一覧!$E$5:$E$2736,$F116)="","",INDEX(選手一覧!$E$5:$E$2736,$F116))</f>
        <v>360</v>
      </c>
      <c r="I116" s="11" t="n">
        <f aca="false">IF(INDEX(選手一覧!$H$5:$H$2736,$F116)="","",INDEX(選手一覧!$H$5:$H$2736,$F116))</f>
        <v>0.00284456018518519</v>
      </c>
      <c r="J116" s="12" t="n">
        <f aca="false">IF(INDEX(選手一覧!$I$5:$I$2736,$F116)="","",INDEX(選手一覧!$I$5:$I$2736,$F116))</f>
        <v>531</v>
      </c>
    </row>
    <row r="117" customFormat="false" ht="15" hidden="false" customHeight="false" outlineLevel="0" collapsed="false">
      <c r="A117" s="12" t="n">
        <v>113</v>
      </c>
      <c r="B117" s="8" t="s">
        <v>1011</v>
      </c>
      <c r="C117" s="8" t="s">
        <v>399</v>
      </c>
      <c r="D117" s="11" t="n">
        <v>0.00671666666666667</v>
      </c>
      <c r="E117" s="39" t="n">
        <f aca="false">ROUND((D117-$D$5)*86400,2)</f>
        <v>41.3</v>
      </c>
      <c r="F117" s="12" t="n">
        <v>588</v>
      </c>
      <c r="G117" s="11" t="n">
        <f aca="false">IF(INDEX(選手一覧!$D$5:$D$2736,$F117)="","",INDEX(選手一覧!$D$5:$D$2736,$F117))</f>
        <v>0.010703587962963</v>
      </c>
      <c r="H117" s="12" t="n">
        <f aca="false">IF(INDEX(選手一覧!$E$5:$E$2736,$F117)="","",INDEX(選手一覧!$E$5:$E$2736,$F117))</f>
        <v>589</v>
      </c>
      <c r="I117" s="11" t="str">
        <f aca="false">IF(INDEX(選手一覧!$H$5:$H$2736,$F117)="","",INDEX(選手一覧!$H$5:$H$2736,$F117))</f>
        <v/>
      </c>
      <c r="J117" s="12" t="str">
        <f aca="false">IF(INDEX(選手一覧!$I$5:$I$2736,$F117)="","",INDEX(選手一覧!$I$5:$I$2736,$F117))</f>
        <v/>
      </c>
    </row>
    <row r="118" customFormat="false" ht="15" hidden="false" customHeight="false" outlineLevel="0" collapsed="false">
      <c r="A118" s="12" t="n">
        <v>114</v>
      </c>
      <c r="B118" s="8" t="s">
        <v>1648</v>
      </c>
      <c r="C118" s="8" t="s">
        <v>1649</v>
      </c>
      <c r="D118" s="11" t="n">
        <v>0.00672141203703704</v>
      </c>
      <c r="E118" s="39" t="n">
        <f aca="false">ROUND((D118-$D$5)*86400,2)</f>
        <v>41.71</v>
      </c>
      <c r="F118" s="12" t="n">
        <v>1020</v>
      </c>
      <c r="G118" s="11" t="n">
        <f aca="false">IF(INDEX(選手一覧!$D$5:$D$2736,$F118)="","",INDEX(選手一覧!$D$5:$D$2736,$F118))</f>
        <v>0.0109608796296296</v>
      </c>
      <c r="H118" s="12" t="n">
        <f aca="false">IF(INDEX(選手一覧!$E$5:$E$2736,$F118)="","",INDEX(選手一覧!$E$5:$E$2736,$F118))</f>
        <v>1021</v>
      </c>
      <c r="I118" s="11" t="str">
        <f aca="false">IF(INDEX(選手一覧!$H$5:$H$2736,$F118)="","",INDEX(選手一覧!$H$5:$H$2736,$F118))</f>
        <v/>
      </c>
      <c r="J118" s="12" t="str">
        <f aca="false">IF(INDEX(選手一覧!$I$5:$I$2736,$F118)="","",INDEX(選手一覧!$I$5:$I$2736,$F118))</f>
        <v/>
      </c>
    </row>
    <row r="119" customFormat="false" ht="15" hidden="false" customHeight="false" outlineLevel="0" collapsed="false">
      <c r="A119" s="12" t="n">
        <v>115</v>
      </c>
      <c r="B119" s="8" t="s">
        <v>727</v>
      </c>
      <c r="C119" s="8" t="s">
        <v>116</v>
      </c>
      <c r="D119" s="11" t="n">
        <v>0.006721875</v>
      </c>
      <c r="E119" s="39" t="n">
        <f aca="false">ROUND((D119-$D$5)*86400,2)</f>
        <v>41.75</v>
      </c>
      <c r="F119" s="12" t="n">
        <v>407</v>
      </c>
      <c r="G119" s="11" t="n">
        <f aca="false">IF(INDEX(選手一覧!$D$5:$D$2736,$F119)="","",INDEX(選手一覧!$D$5:$D$2736,$F119))</f>
        <v>0.010559375</v>
      </c>
      <c r="H119" s="12" t="n">
        <f aca="false">IF(INDEX(選手一覧!$E$5:$E$2736,$F119)="","",INDEX(選手一覧!$E$5:$E$2736,$F119))</f>
        <v>408</v>
      </c>
      <c r="I119" s="11" t="n">
        <f aca="false">IF(INDEX(選手一覧!$H$5:$H$2736,$F119)="","",INDEX(選手一覧!$H$5:$H$2736,$F119))</f>
        <v>0.00281990740740741</v>
      </c>
      <c r="J119" s="12" t="n">
        <f aca="false">IF(INDEX(選手一覧!$I$5:$I$2736,$F119)="","",INDEX(選手一覧!$I$5:$I$2736,$F119))</f>
        <v>362</v>
      </c>
    </row>
    <row r="120" customFormat="false" ht="15" hidden="false" customHeight="false" outlineLevel="0" collapsed="false">
      <c r="A120" s="12" t="n">
        <v>116</v>
      </c>
      <c r="B120" s="8" t="s">
        <v>1281</v>
      </c>
      <c r="C120" s="8" t="s">
        <v>158</v>
      </c>
      <c r="D120" s="11" t="n">
        <v>0.00672430555555556</v>
      </c>
      <c r="E120" s="39" t="n">
        <f aca="false">ROUND((D120-$D$5)*86400,2)</f>
        <v>41.96</v>
      </c>
      <c r="F120" s="12" t="n">
        <v>770</v>
      </c>
      <c r="G120" s="11" t="n">
        <f aca="false">IF(INDEX(選手一覧!$D$5:$D$2736,$F120)="","",INDEX(選手一覧!$D$5:$D$2736,$F120))</f>
        <v>0.010816087962963</v>
      </c>
      <c r="H120" s="12" t="n">
        <f aca="false">IF(INDEX(選手一覧!$E$5:$E$2736,$F120)="","",INDEX(選手一覧!$E$5:$E$2736,$F120))</f>
        <v>771</v>
      </c>
      <c r="I120" s="11" t="str">
        <f aca="false">IF(INDEX(選手一覧!$H$5:$H$2736,$F120)="","",INDEX(選手一覧!$H$5:$H$2736,$F120))</f>
        <v/>
      </c>
      <c r="J120" s="12" t="str">
        <f aca="false">IF(INDEX(選手一覧!$I$5:$I$2736,$F120)="","",INDEX(選手一覧!$I$5:$I$2736,$F120))</f>
        <v/>
      </c>
    </row>
    <row r="121" customFormat="false" ht="15" hidden="false" customHeight="false" outlineLevel="0" collapsed="false">
      <c r="A121" s="12" t="n">
        <v>117</v>
      </c>
      <c r="B121" s="8" t="s">
        <v>2061</v>
      </c>
      <c r="C121" s="8" t="s">
        <v>788</v>
      </c>
      <c r="D121" s="11" t="n">
        <v>0.00672592592592593</v>
      </c>
      <c r="E121" s="39" t="n">
        <f aca="false">ROUND((D121-$D$5)*86400,2)</f>
        <v>42.1</v>
      </c>
      <c r="F121" s="12" t="n">
        <v>1311</v>
      </c>
      <c r="G121" s="11" t="str">
        <f aca="false">IF(INDEX(選手一覧!$D$5:$D$2736,$F121)="","",INDEX(選手一覧!$D$5:$D$2736,$F121))</f>
        <v/>
      </c>
      <c r="H121" s="12" t="str">
        <f aca="false">IF(INDEX(選手一覧!$E$5:$E$2736,$F121)="","",INDEX(選手一覧!$E$5:$E$2736,$F121))</f>
        <v/>
      </c>
      <c r="I121" s="11" t="n">
        <f aca="false">IF(INDEX(選手一覧!$H$5:$H$2736,$F121)="","",INDEX(選手一覧!$H$5:$H$2736,$F121))</f>
        <v>0.00285335648148148</v>
      </c>
      <c r="J121" s="12" t="n">
        <f aca="false">IF(INDEX(選手一覧!$I$5:$I$2736,$F121)="","",INDEX(選手一覧!$I$5:$I$2736,$F121))</f>
        <v>587</v>
      </c>
    </row>
    <row r="122" customFormat="false" ht="15" hidden="false" customHeight="false" outlineLevel="0" collapsed="false">
      <c r="A122" s="12" t="n">
        <v>118</v>
      </c>
      <c r="B122" s="8" t="s">
        <v>789</v>
      </c>
      <c r="C122" s="8" t="s">
        <v>58</v>
      </c>
      <c r="D122" s="11" t="n">
        <v>0.00672800925925926</v>
      </c>
      <c r="E122" s="39" t="n">
        <f aca="false">ROUND((D122-$D$5)*86400,2)</f>
        <v>42.28</v>
      </c>
      <c r="F122" s="12" t="n">
        <v>446</v>
      </c>
      <c r="G122" s="11" t="n">
        <f aca="false">IF(INDEX(選手一覧!$D$5:$D$2736,$F122)="","",INDEX(選手一覧!$D$5:$D$2736,$F122))</f>
        <v>0.0105856481481482</v>
      </c>
      <c r="H122" s="12" t="n">
        <f aca="false">IF(INDEX(選手一覧!$E$5:$E$2736,$F122)="","",INDEX(選手一覧!$E$5:$E$2736,$F122))</f>
        <v>447</v>
      </c>
      <c r="I122" s="11" t="n">
        <f aca="false">IF(INDEX(選手一覧!$H$5:$H$2736,$F122)="","",INDEX(選手一覧!$H$5:$H$2736,$F122))</f>
        <v>0.00275428240740741</v>
      </c>
      <c r="J122" s="12" t="n">
        <f aca="false">IF(INDEX(選手一覧!$I$5:$I$2736,$F122)="","",INDEX(選手一覧!$I$5:$I$2736,$F122))</f>
        <v>115</v>
      </c>
    </row>
    <row r="123" customFormat="false" ht="15" hidden="false" customHeight="false" outlineLevel="0" collapsed="false">
      <c r="A123" s="12" t="n">
        <v>119</v>
      </c>
      <c r="B123" s="8" t="s">
        <v>581</v>
      </c>
      <c r="C123" s="8" t="s">
        <v>582</v>
      </c>
      <c r="D123" s="11" t="n">
        <v>0.00672824074074074</v>
      </c>
      <c r="E123" s="39" t="n">
        <f aca="false">ROUND((D123-$D$5)*86400,2)</f>
        <v>42.3</v>
      </c>
      <c r="F123" s="12" t="n">
        <v>315</v>
      </c>
      <c r="G123" s="11" t="n">
        <f aca="false">IF(INDEX(選手一覧!$D$5:$D$2736,$F123)="","",INDEX(選手一覧!$D$5:$D$2736,$F123))</f>
        <v>0.0104655092592593</v>
      </c>
      <c r="H123" s="12" t="n">
        <f aca="false">IF(INDEX(選手一覧!$E$5:$E$2736,$F123)="","",INDEX(選手一覧!$E$5:$E$2736,$F123))</f>
        <v>316</v>
      </c>
      <c r="I123" s="11" t="n">
        <f aca="false">IF(INDEX(選手一覧!$H$5:$H$2736,$F123)="","",INDEX(選手一覧!$H$5:$H$2736,$F123))</f>
        <v>0.00280833333333333</v>
      </c>
      <c r="J123" s="12" t="n">
        <f aca="false">IF(INDEX(選手一覧!$I$5:$I$2736,$F123)="","",INDEX(選手一覧!$I$5:$I$2736,$F123))</f>
        <v>318</v>
      </c>
    </row>
    <row r="124" customFormat="false" ht="15" hidden="false" customHeight="false" outlineLevel="0" collapsed="false">
      <c r="A124" s="12" t="n">
        <v>120</v>
      </c>
      <c r="B124" s="8" t="s">
        <v>1232</v>
      </c>
      <c r="C124" s="8" t="s">
        <v>143</v>
      </c>
      <c r="D124" s="11" t="n">
        <v>0.00673020833333333</v>
      </c>
      <c r="E124" s="39" t="n">
        <f aca="false">ROUND((D124-$D$5)*86400,2)</f>
        <v>42.47</v>
      </c>
      <c r="F124" s="12" t="n">
        <v>738</v>
      </c>
      <c r="G124" s="11" t="n">
        <f aca="false">IF(INDEX(選手一覧!$D$5:$D$2736,$F124)="","",INDEX(選手一覧!$D$5:$D$2736,$F124))</f>
        <v>0.0107994212962963</v>
      </c>
      <c r="H124" s="12" t="n">
        <f aca="false">IF(INDEX(選手一覧!$E$5:$E$2736,$F124)="","",INDEX(選手一覧!$E$5:$E$2736,$F124))</f>
        <v>739</v>
      </c>
      <c r="I124" s="11" t="n">
        <f aca="false">IF(INDEX(選手一覧!$H$5:$H$2736,$F124)="","",INDEX(選手一覧!$H$5:$H$2736,$F124))</f>
        <v>0.00282962962962963</v>
      </c>
      <c r="J124" s="12" t="n">
        <f aca="false">IF(INDEX(選手一覧!$I$5:$I$2736,$F124)="","",INDEX(選手一覧!$I$5:$I$2736,$F124))</f>
        <v>424</v>
      </c>
    </row>
    <row r="125" customFormat="false" ht="15" hidden="false" customHeight="false" outlineLevel="0" collapsed="false">
      <c r="A125" s="12" t="n">
        <v>121</v>
      </c>
      <c r="B125" s="8" t="s">
        <v>1053</v>
      </c>
      <c r="C125" s="8" t="s">
        <v>18</v>
      </c>
      <c r="D125" s="11" t="n">
        <v>0.00673368055555556</v>
      </c>
      <c r="E125" s="39" t="n">
        <f aca="false">ROUND((D125-$D$5)*86400,2)</f>
        <v>42.77</v>
      </c>
      <c r="F125" s="12" t="n">
        <v>620</v>
      </c>
      <c r="G125" s="11" t="n">
        <f aca="false">IF(INDEX(選手一覧!$D$5:$D$2736,$F125)="","",INDEX(選手一覧!$D$5:$D$2736,$F125))</f>
        <v>0.0107247685185185</v>
      </c>
      <c r="H125" s="12" t="n">
        <f aca="false">IF(INDEX(選手一覧!$E$5:$E$2736,$F125)="","",INDEX(選手一覧!$E$5:$E$2736,$F125))</f>
        <v>621</v>
      </c>
      <c r="I125" s="11" t="str">
        <f aca="false">IF(INDEX(選手一覧!$H$5:$H$2736,$F125)="","",INDEX(選手一覧!$H$5:$H$2736,$F125))</f>
        <v/>
      </c>
      <c r="J125" s="12" t="str">
        <f aca="false">IF(INDEX(選手一覧!$I$5:$I$2736,$F125)="","",INDEX(選手一覧!$I$5:$I$2736,$F125))</f>
        <v/>
      </c>
    </row>
    <row r="126" customFormat="false" ht="15" hidden="false" customHeight="false" outlineLevel="0" collapsed="false">
      <c r="A126" s="12" t="n">
        <v>122</v>
      </c>
      <c r="B126" s="8" t="s">
        <v>501</v>
      </c>
      <c r="C126" s="8" t="s">
        <v>238</v>
      </c>
      <c r="D126" s="11" t="n">
        <v>0.00673564814814815</v>
      </c>
      <c r="E126" s="39" t="n">
        <f aca="false">ROUND((D126-$D$5)*86400,2)</f>
        <v>42.94</v>
      </c>
      <c r="F126" s="12" t="n">
        <v>266</v>
      </c>
      <c r="G126" s="11" t="n">
        <f aca="false">IF(INDEX(選手一覧!$D$5:$D$2736,$F126)="","",INDEX(選手一覧!$D$5:$D$2736,$F126))</f>
        <v>0.0104005787037037</v>
      </c>
      <c r="H126" s="12" t="n">
        <f aca="false">IF(INDEX(選手一覧!$E$5:$E$2736,$F126)="","",INDEX(選手一覧!$E$5:$E$2736,$F126))</f>
        <v>267</v>
      </c>
      <c r="I126" s="11" t="n">
        <f aca="false">IF(INDEX(選手一覧!$H$5:$H$2736,$F126)="","",INDEX(選手一覧!$H$5:$H$2736,$F126))</f>
        <v>0.00283460648148148</v>
      </c>
      <c r="J126" s="12" t="n">
        <f aca="false">IF(INDEX(選手一覧!$I$5:$I$2736,$F126)="","",INDEX(選手一覧!$I$5:$I$2736,$F126))</f>
        <v>456</v>
      </c>
    </row>
    <row r="127" customFormat="false" ht="15" hidden="false" customHeight="false" outlineLevel="0" collapsed="false">
      <c r="A127" s="12" t="n">
        <v>123</v>
      </c>
      <c r="B127" s="8" t="s">
        <v>337</v>
      </c>
      <c r="C127" s="8" t="s">
        <v>207</v>
      </c>
      <c r="D127" s="11" t="n">
        <v>0.00674305555555556</v>
      </c>
      <c r="E127" s="39" t="n">
        <f aca="false">ROUND((D127-$D$5)*86400,2)</f>
        <v>43.58</v>
      </c>
      <c r="F127" s="12" t="n">
        <v>166</v>
      </c>
      <c r="G127" s="11" t="n">
        <f aca="false">IF(INDEX(選手一覧!$D$5:$D$2736,$F127)="","",INDEX(選手一覧!$D$5:$D$2736,$F127))</f>
        <v>0.0103144675925926</v>
      </c>
      <c r="H127" s="12" t="n">
        <f aca="false">IF(INDEX(選手一覧!$E$5:$E$2736,$F127)="","",INDEX(選手一覧!$E$5:$E$2736,$F127))</f>
        <v>167</v>
      </c>
      <c r="I127" s="11" t="n">
        <f aca="false">IF(INDEX(選手一覧!$H$5:$H$2736,$F127)="","",INDEX(選手一覧!$H$5:$H$2736,$F127))</f>
        <v>0.00277951388888889</v>
      </c>
      <c r="J127" s="12" t="n">
        <f aca="false">IF(INDEX(選手一覧!$I$5:$I$2736,$F127)="","",INDEX(選手一覧!$I$5:$I$2736,$F127))</f>
        <v>199</v>
      </c>
    </row>
    <row r="128" customFormat="false" ht="15" hidden="false" customHeight="false" outlineLevel="0" collapsed="false">
      <c r="A128" s="12" t="n">
        <v>124</v>
      </c>
      <c r="B128" s="8" t="s">
        <v>1059</v>
      </c>
      <c r="C128" s="8" t="s">
        <v>375</v>
      </c>
      <c r="D128" s="11" t="n">
        <v>0.00674560185185185</v>
      </c>
      <c r="E128" s="39" t="n">
        <f aca="false">ROUND((D128-$D$5)*86400,2)</f>
        <v>43.8</v>
      </c>
      <c r="F128" s="12" t="n">
        <v>625</v>
      </c>
      <c r="G128" s="11" t="n">
        <f aca="false">IF(INDEX(選手一覧!$D$5:$D$2736,$F128)="","",INDEX(選手一覧!$D$5:$D$2736,$F128))</f>
        <v>0.0107274305555556</v>
      </c>
      <c r="H128" s="12" t="n">
        <f aca="false">IF(INDEX(選手一覧!$E$5:$E$2736,$F128)="","",INDEX(選手一覧!$E$5:$E$2736,$F128))</f>
        <v>626</v>
      </c>
      <c r="I128" s="11" t="str">
        <f aca="false">IF(INDEX(選手一覧!$H$5:$H$2736,$F128)="","",INDEX(選手一覧!$H$5:$H$2736,$F128))</f>
        <v/>
      </c>
      <c r="J128" s="12" t="str">
        <f aca="false">IF(INDEX(選手一覧!$I$5:$I$2736,$F128)="","",INDEX(選手一覧!$I$5:$I$2736,$F128))</f>
        <v/>
      </c>
    </row>
    <row r="129" customFormat="false" ht="15" hidden="false" customHeight="false" outlineLevel="0" collapsed="false">
      <c r="A129" s="12" t="n">
        <v>125</v>
      </c>
      <c r="B129" s="8" t="s">
        <v>2062</v>
      </c>
      <c r="C129" s="8" t="s">
        <v>1337</v>
      </c>
      <c r="D129" s="11" t="n">
        <v>0.00674641203703704</v>
      </c>
      <c r="E129" s="39" t="n">
        <f aca="false">ROUND((D129-$D$5)*86400,2)</f>
        <v>43.87</v>
      </c>
      <c r="F129" s="12" t="n">
        <v>1312</v>
      </c>
      <c r="G129" s="11" t="str">
        <f aca="false">IF(INDEX(選手一覧!$D$5:$D$2736,$F129)="","",INDEX(選手一覧!$D$5:$D$2736,$F129))</f>
        <v/>
      </c>
      <c r="H129" s="12" t="str">
        <f aca="false">IF(INDEX(選手一覧!$E$5:$E$2736,$F129)="","",INDEX(選手一覧!$E$5:$E$2736,$F129))</f>
        <v/>
      </c>
      <c r="I129" s="11" t="n">
        <f aca="false">IF(INDEX(選手一覧!$H$5:$H$2736,$F129)="","",INDEX(選手一覧!$H$5:$H$2736,$F129))</f>
        <v>0.00295428240740741</v>
      </c>
      <c r="J129" s="12" t="n">
        <f aca="false">IF(INDEX(選手一覧!$I$5:$I$2736,$F129)="","",INDEX(選手一覧!$I$5:$I$2736,$F129))</f>
        <v>1251</v>
      </c>
    </row>
    <row r="130" customFormat="false" ht="15" hidden="false" customHeight="false" outlineLevel="0" collapsed="false">
      <c r="A130" s="12" t="n">
        <v>126</v>
      </c>
      <c r="B130" s="8" t="s">
        <v>890</v>
      </c>
      <c r="C130" s="8" t="s">
        <v>891</v>
      </c>
      <c r="D130" s="11" t="n">
        <v>0.00674803240740741</v>
      </c>
      <c r="E130" s="39" t="n">
        <f aca="false">ROUND((D130-$D$5)*86400,2)</f>
        <v>44.01</v>
      </c>
      <c r="F130" s="12" t="n">
        <v>510</v>
      </c>
      <c r="G130" s="11" t="n">
        <f aca="false">IF(INDEX(選手一覧!$D$5:$D$2736,$F130)="","",INDEX(選手一覧!$D$5:$D$2736,$F130))</f>
        <v>0.0106412037037037</v>
      </c>
      <c r="H130" s="12" t="n">
        <f aca="false">IF(INDEX(選手一覧!$E$5:$E$2736,$F130)="","",INDEX(選手一覧!$E$5:$E$2736,$F130))</f>
        <v>511</v>
      </c>
      <c r="I130" s="11" t="n">
        <f aca="false">IF(INDEX(選手一覧!$H$5:$H$2736,$F130)="","",INDEX(選手一覧!$H$5:$H$2736,$F130))</f>
        <v>0.00282048611111111</v>
      </c>
      <c r="J130" s="12" t="n">
        <f aca="false">IF(INDEX(選手一覧!$I$5:$I$2736,$F130)="","",INDEX(選手一覧!$I$5:$I$2736,$F130))</f>
        <v>364</v>
      </c>
    </row>
    <row r="131" customFormat="false" ht="15" hidden="false" customHeight="false" outlineLevel="0" collapsed="false">
      <c r="A131" s="12" t="n">
        <v>127</v>
      </c>
      <c r="B131" s="8" t="s">
        <v>1052</v>
      </c>
      <c r="C131" s="8" t="s">
        <v>92</v>
      </c>
      <c r="D131" s="11" t="n">
        <v>0.00674884259259259</v>
      </c>
      <c r="E131" s="39" t="n">
        <f aca="false">ROUND((D131-$D$5)*86400,2)</f>
        <v>44.08</v>
      </c>
      <c r="F131" s="12" t="n">
        <v>619</v>
      </c>
      <c r="G131" s="11" t="n">
        <f aca="false">IF(INDEX(選手一覧!$D$5:$D$2736,$F131)="","",INDEX(選手一覧!$D$5:$D$2736,$F131))</f>
        <v>0.0107236111111111</v>
      </c>
      <c r="H131" s="12" t="n">
        <f aca="false">IF(INDEX(選手一覧!$E$5:$E$2736,$F131)="","",INDEX(選手一覧!$E$5:$E$2736,$F131))</f>
        <v>620</v>
      </c>
      <c r="I131" s="11" t="n">
        <f aca="false">IF(INDEX(選手一覧!$H$5:$H$2736,$F131)="","",INDEX(選手一覧!$H$5:$H$2736,$F131))</f>
        <v>0.00295983796296296</v>
      </c>
      <c r="J131" s="12" t="n">
        <f aca="false">IF(INDEX(選手一覧!$I$5:$I$2736,$F131)="","",INDEX(選手一覧!$I$5:$I$2736,$F131))</f>
        <v>1271</v>
      </c>
    </row>
    <row r="132" customFormat="false" ht="15" hidden="false" customHeight="false" outlineLevel="0" collapsed="false">
      <c r="A132" s="12" t="n">
        <v>128</v>
      </c>
      <c r="B132" s="8" t="s">
        <v>2063</v>
      </c>
      <c r="C132" s="8" t="s">
        <v>278</v>
      </c>
      <c r="D132" s="11" t="n">
        <v>0.00674988425925926</v>
      </c>
      <c r="E132" s="39" t="n">
        <f aca="false">ROUND((D132-$D$5)*86400,2)</f>
        <v>44.17</v>
      </c>
      <c r="F132" s="12" t="n">
        <v>1313</v>
      </c>
      <c r="G132" s="11" t="str">
        <f aca="false">IF(INDEX(選手一覧!$D$5:$D$2736,$F132)="","",INDEX(選手一覧!$D$5:$D$2736,$F132))</f>
        <v/>
      </c>
      <c r="H132" s="12" t="str">
        <f aca="false">IF(INDEX(選手一覧!$E$5:$E$2736,$F132)="","",INDEX(選手一覧!$E$5:$E$2736,$F132))</f>
        <v/>
      </c>
      <c r="I132" s="11" t="str">
        <f aca="false">IF(INDEX(選手一覧!$H$5:$H$2736,$F132)="","",INDEX(選手一覧!$H$5:$H$2736,$F132))</f>
        <v/>
      </c>
      <c r="J132" s="12" t="str">
        <f aca="false">IF(INDEX(選手一覧!$I$5:$I$2736,$F132)="","",INDEX(選手一覧!$I$5:$I$2736,$F132))</f>
        <v/>
      </c>
    </row>
    <row r="133" customFormat="false" ht="15" hidden="false" customHeight="false" outlineLevel="0" collapsed="false">
      <c r="A133" s="12" t="n">
        <v>129</v>
      </c>
      <c r="B133" s="8" t="s">
        <v>1715</v>
      </c>
      <c r="C133" s="8" t="s">
        <v>1716</v>
      </c>
      <c r="D133" s="11" t="n">
        <v>0.00675092592592593</v>
      </c>
      <c r="E133" s="39" t="n">
        <f aca="false">ROUND((D133-$D$5)*86400,2)</f>
        <v>44.26</v>
      </c>
      <c r="F133" s="12" t="n">
        <v>1064</v>
      </c>
      <c r="G133" s="11" t="n">
        <f aca="false">IF(INDEX(選手一覧!$D$5:$D$2736,$F133)="","",INDEX(選手一覧!$D$5:$D$2736,$F133))</f>
        <v>0.0109840277777778</v>
      </c>
      <c r="H133" s="12" t="n">
        <f aca="false">IF(INDEX(選手一覧!$E$5:$E$2736,$F133)="","",INDEX(選手一覧!$E$5:$E$2736,$F133))</f>
        <v>1065</v>
      </c>
      <c r="I133" s="11" t="n">
        <f aca="false">IF(INDEX(選手一覧!$H$5:$H$2736,$F133)="","",INDEX(選手一覧!$H$5:$H$2736,$F133))</f>
        <v>0.00298101851851852</v>
      </c>
      <c r="J133" s="12" t="n">
        <f aca="false">IF(INDEX(選手一覧!$I$5:$I$2736,$F133)="","",INDEX(選手一覧!$I$5:$I$2736,$F133))</f>
        <v>1356</v>
      </c>
    </row>
    <row r="134" customFormat="false" ht="15" hidden="false" customHeight="false" outlineLevel="0" collapsed="false">
      <c r="A134" s="12" t="n">
        <v>130</v>
      </c>
      <c r="B134" s="8" t="s">
        <v>1662</v>
      </c>
      <c r="C134" s="8" t="s">
        <v>1503</v>
      </c>
      <c r="D134" s="11" t="n">
        <v>0.00675219907407407</v>
      </c>
      <c r="E134" s="39" t="n">
        <f aca="false">ROUND((D134-$D$5)*86400,2)</f>
        <v>44.37</v>
      </c>
      <c r="F134" s="12" t="n">
        <v>1028</v>
      </c>
      <c r="G134" s="11" t="n">
        <f aca="false">IF(INDEX(選手一覧!$D$5:$D$2736,$F134)="","",INDEX(選手一覧!$D$5:$D$2736,$F134))</f>
        <v>0.0109672453703704</v>
      </c>
      <c r="H134" s="12" t="n">
        <f aca="false">IF(INDEX(選手一覧!$E$5:$E$2736,$F134)="","",INDEX(選手一覧!$E$5:$E$2736,$F134))</f>
        <v>1029</v>
      </c>
      <c r="I134" s="11" t="n">
        <f aca="false">IF(INDEX(選手一覧!$H$5:$H$2736,$F134)="","",INDEX(選手一覧!$H$5:$H$2736,$F134))</f>
        <v>0.0029099537037037</v>
      </c>
      <c r="J134" s="12" t="n">
        <f aca="false">IF(INDEX(選手一覧!$I$5:$I$2736,$F134)="","",INDEX(選手一覧!$I$5:$I$2736,$F134))</f>
        <v>1019</v>
      </c>
    </row>
    <row r="135" customFormat="false" ht="15" hidden="false" customHeight="false" outlineLevel="0" collapsed="false">
      <c r="A135" s="12" t="n">
        <v>131</v>
      </c>
      <c r="B135" s="8" t="s">
        <v>2064</v>
      </c>
      <c r="C135" s="8" t="s">
        <v>2065</v>
      </c>
      <c r="D135" s="11" t="n">
        <v>0.00675428240740741</v>
      </c>
      <c r="E135" s="39" t="n">
        <f aca="false">ROUND((D135-$D$5)*86400,2)</f>
        <v>44.55</v>
      </c>
      <c r="F135" s="12" t="n">
        <v>1314</v>
      </c>
      <c r="G135" s="11" t="str">
        <f aca="false">IF(INDEX(選手一覧!$D$5:$D$2736,$F135)="","",INDEX(選手一覧!$D$5:$D$2736,$F135))</f>
        <v/>
      </c>
      <c r="H135" s="12" t="str">
        <f aca="false">IF(INDEX(選手一覧!$E$5:$E$2736,$F135)="","",INDEX(選手一覧!$E$5:$E$2736,$F135))</f>
        <v/>
      </c>
      <c r="I135" s="11" t="n">
        <f aca="false">IF(INDEX(選手一覧!$H$5:$H$2736,$F135)="","",INDEX(選手一覧!$H$5:$H$2736,$F135))</f>
        <v>0.0028306712962963</v>
      </c>
      <c r="J135" s="12" t="n">
        <f aca="false">IF(INDEX(選手一覧!$I$5:$I$2736,$F135)="","",INDEX(選手一覧!$I$5:$I$2736,$F135))</f>
        <v>430</v>
      </c>
    </row>
    <row r="136" customFormat="false" ht="15" hidden="false" customHeight="false" outlineLevel="0" collapsed="false">
      <c r="A136" s="12" t="n">
        <v>132</v>
      </c>
      <c r="B136" s="8" t="s">
        <v>1072</v>
      </c>
      <c r="C136" s="8" t="s">
        <v>92</v>
      </c>
      <c r="D136" s="11" t="n">
        <v>0.00675474537037037</v>
      </c>
      <c r="E136" s="39" t="n">
        <f aca="false">ROUND((D136-$D$5)*86400,2)</f>
        <v>44.59</v>
      </c>
      <c r="F136" s="12" t="n">
        <v>634</v>
      </c>
      <c r="G136" s="11" t="n">
        <f aca="false">IF(INDEX(選手一覧!$D$5:$D$2736,$F136)="","",INDEX(選手一覧!$D$5:$D$2736,$F136))</f>
        <v>0.010731712962963</v>
      </c>
      <c r="H136" s="12" t="n">
        <f aca="false">IF(INDEX(選手一覧!$E$5:$E$2736,$F136)="","",INDEX(選手一覧!$E$5:$E$2736,$F136))</f>
        <v>635</v>
      </c>
      <c r="I136" s="11" t="n">
        <f aca="false">IF(INDEX(選手一覧!$H$5:$H$2736,$F136)="","",INDEX(選手一覧!$H$5:$H$2736,$F136))</f>
        <v>0.00289351851851852</v>
      </c>
      <c r="J136" s="12" t="n">
        <f aca="false">IF(INDEX(選手一覧!$I$5:$I$2736,$F136)="","",INDEX(選手一覧!$I$5:$I$2736,$F136))</f>
        <v>901</v>
      </c>
    </row>
    <row r="137" customFormat="false" ht="15" hidden="false" customHeight="false" outlineLevel="0" collapsed="false">
      <c r="A137" s="12" t="n">
        <v>133</v>
      </c>
      <c r="B137" s="8" t="s">
        <v>1593</v>
      </c>
      <c r="C137" s="8" t="s">
        <v>249</v>
      </c>
      <c r="D137" s="11" t="n">
        <v>0.0067556712962963</v>
      </c>
      <c r="E137" s="39" t="n">
        <f aca="false">ROUND((D137-$D$5)*86400,2)</f>
        <v>44.67</v>
      </c>
      <c r="F137" s="12" t="n">
        <v>979</v>
      </c>
      <c r="G137" s="11" t="n">
        <f aca="false">IF(INDEX(選手一覧!$D$5:$D$2736,$F137)="","",INDEX(選手一覧!$D$5:$D$2736,$F137))</f>
        <v>0.0109390046296296</v>
      </c>
      <c r="H137" s="12" t="n">
        <f aca="false">IF(INDEX(選手一覧!$E$5:$E$2736,$F137)="","",INDEX(選手一覧!$E$5:$E$2736,$F137))</f>
        <v>980</v>
      </c>
      <c r="I137" s="11" t="n">
        <f aca="false">IF(INDEX(選手一覧!$H$5:$H$2736,$F137)="","",INDEX(選手一覧!$H$5:$H$2736,$F137))</f>
        <v>0.00283229166666667</v>
      </c>
      <c r="J137" s="12" t="n">
        <f aca="false">IF(INDEX(選手一覧!$I$5:$I$2736,$F137)="","",INDEX(選手一覧!$I$5:$I$2736,$F137))</f>
        <v>442</v>
      </c>
    </row>
    <row r="138" customFormat="false" ht="15" hidden="false" customHeight="false" outlineLevel="0" collapsed="false">
      <c r="A138" s="12" t="n">
        <v>134</v>
      </c>
      <c r="B138" s="8" t="s">
        <v>988</v>
      </c>
      <c r="C138" s="8" t="s">
        <v>989</v>
      </c>
      <c r="D138" s="11" t="n">
        <v>0.00675868055555556</v>
      </c>
      <c r="E138" s="39" t="n">
        <f aca="false">ROUND((D138-$D$5)*86400,2)</f>
        <v>44.93</v>
      </c>
      <c r="F138" s="12" t="n">
        <v>573</v>
      </c>
      <c r="G138" s="11" t="n">
        <f aca="false">IF(INDEX(選手一覧!$D$5:$D$2736,$F138)="","",INDEX(選手一覧!$D$5:$D$2736,$F138))</f>
        <v>0.0106959490740741</v>
      </c>
      <c r="H138" s="12" t="n">
        <f aca="false">IF(INDEX(選手一覧!$E$5:$E$2736,$F138)="","",INDEX(選手一覧!$E$5:$E$2736,$F138))</f>
        <v>574</v>
      </c>
      <c r="I138" s="11" t="n">
        <f aca="false">IF(INDEX(選手一覧!$H$5:$H$2736,$F138)="","",INDEX(選手一覧!$H$5:$H$2736,$F138))</f>
        <v>0.00285069444444445</v>
      </c>
      <c r="J138" s="12" t="n">
        <f aca="false">IF(INDEX(選手一覧!$I$5:$I$2736,$F138)="","",INDEX(選手一覧!$I$5:$I$2736,$F138))</f>
        <v>574</v>
      </c>
    </row>
    <row r="139" customFormat="false" ht="15" hidden="false" customHeight="false" outlineLevel="0" collapsed="false">
      <c r="A139" s="12" t="n">
        <v>135</v>
      </c>
      <c r="B139" s="8" t="s">
        <v>1980</v>
      </c>
      <c r="C139" s="8" t="s">
        <v>160</v>
      </c>
      <c r="D139" s="11" t="n">
        <v>0.00676053240740741</v>
      </c>
      <c r="E139" s="39" t="n">
        <f aca="false">ROUND((D139-$D$5)*86400,2)</f>
        <v>45.09</v>
      </c>
      <c r="F139" s="12" t="n">
        <v>1248</v>
      </c>
      <c r="G139" s="11" t="n">
        <f aca="false">IF(INDEX(選手一覧!$D$5:$D$2736,$F139)="","",INDEX(選手一覧!$D$5:$D$2736,$F139))</f>
        <v>0.0110791666666667</v>
      </c>
      <c r="H139" s="12" t="n">
        <f aca="false">IF(INDEX(選手一覧!$E$5:$E$2736,$F139)="","",INDEX(選手一覧!$E$5:$E$2736,$F139))</f>
        <v>1249</v>
      </c>
      <c r="I139" s="11" t="n">
        <f aca="false">IF(INDEX(選手一覧!$H$5:$H$2736,$F139)="","",INDEX(選手一覧!$H$5:$H$2736,$F139))</f>
        <v>0.00285729166666667</v>
      </c>
      <c r="J139" s="12" t="n">
        <f aca="false">IF(INDEX(選手一覧!$I$5:$I$2736,$F139)="","",INDEX(選手一覧!$I$5:$I$2736,$F139))</f>
        <v>617</v>
      </c>
    </row>
    <row r="140" customFormat="false" ht="15" hidden="false" customHeight="false" outlineLevel="0" collapsed="false">
      <c r="A140" s="12" t="n">
        <v>136</v>
      </c>
      <c r="B140" s="8" t="s">
        <v>1915</v>
      </c>
      <c r="C140" s="8" t="s">
        <v>730</v>
      </c>
      <c r="D140" s="11" t="n">
        <v>0.00676064814814815</v>
      </c>
      <c r="E140" s="39" t="n">
        <f aca="false">ROUND((D140-$D$5)*86400,2)</f>
        <v>45.1</v>
      </c>
      <c r="F140" s="12" t="n">
        <v>1201</v>
      </c>
      <c r="G140" s="11" t="n">
        <f aca="false">IF(INDEX(選手一覧!$D$5:$D$2736,$F140)="","",INDEX(選手一覧!$D$5:$D$2736,$F140))</f>
        <v>0.0110524305555556</v>
      </c>
      <c r="H140" s="12" t="n">
        <f aca="false">IF(INDEX(選手一覧!$E$5:$E$2736,$F140)="","",INDEX(選手一覧!$E$5:$E$2736,$F140))</f>
        <v>1202</v>
      </c>
      <c r="I140" s="11" t="n">
        <f aca="false">IF(INDEX(選手一覧!$H$5:$H$2736,$F140)="","",INDEX(選手一覧!$H$5:$H$2736,$F140))</f>
        <v>0.00297037037037037</v>
      </c>
      <c r="J140" s="12" t="n">
        <f aca="false">IF(INDEX(選手一覧!$I$5:$I$2736,$F140)="","",INDEX(選手一覧!$I$5:$I$2736,$F140))</f>
        <v>1311</v>
      </c>
    </row>
    <row r="141" customFormat="false" ht="15" hidden="false" customHeight="false" outlineLevel="0" collapsed="false">
      <c r="A141" s="12" t="n">
        <v>137</v>
      </c>
      <c r="B141" s="8" t="s">
        <v>628</v>
      </c>
      <c r="C141" s="8" t="s">
        <v>128</v>
      </c>
      <c r="D141" s="11" t="n">
        <v>0.00676122685185185</v>
      </c>
      <c r="E141" s="39" t="n">
        <f aca="false">ROUND((D141-$D$5)*86400,2)</f>
        <v>45.15</v>
      </c>
      <c r="F141" s="12" t="n">
        <v>342</v>
      </c>
      <c r="G141" s="11" t="n">
        <f aca="false">IF(INDEX(選手一覧!$D$5:$D$2736,$F141)="","",INDEX(選手一覧!$D$5:$D$2736,$F141))</f>
        <v>0.0105037037037037</v>
      </c>
      <c r="H141" s="12" t="n">
        <f aca="false">IF(INDEX(選手一覧!$E$5:$E$2736,$F141)="","",INDEX(選手一覧!$E$5:$E$2736,$F141))</f>
        <v>343</v>
      </c>
      <c r="I141" s="11" t="n">
        <f aca="false">IF(INDEX(選手一覧!$H$5:$H$2736,$F141)="","",INDEX(選手一覧!$H$5:$H$2736,$F141))</f>
        <v>0.00281898148148148</v>
      </c>
      <c r="J141" s="12" t="n">
        <f aca="false">IF(INDEX(選手一覧!$I$5:$I$2736,$F141)="","",INDEX(選手一覧!$I$5:$I$2736,$F141))</f>
        <v>359</v>
      </c>
    </row>
    <row r="142" customFormat="false" ht="15" hidden="false" customHeight="false" outlineLevel="0" collapsed="false">
      <c r="A142" s="12" t="n">
        <v>138</v>
      </c>
      <c r="B142" s="8" t="s">
        <v>1265</v>
      </c>
      <c r="C142" s="8" t="s">
        <v>249</v>
      </c>
      <c r="D142" s="11" t="n">
        <v>0.00676238425925926</v>
      </c>
      <c r="E142" s="39" t="n">
        <f aca="false">ROUND((D142-$D$5)*86400,2)</f>
        <v>45.25</v>
      </c>
      <c r="F142" s="12" t="n">
        <v>759</v>
      </c>
      <c r="G142" s="11" t="n">
        <f aca="false">IF(INDEX(選手一覧!$D$5:$D$2736,$F142)="","",INDEX(選手一覧!$D$5:$D$2736,$F142))</f>
        <v>0.0108078703703704</v>
      </c>
      <c r="H142" s="12" t="n">
        <f aca="false">IF(INDEX(選手一覧!$E$5:$E$2736,$F142)="","",INDEX(選手一覧!$E$5:$E$2736,$F142))</f>
        <v>760</v>
      </c>
      <c r="I142" s="11" t="str">
        <f aca="false">IF(INDEX(選手一覧!$H$5:$H$2736,$F142)="","",INDEX(選手一覧!$H$5:$H$2736,$F142))</f>
        <v/>
      </c>
      <c r="J142" s="12" t="str">
        <f aca="false">IF(INDEX(選手一覧!$I$5:$I$2736,$F142)="","",INDEX(選手一覧!$I$5:$I$2736,$F142))</f>
        <v/>
      </c>
    </row>
    <row r="143" customFormat="false" ht="15" hidden="false" customHeight="false" outlineLevel="0" collapsed="false">
      <c r="A143" s="12" t="n">
        <v>139</v>
      </c>
      <c r="B143" s="8" t="s">
        <v>1387</v>
      </c>
      <c r="C143" s="8" t="s">
        <v>1134</v>
      </c>
      <c r="D143" s="11" t="n">
        <v>0.00676296296296296</v>
      </c>
      <c r="E143" s="39" t="n">
        <f aca="false">ROUND((D143-$D$5)*86400,2)</f>
        <v>45.3</v>
      </c>
      <c r="F143" s="12" t="n">
        <v>844</v>
      </c>
      <c r="G143" s="11" t="n">
        <f aca="false">IF(INDEX(選手一覧!$D$5:$D$2736,$F143)="","",INDEX(選手一覧!$D$5:$D$2736,$F143))</f>
        <v>0.0108568287037037</v>
      </c>
      <c r="H143" s="12" t="n">
        <f aca="false">IF(INDEX(選手一覧!$E$5:$E$2736,$F143)="","",INDEX(選手一覧!$E$5:$E$2736,$F143))</f>
        <v>845</v>
      </c>
      <c r="I143" s="11" t="str">
        <f aca="false">IF(INDEX(選手一覧!$H$5:$H$2736,$F143)="","",INDEX(選手一覧!$H$5:$H$2736,$F143))</f>
        <v/>
      </c>
      <c r="J143" s="12" t="str">
        <f aca="false">IF(INDEX(選手一覧!$I$5:$I$2736,$F143)="","",INDEX(選手一覧!$I$5:$I$2736,$F143))</f>
        <v/>
      </c>
    </row>
    <row r="144" customFormat="false" ht="15" hidden="false" customHeight="false" outlineLevel="0" collapsed="false">
      <c r="A144" s="12" t="n">
        <v>140</v>
      </c>
      <c r="B144" s="8" t="s">
        <v>1427</v>
      </c>
      <c r="C144" s="8" t="s">
        <v>471</v>
      </c>
      <c r="D144" s="11" t="n">
        <v>0.00676365740740741</v>
      </c>
      <c r="E144" s="39" t="n">
        <f aca="false">ROUND((D144-$D$5)*86400,2)</f>
        <v>45.36</v>
      </c>
      <c r="F144" s="12" t="n">
        <v>868</v>
      </c>
      <c r="G144" s="11" t="n">
        <f aca="false">IF(INDEX(選手一覧!$D$5:$D$2736,$F144)="","",INDEX(選手一覧!$D$5:$D$2736,$F144))</f>
        <v>0.0108684027777778</v>
      </c>
      <c r="H144" s="12" t="n">
        <f aca="false">IF(INDEX(選手一覧!$E$5:$E$2736,$F144)="","",INDEX(選手一覧!$E$5:$E$2736,$F144))</f>
        <v>869</v>
      </c>
      <c r="I144" s="11" t="str">
        <f aca="false">IF(INDEX(選手一覧!$H$5:$H$2736,$F144)="","",INDEX(選手一覧!$H$5:$H$2736,$F144))</f>
        <v/>
      </c>
      <c r="J144" s="12" t="str">
        <f aca="false">IF(INDEX(選手一覧!$I$5:$I$2736,$F144)="","",INDEX(選手一覧!$I$5:$I$2736,$F144))</f>
        <v/>
      </c>
    </row>
    <row r="145" customFormat="false" ht="15" hidden="false" customHeight="false" outlineLevel="0" collapsed="false">
      <c r="A145" s="12" t="n">
        <v>141</v>
      </c>
      <c r="B145" s="8" t="s">
        <v>271</v>
      </c>
      <c r="C145" s="8" t="s">
        <v>221</v>
      </c>
      <c r="D145" s="11" t="n">
        <v>0.00676458333333333</v>
      </c>
      <c r="E145" s="39" t="n">
        <f aca="false">ROUND((D145-$D$5)*86400,2)</f>
        <v>45.44</v>
      </c>
      <c r="F145" s="12" t="n">
        <v>131</v>
      </c>
      <c r="G145" s="11" t="n">
        <f aca="false">IF(INDEX(選手一覧!$D$5:$D$2736,$F145)="","",INDEX(選手一覧!$D$5:$D$2736,$F145))</f>
        <v>0.0102657407407407</v>
      </c>
      <c r="H145" s="12" t="n">
        <f aca="false">IF(INDEX(選手一覧!$E$5:$E$2736,$F145)="","",INDEX(選手一覧!$E$5:$E$2736,$F145))</f>
        <v>132</v>
      </c>
      <c r="I145" s="11" t="n">
        <f aca="false">IF(INDEX(選手一覧!$H$5:$H$2736,$F145)="","",INDEX(選手一覧!$H$5:$H$2736,$F145))</f>
        <v>0.00273703703703704</v>
      </c>
      <c r="J145" s="12" t="n">
        <f aca="false">IF(INDEX(選手一覧!$I$5:$I$2736,$F145)="","",INDEX(選手一覧!$I$5:$I$2736,$F145))</f>
        <v>79</v>
      </c>
    </row>
    <row r="146" customFormat="false" ht="15" hidden="false" customHeight="false" outlineLevel="0" collapsed="false">
      <c r="A146" s="12" t="n">
        <v>142</v>
      </c>
      <c r="B146" s="8" t="s">
        <v>1078</v>
      </c>
      <c r="C146" s="8" t="s">
        <v>313</v>
      </c>
      <c r="D146" s="11" t="n">
        <v>0.00676458333333333</v>
      </c>
      <c r="E146" s="39" t="n">
        <f aca="false">ROUND((D146-$D$5)*86400,2)</f>
        <v>45.44</v>
      </c>
      <c r="F146" s="12" t="n">
        <v>639</v>
      </c>
      <c r="G146" s="11" t="n">
        <f aca="false">IF(INDEX(選手一覧!$D$5:$D$2736,$F146)="","",INDEX(選手一覧!$D$5:$D$2736,$F146))</f>
        <v>0.0107333333333333</v>
      </c>
      <c r="H146" s="12" t="n">
        <f aca="false">IF(INDEX(選手一覧!$E$5:$E$2736,$F146)="","",INDEX(選手一覧!$E$5:$E$2736,$F146))</f>
        <v>640</v>
      </c>
      <c r="I146" s="11" t="str">
        <f aca="false">IF(INDEX(選手一覧!$H$5:$H$2736,$F146)="","",INDEX(選手一覧!$H$5:$H$2736,$F146))</f>
        <v/>
      </c>
      <c r="J146" s="12" t="str">
        <f aca="false">IF(INDEX(選手一覧!$I$5:$I$2736,$F146)="","",INDEX(選手一覧!$I$5:$I$2736,$F146))</f>
        <v/>
      </c>
    </row>
    <row r="147" customFormat="false" ht="15" hidden="false" customHeight="false" outlineLevel="0" collapsed="false">
      <c r="A147" s="12" t="n">
        <v>143</v>
      </c>
      <c r="B147" s="8" t="s">
        <v>2068</v>
      </c>
      <c r="C147" s="8" t="s">
        <v>2069</v>
      </c>
      <c r="D147" s="11" t="n">
        <v>0.00676597222222222</v>
      </c>
      <c r="E147" s="39" t="n">
        <f aca="false">ROUND((D147-$D$5)*86400,2)</f>
        <v>45.56</v>
      </c>
      <c r="F147" s="12" t="n">
        <v>1316</v>
      </c>
      <c r="G147" s="11" t="str">
        <f aca="false">IF(INDEX(選手一覧!$D$5:$D$2736,$F147)="","",INDEX(選手一覧!$D$5:$D$2736,$F147))</f>
        <v/>
      </c>
      <c r="H147" s="12" t="str">
        <f aca="false">IF(INDEX(選手一覧!$E$5:$E$2736,$F147)="","",INDEX(選手一覧!$E$5:$E$2736,$F147))</f>
        <v/>
      </c>
      <c r="I147" s="11" t="n">
        <f aca="false">IF(INDEX(選手一覧!$H$5:$H$2736,$F147)="","",INDEX(選手一覧!$H$5:$H$2736,$F147))</f>
        <v>0.00289074074074074</v>
      </c>
      <c r="J147" s="12" t="n">
        <f aca="false">IF(INDEX(選手一覧!$I$5:$I$2736,$F147)="","",INDEX(選手一覧!$I$5:$I$2736,$F147))</f>
        <v>872</v>
      </c>
    </row>
    <row r="148" customFormat="false" ht="15" hidden="false" customHeight="false" outlineLevel="0" collapsed="false">
      <c r="A148" s="12" t="n">
        <v>145</v>
      </c>
      <c r="B148" s="8" t="s">
        <v>2072</v>
      </c>
      <c r="C148" s="8" t="s">
        <v>390</v>
      </c>
      <c r="D148" s="11" t="n">
        <v>0.00676759259259259</v>
      </c>
      <c r="E148" s="39" t="n">
        <f aca="false">ROUND((D148-$D$5)*86400,2)</f>
        <v>45.7</v>
      </c>
      <c r="F148" s="12" t="n">
        <v>1318</v>
      </c>
      <c r="G148" s="11" t="str">
        <f aca="false">IF(INDEX(選手一覧!$D$5:$D$2736,$F148)="","",INDEX(選手一覧!$D$5:$D$2736,$F148))</f>
        <v/>
      </c>
      <c r="H148" s="12" t="str">
        <f aca="false">IF(INDEX(選手一覧!$E$5:$E$2736,$F148)="","",INDEX(選手一覧!$E$5:$E$2736,$F148))</f>
        <v/>
      </c>
      <c r="I148" s="11" t="str">
        <f aca="false">IF(INDEX(選手一覧!$H$5:$H$2736,$F148)="","",INDEX(選手一覧!$H$5:$H$2736,$F148))</f>
        <v/>
      </c>
      <c r="J148" s="12" t="str">
        <f aca="false">IF(INDEX(選手一覧!$I$5:$I$2736,$F148)="","",INDEX(選手一覧!$I$5:$I$2736,$F148))</f>
        <v/>
      </c>
    </row>
    <row r="149" customFormat="false" ht="15" hidden="false" customHeight="false" outlineLevel="0" collapsed="false">
      <c r="A149" s="12" t="n">
        <v>146</v>
      </c>
      <c r="B149" s="8" t="s">
        <v>1577</v>
      </c>
      <c r="C149" s="8" t="s">
        <v>152</v>
      </c>
      <c r="D149" s="11" t="n">
        <v>0.00676782407407408</v>
      </c>
      <c r="E149" s="39" t="n">
        <f aca="false">ROUND((D149-$D$5)*86400,2)</f>
        <v>45.72</v>
      </c>
      <c r="F149" s="12" t="n">
        <v>970</v>
      </c>
      <c r="G149" s="11" t="n">
        <f aca="false">IF(INDEX(選手一覧!$D$5:$D$2736,$F149)="","",INDEX(選手一覧!$D$5:$D$2736,$F149))</f>
        <v>0.0109322916666667</v>
      </c>
      <c r="H149" s="12" t="n">
        <f aca="false">IF(INDEX(選手一覧!$E$5:$E$2736,$F149)="","",INDEX(選手一覧!$E$5:$E$2736,$F149))</f>
        <v>971</v>
      </c>
      <c r="I149" s="11" t="n">
        <f aca="false">IF(INDEX(選手一覧!$H$5:$H$2736,$F149)="","",INDEX(選手一覧!$H$5:$H$2736,$F149))</f>
        <v>0.0028806712962963</v>
      </c>
      <c r="J149" s="12" t="n">
        <f aca="false">IF(INDEX(選手一覧!$I$5:$I$2736,$F149)="","",INDEX(選手一覧!$I$5:$I$2736,$F149))</f>
        <v>775</v>
      </c>
    </row>
    <row r="150" customFormat="false" ht="15" hidden="false" customHeight="false" outlineLevel="0" collapsed="false">
      <c r="A150" s="12" t="n">
        <v>147</v>
      </c>
      <c r="B150" s="8" t="s">
        <v>1722</v>
      </c>
      <c r="C150" s="8" t="s">
        <v>1139</v>
      </c>
      <c r="D150" s="11" t="n">
        <v>0.00677037037037037</v>
      </c>
      <c r="E150" s="39" t="n">
        <f aca="false">ROUND((D150-$D$5)*86400,2)</f>
        <v>45.94</v>
      </c>
      <c r="F150" s="12" t="n">
        <v>1069</v>
      </c>
      <c r="G150" s="11" t="n">
        <f aca="false">IF(INDEX(選手一覧!$D$5:$D$2736,$F150)="","",INDEX(選手一覧!$D$5:$D$2736,$F150))</f>
        <v>0.0109861111111111</v>
      </c>
      <c r="H150" s="12" t="n">
        <f aca="false">IF(INDEX(選手一覧!$E$5:$E$2736,$F150)="","",INDEX(選手一覧!$E$5:$E$2736,$F150))</f>
        <v>1070</v>
      </c>
      <c r="I150" s="11" t="str">
        <f aca="false">IF(INDEX(選手一覧!$H$5:$H$2736,$F150)="","",INDEX(選手一覧!$H$5:$H$2736,$F150))</f>
        <v/>
      </c>
      <c r="J150" s="12" t="str">
        <f aca="false">IF(INDEX(選手一覧!$I$5:$I$2736,$F150)="","",INDEX(選手一覧!$I$5:$I$2736,$F150))</f>
        <v/>
      </c>
    </row>
    <row r="151" customFormat="false" ht="15" hidden="false" customHeight="false" outlineLevel="0" collapsed="false">
      <c r="A151" s="12" t="n">
        <v>148</v>
      </c>
      <c r="B151" s="8" t="s">
        <v>1603</v>
      </c>
      <c r="C151" s="8" t="s">
        <v>1339</v>
      </c>
      <c r="D151" s="11" t="n">
        <v>0.00677060185185185</v>
      </c>
      <c r="E151" s="39" t="n">
        <f aca="false">ROUND((D151-$D$5)*86400,2)</f>
        <v>45.96</v>
      </c>
      <c r="F151" s="12" t="n">
        <v>987</v>
      </c>
      <c r="G151" s="11" t="n">
        <f aca="false">IF(INDEX(選手一覧!$D$5:$D$2736,$F151)="","",INDEX(選手一覧!$D$5:$D$2736,$F151))</f>
        <v>0.0109428240740741</v>
      </c>
      <c r="H151" s="12" t="n">
        <f aca="false">IF(INDEX(選手一覧!$E$5:$E$2736,$F151)="","",INDEX(選手一覧!$E$5:$E$2736,$F151))</f>
        <v>988</v>
      </c>
      <c r="I151" s="11" t="str">
        <f aca="false">IF(INDEX(選手一覧!$H$5:$H$2736,$F151)="","",INDEX(選手一覧!$H$5:$H$2736,$F151))</f>
        <v/>
      </c>
      <c r="J151" s="12" t="str">
        <f aca="false">IF(INDEX(選手一覧!$I$5:$I$2736,$F151)="","",INDEX(選手一覧!$I$5:$I$2736,$F151))</f>
        <v/>
      </c>
    </row>
    <row r="152" customFormat="false" ht="15" hidden="false" customHeight="false" outlineLevel="0" collapsed="false">
      <c r="A152" s="12" t="n">
        <v>149</v>
      </c>
      <c r="B152" s="8" t="s">
        <v>899</v>
      </c>
      <c r="C152" s="8" t="s">
        <v>900</v>
      </c>
      <c r="D152" s="11" t="n">
        <v>0.00677175925925926</v>
      </c>
      <c r="E152" s="39" t="n">
        <f aca="false">ROUND((D152-$D$5)*86400,2)</f>
        <v>46.06</v>
      </c>
      <c r="F152" s="12" t="n">
        <v>516</v>
      </c>
      <c r="G152" s="11" t="n">
        <f aca="false">IF(INDEX(選手一覧!$D$5:$D$2736,$F152)="","",INDEX(選手一覧!$D$5:$D$2736,$F152))</f>
        <v>0.0106440972222222</v>
      </c>
      <c r="H152" s="12" t="n">
        <f aca="false">IF(INDEX(選手一覧!$E$5:$E$2736,$F152)="","",INDEX(選手一覧!$E$5:$E$2736,$F152))</f>
        <v>517</v>
      </c>
      <c r="I152" s="11" t="str">
        <f aca="false">IF(INDEX(選手一覧!$H$5:$H$2736,$F152)="","",INDEX(選手一覧!$H$5:$H$2736,$F152))</f>
        <v/>
      </c>
      <c r="J152" s="12" t="str">
        <f aca="false">IF(INDEX(選手一覧!$I$5:$I$2736,$F152)="","",INDEX(選手一覧!$I$5:$I$2736,$F152))</f>
        <v/>
      </c>
    </row>
    <row r="153" customFormat="false" ht="15" hidden="false" customHeight="false" outlineLevel="0" collapsed="false">
      <c r="A153" s="12" t="n">
        <v>150</v>
      </c>
      <c r="B153" s="8" t="s">
        <v>1050</v>
      </c>
      <c r="C153" s="8" t="s">
        <v>433</v>
      </c>
      <c r="D153" s="11" t="n">
        <v>0.00677303240740741</v>
      </c>
      <c r="E153" s="39" t="n">
        <f aca="false">ROUND((D153-$D$5)*86400,2)</f>
        <v>46.17</v>
      </c>
      <c r="F153" s="12" t="n">
        <v>618</v>
      </c>
      <c r="G153" s="11" t="n">
        <f aca="false">IF(INDEX(選手一覧!$D$5:$D$2736,$F153)="","",INDEX(選手一覧!$D$5:$D$2736,$F153))</f>
        <v>0.0107232638888889</v>
      </c>
      <c r="H153" s="12" t="n">
        <f aca="false">IF(INDEX(選手一覧!$E$5:$E$2736,$F153)="","",INDEX(選手一覧!$E$5:$E$2736,$F153))</f>
        <v>619</v>
      </c>
      <c r="I153" s="11" t="n">
        <f aca="false">IF(INDEX(選手一覧!$H$5:$H$2736,$F153)="","",INDEX(選手一覧!$H$5:$H$2736,$F153))</f>
        <v>0.00282118055555556</v>
      </c>
      <c r="J153" s="12" t="n">
        <f aca="false">IF(INDEX(選手一覧!$I$5:$I$2736,$F153)="","",INDEX(選手一覧!$I$5:$I$2736,$F153))</f>
        <v>370</v>
      </c>
    </row>
    <row r="154" customFormat="false" ht="15" hidden="false" customHeight="false" outlineLevel="0" collapsed="false">
      <c r="A154" s="12" t="n">
        <v>151</v>
      </c>
      <c r="B154" s="8" t="s">
        <v>2073</v>
      </c>
      <c r="C154" s="8" t="s">
        <v>484</v>
      </c>
      <c r="D154" s="11" t="n">
        <v>0.00677511574074074</v>
      </c>
      <c r="E154" s="39" t="n">
        <f aca="false">ROUND((D154-$D$5)*86400,2)</f>
        <v>46.35</v>
      </c>
      <c r="F154" s="12" t="n">
        <v>1319</v>
      </c>
      <c r="G154" s="11" t="str">
        <f aca="false">IF(INDEX(選手一覧!$D$5:$D$2736,$F154)="","",INDEX(選手一覧!$D$5:$D$2736,$F154))</f>
        <v/>
      </c>
      <c r="H154" s="12" t="str">
        <f aca="false">IF(INDEX(選手一覧!$E$5:$E$2736,$F154)="","",INDEX(選手一覧!$E$5:$E$2736,$F154))</f>
        <v/>
      </c>
      <c r="I154" s="11" t="str">
        <f aca="false">IF(INDEX(選手一覧!$H$5:$H$2736,$F154)="","",INDEX(選手一覧!$H$5:$H$2736,$F154))</f>
        <v/>
      </c>
      <c r="J154" s="12" t="str">
        <f aca="false">IF(INDEX(選手一覧!$I$5:$I$2736,$F154)="","",INDEX(選手一覧!$I$5:$I$2736,$F154))</f>
        <v/>
      </c>
    </row>
    <row r="155" customFormat="false" ht="15" hidden="false" customHeight="false" outlineLevel="0" collapsed="false">
      <c r="A155" s="12" t="n">
        <v>152</v>
      </c>
      <c r="B155" s="8" t="s">
        <v>1008</v>
      </c>
      <c r="C155" s="8" t="s">
        <v>122</v>
      </c>
      <c r="D155" s="11" t="n">
        <v>0.00677569444444444</v>
      </c>
      <c r="E155" s="39" t="n">
        <f aca="false">ROUND((D155-$D$5)*86400,2)</f>
        <v>46.4</v>
      </c>
      <c r="F155" s="12" t="n">
        <v>586</v>
      </c>
      <c r="G155" s="11" t="n">
        <f aca="false">IF(INDEX(選手一覧!$D$5:$D$2736,$F155)="","",INDEX(選手一覧!$D$5:$D$2736,$F155))</f>
        <v>0.0107016203703704</v>
      </c>
      <c r="H155" s="12" t="n">
        <f aca="false">IF(INDEX(選手一覧!$E$5:$E$2736,$F155)="","",INDEX(選手一覧!$E$5:$E$2736,$F155))</f>
        <v>587</v>
      </c>
      <c r="I155" s="11" t="n">
        <f aca="false">IF(INDEX(選手一覧!$H$5:$H$2736,$F155)="","",INDEX(選手一覧!$H$5:$H$2736,$F155))</f>
        <v>0.00289988425925926</v>
      </c>
      <c r="J155" s="12" t="n">
        <f aca="false">IF(INDEX(選手一覧!$I$5:$I$2736,$F155)="","",INDEX(選手一覧!$I$5:$I$2736,$F155))</f>
        <v>946</v>
      </c>
    </row>
    <row r="156" customFormat="false" ht="15" hidden="false" customHeight="false" outlineLevel="0" collapsed="false">
      <c r="A156" s="12" t="n">
        <v>153</v>
      </c>
      <c r="B156" s="8" t="s">
        <v>1809</v>
      </c>
      <c r="C156" s="8" t="s">
        <v>410</v>
      </c>
      <c r="D156" s="11" t="n">
        <v>0.00677627314814815</v>
      </c>
      <c r="E156" s="39" t="n">
        <f aca="false">ROUND((D156-$D$5)*86400,2)</f>
        <v>46.45</v>
      </c>
      <c r="F156" s="12" t="n">
        <v>1125</v>
      </c>
      <c r="G156" s="11" t="n">
        <f aca="false">IF(INDEX(選手一覧!$D$5:$D$2736,$F156)="","",INDEX(選手一覧!$D$5:$D$2736,$F156))</f>
        <v>0.011018287037037</v>
      </c>
      <c r="H156" s="12" t="n">
        <f aca="false">IF(INDEX(選手一覧!$E$5:$E$2736,$F156)="","",INDEX(選手一覧!$E$5:$E$2736,$F156))</f>
        <v>1126</v>
      </c>
      <c r="I156" s="11" t="str">
        <f aca="false">IF(INDEX(選手一覧!$H$5:$H$2736,$F156)="","",INDEX(選手一覧!$H$5:$H$2736,$F156))</f>
        <v/>
      </c>
      <c r="J156" s="12" t="str">
        <f aca="false">IF(INDEX(選手一覧!$I$5:$I$2736,$F156)="","",INDEX(選手一覧!$I$5:$I$2736,$F156))</f>
        <v/>
      </c>
    </row>
    <row r="157" customFormat="false" ht="15" hidden="false" customHeight="false" outlineLevel="0" collapsed="false">
      <c r="A157" s="12" t="n">
        <v>154</v>
      </c>
      <c r="B157" s="8" t="s">
        <v>1324</v>
      </c>
      <c r="C157" s="8" t="s">
        <v>1325</v>
      </c>
      <c r="D157" s="11" t="n">
        <v>0.00677928240740741</v>
      </c>
      <c r="E157" s="39" t="n">
        <f aca="false">ROUND((D157-$D$5)*86400,2)</f>
        <v>46.71</v>
      </c>
      <c r="F157" s="12" t="n">
        <v>803</v>
      </c>
      <c r="G157" s="11" t="n">
        <f aca="false">IF(INDEX(選手一覧!$D$5:$D$2736,$F157)="","",INDEX(選手一覧!$D$5:$D$2736,$F157))</f>
        <v>0.0108369212962963</v>
      </c>
      <c r="H157" s="12" t="n">
        <f aca="false">IF(INDEX(選手一覧!$E$5:$E$2736,$F157)="","",INDEX(選手一覧!$E$5:$E$2736,$F157))</f>
        <v>804</v>
      </c>
      <c r="I157" s="11" t="str">
        <f aca="false">IF(INDEX(選手一覧!$H$5:$H$2736,$F157)="","",INDEX(選手一覧!$H$5:$H$2736,$F157))</f>
        <v/>
      </c>
      <c r="J157" s="12" t="str">
        <f aca="false">IF(INDEX(選手一覧!$I$5:$I$2736,$F157)="","",INDEX(選手一覧!$I$5:$I$2736,$F157))</f>
        <v/>
      </c>
    </row>
    <row r="158" customFormat="false" ht="15" hidden="false" customHeight="false" outlineLevel="0" collapsed="false">
      <c r="A158" s="12" t="n">
        <v>155</v>
      </c>
      <c r="B158" s="8" t="s">
        <v>2074</v>
      </c>
      <c r="C158" s="8" t="s">
        <v>946</v>
      </c>
      <c r="D158" s="11" t="n">
        <v>0.00677997685185185</v>
      </c>
      <c r="E158" s="39" t="n">
        <f aca="false">ROUND((D158-$D$5)*86400,2)</f>
        <v>46.77</v>
      </c>
      <c r="F158" s="12" t="n">
        <v>1320</v>
      </c>
      <c r="G158" s="11" t="str">
        <f aca="false">IF(INDEX(選手一覧!$D$5:$D$2736,$F158)="","",INDEX(選手一覧!$D$5:$D$2736,$F158))</f>
        <v/>
      </c>
      <c r="H158" s="12" t="str">
        <f aca="false">IF(INDEX(選手一覧!$E$5:$E$2736,$F158)="","",INDEX(選手一覧!$E$5:$E$2736,$F158))</f>
        <v/>
      </c>
      <c r="I158" s="11" t="n">
        <f aca="false">IF(INDEX(選手一覧!$H$5:$H$2736,$F158)="","",INDEX(選手一覧!$H$5:$H$2736,$F158))</f>
        <v>0.00287476851851852</v>
      </c>
      <c r="J158" s="12" t="n">
        <f aca="false">IF(INDEX(選手一覧!$I$5:$I$2736,$F158)="","",INDEX(選手一覧!$I$5:$I$2736,$F158))</f>
        <v>732</v>
      </c>
    </row>
    <row r="159" customFormat="false" ht="15" hidden="false" customHeight="false" outlineLevel="0" collapsed="false">
      <c r="A159" s="12" t="n">
        <v>156</v>
      </c>
      <c r="B159" s="8" t="s">
        <v>1628</v>
      </c>
      <c r="C159" s="8" t="s">
        <v>34</v>
      </c>
      <c r="D159" s="11" t="n">
        <v>0.00678148148148148</v>
      </c>
      <c r="E159" s="39" t="n">
        <f aca="false">ROUND((D159-$D$5)*86400,2)</f>
        <v>46.9</v>
      </c>
      <c r="F159" s="12" t="n">
        <v>1006</v>
      </c>
      <c r="G159" s="11" t="n">
        <f aca="false">IF(INDEX(選手一覧!$D$5:$D$2736,$F159)="","",INDEX(選手一覧!$D$5:$D$2736,$F159))</f>
        <v>0.0109530092592593</v>
      </c>
      <c r="H159" s="12" t="n">
        <f aca="false">IF(INDEX(選手一覧!$E$5:$E$2736,$F159)="","",INDEX(選手一覧!$E$5:$E$2736,$F159))</f>
        <v>1007</v>
      </c>
      <c r="I159" s="11" t="str">
        <f aca="false">IF(INDEX(選手一覧!$H$5:$H$2736,$F159)="","",INDEX(選手一覧!$H$5:$H$2736,$F159))</f>
        <v/>
      </c>
      <c r="J159" s="12" t="str">
        <f aca="false">IF(INDEX(選手一覧!$I$5:$I$2736,$F159)="","",INDEX(選手一覧!$I$5:$I$2736,$F159))</f>
        <v/>
      </c>
    </row>
    <row r="160" customFormat="false" ht="15" hidden="false" customHeight="false" outlineLevel="0" collapsed="false">
      <c r="A160" s="12" t="n">
        <v>157</v>
      </c>
      <c r="B160" s="8" t="s">
        <v>1990</v>
      </c>
      <c r="C160" s="8" t="s">
        <v>1327</v>
      </c>
      <c r="D160" s="11" t="n">
        <v>0.00678206018518519</v>
      </c>
      <c r="E160" s="39" t="n">
        <f aca="false">ROUND((D160-$D$5)*86400,2)</f>
        <v>46.95</v>
      </c>
      <c r="F160" s="12" t="n">
        <v>1254</v>
      </c>
      <c r="G160" s="11" t="n">
        <f aca="false">IF(INDEX(選手一覧!$D$5:$D$2736,$F160)="","",INDEX(選手一覧!$D$5:$D$2736,$F160))</f>
        <v>0.0110810185185185</v>
      </c>
      <c r="H160" s="12" t="n">
        <f aca="false">IF(INDEX(選手一覧!$E$5:$E$2736,$F160)="","",INDEX(選手一覧!$E$5:$E$2736,$F160))</f>
        <v>1255</v>
      </c>
      <c r="I160" s="11" t="n">
        <f aca="false">IF(INDEX(選手一覧!$H$5:$H$2736,$F160)="","",INDEX(選手一覧!$H$5:$H$2736,$F160))</f>
        <v>0.00290636574074074</v>
      </c>
      <c r="J160" s="12" t="n">
        <f aca="false">IF(INDEX(選手一覧!$I$5:$I$2736,$F160)="","",INDEX(選手一覧!$I$5:$I$2736,$F160))</f>
        <v>993</v>
      </c>
    </row>
    <row r="161" customFormat="false" ht="15" hidden="false" customHeight="false" outlineLevel="0" collapsed="false">
      <c r="A161" s="12" t="n">
        <v>158</v>
      </c>
      <c r="B161" s="8" t="s">
        <v>1315</v>
      </c>
      <c r="C161" s="8" t="s">
        <v>857</v>
      </c>
      <c r="D161" s="11" t="n">
        <v>0.00678356481481482</v>
      </c>
      <c r="E161" s="39" t="n">
        <f aca="false">ROUND((D161-$D$5)*86400,2)</f>
        <v>47.08</v>
      </c>
      <c r="F161" s="12" t="n">
        <v>798</v>
      </c>
      <c r="G161" s="11" t="n">
        <f aca="false">IF(INDEX(選手一覧!$D$5:$D$2736,$F161)="","",INDEX(選手一覧!$D$5:$D$2736,$F161))</f>
        <v>0.0108329861111111</v>
      </c>
      <c r="H161" s="12" t="n">
        <f aca="false">IF(INDEX(選手一覧!$E$5:$E$2736,$F161)="","",INDEX(選手一覧!$E$5:$E$2736,$F161))</f>
        <v>799</v>
      </c>
      <c r="I161" s="11" t="n">
        <f aca="false">IF(INDEX(選手一覧!$H$5:$H$2736,$F161)="","",INDEX(選手一覧!$H$5:$H$2736,$F161))</f>
        <v>0.00286273148148148</v>
      </c>
      <c r="J161" s="12" t="n">
        <f aca="false">IF(INDEX(選手一覧!$I$5:$I$2736,$F161)="","",INDEX(選手一覧!$I$5:$I$2736,$F161))</f>
        <v>655</v>
      </c>
    </row>
    <row r="162" customFormat="false" ht="15" hidden="false" customHeight="false" outlineLevel="0" collapsed="false">
      <c r="A162" s="12" t="n">
        <v>159</v>
      </c>
      <c r="B162" s="8" t="s">
        <v>2076</v>
      </c>
      <c r="C162" s="8" t="s">
        <v>2077</v>
      </c>
      <c r="D162" s="11" t="n">
        <v>0.00678368055555556</v>
      </c>
      <c r="E162" s="39" t="n">
        <f aca="false">ROUND((D162-$D$5)*86400,2)</f>
        <v>47.09</v>
      </c>
      <c r="F162" s="12" t="n">
        <v>1322</v>
      </c>
      <c r="G162" s="11" t="str">
        <f aca="false">IF(INDEX(選手一覧!$D$5:$D$2736,$F162)="","",INDEX(選手一覧!$D$5:$D$2736,$F162))</f>
        <v/>
      </c>
      <c r="H162" s="12" t="str">
        <f aca="false">IF(INDEX(選手一覧!$E$5:$E$2736,$F162)="","",INDEX(選手一覧!$E$5:$E$2736,$F162))</f>
        <v/>
      </c>
      <c r="I162" s="11" t="n">
        <f aca="false">IF(INDEX(選手一覧!$H$5:$H$2736,$F162)="","",INDEX(選手一覧!$H$5:$H$2736,$F162))</f>
        <v>0.00281643518518519</v>
      </c>
      <c r="J162" s="12" t="n">
        <f aca="false">IF(INDEX(選手一覧!$I$5:$I$2736,$F162)="","",INDEX(選手一覧!$I$5:$I$2736,$F162))</f>
        <v>347</v>
      </c>
    </row>
    <row r="163" customFormat="false" ht="15" hidden="false" customHeight="false" outlineLevel="0" collapsed="false">
      <c r="A163" s="12" t="n">
        <v>160</v>
      </c>
      <c r="B163" s="8" t="s">
        <v>1762</v>
      </c>
      <c r="C163" s="8" t="s">
        <v>370</v>
      </c>
      <c r="D163" s="11" t="n">
        <v>0.006784375</v>
      </c>
      <c r="E163" s="39" t="n">
        <f aca="false">ROUND((D163-$D$5)*86400,2)</f>
        <v>47.15</v>
      </c>
      <c r="F163" s="12" t="n">
        <v>1095</v>
      </c>
      <c r="G163" s="11" t="n">
        <f aca="false">IF(INDEX(選手一覧!$D$5:$D$2736,$F163)="","",INDEX(選手一覧!$D$5:$D$2736,$F163))</f>
        <v>0.010999537037037</v>
      </c>
      <c r="H163" s="12" t="n">
        <f aca="false">IF(INDEX(選手一覧!$E$5:$E$2736,$F163)="","",INDEX(選手一覧!$E$5:$E$2736,$F163))</f>
        <v>1096</v>
      </c>
      <c r="I163" s="11" t="str">
        <f aca="false">IF(INDEX(選手一覧!$H$5:$H$2736,$F163)="","",INDEX(選手一覧!$H$5:$H$2736,$F163))</f>
        <v/>
      </c>
      <c r="J163" s="12" t="str">
        <f aca="false">IF(INDEX(選手一覧!$I$5:$I$2736,$F163)="","",INDEX(選手一覧!$I$5:$I$2736,$F163))</f>
        <v/>
      </c>
    </row>
    <row r="164" customFormat="false" ht="15" hidden="false" customHeight="false" outlineLevel="0" collapsed="false">
      <c r="A164" s="12" t="n">
        <v>161</v>
      </c>
      <c r="B164" s="8" t="s">
        <v>2079</v>
      </c>
      <c r="C164" s="8" t="s">
        <v>612</v>
      </c>
      <c r="D164" s="11" t="n">
        <v>0.00678472222222222</v>
      </c>
      <c r="E164" s="39" t="n">
        <f aca="false">ROUND((D164-$D$5)*86400,2)</f>
        <v>47.18</v>
      </c>
      <c r="F164" s="12" t="n">
        <v>1324</v>
      </c>
      <c r="G164" s="11" t="str">
        <f aca="false">IF(INDEX(選手一覧!$D$5:$D$2736,$F164)="","",INDEX(選手一覧!$D$5:$D$2736,$F164))</f>
        <v/>
      </c>
      <c r="H164" s="12" t="str">
        <f aca="false">IF(INDEX(選手一覧!$E$5:$E$2736,$F164)="","",INDEX(選手一覧!$E$5:$E$2736,$F164))</f>
        <v/>
      </c>
      <c r="I164" s="11" t="n">
        <f aca="false">IF(INDEX(選手一覧!$H$5:$H$2736,$F164)="","",INDEX(選手一覧!$H$5:$H$2736,$F164))</f>
        <v>0.00283680555555556</v>
      </c>
      <c r="J164" s="12" t="n">
        <f aca="false">IF(INDEX(選手一覧!$I$5:$I$2736,$F164)="","",INDEX(選手一覧!$I$5:$I$2736,$F164))</f>
        <v>475</v>
      </c>
    </row>
    <row r="165" customFormat="false" ht="15" hidden="false" customHeight="false" outlineLevel="0" collapsed="false">
      <c r="A165" s="12" t="n">
        <v>162</v>
      </c>
      <c r="B165" s="8" t="s">
        <v>2080</v>
      </c>
      <c r="C165" s="8" t="s">
        <v>1147</v>
      </c>
      <c r="D165" s="11" t="n">
        <v>0.00678715277777778</v>
      </c>
      <c r="E165" s="39" t="n">
        <f aca="false">ROUND((D165-$D$5)*86400,2)</f>
        <v>47.39</v>
      </c>
      <c r="F165" s="12" t="n">
        <v>1325</v>
      </c>
      <c r="G165" s="11" t="str">
        <f aca="false">IF(INDEX(選手一覧!$D$5:$D$2736,$F165)="","",INDEX(選手一覧!$D$5:$D$2736,$F165))</f>
        <v/>
      </c>
      <c r="H165" s="12" t="str">
        <f aca="false">IF(INDEX(選手一覧!$E$5:$E$2736,$F165)="","",INDEX(選手一覧!$E$5:$E$2736,$F165))</f>
        <v/>
      </c>
      <c r="I165" s="11" t="str">
        <f aca="false">IF(INDEX(選手一覧!$H$5:$H$2736,$F165)="","",INDEX(選手一覧!$H$5:$H$2736,$F165))</f>
        <v/>
      </c>
      <c r="J165" s="12" t="str">
        <f aca="false">IF(INDEX(選手一覧!$I$5:$I$2736,$F165)="","",INDEX(選手一覧!$I$5:$I$2736,$F165))</f>
        <v/>
      </c>
    </row>
    <row r="166" customFormat="false" ht="15" hidden="false" customHeight="false" outlineLevel="0" collapsed="false">
      <c r="A166" s="12" t="n">
        <v>163</v>
      </c>
      <c r="B166" s="8" t="s">
        <v>1782</v>
      </c>
      <c r="C166" s="8" t="s">
        <v>229</v>
      </c>
      <c r="D166" s="11" t="n">
        <v>0.00679131944444444</v>
      </c>
      <c r="E166" s="39" t="n">
        <f aca="false">ROUND((D166-$D$5)*86400,2)</f>
        <v>47.75</v>
      </c>
      <c r="F166" s="12" t="n">
        <v>1109</v>
      </c>
      <c r="G166" s="11" t="n">
        <f aca="false">IF(INDEX(選手一覧!$D$5:$D$2736,$F166)="","",INDEX(選手一覧!$D$5:$D$2736,$F166))</f>
        <v>0.0110097222222222</v>
      </c>
      <c r="H166" s="12" t="n">
        <f aca="false">IF(INDEX(選手一覧!$E$5:$E$2736,$F166)="","",INDEX(選手一覧!$E$5:$E$2736,$F166))</f>
        <v>1110</v>
      </c>
      <c r="I166" s="11" t="str">
        <f aca="false">IF(INDEX(選手一覧!$H$5:$H$2736,$F166)="","",INDEX(選手一覧!$H$5:$H$2736,$F166))</f>
        <v/>
      </c>
      <c r="J166" s="12" t="str">
        <f aca="false">IF(INDEX(選手一覧!$I$5:$I$2736,$F166)="","",INDEX(選手一覧!$I$5:$I$2736,$F166))</f>
        <v/>
      </c>
    </row>
    <row r="167" customFormat="false" ht="15" hidden="false" customHeight="false" outlineLevel="0" collapsed="false">
      <c r="A167" s="12" t="n">
        <v>164</v>
      </c>
      <c r="B167" s="8" t="s">
        <v>1536</v>
      </c>
      <c r="C167" s="8" t="s">
        <v>207</v>
      </c>
      <c r="D167" s="11" t="n">
        <v>0.00679247685185185</v>
      </c>
      <c r="E167" s="39" t="n">
        <f aca="false">ROUND((D167-$D$5)*86400,2)</f>
        <v>47.85</v>
      </c>
      <c r="F167" s="12" t="n">
        <v>941</v>
      </c>
      <c r="G167" s="11" t="n">
        <f aca="false">IF(INDEX(選手一覧!$D$5:$D$2736,$F167)="","",INDEX(選手一覧!$D$5:$D$2736,$F167))</f>
        <v>0.0109127314814815</v>
      </c>
      <c r="H167" s="12" t="n">
        <f aca="false">IF(INDEX(選手一覧!$E$5:$E$2736,$F167)="","",INDEX(選手一覧!$E$5:$E$2736,$F167))</f>
        <v>942</v>
      </c>
      <c r="I167" s="11" t="n">
        <f aca="false">IF(INDEX(選手一覧!$H$5:$H$2736,$F167)="","",INDEX(選手一覧!$H$5:$H$2736,$F167))</f>
        <v>0.00288148148148148</v>
      </c>
      <c r="J167" s="12" t="n">
        <f aca="false">IF(INDEX(選手一覧!$I$5:$I$2736,$F167)="","",INDEX(選手一覧!$I$5:$I$2736,$F167))</f>
        <v>783</v>
      </c>
    </row>
    <row r="168" customFormat="false" ht="15" hidden="false" customHeight="false" outlineLevel="0" collapsed="false">
      <c r="A168" s="12" t="n">
        <v>165</v>
      </c>
      <c r="B168" s="8" t="s">
        <v>1609</v>
      </c>
      <c r="C168" s="8" t="s">
        <v>4226</v>
      </c>
      <c r="D168" s="11" t="n">
        <v>0.00679340277777778</v>
      </c>
      <c r="E168" s="39" t="n">
        <f aca="false">ROUND((D168-$D$5)*86400,2)</f>
        <v>47.93</v>
      </c>
      <c r="F168" s="12" t="n">
        <v>992</v>
      </c>
      <c r="G168" s="11" t="n">
        <f aca="false">IF(INDEX(選手一覧!$D$5:$D$2736,$F168)="","",INDEX(選手一覧!$D$5:$D$2736,$F168))</f>
        <v>0.0109480324074074</v>
      </c>
      <c r="H168" s="12" t="n">
        <f aca="false">IF(INDEX(選手一覧!$E$5:$E$2736,$F168)="","",INDEX(選手一覧!$E$5:$E$2736,$F168))</f>
        <v>993</v>
      </c>
      <c r="I168" s="11" t="n">
        <f aca="false">IF(INDEX(選手一覧!$H$5:$H$2736,$F168)="","",INDEX(選手一覧!$H$5:$H$2736,$F168))</f>
        <v>0.00291875</v>
      </c>
      <c r="J168" s="12" t="n">
        <f aca="false">IF(INDEX(選手一覧!$I$5:$I$2736,$F168)="","",INDEX(選手一覧!$I$5:$I$2736,$F168))</f>
        <v>1081</v>
      </c>
    </row>
    <row r="169" customFormat="false" ht="15" hidden="false" customHeight="false" outlineLevel="0" collapsed="false">
      <c r="A169" s="12" t="n">
        <v>166</v>
      </c>
      <c r="B169" s="8" t="s">
        <v>895</v>
      </c>
      <c r="C169" s="8" t="s">
        <v>896</v>
      </c>
      <c r="D169" s="11" t="n">
        <v>0.00679351851851852</v>
      </c>
      <c r="E169" s="39" t="n">
        <f aca="false">ROUND((D169-$D$5)*86400,2)</f>
        <v>47.94</v>
      </c>
      <c r="F169" s="12" t="n">
        <v>513</v>
      </c>
      <c r="G169" s="11" t="n">
        <f aca="false">IF(INDEX(選手一覧!$D$5:$D$2736,$F169)="","",INDEX(選手一覧!$D$5:$D$2736,$F169))</f>
        <v>0.0106417824074074</v>
      </c>
      <c r="H169" s="12" t="n">
        <f aca="false">IF(INDEX(選手一覧!$E$5:$E$2736,$F169)="","",INDEX(選手一覧!$E$5:$E$2736,$F169))</f>
        <v>514</v>
      </c>
      <c r="I169" s="11" t="str">
        <f aca="false">IF(INDEX(選手一覧!$H$5:$H$2736,$F169)="","",INDEX(選手一覧!$H$5:$H$2736,$F169))</f>
        <v/>
      </c>
      <c r="J169" s="12" t="str">
        <f aca="false">IF(INDEX(選手一覧!$I$5:$I$2736,$F169)="","",INDEX(選手一覧!$I$5:$I$2736,$F169))</f>
        <v/>
      </c>
    </row>
    <row r="170" customFormat="false" ht="15" hidden="false" customHeight="false" outlineLevel="0" collapsed="false">
      <c r="A170" s="12" t="n">
        <v>167</v>
      </c>
      <c r="B170" s="8" t="s">
        <v>1425</v>
      </c>
      <c r="C170" s="8" t="s">
        <v>1426</v>
      </c>
      <c r="D170" s="11" t="n">
        <v>0.00679560185185185</v>
      </c>
      <c r="E170" s="39" t="n">
        <f aca="false">ROUND((D170-$D$5)*86400,2)</f>
        <v>48.12</v>
      </c>
      <c r="F170" s="12" t="n">
        <v>867</v>
      </c>
      <c r="G170" s="11" t="n">
        <f aca="false">IF(INDEX(選手一覧!$D$5:$D$2736,$F170)="","",INDEX(選手一覧!$D$5:$D$2736,$F170))</f>
        <v>0.0108678240740741</v>
      </c>
      <c r="H170" s="12" t="n">
        <f aca="false">IF(INDEX(選手一覧!$E$5:$E$2736,$F170)="","",INDEX(選手一覧!$E$5:$E$2736,$F170))</f>
        <v>868</v>
      </c>
      <c r="I170" s="11" t="str">
        <f aca="false">IF(INDEX(選手一覧!$H$5:$H$2736,$F170)="","",INDEX(選手一覧!$H$5:$H$2736,$F170))</f>
        <v/>
      </c>
      <c r="J170" s="12" t="str">
        <f aca="false">IF(INDEX(選手一覧!$I$5:$I$2736,$F170)="","",INDEX(選手一覧!$I$5:$I$2736,$F170))</f>
        <v/>
      </c>
    </row>
    <row r="171" customFormat="false" ht="15" hidden="false" customHeight="false" outlineLevel="0" collapsed="false">
      <c r="A171" s="12" t="n">
        <v>168</v>
      </c>
      <c r="B171" s="8" t="s">
        <v>921</v>
      </c>
      <c r="C171" s="8" t="s">
        <v>922</v>
      </c>
      <c r="D171" s="11" t="n">
        <v>0.00679710648148148</v>
      </c>
      <c r="E171" s="39" t="n">
        <f aca="false">ROUND((D171-$D$5)*86400,2)</f>
        <v>48.25</v>
      </c>
      <c r="F171" s="12" t="n">
        <v>530</v>
      </c>
      <c r="G171" s="11" t="n">
        <f aca="false">IF(INDEX(選手一覧!$D$5:$D$2736,$F171)="","",INDEX(選手一覧!$D$5:$D$2736,$F171))</f>
        <v>0.0106542824074074</v>
      </c>
      <c r="H171" s="12" t="n">
        <f aca="false">IF(INDEX(選手一覧!$E$5:$E$2736,$F171)="","",INDEX(選手一覧!$E$5:$E$2736,$F171))</f>
        <v>531</v>
      </c>
      <c r="I171" s="11" t="n">
        <f aca="false">IF(INDEX(選手一覧!$H$5:$H$2736,$F171)="","",INDEX(選手一覧!$H$5:$H$2736,$F171))</f>
        <v>0.0028880787037037</v>
      </c>
      <c r="J171" s="12" t="n">
        <f aca="false">IF(INDEX(選手一覧!$I$5:$I$2736,$F171)="","",INDEX(選手一覧!$I$5:$I$2736,$F171))</f>
        <v>848</v>
      </c>
    </row>
    <row r="172" customFormat="false" ht="15" hidden="false" customHeight="false" outlineLevel="0" collapsed="false">
      <c r="A172" s="12" t="n">
        <v>169</v>
      </c>
      <c r="B172" s="8" t="s">
        <v>1879</v>
      </c>
      <c r="C172" s="8" t="s">
        <v>700</v>
      </c>
      <c r="D172" s="11" t="n">
        <v>0.00679861111111111</v>
      </c>
      <c r="E172" s="39" t="n">
        <f aca="false">ROUND((D172-$D$5)*86400,2)</f>
        <v>48.38</v>
      </c>
      <c r="F172" s="12" t="n">
        <v>1174</v>
      </c>
      <c r="G172" s="11" t="n">
        <f aca="false">IF(INDEX(選手一覧!$D$5:$D$2736,$F172)="","",INDEX(選手一覧!$D$5:$D$2736,$F172))</f>
        <v>0.0110388888888889</v>
      </c>
      <c r="H172" s="12" t="n">
        <f aca="false">IF(INDEX(選手一覧!$E$5:$E$2736,$F172)="","",INDEX(選手一覧!$E$5:$E$2736,$F172))</f>
        <v>1175</v>
      </c>
      <c r="I172" s="11" t="str">
        <f aca="false">IF(INDEX(選手一覧!$H$5:$H$2736,$F172)="","",INDEX(選手一覧!$H$5:$H$2736,$F172))</f>
        <v/>
      </c>
      <c r="J172" s="12" t="str">
        <f aca="false">IF(INDEX(選手一覧!$I$5:$I$2736,$F172)="","",INDEX(選手一覧!$I$5:$I$2736,$F172))</f>
        <v/>
      </c>
    </row>
    <row r="173" customFormat="false" ht="15" hidden="false" customHeight="false" outlineLevel="0" collapsed="false">
      <c r="A173" s="12" t="n">
        <v>170</v>
      </c>
      <c r="B173" s="8" t="s">
        <v>1382</v>
      </c>
      <c r="C173" s="8" t="s">
        <v>394</v>
      </c>
      <c r="D173" s="11" t="n">
        <v>0.0068</v>
      </c>
      <c r="E173" s="39" t="n">
        <f aca="false">ROUND((D173-$D$5)*86400,2)</f>
        <v>48.5</v>
      </c>
      <c r="F173" s="12" t="n">
        <v>841</v>
      </c>
      <c r="G173" s="11" t="n">
        <f aca="false">IF(INDEX(選手一覧!$D$5:$D$2736,$F173)="","",INDEX(選手一覧!$D$5:$D$2736,$F173))</f>
        <v>0.0108527777777778</v>
      </c>
      <c r="H173" s="12" t="n">
        <f aca="false">IF(INDEX(選手一覧!$E$5:$E$2736,$F173)="","",INDEX(選手一覧!$E$5:$E$2736,$F173))</f>
        <v>842</v>
      </c>
      <c r="I173" s="11" t="str">
        <f aca="false">IF(INDEX(選手一覧!$H$5:$H$2736,$F173)="","",INDEX(選手一覧!$H$5:$H$2736,$F173))</f>
        <v/>
      </c>
      <c r="J173" s="12" t="str">
        <f aca="false">IF(INDEX(選手一覧!$I$5:$I$2736,$F173)="","",INDEX(選手一覧!$I$5:$I$2736,$F173))</f>
        <v/>
      </c>
    </row>
    <row r="174" customFormat="false" ht="15" hidden="false" customHeight="false" outlineLevel="0" collapsed="false">
      <c r="A174" s="12" t="n">
        <v>171</v>
      </c>
      <c r="B174" s="8" t="s">
        <v>665</v>
      </c>
      <c r="C174" s="8" t="s">
        <v>274</v>
      </c>
      <c r="D174" s="11" t="n">
        <v>0.0068</v>
      </c>
      <c r="E174" s="39" t="n">
        <f aca="false">ROUND((D174-$D$5)*86400,2)</f>
        <v>48.5</v>
      </c>
      <c r="F174" s="12" t="n">
        <v>369</v>
      </c>
      <c r="G174" s="11" t="n">
        <f aca="false">IF(INDEX(選手一覧!$D$5:$D$2736,$F174)="","",INDEX(選手一覧!$D$5:$D$2736,$F174))</f>
        <v>0.0105296296296296</v>
      </c>
      <c r="H174" s="12" t="n">
        <f aca="false">IF(INDEX(選手一覧!$E$5:$E$2736,$F174)="","",INDEX(選手一覧!$E$5:$E$2736,$F174))</f>
        <v>370</v>
      </c>
      <c r="I174" s="11" t="str">
        <f aca="false">IF(INDEX(選手一覧!$H$5:$H$2736,$F174)="","",INDEX(選手一覧!$H$5:$H$2736,$F174))</f>
        <v/>
      </c>
      <c r="J174" s="12" t="str">
        <f aca="false">IF(INDEX(選手一覧!$I$5:$I$2736,$F174)="","",INDEX(選手一覧!$I$5:$I$2736,$F174))</f>
        <v/>
      </c>
    </row>
    <row r="175" customFormat="false" ht="15" hidden="false" customHeight="false" outlineLevel="0" collapsed="false">
      <c r="A175" s="12" t="n">
        <v>172</v>
      </c>
      <c r="B175" s="8" t="s">
        <v>1661</v>
      </c>
      <c r="C175" s="8" t="s">
        <v>108</v>
      </c>
      <c r="D175" s="11" t="n">
        <v>0.00680034722222222</v>
      </c>
      <c r="E175" s="39" t="n">
        <f aca="false">ROUND((D175-$D$5)*86400,2)</f>
        <v>48.53</v>
      </c>
      <c r="F175" s="12" t="n">
        <v>1027</v>
      </c>
      <c r="G175" s="11" t="n">
        <f aca="false">IF(INDEX(選手一覧!$D$5:$D$2736,$F175)="","",INDEX(選手一覧!$D$5:$D$2736,$F175))</f>
        <v>0.0109670138888889</v>
      </c>
      <c r="H175" s="12" t="n">
        <f aca="false">IF(INDEX(選手一覧!$E$5:$E$2736,$F175)="","",INDEX(選手一覧!$E$5:$E$2736,$F175))</f>
        <v>1028</v>
      </c>
      <c r="I175" s="11" t="str">
        <f aca="false">IF(INDEX(選手一覧!$H$5:$H$2736,$F175)="","",INDEX(選手一覧!$H$5:$H$2736,$F175))</f>
        <v/>
      </c>
      <c r="J175" s="12" t="str">
        <f aca="false">IF(INDEX(選手一覧!$I$5:$I$2736,$F175)="","",INDEX(選手一覧!$I$5:$I$2736,$F175))</f>
        <v/>
      </c>
    </row>
    <row r="176" customFormat="false" ht="15" hidden="false" customHeight="false" outlineLevel="0" collapsed="false">
      <c r="A176" s="12" t="n">
        <v>173</v>
      </c>
      <c r="B176" s="8" t="s">
        <v>1792</v>
      </c>
      <c r="C176" s="8" t="s">
        <v>1793</v>
      </c>
      <c r="D176" s="11" t="n">
        <v>0.00680150462962963</v>
      </c>
      <c r="E176" s="39" t="n">
        <f aca="false">ROUND((D176-$D$5)*86400,2)</f>
        <v>48.63</v>
      </c>
      <c r="F176" s="12" t="n">
        <v>1116</v>
      </c>
      <c r="G176" s="11" t="n">
        <f aca="false">IF(INDEX(選手一覧!$D$5:$D$2736,$F176)="","",INDEX(選手一覧!$D$5:$D$2736,$F176))</f>
        <v>0.0110141203703704</v>
      </c>
      <c r="H176" s="12" t="n">
        <f aca="false">IF(INDEX(選手一覧!$E$5:$E$2736,$F176)="","",INDEX(選手一覧!$E$5:$E$2736,$F176))</f>
        <v>1117</v>
      </c>
      <c r="I176" s="11" t="str">
        <f aca="false">IF(INDEX(選手一覧!$H$5:$H$2736,$F176)="","",INDEX(選手一覧!$H$5:$H$2736,$F176))</f>
        <v/>
      </c>
      <c r="J176" s="12" t="str">
        <f aca="false">IF(INDEX(選手一覧!$I$5:$I$2736,$F176)="","",INDEX(選手一覧!$I$5:$I$2736,$F176))</f>
        <v/>
      </c>
    </row>
    <row r="177" customFormat="false" ht="15" hidden="false" customHeight="false" outlineLevel="0" collapsed="false">
      <c r="A177" s="12" t="n">
        <v>174</v>
      </c>
      <c r="B177" s="8" t="s">
        <v>2087</v>
      </c>
      <c r="C177" s="8" t="s">
        <v>2088</v>
      </c>
      <c r="D177" s="11" t="n">
        <v>0.00680185185185185</v>
      </c>
      <c r="E177" s="39" t="n">
        <f aca="false">ROUND((D177-$D$5)*86400,2)</f>
        <v>48.66</v>
      </c>
      <c r="F177" s="12" t="n">
        <v>1331</v>
      </c>
      <c r="G177" s="11" t="str">
        <f aca="false">IF(INDEX(選手一覧!$D$5:$D$2736,$F177)="","",INDEX(選手一覧!$D$5:$D$2736,$F177))</f>
        <v/>
      </c>
      <c r="H177" s="12" t="str">
        <f aca="false">IF(INDEX(選手一覧!$E$5:$E$2736,$F177)="","",INDEX(選手一覧!$E$5:$E$2736,$F177))</f>
        <v/>
      </c>
      <c r="I177" s="11" t="n">
        <f aca="false">IF(INDEX(選手一覧!$H$5:$H$2736,$F177)="","",INDEX(選手一覧!$H$5:$H$2736,$F177))</f>
        <v>0.0029025462962963</v>
      </c>
      <c r="J177" s="12" t="n">
        <f aca="false">IF(INDEX(選手一覧!$I$5:$I$2736,$F177)="","",INDEX(選手一覧!$I$5:$I$2736,$F177))</f>
        <v>967</v>
      </c>
    </row>
    <row r="178" customFormat="false" ht="15" hidden="false" customHeight="false" outlineLevel="0" collapsed="false">
      <c r="A178" s="12" t="n">
        <v>175</v>
      </c>
      <c r="B178" s="8" t="s">
        <v>2090</v>
      </c>
      <c r="C178" s="8" t="s">
        <v>2091</v>
      </c>
      <c r="D178" s="11" t="n">
        <v>0.00680416666666667</v>
      </c>
      <c r="E178" s="39" t="n">
        <f aca="false">ROUND((D178-$D$5)*86400,2)</f>
        <v>48.86</v>
      </c>
      <c r="F178" s="12" t="n">
        <v>1333</v>
      </c>
      <c r="G178" s="11" t="str">
        <f aca="false">IF(INDEX(選手一覧!$D$5:$D$2736,$F178)="","",INDEX(選手一覧!$D$5:$D$2736,$F178))</f>
        <v/>
      </c>
      <c r="H178" s="12" t="str">
        <f aca="false">IF(INDEX(選手一覧!$E$5:$E$2736,$F178)="","",INDEX(選手一覧!$E$5:$E$2736,$F178))</f>
        <v/>
      </c>
      <c r="I178" s="11" t="n">
        <f aca="false">IF(INDEX(選手一覧!$H$5:$H$2736,$F178)="","",INDEX(選手一覧!$H$5:$H$2736,$F178))</f>
        <v>0.00291759259259259</v>
      </c>
      <c r="J178" s="12" t="n">
        <f aca="false">IF(INDEX(選手一覧!$I$5:$I$2736,$F178)="","",INDEX(選手一覧!$I$5:$I$2736,$F178))</f>
        <v>1071</v>
      </c>
    </row>
    <row r="179" customFormat="false" ht="15" hidden="false" customHeight="false" outlineLevel="0" collapsed="false">
      <c r="A179" s="12" t="n">
        <v>176</v>
      </c>
      <c r="B179" s="8" t="s">
        <v>2093</v>
      </c>
      <c r="C179" s="8" t="s">
        <v>2094</v>
      </c>
      <c r="D179" s="11" t="n">
        <v>0.00680648148148148</v>
      </c>
      <c r="E179" s="39" t="n">
        <f aca="false">ROUND((D179-$D$5)*86400,2)</f>
        <v>49.06</v>
      </c>
      <c r="F179" s="12" t="n">
        <v>1334</v>
      </c>
      <c r="G179" s="11" t="str">
        <f aca="false">IF(INDEX(選手一覧!$D$5:$D$2736,$F179)="","",INDEX(選手一覧!$D$5:$D$2736,$F179))</f>
        <v/>
      </c>
      <c r="H179" s="12" t="str">
        <f aca="false">IF(INDEX(選手一覧!$E$5:$E$2736,$F179)="","",INDEX(選手一覧!$E$5:$E$2736,$F179))</f>
        <v/>
      </c>
      <c r="I179" s="11" t="str">
        <f aca="false">IF(INDEX(選手一覧!$H$5:$H$2736,$F179)="","",INDEX(選手一覧!$H$5:$H$2736,$F179))</f>
        <v/>
      </c>
      <c r="J179" s="12" t="str">
        <f aca="false">IF(INDEX(選手一覧!$I$5:$I$2736,$F179)="","",INDEX(選手一覧!$I$5:$I$2736,$F179))</f>
        <v/>
      </c>
    </row>
    <row r="180" customFormat="false" ht="15" hidden="false" customHeight="false" outlineLevel="0" collapsed="false">
      <c r="A180" s="12" t="n">
        <v>177</v>
      </c>
      <c r="B180" s="8" t="s">
        <v>1624</v>
      </c>
      <c r="C180" s="8" t="s">
        <v>437</v>
      </c>
      <c r="D180" s="11" t="n">
        <v>0.00680671296296296</v>
      </c>
      <c r="E180" s="39" t="n">
        <f aca="false">ROUND((D180-$D$5)*86400,2)</f>
        <v>49.08</v>
      </c>
      <c r="F180" s="12" t="n">
        <v>1002</v>
      </c>
      <c r="G180" s="11" t="n">
        <f aca="false">IF(INDEX(選手一覧!$D$5:$D$2736,$F180)="","",INDEX(選手一覧!$D$5:$D$2736,$F180))</f>
        <v>0.0109517361111111</v>
      </c>
      <c r="H180" s="12" t="n">
        <f aca="false">IF(INDEX(選手一覧!$E$5:$E$2736,$F180)="","",INDEX(選手一覧!$E$5:$E$2736,$F180))</f>
        <v>1003</v>
      </c>
      <c r="I180" s="11" t="str">
        <f aca="false">IF(INDEX(選手一覧!$H$5:$H$2736,$F180)="","",INDEX(選手一覧!$H$5:$H$2736,$F180))</f>
        <v/>
      </c>
      <c r="J180" s="12" t="str">
        <f aca="false">IF(INDEX(選手一覧!$I$5:$I$2736,$F180)="","",INDEX(選手一覧!$I$5:$I$2736,$F180))</f>
        <v/>
      </c>
    </row>
    <row r="181" customFormat="false" ht="15" hidden="false" customHeight="false" outlineLevel="0" collapsed="false">
      <c r="A181" s="12" t="n">
        <v>178</v>
      </c>
      <c r="B181" s="8" t="s">
        <v>995</v>
      </c>
      <c r="C181" s="8" t="s">
        <v>4344</v>
      </c>
      <c r="D181" s="11" t="n">
        <v>0.00680717592592593</v>
      </c>
      <c r="E181" s="39" t="n">
        <f aca="false">ROUND((D181-$D$5)*86400,2)</f>
        <v>49.12</v>
      </c>
      <c r="F181" s="12" t="n">
        <v>578</v>
      </c>
      <c r="G181" s="11" t="n">
        <f aca="false">IF(INDEX(選手一覧!$D$5:$D$2736,$F181)="","",INDEX(選手一覧!$D$5:$D$2736,$F181))</f>
        <v>0.0106987268518519</v>
      </c>
      <c r="H181" s="12" t="n">
        <f aca="false">IF(INDEX(選手一覧!$E$5:$E$2736,$F181)="","",INDEX(選手一覧!$E$5:$E$2736,$F181))</f>
        <v>579</v>
      </c>
      <c r="I181" s="11" t="n">
        <f aca="false">IF(INDEX(選手一覧!$H$5:$H$2736,$F181)="","",INDEX(選手一覧!$H$5:$H$2736,$F181))</f>
        <v>0.00288356481481481</v>
      </c>
      <c r="J181" s="12" t="n">
        <f aca="false">IF(INDEX(選手一覧!$I$5:$I$2736,$F181)="","",INDEX(選手一覧!$I$5:$I$2736,$F181))</f>
        <v>803</v>
      </c>
    </row>
    <row r="182" customFormat="false" ht="15" hidden="false" customHeight="false" outlineLevel="0" collapsed="false">
      <c r="A182" s="12" t="n">
        <v>179</v>
      </c>
      <c r="B182" s="8" t="s">
        <v>1047</v>
      </c>
      <c r="C182" s="8" t="s">
        <v>525</v>
      </c>
      <c r="D182" s="11" t="n">
        <v>0.00680914351851852</v>
      </c>
      <c r="E182" s="39" t="n">
        <f aca="false">ROUND((D182-$D$5)*86400,2)</f>
        <v>49.29</v>
      </c>
      <c r="F182" s="12" t="n">
        <v>615</v>
      </c>
      <c r="G182" s="11" t="n">
        <f aca="false">IF(INDEX(選手一覧!$D$5:$D$2736,$F182)="","",INDEX(選手一覧!$D$5:$D$2736,$F182))</f>
        <v>0.0107228009259259</v>
      </c>
      <c r="H182" s="12" t="n">
        <f aca="false">IF(INDEX(選手一覧!$E$5:$E$2736,$F182)="","",INDEX(選手一覧!$E$5:$E$2736,$F182))</f>
        <v>616</v>
      </c>
      <c r="I182" s="11" t="n">
        <f aca="false">IF(INDEX(選手一覧!$H$5:$H$2736,$F182)="","",INDEX(選手一覧!$H$5:$H$2736,$F182))</f>
        <v>0.00292210648148148</v>
      </c>
      <c r="J182" s="12" t="n">
        <f aca="false">IF(INDEX(選手一覧!$I$5:$I$2736,$F182)="","",INDEX(選手一覧!$I$5:$I$2736,$F182))</f>
        <v>1115</v>
      </c>
    </row>
    <row r="183" customFormat="false" ht="15" hidden="false" customHeight="false" outlineLevel="0" collapsed="false">
      <c r="A183" s="12" t="n">
        <v>180</v>
      </c>
      <c r="B183" s="8" t="s">
        <v>1585</v>
      </c>
      <c r="C183" s="8" t="s">
        <v>96</v>
      </c>
      <c r="D183" s="11" t="n">
        <v>0.00680972222222222</v>
      </c>
      <c r="E183" s="39" t="n">
        <f aca="false">ROUND((D183-$D$5)*86400,2)</f>
        <v>49.34</v>
      </c>
      <c r="F183" s="12" t="n">
        <v>975</v>
      </c>
      <c r="G183" s="11" t="n">
        <f aca="false">IF(INDEX(選手一覧!$D$5:$D$2736,$F183)="","",INDEX(選手一覧!$D$5:$D$2736,$F183))</f>
        <v>0.0109353009259259</v>
      </c>
      <c r="H183" s="12" t="n">
        <f aca="false">IF(INDEX(選手一覧!$E$5:$E$2736,$F183)="","",INDEX(選手一覧!$E$5:$E$2736,$F183))</f>
        <v>976</v>
      </c>
      <c r="I183" s="11" t="n">
        <f aca="false">IF(INDEX(選手一覧!$H$5:$H$2736,$F183)="","",INDEX(選手一覧!$H$5:$H$2736,$F183))</f>
        <v>0.00288136574074074</v>
      </c>
      <c r="J183" s="12" t="n">
        <f aca="false">IF(INDEX(選手一覧!$I$5:$I$2736,$F183)="","",INDEX(選手一覧!$I$5:$I$2736,$F183))</f>
        <v>781</v>
      </c>
    </row>
    <row r="184" customFormat="false" ht="15" hidden="false" customHeight="false" outlineLevel="0" collapsed="false">
      <c r="A184" s="12" t="n">
        <v>181</v>
      </c>
      <c r="B184" s="8" t="s">
        <v>2028</v>
      </c>
      <c r="C184" s="8" t="s">
        <v>2029</v>
      </c>
      <c r="D184" s="11" t="n">
        <v>0.00681215277777778</v>
      </c>
      <c r="E184" s="39" t="n">
        <f aca="false">ROUND((D184-$D$5)*86400,2)</f>
        <v>49.55</v>
      </c>
      <c r="F184" s="12" t="n">
        <v>1287</v>
      </c>
      <c r="G184" s="11" t="n">
        <f aca="false">IF(INDEX(選手一覧!$D$5:$D$2736,$F184)="","",INDEX(選手一覧!$D$5:$D$2736,$F184))</f>
        <v>0.0111204861111111</v>
      </c>
      <c r="H184" s="12" t="n">
        <f aca="false">IF(INDEX(選手一覧!$E$5:$E$2736,$F184)="","",INDEX(選手一覧!$E$5:$E$2736,$F184))</f>
        <v>1288</v>
      </c>
      <c r="I184" s="11" t="str">
        <f aca="false">IF(INDEX(選手一覧!$H$5:$H$2736,$F184)="","",INDEX(選手一覧!$H$5:$H$2736,$F184))</f>
        <v/>
      </c>
      <c r="J184" s="12" t="str">
        <f aca="false">IF(INDEX(選手一覧!$I$5:$I$2736,$F184)="","",INDEX(選手一覧!$I$5:$I$2736,$F184))</f>
        <v/>
      </c>
    </row>
    <row r="185" customFormat="false" ht="15" hidden="false" customHeight="false" outlineLevel="0" collapsed="false">
      <c r="A185" s="12" t="n">
        <v>182</v>
      </c>
      <c r="B185" s="8" t="s">
        <v>2096</v>
      </c>
      <c r="C185" s="8" t="s">
        <v>2097</v>
      </c>
      <c r="D185" s="11" t="n">
        <v>0.0068150462962963</v>
      </c>
      <c r="E185" s="39" t="n">
        <f aca="false">ROUND((D185-$D$5)*86400,2)</f>
        <v>49.8</v>
      </c>
      <c r="F185" s="12" t="n">
        <v>1336</v>
      </c>
      <c r="G185" s="11" t="str">
        <f aca="false">IF(INDEX(選手一覧!$D$5:$D$2736,$F185)="","",INDEX(選手一覧!$D$5:$D$2736,$F185))</f>
        <v/>
      </c>
      <c r="H185" s="12" t="str">
        <f aca="false">IF(INDEX(選手一覧!$E$5:$E$2736,$F185)="","",INDEX(選手一覧!$E$5:$E$2736,$F185))</f>
        <v/>
      </c>
      <c r="I185" s="11" t="n">
        <f aca="false">IF(INDEX(選手一覧!$H$5:$H$2736,$F185)="","",INDEX(選手一覧!$H$5:$H$2736,$F185))</f>
        <v>0.00288391203703704</v>
      </c>
      <c r="J185" s="12" t="n">
        <f aca="false">IF(INDEX(選手一覧!$I$5:$I$2736,$F185)="","",INDEX(選手一覧!$I$5:$I$2736,$F185))</f>
        <v>808</v>
      </c>
    </row>
    <row r="186" customFormat="false" ht="15" hidden="false" customHeight="false" outlineLevel="0" collapsed="false">
      <c r="A186" s="12" t="n">
        <v>183</v>
      </c>
      <c r="B186" s="8" t="s">
        <v>1092</v>
      </c>
      <c r="C186" s="8" t="s">
        <v>578</v>
      </c>
      <c r="D186" s="11" t="n">
        <v>0.00681689814814815</v>
      </c>
      <c r="E186" s="39" t="n">
        <f aca="false">ROUND((D186-$D$5)*86400,2)</f>
        <v>49.96</v>
      </c>
      <c r="F186" s="12" t="n">
        <v>649</v>
      </c>
      <c r="G186" s="11" t="n">
        <f aca="false">IF(INDEX(選手一覧!$D$5:$D$2736,$F186)="","",INDEX(選手一覧!$D$5:$D$2736,$F186))</f>
        <v>0.0107380787037037</v>
      </c>
      <c r="H186" s="12" t="n">
        <f aca="false">IF(INDEX(選手一覧!$E$5:$E$2736,$F186)="","",INDEX(選手一覧!$E$5:$E$2736,$F186))</f>
        <v>650</v>
      </c>
      <c r="I186" s="11" t="n">
        <f aca="false">IF(INDEX(選手一覧!$H$5:$H$2736,$F186)="","",INDEX(選手一覧!$H$5:$H$2736,$F186))</f>
        <v>0.00282615740740741</v>
      </c>
      <c r="J186" s="12" t="n">
        <f aca="false">IF(INDEX(選手一覧!$I$5:$I$2736,$F186)="","",INDEX(選手一覧!$I$5:$I$2736,$F186))</f>
        <v>399</v>
      </c>
    </row>
    <row r="187" customFormat="false" ht="15" hidden="false" customHeight="false" outlineLevel="0" collapsed="false">
      <c r="A187" s="12" t="n">
        <v>184</v>
      </c>
      <c r="B187" s="8" t="s">
        <v>1322</v>
      </c>
      <c r="C187" s="8" t="s">
        <v>1323</v>
      </c>
      <c r="D187" s="11" t="n">
        <v>0.00681701388888889</v>
      </c>
      <c r="E187" s="39" t="n">
        <f aca="false">ROUND((D187-$D$5)*86400,2)</f>
        <v>49.97</v>
      </c>
      <c r="F187" s="12" t="n">
        <v>802</v>
      </c>
      <c r="G187" s="11" t="n">
        <f aca="false">IF(INDEX(選手一覧!$D$5:$D$2736,$F187)="","",INDEX(選手一覧!$D$5:$D$2736,$F187))</f>
        <v>0.0108366898148148</v>
      </c>
      <c r="H187" s="12" t="n">
        <f aca="false">IF(INDEX(選手一覧!$E$5:$E$2736,$F187)="","",INDEX(選手一覧!$E$5:$E$2736,$F187))</f>
        <v>803</v>
      </c>
      <c r="I187" s="11" t="str">
        <f aca="false">IF(INDEX(選手一覧!$H$5:$H$2736,$F187)="","",INDEX(選手一覧!$H$5:$H$2736,$F187))</f>
        <v/>
      </c>
      <c r="J187" s="12" t="str">
        <f aca="false">IF(INDEX(選手一覧!$I$5:$I$2736,$F187)="","",INDEX(選手一覧!$I$5:$I$2736,$F187))</f>
        <v/>
      </c>
    </row>
    <row r="188" customFormat="false" ht="15" hidden="false" customHeight="false" outlineLevel="0" collapsed="false">
      <c r="A188" s="12" t="n">
        <v>185</v>
      </c>
      <c r="B188" s="8" t="s">
        <v>2099</v>
      </c>
      <c r="C188" s="8" t="s">
        <v>278</v>
      </c>
      <c r="D188" s="11" t="n">
        <v>0.00681712962962963</v>
      </c>
      <c r="E188" s="39" t="n">
        <f aca="false">ROUND((D188-$D$5)*86400,2)</f>
        <v>49.98</v>
      </c>
      <c r="F188" s="12" t="n">
        <v>1338</v>
      </c>
      <c r="G188" s="11" t="str">
        <f aca="false">IF(INDEX(選手一覧!$D$5:$D$2736,$F188)="","",INDEX(選手一覧!$D$5:$D$2736,$F188))</f>
        <v/>
      </c>
      <c r="H188" s="12" t="str">
        <f aca="false">IF(INDEX(選手一覧!$E$5:$E$2736,$F188)="","",INDEX(選手一覧!$E$5:$E$2736,$F188))</f>
        <v/>
      </c>
      <c r="I188" s="11" t="str">
        <f aca="false">IF(INDEX(選手一覧!$H$5:$H$2736,$F188)="","",INDEX(選手一覧!$H$5:$H$2736,$F188))</f>
        <v/>
      </c>
      <c r="J188" s="12" t="str">
        <f aca="false">IF(INDEX(選手一覧!$I$5:$I$2736,$F188)="","",INDEX(選手一覧!$I$5:$I$2736,$F188))</f>
        <v/>
      </c>
    </row>
    <row r="189" customFormat="false" ht="15" hidden="false" customHeight="false" outlineLevel="0" collapsed="false">
      <c r="A189" s="12" t="n">
        <v>186</v>
      </c>
      <c r="B189" s="8" t="s">
        <v>2101</v>
      </c>
      <c r="C189" s="8" t="s">
        <v>363</v>
      </c>
      <c r="D189" s="11" t="n">
        <v>0.00681759259259259</v>
      </c>
      <c r="E189" s="39" t="n">
        <f aca="false">ROUND((D189-$D$5)*86400,2)</f>
        <v>50.02</v>
      </c>
      <c r="F189" s="12" t="n">
        <v>1339</v>
      </c>
      <c r="G189" s="11" t="str">
        <f aca="false">IF(INDEX(選手一覧!$D$5:$D$2736,$F189)="","",INDEX(選手一覧!$D$5:$D$2736,$F189))</f>
        <v/>
      </c>
      <c r="H189" s="12" t="str">
        <f aca="false">IF(INDEX(選手一覧!$E$5:$E$2736,$F189)="","",INDEX(選手一覧!$E$5:$E$2736,$F189))</f>
        <v/>
      </c>
      <c r="I189" s="11" t="str">
        <f aca="false">IF(INDEX(選手一覧!$H$5:$H$2736,$F189)="","",INDEX(選手一覧!$H$5:$H$2736,$F189))</f>
        <v/>
      </c>
      <c r="J189" s="12" t="str">
        <f aca="false">IF(INDEX(選手一覧!$I$5:$I$2736,$F189)="","",INDEX(選手一覧!$I$5:$I$2736,$F189))</f>
        <v/>
      </c>
    </row>
    <row r="190" customFormat="false" ht="15" hidden="false" customHeight="false" outlineLevel="0" collapsed="false">
      <c r="A190" s="12" t="n">
        <v>187</v>
      </c>
      <c r="B190" s="8" t="s">
        <v>2102</v>
      </c>
      <c r="C190" s="8" t="s">
        <v>1493</v>
      </c>
      <c r="D190" s="11" t="n">
        <v>0.00682222222222222</v>
      </c>
      <c r="E190" s="39" t="n">
        <f aca="false">ROUND((D190-$D$5)*86400,2)</f>
        <v>50.42</v>
      </c>
      <c r="F190" s="12" t="n">
        <v>1340</v>
      </c>
      <c r="G190" s="11" t="str">
        <f aca="false">IF(INDEX(選手一覧!$D$5:$D$2736,$F190)="","",INDEX(選手一覧!$D$5:$D$2736,$F190))</f>
        <v/>
      </c>
      <c r="H190" s="12" t="str">
        <f aca="false">IF(INDEX(選手一覧!$E$5:$E$2736,$F190)="","",INDEX(選手一覧!$E$5:$E$2736,$F190))</f>
        <v/>
      </c>
      <c r="I190" s="11" t="str">
        <f aca="false">IF(INDEX(選手一覧!$H$5:$H$2736,$F190)="","",INDEX(選手一覧!$H$5:$H$2736,$F190))</f>
        <v/>
      </c>
      <c r="J190" s="12" t="str">
        <f aca="false">IF(INDEX(選手一覧!$I$5:$I$2736,$F190)="","",INDEX(選手一覧!$I$5:$I$2736,$F190))</f>
        <v/>
      </c>
    </row>
    <row r="191" customFormat="false" ht="15" hidden="false" customHeight="false" outlineLevel="0" collapsed="false">
      <c r="A191" s="12" t="n">
        <v>188</v>
      </c>
      <c r="B191" s="8" t="s">
        <v>2103</v>
      </c>
      <c r="C191" s="8" t="s">
        <v>2104</v>
      </c>
      <c r="D191" s="11" t="n">
        <v>0.00682488425925926</v>
      </c>
      <c r="E191" s="39" t="n">
        <f aca="false">ROUND((D191-$D$5)*86400,2)</f>
        <v>50.65</v>
      </c>
      <c r="F191" s="12" t="n">
        <v>1341</v>
      </c>
      <c r="G191" s="11" t="str">
        <f aca="false">IF(INDEX(選手一覧!$D$5:$D$2736,$F191)="","",INDEX(選手一覧!$D$5:$D$2736,$F191))</f>
        <v/>
      </c>
      <c r="H191" s="12" t="str">
        <f aca="false">IF(INDEX(選手一覧!$E$5:$E$2736,$F191)="","",INDEX(選手一覧!$E$5:$E$2736,$F191))</f>
        <v/>
      </c>
      <c r="I191" s="11" t="str">
        <f aca="false">IF(INDEX(選手一覧!$H$5:$H$2736,$F191)="","",INDEX(選手一覧!$H$5:$H$2736,$F191))</f>
        <v/>
      </c>
      <c r="J191" s="12" t="str">
        <f aca="false">IF(INDEX(選手一覧!$I$5:$I$2736,$F191)="","",INDEX(選手一覧!$I$5:$I$2736,$F191))</f>
        <v/>
      </c>
    </row>
    <row r="192" customFormat="false" ht="15" hidden="false" customHeight="false" outlineLevel="0" collapsed="false">
      <c r="A192" s="12" t="n">
        <v>189</v>
      </c>
      <c r="B192" s="8" t="s">
        <v>2105</v>
      </c>
      <c r="C192" s="8" t="s">
        <v>2106</v>
      </c>
      <c r="D192" s="11" t="n">
        <v>0.00682673611111111</v>
      </c>
      <c r="E192" s="39" t="n">
        <f aca="false">ROUND((D192-$D$5)*86400,2)</f>
        <v>50.81</v>
      </c>
      <c r="F192" s="12" t="n">
        <v>1342</v>
      </c>
      <c r="G192" s="11" t="str">
        <f aca="false">IF(INDEX(選手一覧!$D$5:$D$2736,$F192)="","",INDEX(選手一覧!$D$5:$D$2736,$F192))</f>
        <v/>
      </c>
      <c r="H192" s="12" t="str">
        <f aca="false">IF(INDEX(選手一覧!$E$5:$E$2736,$F192)="","",INDEX(選手一覧!$E$5:$E$2736,$F192))</f>
        <v/>
      </c>
      <c r="I192" s="11" t="n">
        <f aca="false">IF(INDEX(選手一覧!$H$5:$H$2736,$F192)="","",INDEX(選手一覧!$H$5:$H$2736,$F192))</f>
        <v>0.00289930555555556</v>
      </c>
      <c r="J192" s="12" t="n">
        <f aca="false">IF(INDEX(選手一覧!$I$5:$I$2736,$F192)="","",INDEX(選手一覧!$I$5:$I$2736,$F192))</f>
        <v>939</v>
      </c>
    </row>
    <row r="193" customFormat="false" ht="15" hidden="false" customHeight="false" outlineLevel="0" collapsed="false">
      <c r="A193" s="12" t="n">
        <v>190</v>
      </c>
      <c r="B193" s="8" t="s">
        <v>377</v>
      </c>
      <c r="C193" s="8" t="s">
        <v>92</v>
      </c>
      <c r="D193" s="11" t="n">
        <v>0.00682673611111111</v>
      </c>
      <c r="E193" s="39" t="n">
        <f aca="false">ROUND((D193-$D$5)*86400,2)</f>
        <v>50.81</v>
      </c>
      <c r="F193" s="12" t="n">
        <v>189</v>
      </c>
      <c r="G193" s="11" t="n">
        <f aca="false">IF(INDEX(選手一覧!$D$5:$D$2736,$F193)="","",INDEX(選手一覧!$D$5:$D$2736,$F193))</f>
        <v>0.0103393518518519</v>
      </c>
      <c r="H193" s="12" t="n">
        <f aca="false">IF(INDEX(選手一覧!$E$5:$E$2736,$F193)="","",INDEX(選手一覧!$E$5:$E$2736,$F193))</f>
        <v>190</v>
      </c>
      <c r="I193" s="11" t="n">
        <f aca="false">IF(INDEX(選手一覧!$H$5:$H$2736,$F193)="","",INDEX(選手一覧!$H$5:$H$2736,$F193))</f>
        <v>0.0028119212962963</v>
      </c>
      <c r="J193" s="12" t="n">
        <f aca="false">IF(INDEX(選手一覧!$I$5:$I$2736,$F193)="","",INDEX(選手一覧!$I$5:$I$2736,$F193))</f>
        <v>329</v>
      </c>
    </row>
    <row r="194" customFormat="false" ht="15" hidden="false" customHeight="false" outlineLevel="0" collapsed="false">
      <c r="A194" s="12" t="n">
        <v>191</v>
      </c>
      <c r="B194" s="8" t="s">
        <v>1937</v>
      </c>
      <c r="C194" s="8" t="s">
        <v>290</v>
      </c>
      <c r="D194" s="11" t="n">
        <v>0.00682800925925926</v>
      </c>
      <c r="E194" s="39" t="n">
        <f aca="false">ROUND((D194-$D$5)*86400,2)</f>
        <v>50.92</v>
      </c>
      <c r="F194" s="12" t="n">
        <v>1216</v>
      </c>
      <c r="G194" s="11" t="n">
        <f aca="false">IF(INDEX(選手一覧!$D$5:$D$2736,$F194)="","",INDEX(選手一覧!$D$5:$D$2736,$F194))</f>
        <v>0.0110608796296296</v>
      </c>
      <c r="H194" s="12" t="n">
        <f aca="false">IF(INDEX(選手一覧!$E$5:$E$2736,$F194)="","",INDEX(選手一覧!$E$5:$E$2736,$F194))</f>
        <v>1217</v>
      </c>
      <c r="I194" s="11" t="str">
        <f aca="false">IF(INDEX(選手一覧!$H$5:$H$2736,$F194)="","",INDEX(選手一覧!$H$5:$H$2736,$F194))</f>
        <v/>
      </c>
      <c r="J194" s="12" t="str">
        <f aca="false">IF(INDEX(選手一覧!$I$5:$I$2736,$F194)="","",INDEX(選手一覧!$I$5:$I$2736,$F194))</f>
        <v/>
      </c>
    </row>
    <row r="195" customFormat="false" ht="15" hidden="false" customHeight="false" outlineLevel="0" collapsed="false">
      <c r="A195" s="12" t="n">
        <v>192</v>
      </c>
      <c r="B195" s="8" t="s">
        <v>1717</v>
      </c>
      <c r="C195" s="8" t="s">
        <v>625</v>
      </c>
      <c r="D195" s="11" t="n">
        <v>0.006828125</v>
      </c>
      <c r="E195" s="39" t="n">
        <f aca="false">ROUND((D195-$D$5)*86400,2)</f>
        <v>50.93</v>
      </c>
      <c r="F195" s="12" t="n">
        <v>1065</v>
      </c>
      <c r="G195" s="11" t="n">
        <f aca="false">IF(INDEX(選手一覧!$D$5:$D$2736,$F195)="","",INDEX(選手一覧!$D$5:$D$2736,$F195))</f>
        <v>0.0109842592592593</v>
      </c>
      <c r="H195" s="12" t="n">
        <f aca="false">IF(INDEX(選手一覧!$E$5:$E$2736,$F195)="","",INDEX(選手一覧!$E$5:$E$2736,$F195))</f>
        <v>1066</v>
      </c>
      <c r="I195" s="11" t="str">
        <f aca="false">IF(INDEX(選手一覧!$H$5:$H$2736,$F195)="","",INDEX(選手一覧!$H$5:$H$2736,$F195))</f>
        <v/>
      </c>
      <c r="J195" s="12" t="str">
        <f aca="false">IF(INDEX(選手一覧!$I$5:$I$2736,$F195)="","",INDEX(選手一覧!$I$5:$I$2736,$F195))</f>
        <v/>
      </c>
    </row>
    <row r="196" customFormat="false" ht="15" hidden="false" customHeight="false" outlineLevel="0" collapsed="false">
      <c r="A196" s="12" t="n">
        <v>193</v>
      </c>
      <c r="B196" s="8" t="s">
        <v>2108</v>
      </c>
      <c r="C196" s="8" t="s">
        <v>2109</v>
      </c>
      <c r="D196" s="11" t="n">
        <v>0.00682905092592593</v>
      </c>
      <c r="E196" s="39" t="n">
        <f aca="false">ROUND((D196-$D$5)*86400,2)</f>
        <v>51.01</v>
      </c>
      <c r="F196" s="12" t="n">
        <v>1344</v>
      </c>
      <c r="G196" s="11" t="str">
        <f aca="false">IF(INDEX(選手一覧!$D$5:$D$2736,$F196)="","",INDEX(選手一覧!$D$5:$D$2736,$F196))</f>
        <v/>
      </c>
      <c r="H196" s="12" t="str">
        <f aca="false">IF(INDEX(選手一覧!$E$5:$E$2736,$F196)="","",INDEX(選手一覧!$E$5:$E$2736,$F196))</f>
        <v/>
      </c>
      <c r="I196" s="11" t="n">
        <f aca="false">IF(INDEX(選手一覧!$H$5:$H$2736,$F196)="","",INDEX(選手一覧!$H$5:$H$2736,$F196))</f>
        <v>0.00291747685185185</v>
      </c>
      <c r="J196" s="12" t="n">
        <f aca="false">IF(INDEX(選手一覧!$I$5:$I$2736,$F196)="","",INDEX(選手一覧!$I$5:$I$2736,$F196))</f>
        <v>1070</v>
      </c>
    </row>
    <row r="197" customFormat="false" ht="15" hidden="false" customHeight="false" outlineLevel="0" collapsed="false">
      <c r="A197" s="12" t="n">
        <v>194</v>
      </c>
      <c r="B197" s="8" t="s">
        <v>1016</v>
      </c>
      <c r="C197" s="8" t="s">
        <v>54</v>
      </c>
      <c r="D197" s="11" t="n">
        <v>0.00683229166666667</v>
      </c>
      <c r="E197" s="39" t="n">
        <f aca="false">ROUND((D197-$D$5)*86400,2)</f>
        <v>51.29</v>
      </c>
      <c r="F197" s="12" t="n">
        <v>592</v>
      </c>
      <c r="G197" s="11" t="n">
        <f aca="false">IF(INDEX(選手一覧!$D$5:$D$2736,$F197)="","",INDEX(選手一覧!$D$5:$D$2736,$F197))</f>
        <v>0.0107074074074074</v>
      </c>
      <c r="H197" s="12" t="n">
        <f aca="false">IF(INDEX(選手一覧!$E$5:$E$2736,$F197)="","",INDEX(選手一覧!$E$5:$E$2736,$F197))</f>
        <v>593</v>
      </c>
      <c r="I197" s="11" t="str">
        <f aca="false">IF(INDEX(選手一覧!$H$5:$H$2736,$F197)="","",INDEX(選手一覧!$H$5:$H$2736,$F197))</f>
        <v/>
      </c>
      <c r="J197" s="12" t="str">
        <f aca="false">IF(INDEX(選手一覧!$I$5:$I$2736,$F197)="","",INDEX(選手一覧!$I$5:$I$2736,$F197))</f>
        <v/>
      </c>
    </row>
    <row r="198" customFormat="false" ht="15" hidden="false" customHeight="false" outlineLevel="0" collapsed="false">
      <c r="A198" s="12" t="n">
        <v>195</v>
      </c>
      <c r="B198" s="8" t="s">
        <v>1663</v>
      </c>
      <c r="C198" s="8" t="s">
        <v>496</v>
      </c>
      <c r="D198" s="11" t="n">
        <v>0.0068337962962963</v>
      </c>
      <c r="E198" s="39" t="n">
        <f aca="false">ROUND((D198-$D$5)*86400,2)</f>
        <v>51.42</v>
      </c>
      <c r="F198" s="12" t="n">
        <v>1029</v>
      </c>
      <c r="G198" s="11" t="n">
        <f aca="false">IF(INDEX(選手一覧!$D$5:$D$2736,$F198)="","",INDEX(選手一覧!$D$5:$D$2736,$F198))</f>
        <v>0.0109677083333333</v>
      </c>
      <c r="H198" s="12" t="n">
        <f aca="false">IF(INDEX(選手一覧!$E$5:$E$2736,$F198)="","",INDEX(選手一覧!$E$5:$E$2736,$F198))</f>
        <v>1030</v>
      </c>
      <c r="I198" s="11" t="str">
        <f aca="false">IF(INDEX(選手一覧!$H$5:$H$2736,$F198)="","",INDEX(選手一覧!$H$5:$H$2736,$F198))</f>
        <v/>
      </c>
      <c r="J198" s="12" t="str">
        <f aca="false">IF(INDEX(選手一覧!$I$5:$I$2736,$F198)="","",INDEX(選手一覧!$I$5:$I$2736,$F198))</f>
        <v/>
      </c>
    </row>
    <row r="199" customFormat="false" ht="15" hidden="false" customHeight="false" outlineLevel="0" collapsed="false">
      <c r="A199" s="12" t="n">
        <v>196</v>
      </c>
      <c r="B199" s="8" t="s">
        <v>913</v>
      </c>
      <c r="C199" s="8" t="s">
        <v>554</v>
      </c>
      <c r="D199" s="11" t="n">
        <v>0.006834375</v>
      </c>
      <c r="E199" s="39" t="n">
        <f aca="false">ROUND((D199-$D$5)*86400,2)</f>
        <v>51.47</v>
      </c>
      <c r="F199" s="12" t="n">
        <v>524</v>
      </c>
      <c r="G199" s="11" t="n">
        <f aca="false">IF(INDEX(選手一覧!$D$5:$D$2736,$F199)="","",INDEX(選手一覧!$D$5:$D$2736,$F199))</f>
        <v>0.0106498842592593</v>
      </c>
      <c r="H199" s="12" t="n">
        <f aca="false">IF(INDEX(選手一覧!$E$5:$E$2736,$F199)="","",INDEX(選手一覧!$E$5:$E$2736,$F199))</f>
        <v>525</v>
      </c>
      <c r="I199" s="11" t="n">
        <f aca="false">IF(INDEX(選手一覧!$H$5:$H$2736,$F199)="","",INDEX(選手一覧!$H$5:$H$2736,$F199))</f>
        <v>0.00289097222222222</v>
      </c>
      <c r="J199" s="12" t="n">
        <f aca="false">IF(INDEX(選手一覧!$I$5:$I$2736,$F199)="","",INDEX(選手一覧!$I$5:$I$2736,$F199))</f>
        <v>875</v>
      </c>
    </row>
    <row r="200" customFormat="false" ht="15" hidden="false" customHeight="false" outlineLevel="0" collapsed="false">
      <c r="A200" s="12" t="n">
        <v>197</v>
      </c>
      <c r="B200" s="8" t="s">
        <v>985</v>
      </c>
      <c r="C200" s="8" t="s">
        <v>309</v>
      </c>
      <c r="D200" s="11" t="n">
        <v>0.00684027777777778</v>
      </c>
      <c r="E200" s="39" t="n">
        <f aca="false">ROUND((D200-$D$5)*86400,2)</f>
        <v>51.98</v>
      </c>
      <c r="F200" s="12" t="n">
        <v>571</v>
      </c>
      <c r="G200" s="11" t="n">
        <f aca="false">IF(INDEX(選手一覧!$D$5:$D$2736,$F200)="","",INDEX(選手一覧!$D$5:$D$2736,$F200))</f>
        <v>0.0106954861111111</v>
      </c>
      <c r="H200" s="12" t="n">
        <f aca="false">IF(INDEX(選手一覧!$E$5:$E$2736,$F200)="","",INDEX(選手一覧!$E$5:$E$2736,$F200))</f>
        <v>572</v>
      </c>
      <c r="I200" s="11" t="str">
        <f aca="false">IF(INDEX(選手一覧!$H$5:$H$2736,$F200)="","",INDEX(選手一覧!$H$5:$H$2736,$F200))</f>
        <v/>
      </c>
      <c r="J200" s="12" t="str">
        <f aca="false">IF(INDEX(選手一覧!$I$5:$I$2736,$F200)="","",INDEX(選手一覧!$I$5:$I$2736,$F200))</f>
        <v/>
      </c>
    </row>
    <row r="201" customFormat="false" ht="15" hidden="false" customHeight="false" outlineLevel="0" collapsed="false">
      <c r="A201" s="12" t="n">
        <v>198</v>
      </c>
      <c r="B201" s="8" t="s">
        <v>2114</v>
      </c>
      <c r="C201" s="8" t="s">
        <v>278</v>
      </c>
      <c r="D201" s="11" t="n">
        <v>0.00684363425925926</v>
      </c>
      <c r="E201" s="39" t="n">
        <f aca="false">ROUND((D201-$D$5)*86400,2)</f>
        <v>52.27</v>
      </c>
      <c r="F201" s="12" t="n">
        <v>1347</v>
      </c>
      <c r="G201" s="11" t="str">
        <f aca="false">IF(INDEX(選手一覧!$D$5:$D$2736,$F201)="","",INDEX(選手一覧!$D$5:$D$2736,$F201))</f>
        <v/>
      </c>
      <c r="H201" s="12" t="str">
        <f aca="false">IF(INDEX(選手一覧!$E$5:$E$2736,$F201)="","",INDEX(選手一覧!$E$5:$E$2736,$F201))</f>
        <v/>
      </c>
      <c r="I201" s="11" t="str">
        <f aca="false">IF(INDEX(選手一覧!$H$5:$H$2736,$F201)="","",INDEX(選手一覧!$H$5:$H$2736,$F201))</f>
        <v/>
      </c>
      <c r="J201" s="12" t="str">
        <f aca="false">IF(INDEX(選手一覧!$I$5:$I$2736,$F201)="","",INDEX(選手一覧!$I$5:$I$2736,$F201))</f>
        <v/>
      </c>
    </row>
    <row r="202" customFormat="false" ht="15" hidden="false" customHeight="false" outlineLevel="0" collapsed="false">
      <c r="A202" s="12" t="n">
        <v>199</v>
      </c>
      <c r="B202" s="8" t="s">
        <v>2115</v>
      </c>
      <c r="C202" s="8" t="s">
        <v>281</v>
      </c>
      <c r="D202" s="11" t="n">
        <v>0.00684398148148148</v>
      </c>
      <c r="E202" s="39" t="n">
        <f aca="false">ROUND((D202-$D$5)*86400,2)</f>
        <v>52.3</v>
      </c>
      <c r="F202" s="12" t="n">
        <v>1348</v>
      </c>
      <c r="G202" s="11" t="str">
        <f aca="false">IF(INDEX(選手一覧!$D$5:$D$2736,$F202)="","",INDEX(選手一覧!$D$5:$D$2736,$F202))</f>
        <v/>
      </c>
      <c r="H202" s="12" t="str">
        <f aca="false">IF(INDEX(選手一覧!$E$5:$E$2736,$F202)="","",INDEX(選手一覧!$E$5:$E$2736,$F202))</f>
        <v/>
      </c>
      <c r="I202" s="11" t="str">
        <f aca="false">IF(INDEX(選手一覧!$H$5:$H$2736,$F202)="","",INDEX(選手一覧!$H$5:$H$2736,$F202))</f>
        <v/>
      </c>
      <c r="J202" s="12" t="str">
        <f aca="false">IF(INDEX(選手一覧!$I$5:$I$2736,$F202)="","",INDEX(選手一覧!$I$5:$I$2736,$F202))</f>
        <v/>
      </c>
    </row>
    <row r="203" customFormat="false" ht="15" hidden="false" customHeight="false" outlineLevel="0" collapsed="false">
      <c r="A203" s="12" t="n">
        <v>200</v>
      </c>
      <c r="B203" s="8" t="s">
        <v>1391</v>
      </c>
      <c r="C203" s="8" t="s">
        <v>1392</v>
      </c>
      <c r="D203" s="11" t="n">
        <v>0.00684479166666667</v>
      </c>
      <c r="E203" s="39" t="n">
        <f aca="false">ROUND((D203-$D$5)*86400,2)</f>
        <v>52.37</v>
      </c>
      <c r="F203" s="12" t="n">
        <v>846</v>
      </c>
      <c r="G203" s="11" t="n">
        <f aca="false">IF(INDEX(選手一覧!$D$5:$D$2736,$F203)="","",INDEX(選手一覧!$D$5:$D$2736,$F203))</f>
        <v>0.0108596064814815</v>
      </c>
      <c r="H203" s="12" t="n">
        <f aca="false">IF(INDEX(選手一覧!$E$5:$E$2736,$F203)="","",INDEX(選手一覧!$E$5:$E$2736,$F203))</f>
        <v>847</v>
      </c>
      <c r="I203" s="11" t="n">
        <f aca="false">IF(INDEX(選手一覧!$H$5:$H$2736,$F203)="","",INDEX(選手一覧!$H$5:$H$2736,$F203))</f>
        <v>0.00286238425925926</v>
      </c>
      <c r="J203" s="12" t="n">
        <f aca="false">IF(INDEX(選手一覧!$I$5:$I$2736,$F203)="","",INDEX(選手一覧!$I$5:$I$2736,$F203))</f>
        <v>650</v>
      </c>
    </row>
    <row r="204" customFormat="false" ht="15" hidden="false" customHeight="false" outlineLevel="0" collapsed="false">
      <c r="A204" s="12" t="n">
        <v>201</v>
      </c>
      <c r="B204" s="8" t="s">
        <v>1180</v>
      </c>
      <c r="C204" s="8" t="s">
        <v>1181</v>
      </c>
      <c r="D204" s="11" t="n">
        <v>0.00684710648148148</v>
      </c>
      <c r="E204" s="39" t="n">
        <f aca="false">ROUND((D204-$D$5)*86400,2)</f>
        <v>52.57</v>
      </c>
      <c r="F204" s="12" t="n">
        <v>705</v>
      </c>
      <c r="G204" s="11" t="n">
        <f aca="false">IF(INDEX(選手一覧!$D$5:$D$2736,$F204)="","",INDEX(選手一覧!$D$5:$D$2736,$F204))</f>
        <v>0.0107795138888889</v>
      </c>
      <c r="H204" s="12" t="n">
        <f aca="false">IF(INDEX(選手一覧!$E$5:$E$2736,$F204)="","",INDEX(選手一覧!$E$5:$E$2736,$F204))</f>
        <v>706</v>
      </c>
      <c r="I204" s="11" t="n">
        <f aca="false">IF(INDEX(選手一覧!$H$5:$H$2736,$F204)="","",INDEX(選手一覧!$H$5:$H$2736,$F204))</f>
        <v>0.00284722222222222</v>
      </c>
      <c r="J204" s="12" t="n">
        <f aca="false">IF(INDEX(選手一覧!$I$5:$I$2736,$F204)="","",INDEX(選手一覧!$I$5:$I$2736,$F204))</f>
        <v>552</v>
      </c>
    </row>
    <row r="205" customFormat="false" ht="15" hidden="false" customHeight="false" outlineLevel="0" collapsed="false">
      <c r="A205" s="12" t="n">
        <v>202</v>
      </c>
      <c r="B205" s="8" t="s">
        <v>2116</v>
      </c>
      <c r="C205" s="8" t="s">
        <v>2117</v>
      </c>
      <c r="D205" s="11" t="n">
        <v>0.00684768518518519</v>
      </c>
      <c r="E205" s="39" t="n">
        <f aca="false">ROUND((D205-$D$5)*86400,2)</f>
        <v>52.62</v>
      </c>
      <c r="F205" s="12" t="n">
        <v>1349</v>
      </c>
      <c r="G205" s="11" t="str">
        <f aca="false">IF(INDEX(選手一覧!$D$5:$D$2736,$F205)="","",INDEX(選手一覧!$D$5:$D$2736,$F205))</f>
        <v/>
      </c>
      <c r="H205" s="12" t="str">
        <f aca="false">IF(INDEX(選手一覧!$E$5:$E$2736,$F205)="","",INDEX(選手一覧!$E$5:$E$2736,$F205))</f>
        <v/>
      </c>
      <c r="I205" s="11" t="str">
        <f aca="false">IF(INDEX(選手一覧!$H$5:$H$2736,$F205)="","",INDEX(選手一覧!$H$5:$H$2736,$F205))</f>
        <v/>
      </c>
      <c r="J205" s="12" t="str">
        <f aca="false">IF(INDEX(選手一覧!$I$5:$I$2736,$F205)="","",INDEX(選手一覧!$I$5:$I$2736,$F205))</f>
        <v/>
      </c>
    </row>
    <row r="206" customFormat="false" ht="15" hidden="false" customHeight="false" outlineLevel="0" collapsed="false">
      <c r="A206" s="12" t="n">
        <v>203</v>
      </c>
      <c r="B206" s="8" t="s">
        <v>1412</v>
      </c>
      <c r="C206" s="8" t="s">
        <v>1413</v>
      </c>
      <c r="D206" s="11" t="n">
        <v>0.00684953703703704</v>
      </c>
      <c r="E206" s="39" t="n">
        <f aca="false">ROUND((D206-$D$5)*86400,2)</f>
        <v>52.78</v>
      </c>
      <c r="F206" s="12" t="n">
        <v>859</v>
      </c>
      <c r="G206" s="11" t="n">
        <f aca="false">IF(INDEX(選手一覧!$D$5:$D$2736,$F206)="","",INDEX(選手一覧!$D$5:$D$2736,$F206))</f>
        <v>0.0108645833333333</v>
      </c>
      <c r="H206" s="12" t="n">
        <f aca="false">IF(INDEX(選手一覧!$E$5:$E$2736,$F206)="","",INDEX(選手一覧!$E$5:$E$2736,$F206))</f>
        <v>860</v>
      </c>
      <c r="I206" s="11" t="n">
        <f aca="false">IF(INDEX(選手一覧!$H$5:$H$2736,$F206)="","",INDEX(選手一覧!$H$5:$H$2736,$F206))</f>
        <v>0.00284097222222222</v>
      </c>
      <c r="J206" s="12" t="n">
        <f aca="false">IF(INDEX(選手一覧!$I$5:$I$2736,$F206)="","",INDEX(選手一覧!$I$5:$I$2736,$F206))</f>
        <v>506</v>
      </c>
    </row>
    <row r="207" customFormat="false" ht="15" hidden="false" customHeight="false" outlineLevel="0" collapsed="false">
      <c r="A207" s="12" t="n">
        <v>204</v>
      </c>
      <c r="B207" s="8" t="s">
        <v>2119</v>
      </c>
      <c r="C207" s="8" t="s">
        <v>1159</v>
      </c>
      <c r="D207" s="11" t="n">
        <v>0.00685393518518518</v>
      </c>
      <c r="E207" s="39" t="n">
        <f aca="false">ROUND((D207-$D$5)*86400,2)</f>
        <v>53.16</v>
      </c>
      <c r="F207" s="12" t="n">
        <v>1350</v>
      </c>
      <c r="G207" s="11" t="str">
        <f aca="false">IF(INDEX(選手一覧!$D$5:$D$2736,$F207)="","",INDEX(選手一覧!$D$5:$D$2736,$F207))</f>
        <v/>
      </c>
      <c r="H207" s="12" t="str">
        <f aca="false">IF(INDEX(選手一覧!$E$5:$E$2736,$F207)="","",INDEX(選手一覧!$E$5:$E$2736,$F207))</f>
        <v/>
      </c>
      <c r="I207" s="11" t="str">
        <f aca="false">IF(INDEX(選手一覧!$H$5:$H$2736,$F207)="","",INDEX(選手一覧!$H$5:$H$2736,$F207))</f>
        <v/>
      </c>
      <c r="J207" s="12" t="str">
        <f aca="false">IF(INDEX(選手一覧!$I$5:$I$2736,$F207)="","",INDEX(選手一覧!$I$5:$I$2736,$F207))</f>
        <v/>
      </c>
    </row>
    <row r="208" customFormat="false" ht="15" hidden="false" customHeight="false" outlineLevel="0" collapsed="false">
      <c r="A208" s="12" t="n">
        <v>205</v>
      </c>
      <c r="B208" s="8" t="s">
        <v>1746</v>
      </c>
      <c r="C208" s="8" t="s">
        <v>839</v>
      </c>
      <c r="D208" s="11" t="n">
        <v>0.0068556712962963</v>
      </c>
      <c r="E208" s="39" t="n">
        <f aca="false">ROUND((D208-$D$5)*86400,2)</f>
        <v>53.31</v>
      </c>
      <c r="F208" s="12" t="n">
        <v>1084</v>
      </c>
      <c r="G208" s="11" t="n">
        <f aca="false">IF(INDEX(選手一覧!$D$5:$D$2736,$F208)="","",INDEX(選手一覧!$D$5:$D$2736,$F208))</f>
        <v>0.0109927083333333</v>
      </c>
      <c r="H208" s="12" t="n">
        <f aca="false">IF(INDEX(選手一覧!$E$5:$E$2736,$F208)="","",INDEX(選手一覧!$E$5:$E$2736,$F208))</f>
        <v>1085</v>
      </c>
      <c r="I208" s="11" t="str">
        <f aca="false">IF(INDEX(選手一覧!$H$5:$H$2736,$F208)="","",INDEX(選手一覧!$H$5:$H$2736,$F208))</f>
        <v/>
      </c>
      <c r="J208" s="12" t="str">
        <f aca="false">IF(INDEX(選手一覧!$I$5:$I$2736,$F208)="","",INDEX(選手一覧!$I$5:$I$2736,$F208))</f>
        <v/>
      </c>
    </row>
    <row r="209" customFormat="false" ht="15" hidden="false" customHeight="false" outlineLevel="0" collapsed="false">
      <c r="A209" s="12" t="n">
        <v>206</v>
      </c>
      <c r="B209" s="8" t="s">
        <v>1366</v>
      </c>
      <c r="C209" s="8" t="s">
        <v>160</v>
      </c>
      <c r="D209" s="11" t="n">
        <v>0.00685613425925926</v>
      </c>
      <c r="E209" s="39" t="n">
        <f aca="false">ROUND((D209-$D$5)*86400,2)</f>
        <v>53.35</v>
      </c>
      <c r="F209" s="12" t="n">
        <v>829</v>
      </c>
      <c r="G209" s="11" t="n">
        <f aca="false">IF(INDEX(選手一覧!$D$5:$D$2736,$F209)="","",INDEX(選手一覧!$D$5:$D$2736,$F209))</f>
        <v>0.0108479166666667</v>
      </c>
      <c r="H209" s="12" t="n">
        <f aca="false">IF(INDEX(選手一覧!$E$5:$E$2736,$F209)="","",INDEX(選手一覧!$E$5:$E$2736,$F209))</f>
        <v>830</v>
      </c>
      <c r="I209" s="11" t="n">
        <f aca="false">IF(INDEX(選手一覧!$H$5:$H$2736,$F209)="","",INDEX(選手一覧!$H$5:$H$2736,$F209))</f>
        <v>0.00282800925925926</v>
      </c>
      <c r="J209" s="12" t="n">
        <f aca="false">IF(INDEX(選手一覧!$I$5:$I$2736,$F209)="","",INDEX(選手一覧!$I$5:$I$2736,$F209))</f>
        <v>410</v>
      </c>
    </row>
    <row r="210" customFormat="false" ht="15" hidden="false" customHeight="false" outlineLevel="0" collapsed="false">
      <c r="A210" s="12" t="n">
        <v>207</v>
      </c>
      <c r="B210" s="8" t="s">
        <v>1400</v>
      </c>
      <c r="C210" s="8" t="s">
        <v>408</v>
      </c>
      <c r="D210" s="11" t="n">
        <v>0.00685671296296296</v>
      </c>
      <c r="E210" s="39" t="n">
        <f aca="false">ROUND((D210-$D$5)*86400,2)</f>
        <v>53.4</v>
      </c>
      <c r="F210" s="12" t="n">
        <v>852</v>
      </c>
      <c r="G210" s="11" t="n">
        <f aca="false">IF(INDEX(選手一覧!$D$5:$D$2736,$F210)="","",INDEX(選手一覧!$D$5:$D$2736,$F210))</f>
        <v>0.0108614583333333</v>
      </c>
      <c r="H210" s="12" t="n">
        <f aca="false">IF(INDEX(選手一覧!$E$5:$E$2736,$F210)="","",INDEX(選手一覧!$E$5:$E$2736,$F210))</f>
        <v>853</v>
      </c>
      <c r="I210" s="11" t="str">
        <f aca="false">IF(INDEX(選手一覧!$H$5:$H$2736,$F210)="","",INDEX(選手一覧!$H$5:$H$2736,$F210))</f>
        <v/>
      </c>
      <c r="J210" s="12" t="str">
        <f aca="false">IF(INDEX(選手一覧!$I$5:$I$2736,$F210)="","",INDEX(選手一覧!$I$5:$I$2736,$F210))</f>
        <v/>
      </c>
    </row>
    <row r="211" customFormat="false" ht="15" hidden="false" customHeight="false" outlineLevel="0" collapsed="false">
      <c r="A211" s="12" t="n">
        <v>208</v>
      </c>
      <c r="B211" s="8" t="s">
        <v>2123</v>
      </c>
      <c r="C211" s="8" t="s">
        <v>2124</v>
      </c>
      <c r="D211" s="11" t="n">
        <v>0.00685810185185185</v>
      </c>
      <c r="E211" s="39" t="n">
        <f aca="false">ROUND((D211-$D$5)*86400,2)</f>
        <v>53.52</v>
      </c>
      <c r="F211" s="12" t="n">
        <v>1352</v>
      </c>
      <c r="G211" s="11" t="str">
        <f aca="false">IF(INDEX(選手一覧!$D$5:$D$2736,$F211)="","",INDEX(選手一覧!$D$5:$D$2736,$F211))</f>
        <v/>
      </c>
      <c r="H211" s="12" t="str">
        <f aca="false">IF(INDEX(選手一覧!$E$5:$E$2736,$F211)="","",INDEX(選手一覧!$E$5:$E$2736,$F211))</f>
        <v/>
      </c>
      <c r="I211" s="11" t="str">
        <f aca="false">IF(INDEX(選手一覧!$H$5:$H$2736,$F211)="","",INDEX(選手一覧!$H$5:$H$2736,$F211))</f>
        <v/>
      </c>
      <c r="J211" s="12" t="str">
        <f aca="false">IF(INDEX(選手一覧!$I$5:$I$2736,$F211)="","",INDEX(選手一覧!$I$5:$I$2736,$F211))</f>
        <v/>
      </c>
    </row>
    <row r="212" customFormat="false" ht="15" hidden="false" customHeight="false" outlineLevel="0" collapsed="false">
      <c r="A212" s="12" t="n">
        <v>209</v>
      </c>
      <c r="B212" s="8" t="s">
        <v>1522</v>
      </c>
      <c r="C212" s="8" t="s">
        <v>903</v>
      </c>
      <c r="D212" s="11" t="n">
        <v>0.00685810185185185</v>
      </c>
      <c r="E212" s="39" t="n">
        <f aca="false">ROUND((D212-$D$5)*86400,2)</f>
        <v>53.52</v>
      </c>
      <c r="F212" s="12" t="n">
        <v>930</v>
      </c>
      <c r="G212" s="11" t="n">
        <f aca="false">IF(INDEX(選手一覧!$D$5:$D$2736,$F212)="","",INDEX(選手一覧!$D$5:$D$2736,$F212))</f>
        <v>0.0109069444444444</v>
      </c>
      <c r="H212" s="12" t="n">
        <f aca="false">IF(INDEX(選手一覧!$E$5:$E$2736,$F212)="","",INDEX(選手一覧!$E$5:$E$2736,$F212))</f>
        <v>931</v>
      </c>
      <c r="I212" s="11" t="n">
        <f aca="false">IF(INDEX(選手一覧!$H$5:$H$2736,$F212)="","",INDEX(選手一覧!$H$5:$H$2736,$F212))</f>
        <v>0.00278680555555556</v>
      </c>
      <c r="J212" s="12" t="n">
        <f aca="false">IF(INDEX(選手一覧!$I$5:$I$2736,$F212)="","",INDEX(選手一覧!$I$5:$I$2736,$F212))</f>
        <v>229</v>
      </c>
    </row>
    <row r="213" customFormat="false" ht="15" hidden="false" customHeight="false" outlineLevel="0" collapsed="false">
      <c r="A213" s="12" t="n">
        <v>210</v>
      </c>
      <c r="B213" s="8" t="s">
        <v>1354</v>
      </c>
      <c r="C213" s="8" t="s">
        <v>552</v>
      </c>
      <c r="D213" s="11" t="n">
        <v>0.00686076388888889</v>
      </c>
      <c r="E213" s="39" t="n">
        <f aca="false">ROUND((D213-$D$5)*86400,2)</f>
        <v>53.75</v>
      </c>
      <c r="F213" s="12" t="n">
        <v>822</v>
      </c>
      <c r="G213" s="11" t="n">
        <f aca="false">IF(INDEX(選手一覧!$D$5:$D$2736,$F213)="","",INDEX(選手一覧!$D$5:$D$2736,$F213))</f>
        <v>0.0108439814814815</v>
      </c>
      <c r="H213" s="12" t="n">
        <f aca="false">IF(INDEX(選手一覧!$E$5:$E$2736,$F213)="","",INDEX(選手一覧!$E$5:$E$2736,$F213))</f>
        <v>823</v>
      </c>
      <c r="I213" s="11" t="n">
        <f aca="false">IF(INDEX(選手一覧!$H$5:$H$2736,$F213)="","",INDEX(選手一覧!$H$5:$H$2736,$F213))</f>
        <v>0.00279305555555556</v>
      </c>
      <c r="J213" s="12" t="n">
        <f aca="false">IF(INDEX(選手一覧!$I$5:$I$2736,$F213)="","",INDEX(選手一覧!$I$5:$I$2736,$F213))</f>
        <v>250</v>
      </c>
    </row>
    <row r="214" customFormat="false" ht="15" hidden="false" customHeight="false" outlineLevel="0" collapsed="false">
      <c r="A214" s="12" t="n">
        <v>211</v>
      </c>
      <c r="B214" s="8" t="s">
        <v>506</v>
      </c>
      <c r="C214" s="8" t="s">
        <v>16</v>
      </c>
      <c r="D214" s="11" t="n">
        <v>0.00686087962962963</v>
      </c>
      <c r="E214" s="39" t="n">
        <f aca="false">ROUND((D214-$D$5)*86400,2)</f>
        <v>53.76</v>
      </c>
      <c r="F214" s="12" t="n">
        <v>269</v>
      </c>
      <c r="G214" s="11" t="n">
        <f aca="false">IF(INDEX(選手一覧!$D$5:$D$2736,$F214)="","",INDEX(選手一覧!$D$5:$D$2736,$F214))</f>
        <v>0.01040625</v>
      </c>
      <c r="H214" s="12" t="n">
        <f aca="false">IF(INDEX(選手一覧!$E$5:$E$2736,$F214)="","",INDEX(選手一覧!$E$5:$E$2736,$F214))</f>
        <v>270</v>
      </c>
      <c r="I214" s="11" t="n">
        <f aca="false">IF(INDEX(選手一覧!$H$5:$H$2736,$F214)="","",INDEX(選手一覧!$H$5:$H$2736,$F214))</f>
        <v>0.00291875</v>
      </c>
      <c r="J214" s="12" t="n">
        <f aca="false">IF(INDEX(選手一覧!$I$5:$I$2736,$F214)="","",INDEX(選手一覧!$I$5:$I$2736,$F214))</f>
        <v>1080</v>
      </c>
    </row>
    <row r="215" customFormat="false" ht="15" hidden="false" customHeight="false" outlineLevel="0" collapsed="false">
      <c r="A215" s="12" t="n">
        <v>212</v>
      </c>
      <c r="B215" s="8" t="s">
        <v>669</v>
      </c>
      <c r="C215" s="8" t="s">
        <v>108</v>
      </c>
      <c r="D215" s="11" t="n">
        <v>0.0068619212962963</v>
      </c>
      <c r="E215" s="39" t="n">
        <f aca="false">ROUND((D215-$D$5)*86400,2)</f>
        <v>53.85</v>
      </c>
      <c r="F215" s="12" t="n">
        <v>371</v>
      </c>
      <c r="G215" s="11" t="n">
        <f aca="false">IF(INDEX(選手一覧!$D$5:$D$2736,$F215)="","",INDEX(選手一覧!$D$5:$D$2736,$F215))</f>
        <v>0.0105300925925926</v>
      </c>
      <c r="H215" s="12" t="n">
        <f aca="false">IF(INDEX(選手一覧!$E$5:$E$2736,$F215)="","",INDEX(選手一覧!$E$5:$E$2736,$F215))</f>
        <v>372</v>
      </c>
      <c r="I215" s="11" t="n">
        <f aca="false">IF(INDEX(選手一覧!$H$5:$H$2736,$F215)="","",INDEX(選手一覧!$H$5:$H$2736,$F215))</f>
        <v>0.00280393518518519</v>
      </c>
      <c r="J215" s="12" t="n">
        <f aca="false">IF(INDEX(選手一覧!$I$5:$I$2736,$F215)="","",INDEX(選手一覧!$I$5:$I$2736,$F215))</f>
        <v>299</v>
      </c>
    </row>
    <row r="216" customFormat="false" ht="15" hidden="false" customHeight="false" outlineLevel="0" collapsed="false">
      <c r="A216" s="12" t="n">
        <v>213</v>
      </c>
      <c r="B216" s="8" t="s">
        <v>2126</v>
      </c>
      <c r="C216" s="8" t="s">
        <v>2127</v>
      </c>
      <c r="D216" s="11" t="n">
        <v>0.00686296296296296</v>
      </c>
      <c r="E216" s="39" t="n">
        <f aca="false">ROUND((D216-$D$5)*86400,2)</f>
        <v>53.94</v>
      </c>
      <c r="F216" s="12" t="n">
        <v>1354</v>
      </c>
      <c r="G216" s="11" t="str">
        <f aca="false">IF(INDEX(選手一覧!$D$5:$D$2736,$F216)="","",INDEX(選手一覧!$D$5:$D$2736,$F216))</f>
        <v/>
      </c>
      <c r="H216" s="12" t="str">
        <f aca="false">IF(INDEX(選手一覧!$E$5:$E$2736,$F216)="","",INDEX(選手一覧!$E$5:$E$2736,$F216))</f>
        <v/>
      </c>
      <c r="I216" s="11" t="str">
        <f aca="false">IF(INDEX(選手一覧!$H$5:$H$2736,$F216)="","",INDEX(選手一覧!$H$5:$H$2736,$F216))</f>
        <v/>
      </c>
      <c r="J216" s="12" t="str">
        <f aca="false">IF(INDEX(選手一覧!$I$5:$I$2736,$F216)="","",INDEX(選手一覧!$I$5:$I$2736,$F216))</f>
        <v/>
      </c>
    </row>
    <row r="217" customFormat="false" ht="15" hidden="false" customHeight="false" outlineLevel="0" collapsed="false">
      <c r="A217" s="12" t="n">
        <v>214</v>
      </c>
      <c r="B217" s="8" t="s">
        <v>947</v>
      </c>
      <c r="C217" s="8" t="s">
        <v>530</v>
      </c>
      <c r="D217" s="11" t="n">
        <v>0.0068630787037037</v>
      </c>
      <c r="E217" s="39" t="n">
        <f aca="false">ROUND((D217-$D$5)*86400,2)</f>
        <v>53.95</v>
      </c>
      <c r="F217" s="12" t="n">
        <v>544</v>
      </c>
      <c r="G217" s="11" t="n">
        <f aca="false">IF(INDEX(選手一覧!$D$5:$D$2736,$F217)="","",INDEX(選手一覧!$D$5:$D$2736,$F217))</f>
        <v>0.0106689814814815</v>
      </c>
      <c r="H217" s="12" t="n">
        <f aca="false">IF(INDEX(選手一覧!$E$5:$E$2736,$F217)="","",INDEX(選手一覧!$E$5:$E$2736,$F217))</f>
        <v>545</v>
      </c>
      <c r="I217" s="11" t="n">
        <f aca="false">IF(INDEX(選手一覧!$H$5:$H$2736,$F217)="","",INDEX(選手一覧!$H$5:$H$2736,$F217))</f>
        <v>0.0028525462962963</v>
      </c>
      <c r="J217" s="12" t="n">
        <f aca="false">IF(INDEX(選手一覧!$I$5:$I$2736,$F217)="","",INDEX(選手一覧!$I$5:$I$2736,$F217))</f>
        <v>583</v>
      </c>
    </row>
    <row r="218" customFormat="false" ht="15" hidden="false" customHeight="false" outlineLevel="0" collapsed="false">
      <c r="A218" s="12" t="n">
        <v>215</v>
      </c>
      <c r="B218" s="8" t="s">
        <v>1932</v>
      </c>
      <c r="C218" s="8" t="s">
        <v>373</v>
      </c>
      <c r="D218" s="11" t="n">
        <v>0.00686655092592593</v>
      </c>
      <c r="E218" s="39" t="n">
        <f aca="false">ROUND((D218-$D$5)*86400,2)</f>
        <v>54.25</v>
      </c>
      <c r="F218" s="12" t="n">
        <v>1212</v>
      </c>
      <c r="G218" s="11" t="n">
        <f aca="false">IF(INDEX(選手一覧!$D$5:$D$2736,$F218)="","",INDEX(選手一覧!$D$5:$D$2736,$F218))</f>
        <v>0.0110579861111111</v>
      </c>
      <c r="H218" s="12" t="n">
        <f aca="false">IF(INDEX(選手一覧!$E$5:$E$2736,$F218)="","",INDEX(選手一覧!$E$5:$E$2736,$F218))</f>
        <v>1213</v>
      </c>
      <c r="I218" s="11" t="str">
        <f aca="false">IF(INDEX(選手一覧!$H$5:$H$2736,$F218)="","",INDEX(選手一覧!$H$5:$H$2736,$F218))</f>
        <v/>
      </c>
      <c r="J218" s="12" t="str">
        <f aca="false">IF(INDEX(選手一覧!$I$5:$I$2736,$F218)="","",INDEX(選手一覧!$I$5:$I$2736,$F218))</f>
        <v/>
      </c>
    </row>
    <row r="219" customFormat="false" ht="15" hidden="false" customHeight="false" outlineLevel="0" collapsed="false">
      <c r="A219" s="12" t="n">
        <v>216</v>
      </c>
      <c r="B219" s="8" t="s">
        <v>2128</v>
      </c>
      <c r="C219" s="8" t="s">
        <v>2129</v>
      </c>
      <c r="D219" s="11" t="n">
        <v>0.00686701388888889</v>
      </c>
      <c r="E219" s="39" t="n">
        <f aca="false">ROUND((D219-$D$5)*86400,2)</f>
        <v>54.29</v>
      </c>
      <c r="F219" s="12" t="n">
        <v>1355</v>
      </c>
      <c r="G219" s="11" t="str">
        <f aca="false">IF(INDEX(選手一覧!$D$5:$D$2736,$F219)="","",INDEX(選手一覧!$D$5:$D$2736,$F219))</f>
        <v/>
      </c>
      <c r="H219" s="12" t="str">
        <f aca="false">IF(INDEX(選手一覧!$E$5:$E$2736,$F219)="","",INDEX(選手一覧!$E$5:$E$2736,$F219))</f>
        <v/>
      </c>
      <c r="I219" s="11" t="str">
        <f aca="false">IF(INDEX(選手一覧!$H$5:$H$2736,$F219)="","",INDEX(選手一覧!$H$5:$H$2736,$F219))</f>
        <v/>
      </c>
      <c r="J219" s="12" t="str">
        <f aca="false">IF(INDEX(選手一覧!$I$5:$I$2736,$F219)="","",INDEX(選手一覧!$I$5:$I$2736,$F219))</f>
        <v/>
      </c>
    </row>
    <row r="220" customFormat="false" ht="15" hidden="false" customHeight="false" outlineLevel="0" collapsed="false">
      <c r="A220" s="12" t="n">
        <v>217</v>
      </c>
      <c r="B220" s="8" t="s">
        <v>2130</v>
      </c>
      <c r="C220" s="8" t="s">
        <v>2131</v>
      </c>
      <c r="D220" s="11" t="n">
        <v>0.00686840277777778</v>
      </c>
      <c r="E220" s="39" t="n">
        <f aca="false">ROUND((D220-$D$5)*86400,2)</f>
        <v>54.41</v>
      </c>
      <c r="F220" s="12" t="n">
        <v>1356</v>
      </c>
      <c r="G220" s="11" t="str">
        <f aca="false">IF(INDEX(選手一覧!$D$5:$D$2736,$F220)="","",INDEX(選手一覧!$D$5:$D$2736,$F220))</f>
        <v/>
      </c>
      <c r="H220" s="12" t="str">
        <f aca="false">IF(INDEX(選手一覧!$E$5:$E$2736,$F220)="","",INDEX(選手一覧!$E$5:$E$2736,$F220))</f>
        <v/>
      </c>
      <c r="I220" s="11" t="str">
        <f aca="false">IF(INDEX(選手一覧!$H$5:$H$2736,$F220)="","",INDEX(選手一覧!$H$5:$H$2736,$F220))</f>
        <v/>
      </c>
      <c r="J220" s="12" t="str">
        <f aca="false">IF(INDEX(選手一覧!$I$5:$I$2736,$F220)="","",INDEX(選手一覧!$I$5:$I$2736,$F220))</f>
        <v/>
      </c>
    </row>
    <row r="221" customFormat="false" ht="15" hidden="false" customHeight="false" outlineLevel="0" collapsed="false">
      <c r="A221" s="12" t="n">
        <v>218</v>
      </c>
      <c r="B221" s="8" t="s">
        <v>1920</v>
      </c>
      <c r="C221" s="8" t="s">
        <v>1921</v>
      </c>
      <c r="D221" s="11" t="n">
        <v>0.00686990740740741</v>
      </c>
      <c r="E221" s="39" t="n">
        <f aca="false">ROUND((D221-$D$5)*86400,2)</f>
        <v>54.54</v>
      </c>
      <c r="F221" s="12" t="n">
        <v>1205</v>
      </c>
      <c r="G221" s="11" t="n">
        <f aca="false">IF(INDEX(選手一覧!$D$5:$D$2736,$F221)="","",INDEX(選手一覧!$D$5:$D$2736,$F221))</f>
        <v>0.0110537037037037</v>
      </c>
      <c r="H221" s="12" t="n">
        <f aca="false">IF(INDEX(選手一覧!$E$5:$E$2736,$F221)="","",INDEX(選手一覧!$E$5:$E$2736,$F221))</f>
        <v>1206</v>
      </c>
      <c r="I221" s="11" t="str">
        <f aca="false">IF(INDEX(選手一覧!$H$5:$H$2736,$F221)="","",INDEX(選手一覧!$H$5:$H$2736,$F221))</f>
        <v/>
      </c>
      <c r="J221" s="12" t="str">
        <f aca="false">IF(INDEX(選手一覧!$I$5:$I$2736,$F221)="","",INDEX(選手一覧!$I$5:$I$2736,$F221))</f>
        <v/>
      </c>
    </row>
    <row r="222" customFormat="false" ht="15" hidden="false" customHeight="false" outlineLevel="0" collapsed="false">
      <c r="A222" s="12" t="n">
        <v>219</v>
      </c>
      <c r="B222" s="8" t="s">
        <v>829</v>
      </c>
      <c r="C222" s="8" t="s">
        <v>274</v>
      </c>
      <c r="D222" s="11" t="n">
        <v>0.0068724537037037</v>
      </c>
      <c r="E222" s="39" t="n">
        <f aca="false">ROUND((D222-$D$5)*86400,2)</f>
        <v>54.76</v>
      </c>
      <c r="F222" s="12" t="n">
        <v>474</v>
      </c>
      <c r="G222" s="11" t="n">
        <f aca="false">IF(INDEX(選手一覧!$D$5:$D$2736,$F222)="","",INDEX(選手一覧!$D$5:$D$2736,$F222))</f>
        <v>0.0106106481481482</v>
      </c>
      <c r="H222" s="12" t="n">
        <f aca="false">IF(INDEX(選手一覧!$E$5:$E$2736,$F222)="","",INDEX(選手一覧!$E$5:$E$2736,$F222))</f>
        <v>475</v>
      </c>
      <c r="I222" s="11" t="str">
        <f aca="false">IF(INDEX(選手一覧!$H$5:$H$2736,$F222)="","",INDEX(選手一覧!$H$5:$H$2736,$F222))</f>
        <v/>
      </c>
      <c r="J222" s="12" t="str">
        <f aca="false">IF(INDEX(選手一覧!$I$5:$I$2736,$F222)="","",INDEX(選手一覧!$I$5:$I$2736,$F222))</f>
        <v/>
      </c>
    </row>
    <row r="223" customFormat="false" ht="15" hidden="false" customHeight="false" outlineLevel="0" collapsed="false">
      <c r="A223" s="12" t="n">
        <v>220</v>
      </c>
      <c r="B223" s="8" t="s">
        <v>1530</v>
      </c>
      <c r="C223" s="8" t="s">
        <v>1531</v>
      </c>
      <c r="D223" s="11" t="n">
        <v>0.00687256944444444</v>
      </c>
      <c r="E223" s="39" t="n">
        <f aca="false">ROUND((D223-$D$5)*86400,2)</f>
        <v>54.77</v>
      </c>
      <c r="F223" s="12" t="n">
        <v>937</v>
      </c>
      <c r="G223" s="11" t="n">
        <f aca="false">IF(INDEX(選手一覧!$D$5:$D$2736,$F223)="","",INDEX(選手一覧!$D$5:$D$2736,$F223))</f>
        <v>0.0109100694444444</v>
      </c>
      <c r="H223" s="12" t="n">
        <f aca="false">IF(INDEX(選手一覧!$E$5:$E$2736,$F223)="","",INDEX(選手一覧!$E$5:$E$2736,$F223))</f>
        <v>938</v>
      </c>
      <c r="I223" s="11" t="n">
        <f aca="false">IF(INDEX(選手一覧!$H$5:$H$2736,$F223)="","",INDEX(選手一覧!$H$5:$H$2736,$F223))</f>
        <v>0.00297164351851852</v>
      </c>
      <c r="J223" s="12" t="n">
        <f aca="false">IF(INDEX(選手一覧!$I$5:$I$2736,$F223)="","",INDEX(選手一覧!$I$5:$I$2736,$F223))</f>
        <v>1316</v>
      </c>
    </row>
    <row r="224" customFormat="false" ht="15" hidden="false" customHeight="false" outlineLevel="0" collapsed="false">
      <c r="A224" s="12" t="n">
        <v>221</v>
      </c>
      <c r="B224" s="8" t="s">
        <v>880</v>
      </c>
      <c r="C224" s="8" t="s">
        <v>881</v>
      </c>
      <c r="D224" s="11" t="n">
        <v>0.00687268518518519</v>
      </c>
      <c r="E224" s="39" t="n">
        <f aca="false">ROUND((D224-$D$5)*86400,2)</f>
        <v>54.78</v>
      </c>
      <c r="F224" s="12" t="n">
        <v>504</v>
      </c>
      <c r="G224" s="11" t="n">
        <f aca="false">IF(INDEX(選手一覧!$D$5:$D$2736,$F224)="","",INDEX(選手一覧!$D$5:$D$2736,$F224))</f>
        <v>0.01063125</v>
      </c>
      <c r="H224" s="12" t="n">
        <f aca="false">IF(INDEX(選手一覧!$E$5:$E$2736,$F224)="","",INDEX(選手一覧!$E$5:$E$2736,$F224))</f>
        <v>505</v>
      </c>
      <c r="I224" s="11" t="n">
        <f aca="false">IF(INDEX(選手一覧!$H$5:$H$2736,$F224)="","",INDEX(選手一覧!$H$5:$H$2736,$F224))</f>
        <v>0.00285983796296296</v>
      </c>
      <c r="J224" s="12" t="n">
        <f aca="false">IF(INDEX(選手一覧!$I$5:$I$2736,$F224)="","",INDEX(選手一覧!$I$5:$I$2736,$F224))</f>
        <v>633</v>
      </c>
    </row>
    <row r="225" customFormat="false" ht="15" hidden="false" customHeight="false" outlineLevel="0" collapsed="false">
      <c r="A225" s="12" t="n">
        <v>222</v>
      </c>
      <c r="B225" s="8" t="s">
        <v>2133</v>
      </c>
      <c r="C225" s="8" t="s">
        <v>1131</v>
      </c>
      <c r="D225" s="11" t="n">
        <v>0.00687916666666667</v>
      </c>
      <c r="E225" s="39" t="n">
        <f aca="false">ROUND((D225-$D$5)*86400,2)</f>
        <v>55.34</v>
      </c>
      <c r="F225" s="12" t="n">
        <v>1358</v>
      </c>
      <c r="G225" s="11" t="str">
        <f aca="false">IF(INDEX(選手一覧!$D$5:$D$2736,$F225)="","",INDEX(選手一覧!$D$5:$D$2736,$F225))</f>
        <v/>
      </c>
      <c r="H225" s="12" t="str">
        <f aca="false">IF(INDEX(選手一覧!$E$5:$E$2736,$F225)="","",INDEX(選手一覧!$E$5:$E$2736,$F225))</f>
        <v/>
      </c>
      <c r="I225" s="11" t="n">
        <f aca="false">IF(INDEX(選手一覧!$H$5:$H$2736,$F225)="","",INDEX(選手一覧!$H$5:$H$2736,$F225))</f>
        <v>0.00286956018518519</v>
      </c>
      <c r="J225" s="12" t="n">
        <f aca="false">IF(INDEX(選手一覧!$I$5:$I$2736,$F225)="","",INDEX(選手一覧!$I$5:$I$2736,$F225))</f>
        <v>692</v>
      </c>
    </row>
    <row r="226" customFormat="false" ht="15" hidden="false" customHeight="false" outlineLevel="0" collapsed="false">
      <c r="A226" s="12" t="n">
        <v>223</v>
      </c>
      <c r="B226" s="8" t="s">
        <v>2134</v>
      </c>
      <c r="C226" s="8" t="s">
        <v>1451</v>
      </c>
      <c r="D226" s="11" t="n">
        <v>0.00688032407407407</v>
      </c>
      <c r="E226" s="39" t="n">
        <f aca="false">ROUND((D226-$D$5)*86400,2)</f>
        <v>55.44</v>
      </c>
      <c r="F226" s="12" t="n">
        <v>1359</v>
      </c>
      <c r="G226" s="11" t="str">
        <f aca="false">IF(INDEX(選手一覧!$D$5:$D$2736,$F226)="","",INDEX(選手一覧!$D$5:$D$2736,$F226))</f>
        <v/>
      </c>
      <c r="H226" s="12" t="str">
        <f aca="false">IF(INDEX(選手一覧!$E$5:$E$2736,$F226)="","",INDEX(選手一覧!$E$5:$E$2736,$F226))</f>
        <v/>
      </c>
      <c r="I226" s="11" t="n">
        <f aca="false">IF(INDEX(選手一覧!$H$5:$H$2736,$F226)="","",INDEX(選手一覧!$H$5:$H$2736,$F226))</f>
        <v>0.00295289351851852</v>
      </c>
      <c r="J226" s="12" t="n">
        <f aca="false">IF(INDEX(選手一覧!$I$5:$I$2736,$F226)="","",INDEX(選手一覧!$I$5:$I$2736,$F226))</f>
        <v>1248</v>
      </c>
    </row>
    <row r="227" customFormat="false" ht="15" hidden="false" customHeight="false" outlineLevel="0" collapsed="false">
      <c r="A227" s="12" t="n">
        <v>224</v>
      </c>
      <c r="B227" s="8" t="s">
        <v>2135</v>
      </c>
      <c r="C227" s="8" t="s">
        <v>2136</v>
      </c>
      <c r="D227" s="11" t="n">
        <v>0.00688159722222222</v>
      </c>
      <c r="E227" s="39" t="n">
        <f aca="false">ROUND((D227-$D$5)*86400,2)</f>
        <v>55.55</v>
      </c>
      <c r="F227" s="12" t="n">
        <v>1360</v>
      </c>
      <c r="G227" s="11" t="str">
        <f aca="false">IF(INDEX(選手一覧!$D$5:$D$2736,$F227)="","",INDEX(選手一覧!$D$5:$D$2736,$F227))</f>
        <v/>
      </c>
      <c r="H227" s="12" t="str">
        <f aca="false">IF(INDEX(選手一覧!$E$5:$E$2736,$F227)="","",INDEX(選手一覧!$E$5:$E$2736,$F227))</f>
        <v/>
      </c>
      <c r="I227" s="11" t="n">
        <f aca="false">IF(INDEX(選手一覧!$H$5:$H$2736,$F227)="","",INDEX(選手一覧!$H$5:$H$2736,$F227))</f>
        <v>0.00295532407407407</v>
      </c>
      <c r="J227" s="12" t="n">
        <f aca="false">IF(INDEX(選手一覧!$I$5:$I$2736,$F227)="","",INDEX(選手一覧!$I$5:$I$2736,$F227))</f>
        <v>1254</v>
      </c>
    </row>
    <row r="228" customFormat="false" ht="15" hidden="false" customHeight="false" outlineLevel="0" collapsed="false">
      <c r="A228" s="12" t="n">
        <v>225</v>
      </c>
      <c r="B228" s="8" t="s">
        <v>2139</v>
      </c>
      <c r="C228" s="8" t="s">
        <v>683</v>
      </c>
      <c r="D228" s="11" t="n">
        <v>0.00688541666666667</v>
      </c>
      <c r="E228" s="39" t="n">
        <f aca="false">ROUND((D228-$D$5)*86400,2)</f>
        <v>55.88</v>
      </c>
      <c r="F228" s="12" t="n">
        <v>1363</v>
      </c>
      <c r="G228" s="11" t="str">
        <f aca="false">IF(INDEX(選手一覧!$D$5:$D$2736,$F228)="","",INDEX(選手一覧!$D$5:$D$2736,$F228))</f>
        <v/>
      </c>
      <c r="H228" s="12" t="str">
        <f aca="false">IF(INDEX(選手一覧!$E$5:$E$2736,$F228)="","",INDEX(選手一覧!$E$5:$E$2736,$F228))</f>
        <v/>
      </c>
      <c r="I228" s="11" t="str">
        <f aca="false">IF(INDEX(選手一覧!$H$5:$H$2736,$F228)="","",INDEX(選手一覧!$H$5:$H$2736,$F228))</f>
        <v/>
      </c>
      <c r="J228" s="12" t="str">
        <f aca="false">IF(INDEX(選手一覧!$I$5:$I$2736,$F228)="","",INDEX(選手一覧!$I$5:$I$2736,$F228))</f>
        <v/>
      </c>
    </row>
    <row r="229" customFormat="false" ht="15" hidden="false" customHeight="false" outlineLevel="0" collapsed="false">
      <c r="A229" s="12" t="n">
        <v>226</v>
      </c>
      <c r="B229" s="8" t="s">
        <v>1093</v>
      </c>
      <c r="C229" s="8" t="s">
        <v>373</v>
      </c>
      <c r="D229" s="11" t="n">
        <v>0.00688576388888889</v>
      </c>
      <c r="E229" s="39" t="n">
        <f aca="false">ROUND((D229-$D$5)*86400,2)</f>
        <v>55.91</v>
      </c>
      <c r="F229" s="12" t="n">
        <v>650</v>
      </c>
      <c r="G229" s="11" t="n">
        <f aca="false">IF(INDEX(選手一覧!$D$5:$D$2736,$F229)="","",INDEX(選手一覧!$D$5:$D$2736,$F229))</f>
        <v>0.0107394675925926</v>
      </c>
      <c r="H229" s="12" t="n">
        <f aca="false">IF(INDEX(選手一覧!$E$5:$E$2736,$F229)="","",INDEX(選手一覧!$E$5:$E$2736,$F229))</f>
        <v>651</v>
      </c>
      <c r="I229" s="11" t="n">
        <f aca="false">IF(INDEX(選手一覧!$H$5:$H$2736,$F229)="","",INDEX(選手一覧!$H$5:$H$2736,$F229))</f>
        <v>0.00286828703703704</v>
      </c>
      <c r="J229" s="12" t="n">
        <f aca="false">IF(INDEX(選手一覧!$I$5:$I$2736,$F229)="","",INDEX(選手一覧!$I$5:$I$2736,$F229))</f>
        <v>684</v>
      </c>
    </row>
    <row r="230" customFormat="false" ht="15" hidden="false" customHeight="false" outlineLevel="0" collapsed="false">
      <c r="A230" s="12" t="n">
        <v>227</v>
      </c>
      <c r="B230" s="8" t="s">
        <v>1507</v>
      </c>
      <c r="C230" s="8" t="s">
        <v>1508</v>
      </c>
      <c r="D230" s="11" t="n">
        <v>0.00688599537037037</v>
      </c>
      <c r="E230" s="39" t="n">
        <f aca="false">ROUND((D230-$D$5)*86400,2)</f>
        <v>55.93</v>
      </c>
      <c r="F230" s="12" t="n">
        <v>920</v>
      </c>
      <c r="G230" s="11" t="n">
        <f aca="false">IF(INDEX(選手一覧!$D$5:$D$2736,$F230)="","",INDEX(選手一覧!$D$5:$D$2736,$F230))</f>
        <v>0.0108997685185185</v>
      </c>
      <c r="H230" s="12" t="n">
        <f aca="false">IF(INDEX(選手一覧!$E$5:$E$2736,$F230)="","",INDEX(選手一覧!$E$5:$E$2736,$F230))</f>
        <v>921</v>
      </c>
      <c r="I230" s="11" t="str">
        <f aca="false">IF(INDEX(選手一覧!$H$5:$H$2736,$F230)="","",INDEX(選手一覧!$H$5:$H$2736,$F230))</f>
        <v/>
      </c>
      <c r="J230" s="12" t="str">
        <f aca="false">IF(INDEX(選手一覧!$I$5:$I$2736,$F230)="","",INDEX(選手一覧!$I$5:$I$2736,$F230))</f>
        <v/>
      </c>
    </row>
    <row r="231" customFormat="false" ht="15" hidden="false" customHeight="false" outlineLevel="0" collapsed="false">
      <c r="A231" s="12" t="n">
        <v>228</v>
      </c>
      <c r="B231" s="8" t="s">
        <v>2144</v>
      </c>
      <c r="C231" s="8" t="s">
        <v>1185</v>
      </c>
      <c r="D231" s="11" t="n">
        <v>0.00688715277777778</v>
      </c>
      <c r="E231" s="39" t="n">
        <f aca="false">ROUND((D231-$D$5)*86400,2)</f>
        <v>56.03</v>
      </c>
      <c r="F231" s="12" t="n">
        <v>1366</v>
      </c>
      <c r="G231" s="11" t="str">
        <f aca="false">IF(INDEX(選手一覧!$D$5:$D$2736,$F231)="","",INDEX(選手一覧!$D$5:$D$2736,$F231))</f>
        <v/>
      </c>
      <c r="H231" s="12" t="str">
        <f aca="false">IF(INDEX(選手一覧!$E$5:$E$2736,$F231)="","",INDEX(選手一覧!$E$5:$E$2736,$F231))</f>
        <v/>
      </c>
      <c r="I231" s="11" t="str">
        <f aca="false">IF(INDEX(選手一覧!$H$5:$H$2736,$F231)="","",INDEX(選手一覧!$H$5:$H$2736,$F231))</f>
        <v/>
      </c>
      <c r="J231" s="12" t="str">
        <f aca="false">IF(INDEX(選手一覧!$I$5:$I$2736,$F231)="","",INDEX(選手一覧!$I$5:$I$2736,$F231))</f>
        <v/>
      </c>
    </row>
    <row r="232" customFormat="false" ht="15" hidden="false" customHeight="false" outlineLevel="0" collapsed="false">
      <c r="A232" s="12" t="n">
        <v>229</v>
      </c>
      <c r="B232" s="8" t="s">
        <v>709</v>
      </c>
      <c r="C232" s="8" t="s">
        <v>150</v>
      </c>
      <c r="D232" s="11" t="n">
        <v>0.00688796296296296</v>
      </c>
      <c r="E232" s="39" t="n">
        <f aca="false">ROUND((D232-$D$5)*86400,2)</f>
        <v>56.1</v>
      </c>
      <c r="F232" s="12" t="n">
        <v>396</v>
      </c>
      <c r="G232" s="11" t="n">
        <f aca="false">IF(INDEX(選手一覧!$D$5:$D$2736,$F232)="","",INDEX(選手一覧!$D$5:$D$2736,$F232))</f>
        <v>0.0105482638888889</v>
      </c>
      <c r="H232" s="12" t="n">
        <f aca="false">IF(INDEX(選手一覧!$E$5:$E$2736,$F232)="","",INDEX(選手一覧!$E$5:$E$2736,$F232))</f>
        <v>397</v>
      </c>
      <c r="I232" s="11" t="str">
        <f aca="false">IF(INDEX(選手一覧!$H$5:$H$2736,$F232)="","",INDEX(選手一覧!$H$5:$H$2736,$F232))</f>
        <v/>
      </c>
      <c r="J232" s="12" t="str">
        <f aca="false">IF(INDEX(選手一覧!$I$5:$I$2736,$F232)="","",INDEX(選手一覧!$I$5:$I$2736,$F232))</f>
        <v/>
      </c>
    </row>
    <row r="233" customFormat="false" ht="15" hidden="false" customHeight="false" outlineLevel="0" collapsed="false">
      <c r="A233" s="12" t="n">
        <v>230</v>
      </c>
      <c r="B233" s="8" t="s">
        <v>524</v>
      </c>
      <c r="C233" s="8" t="s">
        <v>525</v>
      </c>
      <c r="D233" s="11" t="n">
        <v>0.00688854166666667</v>
      </c>
      <c r="E233" s="39" t="n">
        <f aca="false">ROUND((D233-$D$5)*86400,2)</f>
        <v>56.15</v>
      </c>
      <c r="F233" s="12" t="n">
        <v>280</v>
      </c>
      <c r="G233" s="11" t="n">
        <f aca="false">IF(INDEX(選手一覧!$D$5:$D$2736,$F233)="","",INDEX(選手一覧!$D$5:$D$2736,$F233))</f>
        <v>0.0104148148148148</v>
      </c>
      <c r="H233" s="12" t="n">
        <f aca="false">IF(INDEX(選手一覧!$E$5:$E$2736,$F233)="","",INDEX(選手一覧!$E$5:$E$2736,$F233))</f>
        <v>281</v>
      </c>
      <c r="I233" s="11" t="n">
        <f aca="false">IF(INDEX(選手一覧!$H$5:$H$2736,$F233)="","",INDEX(選手一覧!$H$5:$H$2736,$F233))</f>
        <v>0.00287662037037037</v>
      </c>
      <c r="J233" s="12" t="n">
        <f aca="false">IF(INDEX(選手一覧!$I$5:$I$2736,$F233)="","",INDEX(選手一覧!$I$5:$I$2736,$F233))</f>
        <v>743</v>
      </c>
    </row>
    <row r="234" customFormat="false" ht="15" hidden="false" customHeight="false" outlineLevel="0" collapsed="false">
      <c r="A234" s="12" t="n">
        <v>231</v>
      </c>
      <c r="B234" s="8" t="s">
        <v>2145</v>
      </c>
      <c r="C234" s="8" t="s">
        <v>2146</v>
      </c>
      <c r="D234" s="11" t="n">
        <v>0.00689131944444444</v>
      </c>
      <c r="E234" s="39" t="n">
        <f aca="false">ROUND((D234-$D$5)*86400,2)</f>
        <v>56.39</v>
      </c>
      <c r="F234" s="12" t="n">
        <v>1367</v>
      </c>
      <c r="G234" s="11" t="str">
        <f aca="false">IF(INDEX(選手一覧!$D$5:$D$2736,$F234)="","",INDEX(選手一覧!$D$5:$D$2736,$F234))</f>
        <v/>
      </c>
      <c r="H234" s="12" t="str">
        <f aca="false">IF(INDEX(選手一覧!$E$5:$E$2736,$F234)="","",INDEX(選手一覧!$E$5:$E$2736,$F234))</f>
        <v/>
      </c>
      <c r="I234" s="11" t="n">
        <f aca="false">IF(INDEX(選手一覧!$H$5:$H$2736,$F234)="","",INDEX(選手一覧!$H$5:$H$2736,$F234))</f>
        <v>0.00291990740740741</v>
      </c>
      <c r="J234" s="12" t="n">
        <f aca="false">IF(INDEX(選手一覧!$I$5:$I$2736,$F234)="","",INDEX(選手一覧!$I$5:$I$2736,$F234))</f>
        <v>1095</v>
      </c>
    </row>
    <row r="235" customFormat="false" ht="15" hidden="false" customHeight="false" outlineLevel="0" collapsed="false">
      <c r="A235" s="12" t="n">
        <v>232</v>
      </c>
      <c r="B235" s="8" t="s">
        <v>2147</v>
      </c>
      <c r="C235" s="8" t="s">
        <v>363</v>
      </c>
      <c r="D235" s="11" t="n">
        <v>0.00689178240740741</v>
      </c>
      <c r="E235" s="39" t="n">
        <f aca="false">ROUND((D235-$D$5)*86400,2)</f>
        <v>56.43</v>
      </c>
      <c r="F235" s="12" t="n">
        <v>1368</v>
      </c>
      <c r="G235" s="11" t="str">
        <f aca="false">IF(INDEX(選手一覧!$D$5:$D$2736,$F235)="","",INDEX(選手一覧!$D$5:$D$2736,$F235))</f>
        <v/>
      </c>
      <c r="H235" s="12" t="str">
        <f aca="false">IF(INDEX(選手一覧!$E$5:$E$2736,$F235)="","",INDEX(選手一覧!$E$5:$E$2736,$F235))</f>
        <v/>
      </c>
      <c r="I235" s="11" t="str">
        <f aca="false">IF(INDEX(選手一覧!$H$5:$H$2736,$F235)="","",INDEX(選手一覧!$H$5:$H$2736,$F235))</f>
        <v/>
      </c>
      <c r="J235" s="12" t="str">
        <f aca="false">IF(INDEX(選手一覧!$I$5:$I$2736,$F235)="","",INDEX(選手一覧!$I$5:$I$2736,$F235))</f>
        <v/>
      </c>
    </row>
    <row r="236" customFormat="false" ht="15" hidden="false" customHeight="false" outlineLevel="0" collapsed="false">
      <c r="A236" s="12" t="n">
        <v>233</v>
      </c>
      <c r="B236" s="8" t="s">
        <v>2148</v>
      </c>
      <c r="C236" s="8" t="s">
        <v>730</v>
      </c>
      <c r="D236" s="11" t="n">
        <v>0.00689236111111111</v>
      </c>
      <c r="E236" s="39" t="n">
        <f aca="false">ROUND((D236-$D$5)*86400,2)</f>
        <v>56.48</v>
      </c>
      <c r="F236" s="12" t="n">
        <v>1369</v>
      </c>
      <c r="G236" s="11" t="str">
        <f aca="false">IF(INDEX(選手一覧!$D$5:$D$2736,$F236)="","",INDEX(選手一覧!$D$5:$D$2736,$F236))</f>
        <v/>
      </c>
      <c r="H236" s="12" t="str">
        <f aca="false">IF(INDEX(選手一覧!$E$5:$E$2736,$F236)="","",INDEX(選手一覧!$E$5:$E$2736,$F236))</f>
        <v/>
      </c>
      <c r="I236" s="11" t="n">
        <f aca="false">IF(INDEX(選手一覧!$H$5:$H$2736,$F236)="","",INDEX(選手一覧!$H$5:$H$2736,$F236))</f>
        <v>0.0029693287037037</v>
      </c>
      <c r="J236" s="12" t="n">
        <f aca="false">IF(INDEX(選手一覧!$I$5:$I$2736,$F236)="","",INDEX(選手一覧!$I$5:$I$2736,$F236))</f>
        <v>1307</v>
      </c>
    </row>
    <row r="237" customFormat="false" ht="15" hidden="false" customHeight="false" outlineLevel="0" collapsed="false">
      <c r="A237" s="12" t="n">
        <v>234</v>
      </c>
      <c r="B237" s="8" t="s">
        <v>1941</v>
      </c>
      <c r="C237" s="8" t="s">
        <v>1942</v>
      </c>
      <c r="D237" s="11" t="n">
        <v>0.00689340277777778</v>
      </c>
      <c r="E237" s="39" t="n">
        <f aca="false">ROUND((D237-$D$5)*86400,2)</f>
        <v>56.57</v>
      </c>
      <c r="F237" s="12" t="n">
        <v>1219</v>
      </c>
      <c r="G237" s="11" t="n">
        <f aca="false">IF(INDEX(選手一覧!$D$5:$D$2736,$F237)="","",INDEX(選手一覧!$D$5:$D$2736,$F237))</f>
        <v>0.0110612268518519</v>
      </c>
      <c r="H237" s="12" t="n">
        <f aca="false">IF(INDEX(選手一覧!$E$5:$E$2736,$F237)="","",INDEX(選手一覧!$E$5:$E$2736,$F237))</f>
        <v>1220</v>
      </c>
      <c r="I237" s="11" t="n">
        <f aca="false">IF(INDEX(選手一覧!$H$5:$H$2736,$F237)="","",INDEX(選手一覧!$H$5:$H$2736,$F237))</f>
        <v>0.00296643518518519</v>
      </c>
      <c r="J237" s="12" t="n">
        <f aca="false">IF(INDEX(選手一覧!$I$5:$I$2736,$F237)="","",INDEX(選手一覧!$I$5:$I$2736,$F237))</f>
        <v>1298</v>
      </c>
    </row>
    <row r="238" customFormat="false" ht="15" hidden="false" customHeight="false" outlineLevel="0" collapsed="false">
      <c r="A238" s="12" t="n">
        <v>235</v>
      </c>
      <c r="B238" s="8" t="s">
        <v>1765</v>
      </c>
      <c r="C238" s="8" t="s">
        <v>120</v>
      </c>
      <c r="D238" s="11" t="n">
        <v>0.00689513888888889</v>
      </c>
      <c r="E238" s="39" t="n">
        <f aca="false">ROUND((D238-$D$5)*86400,2)</f>
        <v>56.72</v>
      </c>
      <c r="F238" s="12" t="n">
        <v>1097</v>
      </c>
      <c r="G238" s="11" t="n">
        <f aca="false">IF(INDEX(選手一覧!$D$5:$D$2736,$F238)="","",INDEX(選手一覧!$D$5:$D$2736,$F238))</f>
        <v>0.0110020833333333</v>
      </c>
      <c r="H238" s="12" t="n">
        <f aca="false">IF(INDEX(選手一覧!$E$5:$E$2736,$F238)="","",INDEX(選手一覧!$E$5:$E$2736,$F238))</f>
        <v>1098</v>
      </c>
      <c r="I238" s="11" t="n">
        <f aca="false">IF(INDEX(選手一覧!$H$5:$H$2736,$F238)="","",INDEX(選手一覧!$H$5:$H$2736,$F238))</f>
        <v>0.00285775462962963</v>
      </c>
      <c r="J238" s="12" t="n">
        <f aca="false">IF(INDEX(選手一覧!$I$5:$I$2736,$F238)="","",INDEX(選手一覧!$I$5:$I$2736,$F238))</f>
        <v>621</v>
      </c>
    </row>
    <row r="239" customFormat="false" ht="15" hidden="false" customHeight="false" outlineLevel="0" collapsed="false">
      <c r="A239" s="12" t="n">
        <v>236</v>
      </c>
      <c r="B239" s="8" t="s">
        <v>835</v>
      </c>
      <c r="C239" s="8" t="s">
        <v>64</v>
      </c>
      <c r="D239" s="11" t="n">
        <v>0.00689525462962963</v>
      </c>
      <c r="E239" s="39" t="n">
        <f aca="false">ROUND((D239-$D$5)*86400,2)</f>
        <v>56.73</v>
      </c>
      <c r="F239" s="12" t="n">
        <v>478</v>
      </c>
      <c r="G239" s="11" t="n">
        <f aca="false">IF(INDEX(選手一覧!$D$5:$D$2736,$F239)="","",INDEX(選手一覧!$D$5:$D$2736,$F239))</f>
        <v>0.0106119212962963</v>
      </c>
      <c r="H239" s="12" t="n">
        <f aca="false">IF(INDEX(選手一覧!$E$5:$E$2736,$F239)="","",INDEX(選手一覧!$E$5:$E$2736,$F239))</f>
        <v>479</v>
      </c>
      <c r="I239" s="11" t="str">
        <f aca="false">IF(INDEX(選手一覧!$H$5:$H$2736,$F239)="","",INDEX(選手一覧!$H$5:$H$2736,$F239))</f>
        <v/>
      </c>
      <c r="J239" s="12" t="str">
        <f aca="false">IF(INDEX(選手一覧!$I$5:$I$2736,$F239)="","",INDEX(選手一覧!$I$5:$I$2736,$F239))</f>
        <v/>
      </c>
    </row>
    <row r="240" customFormat="false" ht="15" hidden="false" customHeight="false" outlineLevel="0" collapsed="false">
      <c r="A240" s="12" t="n">
        <v>237</v>
      </c>
      <c r="B240" s="8" t="s">
        <v>2151</v>
      </c>
      <c r="C240" s="8" t="s">
        <v>306</v>
      </c>
      <c r="D240" s="11" t="n">
        <v>0.00689525462962963</v>
      </c>
      <c r="E240" s="39" t="n">
        <f aca="false">ROUND((D240-$D$5)*86400,2)</f>
        <v>56.73</v>
      </c>
      <c r="F240" s="12" t="n">
        <v>1372</v>
      </c>
      <c r="G240" s="11" t="str">
        <f aca="false">IF(INDEX(選手一覧!$D$5:$D$2736,$F240)="","",INDEX(選手一覧!$D$5:$D$2736,$F240))</f>
        <v/>
      </c>
      <c r="H240" s="12" t="str">
        <f aca="false">IF(INDEX(選手一覧!$E$5:$E$2736,$F240)="","",INDEX(選手一覧!$E$5:$E$2736,$F240))</f>
        <v/>
      </c>
      <c r="I240" s="11" t="str">
        <f aca="false">IF(INDEX(選手一覧!$H$5:$H$2736,$F240)="","",INDEX(選手一覧!$H$5:$H$2736,$F240))</f>
        <v/>
      </c>
      <c r="J240" s="12" t="str">
        <f aca="false">IF(INDEX(選手一覧!$I$5:$I$2736,$F240)="","",INDEX(選手一覧!$I$5:$I$2736,$F240))</f>
        <v/>
      </c>
    </row>
    <row r="241" customFormat="false" ht="15" hidden="false" customHeight="false" outlineLevel="0" collapsed="false">
      <c r="A241" s="12" t="n">
        <v>238</v>
      </c>
      <c r="B241" s="8" t="s">
        <v>2152</v>
      </c>
      <c r="C241" s="8" t="s">
        <v>2153</v>
      </c>
      <c r="D241" s="11" t="n">
        <v>0.00689710648148148</v>
      </c>
      <c r="E241" s="39" t="n">
        <f aca="false">ROUND((D241-$D$5)*86400,2)</f>
        <v>56.89</v>
      </c>
      <c r="F241" s="12" t="n">
        <v>1373</v>
      </c>
      <c r="G241" s="11" t="str">
        <f aca="false">IF(INDEX(選手一覧!$D$5:$D$2736,$F241)="","",INDEX(選手一覧!$D$5:$D$2736,$F241))</f>
        <v/>
      </c>
      <c r="H241" s="12" t="str">
        <f aca="false">IF(INDEX(選手一覧!$E$5:$E$2736,$F241)="","",INDEX(選手一覧!$E$5:$E$2736,$F241))</f>
        <v/>
      </c>
      <c r="I241" s="11" t="n">
        <f aca="false">IF(INDEX(選手一覧!$H$5:$H$2736,$F241)="","",INDEX(選手一覧!$H$5:$H$2736,$F241))</f>
        <v>0.00291215277777778</v>
      </c>
      <c r="J241" s="12" t="n">
        <f aca="false">IF(INDEX(選手一覧!$I$5:$I$2736,$F241)="","",INDEX(選手一覧!$I$5:$I$2736,$F241))</f>
        <v>1038</v>
      </c>
    </row>
    <row r="242" customFormat="false" ht="15" hidden="false" customHeight="false" outlineLevel="0" collapsed="false">
      <c r="A242" s="12" t="n">
        <v>239</v>
      </c>
      <c r="B242" s="8" t="s">
        <v>1570</v>
      </c>
      <c r="C242" s="8" t="s">
        <v>508</v>
      </c>
      <c r="D242" s="11" t="n">
        <v>0.00689884259259259</v>
      </c>
      <c r="E242" s="39" t="n">
        <f aca="false">ROUND((D242-$D$5)*86400,2)</f>
        <v>57.04</v>
      </c>
      <c r="F242" s="12" t="n">
        <v>965</v>
      </c>
      <c r="G242" s="11" t="n">
        <f aca="false">IF(INDEX(選手一覧!$D$5:$D$2736,$F242)="","",INDEX(選手一覧!$D$5:$D$2736,$F242))</f>
        <v>0.0109295138888889</v>
      </c>
      <c r="H242" s="12" t="n">
        <f aca="false">IF(INDEX(選手一覧!$E$5:$E$2736,$F242)="","",INDEX(選手一覧!$E$5:$E$2736,$F242))</f>
        <v>966</v>
      </c>
      <c r="I242" s="11" t="n">
        <f aca="false">IF(INDEX(選手一覧!$H$5:$H$2736,$F242)="","",INDEX(選手一覧!$H$5:$H$2736,$F242))</f>
        <v>0.00297673611111111</v>
      </c>
      <c r="J242" s="12" t="n">
        <f aca="false">IF(INDEX(選手一覧!$I$5:$I$2736,$F242)="","",INDEX(選手一覧!$I$5:$I$2736,$F242))</f>
        <v>1337</v>
      </c>
    </row>
    <row r="243" customFormat="false" ht="15" hidden="false" customHeight="false" outlineLevel="0" collapsed="false">
      <c r="A243" s="12" t="n">
        <v>240</v>
      </c>
      <c r="B243" s="8" t="s">
        <v>1742</v>
      </c>
      <c r="C243" s="8" t="s">
        <v>1743</v>
      </c>
      <c r="D243" s="11" t="n">
        <v>0.00689988425925926</v>
      </c>
      <c r="E243" s="39" t="n">
        <f aca="false">ROUND((D243-$D$5)*86400,2)</f>
        <v>57.13</v>
      </c>
      <c r="F243" s="12" t="n">
        <v>1081</v>
      </c>
      <c r="G243" s="11" t="n">
        <f aca="false">IF(INDEX(選手一覧!$D$5:$D$2736,$F243)="","",INDEX(選手一覧!$D$5:$D$2736,$F243))</f>
        <v>0.0109918981481482</v>
      </c>
      <c r="H243" s="12" t="n">
        <f aca="false">IF(INDEX(選手一覧!$E$5:$E$2736,$F243)="","",INDEX(選手一覧!$E$5:$E$2736,$F243))</f>
        <v>1082</v>
      </c>
      <c r="I243" s="11" t="str">
        <f aca="false">IF(INDEX(選手一覧!$H$5:$H$2736,$F243)="","",INDEX(選手一覧!$H$5:$H$2736,$F243))</f>
        <v/>
      </c>
      <c r="J243" s="12" t="str">
        <f aca="false">IF(INDEX(選手一覧!$I$5:$I$2736,$F243)="","",INDEX(選手一覧!$I$5:$I$2736,$F243))</f>
        <v/>
      </c>
    </row>
    <row r="244" customFormat="false" ht="15" hidden="false" customHeight="false" outlineLevel="0" collapsed="false">
      <c r="A244" s="12" t="n">
        <v>241</v>
      </c>
      <c r="B244" s="8" t="s">
        <v>990</v>
      </c>
      <c r="C244" s="8" t="s">
        <v>150</v>
      </c>
      <c r="D244" s="11" t="n">
        <v>0.00690034722222222</v>
      </c>
      <c r="E244" s="39" t="n">
        <f aca="false">ROUND((D244-$D$5)*86400,2)</f>
        <v>57.17</v>
      </c>
      <c r="F244" s="12" t="n">
        <v>574</v>
      </c>
      <c r="G244" s="11" t="n">
        <f aca="false">IF(INDEX(選手一覧!$D$5:$D$2736,$F244)="","",INDEX(選手一覧!$D$5:$D$2736,$F244))</f>
        <v>0.0106959490740741</v>
      </c>
      <c r="H244" s="12" t="n">
        <f aca="false">IF(INDEX(選手一覧!$E$5:$E$2736,$F244)="","",INDEX(選手一覧!$E$5:$E$2736,$F244))</f>
        <v>575</v>
      </c>
      <c r="I244" s="11" t="str">
        <f aca="false">IF(INDEX(選手一覧!$H$5:$H$2736,$F244)="","",INDEX(選手一覧!$H$5:$H$2736,$F244))</f>
        <v/>
      </c>
      <c r="J244" s="12" t="str">
        <f aca="false">IF(INDEX(選手一覧!$I$5:$I$2736,$F244)="","",INDEX(選手一覧!$I$5:$I$2736,$F244))</f>
        <v/>
      </c>
    </row>
    <row r="245" customFormat="false" ht="15" hidden="false" customHeight="false" outlineLevel="0" collapsed="false">
      <c r="A245" s="12" t="n">
        <v>242</v>
      </c>
      <c r="B245" s="8" t="s">
        <v>2156</v>
      </c>
      <c r="C245" s="8" t="s">
        <v>382</v>
      </c>
      <c r="D245" s="11" t="n">
        <v>0.00690069444444445</v>
      </c>
      <c r="E245" s="39" t="n">
        <f aca="false">ROUND((D245-$D$5)*86400,2)</f>
        <v>57.2</v>
      </c>
      <c r="F245" s="12" t="n">
        <v>1376</v>
      </c>
      <c r="G245" s="11" t="str">
        <f aca="false">IF(INDEX(選手一覧!$D$5:$D$2736,$F245)="","",INDEX(選手一覧!$D$5:$D$2736,$F245))</f>
        <v/>
      </c>
      <c r="H245" s="12" t="str">
        <f aca="false">IF(INDEX(選手一覧!$E$5:$E$2736,$F245)="","",INDEX(選手一覧!$E$5:$E$2736,$F245))</f>
        <v/>
      </c>
      <c r="I245" s="11" t="str">
        <f aca="false">IF(INDEX(選手一覧!$H$5:$H$2736,$F245)="","",INDEX(選手一覧!$H$5:$H$2736,$F245))</f>
        <v/>
      </c>
      <c r="J245" s="12" t="str">
        <f aca="false">IF(INDEX(選手一覧!$I$5:$I$2736,$F245)="","",INDEX(選手一覧!$I$5:$I$2736,$F245))</f>
        <v/>
      </c>
    </row>
    <row r="246" customFormat="false" ht="15" hidden="false" customHeight="false" outlineLevel="0" collapsed="false">
      <c r="A246" s="12" t="n">
        <v>243</v>
      </c>
      <c r="B246" s="8" t="s">
        <v>2159</v>
      </c>
      <c r="C246" s="8" t="s">
        <v>2160</v>
      </c>
      <c r="D246" s="11" t="n">
        <v>0.00690162037037037</v>
      </c>
      <c r="E246" s="39" t="n">
        <f aca="false">ROUND((D246-$D$5)*86400,2)</f>
        <v>57.28</v>
      </c>
      <c r="F246" s="12" t="n">
        <v>1378</v>
      </c>
      <c r="G246" s="11" t="str">
        <f aca="false">IF(INDEX(選手一覧!$D$5:$D$2736,$F246)="","",INDEX(選手一覧!$D$5:$D$2736,$F246))</f>
        <v/>
      </c>
      <c r="H246" s="12" t="str">
        <f aca="false">IF(INDEX(選手一覧!$E$5:$E$2736,$F246)="","",INDEX(選手一覧!$E$5:$E$2736,$F246))</f>
        <v/>
      </c>
      <c r="I246" s="11" t="str">
        <f aca="false">IF(INDEX(選手一覧!$H$5:$H$2736,$F246)="","",INDEX(選手一覧!$H$5:$H$2736,$F246))</f>
        <v/>
      </c>
      <c r="J246" s="12" t="str">
        <f aca="false">IF(INDEX(選手一覧!$I$5:$I$2736,$F246)="","",INDEX(選手一覧!$I$5:$I$2736,$F246))</f>
        <v/>
      </c>
    </row>
    <row r="247" customFormat="false" ht="15" hidden="false" customHeight="false" outlineLevel="0" collapsed="false">
      <c r="A247" s="12" t="n">
        <v>244</v>
      </c>
      <c r="B247" s="8" t="s">
        <v>1877</v>
      </c>
      <c r="C247" s="8" t="s">
        <v>500</v>
      </c>
      <c r="D247" s="11" t="n">
        <v>0.00690173611111111</v>
      </c>
      <c r="E247" s="39" t="n">
        <f aca="false">ROUND((D247-$D$5)*86400,2)</f>
        <v>57.29</v>
      </c>
      <c r="F247" s="12" t="n">
        <v>1172</v>
      </c>
      <c r="G247" s="11" t="n">
        <f aca="false">IF(INDEX(選手一覧!$D$5:$D$2736,$F247)="","",INDEX(選手一覧!$D$5:$D$2736,$F247))</f>
        <v>0.0110377314814815</v>
      </c>
      <c r="H247" s="12" t="n">
        <f aca="false">IF(INDEX(選手一覧!$E$5:$E$2736,$F247)="","",INDEX(選手一覧!$E$5:$E$2736,$F247))</f>
        <v>1173</v>
      </c>
      <c r="I247" s="11" t="str">
        <f aca="false">IF(INDEX(選手一覧!$H$5:$H$2736,$F247)="","",INDEX(選手一覧!$H$5:$H$2736,$F247))</f>
        <v/>
      </c>
      <c r="J247" s="12" t="str">
        <f aca="false">IF(INDEX(選手一覧!$I$5:$I$2736,$F247)="","",INDEX(選手一覧!$I$5:$I$2736,$F247))</f>
        <v/>
      </c>
    </row>
    <row r="248" customFormat="false" ht="15" hidden="false" customHeight="false" outlineLevel="0" collapsed="false">
      <c r="A248" s="12" t="n">
        <v>245</v>
      </c>
      <c r="B248" s="8" t="s">
        <v>610</v>
      </c>
      <c r="C248" s="8" t="s">
        <v>592</v>
      </c>
      <c r="D248" s="11" t="n">
        <v>0.00690219907407407</v>
      </c>
      <c r="E248" s="39" t="n">
        <f aca="false">ROUND((D248-$D$5)*86400,2)</f>
        <v>57.33</v>
      </c>
      <c r="F248" s="12" t="n">
        <v>333</v>
      </c>
      <c r="G248" s="11" t="n">
        <f aca="false">IF(INDEX(選手一覧!$D$5:$D$2736,$F248)="","",INDEX(選手一覧!$D$5:$D$2736,$F248))</f>
        <v>0.0104907407407407</v>
      </c>
      <c r="H248" s="12" t="n">
        <f aca="false">IF(INDEX(選手一覧!$E$5:$E$2736,$F248)="","",INDEX(選手一覧!$E$5:$E$2736,$F248))</f>
        <v>334</v>
      </c>
      <c r="I248" s="11" t="n">
        <f aca="false">IF(INDEX(選手一覧!$H$5:$H$2736,$F248)="","",INDEX(選手一覧!$H$5:$H$2736,$F248))</f>
        <v>0.00289733796296296</v>
      </c>
      <c r="J248" s="12" t="n">
        <f aca="false">IF(INDEX(選手一覧!$I$5:$I$2736,$F248)="","",INDEX(選手一覧!$I$5:$I$2736,$F248))</f>
        <v>928</v>
      </c>
    </row>
    <row r="249" customFormat="false" ht="15" hidden="false" customHeight="false" outlineLevel="0" collapsed="false">
      <c r="A249" s="12" t="n">
        <v>246</v>
      </c>
      <c r="B249" s="8" t="s">
        <v>2162</v>
      </c>
      <c r="C249" s="8" t="s">
        <v>2109</v>
      </c>
      <c r="D249" s="11" t="n">
        <v>0.00690555555555556</v>
      </c>
      <c r="E249" s="39" t="n">
        <f aca="false">ROUND((D249-$D$5)*86400,2)</f>
        <v>57.62</v>
      </c>
      <c r="F249" s="12" t="n">
        <v>1380</v>
      </c>
      <c r="G249" s="11" t="str">
        <f aca="false">IF(INDEX(選手一覧!$D$5:$D$2736,$F249)="","",INDEX(選手一覧!$D$5:$D$2736,$F249))</f>
        <v/>
      </c>
      <c r="H249" s="12" t="str">
        <f aca="false">IF(INDEX(選手一覧!$E$5:$E$2736,$F249)="","",INDEX(選手一覧!$E$5:$E$2736,$F249))</f>
        <v/>
      </c>
      <c r="I249" s="11" t="str">
        <f aca="false">IF(INDEX(選手一覧!$H$5:$H$2736,$F249)="","",INDEX(選手一覧!$H$5:$H$2736,$F249))</f>
        <v/>
      </c>
      <c r="J249" s="12" t="str">
        <f aca="false">IF(INDEX(選手一覧!$I$5:$I$2736,$F249)="","",INDEX(選手一覧!$I$5:$I$2736,$F249))</f>
        <v/>
      </c>
    </row>
    <row r="250" customFormat="false" ht="15" hidden="false" customHeight="false" outlineLevel="0" collapsed="false">
      <c r="A250" s="12" t="n">
        <v>247</v>
      </c>
      <c r="B250" s="8" t="s">
        <v>656</v>
      </c>
      <c r="C250" s="8" t="s">
        <v>138</v>
      </c>
      <c r="D250" s="11" t="n">
        <v>0.00690613425925926</v>
      </c>
      <c r="E250" s="39" t="n">
        <f aca="false">ROUND((D250-$D$5)*86400,2)</f>
        <v>57.67</v>
      </c>
      <c r="F250" s="12" t="n">
        <v>363</v>
      </c>
      <c r="G250" s="11" t="n">
        <f aca="false">IF(INDEX(選手一覧!$D$5:$D$2736,$F250)="","",INDEX(選手一覧!$D$5:$D$2736,$F250))</f>
        <v>0.0105216435185185</v>
      </c>
      <c r="H250" s="12" t="n">
        <f aca="false">IF(INDEX(選手一覧!$E$5:$E$2736,$F250)="","",INDEX(選手一覧!$E$5:$E$2736,$F250))</f>
        <v>364</v>
      </c>
      <c r="I250" s="11" t="n">
        <f aca="false">IF(INDEX(選手一覧!$H$5:$H$2736,$F250)="","",INDEX(選手一覧!$H$5:$H$2736,$F250))</f>
        <v>0.00287407407407407</v>
      </c>
      <c r="J250" s="12" t="n">
        <f aca="false">IF(INDEX(選手一覧!$I$5:$I$2736,$F250)="","",INDEX(選手一覧!$I$5:$I$2736,$F250))</f>
        <v>728</v>
      </c>
    </row>
    <row r="251" customFormat="false" ht="15" hidden="false" customHeight="false" outlineLevel="0" collapsed="false">
      <c r="A251" s="12" t="n">
        <v>248</v>
      </c>
      <c r="B251" s="8" t="s">
        <v>1705</v>
      </c>
      <c r="C251" s="8" t="s">
        <v>1238</v>
      </c>
      <c r="D251" s="11" t="n">
        <v>0.00690625</v>
      </c>
      <c r="E251" s="39" t="n">
        <f aca="false">ROUND((D251-$D$5)*86400,2)</f>
        <v>57.68</v>
      </c>
      <c r="F251" s="12" t="n">
        <v>1057</v>
      </c>
      <c r="G251" s="11" t="n">
        <f aca="false">IF(INDEX(選手一覧!$D$5:$D$2736,$F251)="","",INDEX(選手一覧!$D$5:$D$2736,$F251))</f>
        <v>0.0109810185185185</v>
      </c>
      <c r="H251" s="12" t="n">
        <f aca="false">IF(INDEX(選手一覧!$E$5:$E$2736,$F251)="","",INDEX(選手一覧!$E$5:$E$2736,$F251))</f>
        <v>1058</v>
      </c>
      <c r="I251" s="11" t="str">
        <f aca="false">IF(INDEX(選手一覧!$H$5:$H$2736,$F251)="","",INDEX(選手一覧!$H$5:$H$2736,$F251))</f>
        <v/>
      </c>
      <c r="J251" s="12" t="str">
        <f aca="false">IF(INDEX(選手一覧!$I$5:$I$2736,$F251)="","",INDEX(選手一覧!$I$5:$I$2736,$F251))</f>
        <v/>
      </c>
    </row>
    <row r="252" customFormat="false" ht="15" hidden="false" customHeight="false" outlineLevel="0" collapsed="false">
      <c r="A252" s="12" t="n">
        <v>249</v>
      </c>
      <c r="B252" s="8" t="s">
        <v>2163</v>
      </c>
      <c r="C252" s="8" t="s">
        <v>2164</v>
      </c>
      <c r="D252" s="11" t="n">
        <v>0.00690659722222222</v>
      </c>
      <c r="E252" s="39" t="n">
        <f aca="false">ROUND((D252-$D$5)*86400,2)</f>
        <v>57.71</v>
      </c>
      <c r="F252" s="12" t="n">
        <v>1381</v>
      </c>
      <c r="G252" s="11" t="str">
        <f aca="false">IF(INDEX(選手一覧!$D$5:$D$2736,$F252)="","",INDEX(選手一覧!$D$5:$D$2736,$F252))</f>
        <v/>
      </c>
      <c r="H252" s="12" t="str">
        <f aca="false">IF(INDEX(選手一覧!$E$5:$E$2736,$F252)="","",INDEX(選手一覧!$E$5:$E$2736,$F252))</f>
        <v/>
      </c>
      <c r="I252" s="11" t="n">
        <f aca="false">IF(INDEX(選手一覧!$H$5:$H$2736,$F252)="","",INDEX(選手一覧!$H$5:$H$2736,$F252))</f>
        <v>0.00287303240740741</v>
      </c>
      <c r="J252" s="12" t="n">
        <f aca="false">IF(INDEX(選手一覧!$I$5:$I$2736,$F252)="","",INDEX(選手一覧!$I$5:$I$2736,$F252))</f>
        <v>721</v>
      </c>
    </row>
    <row r="253" customFormat="false" ht="15" hidden="false" customHeight="false" outlineLevel="0" collapsed="false">
      <c r="A253" s="12" t="n">
        <v>250</v>
      </c>
      <c r="B253" s="8" t="s">
        <v>2165</v>
      </c>
      <c r="C253" s="8" t="s">
        <v>2166</v>
      </c>
      <c r="D253" s="11" t="n">
        <v>0.00691018518518519</v>
      </c>
      <c r="E253" s="39" t="n">
        <f aca="false">ROUND((D253-$D$5)*86400,2)</f>
        <v>58.02</v>
      </c>
      <c r="F253" s="12" t="n">
        <v>1382</v>
      </c>
      <c r="G253" s="11" t="str">
        <f aca="false">IF(INDEX(選手一覧!$D$5:$D$2736,$F253)="","",INDEX(選手一覧!$D$5:$D$2736,$F253))</f>
        <v/>
      </c>
      <c r="H253" s="12" t="str">
        <f aca="false">IF(INDEX(選手一覧!$E$5:$E$2736,$F253)="","",INDEX(選手一覧!$E$5:$E$2736,$F253))</f>
        <v/>
      </c>
      <c r="I253" s="11" t="str">
        <f aca="false">IF(INDEX(選手一覧!$H$5:$H$2736,$F253)="","",INDEX(選手一覧!$H$5:$H$2736,$F253))</f>
        <v/>
      </c>
      <c r="J253" s="12" t="str">
        <f aca="false">IF(INDEX(選手一覧!$I$5:$I$2736,$F253)="","",INDEX(選手一覧!$I$5:$I$2736,$F253))</f>
        <v/>
      </c>
    </row>
    <row r="254" customFormat="false" ht="15" hidden="false" customHeight="false" outlineLevel="0" collapsed="false">
      <c r="A254" s="12" t="n">
        <v>251</v>
      </c>
      <c r="B254" s="8" t="s">
        <v>2142</v>
      </c>
      <c r="C254" s="8" t="s">
        <v>2143</v>
      </c>
      <c r="D254" s="11" t="n">
        <v>0.006915625</v>
      </c>
      <c r="E254" s="39" t="n">
        <f aca="false">ROUND((D254-$D$5)*86400,2)</f>
        <v>58.49</v>
      </c>
      <c r="F254" s="12" t="n">
        <v>1365</v>
      </c>
      <c r="G254" s="11" t="str">
        <f aca="false">IF(INDEX(選手一覧!$D$5:$D$2736,$F254)="","",INDEX(選手一覧!$D$5:$D$2736,$F254))</f>
        <v/>
      </c>
      <c r="H254" s="12" t="str">
        <f aca="false">IF(INDEX(選手一覧!$E$5:$E$2736,$F254)="","",INDEX(選手一覧!$E$5:$E$2736,$F254))</f>
        <v/>
      </c>
      <c r="I254" s="11" t="n">
        <f aca="false">IF(INDEX(選手一覧!$H$5:$H$2736,$F254)="","",INDEX(選手一覧!$H$5:$H$2736,$F254))</f>
        <v>0.00278680555555556</v>
      </c>
      <c r="J254" s="12" t="n">
        <f aca="false">IF(INDEX(選手一覧!$I$5:$I$2736,$F254)="","",INDEX(選手一覧!$I$5:$I$2736,$F254))</f>
        <v>228</v>
      </c>
    </row>
    <row r="255" customFormat="false" ht="15" hidden="false" customHeight="false" outlineLevel="0" collapsed="false">
      <c r="A255" s="12" t="n">
        <v>252</v>
      </c>
      <c r="B255" s="8" t="s">
        <v>1636</v>
      </c>
      <c r="C255" s="8" t="s">
        <v>584</v>
      </c>
      <c r="D255" s="11" t="n">
        <v>0.0069162037037037</v>
      </c>
      <c r="E255" s="39" t="n">
        <f aca="false">ROUND((D255-$D$5)*86400,2)</f>
        <v>58.54</v>
      </c>
      <c r="F255" s="12" t="n">
        <v>1011</v>
      </c>
      <c r="G255" s="11" t="n">
        <f aca="false">IF(INDEX(選手一覧!$D$5:$D$2736,$F255)="","",INDEX(選手一覧!$D$5:$D$2736,$F255))</f>
        <v>0.0109541666666667</v>
      </c>
      <c r="H255" s="12" t="n">
        <f aca="false">IF(INDEX(選手一覧!$E$5:$E$2736,$F255)="","",INDEX(選手一覧!$E$5:$E$2736,$F255))</f>
        <v>1012</v>
      </c>
      <c r="I255" s="11" t="n">
        <f aca="false">IF(INDEX(選手一覧!$H$5:$H$2736,$F255)="","",INDEX(選手一覧!$H$5:$H$2736,$F255))</f>
        <v>0.00285138888888889</v>
      </c>
      <c r="J255" s="12" t="n">
        <f aca="false">IF(INDEX(選手一覧!$I$5:$I$2736,$F255)="","",INDEX(選手一覧!$I$5:$I$2736,$F255))</f>
        <v>578</v>
      </c>
    </row>
    <row r="256" customFormat="false" ht="15" hidden="false" customHeight="false" outlineLevel="0" collapsed="false">
      <c r="A256" s="12" t="n">
        <v>253</v>
      </c>
      <c r="B256" s="8" t="s">
        <v>2167</v>
      </c>
      <c r="C256" s="8" t="s">
        <v>2168</v>
      </c>
      <c r="D256" s="11" t="n">
        <v>0.00691747685185185</v>
      </c>
      <c r="E256" s="39" t="n">
        <f aca="false">ROUND((D256-$D$5)*86400,2)</f>
        <v>58.65</v>
      </c>
      <c r="F256" s="12" t="n">
        <v>1383</v>
      </c>
      <c r="G256" s="11" t="str">
        <f aca="false">IF(INDEX(選手一覧!$D$5:$D$2736,$F256)="","",INDEX(選手一覧!$D$5:$D$2736,$F256))</f>
        <v/>
      </c>
      <c r="H256" s="12" t="str">
        <f aca="false">IF(INDEX(選手一覧!$E$5:$E$2736,$F256)="","",INDEX(選手一覧!$E$5:$E$2736,$F256))</f>
        <v/>
      </c>
      <c r="I256" s="11" t="n">
        <f aca="false">IF(INDEX(選手一覧!$H$5:$H$2736,$F256)="","",INDEX(選手一覧!$H$5:$H$2736,$F256))</f>
        <v>0.00288518518518519</v>
      </c>
      <c r="J256" s="12" t="n">
        <f aca="false">IF(INDEX(選手一覧!$I$5:$I$2736,$F256)="","",INDEX(選手一覧!$I$5:$I$2736,$F256))</f>
        <v>819</v>
      </c>
    </row>
    <row r="257" customFormat="false" ht="15" hidden="false" customHeight="false" outlineLevel="0" collapsed="false">
      <c r="A257" s="12" t="n">
        <v>254</v>
      </c>
      <c r="B257" s="8" t="s">
        <v>1498</v>
      </c>
      <c r="C257" s="8" t="s">
        <v>518</v>
      </c>
      <c r="D257" s="11" t="n">
        <v>0.00691886574074074</v>
      </c>
      <c r="E257" s="39" t="n">
        <f aca="false">ROUND((D257-$D$5)*86400,2)</f>
        <v>58.77</v>
      </c>
      <c r="F257" s="12" t="n">
        <v>916</v>
      </c>
      <c r="G257" s="11" t="n">
        <f aca="false">IF(INDEX(選手一覧!$D$5:$D$2736,$F257)="","",INDEX(選手一覧!$D$5:$D$2736,$F257))</f>
        <v>0.010896875</v>
      </c>
      <c r="H257" s="12" t="n">
        <f aca="false">IF(INDEX(選手一覧!$E$5:$E$2736,$F257)="","",INDEX(選手一覧!$E$5:$E$2736,$F257))</f>
        <v>917</v>
      </c>
      <c r="I257" s="11" t="str">
        <f aca="false">IF(INDEX(選手一覧!$H$5:$H$2736,$F257)="","",INDEX(選手一覧!$H$5:$H$2736,$F257))</f>
        <v/>
      </c>
      <c r="J257" s="12" t="str">
        <f aca="false">IF(INDEX(選手一覧!$I$5:$I$2736,$F257)="","",INDEX(選手一覧!$I$5:$I$2736,$F257))</f>
        <v/>
      </c>
    </row>
    <row r="258" customFormat="false" ht="15" hidden="false" customHeight="false" outlineLevel="0" collapsed="false">
      <c r="A258" s="12" t="n">
        <v>255</v>
      </c>
      <c r="B258" s="8" t="s">
        <v>2171</v>
      </c>
      <c r="C258" s="8" t="s">
        <v>1087</v>
      </c>
      <c r="D258" s="11" t="n">
        <v>0.0069193287037037</v>
      </c>
      <c r="E258" s="39" t="n">
        <f aca="false">ROUND((D258-$D$5)*86400,2)</f>
        <v>58.81</v>
      </c>
      <c r="F258" s="12" t="n">
        <v>1385</v>
      </c>
      <c r="G258" s="11" t="str">
        <f aca="false">IF(INDEX(選手一覧!$D$5:$D$2736,$F258)="","",INDEX(選手一覧!$D$5:$D$2736,$F258))</f>
        <v/>
      </c>
      <c r="H258" s="12" t="str">
        <f aca="false">IF(INDEX(選手一覧!$E$5:$E$2736,$F258)="","",INDEX(選手一覧!$E$5:$E$2736,$F258))</f>
        <v/>
      </c>
      <c r="I258" s="11" t="n">
        <f aca="false">IF(INDEX(選手一覧!$H$5:$H$2736,$F258)="","",INDEX(選手一覧!$H$5:$H$2736,$F258))</f>
        <v>0.0028662037037037</v>
      </c>
      <c r="J258" s="12" t="n">
        <f aca="false">IF(INDEX(選手一覧!$I$5:$I$2736,$F258)="","",INDEX(選手一覧!$I$5:$I$2736,$F258))</f>
        <v>671</v>
      </c>
    </row>
    <row r="259" customFormat="false" ht="15" hidden="false" customHeight="false" outlineLevel="0" collapsed="false">
      <c r="A259" s="12" t="n">
        <v>256</v>
      </c>
      <c r="B259" s="8" t="s">
        <v>2173</v>
      </c>
      <c r="C259" s="8" t="s">
        <v>2174</v>
      </c>
      <c r="D259" s="11" t="n">
        <v>0.00692048611111111</v>
      </c>
      <c r="E259" s="39" t="n">
        <f aca="false">ROUND((D259-$D$5)*86400,2)</f>
        <v>58.91</v>
      </c>
      <c r="F259" s="12" t="n">
        <v>1387</v>
      </c>
      <c r="G259" s="11" t="str">
        <f aca="false">IF(INDEX(選手一覧!$D$5:$D$2736,$F259)="","",INDEX(選手一覧!$D$5:$D$2736,$F259))</f>
        <v/>
      </c>
      <c r="H259" s="12" t="str">
        <f aca="false">IF(INDEX(選手一覧!$E$5:$E$2736,$F259)="","",INDEX(選手一覧!$E$5:$E$2736,$F259))</f>
        <v/>
      </c>
      <c r="I259" s="11" t="str">
        <f aca="false">IF(INDEX(選手一覧!$H$5:$H$2736,$F259)="","",INDEX(選手一覧!$H$5:$H$2736,$F259))</f>
        <v/>
      </c>
      <c r="J259" s="12" t="str">
        <f aca="false">IF(INDEX(選手一覧!$I$5:$I$2736,$F259)="","",INDEX(選手一覧!$I$5:$I$2736,$F259))</f>
        <v/>
      </c>
    </row>
    <row r="260" customFormat="false" ht="15" hidden="false" customHeight="false" outlineLevel="0" collapsed="false">
      <c r="A260" s="12" t="n">
        <v>257</v>
      </c>
      <c r="B260" s="8" t="s">
        <v>1829</v>
      </c>
      <c r="C260" s="8" t="s">
        <v>958</v>
      </c>
      <c r="D260" s="11" t="n">
        <v>0.00692083333333333</v>
      </c>
      <c r="E260" s="39" t="n">
        <f aca="false">ROUND((D260-$D$5)*86400,2)</f>
        <v>58.94</v>
      </c>
      <c r="F260" s="12" t="n">
        <v>1140</v>
      </c>
      <c r="G260" s="11" t="n">
        <f aca="false">IF(INDEX(選手一覧!$D$5:$D$2736,$F260)="","",INDEX(選手一覧!$D$5:$D$2736,$F260))</f>
        <v>0.0110261574074074</v>
      </c>
      <c r="H260" s="12" t="n">
        <f aca="false">IF(INDEX(選手一覧!$E$5:$E$2736,$F260)="","",INDEX(選手一覧!$E$5:$E$2736,$F260))</f>
        <v>1141</v>
      </c>
      <c r="I260" s="11" t="str">
        <f aca="false">IF(INDEX(選手一覧!$H$5:$H$2736,$F260)="","",INDEX(選手一覧!$H$5:$H$2736,$F260))</f>
        <v/>
      </c>
      <c r="J260" s="12" t="str">
        <f aca="false">IF(INDEX(選手一覧!$I$5:$I$2736,$F260)="","",INDEX(選手一覧!$I$5:$I$2736,$F260))</f>
        <v/>
      </c>
    </row>
    <row r="261" customFormat="false" ht="15" hidden="false" customHeight="false" outlineLevel="0" collapsed="false">
      <c r="A261" s="12" t="n">
        <v>258</v>
      </c>
      <c r="B261" s="8" t="s">
        <v>2176</v>
      </c>
      <c r="C261" s="8" t="s">
        <v>2111</v>
      </c>
      <c r="D261" s="11" t="n">
        <v>0.00692094907407407</v>
      </c>
      <c r="E261" s="39" t="n">
        <f aca="false">ROUND((D261-$D$5)*86400,2)</f>
        <v>58.95</v>
      </c>
      <c r="F261" s="12" t="n">
        <v>1389</v>
      </c>
      <c r="G261" s="11" t="str">
        <f aca="false">IF(INDEX(選手一覧!$D$5:$D$2736,$F261)="","",INDEX(選手一覧!$D$5:$D$2736,$F261))</f>
        <v/>
      </c>
      <c r="H261" s="12" t="str">
        <f aca="false">IF(INDEX(選手一覧!$E$5:$E$2736,$F261)="","",INDEX(選手一覧!$E$5:$E$2736,$F261))</f>
        <v/>
      </c>
      <c r="I261" s="11" t="str">
        <f aca="false">IF(INDEX(選手一覧!$H$5:$H$2736,$F261)="","",INDEX(選手一覧!$H$5:$H$2736,$F261))</f>
        <v/>
      </c>
      <c r="J261" s="12" t="str">
        <f aca="false">IF(INDEX(選手一覧!$I$5:$I$2736,$F261)="","",INDEX(選手一覧!$I$5:$I$2736,$F261))</f>
        <v/>
      </c>
    </row>
    <row r="262" customFormat="false" ht="15" hidden="false" customHeight="false" outlineLevel="0" collapsed="false">
      <c r="A262" s="12" t="n">
        <v>259</v>
      </c>
      <c r="B262" s="8" t="s">
        <v>1529</v>
      </c>
      <c r="C262" s="8" t="s">
        <v>94</v>
      </c>
      <c r="D262" s="11" t="n">
        <v>0.0069212962962963</v>
      </c>
      <c r="E262" s="39" t="n">
        <f aca="false">ROUND((D262-$D$5)*86400,2)</f>
        <v>58.98</v>
      </c>
      <c r="F262" s="12" t="n">
        <v>936</v>
      </c>
      <c r="G262" s="11" t="n">
        <f aca="false">IF(INDEX(選手一覧!$D$5:$D$2736,$F262)="","",INDEX(選手一覧!$D$5:$D$2736,$F262))</f>
        <v>0.0109090277777778</v>
      </c>
      <c r="H262" s="12" t="n">
        <f aca="false">IF(INDEX(選手一覧!$E$5:$E$2736,$F262)="","",INDEX(選手一覧!$E$5:$E$2736,$F262))</f>
        <v>937</v>
      </c>
      <c r="I262" s="11" t="n">
        <f aca="false">IF(INDEX(選手一覧!$H$5:$H$2736,$F262)="","",INDEX(選手一覧!$H$5:$H$2736,$F262))</f>
        <v>0.00285833333333333</v>
      </c>
      <c r="J262" s="12" t="n">
        <f aca="false">IF(INDEX(選手一覧!$I$5:$I$2736,$F262)="","",INDEX(選手一覧!$I$5:$I$2736,$F262))</f>
        <v>624</v>
      </c>
    </row>
    <row r="263" customFormat="false" ht="15" hidden="false" customHeight="false" outlineLevel="0" collapsed="false">
      <c r="A263" s="12" t="n">
        <v>260</v>
      </c>
      <c r="B263" s="8" t="s">
        <v>2178</v>
      </c>
      <c r="C263" s="8" t="s">
        <v>2044</v>
      </c>
      <c r="D263" s="11" t="n">
        <v>0.00692233796296296</v>
      </c>
      <c r="E263" s="39" t="n">
        <f aca="false">ROUND((D263-$D$5)*86400,2)</f>
        <v>59.07</v>
      </c>
      <c r="F263" s="12" t="n">
        <v>1391</v>
      </c>
      <c r="G263" s="11" t="str">
        <f aca="false">IF(INDEX(選手一覧!$D$5:$D$2736,$F263)="","",INDEX(選手一覧!$D$5:$D$2736,$F263))</f>
        <v/>
      </c>
      <c r="H263" s="12" t="str">
        <f aca="false">IF(INDEX(選手一覧!$E$5:$E$2736,$F263)="","",INDEX(選手一覧!$E$5:$E$2736,$F263))</f>
        <v/>
      </c>
      <c r="I263" s="11" t="str">
        <f aca="false">IF(INDEX(選手一覧!$H$5:$H$2736,$F263)="","",INDEX(選手一覧!$H$5:$H$2736,$F263))</f>
        <v/>
      </c>
      <c r="J263" s="12" t="str">
        <f aca="false">IF(INDEX(選手一覧!$I$5:$I$2736,$F263)="","",INDEX(選手一覧!$I$5:$I$2736,$F263))</f>
        <v/>
      </c>
    </row>
    <row r="264" customFormat="false" ht="15" hidden="false" customHeight="false" outlineLevel="0" collapsed="false">
      <c r="A264" s="12" t="n">
        <v>261</v>
      </c>
      <c r="B264" s="8" t="s">
        <v>2179</v>
      </c>
      <c r="C264" s="8" t="s">
        <v>2180</v>
      </c>
      <c r="D264" s="11" t="n">
        <v>0.00692268518518519</v>
      </c>
      <c r="E264" s="39" t="n">
        <f aca="false">ROUND((D264-$D$5)*86400,2)</f>
        <v>59.1</v>
      </c>
      <c r="F264" s="12" t="n">
        <v>1392</v>
      </c>
      <c r="G264" s="11" t="str">
        <f aca="false">IF(INDEX(選手一覧!$D$5:$D$2736,$F264)="","",INDEX(選手一覧!$D$5:$D$2736,$F264))</f>
        <v/>
      </c>
      <c r="H264" s="12" t="str">
        <f aca="false">IF(INDEX(選手一覧!$E$5:$E$2736,$F264)="","",INDEX(選手一覧!$E$5:$E$2736,$F264))</f>
        <v/>
      </c>
      <c r="I264" s="11" t="n">
        <f aca="false">IF(INDEX(選手一覧!$H$5:$H$2736,$F264)="","",INDEX(選手一覧!$H$5:$H$2736,$F264))</f>
        <v>0.00291805555555556</v>
      </c>
      <c r="J264" s="12" t="n">
        <f aca="false">IF(INDEX(選手一覧!$I$5:$I$2736,$F264)="","",INDEX(選手一覧!$I$5:$I$2736,$F264))</f>
        <v>1076</v>
      </c>
    </row>
    <row r="265" customFormat="false" ht="15" hidden="false" customHeight="false" outlineLevel="0" collapsed="false">
      <c r="A265" s="12" t="n">
        <v>262</v>
      </c>
      <c r="B265" s="8" t="s">
        <v>2181</v>
      </c>
      <c r="C265" s="8" t="s">
        <v>1339</v>
      </c>
      <c r="D265" s="11" t="n">
        <v>0.00692280092592593</v>
      </c>
      <c r="E265" s="39" t="n">
        <f aca="false">ROUND((D265-$D$5)*86400,2)</f>
        <v>59.11</v>
      </c>
      <c r="F265" s="12" t="n">
        <v>1393</v>
      </c>
      <c r="G265" s="11" t="str">
        <f aca="false">IF(INDEX(選手一覧!$D$5:$D$2736,$F265)="","",INDEX(選手一覧!$D$5:$D$2736,$F265))</f>
        <v/>
      </c>
      <c r="H265" s="12" t="str">
        <f aca="false">IF(INDEX(選手一覧!$E$5:$E$2736,$F265)="","",INDEX(選手一覧!$E$5:$E$2736,$F265))</f>
        <v/>
      </c>
      <c r="I265" s="11" t="str">
        <f aca="false">IF(INDEX(選手一覧!$H$5:$H$2736,$F265)="","",INDEX(選手一覧!$H$5:$H$2736,$F265))</f>
        <v/>
      </c>
      <c r="J265" s="12" t="str">
        <f aca="false">IF(INDEX(選手一覧!$I$5:$I$2736,$F265)="","",INDEX(選手一覧!$I$5:$I$2736,$F265))</f>
        <v/>
      </c>
    </row>
    <row r="266" customFormat="false" ht="15" hidden="false" customHeight="false" outlineLevel="0" collapsed="false">
      <c r="A266" s="12" t="n">
        <v>263</v>
      </c>
      <c r="B266" s="8" t="s">
        <v>2182</v>
      </c>
      <c r="C266" s="8" t="s">
        <v>1684</v>
      </c>
      <c r="D266" s="11" t="n">
        <v>0.00692361111111111</v>
      </c>
      <c r="E266" s="39" t="n">
        <f aca="false">ROUND((D266-$D$5)*86400,2)</f>
        <v>59.18</v>
      </c>
      <c r="F266" s="12" t="n">
        <v>1394</v>
      </c>
      <c r="G266" s="11" t="str">
        <f aca="false">IF(INDEX(選手一覧!$D$5:$D$2736,$F266)="","",INDEX(選手一覧!$D$5:$D$2736,$F266))</f>
        <v/>
      </c>
      <c r="H266" s="12" t="str">
        <f aca="false">IF(INDEX(選手一覧!$E$5:$E$2736,$F266)="","",INDEX(選手一覧!$E$5:$E$2736,$F266))</f>
        <v/>
      </c>
      <c r="I266" s="11" t="str">
        <f aca="false">IF(INDEX(選手一覧!$H$5:$H$2736,$F266)="","",INDEX(選手一覧!$H$5:$H$2736,$F266))</f>
        <v/>
      </c>
      <c r="J266" s="12" t="str">
        <f aca="false">IF(INDEX(選手一覧!$I$5:$I$2736,$F266)="","",INDEX(選手一覧!$I$5:$I$2736,$F266))</f>
        <v/>
      </c>
    </row>
    <row r="267" customFormat="false" ht="15" hidden="false" customHeight="false" outlineLevel="0" collapsed="false">
      <c r="A267" s="12" t="n">
        <v>264</v>
      </c>
      <c r="B267" s="8" t="s">
        <v>2183</v>
      </c>
      <c r="C267" s="8" t="s">
        <v>2184</v>
      </c>
      <c r="D267" s="11" t="n">
        <v>0.00692488425925926</v>
      </c>
      <c r="E267" s="39" t="n">
        <f aca="false">ROUND((D267-$D$5)*86400,2)</f>
        <v>59.29</v>
      </c>
      <c r="F267" s="12" t="n">
        <v>1395</v>
      </c>
      <c r="G267" s="11" t="str">
        <f aca="false">IF(INDEX(選手一覧!$D$5:$D$2736,$F267)="","",INDEX(選手一覧!$D$5:$D$2736,$F267))</f>
        <v/>
      </c>
      <c r="H267" s="12" t="str">
        <f aca="false">IF(INDEX(選手一覧!$E$5:$E$2736,$F267)="","",INDEX(選手一覧!$E$5:$E$2736,$F267))</f>
        <v/>
      </c>
      <c r="I267" s="11" t="str">
        <f aca="false">IF(INDEX(選手一覧!$H$5:$H$2736,$F267)="","",INDEX(選手一覧!$H$5:$H$2736,$F267))</f>
        <v/>
      </c>
      <c r="J267" s="12" t="str">
        <f aca="false">IF(INDEX(選手一覧!$I$5:$I$2736,$F267)="","",INDEX(選手一覧!$I$5:$I$2736,$F267))</f>
        <v/>
      </c>
    </row>
    <row r="268" customFormat="false" ht="15" hidden="false" customHeight="false" outlineLevel="0" collapsed="false">
      <c r="A268" s="12" t="n">
        <v>265</v>
      </c>
      <c r="B268" s="8" t="s">
        <v>2185</v>
      </c>
      <c r="C268" s="8" t="s">
        <v>2186</v>
      </c>
      <c r="D268" s="11" t="n">
        <v>0.00692604166666667</v>
      </c>
      <c r="E268" s="39" t="n">
        <f aca="false">ROUND((D268-$D$5)*86400,2)</f>
        <v>59.39</v>
      </c>
      <c r="F268" s="12" t="n">
        <v>1396</v>
      </c>
      <c r="G268" s="11" t="str">
        <f aca="false">IF(INDEX(選手一覧!$D$5:$D$2736,$F268)="","",INDEX(選手一覧!$D$5:$D$2736,$F268))</f>
        <v/>
      </c>
      <c r="H268" s="12" t="str">
        <f aca="false">IF(INDEX(選手一覧!$E$5:$E$2736,$F268)="","",INDEX(選手一覧!$E$5:$E$2736,$F268))</f>
        <v/>
      </c>
      <c r="I268" s="11" t="str">
        <f aca="false">IF(INDEX(選手一覧!$H$5:$H$2736,$F268)="","",INDEX(選手一覧!$H$5:$H$2736,$F268))</f>
        <v/>
      </c>
      <c r="J268" s="12" t="str">
        <f aca="false">IF(INDEX(選手一覧!$I$5:$I$2736,$F268)="","",INDEX(選手一覧!$I$5:$I$2736,$F268))</f>
        <v/>
      </c>
    </row>
    <row r="269" customFormat="false" ht="15" hidden="false" customHeight="false" outlineLevel="0" collapsed="false">
      <c r="A269" s="12" t="n">
        <v>266</v>
      </c>
      <c r="B269" s="8" t="s">
        <v>359</v>
      </c>
      <c r="C269" s="8" t="s">
        <v>70</v>
      </c>
      <c r="D269" s="11" t="n">
        <v>0.00692604166666667</v>
      </c>
      <c r="E269" s="39" t="n">
        <f aca="false">ROUND((D269-$D$5)*86400,2)</f>
        <v>59.39</v>
      </c>
      <c r="F269" s="12" t="n">
        <v>179</v>
      </c>
      <c r="G269" s="11" t="n">
        <f aca="false">IF(INDEX(選手一覧!$D$5:$D$2736,$F269)="","",INDEX(選手一覧!$D$5:$D$2736,$F269))</f>
        <v>0.0103270833333333</v>
      </c>
      <c r="H269" s="12" t="n">
        <f aca="false">IF(INDEX(選手一覧!$E$5:$E$2736,$F269)="","",INDEX(選手一覧!$E$5:$E$2736,$F269))</f>
        <v>180</v>
      </c>
      <c r="I269" s="11" t="n">
        <f aca="false">IF(INDEX(選手一覧!$H$5:$H$2736,$F269)="","",INDEX(選手一覧!$H$5:$H$2736,$F269))</f>
        <v>0.00286608796296296</v>
      </c>
      <c r="J269" s="12" t="n">
        <f aca="false">IF(INDEX(選手一覧!$I$5:$I$2736,$F269)="","",INDEX(選手一覧!$I$5:$I$2736,$F269))</f>
        <v>670</v>
      </c>
    </row>
    <row r="270" customFormat="false" ht="15" hidden="false" customHeight="false" outlineLevel="0" collapsed="false">
      <c r="A270" s="12" t="n">
        <v>267</v>
      </c>
      <c r="B270" s="8" t="s">
        <v>1534</v>
      </c>
      <c r="C270" s="8" t="s">
        <v>471</v>
      </c>
      <c r="D270" s="11" t="n">
        <v>0.00692696759259259</v>
      </c>
      <c r="E270" s="39" t="n">
        <f aca="false">ROUND((D270-$D$5)*86400,2)</f>
        <v>59.47</v>
      </c>
      <c r="F270" s="12" t="n">
        <v>939</v>
      </c>
      <c r="G270" s="11" t="n">
        <f aca="false">IF(INDEX(選手一覧!$D$5:$D$2736,$F270)="","",INDEX(選手一覧!$D$5:$D$2736,$F270))</f>
        <v>0.0109114583333333</v>
      </c>
      <c r="H270" s="12" t="n">
        <f aca="false">IF(INDEX(選手一覧!$E$5:$E$2736,$F270)="","",INDEX(選手一覧!$E$5:$E$2736,$F270))</f>
        <v>940</v>
      </c>
      <c r="I270" s="11" t="n">
        <f aca="false">IF(INDEX(選手一覧!$H$5:$H$2736,$F270)="","",INDEX(選手一覧!$H$5:$H$2736,$F270))</f>
        <v>0.00289166666666667</v>
      </c>
      <c r="J270" s="12" t="n">
        <f aca="false">IF(INDEX(選手一覧!$I$5:$I$2736,$F270)="","",INDEX(選手一覧!$I$5:$I$2736,$F270))</f>
        <v>884</v>
      </c>
    </row>
    <row r="271" customFormat="false" ht="15" hidden="false" customHeight="false" outlineLevel="0" collapsed="false">
      <c r="A271" s="12" t="n">
        <v>268</v>
      </c>
      <c r="B271" s="8" t="s">
        <v>2189</v>
      </c>
      <c r="C271" s="8" t="s">
        <v>192</v>
      </c>
      <c r="D271" s="11" t="n">
        <v>0.0069275462962963</v>
      </c>
      <c r="E271" s="39" t="n">
        <f aca="false">ROUND((D271-$D$5)*86400,2)</f>
        <v>59.52</v>
      </c>
      <c r="F271" s="12" t="n">
        <v>1398</v>
      </c>
      <c r="G271" s="11" t="str">
        <f aca="false">IF(INDEX(選手一覧!$D$5:$D$2736,$F271)="","",INDEX(選手一覧!$D$5:$D$2736,$F271))</f>
        <v/>
      </c>
      <c r="H271" s="12" t="str">
        <f aca="false">IF(INDEX(選手一覧!$E$5:$E$2736,$F271)="","",INDEX(選手一覧!$E$5:$E$2736,$F271))</f>
        <v/>
      </c>
      <c r="I271" s="11" t="str">
        <f aca="false">IF(INDEX(選手一覧!$H$5:$H$2736,$F271)="","",INDEX(選手一覧!$H$5:$H$2736,$F271))</f>
        <v/>
      </c>
      <c r="J271" s="12" t="str">
        <f aca="false">IF(INDEX(選手一覧!$I$5:$I$2736,$F271)="","",INDEX(選手一覧!$I$5:$I$2736,$F271))</f>
        <v/>
      </c>
    </row>
    <row r="272" customFormat="false" ht="15" hidden="false" customHeight="false" outlineLevel="0" collapsed="false">
      <c r="A272" s="12" t="n">
        <v>269</v>
      </c>
      <c r="B272" s="8" t="s">
        <v>2190</v>
      </c>
      <c r="C272" s="8" t="s">
        <v>910</v>
      </c>
      <c r="D272" s="11" t="n">
        <v>0.0069287037037037</v>
      </c>
      <c r="E272" s="39" t="n">
        <f aca="false">ROUND((D272-$D$5)*86400,2)</f>
        <v>59.62</v>
      </c>
      <c r="F272" s="12" t="n">
        <v>1399</v>
      </c>
      <c r="G272" s="11" t="str">
        <f aca="false">IF(INDEX(選手一覧!$D$5:$D$2736,$F272)="","",INDEX(選手一覧!$D$5:$D$2736,$F272))</f>
        <v/>
      </c>
      <c r="H272" s="12" t="str">
        <f aca="false">IF(INDEX(選手一覧!$E$5:$E$2736,$F272)="","",INDEX(選手一覧!$E$5:$E$2736,$F272))</f>
        <v/>
      </c>
      <c r="I272" s="11" t="str">
        <f aca="false">IF(INDEX(選手一覧!$H$5:$H$2736,$F272)="","",INDEX(選手一覧!$H$5:$H$2736,$F272))</f>
        <v/>
      </c>
      <c r="J272" s="12" t="str">
        <f aca="false">IF(INDEX(選手一覧!$I$5:$I$2736,$F272)="","",INDEX(選手一覧!$I$5:$I$2736,$F272))</f>
        <v/>
      </c>
    </row>
    <row r="273" customFormat="false" ht="15" hidden="false" customHeight="false" outlineLevel="0" collapsed="false">
      <c r="A273" s="12" t="n">
        <v>270</v>
      </c>
      <c r="B273" s="8" t="s">
        <v>2191</v>
      </c>
      <c r="C273" s="8" t="s">
        <v>1825</v>
      </c>
      <c r="D273" s="11" t="n">
        <v>0.00692916666666667</v>
      </c>
      <c r="E273" s="39" t="n">
        <f aca="false">ROUND((D273-$D$5)*86400,2)</f>
        <v>59.66</v>
      </c>
      <c r="F273" s="12" t="n">
        <v>1400</v>
      </c>
      <c r="G273" s="11" t="str">
        <f aca="false">IF(INDEX(選手一覧!$D$5:$D$2736,$F273)="","",INDEX(選手一覧!$D$5:$D$2736,$F273))</f>
        <v/>
      </c>
      <c r="H273" s="12" t="str">
        <f aca="false">IF(INDEX(選手一覧!$E$5:$E$2736,$F273)="","",INDEX(選手一覧!$E$5:$E$2736,$F273))</f>
        <v/>
      </c>
      <c r="I273" s="11" t="str">
        <f aca="false">IF(INDEX(選手一覧!$H$5:$H$2736,$F273)="","",INDEX(選手一覧!$H$5:$H$2736,$F273))</f>
        <v/>
      </c>
      <c r="J273" s="12" t="str">
        <f aca="false">IF(INDEX(選手一覧!$I$5:$I$2736,$F273)="","",INDEX(選手一覧!$I$5:$I$2736,$F273))</f>
        <v/>
      </c>
    </row>
    <row r="274" customFormat="false" ht="15" hidden="false" customHeight="false" outlineLevel="0" collapsed="false">
      <c r="A274" s="12" t="n">
        <v>271</v>
      </c>
      <c r="B274" s="8" t="s">
        <v>2132</v>
      </c>
      <c r="C274" s="8" t="s">
        <v>1496</v>
      </c>
      <c r="D274" s="11" t="n">
        <v>0.00692916666666667</v>
      </c>
      <c r="E274" s="39" t="n">
        <f aca="false">ROUND((D274-$D$5)*86400,2)</f>
        <v>59.66</v>
      </c>
      <c r="F274" s="12" t="n">
        <v>1357</v>
      </c>
      <c r="G274" s="11" t="str">
        <f aca="false">IF(INDEX(選手一覧!$D$5:$D$2736,$F274)="","",INDEX(選手一覧!$D$5:$D$2736,$F274))</f>
        <v/>
      </c>
      <c r="H274" s="12" t="str">
        <f aca="false">IF(INDEX(選手一覧!$E$5:$E$2736,$F274)="","",INDEX(選手一覧!$E$5:$E$2736,$F274))</f>
        <v/>
      </c>
      <c r="I274" s="11" t="n">
        <f aca="false">IF(INDEX(選手一覧!$H$5:$H$2736,$F274)="","",INDEX(選手一覧!$H$5:$H$2736,$F274))</f>
        <v>0.00278564814814815</v>
      </c>
      <c r="J274" s="12" t="n">
        <f aca="false">IF(INDEX(選手一覧!$I$5:$I$2736,$F274)="","",INDEX(選手一覧!$I$5:$I$2736,$F274))</f>
        <v>220</v>
      </c>
    </row>
    <row r="275" customFormat="false" ht="15" hidden="false" customHeight="false" outlineLevel="0" collapsed="false">
      <c r="A275" s="12" t="n">
        <v>272</v>
      </c>
      <c r="B275" s="8" t="s">
        <v>2194</v>
      </c>
      <c r="C275" s="8" t="s">
        <v>2195</v>
      </c>
      <c r="D275" s="11" t="n">
        <v>0.00692986111111111</v>
      </c>
      <c r="E275" s="39" t="n">
        <f aca="false">ROUND((D275-$D$5)*86400,2)</f>
        <v>59.72</v>
      </c>
      <c r="F275" s="12" t="n">
        <v>1402</v>
      </c>
      <c r="G275" s="11" t="str">
        <f aca="false">IF(INDEX(選手一覧!$D$5:$D$2736,$F275)="","",INDEX(選手一覧!$D$5:$D$2736,$F275))</f>
        <v/>
      </c>
      <c r="H275" s="12" t="str">
        <f aca="false">IF(INDEX(選手一覧!$E$5:$E$2736,$F275)="","",INDEX(選手一覧!$E$5:$E$2736,$F275))</f>
        <v/>
      </c>
      <c r="I275" s="11" t="str">
        <f aca="false">IF(INDEX(選手一覧!$H$5:$H$2736,$F275)="","",INDEX(選手一覧!$H$5:$H$2736,$F275))</f>
        <v/>
      </c>
      <c r="J275" s="12" t="str">
        <f aca="false">IF(INDEX(選手一覧!$I$5:$I$2736,$F275)="","",INDEX(選手一覧!$I$5:$I$2736,$F275))</f>
        <v/>
      </c>
    </row>
    <row r="276" customFormat="false" ht="15" hidden="false" customHeight="false" outlineLevel="0" collapsed="false">
      <c r="A276" s="12" t="n">
        <v>273</v>
      </c>
      <c r="B276" s="8" t="s">
        <v>1245</v>
      </c>
      <c r="C276" s="8" t="s">
        <v>207</v>
      </c>
      <c r="D276" s="11" t="n">
        <v>0.00692986111111111</v>
      </c>
      <c r="E276" s="39" t="n">
        <f aca="false">ROUND((D276-$D$5)*86400,2)</f>
        <v>59.72</v>
      </c>
      <c r="F276" s="12" t="n">
        <v>746</v>
      </c>
      <c r="G276" s="11" t="n">
        <f aca="false">IF(INDEX(選手一覧!$D$5:$D$2736,$F276)="","",INDEX(選手一覧!$D$5:$D$2736,$F276))</f>
        <v>0.0108023148148148</v>
      </c>
      <c r="H276" s="12" t="n">
        <f aca="false">IF(INDEX(選手一覧!$E$5:$E$2736,$F276)="","",INDEX(選手一覧!$E$5:$E$2736,$F276))</f>
        <v>747</v>
      </c>
      <c r="I276" s="11" t="n">
        <f aca="false">IF(INDEX(選手一覧!$H$5:$H$2736,$F276)="","",INDEX(選手一覧!$H$5:$H$2736,$F276))</f>
        <v>0.00288194444444444</v>
      </c>
      <c r="J276" s="12" t="n">
        <f aca="false">IF(INDEX(選手一覧!$I$5:$I$2736,$F276)="","",INDEX(選手一覧!$I$5:$I$2736,$F276))</f>
        <v>791</v>
      </c>
    </row>
    <row r="277" customFormat="false" ht="15" hidden="false" customHeight="false" outlineLevel="0" collapsed="false">
      <c r="A277" s="12" t="n">
        <v>274</v>
      </c>
      <c r="B277" s="8" t="s">
        <v>372</v>
      </c>
      <c r="C277" s="8" t="s">
        <v>373</v>
      </c>
      <c r="D277" s="11" t="n">
        <v>0.00693090277777778</v>
      </c>
      <c r="E277" s="39" t="n">
        <f aca="false">ROUND((D277-$D$5)*86400,2)</f>
        <v>59.81</v>
      </c>
      <c r="F277" s="12" t="n">
        <v>186</v>
      </c>
      <c r="G277" s="11" t="n">
        <f aca="false">IF(INDEX(選手一覧!$D$5:$D$2736,$F277)="","",INDEX(選手一覧!$D$5:$D$2736,$F277))</f>
        <v>0.0103375</v>
      </c>
      <c r="H277" s="12" t="n">
        <f aca="false">IF(INDEX(選手一覧!$E$5:$E$2736,$F277)="","",INDEX(選手一覧!$E$5:$E$2736,$F277))</f>
        <v>187</v>
      </c>
      <c r="I277" s="11" t="n">
        <f aca="false">IF(INDEX(選手一覧!$H$5:$H$2736,$F277)="","",INDEX(選手一覧!$H$5:$H$2736,$F277))</f>
        <v>0.00290196759259259</v>
      </c>
      <c r="J277" s="12" t="n">
        <f aca="false">IF(INDEX(選手一覧!$I$5:$I$2736,$F277)="","",INDEX(選手一覧!$I$5:$I$2736,$F277))</f>
        <v>964</v>
      </c>
    </row>
    <row r="278" customFormat="false" ht="15" hidden="false" customHeight="false" outlineLevel="0" collapsed="false">
      <c r="A278" s="12" t="n">
        <v>275</v>
      </c>
      <c r="B278" s="8" t="s">
        <v>2196</v>
      </c>
      <c r="C278" s="8" t="s">
        <v>982</v>
      </c>
      <c r="D278" s="11" t="n">
        <v>0.00693159722222222</v>
      </c>
      <c r="E278" s="39" t="n">
        <f aca="false">ROUND((D278-$D$5)*86400,2)</f>
        <v>59.87</v>
      </c>
      <c r="F278" s="12" t="n">
        <v>1403</v>
      </c>
      <c r="G278" s="11" t="str">
        <f aca="false">IF(INDEX(選手一覧!$D$5:$D$2736,$F278)="","",INDEX(選手一覧!$D$5:$D$2736,$F278))</f>
        <v/>
      </c>
      <c r="H278" s="12" t="str">
        <f aca="false">IF(INDEX(選手一覧!$E$5:$E$2736,$F278)="","",INDEX(選手一覧!$E$5:$E$2736,$F278))</f>
        <v/>
      </c>
      <c r="I278" s="11" t="str">
        <f aca="false">IF(INDEX(選手一覧!$H$5:$H$2736,$F278)="","",INDEX(選手一覧!$H$5:$H$2736,$F278))</f>
        <v/>
      </c>
      <c r="J278" s="12" t="str">
        <f aca="false">IF(INDEX(選手一覧!$I$5:$I$2736,$F278)="","",INDEX(選手一覧!$I$5:$I$2736,$F278))</f>
        <v/>
      </c>
    </row>
    <row r="279" customFormat="false" ht="15" hidden="false" customHeight="false" outlineLevel="0" collapsed="false">
      <c r="A279" s="12" t="n">
        <v>276</v>
      </c>
      <c r="B279" s="8" t="s">
        <v>2197</v>
      </c>
      <c r="C279" s="8" t="s">
        <v>1114</v>
      </c>
      <c r="D279" s="11" t="n">
        <v>0.00693333333333333</v>
      </c>
      <c r="E279" s="39" t="n">
        <f aca="false">ROUND((D279-$D$5)*86400,2)</f>
        <v>60.02</v>
      </c>
      <c r="F279" s="12" t="n">
        <v>1404</v>
      </c>
      <c r="G279" s="11" t="str">
        <f aca="false">IF(INDEX(選手一覧!$D$5:$D$2736,$F279)="","",INDEX(選手一覧!$D$5:$D$2736,$F279))</f>
        <v/>
      </c>
      <c r="H279" s="12" t="str">
        <f aca="false">IF(INDEX(選手一覧!$E$5:$E$2736,$F279)="","",INDEX(選手一覧!$E$5:$E$2736,$F279))</f>
        <v/>
      </c>
      <c r="I279" s="11" t="str">
        <f aca="false">IF(INDEX(選手一覧!$H$5:$H$2736,$F279)="","",INDEX(選手一覧!$H$5:$H$2736,$F279))</f>
        <v/>
      </c>
      <c r="J279" s="12" t="str">
        <f aca="false">IF(INDEX(選手一覧!$I$5:$I$2736,$F279)="","",INDEX(選手一覧!$I$5:$I$2736,$F279))</f>
        <v/>
      </c>
    </row>
    <row r="280" customFormat="false" ht="15" hidden="false" customHeight="false" outlineLevel="0" collapsed="false">
      <c r="A280" s="12" t="n">
        <v>277</v>
      </c>
      <c r="B280" s="8" t="s">
        <v>2198</v>
      </c>
      <c r="C280" s="8" t="s">
        <v>2199</v>
      </c>
      <c r="D280" s="11" t="n">
        <v>0.00693425925925926</v>
      </c>
      <c r="E280" s="39" t="n">
        <f aca="false">ROUND((D280-$D$5)*86400,2)</f>
        <v>60.1</v>
      </c>
      <c r="F280" s="12" t="n">
        <v>1405</v>
      </c>
      <c r="G280" s="11" t="str">
        <f aca="false">IF(INDEX(選手一覧!$D$5:$D$2736,$F280)="","",INDEX(選手一覧!$D$5:$D$2736,$F280))</f>
        <v/>
      </c>
      <c r="H280" s="12" t="str">
        <f aca="false">IF(INDEX(選手一覧!$E$5:$E$2736,$F280)="","",INDEX(選手一覧!$E$5:$E$2736,$F280))</f>
        <v/>
      </c>
      <c r="I280" s="11" t="str">
        <f aca="false">IF(INDEX(選手一覧!$H$5:$H$2736,$F280)="","",INDEX(選手一覧!$H$5:$H$2736,$F280))</f>
        <v/>
      </c>
      <c r="J280" s="12" t="str">
        <f aca="false">IF(INDEX(選手一覧!$I$5:$I$2736,$F280)="","",INDEX(選手一覧!$I$5:$I$2736,$F280))</f>
        <v/>
      </c>
    </row>
    <row r="281" customFormat="false" ht="15" hidden="false" customHeight="false" outlineLevel="0" collapsed="false">
      <c r="A281" s="12" t="n">
        <v>278</v>
      </c>
      <c r="B281" s="8" t="s">
        <v>330</v>
      </c>
      <c r="C281" s="8" t="s">
        <v>160</v>
      </c>
      <c r="D281" s="11" t="n">
        <v>0.00693576388888889</v>
      </c>
      <c r="E281" s="39" t="n">
        <f aca="false">ROUND((D281-$D$5)*86400,2)</f>
        <v>60.23</v>
      </c>
      <c r="F281" s="12" t="n">
        <v>162</v>
      </c>
      <c r="G281" s="11" t="n">
        <f aca="false">IF(INDEX(選手一覧!$D$5:$D$2736,$F281)="","",INDEX(選手一覧!$D$5:$D$2736,$F281))</f>
        <v>0.0103019675925926</v>
      </c>
      <c r="H281" s="12" t="n">
        <f aca="false">IF(INDEX(選手一覧!$E$5:$E$2736,$F281)="","",INDEX(選手一覧!$E$5:$E$2736,$F281))</f>
        <v>163</v>
      </c>
      <c r="I281" s="11" t="n">
        <f aca="false">IF(INDEX(選手一覧!$H$5:$H$2736,$F281)="","",INDEX(選手一覧!$H$5:$H$2736,$F281))</f>
        <v>0.00278275462962963</v>
      </c>
      <c r="J281" s="12" t="n">
        <f aca="false">IF(INDEX(選手一覧!$I$5:$I$2736,$F281)="","",INDEX(選手一覧!$I$5:$I$2736,$F281))</f>
        <v>212</v>
      </c>
    </row>
    <row r="282" customFormat="false" ht="15" hidden="false" customHeight="false" outlineLevel="0" collapsed="false">
      <c r="A282" s="12" t="n">
        <v>279</v>
      </c>
      <c r="B282" s="8" t="s">
        <v>2200</v>
      </c>
      <c r="C282" s="8" t="s">
        <v>390</v>
      </c>
      <c r="D282" s="11" t="n">
        <v>0.00693668981481482</v>
      </c>
      <c r="E282" s="39" t="n">
        <f aca="false">ROUND((D282-$D$5)*86400,2)</f>
        <v>60.31</v>
      </c>
      <c r="F282" s="12" t="n">
        <v>1406</v>
      </c>
      <c r="G282" s="11" t="str">
        <f aca="false">IF(INDEX(選手一覧!$D$5:$D$2736,$F282)="","",INDEX(選手一覧!$D$5:$D$2736,$F282))</f>
        <v/>
      </c>
      <c r="H282" s="12" t="str">
        <f aca="false">IF(INDEX(選手一覧!$E$5:$E$2736,$F282)="","",INDEX(選手一覧!$E$5:$E$2736,$F282))</f>
        <v/>
      </c>
      <c r="I282" s="11" t="str">
        <f aca="false">IF(INDEX(選手一覧!$H$5:$H$2736,$F282)="","",INDEX(選手一覧!$H$5:$H$2736,$F282))</f>
        <v/>
      </c>
      <c r="J282" s="12" t="str">
        <f aca="false">IF(INDEX(選手一覧!$I$5:$I$2736,$F282)="","",INDEX(選手一覧!$I$5:$I$2736,$F282))</f>
        <v/>
      </c>
    </row>
    <row r="283" customFormat="false" ht="15" hidden="false" customHeight="false" outlineLevel="0" collapsed="false">
      <c r="A283" s="12" t="n">
        <v>280</v>
      </c>
      <c r="B283" s="8" t="s">
        <v>302</v>
      </c>
      <c r="C283" s="8" t="s">
        <v>200</v>
      </c>
      <c r="D283" s="11" t="n">
        <v>0.00693680555555556</v>
      </c>
      <c r="E283" s="39" t="n">
        <f aca="false">ROUND((D283-$D$5)*86400,2)</f>
        <v>60.32</v>
      </c>
      <c r="F283" s="12" t="n">
        <v>148</v>
      </c>
      <c r="G283" s="11" t="n">
        <f aca="false">IF(INDEX(選手一覧!$D$5:$D$2736,$F283)="","",INDEX(選手一覧!$D$5:$D$2736,$F283))</f>
        <v>0.0102820601851852</v>
      </c>
      <c r="H283" s="12" t="n">
        <f aca="false">IF(INDEX(選手一覧!$E$5:$E$2736,$F283)="","",INDEX(選手一覧!$E$5:$E$2736,$F283))</f>
        <v>149</v>
      </c>
      <c r="I283" s="11" t="n">
        <f aca="false">IF(INDEX(選手一覧!$H$5:$H$2736,$F283)="","",INDEX(選手一覧!$H$5:$H$2736,$F283))</f>
        <v>0.00288113425925926</v>
      </c>
      <c r="J283" s="12" t="n">
        <f aca="false">IF(INDEX(選手一覧!$I$5:$I$2736,$F283)="","",INDEX(選手一覧!$I$5:$I$2736,$F283))</f>
        <v>778</v>
      </c>
    </row>
    <row r="284" customFormat="false" ht="15" hidden="false" customHeight="false" outlineLevel="0" collapsed="false">
      <c r="A284" s="12" t="n">
        <v>281</v>
      </c>
      <c r="B284" s="8" t="s">
        <v>2202</v>
      </c>
      <c r="C284" s="8" t="s">
        <v>73</v>
      </c>
      <c r="D284" s="11" t="n">
        <v>0.00693865740740741</v>
      </c>
      <c r="E284" s="39" t="n">
        <f aca="false">ROUND((D284-$D$5)*86400,2)</f>
        <v>60.48</v>
      </c>
      <c r="F284" s="12" t="n">
        <v>1408</v>
      </c>
      <c r="G284" s="11" t="str">
        <f aca="false">IF(INDEX(選手一覧!$D$5:$D$2736,$F284)="","",INDEX(選手一覧!$D$5:$D$2736,$F284))</f>
        <v/>
      </c>
      <c r="H284" s="12" t="str">
        <f aca="false">IF(INDEX(選手一覧!$E$5:$E$2736,$F284)="","",INDEX(選手一覧!$E$5:$E$2736,$F284))</f>
        <v/>
      </c>
      <c r="I284" s="11" t="n">
        <f aca="false">IF(INDEX(選手一覧!$H$5:$H$2736,$F284)="","",INDEX(選手一覧!$H$5:$H$2736,$F284))</f>
        <v>0.00288761574074074</v>
      </c>
      <c r="J284" s="12" t="n">
        <f aca="false">IF(INDEX(選手一覧!$I$5:$I$2736,$F284)="","",INDEX(選手一覧!$I$5:$I$2736,$F284))</f>
        <v>840</v>
      </c>
    </row>
    <row r="285" customFormat="false" ht="15" hidden="false" customHeight="false" outlineLevel="0" collapsed="false">
      <c r="A285" s="12" t="n">
        <v>282</v>
      </c>
      <c r="B285" s="8" t="s">
        <v>2203</v>
      </c>
      <c r="C285" s="8" t="s">
        <v>2204</v>
      </c>
      <c r="D285" s="11" t="n">
        <v>0.00693888888888889</v>
      </c>
      <c r="E285" s="39" t="n">
        <f aca="false">ROUND((D285-$D$5)*86400,2)</f>
        <v>60.5</v>
      </c>
      <c r="F285" s="12" t="n">
        <v>1409</v>
      </c>
      <c r="G285" s="11" t="str">
        <f aca="false">IF(INDEX(選手一覧!$D$5:$D$2736,$F285)="","",INDEX(選手一覧!$D$5:$D$2736,$F285))</f>
        <v/>
      </c>
      <c r="H285" s="12" t="str">
        <f aca="false">IF(INDEX(選手一覧!$E$5:$E$2736,$F285)="","",INDEX(選手一覧!$E$5:$E$2736,$F285))</f>
        <v/>
      </c>
      <c r="I285" s="11" t="n">
        <f aca="false">IF(INDEX(選手一覧!$H$5:$H$2736,$F285)="","",INDEX(選手一覧!$H$5:$H$2736,$F285))</f>
        <v>0.00292488425925926</v>
      </c>
      <c r="J285" s="12" t="n">
        <f aca="false">IF(INDEX(選手一覧!$I$5:$I$2736,$F285)="","",INDEX(選手一覧!$I$5:$I$2736,$F285))</f>
        <v>1146</v>
      </c>
    </row>
    <row r="286" customFormat="false" ht="15" hidden="false" customHeight="false" outlineLevel="0" collapsed="false">
      <c r="A286" s="12" t="n">
        <v>283</v>
      </c>
      <c r="B286" s="8" t="s">
        <v>2205</v>
      </c>
      <c r="C286" s="8" t="s">
        <v>2206</v>
      </c>
      <c r="D286" s="11" t="n">
        <v>0.00694189814814815</v>
      </c>
      <c r="E286" s="39" t="n">
        <f aca="false">ROUND((D286-$D$5)*86400,2)</f>
        <v>60.76</v>
      </c>
      <c r="F286" s="12" t="n">
        <v>1410</v>
      </c>
      <c r="G286" s="11" t="str">
        <f aca="false">IF(INDEX(選手一覧!$D$5:$D$2736,$F286)="","",INDEX(選手一覧!$D$5:$D$2736,$F286))</f>
        <v/>
      </c>
      <c r="H286" s="12" t="str">
        <f aca="false">IF(INDEX(選手一覧!$E$5:$E$2736,$F286)="","",INDEX(選手一覧!$E$5:$E$2736,$F286))</f>
        <v/>
      </c>
      <c r="I286" s="11" t="str">
        <f aca="false">IF(INDEX(選手一覧!$H$5:$H$2736,$F286)="","",INDEX(選手一覧!$H$5:$H$2736,$F286))</f>
        <v/>
      </c>
      <c r="J286" s="12" t="str">
        <f aca="false">IF(INDEX(選手一覧!$I$5:$I$2736,$F286)="","",INDEX(選手一覧!$I$5:$I$2736,$F286))</f>
        <v/>
      </c>
    </row>
    <row r="287" customFormat="false" ht="15" hidden="false" customHeight="false" outlineLevel="0" collapsed="false">
      <c r="A287" s="12" t="n">
        <v>284</v>
      </c>
      <c r="B287" s="8" t="s">
        <v>2207</v>
      </c>
      <c r="C287" s="8" t="s">
        <v>94</v>
      </c>
      <c r="D287" s="11" t="n">
        <v>0.00694768518518519</v>
      </c>
      <c r="E287" s="39" t="n">
        <f aca="false">ROUND((D287-$D$5)*86400,2)</f>
        <v>61.26</v>
      </c>
      <c r="F287" s="12" t="n">
        <v>1411</v>
      </c>
      <c r="G287" s="11" t="str">
        <f aca="false">IF(INDEX(選手一覧!$D$5:$D$2736,$F287)="","",INDEX(選手一覧!$D$5:$D$2736,$F287))</f>
        <v/>
      </c>
      <c r="H287" s="12" t="str">
        <f aca="false">IF(INDEX(選手一覧!$E$5:$E$2736,$F287)="","",INDEX(選手一覧!$E$5:$E$2736,$F287))</f>
        <v/>
      </c>
      <c r="I287" s="11" t="str">
        <f aca="false">IF(INDEX(選手一覧!$H$5:$H$2736,$F287)="","",INDEX(選手一覧!$H$5:$H$2736,$F287))</f>
        <v/>
      </c>
      <c r="J287" s="12" t="str">
        <f aca="false">IF(INDEX(選手一覧!$I$5:$I$2736,$F287)="","",INDEX(選手一覧!$I$5:$I$2736,$F287))</f>
        <v/>
      </c>
    </row>
    <row r="288" customFormat="false" ht="15" hidden="false" customHeight="false" outlineLevel="0" collapsed="false">
      <c r="A288" s="12" t="n">
        <v>285</v>
      </c>
      <c r="B288" s="8" t="s">
        <v>1612</v>
      </c>
      <c r="C288" s="8" t="s">
        <v>942</v>
      </c>
      <c r="D288" s="11" t="n">
        <v>0.00695023148148148</v>
      </c>
      <c r="E288" s="39" t="n">
        <f aca="false">ROUND((D288-$D$5)*86400,2)</f>
        <v>61.48</v>
      </c>
      <c r="F288" s="12" t="n">
        <v>994</v>
      </c>
      <c r="G288" s="11" t="n">
        <f aca="false">IF(INDEX(選手一覧!$D$5:$D$2736,$F288)="","",INDEX(選手一覧!$D$5:$D$2736,$F288))</f>
        <v>0.0109489583333333</v>
      </c>
      <c r="H288" s="12" t="n">
        <f aca="false">IF(INDEX(選手一覧!$E$5:$E$2736,$F288)="","",INDEX(選手一覧!$E$5:$E$2736,$F288))</f>
        <v>995</v>
      </c>
      <c r="I288" s="11" t="str">
        <f aca="false">IF(INDEX(選手一覧!$H$5:$H$2736,$F288)="","",INDEX(選手一覧!$H$5:$H$2736,$F288))</f>
        <v/>
      </c>
      <c r="J288" s="12" t="str">
        <f aca="false">IF(INDEX(選手一覧!$I$5:$I$2736,$F288)="","",INDEX(選手一覧!$I$5:$I$2736,$F288))</f>
        <v/>
      </c>
    </row>
    <row r="289" customFormat="false" ht="15" hidden="false" customHeight="false" outlineLevel="0" collapsed="false">
      <c r="A289" s="12" t="n">
        <v>286</v>
      </c>
      <c r="B289" s="8" t="s">
        <v>2208</v>
      </c>
      <c r="C289" s="8" t="s">
        <v>2209</v>
      </c>
      <c r="D289" s="11" t="n">
        <v>0.00695127314814815</v>
      </c>
      <c r="E289" s="39" t="n">
        <f aca="false">ROUND((D289-$D$5)*86400,2)</f>
        <v>61.57</v>
      </c>
      <c r="F289" s="12" t="n">
        <v>1412</v>
      </c>
      <c r="G289" s="11" t="str">
        <f aca="false">IF(INDEX(選手一覧!$D$5:$D$2736,$F289)="","",INDEX(選手一覧!$D$5:$D$2736,$F289))</f>
        <v/>
      </c>
      <c r="H289" s="12" t="str">
        <f aca="false">IF(INDEX(選手一覧!$E$5:$E$2736,$F289)="","",INDEX(選手一覧!$E$5:$E$2736,$F289))</f>
        <v/>
      </c>
      <c r="I289" s="11" t="n">
        <f aca="false">IF(INDEX(選手一覧!$H$5:$H$2736,$F289)="","",INDEX(選手一覧!$H$5:$H$2736,$F289))</f>
        <v>0.00286909722222222</v>
      </c>
      <c r="J289" s="12" t="n">
        <f aca="false">IF(INDEX(選手一覧!$I$5:$I$2736,$F289)="","",INDEX(選手一覧!$I$5:$I$2736,$F289))</f>
        <v>688</v>
      </c>
    </row>
    <row r="290" customFormat="false" ht="15" hidden="false" customHeight="false" outlineLevel="0" collapsed="false">
      <c r="A290" s="12" t="n">
        <v>287</v>
      </c>
      <c r="B290" s="8" t="s">
        <v>1951</v>
      </c>
      <c r="C290" s="8" t="s">
        <v>788</v>
      </c>
      <c r="D290" s="11" t="n">
        <v>0.0069525462962963</v>
      </c>
      <c r="E290" s="39" t="n">
        <f aca="false">ROUND((D290-$D$5)*86400,2)</f>
        <v>61.68</v>
      </c>
      <c r="F290" s="12" t="n">
        <v>1226</v>
      </c>
      <c r="G290" s="11" t="n">
        <f aca="false">IF(INDEX(選手一覧!$D$5:$D$2736,$F290)="","",INDEX(選手一覧!$D$5:$D$2736,$F290))</f>
        <v>0.011066087962963</v>
      </c>
      <c r="H290" s="12" t="n">
        <f aca="false">IF(INDEX(選手一覧!$E$5:$E$2736,$F290)="","",INDEX(選手一覧!$E$5:$E$2736,$F290))</f>
        <v>1227</v>
      </c>
      <c r="I290" s="11" t="str">
        <f aca="false">IF(INDEX(選手一覧!$H$5:$H$2736,$F290)="","",INDEX(選手一覧!$H$5:$H$2736,$F290))</f>
        <v/>
      </c>
      <c r="J290" s="12" t="str">
        <f aca="false">IF(INDEX(選手一覧!$I$5:$I$2736,$F290)="","",INDEX(選手一覧!$I$5:$I$2736,$F290))</f>
        <v/>
      </c>
    </row>
    <row r="291" customFormat="false" ht="15" hidden="false" customHeight="false" outlineLevel="0" collapsed="false">
      <c r="A291" s="12" t="n">
        <v>288</v>
      </c>
      <c r="B291" s="8" t="s">
        <v>1549</v>
      </c>
      <c r="C291" s="8" t="s">
        <v>558</v>
      </c>
      <c r="D291" s="11" t="n">
        <v>0.00695462962962963</v>
      </c>
      <c r="E291" s="39" t="n">
        <f aca="false">ROUND((D291-$D$5)*86400,2)</f>
        <v>61.86</v>
      </c>
      <c r="F291" s="12" t="n">
        <v>951</v>
      </c>
      <c r="G291" s="11" t="n">
        <f aca="false">IF(INDEX(選手一覧!$D$5:$D$2736,$F291)="","",INDEX(選手一覧!$D$5:$D$2736,$F291))</f>
        <v>0.0109219907407407</v>
      </c>
      <c r="H291" s="12" t="n">
        <f aca="false">IF(INDEX(選手一覧!$E$5:$E$2736,$F291)="","",INDEX(選手一覧!$E$5:$E$2736,$F291))</f>
        <v>952</v>
      </c>
      <c r="I291" s="11" t="n">
        <f aca="false">IF(INDEX(選手一覧!$H$5:$H$2736,$F291)="","",INDEX(選手一覧!$H$5:$H$2736,$F291))</f>
        <v>0.00287835648148148</v>
      </c>
      <c r="J291" s="12" t="n">
        <f aca="false">IF(INDEX(選手一覧!$I$5:$I$2736,$F291)="","",INDEX(選手一覧!$I$5:$I$2736,$F291))</f>
        <v>755</v>
      </c>
    </row>
    <row r="292" customFormat="false" ht="15" hidden="false" customHeight="false" outlineLevel="0" collapsed="false">
      <c r="A292" s="12" t="n">
        <v>289</v>
      </c>
      <c r="B292" s="8" t="s">
        <v>1710</v>
      </c>
      <c r="C292" s="8" t="s">
        <v>1177</v>
      </c>
      <c r="D292" s="11" t="n">
        <v>0.00695462962962963</v>
      </c>
      <c r="E292" s="39" t="n">
        <f aca="false">ROUND((D292-$D$5)*86400,2)</f>
        <v>61.86</v>
      </c>
      <c r="F292" s="12" t="n">
        <v>1061</v>
      </c>
      <c r="G292" s="11" t="n">
        <f aca="false">IF(INDEX(選手一覧!$D$5:$D$2736,$F292)="","",INDEX(選手一覧!$D$5:$D$2736,$F292))</f>
        <v>0.0109819444444445</v>
      </c>
      <c r="H292" s="12" t="n">
        <f aca="false">IF(INDEX(選手一覧!$E$5:$E$2736,$F292)="","",INDEX(選手一覧!$E$5:$E$2736,$F292))</f>
        <v>1062</v>
      </c>
      <c r="I292" s="11" t="n">
        <f aca="false">IF(INDEX(選手一覧!$H$5:$H$2736,$F292)="","",INDEX(選手一覧!$H$5:$H$2736,$F292))</f>
        <v>0.00284421296296296</v>
      </c>
      <c r="J292" s="12" t="n">
        <f aca="false">IF(INDEX(選手一覧!$I$5:$I$2736,$F292)="","",INDEX(選手一覧!$I$5:$I$2736,$F292))</f>
        <v>527</v>
      </c>
    </row>
    <row r="293" customFormat="false" ht="15" hidden="false" customHeight="false" outlineLevel="0" collapsed="false">
      <c r="A293" s="12" t="n">
        <v>290</v>
      </c>
      <c r="B293" s="8" t="s">
        <v>2211</v>
      </c>
      <c r="C293" s="8" t="s">
        <v>2212</v>
      </c>
      <c r="D293" s="11" t="n">
        <v>0.00695752314814815</v>
      </c>
      <c r="E293" s="39" t="n">
        <f aca="false">ROUND((D293-$D$5)*86400,2)</f>
        <v>62.11</v>
      </c>
      <c r="F293" s="12" t="n">
        <v>1414</v>
      </c>
      <c r="G293" s="11" t="str">
        <f aca="false">IF(INDEX(選手一覧!$D$5:$D$2736,$F293)="","",INDEX(選手一覧!$D$5:$D$2736,$F293))</f>
        <v/>
      </c>
      <c r="H293" s="12" t="str">
        <f aca="false">IF(INDEX(選手一覧!$E$5:$E$2736,$F293)="","",INDEX(選手一覧!$E$5:$E$2736,$F293))</f>
        <v/>
      </c>
      <c r="I293" s="11" t="n">
        <f aca="false">IF(INDEX(選手一覧!$H$5:$H$2736,$F293)="","",INDEX(選手一覧!$H$5:$H$2736,$F293))</f>
        <v>0.00296608796296296</v>
      </c>
      <c r="J293" s="12" t="n">
        <f aca="false">IF(INDEX(選手一覧!$I$5:$I$2736,$F293)="","",INDEX(選手一覧!$I$5:$I$2736,$F293))</f>
        <v>1295</v>
      </c>
    </row>
    <row r="294" customFormat="false" ht="15" hidden="false" customHeight="false" outlineLevel="0" collapsed="false">
      <c r="A294" s="12" t="n">
        <v>291</v>
      </c>
      <c r="B294" s="8" t="s">
        <v>2149</v>
      </c>
      <c r="C294" s="8" t="s">
        <v>730</v>
      </c>
      <c r="D294" s="11" t="n">
        <v>0.00695833333333333</v>
      </c>
      <c r="E294" s="39" t="n">
        <f aca="false">ROUND((D294-$D$5)*86400,2)</f>
        <v>62.18</v>
      </c>
      <c r="F294" s="12" t="n">
        <v>1370</v>
      </c>
      <c r="G294" s="11" t="str">
        <f aca="false">IF(INDEX(選手一覧!$D$5:$D$2736,$F294)="","",INDEX(選手一覧!$D$5:$D$2736,$F294))</f>
        <v/>
      </c>
      <c r="H294" s="12" t="str">
        <f aca="false">IF(INDEX(選手一覧!$E$5:$E$2736,$F294)="","",INDEX(選手一覧!$E$5:$E$2736,$F294))</f>
        <v/>
      </c>
      <c r="I294" s="11" t="n">
        <f aca="false">IF(INDEX(選手一覧!$H$5:$H$2736,$F294)="","",INDEX(選手一覧!$H$5:$H$2736,$F294))</f>
        <v>0.00278819444444445</v>
      </c>
      <c r="J294" s="12" t="n">
        <f aca="false">IF(INDEX(選手一覧!$I$5:$I$2736,$F294)="","",INDEX(選手一覧!$I$5:$I$2736,$F294))</f>
        <v>234</v>
      </c>
    </row>
    <row r="295" customFormat="false" ht="15" hidden="false" customHeight="false" outlineLevel="0" collapsed="false">
      <c r="A295" s="12" t="n">
        <v>292</v>
      </c>
      <c r="B295" s="8" t="s">
        <v>2213</v>
      </c>
      <c r="C295" s="8" t="s">
        <v>2214</v>
      </c>
      <c r="D295" s="11" t="n">
        <v>0.00695972222222222</v>
      </c>
      <c r="E295" s="39" t="n">
        <f aca="false">ROUND((D295-$D$5)*86400,2)</f>
        <v>62.3</v>
      </c>
      <c r="F295" s="12" t="n">
        <v>1415</v>
      </c>
      <c r="G295" s="11" t="str">
        <f aca="false">IF(INDEX(選手一覧!$D$5:$D$2736,$F295)="","",INDEX(選手一覧!$D$5:$D$2736,$F295))</f>
        <v/>
      </c>
      <c r="H295" s="12" t="str">
        <f aca="false">IF(INDEX(選手一覧!$E$5:$E$2736,$F295)="","",INDEX(選手一覧!$E$5:$E$2736,$F295))</f>
        <v/>
      </c>
      <c r="I295" s="11" t="str">
        <f aca="false">IF(INDEX(選手一覧!$H$5:$H$2736,$F295)="","",INDEX(選手一覧!$H$5:$H$2736,$F295))</f>
        <v/>
      </c>
      <c r="J295" s="12" t="str">
        <f aca="false">IF(INDEX(選手一覧!$I$5:$I$2736,$F295)="","",INDEX(選手一覧!$I$5:$I$2736,$F295))</f>
        <v/>
      </c>
    </row>
    <row r="296" customFormat="false" ht="15" hidden="false" customHeight="false" outlineLevel="0" collapsed="false">
      <c r="A296" s="12" t="n">
        <v>293</v>
      </c>
      <c r="B296" s="8" t="s">
        <v>1094</v>
      </c>
      <c r="C296" s="8" t="s">
        <v>688</v>
      </c>
      <c r="D296" s="11" t="n">
        <v>0.00695972222222222</v>
      </c>
      <c r="E296" s="39" t="n">
        <f aca="false">ROUND((D296-$D$5)*86400,2)</f>
        <v>62.3</v>
      </c>
      <c r="F296" s="12" t="n">
        <v>651</v>
      </c>
      <c r="G296" s="11" t="n">
        <f aca="false">IF(INDEX(選手一覧!$D$5:$D$2736,$F296)="","",INDEX(選手一覧!$D$5:$D$2736,$F296))</f>
        <v>0.0107398148148148</v>
      </c>
      <c r="H296" s="12" t="n">
        <f aca="false">IF(INDEX(選手一覧!$E$5:$E$2736,$F296)="","",INDEX(選手一覧!$E$5:$E$2736,$F296))</f>
        <v>652</v>
      </c>
      <c r="I296" s="11" t="n">
        <f aca="false">IF(INDEX(選手一覧!$H$5:$H$2736,$F296)="","",INDEX(選手一覧!$H$5:$H$2736,$F296))</f>
        <v>0.00288784722222222</v>
      </c>
      <c r="J296" s="12" t="n">
        <f aca="false">IF(INDEX(選手一覧!$I$5:$I$2736,$F296)="","",INDEX(選手一覧!$I$5:$I$2736,$F296))</f>
        <v>845</v>
      </c>
    </row>
    <row r="297" customFormat="false" ht="15" hidden="false" customHeight="false" outlineLevel="0" collapsed="false">
      <c r="A297" s="12" t="n">
        <v>294</v>
      </c>
      <c r="B297" s="8" t="s">
        <v>472</v>
      </c>
      <c r="C297" s="8" t="s">
        <v>154</v>
      </c>
      <c r="D297" s="11" t="n">
        <v>0.00696041666666667</v>
      </c>
      <c r="E297" s="39" t="n">
        <f aca="false">ROUND((D297-$D$5)*86400,2)</f>
        <v>62.36</v>
      </c>
      <c r="F297" s="12" t="n">
        <v>247</v>
      </c>
      <c r="G297" s="11" t="n">
        <f aca="false">IF(INDEX(選手一覧!$D$5:$D$2736,$F297)="","",INDEX(選手一覧!$D$5:$D$2736,$F297))</f>
        <v>0.010387962962963</v>
      </c>
      <c r="H297" s="12" t="n">
        <f aca="false">IF(INDEX(選手一覧!$E$5:$E$2736,$F297)="","",INDEX(選手一覧!$E$5:$E$2736,$F297))</f>
        <v>248</v>
      </c>
      <c r="I297" s="11" t="n">
        <f aca="false">IF(INDEX(選手一覧!$H$5:$H$2736,$F297)="","",INDEX(選手一覧!$H$5:$H$2736,$F297))</f>
        <v>0.00292326388888889</v>
      </c>
      <c r="J297" s="12" t="n">
        <f aca="false">IF(INDEX(選手一覧!$I$5:$I$2736,$F297)="","",INDEX(選手一覧!$I$5:$I$2736,$F297))</f>
        <v>1129</v>
      </c>
    </row>
    <row r="298" customFormat="false" ht="15" hidden="false" customHeight="false" outlineLevel="0" collapsed="false">
      <c r="A298" s="12" t="n">
        <v>295</v>
      </c>
      <c r="B298" s="8" t="s">
        <v>1290</v>
      </c>
      <c r="C298" s="8" t="s">
        <v>200</v>
      </c>
      <c r="D298" s="11" t="n">
        <v>0.00696180555555556</v>
      </c>
      <c r="E298" s="39" t="n">
        <f aca="false">ROUND((D298-$D$5)*86400,2)</f>
        <v>62.48</v>
      </c>
      <c r="F298" s="12" t="n">
        <v>778</v>
      </c>
      <c r="G298" s="11" t="n">
        <f aca="false">IF(INDEX(選手一覧!$D$5:$D$2736,$F298)="","",INDEX(選手一覧!$D$5:$D$2736,$F298))</f>
        <v>0.0108225694444445</v>
      </c>
      <c r="H298" s="12" t="n">
        <f aca="false">IF(INDEX(選手一覧!$E$5:$E$2736,$F298)="","",INDEX(選手一覧!$E$5:$E$2736,$F298))</f>
        <v>779</v>
      </c>
      <c r="I298" s="11" t="str">
        <f aca="false">IF(INDEX(選手一覧!$H$5:$H$2736,$F298)="","",INDEX(選手一覧!$H$5:$H$2736,$F298))</f>
        <v/>
      </c>
      <c r="J298" s="12" t="str">
        <f aca="false">IF(INDEX(選手一覧!$I$5:$I$2736,$F298)="","",INDEX(選手一覧!$I$5:$I$2736,$F298))</f>
        <v/>
      </c>
    </row>
    <row r="299" customFormat="false" ht="15" hidden="false" customHeight="false" outlineLevel="0" collapsed="false">
      <c r="A299" s="12" t="n">
        <v>296</v>
      </c>
      <c r="B299" s="8" t="s">
        <v>751</v>
      </c>
      <c r="C299" s="8" t="s">
        <v>89</v>
      </c>
      <c r="D299" s="11" t="n">
        <v>0.00696284722222222</v>
      </c>
      <c r="E299" s="39" t="n">
        <f aca="false">ROUND((D299-$D$5)*86400,2)</f>
        <v>62.57</v>
      </c>
      <c r="F299" s="12" t="n">
        <v>421</v>
      </c>
      <c r="G299" s="11" t="n">
        <f aca="false">IF(INDEX(選手一覧!$D$5:$D$2736,$F299)="","",INDEX(選手一覧!$D$5:$D$2736,$F299))</f>
        <v>0.0105697916666667</v>
      </c>
      <c r="H299" s="12" t="n">
        <f aca="false">IF(INDEX(選手一覧!$E$5:$E$2736,$F299)="","",INDEX(選手一覧!$E$5:$E$2736,$F299))</f>
        <v>422</v>
      </c>
      <c r="I299" s="11" t="str">
        <f aca="false">IF(INDEX(選手一覧!$H$5:$H$2736,$F299)="","",INDEX(選手一覧!$H$5:$H$2736,$F299))</f>
        <v/>
      </c>
      <c r="J299" s="12" t="str">
        <f aca="false">IF(INDEX(選手一覧!$I$5:$I$2736,$F299)="","",INDEX(選手一覧!$I$5:$I$2736,$F299))</f>
        <v/>
      </c>
    </row>
    <row r="300" customFormat="false" ht="15" hidden="false" customHeight="false" outlineLevel="0" collapsed="false">
      <c r="A300" s="12" t="n">
        <v>297</v>
      </c>
      <c r="B300" s="8" t="s">
        <v>1984</v>
      </c>
      <c r="C300" s="8" t="s">
        <v>1985</v>
      </c>
      <c r="D300" s="11" t="n">
        <v>0.00696331018518519</v>
      </c>
      <c r="E300" s="39" t="n">
        <f aca="false">ROUND((D300-$D$5)*86400,2)</f>
        <v>62.61</v>
      </c>
      <c r="F300" s="12" t="n">
        <v>1250</v>
      </c>
      <c r="G300" s="11" t="n">
        <f aca="false">IF(INDEX(選手一覧!$D$5:$D$2736,$F300)="","",INDEX(選手一覧!$D$5:$D$2736,$F300))</f>
        <v>0.0110798611111111</v>
      </c>
      <c r="H300" s="12" t="n">
        <f aca="false">IF(INDEX(選手一覧!$E$5:$E$2736,$F300)="","",INDEX(選手一覧!$E$5:$E$2736,$F300))</f>
        <v>1251</v>
      </c>
      <c r="I300" s="11" t="n">
        <f aca="false">IF(INDEX(選手一覧!$H$5:$H$2736,$F300)="","",INDEX(選手一覧!$H$5:$H$2736,$F300))</f>
        <v>0.00297743055555556</v>
      </c>
      <c r="J300" s="12" t="n">
        <f aca="false">IF(INDEX(選手一覧!$I$5:$I$2736,$F300)="","",INDEX(選手一覧!$I$5:$I$2736,$F300))</f>
        <v>1343</v>
      </c>
    </row>
    <row r="301" customFormat="false" ht="15" hidden="false" customHeight="false" outlineLevel="0" collapsed="false">
      <c r="A301" s="12" t="n">
        <v>298</v>
      </c>
      <c r="B301" s="8" t="s">
        <v>2216</v>
      </c>
      <c r="C301" s="8" t="s">
        <v>866</v>
      </c>
      <c r="D301" s="11" t="n">
        <v>0.00696608796296296</v>
      </c>
      <c r="E301" s="39" t="n">
        <f aca="false">ROUND((D301-$D$5)*86400,2)</f>
        <v>62.85</v>
      </c>
      <c r="F301" s="12" t="n">
        <v>1417</v>
      </c>
      <c r="G301" s="11" t="str">
        <f aca="false">IF(INDEX(選手一覧!$D$5:$D$2736,$F301)="","",INDEX(選手一覧!$D$5:$D$2736,$F301))</f>
        <v/>
      </c>
      <c r="H301" s="12" t="str">
        <f aca="false">IF(INDEX(選手一覧!$E$5:$E$2736,$F301)="","",INDEX(選手一覧!$E$5:$E$2736,$F301))</f>
        <v/>
      </c>
      <c r="I301" s="11" t="str">
        <f aca="false">IF(INDEX(選手一覧!$H$5:$H$2736,$F301)="","",INDEX(選手一覧!$H$5:$H$2736,$F301))</f>
        <v/>
      </c>
      <c r="J301" s="12" t="str">
        <f aca="false">IF(INDEX(選手一覧!$I$5:$I$2736,$F301)="","",INDEX(選手一覧!$I$5:$I$2736,$F301))</f>
        <v/>
      </c>
    </row>
    <row r="302" customFormat="false" ht="15" hidden="false" customHeight="false" outlineLevel="0" collapsed="false">
      <c r="A302" s="12" t="n">
        <v>299</v>
      </c>
      <c r="B302" s="8" t="s">
        <v>2219</v>
      </c>
      <c r="C302" s="8" t="s">
        <v>1118</v>
      </c>
      <c r="D302" s="11" t="n">
        <v>0.00696678240740741</v>
      </c>
      <c r="E302" s="39" t="n">
        <f aca="false">ROUND((D302-$D$5)*86400,2)</f>
        <v>62.91</v>
      </c>
      <c r="F302" s="12" t="n">
        <v>1419</v>
      </c>
      <c r="G302" s="11" t="str">
        <f aca="false">IF(INDEX(選手一覧!$D$5:$D$2736,$F302)="","",INDEX(選手一覧!$D$5:$D$2736,$F302))</f>
        <v/>
      </c>
      <c r="H302" s="12" t="str">
        <f aca="false">IF(INDEX(選手一覧!$E$5:$E$2736,$F302)="","",INDEX(選手一覧!$E$5:$E$2736,$F302))</f>
        <v/>
      </c>
      <c r="I302" s="11" t="n">
        <f aca="false">IF(INDEX(選手一覧!$H$5:$H$2736,$F302)="","",INDEX(選手一覧!$H$5:$H$2736,$F302))</f>
        <v>0.00283912037037037</v>
      </c>
      <c r="J302" s="12" t="n">
        <f aca="false">IF(INDEX(選手一覧!$I$5:$I$2736,$F302)="","",INDEX(選手一覧!$I$5:$I$2736,$F302))</f>
        <v>488</v>
      </c>
    </row>
    <row r="303" customFormat="false" ht="15" hidden="false" customHeight="false" outlineLevel="0" collapsed="false">
      <c r="A303" s="12" t="n">
        <v>300</v>
      </c>
      <c r="B303" s="8" t="s">
        <v>1513</v>
      </c>
      <c r="C303" s="8" t="s">
        <v>1209</v>
      </c>
      <c r="D303" s="11" t="n">
        <v>0.00696736111111111</v>
      </c>
      <c r="E303" s="39" t="n">
        <f aca="false">ROUND((D303-$D$5)*86400,2)</f>
        <v>62.96</v>
      </c>
      <c r="F303" s="12" t="n">
        <v>925</v>
      </c>
      <c r="G303" s="11" t="n">
        <f aca="false">IF(INDEX(選手一覧!$D$5:$D$2736,$F303)="","",INDEX(選手一覧!$D$5:$D$2736,$F303))</f>
        <v>0.0109041666666667</v>
      </c>
      <c r="H303" s="12" t="n">
        <f aca="false">IF(INDEX(選手一覧!$E$5:$E$2736,$F303)="","",INDEX(選手一覧!$E$5:$E$2736,$F303))</f>
        <v>926</v>
      </c>
      <c r="I303" s="11" t="str">
        <f aca="false">IF(INDEX(選手一覧!$H$5:$H$2736,$F303)="","",INDEX(選手一覧!$H$5:$H$2736,$F303))</f>
        <v/>
      </c>
      <c r="J303" s="12" t="str">
        <f aca="false">IF(INDEX(選手一覧!$I$5:$I$2736,$F303)="","",INDEX(選手一覧!$I$5:$I$2736,$F303))</f>
        <v/>
      </c>
    </row>
    <row r="304" customFormat="false" ht="15" hidden="false" customHeight="false" outlineLevel="0" collapsed="false">
      <c r="A304" s="12" t="n">
        <v>301</v>
      </c>
      <c r="B304" s="8" t="s">
        <v>2222</v>
      </c>
      <c r="C304" s="8" t="s">
        <v>202</v>
      </c>
      <c r="D304" s="11" t="n">
        <v>0.00696840277777778</v>
      </c>
      <c r="E304" s="39" t="n">
        <f aca="false">ROUND((D304-$D$5)*86400,2)</f>
        <v>63.05</v>
      </c>
      <c r="F304" s="12" t="n">
        <v>1420</v>
      </c>
      <c r="G304" s="11" t="str">
        <f aca="false">IF(INDEX(選手一覧!$D$5:$D$2736,$F304)="","",INDEX(選手一覧!$D$5:$D$2736,$F304))</f>
        <v/>
      </c>
      <c r="H304" s="12" t="str">
        <f aca="false">IF(INDEX(選手一覧!$E$5:$E$2736,$F304)="","",INDEX(選手一覧!$E$5:$E$2736,$F304))</f>
        <v/>
      </c>
      <c r="I304" s="11" t="str">
        <f aca="false">IF(INDEX(選手一覧!$H$5:$H$2736,$F304)="","",INDEX(選手一覧!$H$5:$H$2736,$F304))</f>
        <v/>
      </c>
      <c r="J304" s="12" t="str">
        <f aca="false">IF(INDEX(選手一覧!$I$5:$I$2736,$F304)="","",INDEX(選手一覧!$I$5:$I$2736,$F304))</f>
        <v/>
      </c>
    </row>
    <row r="305" customFormat="false" ht="15" hidden="false" customHeight="false" outlineLevel="0" collapsed="false">
      <c r="A305" s="12" t="n">
        <v>302</v>
      </c>
      <c r="B305" s="8" t="s">
        <v>2223</v>
      </c>
      <c r="C305" s="8" t="s">
        <v>1339</v>
      </c>
      <c r="D305" s="11" t="n">
        <v>0.00696851851851852</v>
      </c>
      <c r="E305" s="39" t="n">
        <f aca="false">ROUND((D305-$D$5)*86400,2)</f>
        <v>63.06</v>
      </c>
      <c r="F305" s="12" t="n">
        <v>1421</v>
      </c>
      <c r="G305" s="11" t="str">
        <f aca="false">IF(INDEX(選手一覧!$D$5:$D$2736,$F305)="","",INDEX(選手一覧!$D$5:$D$2736,$F305))</f>
        <v/>
      </c>
      <c r="H305" s="12" t="str">
        <f aca="false">IF(INDEX(選手一覧!$E$5:$E$2736,$F305)="","",INDEX(選手一覧!$E$5:$E$2736,$F305))</f>
        <v/>
      </c>
      <c r="I305" s="11" t="str">
        <f aca="false">IF(INDEX(選手一覧!$H$5:$H$2736,$F305)="","",INDEX(選手一覧!$H$5:$H$2736,$F305))</f>
        <v/>
      </c>
      <c r="J305" s="12" t="str">
        <f aca="false">IF(INDEX(選手一覧!$I$5:$I$2736,$F305)="","",INDEX(選手一覧!$I$5:$I$2736,$F305))</f>
        <v/>
      </c>
    </row>
    <row r="306" customFormat="false" ht="15" hidden="false" customHeight="false" outlineLevel="0" collapsed="false">
      <c r="A306" s="12" t="n">
        <v>303</v>
      </c>
      <c r="B306" s="8" t="s">
        <v>1974</v>
      </c>
      <c r="C306" s="8" t="s">
        <v>1975</v>
      </c>
      <c r="D306" s="11" t="n">
        <v>0.00696886574074074</v>
      </c>
      <c r="E306" s="39" t="n">
        <f aca="false">ROUND((D306-$D$5)*86400,2)</f>
        <v>63.09</v>
      </c>
      <c r="F306" s="12" t="n">
        <v>1244</v>
      </c>
      <c r="G306" s="11" t="n">
        <f aca="false">IF(INDEX(選手一覧!$D$5:$D$2736,$F306)="","",INDEX(選手一覧!$D$5:$D$2736,$F306))</f>
        <v>0.0110770833333333</v>
      </c>
      <c r="H306" s="12" t="n">
        <f aca="false">IF(INDEX(選手一覧!$E$5:$E$2736,$F306)="","",INDEX(選手一覧!$E$5:$E$2736,$F306))</f>
        <v>1245</v>
      </c>
      <c r="I306" s="11" t="n">
        <f aca="false">IF(INDEX(選手一覧!$H$5:$H$2736,$F306)="","",INDEX(選手一覧!$H$5:$H$2736,$F306))</f>
        <v>0.0028494212962963</v>
      </c>
      <c r="J306" s="12" t="n">
        <f aca="false">IF(INDEX(選手一覧!$I$5:$I$2736,$F306)="","",INDEX(選手一覧!$I$5:$I$2736,$F306))</f>
        <v>568</v>
      </c>
    </row>
    <row r="307" customFormat="false" ht="15" hidden="false" customHeight="false" outlineLevel="0" collapsed="false">
      <c r="A307" s="12" t="n">
        <v>304</v>
      </c>
      <c r="B307" s="8" t="s">
        <v>1889</v>
      </c>
      <c r="C307" s="8" t="s">
        <v>552</v>
      </c>
      <c r="D307" s="11" t="n">
        <v>0.00696898148148148</v>
      </c>
      <c r="E307" s="39" t="n">
        <f aca="false">ROUND((D307-$D$5)*86400,2)</f>
        <v>63.1</v>
      </c>
      <c r="F307" s="12" t="n">
        <v>1180</v>
      </c>
      <c r="G307" s="11" t="n">
        <f aca="false">IF(INDEX(選手一覧!$D$5:$D$2736,$F307)="","",INDEX(選手一覧!$D$5:$D$2736,$F307))</f>
        <v>0.011041087962963</v>
      </c>
      <c r="H307" s="12" t="n">
        <f aca="false">IF(INDEX(選手一覧!$E$5:$E$2736,$F307)="","",INDEX(選手一覧!$E$5:$E$2736,$F307))</f>
        <v>1181</v>
      </c>
      <c r="I307" s="11" t="n">
        <f aca="false">IF(INDEX(選手一覧!$H$5:$H$2736,$F307)="","",INDEX(選手一覧!$H$5:$H$2736,$F307))</f>
        <v>0.00283356481481482</v>
      </c>
      <c r="J307" s="12" t="n">
        <f aca="false">IF(INDEX(選手一覧!$I$5:$I$2736,$F307)="","",INDEX(選手一覧!$I$5:$I$2736,$F307))</f>
        <v>447</v>
      </c>
    </row>
    <row r="308" customFormat="false" ht="15" hidden="false" customHeight="false" outlineLevel="0" collapsed="false">
      <c r="A308" s="12" t="n">
        <v>305</v>
      </c>
      <c r="B308" s="8" t="s">
        <v>1707</v>
      </c>
      <c r="C308" s="8" t="s">
        <v>1708</v>
      </c>
      <c r="D308" s="11" t="n">
        <v>0.00697002314814815</v>
      </c>
      <c r="E308" s="39" t="n">
        <f aca="false">ROUND((D308-$D$5)*86400,2)</f>
        <v>63.19</v>
      </c>
      <c r="F308" s="12" t="n">
        <v>1059</v>
      </c>
      <c r="G308" s="11" t="n">
        <f aca="false">IF(INDEX(選手一覧!$D$5:$D$2736,$F308)="","",INDEX(選手一覧!$D$5:$D$2736,$F308))</f>
        <v>0.01098125</v>
      </c>
      <c r="H308" s="12" t="n">
        <f aca="false">IF(INDEX(選手一覧!$E$5:$E$2736,$F308)="","",INDEX(選手一覧!$E$5:$E$2736,$F308))</f>
        <v>1060</v>
      </c>
      <c r="I308" s="11" t="n">
        <f aca="false">IF(INDEX(選手一覧!$H$5:$H$2736,$F308)="","",INDEX(選手一覧!$H$5:$H$2736,$F308))</f>
        <v>0.00291550925925926</v>
      </c>
      <c r="J308" s="12" t="n">
        <f aca="false">IF(INDEX(選手一覧!$I$5:$I$2736,$F308)="","",INDEX(選手一覧!$I$5:$I$2736,$F308))</f>
        <v>1055</v>
      </c>
    </row>
    <row r="309" customFormat="false" ht="15" hidden="false" customHeight="false" outlineLevel="0" collapsed="false">
      <c r="A309" s="12" t="n">
        <v>306</v>
      </c>
      <c r="B309" s="8" t="s">
        <v>624</v>
      </c>
      <c r="C309" s="8" t="s">
        <v>625</v>
      </c>
      <c r="D309" s="11" t="n">
        <v>0.00697106481481481</v>
      </c>
      <c r="E309" s="39" t="n">
        <f aca="false">ROUND((D309-$D$5)*86400,2)</f>
        <v>63.28</v>
      </c>
      <c r="F309" s="12" t="n">
        <v>340</v>
      </c>
      <c r="G309" s="11" t="n">
        <f aca="false">IF(INDEX(選手一覧!$D$5:$D$2736,$F309)="","",INDEX(選手一覧!$D$5:$D$2736,$F309))</f>
        <v>0.010500462962963</v>
      </c>
      <c r="H309" s="12" t="n">
        <f aca="false">IF(INDEX(選手一覧!$E$5:$E$2736,$F309)="","",INDEX(選手一覧!$E$5:$E$2736,$F309))</f>
        <v>341</v>
      </c>
      <c r="I309" s="11" t="str">
        <f aca="false">IF(INDEX(選手一覧!$H$5:$H$2736,$F309)="","",INDEX(選手一覧!$H$5:$H$2736,$F309))</f>
        <v/>
      </c>
      <c r="J309" s="12" t="str">
        <f aca="false">IF(INDEX(選手一覧!$I$5:$I$2736,$F309)="","",INDEX(選手一覧!$I$5:$I$2736,$F309))</f>
        <v/>
      </c>
    </row>
    <row r="310" customFormat="false" ht="15" hidden="false" customHeight="false" outlineLevel="0" collapsed="false">
      <c r="A310" s="12" t="n">
        <v>307</v>
      </c>
      <c r="B310" s="8" t="s">
        <v>2225</v>
      </c>
      <c r="C310" s="8" t="s">
        <v>2226</v>
      </c>
      <c r="D310" s="11" t="n">
        <v>0.0069712962962963</v>
      </c>
      <c r="E310" s="39" t="n">
        <f aca="false">ROUND((D310-$D$5)*86400,2)</f>
        <v>63.3</v>
      </c>
      <c r="F310" s="12" t="n">
        <v>1423</v>
      </c>
      <c r="G310" s="11" t="str">
        <f aca="false">IF(INDEX(選手一覧!$D$5:$D$2736,$F310)="","",INDEX(選手一覧!$D$5:$D$2736,$F310))</f>
        <v/>
      </c>
      <c r="H310" s="12" t="str">
        <f aca="false">IF(INDEX(選手一覧!$E$5:$E$2736,$F310)="","",INDEX(選手一覧!$E$5:$E$2736,$F310))</f>
        <v/>
      </c>
      <c r="I310" s="11" t="n">
        <f aca="false">IF(INDEX(選手一覧!$H$5:$H$2736,$F310)="","",INDEX(選手一覧!$H$5:$H$2736,$F310))</f>
        <v>0.002840625</v>
      </c>
      <c r="J310" s="12" t="n">
        <f aca="false">IF(INDEX(選手一覧!$I$5:$I$2736,$F310)="","",INDEX(選手一覧!$I$5:$I$2736,$F310))</f>
        <v>502</v>
      </c>
    </row>
    <row r="311" customFormat="false" ht="15" hidden="false" customHeight="false" outlineLevel="0" collapsed="false">
      <c r="A311" s="12" t="n">
        <v>308</v>
      </c>
      <c r="B311" s="8" t="s">
        <v>276</v>
      </c>
      <c r="C311" s="8" t="s">
        <v>128</v>
      </c>
      <c r="D311" s="11" t="n">
        <v>0.00697407407407407</v>
      </c>
      <c r="E311" s="39" t="n">
        <f aca="false">ROUND((D311-$D$5)*86400,2)</f>
        <v>63.54</v>
      </c>
      <c r="F311" s="12" t="n">
        <v>134</v>
      </c>
      <c r="G311" s="11" t="n">
        <f aca="false">IF(INDEX(選手一覧!$D$5:$D$2736,$F311)="","",INDEX(選手一覧!$D$5:$D$2736,$F311))</f>
        <v>0.0102670138888889</v>
      </c>
      <c r="H311" s="12" t="n">
        <f aca="false">IF(INDEX(選手一覧!$E$5:$E$2736,$F311)="","",INDEX(選手一覧!$E$5:$E$2736,$F311))</f>
        <v>135</v>
      </c>
      <c r="I311" s="11" t="n">
        <f aca="false">IF(INDEX(選手一覧!$H$5:$H$2736,$F311)="","",INDEX(選手一覧!$H$5:$H$2736,$F311))</f>
        <v>0.00291087962962963</v>
      </c>
      <c r="J311" s="12" t="n">
        <f aca="false">IF(INDEX(選手一覧!$I$5:$I$2736,$F311)="","",INDEX(選手一覧!$I$5:$I$2736,$F311))</f>
        <v>1028</v>
      </c>
    </row>
    <row r="312" customFormat="false" ht="15" hidden="false" customHeight="false" outlineLevel="0" collapsed="false">
      <c r="A312" s="12" t="n">
        <v>309</v>
      </c>
      <c r="B312" s="8" t="s">
        <v>2227</v>
      </c>
      <c r="C312" s="8" t="s">
        <v>2228</v>
      </c>
      <c r="D312" s="11" t="n">
        <v>0.00697789351851852</v>
      </c>
      <c r="E312" s="39" t="n">
        <f aca="false">ROUND((D312-$D$5)*86400,2)</f>
        <v>63.87</v>
      </c>
      <c r="F312" s="12" t="n">
        <v>1424</v>
      </c>
      <c r="G312" s="11" t="str">
        <f aca="false">IF(INDEX(選手一覧!$D$5:$D$2736,$F312)="","",INDEX(選手一覧!$D$5:$D$2736,$F312))</f>
        <v/>
      </c>
      <c r="H312" s="12" t="str">
        <f aca="false">IF(INDEX(選手一覧!$E$5:$E$2736,$F312)="","",INDEX(選手一覧!$E$5:$E$2736,$F312))</f>
        <v/>
      </c>
      <c r="I312" s="11" t="str">
        <f aca="false">IF(INDEX(選手一覧!$H$5:$H$2736,$F312)="","",INDEX(選手一覧!$H$5:$H$2736,$F312))</f>
        <v/>
      </c>
      <c r="J312" s="12" t="str">
        <f aca="false">IF(INDEX(選手一覧!$I$5:$I$2736,$F312)="","",INDEX(選手一覧!$I$5:$I$2736,$F312))</f>
        <v/>
      </c>
    </row>
    <row r="313" customFormat="false" ht="15" hidden="false" customHeight="false" outlineLevel="0" collapsed="false">
      <c r="A313" s="12" t="n">
        <v>310</v>
      </c>
      <c r="B313" s="8" t="s">
        <v>2229</v>
      </c>
      <c r="C313" s="8" t="s">
        <v>87</v>
      </c>
      <c r="D313" s="11" t="n">
        <v>0.00697835648148148</v>
      </c>
      <c r="E313" s="39" t="n">
        <f aca="false">ROUND((D313-$D$5)*86400,2)</f>
        <v>63.91</v>
      </c>
      <c r="F313" s="12" t="n">
        <v>1425</v>
      </c>
      <c r="G313" s="11" t="str">
        <f aca="false">IF(INDEX(選手一覧!$D$5:$D$2736,$F313)="","",INDEX(選手一覧!$D$5:$D$2736,$F313))</f>
        <v/>
      </c>
      <c r="H313" s="12" t="str">
        <f aca="false">IF(INDEX(選手一覧!$E$5:$E$2736,$F313)="","",INDEX(選手一覧!$E$5:$E$2736,$F313))</f>
        <v/>
      </c>
      <c r="I313" s="11" t="str">
        <f aca="false">IF(INDEX(選手一覧!$H$5:$H$2736,$F313)="","",INDEX(選手一覧!$H$5:$H$2736,$F313))</f>
        <v/>
      </c>
      <c r="J313" s="12" t="str">
        <f aca="false">IF(INDEX(選手一覧!$I$5:$I$2736,$F313)="","",INDEX(選手一覧!$I$5:$I$2736,$F313))</f>
        <v/>
      </c>
    </row>
    <row r="314" customFormat="false" ht="15" hidden="false" customHeight="false" outlineLevel="0" collapsed="false">
      <c r="A314" s="12" t="n">
        <v>311</v>
      </c>
      <c r="B314" s="8" t="s">
        <v>902</v>
      </c>
      <c r="C314" s="8" t="s">
        <v>903</v>
      </c>
      <c r="D314" s="11" t="n">
        <v>0.00697905092592593</v>
      </c>
      <c r="E314" s="39" t="n">
        <f aca="false">ROUND((D314-$D$5)*86400,2)</f>
        <v>63.97</v>
      </c>
      <c r="F314" s="12" t="n">
        <v>517</v>
      </c>
      <c r="G314" s="11" t="n">
        <f aca="false">IF(INDEX(選手一覧!$D$5:$D$2736,$F314)="","",INDEX(選手一覧!$D$5:$D$2736,$F314))</f>
        <v>0.0106444444444444</v>
      </c>
      <c r="H314" s="12" t="n">
        <f aca="false">IF(INDEX(選手一覧!$E$5:$E$2736,$F314)="","",INDEX(選手一覧!$E$5:$E$2736,$F314))</f>
        <v>518</v>
      </c>
      <c r="I314" s="11" t="n">
        <f aca="false">IF(INDEX(選手一覧!$H$5:$H$2736,$F314)="","",INDEX(選手一覧!$H$5:$H$2736,$F314))</f>
        <v>0.00278333333333333</v>
      </c>
      <c r="J314" s="12" t="n">
        <f aca="false">IF(INDEX(選手一覧!$I$5:$I$2736,$F314)="","",INDEX(選手一覧!$I$5:$I$2736,$F314))</f>
        <v>213</v>
      </c>
    </row>
    <row r="315" customFormat="false" ht="15" hidden="false" customHeight="false" outlineLevel="0" collapsed="false">
      <c r="A315" s="12" t="n">
        <v>312</v>
      </c>
      <c r="B315" s="8" t="s">
        <v>2232</v>
      </c>
      <c r="C315" s="8" t="s">
        <v>188</v>
      </c>
      <c r="D315" s="11" t="n">
        <v>0.00697939814814815</v>
      </c>
      <c r="E315" s="39" t="n">
        <f aca="false">ROUND((D315-$D$5)*86400,2)</f>
        <v>64</v>
      </c>
      <c r="F315" s="12" t="n">
        <v>1427</v>
      </c>
      <c r="G315" s="11" t="str">
        <f aca="false">IF(INDEX(選手一覧!$D$5:$D$2736,$F315)="","",INDEX(選手一覧!$D$5:$D$2736,$F315))</f>
        <v/>
      </c>
      <c r="H315" s="12" t="str">
        <f aca="false">IF(INDEX(選手一覧!$E$5:$E$2736,$F315)="","",INDEX(選手一覧!$E$5:$E$2736,$F315))</f>
        <v/>
      </c>
      <c r="I315" s="11" t="str">
        <f aca="false">IF(INDEX(選手一覧!$H$5:$H$2736,$F315)="","",INDEX(選手一覧!$H$5:$H$2736,$F315))</f>
        <v/>
      </c>
      <c r="J315" s="12" t="str">
        <f aca="false">IF(INDEX(選手一覧!$I$5:$I$2736,$F315)="","",INDEX(選手一覧!$I$5:$I$2736,$F315))</f>
        <v/>
      </c>
    </row>
    <row r="316" customFormat="false" ht="15" hidden="false" customHeight="false" outlineLevel="0" collapsed="false">
      <c r="A316" s="12" t="n">
        <v>313</v>
      </c>
      <c r="B316" s="8" t="s">
        <v>1971</v>
      </c>
      <c r="C316" s="8" t="s">
        <v>118</v>
      </c>
      <c r="D316" s="11" t="n">
        <v>0.00698055555555556</v>
      </c>
      <c r="E316" s="39" t="n">
        <f aca="false">ROUND((D316-$D$5)*86400,2)</f>
        <v>64.1</v>
      </c>
      <c r="F316" s="12" t="n">
        <v>1241</v>
      </c>
      <c r="G316" s="11" t="n">
        <f aca="false">IF(INDEX(選手一覧!$D$5:$D$2736,$F316)="","",INDEX(選手一覧!$D$5:$D$2736,$F316))</f>
        <v>0.0110730324074074</v>
      </c>
      <c r="H316" s="12" t="n">
        <f aca="false">IF(INDEX(選手一覧!$E$5:$E$2736,$F316)="","",INDEX(選手一覧!$E$5:$E$2736,$F316))</f>
        <v>1242</v>
      </c>
      <c r="I316" s="11" t="str">
        <f aca="false">IF(INDEX(選手一覧!$H$5:$H$2736,$F316)="","",INDEX(選手一覧!$H$5:$H$2736,$F316))</f>
        <v/>
      </c>
      <c r="J316" s="12" t="str">
        <f aca="false">IF(INDEX(選手一覧!$I$5:$I$2736,$F316)="","",INDEX(選手一覧!$I$5:$I$2736,$F316))</f>
        <v/>
      </c>
    </row>
    <row r="317" customFormat="false" ht="15" hidden="false" customHeight="false" outlineLevel="0" collapsed="false">
      <c r="A317" s="12" t="n">
        <v>314</v>
      </c>
      <c r="B317" s="8" t="s">
        <v>1037</v>
      </c>
      <c r="C317" s="8" t="s">
        <v>667</v>
      </c>
      <c r="D317" s="11" t="n">
        <v>0.00698078703703704</v>
      </c>
      <c r="E317" s="39" t="n">
        <f aca="false">ROUND((D317-$D$5)*86400,2)</f>
        <v>64.12</v>
      </c>
      <c r="F317" s="12" t="n">
        <v>609</v>
      </c>
      <c r="G317" s="11" t="n">
        <f aca="false">IF(INDEX(選手一覧!$D$5:$D$2736,$F317)="","",INDEX(選手一覧!$D$5:$D$2736,$F317))</f>
        <v>0.0107172453703704</v>
      </c>
      <c r="H317" s="12" t="n">
        <f aca="false">IF(INDEX(選手一覧!$E$5:$E$2736,$F317)="","",INDEX(選手一覧!$E$5:$E$2736,$F317))</f>
        <v>610</v>
      </c>
      <c r="I317" s="11" t="str">
        <f aca="false">IF(INDEX(選手一覧!$H$5:$H$2736,$F317)="","",INDEX(選手一覧!$H$5:$H$2736,$F317))</f>
        <v/>
      </c>
      <c r="J317" s="12" t="str">
        <f aca="false">IF(INDEX(選手一覧!$I$5:$I$2736,$F317)="","",INDEX(選手一覧!$I$5:$I$2736,$F317))</f>
        <v/>
      </c>
    </row>
    <row r="318" customFormat="false" ht="15" hidden="false" customHeight="false" outlineLevel="0" collapsed="false">
      <c r="A318" s="12" t="n">
        <v>315</v>
      </c>
      <c r="B318" s="8" t="s">
        <v>1895</v>
      </c>
      <c r="C318" s="8" t="s">
        <v>456</v>
      </c>
      <c r="D318" s="11" t="n">
        <v>0.00698113425925926</v>
      </c>
      <c r="E318" s="39" t="n">
        <f aca="false">ROUND((D318-$D$5)*86400,2)</f>
        <v>64.15</v>
      </c>
      <c r="F318" s="12" t="n">
        <v>1186</v>
      </c>
      <c r="G318" s="11" t="n">
        <f aca="false">IF(INDEX(選手一覧!$D$5:$D$2736,$F318)="","",INDEX(選手一覧!$D$5:$D$2736,$F318))</f>
        <v>0.0110439814814815</v>
      </c>
      <c r="H318" s="12" t="n">
        <f aca="false">IF(INDEX(選手一覧!$E$5:$E$2736,$F318)="","",INDEX(選手一覧!$E$5:$E$2736,$F318))</f>
        <v>1187</v>
      </c>
      <c r="I318" s="11" t="str">
        <f aca="false">IF(INDEX(選手一覧!$H$5:$H$2736,$F318)="","",INDEX(選手一覧!$H$5:$H$2736,$F318))</f>
        <v/>
      </c>
      <c r="J318" s="12" t="str">
        <f aca="false">IF(INDEX(選手一覧!$I$5:$I$2736,$F318)="","",INDEX(選手一覧!$I$5:$I$2736,$F318))</f>
        <v/>
      </c>
    </row>
    <row r="319" customFormat="false" ht="15" hidden="false" customHeight="false" outlineLevel="0" collapsed="false">
      <c r="A319" s="12" t="n">
        <v>316</v>
      </c>
      <c r="B319" s="8" t="s">
        <v>2235</v>
      </c>
      <c r="C319" s="8" t="s">
        <v>2236</v>
      </c>
      <c r="D319" s="11" t="n">
        <v>0.00698125</v>
      </c>
      <c r="E319" s="39" t="n">
        <f aca="false">ROUND((D319-$D$5)*86400,2)</f>
        <v>64.16</v>
      </c>
      <c r="F319" s="12" t="n">
        <v>1429</v>
      </c>
      <c r="G319" s="11" t="str">
        <f aca="false">IF(INDEX(選手一覧!$D$5:$D$2736,$F319)="","",INDEX(選手一覧!$D$5:$D$2736,$F319))</f>
        <v/>
      </c>
      <c r="H319" s="12" t="str">
        <f aca="false">IF(INDEX(選手一覧!$E$5:$E$2736,$F319)="","",INDEX(選手一覧!$E$5:$E$2736,$F319))</f>
        <v/>
      </c>
      <c r="I319" s="11" t="str">
        <f aca="false">IF(INDEX(選手一覧!$H$5:$H$2736,$F319)="","",INDEX(選手一覧!$H$5:$H$2736,$F319))</f>
        <v/>
      </c>
      <c r="J319" s="12" t="str">
        <f aca="false">IF(INDEX(選手一覧!$I$5:$I$2736,$F319)="","",INDEX(選手一覧!$I$5:$I$2736,$F319))</f>
        <v/>
      </c>
    </row>
    <row r="320" customFormat="false" ht="15" hidden="false" customHeight="false" outlineLevel="0" collapsed="false">
      <c r="A320" s="12" t="n">
        <v>317</v>
      </c>
      <c r="B320" s="8" t="s">
        <v>2237</v>
      </c>
      <c r="C320" s="8" t="s">
        <v>2238</v>
      </c>
      <c r="D320" s="11" t="n">
        <v>0.00698229166666667</v>
      </c>
      <c r="E320" s="39" t="n">
        <f aca="false">ROUND((D320-$D$5)*86400,2)</f>
        <v>64.25</v>
      </c>
      <c r="F320" s="12" t="n">
        <v>1430</v>
      </c>
      <c r="G320" s="11" t="str">
        <f aca="false">IF(INDEX(選手一覧!$D$5:$D$2736,$F320)="","",INDEX(選手一覧!$D$5:$D$2736,$F320))</f>
        <v/>
      </c>
      <c r="H320" s="12" t="str">
        <f aca="false">IF(INDEX(選手一覧!$E$5:$E$2736,$F320)="","",INDEX(選手一覧!$E$5:$E$2736,$F320))</f>
        <v/>
      </c>
      <c r="I320" s="11" t="str">
        <f aca="false">IF(INDEX(選手一覧!$H$5:$H$2736,$F320)="","",INDEX(選手一覧!$H$5:$H$2736,$F320))</f>
        <v/>
      </c>
      <c r="J320" s="12" t="str">
        <f aca="false">IF(INDEX(選手一覧!$I$5:$I$2736,$F320)="","",INDEX(選手一覧!$I$5:$I$2736,$F320))</f>
        <v/>
      </c>
    </row>
    <row r="321" customFormat="false" ht="15" hidden="false" customHeight="false" outlineLevel="0" collapsed="false">
      <c r="A321" s="12" t="n">
        <v>318</v>
      </c>
      <c r="B321" s="8" t="s">
        <v>2239</v>
      </c>
      <c r="C321" s="8" t="s">
        <v>2240</v>
      </c>
      <c r="D321" s="11" t="n">
        <v>0.00698252314814815</v>
      </c>
      <c r="E321" s="39" t="n">
        <f aca="false">ROUND((D321-$D$5)*86400,2)</f>
        <v>64.27</v>
      </c>
      <c r="F321" s="12" t="n">
        <v>1431</v>
      </c>
      <c r="G321" s="11" t="str">
        <f aca="false">IF(INDEX(選手一覧!$D$5:$D$2736,$F321)="","",INDEX(選手一覧!$D$5:$D$2736,$F321))</f>
        <v/>
      </c>
      <c r="H321" s="12" t="str">
        <f aca="false">IF(INDEX(選手一覧!$E$5:$E$2736,$F321)="","",INDEX(選手一覧!$E$5:$E$2736,$F321))</f>
        <v/>
      </c>
      <c r="I321" s="11" t="str">
        <f aca="false">IF(INDEX(選手一覧!$H$5:$H$2736,$F321)="","",INDEX(選手一覧!$H$5:$H$2736,$F321))</f>
        <v/>
      </c>
      <c r="J321" s="12" t="str">
        <f aca="false">IF(INDEX(選手一覧!$I$5:$I$2736,$F321)="","",INDEX(選手一覧!$I$5:$I$2736,$F321))</f>
        <v/>
      </c>
    </row>
    <row r="322" customFormat="false" ht="15" hidden="false" customHeight="false" outlineLevel="0" collapsed="false">
      <c r="A322" s="12" t="n">
        <v>319</v>
      </c>
      <c r="B322" s="8" t="s">
        <v>2241</v>
      </c>
      <c r="C322" s="8" t="s">
        <v>152</v>
      </c>
      <c r="D322" s="11" t="n">
        <v>0.00698356481481482</v>
      </c>
      <c r="E322" s="39" t="n">
        <f aca="false">ROUND((D322-$D$5)*86400,2)</f>
        <v>64.36</v>
      </c>
      <c r="F322" s="12" t="n">
        <v>1432</v>
      </c>
      <c r="G322" s="11" t="str">
        <f aca="false">IF(INDEX(選手一覧!$D$5:$D$2736,$F322)="","",INDEX(選手一覧!$D$5:$D$2736,$F322))</f>
        <v/>
      </c>
      <c r="H322" s="12" t="str">
        <f aca="false">IF(INDEX(選手一覧!$E$5:$E$2736,$F322)="","",INDEX(選手一覧!$E$5:$E$2736,$F322))</f>
        <v/>
      </c>
      <c r="I322" s="11" t="n">
        <f aca="false">IF(INDEX(選手一覧!$H$5:$H$2736,$F322)="","",INDEX(選手一覧!$H$5:$H$2736,$F322))</f>
        <v>0.00283460648148148</v>
      </c>
      <c r="J322" s="12" t="n">
        <f aca="false">IF(INDEX(選手一覧!$I$5:$I$2736,$F322)="","",INDEX(選手一覧!$I$5:$I$2736,$F322))</f>
        <v>454</v>
      </c>
    </row>
    <row r="323" customFormat="false" ht="15" hidden="false" customHeight="false" outlineLevel="0" collapsed="false">
      <c r="A323" s="12" t="n">
        <v>320</v>
      </c>
      <c r="B323" s="8" t="s">
        <v>774</v>
      </c>
      <c r="C323" s="8" t="s">
        <v>508</v>
      </c>
      <c r="D323" s="11" t="n">
        <v>0.00698576388888889</v>
      </c>
      <c r="E323" s="39" t="n">
        <f aca="false">ROUND((D323-$D$5)*86400,2)</f>
        <v>64.55</v>
      </c>
      <c r="F323" s="12" t="n">
        <v>436</v>
      </c>
      <c r="G323" s="11" t="n">
        <f aca="false">IF(INDEX(選手一覧!$D$5:$D$2736,$F323)="","",INDEX(選手一覧!$D$5:$D$2736,$F323))</f>
        <v>0.0105821759259259</v>
      </c>
      <c r="H323" s="12" t="n">
        <f aca="false">IF(INDEX(選手一覧!$E$5:$E$2736,$F323)="","",INDEX(選手一覧!$E$5:$E$2736,$F323))</f>
        <v>437</v>
      </c>
      <c r="I323" s="11" t="n">
        <f aca="false">IF(INDEX(選手一覧!$H$5:$H$2736,$F323)="","",INDEX(選手一覧!$H$5:$H$2736,$F323))</f>
        <v>0.00285243055555556</v>
      </c>
      <c r="J323" s="12" t="n">
        <f aca="false">IF(INDEX(選手一覧!$I$5:$I$2736,$F323)="","",INDEX(選手一覧!$I$5:$I$2736,$F323))</f>
        <v>582</v>
      </c>
    </row>
    <row r="324" customFormat="false" ht="15" hidden="false" customHeight="false" outlineLevel="0" collapsed="false">
      <c r="A324" s="12" t="n">
        <v>321</v>
      </c>
      <c r="B324" s="8" t="s">
        <v>827</v>
      </c>
      <c r="C324" s="8" t="s">
        <v>58</v>
      </c>
      <c r="D324" s="11" t="n">
        <v>0.00698622685185185</v>
      </c>
      <c r="E324" s="39" t="n">
        <f aca="false">ROUND((D324-$D$5)*86400,2)</f>
        <v>64.59</v>
      </c>
      <c r="F324" s="12" t="n">
        <v>473</v>
      </c>
      <c r="G324" s="11" t="n">
        <f aca="false">IF(INDEX(選手一覧!$D$5:$D$2736,$F324)="","",INDEX(選手一覧!$D$5:$D$2736,$F324))</f>
        <v>0.0106086805555556</v>
      </c>
      <c r="H324" s="12" t="n">
        <f aca="false">IF(INDEX(選手一覧!$E$5:$E$2736,$F324)="","",INDEX(選手一覧!$E$5:$E$2736,$F324))</f>
        <v>474</v>
      </c>
      <c r="I324" s="11" t="n">
        <f aca="false">IF(INDEX(選手一覧!$H$5:$H$2736,$F324)="","",INDEX(選手一覧!$H$5:$H$2736,$F324))</f>
        <v>0.00279756944444445</v>
      </c>
      <c r="J324" s="12" t="n">
        <f aca="false">IF(INDEX(選手一覧!$I$5:$I$2736,$F324)="","",INDEX(選手一覧!$I$5:$I$2736,$F324))</f>
        <v>272</v>
      </c>
    </row>
    <row r="325" customFormat="false" ht="15" hidden="false" customHeight="false" outlineLevel="0" collapsed="false">
      <c r="A325" s="12" t="n">
        <v>322</v>
      </c>
      <c r="B325" s="8" t="s">
        <v>1816</v>
      </c>
      <c r="C325" s="8" t="s">
        <v>592</v>
      </c>
      <c r="D325" s="11" t="n">
        <v>0.00698761574074074</v>
      </c>
      <c r="E325" s="39" t="n">
        <f aca="false">ROUND((D325-$D$5)*86400,2)</f>
        <v>64.71</v>
      </c>
      <c r="F325" s="12" t="n">
        <v>1130</v>
      </c>
      <c r="G325" s="11" t="n">
        <f aca="false">IF(INDEX(選手一覧!$D$5:$D$2736,$F325)="","",INDEX(選手一覧!$D$5:$D$2736,$F325))</f>
        <v>0.0110209490740741</v>
      </c>
      <c r="H325" s="12" t="n">
        <f aca="false">IF(INDEX(選手一覧!$E$5:$E$2736,$F325)="","",INDEX(選手一覧!$E$5:$E$2736,$F325))</f>
        <v>1131</v>
      </c>
      <c r="I325" s="11" t="n">
        <f aca="false">IF(INDEX(選手一覧!$H$5:$H$2736,$F325)="","",INDEX(選手一覧!$H$5:$H$2736,$F325))</f>
        <v>0.00286261574074074</v>
      </c>
      <c r="J325" s="12" t="n">
        <f aca="false">IF(INDEX(選手一覧!$I$5:$I$2736,$F325)="","",INDEX(選手一覧!$I$5:$I$2736,$F325))</f>
        <v>653</v>
      </c>
    </row>
    <row r="326" customFormat="false" ht="15" hidden="false" customHeight="false" outlineLevel="0" collapsed="false">
      <c r="A326" s="12" t="n">
        <v>323</v>
      </c>
      <c r="B326" s="8" t="s">
        <v>157</v>
      </c>
      <c r="C326" s="8" t="s">
        <v>158</v>
      </c>
      <c r="D326" s="11" t="n">
        <v>0.00698865740740741</v>
      </c>
      <c r="E326" s="39" t="n">
        <f aca="false">ROUND((D326-$D$5)*86400,2)</f>
        <v>64.8</v>
      </c>
      <c r="F326" s="12" t="n">
        <v>70</v>
      </c>
      <c r="G326" s="11" t="n">
        <f aca="false">IF(INDEX(選手一覧!$D$5:$D$2736,$F326)="","",INDEX(選手一覧!$D$5:$D$2736,$F326))</f>
        <v>0.0101478009259259</v>
      </c>
      <c r="H326" s="12" t="n">
        <f aca="false">IF(INDEX(選手一覧!$E$5:$E$2736,$F326)="","",INDEX(選手一覧!$E$5:$E$2736,$F326))</f>
        <v>71</v>
      </c>
      <c r="I326" s="11" t="n">
        <f aca="false">IF(INDEX(選手一覧!$H$5:$H$2736,$F326)="","",INDEX(選手一覧!$H$5:$H$2736,$F326))</f>
        <v>0.00275729166666667</v>
      </c>
      <c r="J326" s="12" t="n">
        <f aca="false">IF(INDEX(選手一覧!$I$5:$I$2736,$F326)="","",INDEX(選手一覧!$I$5:$I$2736,$F326))</f>
        <v>128</v>
      </c>
    </row>
    <row r="327" customFormat="false" ht="15" hidden="false" customHeight="false" outlineLevel="0" collapsed="false">
      <c r="A327" s="12" t="n">
        <v>324</v>
      </c>
      <c r="B327" s="8" t="s">
        <v>2245</v>
      </c>
      <c r="C327" s="8" t="s">
        <v>2246</v>
      </c>
      <c r="D327" s="11" t="n">
        <v>0.00699039351851852</v>
      </c>
      <c r="E327" s="39" t="n">
        <f aca="false">ROUND((D327-$D$5)*86400,2)</f>
        <v>64.95</v>
      </c>
      <c r="F327" s="12" t="n">
        <v>1435</v>
      </c>
      <c r="G327" s="11" t="str">
        <f aca="false">IF(INDEX(選手一覧!$D$5:$D$2736,$F327)="","",INDEX(選手一覧!$D$5:$D$2736,$F327))</f>
        <v/>
      </c>
      <c r="H327" s="12" t="str">
        <f aca="false">IF(INDEX(選手一覧!$E$5:$E$2736,$F327)="","",INDEX(選手一覧!$E$5:$E$2736,$F327))</f>
        <v/>
      </c>
      <c r="I327" s="11" t="str">
        <f aca="false">IF(INDEX(選手一覧!$H$5:$H$2736,$F327)="","",INDEX(選手一覧!$H$5:$H$2736,$F327))</f>
        <v/>
      </c>
      <c r="J327" s="12" t="str">
        <f aca="false">IF(INDEX(選手一覧!$I$5:$I$2736,$F327)="","",INDEX(選手一覧!$I$5:$I$2736,$F327))</f>
        <v/>
      </c>
    </row>
    <row r="328" customFormat="false" ht="15" hidden="false" customHeight="false" outlineLevel="0" collapsed="false">
      <c r="A328" s="12" t="n">
        <v>325</v>
      </c>
      <c r="B328" s="8" t="s">
        <v>1380</v>
      </c>
      <c r="C328" s="8" t="s">
        <v>44</v>
      </c>
      <c r="D328" s="11" t="n">
        <v>0.00699039351851852</v>
      </c>
      <c r="E328" s="39" t="n">
        <f aca="false">ROUND((D328-$D$5)*86400,2)</f>
        <v>64.95</v>
      </c>
      <c r="F328" s="12" t="n">
        <v>839</v>
      </c>
      <c r="G328" s="11" t="n">
        <f aca="false">IF(INDEX(選手一覧!$D$5:$D$2736,$F328)="","",INDEX(選手一覧!$D$5:$D$2736,$F328))</f>
        <v>0.0108520833333333</v>
      </c>
      <c r="H328" s="12" t="n">
        <f aca="false">IF(INDEX(選手一覧!$E$5:$E$2736,$F328)="","",INDEX(選手一覧!$E$5:$E$2736,$F328))</f>
        <v>840</v>
      </c>
      <c r="I328" s="11" t="str">
        <f aca="false">IF(INDEX(選手一覧!$H$5:$H$2736,$F328)="","",INDEX(選手一覧!$H$5:$H$2736,$F328))</f>
        <v/>
      </c>
      <c r="J328" s="12" t="str">
        <f aca="false">IF(INDEX(選手一覧!$I$5:$I$2736,$F328)="","",INDEX(選手一覧!$I$5:$I$2736,$F328))</f>
        <v/>
      </c>
    </row>
    <row r="329" customFormat="false" ht="15" hidden="false" customHeight="false" outlineLevel="0" collapsed="false">
      <c r="A329" s="12" t="n">
        <v>326</v>
      </c>
      <c r="B329" s="8" t="s">
        <v>1745</v>
      </c>
      <c r="C329" s="8" t="s">
        <v>1042</v>
      </c>
      <c r="D329" s="11" t="n">
        <v>0.00699201388888889</v>
      </c>
      <c r="E329" s="39" t="n">
        <f aca="false">ROUND((D329-$D$5)*86400,2)</f>
        <v>65.09</v>
      </c>
      <c r="F329" s="12" t="n">
        <v>1083</v>
      </c>
      <c r="G329" s="11" t="n">
        <f aca="false">IF(INDEX(選手一覧!$D$5:$D$2736,$F329)="","",INDEX(選手一覧!$D$5:$D$2736,$F329))</f>
        <v>0.0109925925925926</v>
      </c>
      <c r="H329" s="12" t="n">
        <f aca="false">IF(INDEX(選手一覧!$E$5:$E$2736,$F329)="","",INDEX(選手一覧!$E$5:$E$2736,$F329))</f>
        <v>1084</v>
      </c>
      <c r="I329" s="11" t="n">
        <f aca="false">IF(INDEX(選手一覧!$H$5:$H$2736,$F329)="","",INDEX(選手一覧!$H$5:$H$2736,$F329))</f>
        <v>0.00289224537037037</v>
      </c>
      <c r="J329" s="12" t="n">
        <f aca="false">IF(INDEX(選手一覧!$I$5:$I$2736,$F329)="","",INDEX(選手一覧!$I$5:$I$2736,$F329))</f>
        <v>893</v>
      </c>
    </row>
    <row r="330" customFormat="false" ht="15" hidden="false" customHeight="false" outlineLevel="0" collapsed="false">
      <c r="A330" s="12" t="n">
        <v>327</v>
      </c>
      <c r="B330" s="8" t="s">
        <v>2248</v>
      </c>
      <c r="C330" s="8" t="s">
        <v>2249</v>
      </c>
      <c r="D330" s="11" t="n">
        <v>0.00699490740740741</v>
      </c>
      <c r="E330" s="39" t="n">
        <f aca="false">ROUND((D330-$D$5)*86400,2)</f>
        <v>65.34</v>
      </c>
      <c r="F330" s="12" t="n">
        <v>1436</v>
      </c>
      <c r="G330" s="11" t="str">
        <f aca="false">IF(INDEX(選手一覧!$D$5:$D$2736,$F330)="","",INDEX(選手一覧!$D$5:$D$2736,$F330))</f>
        <v/>
      </c>
      <c r="H330" s="12" t="str">
        <f aca="false">IF(INDEX(選手一覧!$E$5:$E$2736,$F330)="","",INDEX(選手一覧!$E$5:$E$2736,$F330))</f>
        <v/>
      </c>
      <c r="I330" s="11" t="str">
        <f aca="false">IF(INDEX(選手一覧!$H$5:$H$2736,$F330)="","",INDEX(選手一覧!$H$5:$H$2736,$F330))</f>
        <v/>
      </c>
      <c r="J330" s="12" t="str">
        <f aca="false">IF(INDEX(選手一覧!$I$5:$I$2736,$F330)="","",INDEX(選手一覧!$I$5:$I$2736,$F330))</f>
        <v/>
      </c>
    </row>
    <row r="331" customFormat="false" ht="15" hidden="false" customHeight="false" outlineLevel="0" collapsed="false">
      <c r="A331" s="12" t="n">
        <v>328</v>
      </c>
      <c r="B331" s="8" t="s">
        <v>1712</v>
      </c>
      <c r="C331" s="8" t="s">
        <v>1713</v>
      </c>
      <c r="D331" s="11" t="n">
        <v>0.00699490740740741</v>
      </c>
      <c r="E331" s="39" t="n">
        <f aca="false">ROUND((D331-$D$5)*86400,2)</f>
        <v>65.34</v>
      </c>
      <c r="F331" s="12" t="n">
        <v>1063</v>
      </c>
      <c r="G331" s="11" t="n">
        <f aca="false">IF(INDEX(選手一覧!$D$5:$D$2736,$F331)="","",INDEX(選手一覧!$D$5:$D$2736,$F331))</f>
        <v>0.0109837962962963</v>
      </c>
      <c r="H331" s="12" t="n">
        <f aca="false">IF(INDEX(選手一覧!$E$5:$E$2736,$F331)="","",INDEX(選手一覧!$E$5:$E$2736,$F331))</f>
        <v>1064</v>
      </c>
      <c r="I331" s="11" t="str">
        <f aca="false">IF(INDEX(選手一覧!$H$5:$H$2736,$F331)="","",INDEX(選手一覧!$H$5:$H$2736,$F331))</f>
        <v/>
      </c>
      <c r="J331" s="12" t="str">
        <f aca="false">IF(INDEX(選手一覧!$I$5:$I$2736,$F331)="","",INDEX(選手一覧!$I$5:$I$2736,$F331))</f>
        <v/>
      </c>
    </row>
    <row r="332" customFormat="false" ht="15" hidden="false" customHeight="false" outlineLevel="0" collapsed="false">
      <c r="A332" s="12" t="n">
        <v>329</v>
      </c>
      <c r="B332" s="8" t="s">
        <v>2250</v>
      </c>
      <c r="C332" s="8" t="s">
        <v>2251</v>
      </c>
      <c r="D332" s="11" t="n">
        <v>0.00699513888888889</v>
      </c>
      <c r="E332" s="39" t="n">
        <f aca="false">ROUND((D332-$D$5)*86400,2)</f>
        <v>65.36</v>
      </c>
      <c r="F332" s="12" t="n">
        <v>1437</v>
      </c>
      <c r="G332" s="11" t="str">
        <f aca="false">IF(INDEX(選手一覧!$D$5:$D$2736,$F332)="","",INDEX(選手一覧!$D$5:$D$2736,$F332))</f>
        <v/>
      </c>
      <c r="H332" s="12" t="str">
        <f aca="false">IF(INDEX(選手一覧!$E$5:$E$2736,$F332)="","",INDEX(選手一覧!$E$5:$E$2736,$F332))</f>
        <v/>
      </c>
      <c r="I332" s="11" t="str">
        <f aca="false">IF(INDEX(選手一覧!$H$5:$H$2736,$F332)="","",INDEX(選手一覧!$H$5:$H$2736,$F332))</f>
        <v/>
      </c>
      <c r="J332" s="12" t="str">
        <f aca="false">IF(INDEX(選手一覧!$I$5:$I$2736,$F332)="","",INDEX(選手一覧!$I$5:$I$2736,$F332))</f>
        <v/>
      </c>
    </row>
    <row r="333" customFormat="false" ht="15" hidden="false" customHeight="false" outlineLevel="0" collapsed="false">
      <c r="A333" s="12" t="n">
        <v>330</v>
      </c>
      <c r="B333" s="8" t="s">
        <v>2015</v>
      </c>
      <c r="C333" s="8" t="s">
        <v>932</v>
      </c>
      <c r="D333" s="11" t="n">
        <v>0.00699606481481482</v>
      </c>
      <c r="E333" s="39" t="n">
        <f aca="false">ROUND((D333-$D$5)*86400,2)</f>
        <v>65.44</v>
      </c>
      <c r="F333" s="12" t="n">
        <v>1277</v>
      </c>
      <c r="G333" s="11" t="n">
        <f aca="false">IF(INDEX(選手一覧!$D$5:$D$2736,$F333)="","",INDEX(選手一覧!$D$5:$D$2736,$F333))</f>
        <v>0.0111101851851852</v>
      </c>
      <c r="H333" s="12" t="n">
        <f aca="false">IF(INDEX(選手一覧!$E$5:$E$2736,$F333)="","",INDEX(選手一覧!$E$5:$E$2736,$F333))</f>
        <v>1278</v>
      </c>
      <c r="I333" s="11" t="str">
        <f aca="false">IF(INDEX(選手一覧!$H$5:$H$2736,$F333)="","",INDEX(選手一覧!$H$5:$H$2736,$F333))</f>
        <v/>
      </c>
      <c r="J333" s="12" t="str">
        <f aca="false">IF(INDEX(選手一覧!$I$5:$I$2736,$F333)="","",INDEX(選手一覧!$I$5:$I$2736,$F333))</f>
        <v/>
      </c>
    </row>
    <row r="334" customFormat="false" ht="15" hidden="false" customHeight="false" outlineLevel="0" collapsed="false">
      <c r="A334" s="12" t="n">
        <v>331</v>
      </c>
      <c r="B334" s="8" t="s">
        <v>2252</v>
      </c>
      <c r="C334" s="8" t="s">
        <v>2253</v>
      </c>
      <c r="D334" s="11" t="n">
        <v>0.00699652777777778</v>
      </c>
      <c r="E334" s="39" t="n">
        <f aca="false">ROUND((D334-$D$5)*86400,2)</f>
        <v>65.48</v>
      </c>
      <c r="F334" s="12" t="n">
        <v>1438</v>
      </c>
      <c r="G334" s="11" t="str">
        <f aca="false">IF(INDEX(選手一覧!$D$5:$D$2736,$F334)="","",INDEX(選手一覧!$D$5:$D$2736,$F334))</f>
        <v/>
      </c>
      <c r="H334" s="12" t="str">
        <f aca="false">IF(INDEX(選手一覧!$E$5:$E$2736,$F334)="","",INDEX(選手一覧!$E$5:$E$2736,$F334))</f>
        <v/>
      </c>
      <c r="I334" s="11" t="str">
        <f aca="false">IF(INDEX(選手一覧!$H$5:$H$2736,$F334)="","",INDEX(選手一覧!$H$5:$H$2736,$F334))</f>
        <v/>
      </c>
      <c r="J334" s="12" t="str">
        <f aca="false">IF(INDEX(選手一覧!$I$5:$I$2736,$F334)="","",INDEX(選手一覧!$I$5:$I$2736,$F334))</f>
        <v/>
      </c>
    </row>
    <row r="335" customFormat="false" ht="15" hidden="false" customHeight="false" outlineLevel="0" collapsed="false">
      <c r="A335" s="12" t="n">
        <v>332</v>
      </c>
      <c r="B335" s="8" t="s">
        <v>2256</v>
      </c>
      <c r="C335" s="8" t="s">
        <v>375</v>
      </c>
      <c r="D335" s="11" t="n">
        <v>0.00699675925925926</v>
      </c>
      <c r="E335" s="39" t="n">
        <f aca="false">ROUND((D335-$D$5)*86400,2)</f>
        <v>65.5</v>
      </c>
      <c r="F335" s="12" t="n">
        <v>1440</v>
      </c>
      <c r="G335" s="11" t="str">
        <f aca="false">IF(INDEX(選手一覧!$D$5:$D$2736,$F335)="","",INDEX(選手一覧!$D$5:$D$2736,$F335))</f>
        <v/>
      </c>
      <c r="H335" s="12" t="str">
        <f aca="false">IF(INDEX(選手一覧!$E$5:$E$2736,$F335)="","",INDEX(選手一覧!$E$5:$E$2736,$F335))</f>
        <v/>
      </c>
      <c r="I335" s="11" t="n">
        <f aca="false">IF(INDEX(選手一覧!$H$5:$H$2736,$F335)="","",INDEX(選手一覧!$H$5:$H$2736,$F335))</f>
        <v>0.00294293981481482</v>
      </c>
      <c r="J335" s="12" t="n">
        <f aca="false">IF(INDEX(選手一覧!$I$5:$I$2736,$F335)="","",INDEX(選手一覧!$I$5:$I$2736,$F335))</f>
        <v>1210</v>
      </c>
    </row>
    <row r="336" customFormat="false" ht="15" hidden="false" customHeight="false" outlineLevel="0" collapsed="false">
      <c r="A336" s="12" t="n">
        <v>333</v>
      </c>
      <c r="B336" s="8" t="s">
        <v>2257</v>
      </c>
      <c r="C336" s="8" t="s">
        <v>2258</v>
      </c>
      <c r="D336" s="11" t="n">
        <v>0.00699722222222222</v>
      </c>
      <c r="E336" s="39" t="n">
        <f aca="false">ROUND((D336-$D$5)*86400,2)</f>
        <v>65.54</v>
      </c>
      <c r="F336" s="12" t="n">
        <v>1441</v>
      </c>
      <c r="G336" s="11" t="str">
        <f aca="false">IF(INDEX(選手一覧!$D$5:$D$2736,$F336)="","",INDEX(選手一覧!$D$5:$D$2736,$F336))</f>
        <v/>
      </c>
      <c r="H336" s="12" t="str">
        <f aca="false">IF(INDEX(選手一覧!$E$5:$E$2736,$F336)="","",INDEX(選手一覧!$E$5:$E$2736,$F336))</f>
        <v/>
      </c>
      <c r="I336" s="11" t="n">
        <f aca="false">IF(INDEX(選手一覧!$H$5:$H$2736,$F336)="","",INDEX(選手一覧!$H$5:$H$2736,$F336))</f>
        <v>0.00292199074074074</v>
      </c>
      <c r="J336" s="12" t="n">
        <f aca="false">IF(INDEX(選手一覧!$I$5:$I$2736,$F336)="","",INDEX(選手一覧!$I$5:$I$2736,$F336))</f>
        <v>1113</v>
      </c>
    </row>
    <row r="337" customFormat="false" ht="15" hidden="false" customHeight="false" outlineLevel="0" collapsed="false">
      <c r="A337" s="12" t="n">
        <v>334</v>
      </c>
      <c r="B337" s="8" t="s">
        <v>1343</v>
      </c>
      <c r="C337" s="8" t="s">
        <v>233</v>
      </c>
      <c r="D337" s="11" t="n">
        <v>0.00699918981481482</v>
      </c>
      <c r="E337" s="39" t="n">
        <f aca="false">ROUND((D337-$D$5)*86400,2)</f>
        <v>65.71</v>
      </c>
      <c r="F337" s="12" t="n">
        <v>814</v>
      </c>
      <c r="G337" s="11" t="n">
        <f aca="false">IF(INDEX(選手一覧!$D$5:$D$2736,$F337)="","",INDEX(選手一覧!$D$5:$D$2736,$F337))</f>
        <v>0.0108413194444445</v>
      </c>
      <c r="H337" s="12" t="n">
        <f aca="false">IF(INDEX(選手一覧!$E$5:$E$2736,$F337)="","",INDEX(選手一覧!$E$5:$E$2736,$F337))</f>
        <v>815</v>
      </c>
      <c r="I337" s="11" t="n">
        <f aca="false">IF(INDEX(選手一覧!$H$5:$H$2736,$F337)="","",INDEX(選手一覧!$H$5:$H$2736,$F337))</f>
        <v>0.002828125</v>
      </c>
      <c r="J337" s="12" t="n">
        <f aca="false">IF(INDEX(選手一覧!$I$5:$I$2736,$F337)="","",INDEX(選手一覧!$I$5:$I$2736,$F337))</f>
        <v>412</v>
      </c>
    </row>
    <row r="338" customFormat="false" ht="15" hidden="false" customHeight="false" outlineLevel="0" collapsed="false">
      <c r="A338" s="12" t="n">
        <v>335</v>
      </c>
      <c r="B338" s="8" t="s">
        <v>2259</v>
      </c>
      <c r="C338" s="8" t="s">
        <v>2260</v>
      </c>
      <c r="D338" s="11" t="n">
        <v>0.00699965277777778</v>
      </c>
      <c r="E338" s="39" t="n">
        <f aca="false">ROUND((D338-$D$5)*86400,2)</f>
        <v>65.75</v>
      </c>
      <c r="F338" s="12" t="n">
        <v>1442</v>
      </c>
      <c r="G338" s="11" t="str">
        <f aca="false">IF(INDEX(選手一覧!$D$5:$D$2736,$F338)="","",INDEX(選手一覧!$D$5:$D$2736,$F338))</f>
        <v/>
      </c>
      <c r="H338" s="12" t="str">
        <f aca="false">IF(INDEX(選手一覧!$E$5:$E$2736,$F338)="","",INDEX(選手一覧!$E$5:$E$2736,$F338))</f>
        <v/>
      </c>
      <c r="I338" s="11" t="str">
        <f aca="false">IF(INDEX(選手一覧!$H$5:$H$2736,$F338)="","",INDEX(選手一覧!$H$5:$H$2736,$F338))</f>
        <v/>
      </c>
      <c r="J338" s="12" t="str">
        <f aca="false">IF(INDEX(選手一覧!$I$5:$I$2736,$F338)="","",INDEX(選手一覧!$I$5:$I$2736,$F338))</f>
        <v/>
      </c>
    </row>
    <row r="339" customFormat="false" ht="15" hidden="false" customHeight="false" outlineLevel="0" collapsed="false">
      <c r="A339" s="12" t="n">
        <v>336</v>
      </c>
      <c r="B339" s="8" t="s">
        <v>1903</v>
      </c>
      <c r="C339" s="8" t="s">
        <v>28</v>
      </c>
      <c r="D339" s="11" t="n">
        <v>0.007</v>
      </c>
      <c r="E339" s="39" t="n">
        <f aca="false">ROUND((D339-$D$5)*86400,2)</f>
        <v>65.78</v>
      </c>
      <c r="F339" s="12" t="n">
        <v>1191</v>
      </c>
      <c r="G339" s="11" t="n">
        <f aca="false">IF(INDEX(選手一覧!$D$5:$D$2736,$F339)="","",INDEX(選手一覧!$D$5:$D$2736,$F339))</f>
        <v>0.0110459490740741</v>
      </c>
      <c r="H339" s="12" t="n">
        <f aca="false">IF(INDEX(選手一覧!$E$5:$E$2736,$F339)="","",INDEX(選手一覧!$E$5:$E$2736,$F339))</f>
        <v>1192</v>
      </c>
      <c r="I339" s="11" t="str">
        <f aca="false">IF(INDEX(選手一覧!$H$5:$H$2736,$F339)="","",INDEX(選手一覧!$H$5:$H$2736,$F339))</f>
        <v/>
      </c>
      <c r="J339" s="12" t="str">
        <f aca="false">IF(INDEX(選手一覧!$I$5:$I$2736,$F339)="","",INDEX(選手一覧!$I$5:$I$2736,$F339))</f>
        <v/>
      </c>
    </row>
    <row r="340" customFormat="false" ht="15" hidden="false" customHeight="false" outlineLevel="0" collapsed="false">
      <c r="A340" s="12" t="n">
        <v>337</v>
      </c>
      <c r="B340" s="8" t="s">
        <v>2261</v>
      </c>
      <c r="C340" s="8" t="s">
        <v>2262</v>
      </c>
      <c r="D340" s="11" t="n">
        <v>0.00700046296296296</v>
      </c>
      <c r="E340" s="39" t="n">
        <f aca="false">ROUND((D340-$D$5)*86400,2)</f>
        <v>65.82</v>
      </c>
      <c r="F340" s="12" t="n">
        <v>1443</v>
      </c>
      <c r="G340" s="11" t="str">
        <f aca="false">IF(INDEX(選手一覧!$D$5:$D$2736,$F340)="","",INDEX(選手一覧!$D$5:$D$2736,$F340))</f>
        <v/>
      </c>
      <c r="H340" s="12" t="str">
        <f aca="false">IF(INDEX(選手一覧!$E$5:$E$2736,$F340)="","",INDEX(選手一覧!$E$5:$E$2736,$F340))</f>
        <v/>
      </c>
      <c r="I340" s="11" t="str">
        <f aca="false">IF(INDEX(選手一覧!$H$5:$H$2736,$F340)="","",INDEX(選手一覧!$H$5:$H$2736,$F340))</f>
        <v/>
      </c>
      <c r="J340" s="12" t="str">
        <f aca="false">IF(INDEX(選手一覧!$I$5:$I$2736,$F340)="","",INDEX(選手一覧!$I$5:$I$2736,$F340))</f>
        <v/>
      </c>
    </row>
    <row r="341" customFormat="false" ht="15" hidden="false" customHeight="false" outlineLevel="0" collapsed="false">
      <c r="A341" s="12" t="n">
        <v>338</v>
      </c>
      <c r="B341" s="8" t="s">
        <v>1030</v>
      </c>
      <c r="C341" s="8" t="s">
        <v>4344</v>
      </c>
      <c r="D341" s="11" t="n">
        <v>0.00700081018518519</v>
      </c>
      <c r="E341" s="39" t="n">
        <f aca="false">ROUND((D341-$D$5)*86400,2)</f>
        <v>65.85</v>
      </c>
      <c r="F341" s="12" t="n">
        <v>602</v>
      </c>
      <c r="G341" s="11" t="n">
        <f aca="false">IF(INDEX(選手一覧!$D$5:$D$2736,$F341)="","",INDEX(選手一覧!$D$5:$D$2736,$F341))</f>
        <v>0.0107142361111111</v>
      </c>
      <c r="H341" s="12" t="n">
        <f aca="false">IF(INDEX(選手一覧!$E$5:$E$2736,$F341)="","",INDEX(選手一覧!$E$5:$E$2736,$F341))</f>
        <v>603</v>
      </c>
      <c r="I341" s="11" t="n">
        <f aca="false">IF(INDEX(選手一覧!$H$5:$H$2736,$F341)="","",INDEX(選手一覧!$H$5:$H$2736,$F341))</f>
        <v>0.00286875</v>
      </c>
      <c r="J341" s="12" t="n">
        <f aca="false">IF(INDEX(選手一覧!$I$5:$I$2736,$F341)="","",INDEX(選手一覧!$I$5:$I$2736,$F341))</f>
        <v>686</v>
      </c>
    </row>
    <row r="342" customFormat="false" ht="15" hidden="false" customHeight="false" outlineLevel="0" collapsed="false">
      <c r="A342" s="12" t="n">
        <v>339</v>
      </c>
      <c r="B342" s="8" t="s">
        <v>2263</v>
      </c>
      <c r="C342" s="8" t="s">
        <v>2264</v>
      </c>
      <c r="D342" s="11" t="n">
        <v>0.00700324074074074</v>
      </c>
      <c r="E342" s="39" t="n">
        <f aca="false">ROUND((D342-$D$5)*86400,2)</f>
        <v>66.06</v>
      </c>
      <c r="F342" s="12" t="n">
        <v>1444</v>
      </c>
      <c r="G342" s="11" t="str">
        <f aca="false">IF(INDEX(選手一覧!$D$5:$D$2736,$F342)="","",INDEX(選手一覧!$D$5:$D$2736,$F342))</f>
        <v/>
      </c>
      <c r="H342" s="12" t="str">
        <f aca="false">IF(INDEX(選手一覧!$E$5:$E$2736,$F342)="","",INDEX(選手一覧!$E$5:$E$2736,$F342))</f>
        <v/>
      </c>
      <c r="I342" s="11" t="str">
        <f aca="false">IF(INDEX(選手一覧!$H$5:$H$2736,$F342)="","",INDEX(選手一覧!$H$5:$H$2736,$F342))</f>
        <v/>
      </c>
      <c r="J342" s="12" t="str">
        <f aca="false">IF(INDEX(選手一覧!$I$5:$I$2736,$F342)="","",INDEX(選手一覧!$I$5:$I$2736,$F342))</f>
        <v/>
      </c>
    </row>
    <row r="343" customFormat="false" ht="15" hidden="false" customHeight="false" outlineLevel="0" collapsed="false">
      <c r="A343" s="12" t="n">
        <v>340</v>
      </c>
      <c r="B343" s="8" t="s">
        <v>1564</v>
      </c>
      <c r="C343" s="8" t="s">
        <v>64</v>
      </c>
      <c r="D343" s="11" t="n">
        <v>0.00700451388888889</v>
      </c>
      <c r="E343" s="39" t="n">
        <f aca="false">ROUND((D343-$D$5)*86400,2)</f>
        <v>66.17</v>
      </c>
      <c r="F343" s="12" t="n">
        <v>961</v>
      </c>
      <c r="G343" s="11" t="n">
        <f aca="false">IF(INDEX(選手一覧!$D$5:$D$2736,$F343)="","",INDEX(選手一覧!$D$5:$D$2736,$F343))</f>
        <v>0.0109270833333333</v>
      </c>
      <c r="H343" s="12" t="n">
        <f aca="false">IF(INDEX(選手一覧!$E$5:$E$2736,$F343)="","",INDEX(選手一覧!$E$5:$E$2736,$F343))</f>
        <v>962</v>
      </c>
      <c r="I343" s="11" t="str">
        <f aca="false">IF(INDEX(選手一覧!$H$5:$H$2736,$F343)="","",INDEX(選手一覧!$H$5:$H$2736,$F343))</f>
        <v/>
      </c>
      <c r="J343" s="12" t="str">
        <f aca="false">IF(INDEX(選手一覧!$I$5:$I$2736,$F343)="","",INDEX(選手一覧!$I$5:$I$2736,$F343))</f>
        <v/>
      </c>
    </row>
    <row r="344" customFormat="false" ht="15" hidden="false" customHeight="false" outlineLevel="0" collapsed="false">
      <c r="A344" s="12" t="n">
        <v>341</v>
      </c>
      <c r="B344" s="8" t="s">
        <v>1074</v>
      </c>
      <c r="C344" s="8" t="s">
        <v>52</v>
      </c>
      <c r="D344" s="11" t="n">
        <v>0.00700451388888889</v>
      </c>
      <c r="E344" s="39" t="n">
        <f aca="false">ROUND((D344-$D$5)*86400,2)</f>
        <v>66.17</v>
      </c>
      <c r="F344" s="12" t="n">
        <v>636</v>
      </c>
      <c r="G344" s="11" t="n">
        <f aca="false">IF(INDEX(選手一覧!$D$5:$D$2736,$F344)="","",INDEX(選手一覧!$D$5:$D$2736,$F344))</f>
        <v>0.0107318287037037</v>
      </c>
      <c r="H344" s="12" t="n">
        <f aca="false">IF(INDEX(選手一覧!$E$5:$E$2736,$F344)="","",INDEX(選手一覧!$E$5:$E$2736,$F344))</f>
        <v>637</v>
      </c>
      <c r="I344" s="11" t="n">
        <f aca="false">IF(INDEX(選手一覧!$H$5:$H$2736,$F344)="","",INDEX(選手一覧!$H$5:$H$2736,$F344))</f>
        <v>0.00283530092592593</v>
      </c>
      <c r="J344" s="12" t="n">
        <f aca="false">IF(INDEX(選手一覧!$I$5:$I$2736,$F344)="","",INDEX(選手一覧!$I$5:$I$2736,$F344))</f>
        <v>464</v>
      </c>
    </row>
    <row r="345" customFormat="false" ht="15" hidden="false" customHeight="false" outlineLevel="0" collapsed="false">
      <c r="A345" s="12" t="n">
        <v>342</v>
      </c>
      <c r="B345" s="8" t="s">
        <v>2265</v>
      </c>
      <c r="C345" s="8" t="s">
        <v>197</v>
      </c>
      <c r="D345" s="11" t="n">
        <v>0.00700497685185185</v>
      </c>
      <c r="E345" s="39" t="n">
        <f aca="false">ROUND((D345-$D$5)*86400,2)</f>
        <v>66.21</v>
      </c>
      <c r="F345" s="12" t="n">
        <v>1445</v>
      </c>
      <c r="G345" s="11" t="str">
        <f aca="false">IF(INDEX(選手一覧!$D$5:$D$2736,$F345)="","",INDEX(選手一覧!$D$5:$D$2736,$F345))</f>
        <v/>
      </c>
      <c r="H345" s="12" t="str">
        <f aca="false">IF(INDEX(選手一覧!$E$5:$E$2736,$F345)="","",INDEX(選手一覧!$E$5:$E$2736,$F345))</f>
        <v/>
      </c>
      <c r="I345" s="11" t="str">
        <f aca="false">IF(INDEX(選手一覧!$H$5:$H$2736,$F345)="","",INDEX(選手一覧!$H$5:$H$2736,$F345))</f>
        <v/>
      </c>
      <c r="J345" s="12" t="str">
        <f aca="false">IF(INDEX(選手一覧!$I$5:$I$2736,$F345)="","",INDEX(選手一覧!$I$5:$I$2736,$F345))</f>
        <v/>
      </c>
    </row>
    <row r="346" customFormat="false" ht="15" hidden="false" customHeight="false" outlineLevel="0" collapsed="false">
      <c r="A346" s="12" t="n">
        <v>343</v>
      </c>
      <c r="B346" s="8" t="s">
        <v>2267</v>
      </c>
      <c r="C346" s="8" t="s">
        <v>1341</v>
      </c>
      <c r="D346" s="11" t="n">
        <v>0.00700509259259259</v>
      </c>
      <c r="E346" s="39" t="n">
        <f aca="false">ROUND((D346-$D$5)*86400,2)</f>
        <v>66.22</v>
      </c>
      <c r="F346" s="12" t="n">
        <v>1447</v>
      </c>
      <c r="G346" s="11" t="str">
        <f aca="false">IF(INDEX(選手一覧!$D$5:$D$2736,$F346)="","",INDEX(選手一覧!$D$5:$D$2736,$F346))</f>
        <v/>
      </c>
      <c r="H346" s="12" t="str">
        <f aca="false">IF(INDEX(選手一覧!$E$5:$E$2736,$F346)="","",INDEX(選手一覧!$E$5:$E$2736,$F346))</f>
        <v/>
      </c>
      <c r="I346" s="11" t="str">
        <f aca="false">IF(INDEX(選手一覧!$H$5:$H$2736,$F346)="","",INDEX(選手一覧!$H$5:$H$2736,$F346))</f>
        <v/>
      </c>
      <c r="J346" s="12" t="str">
        <f aca="false">IF(INDEX(選手一覧!$I$5:$I$2736,$F346)="","",INDEX(選手一覧!$I$5:$I$2736,$F346))</f>
        <v/>
      </c>
    </row>
    <row r="347" customFormat="false" ht="15" hidden="false" customHeight="false" outlineLevel="0" collapsed="false">
      <c r="A347" s="12" t="n">
        <v>344</v>
      </c>
      <c r="B347" s="8" t="s">
        <v>2268</v>
      </c>
      <c r="C347" s="8" t="s">
        <v>2269</v>
      </c>
      <c r="D347" s="11" t="n">
        <v>0.00700601851851852</v>
      </c>
      <c r="E347" s="39" t="n">
        <f aca="false">ROUND((D347-$D$5)*86400,2)</f>
        <v>66.3</v>
      </c>
      <c r="F347" s="12" t="n">
        <v>1448</v>
      </c>
      <c r="G347" s="11" t="str">
        <f aca="false">IF(INDEX(選手一覧!$D$5:$D$2736,$F347)="","",INDEX(選手一覧!$D$5:$D$2736,$F347))</f>
        <v/>
      </c>
      <c r="H347" s="12" t="str">
        <f aca="false">IF(INDEX(選手一覧!$E$5:$E$2736,$F347)="","",INDEX(選手一覧!$E$5:$E$2736,$F347))</f>
        <v/>
      </c>
      <c r="I347" s="11" t="str">
        <f aca="false">IF(INDEX(選手一覧!$H$5:$H$2736,$F347)="","",INDEX(選手一覧!$H$5:$H$2736,$F347))</f>
        <v/>
      </c>
      <c r="J347" s="12" t="str">
        <f aca="false">IF(INDEX(選手一覧!$I$5:$I$2736,$F347)="","",INDEX(選手一覧!$I$5:$I$2736,$F347))</f>
        <v/>
      </c>
    </row>
    <row r="348" customFormat="false" ht="15" hidden="false" customHeight="false" outlineLevel="0" collapsed="false">
      <c r="A348" s="12" t="n">
        <v>345</v>
      </c>
      <c r="B348" s="8" t="s">
        <v>1017</v>
      </c>
      <c r="C348" s="8" t="s">
        <v>233</v>
      </c>
      <c r="D348" s="11" t="n">
        <v>0.00700706018518519</v>
      </c>
      <c r="E348" s="39" t="n">
        <f aca="false">ROUND((D348-$D$5)*86400,2)</f>
        <v>66.39</v>
      </c>
      <c r="F348" s="12" t="n">
        <v>593</v>
      </c>
      <c r="G348" s="11" t="n">
        <f aca="false">IF(INDEX(選手一覧!$D$5:$D$2736,$F348)="","",INDEX(選手一覧!$D$5:$D$2736,$F348))</f>
        <v>0.0107076388888889</v>
      </c>
      <c r="H348" s="12" t="n">
        <f aca="false">IF(INDEX(選手一覧!$E$5:$E$2736,$F348)="","",INDEX(選手一覧!$E$5:$E$2736,$F348))</f>
        <v>594</v>
      </c>
      <c r="I348" s="11" t="n">
        <f aca="false">IF(INDEX(選手一覧!$H$5:$H$2736,$F348)="","",INDEX(選手一覧!$H$5:$H$2736,$F348))</f>
        <v>0.00293472222222222</v>
      </c>
      <c r="J348" s="12" t="n">
        <f aca="false">IF(INDEX(選手一覧!$I$5:$I$2736,$F348)="","",INDEX(選手一覧!$I$5:$I$2736,$F348))</f>
        <v>1185</v>
      </c>
    </row>
    <row r="349" customFormat="false" ht="15" hidden="false" customHeight="false" outlineLevel="0" collapsed="false">
      <c r="A349" s="12" t="n">
        <v>346</v>
      </c>
      <c r="B349" s="8" t="s">
        <v>2272</v>
      </c>
      <c r="C349" s="8" t="s">
        <v>2273</v>
      </c>
      <c r="D349" s="11" t="n">
        <v>0.00700949074074074</v>
      </c>
      <c r="E349" s="39" t="n">
        <f aca="false">ROUND((D349-$D$5)*86400,2)</f>
        <v>66.6</v>
      </c>
      <c r="F349" s="12" t="n">
        <v>1450</v>
      </c>
      <c r="G349" s="11" t="str">
        <f aca="false">IF(INDEX(選手一覧!$D$5:$D$2736,$F349)="","",INDEX(選手一覧!$D$5:$D$2736,$F349))</f>
        <v/>
      </c>
      <c r="H349" s="12" t="str">
        <f aca="false">IF(INDEX(選手一覧!$E$5:$E$2736,$F349)="","",INDEX(選手一覧!$E$5:$E$2736,$F349))</f>
        <v/>
      </c>
      <c r="I349" s="11" t="str">
        <f aca="false">IF(INDEX(選手一覧!$H$5:$H$2736,$F349)="","",INDEX(選手一覧!$H$5:$H$2736,$F349))</f>
        <v/>
      </c>
      <c r="J349" s="12" t="str">
        <f aca="false">IF(INDEX(選手一覧!$I$5:$I$2736,$F349)="","",INDEX(選手一覧!$I$5:$I$2736,$F349))</f>
        <v/>
      </c>
    </row>
    <row r="350" customFormat="false" ht="15" hidden="false" customHeight="false" outlineLevel="0" collapsed="false">
      <c r="A350" s="12" t="n">
        <v>347</v>
      </c>
      <c r="B350" s="8" t="s">
        <v>2274</v>
      </c>
      <c r="C350" s="8" t="s">
        <v>2275</v>
      </c>
      <c r="D350" s="11" t="n">
        <v>0.00701053240740741</v>
      </c>
      <c r="E350" s="39" t="n">
        <f aca="false">ROUND((D350-$D$5)*86400,2)</f>
        <v>66.69</v>
      </c>
      <c r="F350" s="12" t="n">
        <v>1451</v>
      </c>
      <c r="G350" s="11" t="str">
        <f aca="false">IF(INDEX(選手一覧!$D$5:$D$2736,$F350)="","",INDEX(選手一覧!$D$5:$D$2736,$F350))</f>
        <v/>
      </c>
      <c r="H350" s="12" t="str">
        <f aca="false">IF(INDEX(選手一覧!$E$5:$E$2736,$F350)="","",INDEX(選手一覧!$E$5:$E$2736,$F350))</f>
        <v/>
      </c>
      <c r="I350" s="11" t="str">
        <f aca="false">IF(INDEX(選手一覧!$H$5:$H$2736,$F350)="","",INDEX(選手一覧!$H$5:$H$2736,$F350))</f>
        <v/>
      </c>
      <c r="J350" s="12" t="str">
        <f aca="false">IF(INDEX(選手一覧!$I$5:$I$2736,$F350)="","",INDEX(選手一覧!$I$5:$I$2736,$F350))</f>
        <v/>
      </c>
    </row>
    <row r="351" customFormat="false" ht="15" hidden="false" customHeight="false" outlineLevel="0" collapsed="false">
      <c r="A351" s="12" t="n">
        <v>348</v>
      </c>
      <c r="B351" s="8" t="s">
        <v>2276</v>
      </c>
      <c r="C351" s="8" t="s">
        <v>2277</v>
      </c>
      <c r="D351" s="11" t="n">
        <v>0.00701053240740741</v>
      </c>
      <c r="E351" s="39" t="n">
        <f aca="false">ROUND((D351-$D$5)*86400,2)</f>
        <v>66.69</v>
      </c>
      <c r="F351" s="12" t="n">
        <v>1452</v>
      </c>
      <c r="G351" s="11" t="str">
        <f aca="false">IF(INDEX(選手一覧!$D$5:$D$2736,$F351)="","",INDEX(選手一覧!$D$5:$D$2736,$F351))</f>
        <v/>
      </c>
      <c r="H351" s="12" t="str">
        <f aca="false">IF(INDEX(選手一覧!$E$5:$E$2736,$F351)="","",INDEX(選手一覧!$E$5:$E$2736,$F351))</f>
        <v/>
      </c>
      <c r="I351" s="11" t="str">
        <f aca="false">IF(INDEX(選手一覧!$H$5:$H$2736,$F351)="","",INDEX(選手一覧!$H$5:$H$2736,$F351))</f>
        <v/>
      </c>
      <c r="J351" s="12" t="str">
        <f aca="false">IF(INDEX(選手一覧!$I$5:$I$2736,$F351)="","",INDEX(選手一覧!$I$5:$I$2736,$F351))</f>
        <v/>
      </c>
    </row>
    <row r="352" customFormat="false" ht="15" hidden="false" customHeight="false" outlineLevel="0" collapsed="false">
      <c r="A352" s="12" t="n">
        <v>349</v>
      </c>
      <c r="B352" s="8" t="s">
        <v>2278</v>
      </c>
      <c r="C352" s="8" t="s">
        <v>2279</v>
      </c>
      <c r="D352" s="11" t="n">
        <v>0.00701215277777778</v>
      </c>
      <c r="E352" s="39" t="n">
        <f aca="false">ROUND((D352-$D$5)*86400,2)</f>
        <v>66.83</v>
      </c>
      <c r="F352" s="12" t="n">
        <v>1453</v>
      </c>
      <c r="G352" s="11" t="str">
        <f aca="false">IF(INDEX(選手一覧!$D$5:$D$2736,$F352)="","",INDEX(選手一覧!$D$5:$D$2736,$F352))</f>
        <v/>
      </c>
      <c r="H352" s="12" t="str">
        <f aca="false">IF(INDEX(選手一覧!$E$5:$E$2736,$F352)="","",INDEX(選手一覧!$E$5:$E$2736,$F352))</f>
        <v/>
      </c>
      <c r="I352" s="11" t="str">
        <f aca="false">IF(INDEX(選手一覧!$H$5:$H$2736,$F352)="","",INDEX(選手一覧!$H$5:$H$2736,$F352))</f>
        <v/>
      </c>
      <c r="J352" s="12" t="str">
        <f aca="false">IF(INDEX(選手一覧!$I$5:$I$2736,$F352)="","",INDEX(選手一覧!$I$5:$I$2736,$F352))</f>
        <v/>
      </c>
    </row>
    <row r="353" customFormat="false" ht="15" hidden="false" customHeight="false" outlineLevel="0" collapsed="false">
      <c r="A353" s="12" t="n">
        <v>350</v>
      </c>
      <c r="B353" s="8" t="s">
        <v>2282</v>
      </c>
      <c r="C353" s="8" t="s">
        <v>2283</v>
      </c>
      <c r="D353" s="11" t="n">
        <v>0.00701273148148148</v>
      </c>
      <c r="E353" s="39" t="n">
        <f aca="false">ROUND((D353-$D$5)*86400,2)</f>
        <v>66.88</v>
      </c>
      <c r="F353" s="12" t="n">
        <v>1455</v>
      </c>
      <c r="G353" s="11" t="str">
        <f aca="false">IF(INDEX(選手一覧!$D$5:$D$2736,$F353)="","",INDEX(選手一覧!$D$5:$D$2736,$F353))</f>
        <v/>
      </c>
      <c r="H353" s="12" t="str">
        <f aca="false">IF(INDEX(選手一覧!$E$5:$E$2736,$F353)="","",INDEX(選手一覧!$E$5:$E$2736,$F353))</f>
        <v/>
      </c>
      <c r="I353" s="11" t="str">
        <f aca="false">IF(INDEX(選手一覧!$H$5:$H$2736,$F353)="","",INDEX(選手一覧!$H$5:$H$2736,$F353))</f>
        <v/>
      </c>
      <c r="J353" s="12" t="str">
        <f aca="false">IF(INDEX(選手一覧!$I$5:$I$2736,$F353)="","",INDEX(選手一覧!$I$5:$I$2736,$F353))</f>
        <v/>
      </c>
    </row>
    <row r="354" customFormat="false" ht="15" hidden="false" customHeight="false" outlineLevel="0" collapsed="false">
      <c r="A354" s="12" t="n">
        <v>351</v>
      </c>
      <c r="B354" s="8" t="s">
        <v>2285</v>
      </c>
      <c r="C354" s="8" t="s">
        <v>2286</v>
      </c>
      <c r="D354" s="11" t="n">
        <v>0.00701516203703704</v>
      </c>
      <c r="E354" s="39" t="n">
        <f aca="false">ROUND((D354-$D$5)*86400,2)</f>
        <v>67.09</v>
      </c>
      <c r="F354" s="12" t="n">
        <v>1457</v>
      </c>
      <c r="G354" s="11" t="str">
        <f aca="false">IF(INDEX(選手一覧!$D$5:$D$2736,$F354)="","",INDEX(選手一覧!$D$5:$D$2736,$F354))</f>
        <v/>
      </c>
      <c r="H354" s="12" t="str">
        <f aca="false">IF(INDEX(選手一覧!$E$5:$E$2736,$F354)="","",INDEX(選手一覧!$E$5:$E$2736,$F354))</f>
        <v/>
      </c>
      <c r="I354" s="11" t="str">
        <f aca="false">IF(INDEX(選手一覧!$H$5:$H$2736,$F354)="","",INDEX(選手一覧!$H$5:$H$2736,$F354))</f>
        <v/>
      </c>
      <c r="J354" s="12" t="str">
        <f aca="false">IF(INDEX(選手一覧!$I$5:$I$2736,$F354)="","",INDEX(選手一覧!$I$5:$I$2736,$F354))</f>
        <v/>
      </c>
    </row>
    <row r="355" customFormat="false" ht="15" hidden="false" customHeight="false" outlineLevel="0" collapsed="false">
      <c r="A355" s="12" t="n">
        <v>352</v>
      </c>
      <c r="B355" s="8" t="s">
        <v>2287</v>
      </c>
      <c r="C355" s="8" t="s">
        <v>1114</v>
      </c>
      <c r="D355" s="11" t="n">
        <v>0.00701574074074074</v>
      </c>
      <c r="E355" s="39" t="n">
        <f aca="false">ROUND((D355-$D$5)*86400,2)</f>
        <v>67.14</v>
      </c>
      <c r="F355" s="12" t="n">
        <v>1458</v>
      </c>
      <c r="G355" s="11" t="str">
        <f aca="false">IF(INDEX(選手一覧!$D$5:$D$2736,$F355)="","",INDEX(選手一覧!$D$5:$D$2736,$F355))</f>
        <v/>
      </c>
      <c r="H355" s="12" t="str">
        <f aca="false">IF(INDEX(選手一覧!$E$5:$E$2736,$F355)="","",INDEX(選手一覧!$E$5:$E$2736,$F355))</f>
        <v/>
      </c>
      <c r="I355" s="11" t="str">
        <f aca="false">IF(INDEX(選手一覧!$H$5:$H$2736,$F355)="","",INDEX(選手一覧!$H$5:$H$2736,$F355))</f>
        <v/>
      </c>
      <c r="J355" s="12" t="str">
        <f aca="false">IF(INDEX(選手一覧!$I$5:$I$2736,$F355)="","",INDEX(選手一覧!$I$5:$I$2736,$F355))</f>
        <v/>
      </c>
    </row>
    <row r="356" customFormat="false" ht="15" hidden="false" customHeight="false" outlineLevel="0" collapsed="false">
      <c r="A356" s="12" t="n">
        <v>353</v>
      </c>
      <c r="B356" s="8" t="s">
        <v>1698</v>
      </c>
      <c r="C356" s="8" t="s">
        <v>1699</v>
      </c>
      <c r="D356" s="11" t="n">
        <v>0.00701643518518519</v>
      </c>
      <c r="E356" s="39" t="n">
        <f aca="false">ROUND((D356-$D$5)*86400,2)</f>
        <v>67.2</v>
      </c>
      <c r="F356" s="12" t="n">
        <v>1052</v>
      </c>
      <c r="G356" s="11" t="n">
        <f aca="false">IF(INDEX(選手一覧!$D$5:$D$2736,$F356)="","",INDEX(選手一覧!$D$5:$D$2736,$F356))</f>
        <v>0.010978587962963</v>
      </c>
      <c r="H356" s="12" t="n">
        <f aca="false">IF(INDEX(選手一覧!$E$5:$E$2736,$F356)="","",INDEX(選手一覧!$E$5:$E$2736,$F356))</f>
        <v>1053</v>
      </c>
      <c r="I356" s="11" t="str">
        <f aca="false">IF(INDEX(選手一覧!$H$5:$H$2736,$F356)="","",INDEX(選手一覧!$H$5:$H$2736,$F356))</f>
        <v/>
      </c>
      <c r="J356" s="12" t="str">
        <f aca="false">IF(INDEX(選手一覧!$I$5:$I$2736,$F356)="","",INDEX(選手一覧!$I$5:$I$2736,$F356))</f>
        <v/>
      </c>
    </row>
    <row r="357" customFormat="false" ht="15" hidden="false" customHeight="false" outlineLevel="0" collapsed="false">
      <c r="A357" s="12" t="n">
        <v>354</v>
      </c>
      <c r="B357" s="8" t="s">
        <v>323</v>
      </c>
      <c r="C357" s="8" t="s">
        <v>238</v>
      </c>
      <c r="D357" s="11" t="n">
        <v>0.00701736111111111</v>
      </c>
      <c r="E357" s="39" t="n">
        <f aca="false">ROUND((D357-$D$5)*86400,2)</f>
        <v>67.28</v>
      </c>
      <c r="F357" s="12" t="n">
        <v>159</v>
      </c>
      <c r="G357" s="11" t="n">
        <f aca="false">IF(INDEX(選手一覧!$D$5:$D$2736,$F357)="","",INDEX(選手一覧!$D$5:$D$2736,$F357))</f>
        <v>0.0103002314814815</v>
      </c>
      <c r="H357" s="12" t="n">
        <f aca="false">IF(INDEX(選手一覧!$E$5:$E$2736,$F357)="","",INDEX(選手一覧!$E$5:$E$2736,$F357))</f>
        <v>160</v>
      </c>
      <c r="I357" s="11" t="n">
        <f aca="false">IF(INDEX(選手一覧!$H$5:$H$2736,$F357)="","",INDEX(選手一覧!$H$5:$H$2736,$F357))</f>
        <v>0.0028443287037037</v>
      </c>
      <c r="J357" s="12" t="n">
        <f aca="false">IF(INDEX(選手一覧!$I$5:$I$2736,$F357)="","",INDEX(選手一覧!$I$5:$I$2736,$F357))</f>
        <v>529</v>
      </c>
    </row>
    <row r="358" customFormat="false" ht="15" hidden="false" customHeight="false" outlineLevel="0" collapsed="false">
      <c r="A358" s="12" t="n">
        <v>355</v>
      </c>
      <c r="B358" s="8" t="s">
        <v>77</v>
      </c>
      <c r="C358" s="8" t="s">
        <v>70</v>
      </c>
      <c r="D358" s="11" t="n">
        <v>0.00702037037037037</v>
      </c>
      <c r="E358" s="39" t="n">
        <f aca="false">ROUND((D358-$D$5)*86400,2)</f>
        <v>67.54</v>
      </c>
      <c r="F358" s="12" t="n">
        <v>28</v>
      </c>
      <c r="G358" s="11" t="n">
        <f aca="false">IF(INDEX(選手一覧!$D$5:$D$2736,$F358)="","",INDEX(選手一覧!$D$5:$D$2736,$F358))</f>
        <v>0.0100400462962963</v>
      </c>
      <c r="H358" s="12" t="n">
        <f aca="false">IF(INDEX(選手一覧!$E$5:$E$2736,$F358)="","",INDEX(選手一覧!$E$5:$E$2736,$F358))</f>
        <v>29</v>
      </c>
      <c r="I358" s="11" t="n">
        <f aca="false">IF(INDEX(選手一覧!$H$5:$H$2736,$F358)="","",INDEX(選手一覧!$H$5:$H$2736,$F358))</f>
        <v>0.00270590277777778</v>
      </c>
      <c r="J358" s="12" t="n">
        <f aca="false">IF(INDEX(選手一覧!$I$5:$I$2736,$F358)="","",INDEX(選手一覧!$I$5:$I$2736,$F358))</f>
        <v>29</v>
      </c>
    </row>
    <row r="359" customFormat="false" ht="15" hidden="false" customHeight="false" outlineLevel="0" collapsed="false">
      <c r="A359" s="12" t="n">
        <v>356</v>
      </c>
      <c r="B359" s="8" t="s">
        <v>2289</v>
      </c>
      <c r="C359" s="8" t="s">
        <v>2290</v>
      </c>
      <c r="D359" s="11" t="n">
        <v>0.0070224537037037</v>
      </c>
      <c r="E359" s="39" t="n">
        <f aca="false">ROUND((D359-$D$5)*86400,2)</f>
        <v>67.72</v>
      </c>
      <c r="F359" s="12" t="n">
        <v>1460</v>
      </c>
      <c r="G359" s="11" t="str">
        <f aca="false">IF(INDEX(選手一覧!$D$5:$D$2736,$F359)="","",INDEX(選手一覧!$D$5:$D$2736,$F359))</f>
        <v/>
      </c>
      <c r="H359" s="12" t="str">
        <f aca="false">IF(INDEX(選手一覧!$E$5:$E$2736,$F359)="","",INDEX(選手一覧!$E$5:$E$2736,$F359))</f>
        <v/>
      </c>
      <c r="I359" s="11" t="str">
        <f aca="false">IF(INDEX(選手一覧!$H$5:$H$2736,$F359)="","",INDEX(選手一覧!$H$5:$H$2736,$F359))</f>
        <v/>
      </c>
      <c r="J359" s="12" t="str">
        <f aca="false">IF(INDEX(選手一覧!$I$5:$I$2736,$F359)="","",INDEX(選手一覧!$I$5:$I$2736,$F359))</f>
        <v/>
      </c>
    </row>
    <row r="360" customFormat="false" ht="15" hidden="false" customHeight="false" outlineLevel="0" collapsed="false">
      <c r="A360" s="12" t="n">
        <v>357</v>
      </c>
      <c r="B360" s="8" t="s">
        <v>2293</v>
      </c>
      <c r="C360" s="8" t="s">
        <v>2294</v>
      </c>
      <c r="D360" s="11" t="n">
        <v>0.00702291666666667</v>
      </c>
      <c r="E360" s="39" t="n">
        <f aca="false">ROUND((D360-$D$5)*86400,2)</f>
        <v>67.76</v>
      </c>
      <c r="F360" s="12" t="n">
        <v>1462</v>
      </c>
      <c r="G360" s="11" t="str">
        <f aca="false">IF(INDEX(選手一覧!$D$5:$D$2736,$F360)="","",INDEX(選手一覧!$D$5:$D$2736,$F360))</f>
        <v/>
      </c>
      <c r="H360" s="12" t="str">
        <f aca="false">IF(INDEX(選手一覧!$E$5:$E$2736,$F360)="","",INDEX(選手一覧!$E$5:$E$2736,$F360))</f>
        <v/>
      </c>
      <c r="I360" s="11" t="str">
        <f aca="false">IF(INDEX(選手一覧!$H$5:$H$2736,$F360)="","",INDEX(選手一覧!$H$5:$H$2736,$F360))</f>
        <v/>
      </c>
      <c r="J360" s="12" t="str">
        <f aca="false">IF(INDEX(選手一覧!$I$5:$I$2736,$F360)="","",INDEX(選手一覧!$I$5:$I$2736,$F360))</f>
        <v/>
      </c>
    </row>
    <row r="361" customFormat="false" ht="15" hidden="false" customHeight="false" outlineLevel="0" collapsed="false">
      <c r="A361" s="12" t="n">
        <v>358</v>
      </c>
      <c r="B361" s="8" t="s">
        <v>2295</v>
      </c>
      <c r="C361" s="8" t="s">
        <v>2296</v>
      </c>
      <c r="D361" s="11" t="n">
        <v>0.00702291666666667</v>
      </c>
      <c r="E361" s="39" t="n">
        <f aca="false">ROUND((D361-$D$5)*86400,2)</f>
        <v>67.76</v>
      </c>
      <c r="F361" s="12" t="n">
        <v>1463</v>
      </c>
      <c r="G361" s="11" t="str">
        <f aca="false">IF(INDEX(選手一覧!$D$5:$D$2736,$F361)="","",INDEX(選手一覧!$D$5:$D$2736,$F361))</f>
        <v/>
      </c>
      <c r="H361" s="12" t="str">
        <f aca="false">IF(INDEX(選手一覧!$E$5:$E$2736,$F361)="","",INDEX(選手一覧!$E$5:$E$2736,$F361))</f>
        <v/>
      </c>
      <c r="I361" s="11" t="str">
        <f aca="false">IF(INDEX(選手一覧!$H$5:$H$2736,$F361)="","",INDEX(選手一覧!$H$5:$H$2736,$F361))</f>
        <v/>
      </c>
      <c r="J361" s="12" t="str">
        <f aca="false">IF(INDEX(選手一覧!$I$5:$I$2736,$F361)="","",INDEX(選手一覧!$I$5:$I$2736,$F361))</f>
        <v/>
      </c>
    </row>
    <row r="362" customFormat="false" ht="15" hidden="false" customHeight="false" outlineLevel="0" collapsed="false">
      <c r="A362" s="12" t="n">
        <v>359</v>
      </c>
      <c r="B362" s="8" t="s">
        <v>1776</v>
      </c>
      <c r="C362" s="8" t="s">
        <v>410</v>
      </c>
      <c r="D362" s="11" t="n">
        <v>0.00702592592592593</v>
      </c>
      <c r="E362" s="39" t="n">
        <f aca="false">ROUND((D362-$D$5)*86400,2)</f>
        <v>68.02</v>
      </c>
      <c r="F362" s="12" t="n">
        <v>1103</v>
      </c>
      <c r="G362" s="11" t="n">
        <f aca="false">IF(INDEX(選手一覧!$D$5:$D$2736,$F362)="","",INDEX(選手一覧!$D$5:$D$2736,$F362))</f>
        <v>0.011006712962963</v>
      </c>
      <c r="H362" s="12" t="n">
        <f aca="false">IF(INDEX(選手一覧!$E$5:$E$2736,$F362)="","",INDEX(選手一覧!$E$5:$E$2736,$F362))</f>
        <v>1104</v>
      </c>
      <c r="I362" s="11" t="str">
        <f aca="false">IF(INDEX(選手一覧!$H$5:$H$2736,$F362)="","",INDEX(選手一覧!$H$5:$H$2736,$F362))</f>
        <v/>
      </c>
      <c r="J362" s="12" t="str">
        <f aca="false">IF(INDEX(選手一覧!$I$5:$I$2736,$F362)="","",INDEX(選手一覧!$I$5:$I$2736,$F362))</f>
        <v/>
      </c>
    </row>
    <row r="363" customFormat="false" ht="15" hidden="false" customHeight="false" outlineLevel="0" collapsed="false">
      <c r="A363" s="12" t="n">
        <v>360</v>
      </c>
      <c r="B363" s="8" t="s">
        <v>169</v>
      </c>
      <c r="C363" s="8" t="s">
        <v>28</v>
      </c>
      <c r="D363" s="11" t="n">
        <v>0.00702662037037037</v>
      </c>
      <c r="E363" s="39" t="n">
        <f aca="false">ROUND((D363-$D$5)*86400,2)</f>
        <v>68.08</v>
      </c>
      <c r="F363" s="12" t="n">
        <v>77</v>
      </c>
      <c r="G363" s="11" t="n">
        <f aca="false">IF(INDEX(選手一覧!$D$5:$D$2736,$F363)="","",INDEX(選手一覧!$D$5:$D$2736,$F363))</f>
        <v>0.0101642361111111</v>
      </c>
      <c r="H363" s="12" t="n">
        <f aca="false">IF(INDEX(選手一覧!$E$5:$E$2736,$F363)="","",INDEX(選手一覧!$E$5:$E$2736,$F363))</f>
        <v>78</v>
      </c>
      <c r="I363" s="11" t="n">
        <f aca="false">IF(INDEX(選手一覧!$H$5:$H$2736,$F363)="","",INDEX(選手一覧!$H$5:$H$2736,$F363))</f>
        <v>0.00284363425925926</v>
      </c>
      <c r="J363" s="12" t="n">
        <f aca="false">IF(INDEX(選手一覧!$I$5:$I$2736,$F363)="","",INDEX(選手一覧!$I$5:$I$2736,$F363))</f>
        <v>522</v>
      </c>
    </row>
    <row r="364" customFormat="false" ht="15" hidden="false" customHeight="false" outlineLevel="0" collapsed="false">
      <c r="A364" s="12" t="n">
        <v>361</v>
      </c>
      <c r="B364" s="8" t="s">
        <v>2297</v>
      </c>
      <c r="C364" s="8" t="s">
        <v>304</v>
      </c>
      <c r="D364" s="11" t="n">
        <v>0.00702662037037037</v>
      </c>
      <c r="E364" s="39" t="n">
        <f aca="false">ROUND((D364-$D$5)*86400,2)</f>
        <v>68.08</v>
      </c>
      <c r="F364" s="12" t="n">
        <v>1464</v>
      </c>
      <c r="G364" s="11" t="str">
        <f aca="false">IF(INDEX(選手一覧!$D$5:$D$2736,$F364)="","",INDEX(選手一覧!$D$5:$D$2736,$F364))</f>
        <v/>
      </c>
      <c r="H364" s="12" t="str">
        <f aca="false">IF(INDEX(選手一覧!$E$5:$E$2736,$F364)="","",INDEX(選手一覧!$E$5:$E$2736,$F364))</f>
        <v/>
      </c>
      <c r="I364" s="11" t="str">
        <f aca="false">IF(INDEX(選手一覧!$H$5:$H$2736,$F364)="","",INDEX(選手一覧!$H$5:$H$2736,$F364))</f>
        <v/>
      </c>
      <c r="J364" s="12" t="str">
        <f aca="false">IF(INDEX(選手一覧!$I$5:$I$2736,$F364)="","",INDEX(選手一覧!$I$5:$I$2736,$F364))</f>
        <v/>
      </c>
    </row>
    <row r="365" customFormat="false" ht="15" hidden="false" customHeight="false" outlineLevel="0" collapsed="false">
      <c r="A365" s="12" t="n">
        <v>362</v>
      </c>
      <c r="B365" s="8" t="s">
        <v>2298</v>
      </c>
      <c r="C365" s="8" t="s">
        <v>2299</v>
      </c>
      <c r="D365" s="11" t="n">
        <v>0.00702708333333333</v>
      </c>
      <c r="E365" s="39" t="n">
        <f aca="false">ROUND((D365-$D$5)*86400,2)</f>
        <v>68.12</v>
      </c>
      <c r="F365" s="12" t="n">
        <v>1465</v>
      </c>
      <c r="G365" s="11" t="str">
        <f aca="false">IF(INDEX(選手一覧!$D$5:$D$2736,$F365)="","",INDEX(選手一覧!$D$5:$D$2736,$F365))</f>
        <v/>
      </c>
      <c r="H365" s="12" t="str">
        <f aca="false">IF(INDEX(選手一覧!$E$5:$E$2736,$F365)="","",INDEX(選手一覧!$E$5:$E$2736,$F365))</f>
        <v/>
      </c>
      <c r="I365" s="11" t="n">
        <f aca="false">IF(INDEX(選手一覧!$H$5:$H$2736,$F365)="","",INDEX(選手一覧!$H$5:$H$2736,$F365))</f>
        <v>0.00290983796296296</v>
      </c>
      <c r="J365" s="12" t="n">
        <f aca="false">IF(INDEX(選手一覧!$I$5:$I$2736,$F365)="","",INDEX(選手一覧!$I$5:$I$2736,$F365))</f>
        <v>1018</v>
      </c>
    </row>
    <row r="366" customFormat="false" ht="15" hidden="false" customHeight="false" outlineLevel="0" collapsed="false">
      <c r="A366" s="12" t="n">
        <v>363</v>
      </c>
      <c r="B366" s="8" t="s">
        <v>2300</v>
      </c>
      <c r="C366" s="8" t="s">
        <v>1248</v>
      </c>
      <c r="D366" s="11" t="n">
        <v>0.00702962962962963</v>
      </c>
      <c r="E366" s="39" t="n">
        <f aca="false">ROUND((D366-$D$5)*86400,2)</f>
        <v>68.34</v>
      </c>
      <c r="F366" s="12" t="n">
        <v>1466</v>
      </c>
      <c r="G366" s="11" t="str">
        <f aca="false">IF(INDEX(選手一覧!$D$5:$D$2736,$F366)="","",INDEX(選手一覧!$D$5:$D$2736,$F366))</f>
        <v/>
      </c>
      <c r="H366" s="12" t="str">
        <f aca="false">IF(INDEX(選手一覧!$E$5:$E$2736,$F366)="","",INDEX(選手一覧!$E$5:$E$2736,$F366))</f>
        <v/>
      </c>
      <c r="I366" s="11" t="str">
        <f aca="false">IF(INDEX(選手一覧!$H$5:$H$2736,$F366)="","",INDEX(選手一覧!$H$5:$H$2736,$F366))</f>
        <v/>
      </c>
      <c r="J366" s="12" t="str">
        <f aca="false">IF(INDEX(選手一覧!$I$5:$I$2736,$F366)="","",INDEX(選手一覧!$I$5:$I$2736,$F366))</f>
        <v/>
      </c>
    </row>
    <row r="367" customFormat="false" ht="15" hidden="false" customHeight="false" outlineLevel="0" collapsed="false">
      <c r="A367" s="12" t="n">
        <v>364</v>
      </c>
      <c r="B367" s="8" t="s">
        <v>2301</v>
      </c>
      <c r="C367" s="8" t="s">
        <v>2302</v>
      </c>
      <c r="D367" s="11" t="n">
        <v>0.00703206018518519</v>
      </c>
      <c r="E367" s="39" t="n">
        <f aca="false">ROUND((D367-$D$5)*86400,2)</f>
        <v>68.55</v>
      </c>
      <c r="F367" s="12" t="n">
        <v>1467</v>
      </c>
      <c r="G367" s="11" t="str">
        <f aca="false">IF(INDEX(選手一覧!$D$5:$D$2736,$F367)="","",INDEX(選手一覧!$D$5:$D$2736,$F367))</f>
        <v/>
      </c>
      <c r="H367" s="12" t="str">
        <f aca="false">IF(INDEX(選手一覧!$E$5:$E$2736,$F367)="","",INDEX(選手一覧!$E$5:$E$2736,$F367))</f>
        <v/>
      </c>
      <c r="I367" s="11" t="str">
        <f aca="false">IF(INDEX(選手一覧!$H$5:$H$2736,$F367)="","",INDEX(選手一覧!$H$5:$H$2736,$F367))</f>
        <v/>
      </c>
      <c r="J367" s="12" t="str">
        <f aca="false">IF(INDEX(選手一覧!$I$5:$I$2736,$F367)="","",INDEX(選手一覧!$I$5:$I$2736,$F367))</f>
        <v/>
      </c>
    </row>
    <row r="368" customFormat="false" ht="15" hidden="false" customHeight="false" outlineLevel="0" collapsed="false">
      <c r="A368" s="12" t="n">
        <v>365</v>
      </c>
      <c r="B368" s="8" t="s">
        <v>2303</v>
      </c>
      <c r="C368" s="8" t="s">
        <v>2304</v>
      </c>
      <c r="D368" s="11" t="n">
        <v>0.00703449074074074</v>
      </c>
      <c r="E368" s="39" t="n">
        <f aca="false">ROUND((D368-$D$5)*86400,2)</f>
        <v>68.76</v>
      </c>
      <c r="F368" s="12" t="n">
        <v>1468</v>
      </c>
      <c r="G368" s="11" t="str">
        <f aca="false">IF(INDEX(選手一覧!$D$5:$D$2736,$F368)="","",INDEX(選手一覧!$D$5:$D$2736,$F368))</f>
        <v/>
      </c>
      <c r="H368" s="12" t="str">
        <f aca="false">IF(INDEX(選手一覧!$E$5:$E$2736,$F368)="","",INDEX(選手一覧!$E$5:$E$2736,$F368))</f>
        <v/>
      </c>
      <c r="I368" s="11" t="str">
        <f aca="false">IF(INDEX(選手一覧!$H$5:$H$2736,$F368)="","",INDEX(選手一覧!$H$5:$H$2736,$F368))</f>
        <v/>
      </c>
      <c r="J368" s="12" t="str">
        <f aca="false">IF(INDEX(選手一覧!$I$5:$I$2736,$F368)="","",INDEX(選手一覧!$I$5:$I$2736,$F368))</f>
        <v/>
      </c>
    </row>
    <row r="369" customFormat="false" ht="15" hidden="false" customHeight="false" outlineLevel="0" collapsed="false">
      <c r="A369" s="12" t="n">
        <v>366</v>
      </c>
      <c r="B369" s="8" t="s">
        <v>2305</v>
      </c>
      <c r="C369" s="8" t="s">
        <v>241</v>
      </c>
      <c r="D369" s="11" t="n">
        <v>0.00703483796296296</v>
      </c>
      <c r="E369" s="39" t="n">
        <f aca="false">ROUND((D369-$D$5)*86400,2)</f>
        <v>68.79</v>
      </c>
      <c r="F369" s="12" t="n">
        <v>1469</v>
      </c>
      <c r="G369" s="11" t="str">
        <f aca="false">IF(INDEX(選手一覧!$D$5:$D$2736,$F369)="","",INDEX(選手一覧!$D$5:$D$2736,$F369))</f>
        <v/>
      </c>
      <c r="H369" s="12" t="str">
        <f aca="false">IF(INDEX(選手一覧!$E$5:$E$2736,$F369)="","",INDEX(選手一覧!$E$5:$E$2736,$F369))</f>
        <v/>
      </c>
      <c r="I369" s="11" t="str">
        <f aca="false">IF(INDEX(選手一覧!$H$5:$H$2736,$F369)="","",INDEX(選手一覧!$H$5:$H$2736,$F369))</f>
        <v/>
      </c>
      <c r="J369" s="12" t="str">
        <f aca="false">IF(INDEX(選手一覧!$I$5:$I$2736,$F369)="","",INDEX(選手一覧!$I$5:$I$2736,$F369))</f>
        <v/>
      </c>
    </row>
    <row r="370" customFormat="false" ht="15" hidden="false" customHeight="false" outlineLevel="0" collapsed="false">
      <c r="A370" s="12" t="n">
        <v>367</v>
      </c>
      <c r="B370" s="8" t="s">
        <v>635</v>
      </c>
      <c r="C370" s="8" t="s">
        <v>80</v>
      </c>
      <c r="D370" s="11" t="n">
        <v>0.00703599537037037</v>
      </c>
      <c r="E370" s="39" t="n">
        <f aca="false">ROUND((D370-$D$5)*86400,2)</f>
        <v>68.89</v>
      </c>
      <c r="F370" s="12" t="n">
        <v>349</v>
      </c>
      <c r="G370" s="11" t="n">
        <f aca="false">IF(INDEX(選手一覧!$D$5:$D$2736,$F370)="","",INDEX(選手一覧!$D$5:$D$2736,$F370))</f>
        <v>0.0105109953703704</v>
      </c>
      <c r="H370" s="12" t="n">
        <f aca="false">IF(INDEX(選手一覧!$E$5:$E$2736,$F370)="","",INDEX(選手一覧!$E$5:$E$2736,$F370))</f>
        <v>350</v>
      </c>
      <c r="I370" s="11" t="str">
        <f aca="false">IF(INDEX(選手一覧!$H$5:$H$2736,$F370)="","",INDEX(選手一覧!$H$5:$H$2736,$F370))</f>
        <v/>
      </c>
      <c r="J370" s="12" t="str">
        <f aca="false">IF(INDEX(選手一覧!$I$5:$I$2736,$F370)="","",INDEX(選手一覧!$I$5:$I$2736,$F370))</f>
        <v/>
      </c>
    </row>
    <row r="371" customFormat="false" ht="15" hidden="false" customHeight="false" outlineLevel="0" collapsed="false">
      <c r="A371" s="12" t="n">
        <v>368</v>
      </c>
      <c r="B371" s="8" t="s">
        <v>889</v>
      </c>
      <c r="C371" s="8" t="s">
        <v>4682</v>
      </c>
      <c r="D371" s="11" t="n">
        <v>0.00703703703703704</v>
      </c>
      <c r="E371" s="39" t="n">
        <f aca="false">ROUND((D371-$D$5)*86400,2)</f>
        <v>68.98</v>
      </c>
      <c r="F371" s="12" t="n">
        <v>509</v>
      </c>
      <c r="G371" s="11" t="n">
        <f aca="false">IF(INDEX(選手一覧!$D$5:$D$2736,$F371)="","",INDEX(選手一覧!$D$5:$D$2736,$F371))</f>
        <v>0.0106398148148148</v>
      </c>
      <c r="H371" s="12" t="n">
        <f aca="false">IF(INDEX(選手一覧!$E$5:$E$2736,$F371)="","",INDEX(選手一覧!$E$5:$E$2736,$F371))</f>
        <v>510</v>
      </c>
      <c r="I371" s="11" t="n">
        <f aca="false">IF(INDEX(選手一覧!$H$5:$H$2736,$F371)="","",INDEX(選手一覧!$H$5:$H$2736,$F371))</f>
        <v>0.00286574074074074</v>
      </c>
      <c r="J371" s="12" t="n">
        <f aca="false">IF(INDEX(選手一覧!$I$5:$I$2736,$F371)="","",INDEX(選手一覧!$I$5:$I$2736,$F371))</f>
        <v>669</v>
      </c>
    </row>
    <row r="372" customFormat="false" ht="15" hidden="false" customHeight="false" outlineLevel="0" collapsed="false">
      <c r="A372" s="12" t="n">
        <v>369</v>
      </c>
      <c r="B372" s="8" t="s">
        <v>2308</v>
      </c>
      <c r="C372" s="8" t="s">
        <v>61</v>
      </c>
      <c r="D372" s="11" t="n">
        <v>0.00703738425925926</v>
      </c>
      <c r="E372" s="39" t="n">
        <f aca="false">ROUND((D372-$D$5)*86400,2)</f>
        <v>69.01</v>
      </c>
      <c r="F372" s="12" t="n">
        <v>1471</v>
      </c>
      <c r="G372" s="11" t="str">
        <f aca="false">IF(INDEX(選手一覧!$D$5:$D$2736,$F372)="","",INDEX(選手一覧!$D$5:$D$2736,$F372))</f>
        <v/>
      </c>
      <c r="H372" s="12" t="str">
        <f aca="false">IF(INDEX(選手一覧!$E$5:$E$2736,$F372)="","",INDEX(選手一覧!$E$5:$E$2736,$F372))</f>
        <v/>
      </c>
      <c r="I372" s="11" t="n">
        <f aca="false">IF(INDEX(選手一覧!$H$5:$H$2736,$F372)="","",INDEX(選手一覧!$H$5:$H$2736,$F372))</f>
        <v>0.00290023148148148</v>
      </c>
      <c r="J372" s="12" t="n">
        <f aca="false">IF(INDEX(選手一覧!$I$5:$I$2736,$F372)="","",INDEX(選手一覧!$I$5:$I$2736,$F372))</f>
        <v>948</v>
      </c>
    </row>
    <row r="373" customFormat="false" ht="15" hidden="false" customHeight="false" outlineLevel="0" collapsed="false">
      <c r="A373" s="12" t="n">
        <v>370</v>
      </c>
      <c r="B373" s="8" t="s">
        <v>1750</v>
      </c>
      <c r="C373" s="8" t="s">
        <v>1262</v>
      </c>
      <c r="D373" s="11" t="n">
        <v>0.00703831018518519</v>
      </c>
      <c r="E373" s="39" t="n">
        <f aca="false">ROUND((D373-$D$5)*86400,2)</f>
        <v>69.09</v>
      </c>
      <c r="F373" s="12" t="n">
        <v>1087</v>
      </c>
      <c r="G373" s="11" t="n">
        <f aca="false">IF(INDEX(選手一覧!$D$5:$D$2736,$F373)="","",INDEX(選手一覧!$D$5:$D$2736,$F373))</f>
        <v>0.0109949074074074</v>
      </c>
      <c r="H373" s="12" t="n">
        <f aca="false">IF(INDEX(選手一覧!$E$5:$E$2736,$F373)="","",INDEX(選手一覧!$E$5:$E$2736,$F373))</f>
        <v>1088</v>
      </c>
      <c r="I373" s="11" t="n">
        <f aca="false">IF(INDEX(選手一覧!$H$5:$H$2736,$F373)="","",INDEX(選手一覧!$H$5:$H$2736,$F373))</f>
        <v>0.00291365740740741</v>
      </c>
      <c r="J373" s="12" t="n">
        <f aca="false">IF(INDEX(選手一覧!$I$5:$I$2736,$F373)="","",INDEX(選手一覧!$I$5:$I$2736,$F373))</f>
        <v>1048</v>
      </c>
    </row>
    <row r="374" customFormat="false" ht="15" hidden="false" customHeight="false" outlineLevel="0" collapsed="false">
      <c r="A374" s="12" t="n">
        <v>371</v>
      </c>
      <c r="B374" s="8" t="s">
        <v>976</v>
      </c>
      <c r="C374" s="8" t="s">
        <v>294</v>
      </c>
      <c r="D374" s="11" t="n">
        <v>0.00703842592592593</v>
      </c>
      <c r="E374" s="39" t="n">
        <f aca="false">ROUND((D374-$D$5)*86400,2)</f>
        <v>69.1</v>
      </c>
      <c r="F374" s="12" t="n">
        <v>564</v>
      </c>
      <c r="G374" s="11" t="n">
        <f aca="false">IF(INDEX(選手一覧!$D$5:$D$2736,$F374)="","",INDEX(選手一覧!$D$5:$D$2736,$F374))</f>
        <v>0.0106880787037037</v>
      </c>
      <c r="H374" s="12" t="n">
        <f aca="false">IF(INDEX(選手一覧!$E$5:$E$2736,$F374)="","",INDEX(選手一覧!$E$5:$E$2736,$F374))</f>
        <v>565</v>
      </c>
      <c r="I374" s="11" t="n">
        <f aca="false">IF(INDEX(選手一覧!$H$5:$H$2736,$F374)="","",INDEX(選手一覧!$H$5:$H$2736,$F374))</f>
        <v>0.00291388888888889</v>
      </c>
      <c r="J374" s="12" t="n">
        <f aca="false">IF(INDEX(選手一覧!$I$5:$I$2736,$F374)="","",INDEX(選手一覧!$I$5:$I$2736,$F374))</f>
        <v>1050</v>
      </c>
    </row>
    <row r="375" customFormat="false" ht="15" hidden="false" customHeight="false" outlineLevel="0" collapsed="false">
      <c r="A375" s="12" t="n">
        <v>372</v>
      </c>
      <c r="B375" s="8" t="s">
        <v>2309</v>
      </c>
      <c r="C375" s="8" t="s">
        <v>2310</v>
      </c>
      <c r="D375" s="11" t="n">
        <v>0.00703854166666667</v>
      </c>
      <c r="E375" s="39" t="n">
        <f aca="false">ROUND((D375-$D$5)*86400,2)</f>
        <v>69.11</v>
      </c>
      <c r="F375" s="12" t="n">
        <v>1472</v>
      </c>
      <c r="G375" s="11" t="str">
        <f aca="false">IF(INDEX(選手一覧!$D$5:$D$2736,$F375)="","",INDEX(選手一覧!$D$5:$D$2736,$F375))</f>
        <v/>
      </c>
      <c r="H375" s="12" t="str">
        <f aca="false">IF(INDEX(選手一覧!$E$5:$E$2736,$F375)="","",INDEX(選手一覧!$E$5:$E$2736,$F375))</f>
        <v/>
      </c>
      <c r="I375" s="11" t="str">
        <f aca="false">IF(INDEX(選手一覧!$H$5:$H$2736,$F375)="","",INDEX(選手一覧!$H$5:$H$2736,$F375))</f>
        <v/>
      </c>
      <c r="J375" s="12" t="str">
        <f aca="false">IF(INDEX(選手一覧!$I$5:$I$2736,$F375)="","",INDEX(選手一覧!$I$5:$I$2736,$F375))</f>
        <v/>
      </c>
    </row>
    <row r="376" customFormat="false" ht="15" hidden="false" customHeight="false" outlineLevel="0" collapsed="false">
      <c r="A376" s="12" t="n">
        <v>373</v>
      </c>
      <c r="B376" s="8" t="s">
        <v>2312</v>
      </c>
      <c r="C376" s="8" t="s">
        <v>1689</v>
      </c>
      <c r="D376" s="11" t="n">
        <v>0.00703935185185185</v>
      </c>
      <c r="E376" s="39" t="n">
        <f aca="false">ROUND((D376-$D$5)*86400,2)</f>
        <v>69.18</v>
      </c>
      <c r="F376" s="12" t="n">
        <v>1473</v>
      </c>
      <c r="G376" s="11" t="str">
        <f aca="false">IF(INDEX(選手一覧!$D$5:$D$2736,$F376)="","",INDEX(選手一覧!$D$5:$D$2736,$F376))</f>
        <v/>
      </c>
      <c r="H376" s="12" t="str">
        <f aca="false">IF(INDEX(選手一覧!$E$5:$E$2736,$F376)="","",INDEX(選手一覧!$E$5:$E$2736,$F376))</f>
        <v/>
      </c>
      <c r="I376" s="11" t="n">
        <f aca="false">IF(INDEX(選手一覧!$H$5:$H$2736,$F376)="","",INDEX(選手一覧!$H$5:$H$2736,$F376))</f>
        <v>0.00291840277777778</v>
      </c>
      <c r="J376" s="12" t="n">
        <f aca="false">IF(INDEX(選手一覧!$I$5:$I$2736,$F376)="","",INDEX(選手一覧!$I$5:$I$2736,$F376))</f>
        <v>1078</v>
      </c>
    </row>
    <row r="377" customFormat="false" ht="15" hidden="false" customHeight="false" outlineLevel="0" collapsed="false">
      <c r="A377" s="12" t="n">
        <v>374</v>
      </c>
      <c r="B377" s="8" t="s">
        <v>2313</v>
      </c>
      <c r="C377" s="8" t="s">
        <v>2314</v>
      </c>
      <c r="D377" s="11" t="n">
        <v>0.00703935185185185</v>
      </c>
      <c r="E377" s="39" t="n">
        <f aca="false">ROUND((D377-$D$5)*86400,2)</f>
        <v>69.18</v>
      </c>
      <c r="F377" s="12" t="n">
        <v>1474</v>
      </c>
      <c r="G377" s="11" t="str">
        <f aca="false">IF(INDEX(選手一覧!$D$5:$D$2736,$F377)="","",INDEX(選手一覧!$D$5:$D$2736,$F377))</f>
        <v/>
      </c>
      <c r="H377" s="12" t="str">
        <f aca="false">IF(INDEX(選手一覧!$E$5:$E$2736,$F377)="","",INDEX(選手一覧!$E$5:$E$2736,$F377))</f>
        <v/>
      </c>
      <c r="I377" s="11" t="str">
        <f aca="false">IF(INDEX(選手一覧!$H$5:$H$2736,$F377)="","",INDEX(選手一覧!$H$5:$H$2736,$F377))</f>
        <v/>
      </c>
      <c r="J377" s="12" t="str">
        <f aca="false">IF(INDEX(選手一覧!$I$5:$I$2736,$F377)="","",INDEX(選手一覧!$I$5:$I$2736,$F377))</f>
        <v/>
      </c>
    </row>
    <row r="378" customFormat="false" ht="15" hidden="false" customHeight="false" outlineLevel="0" collapsed="false">
      <c r="A378" s="12" t="n">
        <v>375</v>
      </c>
      <c r="B378" s="8" t="s">
        <v>1883</v>
      </c>
      <c r="C378" s="8" t="s">
        <v>1884</v>
      </c>
      <c r="D378" s="11" t="n">
        <v>0.00704016203703704</v>
      </c>
      <c r="E378" s="39" t="n">
        <f aca="false">ROUND((D378-$D$5)*86400,2)</f>
        <v>69.25</v>
      </c>
      <c r="F378" s="12" t="n">
        <v>1176</v>
      </c>
      <c r="G378" s="11" t="n">
        <f aca="false">IF(INDEX(選手一覧!$D$5:$D$2736,$F378)="","",INDEX(選手一覧!$D$5:$D$2736,$F378))</f>
        <v>0.0110396990740741</v>
      </c>
      <c r="H378" s="12" t="n">
        <f aca="false">IF(INDEX(選手一覧!$E$5:$E$2736,$F378)="","",INDEX(選手一覧!$E$5:$E$2736,$F378))</f>
        <v>1177</v>
      </c>
      <c r="I378" s="11" t="n">
        <f aca="false">IF(INDEX(選手一覧!$H$5:$H$2736,$F378)="","",INDEX(選手一覧!$H$5:$H$2736,$F378))</f>
        <v>0.00289143518518519</v>
      </c>
      <c r="J378" s="12" t="n">
        <f aca="false">IF(INDEX(選手一覧!$I$5:$I$2736,$F378)="","",INDEX(選手一覧!$I$5:$I$2736,$F378))</f>
        <v>880</v>
      </c>
    </row>
    <row r="379" customFormat="false" ht="15" hidden="false" customHeight="false" outlineLevel="0" collapsed="false">
      <c r="A379" s="12" t="n">
        <v>376</v>
      </c>
      <c r="B379" s="8" t="s">
        <v>2316</v>
      </c>
      <c r="C379" s="8" t="s">
        <v>229</v>
      </c>
      <c r="D379" s="11" t="n">
        <v>0.00704027777777778</v>
      </c>
      <c r="E379" s="39" t="n">
        <f aca="false">ROUND((D379-$D$5)*86400,2)</f>
        <v>69.26</v>
      </c>
      <c r="F379" s="12" t="n">
        <v>1476</v>
      </c>
      <c r="G379" s="11" t="str">
        <f aca="false">IF(INDEX(選手一覧!$D$5:$D$2736,$F379)="","",INDEX(選手一覧!$D$5:$D$2736,$F379))</f>
        <v/>
      </c>
      <c r="H379" s="12" t="str">
        <f aca="false">IF(INDEX(選手一覧!$E$5:$E$2736,$F379)="","",INDEX(選手一覧!$E$5:$E$2736,$F379))</f>
        <v/>
      </c>
      <c r="I379" s="11" t="str">
        <f aca="false">IF(INDEX(選手一覧!$H$5:$H$2736,$F379)="","",INDEX(選手一覧!$H$5:$H$2736,$F379))</f>
        <v/>
      </c>
      <c r="J379" s="12" t="str">
        <f aca="false">IF(INDEX(選手一覧!$I$5:$I$2736,$F379)="","",INDEX(選手一覧!$I$5:$I$2736,$F379))</f>
        <v/>
      </c>
    </row>
    <row r="380" customFormat="false" ht="15" hidden="false" customHeight="false" outlineLevel="0" collapsed="false">
      <c r="A380" s="12" t="n">
        <v>377</v>
      </c>
      <c r="B380" s="8" t="s">
        <v>1218</v>
      </c>
      <c r="C380" s="8" t="s">
        <v>508</v>
      </c>
      <c r="D380" s="11" t="n">
        <v>0.00704074074074074</v>
      </c>
      <c r="E380" s="39" t="n">
        <f aca="false">ROUND((D380-$D$5)*86400,2)</f>
        <v>69.3</v>
      </c>
      <c r="F380" s="12" t="n">
        <v>729</v>
      </c>
      <c r="G380" s="11" t="n">
        <f aca="false">IF(INDEX(選手一覧!$D$5:$D$2736,$F380)="","",INDEX(選手一覧!$D$5:$D$2736,$F380))</f>
        <v>0.0107921296296296</v>
      </c>
      <c r="H380" s="12" t="n">
        <f aca="false">IF(INDEX(選手一覧!$E$5:$E$2736,$F380)="","",INDEX(選手一覧!$E$5:$E$2736,$F380))</f>
        <v>730</v>
      </c>
      <c r="I380" s="11" t="n">
        <f aca="false">IF(INDEX(選手一覧!$H$5:$H$2736,$F380)="","",INDEX(選手一覧!$H$5:$H$2736,$F380))</f>
        <v>0.00287094907407407</v>
      </c>
      <c r="J380" s="12" t="n">
        <f aca="false">IF(INDEX(選手一覧!$I$5:$I$2736,$F380)="","",INDEX(選手一覧!$I$5:$I$2736,$F380))</f>
        <v>704</v>
      </c>
    </row>
    <row r="381" customFormat="false" ht="15" hidden="false" customHeight="false" outlineLevel="0" collapsed="false">
      <c r="A381" s="12" t="n">
        <v>378</v>
      </c>
      <c r="B381" s="8" t="s">
        <v>362</v>
      </c>
      <c r="C381" s="8" t="s">
        <v>363</v>
      </c>
      <c r="D381" s="11" t="n">
        <v>0.00704131944444445</v>
      </c>
      <c r="E381" s="39" t="n">
        <f aca="false">ROUND((D381-$D$5)*86400,2)</f>
        <v>69.35</v>
      </c>
      <c r="F381" s="12" t="n">
        <v>181</v>
      </c>
      <c r="G381" s="11" t="n">
        <f aca="false">IF(INDEX(選手一覧!$D$5:$D$2736,$F381)="","",INDEX(選手一覧!$D$5:$D$2736,$F381))</f>
        <v>0.0103303240740741</v>
      </c>
      <c r="H381" s="12" t="n">
        <f aca="false">IF(INDEX(選手一覧!$E$5:$E$2736,$F381)="","",INDEX(選手一覧!$E$5:$E$2736,$F381))</f>
        <v>182</v>
      </c>
      <c r="I381" s="11" t="n">
        <f aca="false">IF(INDEX(選手一覧!$H$5:$H$2736,$F381)="","",INDEX(選手一覧!$H$5:$H$2736,$F381))</f>
        <v>0.00277731481481482</v>
      </c>
      <c r="J381" s="12" t="n">
        <f aca="false">IF(INDEX(選手一覧!$I$5:$I$2736,$F381)="","",INDEX(選手一覧!$I$5:$I$2736,$F381))</f>
        <v>187</v>
      </c>
    </row>
    <row r="382" customFormat="false" ht="15" hidden="false" customHeight="false" outlineLevel="0" collapsed="false">
      <c r="A382" s="12" t="n">
        <v>379</v>
      </c>
      <c r="B382" s="8" t="s">
        <v>2318</v>
      </c>
      <c r="C382" s="8" t="s">
        <v>2319</v>
      </c>
      <c r="D382" s="11" t="n">
        <v>0.00704143518518519</v>
      </c>
      <c r="E382" s="39" t="n">
        <f aca="false">ROUND((D382-$D$5)*86400,2)</f>
        <v>69.36</v>
      </c>
      <c r="F382" s="12" t="n">
        <v>1478</v>
      </c>
      <c r="G382" s="11" t="str">
        <f aca="false">IF(INDEX(選手一覧!$D$5:$D$2736,$F382)="","",INDEX(選手一覧!$D$5:$D$2736,$F382))</f>
        <v/>
      </c>
      <c r="H382" s="12" t="str">
        <f aca="false">IF(INDEX(選手一覧!$E$5:$E$2736,$F382)="","",INDEX(選手一覧!$E$5:$E$2736,$F382))</f>
        <v/>
      </c>
      <c r="I382" s="11" t="n">
        <f aca="false">IF(INDEX(選手一覧!$H$5:$H$2736,$F382)="","",INDEX(選手一覧!$H$5:$H$2736,$F382))</f>
        <v>0.0029400462962963</v>
      </c>
      <c r="J382" s="12" t="n">
        <f aca="false">IF(INDEX(選手一覧!$I$5:$I$2736,$F382)="","",INDEX(選手一覧!$I$5:$I$2736,$F382))</f>
        <v>1200</v>
      </c>
    </row>
    <row r="383" customFormat="false" ht="15" hidden="false" customHeight="false" outlineLevel="0" collapsed="false">
      <c r="A383" s="12" t="n">
        <v>380</v>
      </c>
      <c r="B383" s="8" t="s">
        <v>2320</v>
      </c>
      <c r="C383" s="8" t="s">
        <v>2321</v>
      </c>
      <c r="D383" s="11" t="n">
        <v>0.00704282407407407</v>
      </c>
      <c r="E383" s="39" t="n">
        <f aca="false">ROUND((D383-$D$5)*86400,2)</f>
        <v>69.48</v>
      </c>
      <c r="F383" s="12" t="n">
        <v>1479</v>
      </c>
      <c r="G383" s="11" t="str">
        <f aca="false">IF(INDEX(選手一覧!$D$5:$D$2736,$F383)="","",INDEX(選手一覧!$D$5:$D$2736,$F383))</f>
        <v/>
      </c>
      <c r="H383" s="12" t="str">
        <f aca="false">IF(INDEX(選手一覧!$E$5:$E$2736,$F383)="","",INDEX(選手一覧!$E$5:$E$2736,$F383))</f>
        <v/>
      </c>
      <c r="I383" s="11" t="str">
        <f aca="false">IF(INDEX(選手一覧!$H$5:$H$2736,$F383)="","",INDEX(選手一覧!$H$5:$H$2736,$F383))</f>
        <v/>
      </c>
      <c r="J383" s="12" t="str">
        <f aca="false">IF(INDEX(選手一覧!$I$5:$I$2736,$F383)="","",INDEX(選手一覧!$I$5:$I$2736,$F383))</f>
        <v/>
      </c>
    </row>
    <row r="384" customFormat="false" ht="15" hidden="false" customHeight="false" outlineLevel="0" collapsed="false">
      <c r="A384" s="12" t="n">
        <v>381</v>
      </c>
      <c r="B384" s="8" t="s">
        <v>2323</v>
      </c>
      <c r="C384" s="8" t="s">
        <v>1985</v>
      </c>
      <c r="D384" s="11" t="n">
        <v>0.00704282407407407</v>
      </c>
      <c r="E384" s="39" t="n">
        <f aca="false">ROUND((D384-$D$5)*86400,2)</f>
        <v>69.48</v>
      </c>
      <c r="F384" s="12" t="n">
        <v>1481</v>
      </c>
      <c r="G384" s="11" t="str">
        <f aca="false">IF(INDEX(選手一覧!$D$5:$D$2736,$F384)="","",INDEX(選手一覧!$D$5:$D$2736,$F384))</f>
        <v/>
      </c>
      <c r="H384" s="12" t="str">
        <f aca="false">IF(INDEX(選手一覧!$E$5:$E$2736,$F384)="","",INDEX(選手一覧!$E$5:$E$2736,$F384))</f>
        <v/>
      </c>
      <c r="I384" s="11" t="str">
        <f aca="false">IF(INDEX(選手一覧!$H$5:$H$2736,$F384)="","",INDEX(選手一覧!$H$5:$H$2736,$F384))</f>
        <v/>
      </c>
      <c r="J384" s="12" t="str">
        <f aca="false">IF(INDEX(選手一覧!$I$5:$I$2736,$F384)="","",INDEX(選手一覧!$I$5:$I$2736,$F384))</f>
        <v/>
      </c>
    </row>
    <row r="385" customFormat="false" ht="15" hidden="false" customHeight="false" outlineLevel="0" collapsed="false">
      <c r="A385" s="12" t="n">
        <v>382</v>
      </c>
      <c r="B385" s="8" t="s">
        <v>2324</v>
      </c>
      <c r="C385" s="8" t="s">
        <v>2325</v>
      </c>
      <c r="D385" s="11" t="n">
        <v>0.00704305555555556</v>
      </c>
      <c r="E385" s="39" t="n">
        <f aca="false">ROUND((D385-$D$5)*86400,2)</f>
        <v>69.5</v>
      </c>
      <c r="F385" s="12" t="n">
        <v>1482</v>
      </c>
      <c r="G385" s="11" t="str">
        <f aca="false">IF(INDEX(選手一覧!$D$5:$D$2736,$F385)="","",INDEX(選手一覧!$D$5:$D$2736,$F385))</f>
        <v/>
      </c>
      <c r="H385" s="12" t="str">
        <f aca="false">IF(INDEX(選手一覧!$E$5:$E$2736,$F385)="","",INDEX(選手一覧!$E$5:$E$2736,$F385))</f>
        <v/>
      </c>
      <c r="I385" s="11" t="str">
        <f aca="false">IF(INDEX(選手一覧!$H$5:$H$2736,$F385)="","",INDEX(選手一覧!$H$5:$H$2736,$F385))</f>
        <v/>
      </c>
      <c r="J385" s="12" t="str">
        <f aca="false">IF(INDEX(選手一覧!$I$5:$I$2736,$F385)="","",INDEX(選手一覧!$I$5:$I$2736,$F385))</f>
        <v/>
      </c>
    </row>
    <row r="386" customFormat="false" ht="15" hidden="false" customHeight="false" outlineLevel="0" collapsed="false">
      <c r="A386" s="12" t="n">
        <v>383</v>
      </c>
      <c r="B386" s="8" t="s">
        <v>1524</v>
      </c>
      <c r="C386" s="8" t="s">
        <v>1525</v>
      </c>
      <c r="D386" s="11" t="n">
        <v>0.00704351851851852</v>
      </c>
      <c r="E386" s="39" t="n">
        <f aca="false">ROUND((D386-$D$5)*86400,2)</f>
        <v>69.54</v>
      </c>
      <c r="F386" s="12" t="n">
        <v>932</v>
      </c>
      <c r="G386" s="11" t="n">
        <f aca="false">IF(INDEX(選手一覧!$D$5:$D$2736,$F386)="","",INDEX(選手一覧!$D$5:$D$2736,$F386))</f>
        <v>0.0109077546296296</v>
      </c>
      <c r="H386" s="12" t="n">
        <f aca="false">IF(INDEX(選手一覧!$E$5:$E$2736,$F386)="","",INDEX(選手一覧!$E$5:$E$2736,$F386))</f>
        <v>933</v>
      </c>
      <c r="I386" s="11" t="str">
        <f aca="false">IF(INDEX(選手一覧!$H$5:$H$2736,$F386)="","",INDEX(選手一覧!$H$5:$H$2736,$F386))</f>
        <v/>
      </c>
      <c r="J386" s="12" t="str">
        <f aca="false">IF(INDEX(選手一覧!$I$5:$I$2736,$F386)="","",INDEX(選手一覧!$I$5:$I$2736,$F386))</f>
        <v/>
      </c>
    </row>
    <row r="387" customFormat="false" ht="15" hidden="false" customHeight="false" outlineLevel="0" collapsed="false">
      <c r="A387" s="12" t="n">
        <v>384</v>
      </c>
      <c r="B387" s="8" t="s">
        <v>2328</v>
      </c>
      <c r="C387" s="8" t="s">
        <v>2329</v>
      </c>
      <c r="D387" s="11" t="n">
        <v>0.00704444444444444</v>
      </c>
      <c r="E387" s="39" t="n">
        <f aca="false">ROUND((D387-$D$5)*86400,2)</f>
        <v>69.62</v>
      </c>
      <c r="F387" s="12" t="n">
        <v>1484</v>
      </c>
      <c r="G387" s="11" t="str">
        <f aca="false">IF(INDEX(選手一覧!$D$5:$D$2736,$F387)="","",INDEX(選手一覧!$D$5:$D$2736,$F387))</f>
        <v/>
      </c>
      <c r="H387" s="12" t="str">
        <f aca="false">IF(INDEX(選手一覧!$E$5:$E$2736,$F387)="","",INDEX(選手一覧!$E$5:$E$2736,$F387))</f>
        <v/>
      </c>
      <c r="I387" s="11" t="str">
        <f aca="false">IF(INDEX(選手一覧!$H$5:$H$2736,$F387)="","",INDEX(選手一覧!$H$5:$H$2736,$F387))</f>
        <v/>
      </c>
      <c r="J387" s="12" t="str">
        <f aca="false">IF(INDEX(選手一覧!$I$5:$I$2736,$F387)="","",INDEX(選手一覧!$I$5:$I$2736,$F387))</f>
        <v/>
      </c>
    </row>
    <row r="388" customFormat="false" ht="15" hidden="false" customHeight="false" outlineLevel="0" collapsed="false">
      <c r="A388" s="12" t="n">
        <v>385</v>
      </c>
      <c r="B388" s="8" t="s">
        <v>2331</v>
      </c>
      <c r="C388" s="8" t="s">
        <v>1353</v>
      </c>
      <c r="D388" s="11" t="n">
        <v>0.00704467592592593</v>
      </c>
      <c r="E388" s="39" t="n">
        <f aca="false">ROUND((D388-$D$5)*86400,2)</f>
        <v>69.64</v>
      </c>
      <c r="F388" s="12" t="n">
        <v>1486</v>
      </c>
      <c r="G388" s="11" t="str">
        <f aca="false">IF(INDEX(選手一覧!$D$5:$D$2736,$F388)="","",INDEX(選手一覧!$D$5:$D$2736,$F388))</f>
        <v/>
      </c>
      <c r="H388" s="12" t="str">
        <f aca="false">IF(INDEX(選手一覧!$E$5:$E$2736,$F388)="","",INDEX(選手一覧!$E$5:$E$2736,$F388))</f>
        <v/>
      </c>
      <c r="I388" s="11" t="str">
        <f aca="false">IF(INDEX(選手一覧!$H$5:$H$2736,$F388)="","",INDEX(選手一覧!$H$5:$H$2736,$F388))</f>
        <v/>
      </c>
      <c r="J388" s="12" t="str">
        <f aca="false">IF(INDEX(選手一覧!$I$5:$I$2736,$F388)="","",INDEX(選手一覧!$I$5:$I$2736,$F388))</f>
        <v/>
      </c>
    </row>
    <row r="389" customFormat="false" ht="15" hidden="false" customHeight="false" outlineLevel="0" collapsed="false">
      <c r="A389" s="12" t="n">
        <v>386</v>
      </c>
      <c r="B389" s="8" t="s">
        <v>2332</v>
      </c>
      <c r="C389" s="8" t="s">
        <v>900</v>
      </c>
      <c r="D389" s="11" t="n">
        <v>0.00704675925925926</v>
      </c>
      <c r="E389" s="39" t="n">
        <f aca="false">ROUND((D389-$D$5)*86400,2)</f>
        <v>69.82</v>
      </c>
      <c r="F389" s="12" t="n">
        <v>1487</v>
      </c>
      <c r="G389" s="11" t="str">
        <f aca="false">IF(INDEX(選手一覧!$D$5:$D$2736,$F389)="","",INDEX(選手一覧!$D$5:$D$2736,$F389))</f>
        <v/>
      </c>
      <c r="H389" s="12" t="str">
        <f aca="false">IF(INDEX(選手一覧!$E$5:$E$2736,$F389)="","",INDEX(選手一覧!$E$5:$E$2736,$F389))</f>
        <v/>
      </c>
      <c r="I389" s="11" t="str">
        <f aca="false">IF(INDEX(選手一覧!$H$5:$H$2736,$F389)="","",INDEX(選手一覧!$H$5:$H$2736,$F389))</f>
        <v/>
      </c>
      <c r="J389" s="12" t="str">
        <f aca="false">IF(INDEX(選手一覧!$I$5:$I$2736,$F389)="","",INDEX(選手一覧!$I$5:$I$2736,$F389))</f>
        <v/>
      </c>
    </row>
    <row r="390" customFormat="false" ht="15" hidden="false" customHeight="false" outlineLevel="0" collapsed="false">
      <c r="A390" s="12" t="n">
        <v>387</v>
      </c>
      <c r="B390" s="8" t="s">
        <v>1794</v>
      </c>
      <c r="C390" s="8" t="s">
        <v>1795</v>
      </c>
      <c r="D390" s="11" t="n">
        <v>0.00704675925925926</v>
      </c>
      <c r="E390" s="39" t="n">
        <f aca="false">ROUND((D390-$D$5)*86400,2)</f>
        <v>69.82</v>
      </c>
      <c r="F390" s="12" t="n">
        <v>1117</v>
      </c>
      <c r="G390" s="11" t="n">
        <f aca="false">IF(INDEX(選手一覧!$D$5:$D$2736,$F390)="","",INDEX(選手一覧!$D$5:$D$2736,$F390))</f>
        <v>0.011015162037037</v>
      </c>
      <c r="H390" s="12" t="n">
        <f aca="false">IF(INDEX(選手一覧!$E$5:$E$2736,$F390)="","",INDEX(選手一覧!$E$5:$E$2736,$F390))</f>
        <v>1118</v>
      </c>
      <c r="I390" s="11" t="n">
        <f aca="false">IF(INDEX(選手一覧!$H$5:$H$2736,$F390)="","",INDEX(選手一覧!$H$5:$H$2736,$F390))</f>
        <v>0.00292349537037037</v>
      </c>
      <c r="J390" s="12" t="n">
        <f aca="false">IF(INDEX(選手一覧!$I$5:$I$2736,$F390)="","",INDEX(選手一覧!$I$5:$I$2736,$F390))</f>
        <v>1133</v>
      </c>
    </row>
    <row r="391" customFormat="false" ht="15" hidden="false" customHeight="false" outlineLevel="0" collapsed="false">
      <c r="A391" s="12" t="n">
        <v>388</v>
      </c>
      <c r="B391" s="8" t="s">
        <v>2333</v>
      </c>
      <c r="C391" s="8" t="s">
        <v>1332</v>
      </c>
      <c r="D391" s="11" t="n">
        <v>0.00704699074074074</v>
      </c>
      <c r="E391" s="39" t="n">
        <f aca="false">ROUND((D391-$D$5)*86400,2)</f>
        <v>69.84</v>
      </c>
      <c r="F391" s="12" t="n">
        <v>1488</v>
      </c>
      <c r="G391" s="11" t="str">
        <f aca="false">IF(INDEX(選手一覧!$D$5:$D$2736,$F391)="","",INDEX(選手一覧!$D$5:$D$2736,$F391))</f>
        <v/>
      </c>
      <c r="H391" s="12" t="str">
        <f aca="false">IF(INDEX(選手一覧!$E$5:$E$2736,$F391)="","",INDEX(選手一覧!$E$5:$E$2736,$F391))</f>
        <v/>
      </c>
      <c r="I391" s="11" t="str">
        <f aca="false">IF(INDEX(選手一覧!$H$5:$H$2736,$F391)="","",INDEX(選手一覧!$H$5:$H$2736,$F391))</f>
        <v/>
      </c>
      <c r="J391" s="12" t="str">
        <f aca="false">IF(INDEX(選手一覧!$I$5:$I$2736,$F391)="","",INDEX(選手一覧!$I$5:$I$2736,$F391))</f>
        <v/>
      </c>
    </row>
    <row r="392" customFormat="false" ht="15" hidden="false" customHeight="false" outlineLevel="0" collapsed="false">
      <c r="A392" s="12" t="n">
        <v>389</v>
      </c>
      <c r="B392" s="8" t="s">
        <v>1455</v>
      </c>
      <c r="C392" s="8" t="s">
        <v>1456</v>
      </c>
      <c r="D392" s="11" t="n">
        <v>0.00704988425925926</v>
      </c>
      <c r="E392" s="39" t="n">
        <f aca="false">ROUND((D392-$D$5)*86400,2)</f>
        <v>70.09</v>
      </c>
      <c r="F392" s="12" t="n">
        <v>886</v>
      </c>
      <c r="G392" s="11" t="n">
        <f aca="false">IF(INDEX(選手一覧!$D$5:$D$2736,$F392)="","",INDEX(選手一覧!$D$5:$D$2736,$F392))</f>
        <v>0.0108793981481482</v>
      </c>
      <c r="H392" s="12" t="n">
        <f aca="false">IF(INDEX(選手一覧!$E$5:$E$2736,$F392)="","",INDEX(選手一覧!$E$5:$E$2736,$F392))</f>
        <v>887</v>
      </c>
      <c r="I392" s="11" t="str">
        <f aca="false">IF(INDEX(選手一覧!$H$5:$H$2736,$F392)="","",INDEX(選手一覧!$H$5:$H$2736,$F392))</f>
        <v/>
      </c>
      <c r="J392" s="12" t="str">
        <f aca="false">IF(INDEX(選手一覧!$I$5:$I$2736,$F392)="","",INDEX(選手一覧!$I$5:$I$2736,$F392))</f>
        <v/>
      </c>
    </row>
    <row r="393" customFormat="false" ht="15" hidden="false" customHeight="false" outlineLevel="0" collapsed="false">
      <c r="A393" s="12" t="n">
        <v>390</v>
      </c>
      <c r="B393" s="8" t="s">
        <v>2335</v>
      </c>
      <c r="C393" s="8" t="s">
        <v>197</v>
      </c>
      <c r="D393" s="11" t="n">
        <v>0.00705023148148148</v>
      </c>
      <c r="E393" s="39" t="n">
        <f aca="false">ROUND((D393-$D$5)*86400,2)</f>
        <v>70.12</v>
      </c>
      <c r="F393" s="12" t="n">
        <v>1490</v>
      </c>
      <c r="G393" s="11" t="str">
        <f aca="false">IF(INDEX(選手一覧!$D$5:$D$2736,$F393)="","",INDEX(選手一覧!$D$5:$D$2736,$F393))</f>
        <v/>
      </c>
      <c r="H393" s="12" t="str">
        <f aca="false">IF(INDEX(選手一覧!$E$5:$E$2736,$F393)="","",INDEX(選手一覧!$E$5:$E$2736,$F393))</f>
        <v/>
      </c>
      <c r="I393" s="11" t="str">
        <f aca="false">IF(INDEX(選手一覧!$H$5:$H$2736,$F393)="","",INDEX(選手一覧!$H$5:$H$2736,$F393))</f>
        <v/>
      </c>
      <c r="J393" s="12" t="str">
        <f aca="false">IF(INDEX(選手一覧!$I$5:$I$2736,$F393)="","",INDEX(選手一覧!$I$5:$I$2736,$F393))</f>
        <v/>
      </c>
    </row>
    <row r="394" customFormat="false" ht="15" hidden="false" customHeight="false" outlineLevel="0" collapsed="false">
      <c r="A394" s="12" t="n">
        <v>391</v>
      </c>
      <c r="B394" s="8" t="s">
        <v>2336</v>
      </c>
      <c r="C394" s="8" t="s">
        <v>136</v>
      </c>
      <c r="D394" s="11" t="n">
        <v>0.00705046296296296</v>
      </c>
      <c r="E394" s="39" t="n">
        <f aca="false">ROUND((D394-$D$5)*86400,2)</f>
        <v>70.14</v>
      </c>
      <c r="F394" s="12" t="n">
        <v>1491</v>
      </c>
      <c r="G394" s="11" t="str">
        <f aca="false">IF(INDEX(選手一覧!$D$5:$D$2736,$F394)="","",INDEX(選手一覧!$D$5:$D$2736,$F394))</f>
        <v/>
      </c>
      <c r="H394" s="12" t="str">
        <f aca="false">IF(INDEX(選手一覧!$E$5:$E$2736,$F394)="","",INDEX(選手一覧!$E$5:$E$2736,$F394))</f>
        <v/>
      </c>
      <c r="I394" s="11" t="str">
        <f aca="false">IF(INDEX(選手一覧!$H$5:$H$2736,$F394)="","",INDEX(選手一覧!$H$5:$H$2736,$F394))</f>
        <v/>
      </c>
      <c r="J394" s="12" t="str">
        <f aca="false">IF(INDEX(選手一覧!$I$5:$I$2736,$F394)="","",INDEX(選手一覧!$I$5:$I$2736,$F394))</f>
        <v/>
      </c>
    </row>
    <row r="395" customFormat="false" ht="15" hidden="false" customHeight="false" outlineLevel="0" collapsed="false">
      <c r="A395" s="12" t="n">
        <v>392</v>
      </c>
      <c r="B395" s="8" t="s">
        <v>2337</v>
      </c>
      <c r="C395" s="8" t="s">
        <v>810</v>
      </c>
      <c r="D395" s="11" t="n">
        <v>0.00705092592592593</v>
      </c>
      <c r="E395" s="39" t="n">
        <f aca="false">ROUND((D395-$D$5)*86400,2)</f>
        <v>70.18</v>
      </c>
      <c r="F395" s="12" t="n">
        <v>1492</v>
      </c>
      <c r="G395" s="11" t="str">
        <f aca="false">IF(INDEX(選手一覧!$D$5:$D$2736,$F395)="","",INDEX(選手一覧!$D$5:$D$2736,$F395))</f>
        <v/>
      </c>
      <c r="H395" s="12" t="str">
        <f aca="false">IF(INDEX(選手一覧!$E$5:$E$2736,$F395)="","",INDEX(選手一覧!$E$5:$E$2736,$F395))</f>
        <v/>
      </c>
      <c r="I395" s="11" t="str">
        <f aca="false">IF(INDEX(選手一覧!$H$5:$H$2736,$F395)="","",INDEX(選手一覧!$H$5:$H$2736,$F395))</f>
        <v/>
      </c>
      <c r="J395" s="12" t="str">
        <f aca="false">IF(INDEX(選手一覧!$I$5:$I$2736,$F395)="","",INDEX(選手一覧!$I$5:$I$2736,$F395))</f>
        <v/>
      </c>
    </row>
    <row r="396" customFormat="false" ht="15" hidden="false" customHeight="false" outlineLevel="0" collapsed="false">
      <c r="A396" s="12" t="n">
        <v>393</v>
      </c>
      <c r="B396" s="8" t="s">
        <v>2340</v>
      </c>
      <c r="C396" s="8" t="s">
        <v>2341</v>
      </c>
      <c r="D396" s="11" t="n">
        <v>0.00705416666666667</v>
      </c>
      <c r="E396" s="39" t="n">
        <f aca="false">ROUND((D396-$D$5)*86400,2)</f>
        <v>70.46</v>
      </c>
      <c r="F396" s="12" t="n">
        <v>1494</v>
      </c>
      <c r="G396" s="11" t="str">
        <f aca="false">IF(INDEX(選手一覧!$D$5:$D$2736,$F396)="","",INDEX(選手一覧!$D$5:$D$2736,$F396))</f>
        <v/>
      </c>
      <c r="H396" s="12" t="str">
        <f aca="false">IF(INDEX(選手一覧!$E$5:$E$2736,$F396)="","",INDEX(選手一覧!$E$5:$E$2736,$F396))</f>
        <v/>
      </c>
      <c r="I396" s="11" t="n">
        <f aca="false">IF(INDEX(選手一覧!$H$5:$H$2736,$F396)="","",INDEX(選手一覧!$H$5:$H$2736,$F396))</f>
        <v>0.00295925925925926</v>
      </c>
      <c r="J396" s="12" t="n">
        <f aca="false">IF(INDEX(選手一覧!$I$5:$I$2736,$F396)="","",INDEX(選手一覧!$I$5:$I$2736,$F396))</f>
        <v>1266</v>
      </c>
    </row>
    <row r="397" customFormat="false" ht="15" hidden="false" customHeight="false" outlineLevel="0" collapsed="false">
      <c r="A397" s="12" t="n">
        <v>394</v>
      </c>
      <c r="B397" s="8" t="s">
        <v>705</v>
      </c>
      <c r="C397" s="8" t="s">
        <v>537</v>
      </c>
      <c r="D397" s="11" t="n">
        <v>0.00705462962962963</v>
      </c>
      <c r="E397" s="39" t="n">
        <f aca="false">ROUND((D397-$D$5)*86400,2)</f>
        <v>70.5</v>
      </c>
      <c r="F397" s="12" t="n">
        <v>394</v>
      </c>
      <c r="G397" s="11" t="n">
        <f aca="false">IF(INDEX(選手一覧!$D$5:$D$2736,$F397)="","",INDEX(選手一覧!$D$5:$D$2736,$F397))</f>
        <v>0.0105478009259259</v>
      </c>
      <c r="H397" s="12" t="n">
        <f aca="false">IF(INDEX(選手一覧!$E$5:$E$2736,$F397)="","",INDEX(選手一覧!$E$5:$E$2736,$F397))</f>
        <v>395</v>
      </c>
      <c r="I397" s="11" t="n">
        <f aca="false">IF(INDEX(選手一覧!$H$5:$H$2736,$F397)="","",INDEX(選手一覧!$H$5:$H$2736,$F397))</f>
        <v>0.00281296296296296</v>
      </c>
      <c r="J397" s="12" t="n">
        <f aca="false">IF(INDEX(選手一覧!$I$5:$I$2736,$F397)="","",INDEX(選手一覧!$I$5:$I$2736,$F397))</f>
        <v>333</v>
      </c>
    </row>
    <row r="398" customFormat="false" ht="15" hidden="false" customHeight="false" outlineLevel="0" collapsed="false">
      <c r="A398" s="12" t="n">
        <v>395</v>
      </c>
      <c r="B398" s="8" t="s">
        <v>2342</v>
      </c>
      <c r="C398" s="8" t="s">
        <v>891</v>
      </c>
      <c r="D398" s="11" t="n">
        <v>0.00705462962962963</v>
      </c>
      <c r="E398" s="39" t="n">
        <f aca="false">ROUND((D398-$D$5)*86400,2)</f>
        <v>70.5</v>
      </c>
      <c r="F398" s="12" t="n">
        <v>1495</v>
      </c>
      <c r="G398" s="11" t="str">
        <f aca="false">IF(INDEX(選手一覧!$D$5:$D$2736,$F398)="","",INDEX(選手一覧!$D$5:$D$2736,$F398))</f>
        <v/>
      </c>
      <c r="H398" s="12" t="str">
        <f aca="false">IF(INDEX(選手一覧!$E$5:$E$2736,$F398)="","",INDEX(選手一覧!$E$5:$E$2736,$F398))</f>
        <v/>
      </c>
      <c r="I398" s="11" t="str">
        <f aca="false">IF(INDEX(選手一覧!$H$5:$H$2736,$F398)="","",INDEX(選手一覧!$H$5:$H$2736,$F398))</f>
        <v/>
      </c>
      <c r="J398" s="12" t="str">
        <f aca="false">IF(INDEX(選手一覧!$I$5:$I$2736,$F398)="","",INDEX(選手一覧!$I$5:$I$2736,$F398))</f>
        <v/>
      </c>
    </row>
    <row r="399" customFormat="false" ht="15" hidden="false" customHeight="false" outlineLevel="0" collapsed="false">
      <c r="A399" s="12" t="n">
        <v>396</v>
      </c>
      <c r="B399" s="8" t="s">
        <v>977</v>
      </c>
      <c r="C399" s="8" t="s">
        <v>172</v>
      </c>
      <c r="D399" s="11" t="n">
        <v>0.00705543981481482</v>
      </c>
      <c r="E399" s="39" t="n">
        <f aca="false">ROUND((D399-$D$5)*86400,2)</f>
        <v>70.57</v>
      </c>
      <c r="F399" s="12" t="n">
        <v>565</v>
      </c>
      <c r="G399" s="11" t="n">
        <f aca="false">IF(INDEX(選手一覧!$D$5:$D$2736,$F399)="","",INDEX(選手一覧!$D$5:$D$2736,$F399))</f>
        <v>0.0106886574074074</v>
      </c>
      <c r="H399" s="12" t="n">
        <f aca="false">IF(INDEX(選手一覧!$E$5:$E$2736,$F399)="","",INDEX(選手一覧!$E$5:$E$2736,$F399))</f>
        <v>566</v>
      </c>
      <c r="I399" s="11" t="str">
        <f aca="false">IF(INDEX(選手一覧!$H$5:$H$2736,$F399)="","",INDEX(選手一覧!$H$5:$H$2736,$F399))</f>
        <v/>
      </c>
      <c r="J399" s="12" t="str">
        <f aca="false">IF(INDEX(選手一覧!$I$5:$I$2736,$F399)="","",INDEX(選手一覧!$I$5:$I$2736,$F399))</f>
        <v/>
      </c>
    </row>
    <row r="400" customFormat="false" ht="15" hidden="false" customHeight="false" outlineLevel="0" collapsed="false">
      <c r="A400" s="12" t="n">
        <v>397</v>
      </c>
      <c r="B400" s="8" t="s">
        <v>2021</v>
      </c>
      <c r="C400" s="8" t="s">
        <v>1202</v>
      </c>
      <c r="D400" s="11" t="n">
        <v>0.00705625</v>
      </c>
      <c r="E400" s="39" t="n">
        <f aca="false">ROUND((D400-$D$5)*86400,2)</f>
        <v>70.64</v>
      </c>
      <c r="F400" s="12" t="n">
        <v>1281</v>
      </c>
      <c r="G400" s="11" t="n">
        <f aca="false">IF(INDEX(選手一覧!$D$5:$D$2736,$F400)="","",INDEX(選手一覧!$D$5:$D$2736,$F400))</f>
        <v>0.0111162037037037</v>
      </c>
      <c r="H400" s="12" t="n">
        <f aca="false">IF(INDEX(選手一覧!$E$5:$E$2736,$F400)="","",INDEX(選手一覧!$E$5:$E$2736,$F400))</f>
        <v>1282</v>
      </c>
      <c r="I400" s="11" t="str">
        <f aca="false">IF(INDEX(選手一覧!$H$5:$H$2736,$F400)="","",INDEX(選手一覧!$H$5:$H$2736,$F400))</f>
        <v/>
      </c>
      <c r="J400" s="12" t="str">
        <f aca="false">IF(INDEX(選手一覧!$I$5:$I$2736,$F400)="","",INDEX(選手一覧!$I$5:$I$2736,$F400))</f>
        <v/>
      </c>
    </row>
    <row r="401" customFormat="false" ht="15" hidden="false" customHeight="false" outlineLevel="0" collapsed="false">
      <c r="A401" s="12" t="n">
        <v>398</v>
      </c>
      <c r="B401" s="8" t="s">
        <v>2345</v>
      </c>
      <c r="C401" s="8" t="s">
        <v>783</v>
      </c>
      <c r="D401" s="11" t="n">
        <v>0.00705648148148148</v>
      </c>
      <c r="E401" s="39" t="n">
        <f aca="false">ROUND((D401-$D$5)*86400,2)</f>
        <v>70.66</v>
      </c>
      <c r="F401" s="12" t="n">
        <v>1497</v>
      </c>
      <c r="G401" s="11" t="str">
        <f aca="false">IF(INDEX(選手一覧!$D$5:$D$2736,$F401)="","",INDEX(選手一覧!$D$5:$D$2736,$F401))</f>
        <v/>
      </c>
      <c r="H401" s="12" t="str">
        <f aca="false">IF(INDEX(選手一覧!$E$5:$E$2736,$F401)="","",INDEX(選手一覧!$E$5:$E$2736,$F401))</f>
        <v/>
      </c>
      <c r="I401" s="11" t="str">
        <f aca="false">IF(INDEX(選手一覧!$H$5:$H$2736,$F401)="","",INDEX(選手一覧!$H$5:$H$2736,$F401))</f>
        <v/>
      </c>
      <c r="J401" s="12" t="str">
        <f aca="false">IF(INDEX(選手一覧!$I$5:$I$2736,$F401)="","",INDEX(選手一覧!$I$5:$I$2736,$F401))</f>
        <v/>
      </c>
    </row>
    <row r="402" customFormat="false" ht="15" hidden="false" customHeight="false" outlineLevel="0" collapsed="false">
      <c r="A402" s="12" t="n">
        <v>399</v>
      </c>
      <c r="B402" s="8" t="s">
        <v>1398</v>
      </c>
      <c r="C402" s="8" t="s">
        <v>691</v>
      </c>
      <c r="D402" s="11" t="n">
        <v>0.00705833333333333</v>
      </c>
      <c r="E402" s="39" t="n">
        <f aca="false">ROUND((D402-$D$5)*86400,2)</f>
        <v>70.82</v>
      </c>
      <c r="F402" s="12" t="n">
        <v>851</v>
      </c>
      <c r="G402" s="11" t="n">
        <f aca="false">IF(INDEX(選手一覧!$D$5:$D$2736,$F402)="","",INDEX(選手一覧!$D$5:$D$2736,$F402))</f>
        <v>0.0108613425925926</v>
      </c>
      <c r="H402" s="12" t="n">
        <f aca="false">IF(INDEX(選手一覧!$E$5:$E$2736,$F402)="","",INDEX(選手一覧!$E$5:$E$2736,$F402))</f>
        <v>852</v>
      </c>
      <c r="I402" s="11" t="n">
        <f aca="false">IF(INDEX(選手一覧!$H$5:$H$2736,$F402)="","",INDEX(選手一覧!$H$5:$H$2736,$F402))</f>
        <v>0.00287476851851852</v>
      </c>
      <c r="J402" s="12" t="n">
        <f aca="false">IF(INDEX(選手一覧!$I$5:$I$2736,$F402)="","",INDEX(選手一覧!$I$5:$I$2736,$F402))</f>
        <v>733</v>
      </c>
    </row>
    <row r="403" customFormat="false" ht="15" hidden="false" customHeight="false" outlineLevel="0" collapsed="false">
      <c r="A403" s="12" t="n">
        <v>400</v>
      </c>
      <c r="B403" s="8" t="s">
        <v>2346</v>
      </c>
      <c r="C403" s="8" t="s">
        <v>1708</v>
      </c>
      <c r="D403" s="11" t="n">
        <v>0.00705925925925926</v>
      </c>
      <c r="E403" s="39" t="n">
        <f aca="false">ROUND((D403-$D$5)*86400,2)</f>
        <v>70.9</v>
      </c>
      <c r="F403" s="12" t="n">
        <v>1498</v>
      </c>
      <c r="G403" s="11" t="str">
        <f aca="false">IF(INDEX(選手一覧!$D$5:$D$2736,$F403)="","",INDEX(選手一覧!$D$5:$D$2736,$F403))</f>
        <v/>
      </c>
      <c r="H403" s="12" t="str">
        <f aca="false">IF(INDEX(選手一覧!$E$5:$E$2736,$F403)="","",INDEX(選手一覧!$E$5:$E$2736,$F403))</f>
        <v/>
      </c>
      <c r="I403" s="11" t="n">
        <f aca="false">IF(INDEX(選手一覧!$H$5:$H$2736,$F403)="","",INDEX(選手一覧!$H$5:$H$2736,$F403))</f>
        <v>0.00286956018518519</v>
      </c>
      <c r="J403" s="12" t="n">
        <f aca="false">IF(INDEX(選手一覧!$I$5:$I$2736,$F403)="","",INDEX(選手一覧!$I$5:$I$2736,$F403))</f>
        <v>690</v>
      </c>
    </row>
    <row r="404" customFormat="false" ht="15" hidden="false" customHeight="false" outlineLevel="0" collapsed="false">
      <c r="A404" s="12" t="n">
        <v>401</v>
      </c>
      <c r="B404" s="8" t="s">
        <v>2348</v>
      </c>
      <c r="C404" s="8" t="s">
        <v>1761</v>
      </c>
      <c r="D404" s="11" t="n">
        <v>0.00705949074074074</v>
      </c>
      <c r="E404" s="39" t="n">
        <f aca="false">ROUND((D404-$D$5)*86400,2)</f>
        <v>70.92</v>
      </c>
      <c r="F404" s="12" t="n">
        <v>1500</v>
      </c>
      <c r="G404" s="11" t="str">
        <f aca="false">IF(INDEX(選手一覧!$D$5:$D$2736,$F404)="","",INDEX(選手一覧!$D$5:$D$2736,$F404))</f>
        <v/>
      </c>
      <c r="H404" s="12" t="str">
        <f aca="false">IF(INDEX(選手一覧!$E$5:$E$2736,$F404)="","",INDEX(選手一覧!$E$5:$E$2736,$F404))</f>
        <v/>
      </c>
      <c r="I404" s="11" t="str">
        <f aca="false">IF(INDEX(選手一覧!$H$5:$H$2736,$F404)="","",INDEX(選手一覧!$H$5:$H$2736,$F404))</f>
        <v/>
      </c>
      <c r="J404" s="12" t="str">
        <f aca="false">IF(INDEX(選手一覧!$I$5:$I$2736,$F404)="","",INDEX(選手一覧!$I$5:$I$2736,$F404))</f>
        <v/>
      </c>
    </row>
    <row r="405" customFormat="false" ht="15" hidden="false" customHeight="false" outlineLevel="0" collapsed="false">
      <c r="A405" s="12" t="n">
        <v>402</v>
      </c>
      <c r="B405" s="8" t="s">
        <v>2349</v>
      </c>
      <c r="C405" s="8" t="s">
        <v>2350</v>
      </c>
      <c r="D405" s="11" t="n">
        <v>0.00706284722222222</v>
      </c>
      <c r="E405" s="39" t="n">
        <f aca="false">ROUND((D405-$D$5)*86400,2)</f>
        <v>71.21</v>
      </c>
      <c r="F405" s="12" t="n">
        <v>1501</v>
      </c>
      <c r="G405" s="11" t="str">
        <f aca="false">IF(INDEX(選手一覧!$D$5:$D$2736,$F405)="","",INDEX(選手一覧!$D$5:$D$2736,$F405))</f>
        <v/>
      </c>
      <c r="H405" s="12" t="str">
        <f aca="false">IF(INDEX(選手一覧!$E$5:$E$2736,$F405)="","",INDEX(選手一覧!$E$5:$E$2736,$F405))</f>
        <v/>
      </c>
      <c r="I405" s="11" t="n">
        <f aca="false">IF(INDEX(選手一覧!$H$5:$H$2736,$F405)="","",INDEX(選手一覧!$H$5:$H$2736,$F405))</f>
        <v>0.00284606481481482</v>
      </c>
      <c r="J405" s="12" t="n">
        <f aca="false">IF(INDEX(選手一覧!$I$5:$I$2736,$F405)="","",INDEX(選手一覧!$I$5:$I$2736,$F405))</f>
        <v>544</v>
      </c>
    </row>
    <row r="406" customFormat="false" ht="15" hidden="false" customHeight="false" outlineLevel="0" collapsed="false">
      <c r="A406" s="12" t="n">
        <v>403</v>
      </c>
      <c r="B406" s="8" t="s">
        <v>2351</v>
      </c>
      <c r="C406" s="8" t="s">
        <v>2352</v>
      </c>
      <c r="D406" s="11" t="n">
        <v>0.0070630787037037</v>
      </c>
      <c r="E406" s="39" t="n">
        <f aca="false">ROUND((D406-$D$5)*86400,2)</f>
        <v>71.23</v>
      </c>
      <c r="F406" s="12" t="n">
        <v>1502</v>
      </c>
      <c r="G406" s="11" t="str">
        <f aca="false">IF(INDEX(選手一覧!$D$5:$D$2736,$F406)="","",INDEX(選手一覧!$D$5:$D$2736,$F406))</f>
        <v/>
      </c>
      <c r="H406" s="12" t="str">
        <f aca="false">IF(INDEX(選手一覧!$E$5:$E$2736,$F406)="","",INDEX(選手一覧!$E$5:$E$2736,$F406))</f>
        <v/>
      </c>
      <c r="I406" s="11" t="str">
        <f aca="false">IF(INDEX(選手一覧!$H$5:$H$2736,$F406)="","",INDEX(選手一覧!$H$5:$H$2736,$F406))</f>
        <v/>
      </c>
      <c r="J406" s="12" t="str">
        <f aca="false">IF(INDEX(選手一覧!$I$5:$I$2736,$F406)="","",INDEX(選手一覧!$I$5:$I$2736,$F406))</f>
        <v/>
      </c>
    </row>
    <row r="407" customFormat="false" ht="15" hidden="false" customHeight="false" outlineLevel="0" collapsed="false">
      <c r="A407" s="12" t="n">
        <v>404</v>
      </c>
      <c r="B407" s="8" t="s">
        <v>651</v>
      </c>
      <c r="C407" s="8" t="s">
        <v>87</v>
      </c>
      <c r="D407" s="11" t="n">
        <v>0.00706319444444444</v>
      </c>
      <c r="E407" s="39" t="n">
        <f aca="false">ROUND((D407-$D$5)*86400,2)</f>
        <v>71.24</v>
      </c>
      <c r="F407" s="12" t="n">
        <v>358</v>
      </c>
      <c r="G407" s="11" t="n">
        <f aca="false">IF(INDEX(選手一覧!$D$5:$D$2736,$F407)="","",INDEX(選手一覧!$D$5:$D$2736,$F407))</f>
        <v>0.0105157407407407</v>
      </c>
      <c r="H407" s="12" t="n">
        <f aca="false">IF(INDEX(選手一覧!$E$5:$E$2736,$F407)="","",INDEX(選手一覧!$E$5:$E$2736,$F407))</f>
        <v>359</v>
      </c>
      <c r="I407" s="11" t="str">
        <f aca="false">IF(INDEX(選手一覧!$H$5:$H$2736,$F407)="","",INDEX(選手一覧!$H$5:$H$2736,$F407))</f>
        <v/>
      </c>
      <c r="J407" s="12" t="str">
        <f aca="false">IF(INDEX(選手一覧!$I$5:$I$2736,$F407)="","",INDEX(選手一覧!$I$5:$I$2736,$F407))</f>
        <v/>
      </c>
    </row>
    <row r="408" customFormat="false" ht="15" hidden="false" customHeight="false" outlineLevel="0" collapsed="false">
      <c r="A408" s="12" t="n">
        <v>405</v>
      </c>
      <c r="B408" s="8" t="s">
        <v>2355</v>
      </c>
      <c r="C408" s="8" t="s">
        <v>760</v>
      </c>
      <c r="D408" s="11" t="n">
        <v>0.00706331018518519</v>
      </c>
      <c r="E408" s="39" t="n">
        <f aca="false">ROUND((D408-$D$5)*86400,2)</f>
        <v>71.25</v>
      </c>
      <c r="F408" s="12" t="n">
        <v>1504</v>
      </c>
      <c r="G408" s="11" t="str">
        <f aca="false">IF(INDEX(選手一覧!$D$5:$D$2736,$F408)="","",INDEX(選手一覧!$D$5:$D$2736,$F408))</f>
        <v/>
      </c>
      <c r="H408" s="12" t="str">
        <f aca="false">IF(INDEX(選手一覧!$E$5:$E$2736,$F408)="","",INDEX(選手一覧!$E$5:$E$2736,$F408))</f>
        <v/>
      </c>
      <c r="I408" s="11" t="str">
        <f aca="false">IF(INDEX(選手一覧!$H$5:$H$2736,$F408)="","",INDEX(選手一覧!$H$5:$H$2736,$F408))</f>
        <v/>
      </c>
      <c r="J408" s="12" t="str">
        <f aca="false">IF(INDEX(選手一覧!$I$5:$I$2736,$F408)="","",INDEX(選手一覧!$I$5:$I$2736,$F408))</f>
        <v/>
      </c>
    </row>
    <row r="409" customFormat="false" ht="15" hidden="false" customHeight="false" outlineLevel="0" collapsed="false">
      <c r="A409" s="12" t="n">
        <v>406</v>
      </c>
      <c r="B409" s="8" t="s">
        <v>1221</v>
      </c>
      <c r="C409" s="8" t="s">
        <v>1222</v>
      </c>
      <c r="D409" s="11" t="n">
        <v>0.00706365740740741</v>
      </c>
      <c r="E409" s="39" t="n">
        <f aca="false">ROUND((D409-$D$5)*86400,2)</f>
        <v>71.28</v>
      </c>
      <c r="F409" s="12" t="n">
        <v>731</v>
      </c>
      <c r="G409" s="11" t="n">
        <f aca="false">IF(INDEX(選手一覧!$D$5:$D$2736,$F409)="","",INDEX(選手一覧!$D$5:$D$2736,$F409))</f>
        <v>0.0107929398148148</v>
      </c>
      <c r="H409" s="12" t="n">
        <f aca="false">IF(INDEX(選手一覧!$E$5:$E$2736,$F409)="","",INDEX(選手一覧!$E$5:$E$2736,$F409))</f>
        <v>732</v>
      </c>
      <c r="I409" s="11" t="n">
        <f aca="false">IF(INDEX(選手一覧!$H$5:$H$2736,$F409)="","",INDEX(選手一覧!$H$5:$H$2736,$F409))</f>
        <v>0.00288356481481481</v>
      </c>
      <c r="J409" s="12" t="n">
        <f aca="false">IF(INDEX(選手一覧!$I$5:$I$2736,$F409)="","",INDEX(選手一覧!$I$5:$I$2736,$F409))</f>
        <v>804</v>
      </c>
    </row>
    <row r="410" customFormat="false" ht="15" hidden="false" customHeight="false" outlineLevel="0" collapsed="false">
      <c r="A410" s="12" t="n">
        <v>407</v>
      </c>
      <c r="B410" s="8" t="s">
        <v>1331</v>
      </c>
      <c r="C410" s="8" t="s">
        <v>1332</v>
      </c>
      <c r="D410" s="11" t="n">
        <v>0.00706446759259259</v>
      </c>
      <c r="E410" s="39" t="n">
        <f aca="false">ROUND((D410-$D$5)*86400,2)</f>
        <v>71.35</v>
      </c>
      <c r="F410" s="12" t="n">
        <v>807</v>
      </c>
      <c r="G410" s="11" t="n">
        <f aca="false">IF(INDEX(選手一覧!$D$5:$D$2736,$F410)="","",INDEX(選手一覧!$D$5:$D$2736,$F410))</f>
        <v>0.0108384259259259</v>
      </c>
      <c r="H410" s="12" t="n">
        <f aca="false">IF(INDEX(選手一覧!$E$5:$E$2736,$F410)="","",INDEX(選手一覧!$E$5:$E$2736,$F410))</f>
        <v>808</v>
      </c>
      <c r="I410" s="11" t="n">
        <f aca="false">IF(INDEX(選手一覧!$H$5:$H$2736,$F410)="","",INDEX(選手一覧!$H$5:$H$2736,$F410))</f>
        <v>0.00285393518518519</v>
      </c>
      <c r="J410" s="12" t="n">
        <f aca="false">IF(INDEX(選手一覧!$I$5:$I$2736,$F410)="","",INDEX(選手一覧!$I$5:$I$2736,$F410))</f>
        <v>592</v>
      </c>
    </row>
    <row r="411" customFormat="false" ht="15" hidden="false" customHeight="false" outlineLevel="0" collapsed="false">
      <c r="A411" s="12" t="n">
        <v>408</v>
      </c>
      <c r="B411" s="8" t="s">
        <v>2358</v>
      </c>
      <c r="C411" s="8" t="s">
        <v>212</v>
      </c>
      <c r="D411" s="11" t="n">
        <v>0.0070650462962963</v>
      </c>
      <c r="E411" s="39" t="n">
        <f aca="false">ROUND((D411-$D$5)*86400,2)</f>
        <v>71.4</v>
      </c>
      <c r="F411" s="12" t="n">
        <v>1506</v>
      </c>
      <c r="G411" s="11" t="str">
        <f aca="false">IF(INDEX(選手一覧!$D$5:$D$2736,$F411)="","",INDEX(選手一覧!$D$5:$D$2736,$F411))</f>
        <v/>
      </c>
      <c r="H411" s="12" t="str">
        <f aca="false">IF(INDEX(選手一覧!$E$5:$E$2736,$F411)="","",INDEX(選手一覧!$E$5:$E$2736,$F411))</f>
        <v/>
      </c>
      <c r="I411" s="11" t="str">
        <f aca="false">IF(INDEX(選手一覧!$H$5:$H$2736,$F411)="","",INDEX(選手一覧!$H$5:$H$2736,$F411))</f>
        <v/>
      </c>
      <c r="J411" s="12" t="str">
        <f aca="false">IF(INDEX(選手一覧!$I$5:$I$2736,$F411)="","",INDEX(選手一覧!$I$5:$I$2736,$F411))</f>
        <v/>
      </c>
    </row>
    <row r="412" customFormat="false" ht="15" hidden="false" customHeight="false" outlineLevel="0" collapsed="false">
      <c r="A412" s="12" t="n">
        <v>409</v>
      </c>
      <c r="B412" s="8" t="s">
        <v>2361</v>
      </c>
      <c r="C412" s="8" t="s">
        <v>2362</v>
      </c>
      <c r="D412" s="11" t="n">
        <v>0.00706539351851852</v>
      </c>
      <c r="E412" s="39" t="n">
        <f aca="false">ROUND((D412-$D$5)*86400,2)</f>
        <v>71.43</v>
      </c>
      <c r="F412" s="12" t="n">
        <v>1508</v>
      </c>
      <c r="G412" s="11" t="str">
        <f aca="false">IF(INDEX(選手一覧!$D$5:$D$2736,$F412)="","",INDEX(選手一覧!$D$5:$D$2736,$F412))</f>
        <v/>
      </c>
      <c r="H412" s="12" t="str">
        <f aca="false">IF(INDEX(選手一覧!$E$5:$E$2736,$F412)="","",INDEX(選手一覧!$E$5:$E$2736,$F412))</f>
        <v/>
      </c>
      <c r="I412" s="11" t="str">
        <f aca="false">IF(INDEX(選手一覧!$H$5:$H$2736,$F412)="","",INDEX(選手一覧!$H$5:$H$2736,$F412))</f>
        <v/>
      </c>
      <c r="J412" s="12" t="str">
        <f aca="false">IF(INDEX(選手一覧!$I$5:$I$2736,$F412)="","",INDEX(選手一覧!$I$5:$I$2736,$F412))</f>
        <v/>
      </c>
    </row>
    <row r="413" customFormat="false" ht="15" hidden="false" customHeight="false" outlineLevel="0" collapsed="false">
      <c r="A413" s="12" t="n">
        <v>410</v>
      </c>
      <c r="B413" s="8" t="s">
        <v>938</v>
      </c>
      <c r="C413" s="8" t="s">
        <v>145</v>
      </c>
      <c r="D413" s="11" t="n">
        <v>0.00706574074074074</v>
      </c>
      <c r="E413" s="39" t="n">
        <f aca="false">ROUND((D413-$D$5)*86400,2)</f>
        <v>71.46</v>
      </c>
      <c r="F413" s="12" t="n">
        <v>539</v>
      </c>
      <c r="G413" s="11" t="n">
        <f aca="false">IF(INDEX(選手一覧!$D$5:$D$2736,$F413)="","",INDEX(選手一覧!$D$5:$D$2736,$F413))</f>
        <v>0.0106653935185185</v>
      </c>
      <c r="H413" s="12" t="n">
        <f aca="false">IF(INDEX(選手一覧!$E$5:$E$2736,$F413)="","",INDEX(選手一覧!$E$5:$E$2736,$F413))</f>
        <v>540</v>
      </c>
      <c r="I413" s="11" t="str">
        <f aca="false">IF(INDEX(選手一覧!$H$5:$H$2736,$F413)="","",INDEX(選手一覧!$H$5:$H$2736,$F413))</f>
        <v/>
      </c>
      <c r="J413" s="12" t="str">
        <f aca="false">IF(INDEX(選手一覧!$I$5:$I$2736,$F413)="","",INDEX(選手一覧!$I$5:$I$2736,$F413))</f>
        <v/>
      </c>
    </row>
    <row r="414" customFormat="false" ht="15" hidden="false" customHeight="false" outlineLevel="0" collapsed="false">
      <c r="A414" s="12" t="n">
        <v>411</v>
      </c>
      <c r="B414" s="8" t="s">
        <v>2363</v>
      </c>
      <c r="C414" s="8" t="s">
        <v>2364</v>
      </c>
      <c r="D414" s="11" t="n">
        <v>0.00706574074074074</v>
      </c>
      <c r="E414" s="39" t="n">
        <f aca="false">ROUND((D414-$D$5)*86400,2)</f>
        <v>71.46</v>
      </c>
      <c r="F414" s="12" t="n">
        <v>1509</v>
      </c>
      <c r="G414" s="11" t="str">
        <f aca="false">IF(INDEX(選手一覧!$D$5:$D$2736,$F414)="","",INDEX(選手一覧!$D$5:$D$2736,$F414))</f>
        <v/>
      </c>
      <c r="H414" s="12" t="str">
        <f aca="false">IF(INDEX(選手一覧!$E$5:$E$2736,$F414)="","",INDEX(選手一覧!$E$5:$E$2736,$F414))</f>
        <v/>
      </c>
      <c r="I414" s="11" t="str">
        <f aca="false">IF(INDEX(選手一覧!$H$5:$H$2736,$F414)="","",INDEX(選手一覧!$H$5:$H$2736,$F414))</f>
        <v/>
      </c>
      <c r="J414" s="12" t="str">
        <f aca="false">IF(INDEX(選手一覧!$I$5:$I$2736,$F414)="","",INDEX(選手一覧!$I$5:$I$2736,$F414))</f>
        <v/>
      </c>
    </row>
    <row r="415" customFormat="false" ht="15" hidden="false" customHeight="false" outlineLevel="0" collapsed="false">
      <c r="A415" s="12" t="n">
        <v>412</v>
      </c>
      <c r="B415" s="8" t="s">
        <v>2367</v>
      </c>
      <c r="C415" s="8" t="s">
        <v>1308</v>
      </c>
      <c r="D415" s="11" t="n">
        <v>0.00706863425925926</v>
      </c>
      <c r="E415" s="39" t="n">
        <f aca="false">ROUND((D415-$D$5)*86400,2)</f>
        <v>71.71</v>
      </c>
      <c r="F415" s="12" t="n">
        <v>1511</v>
      </c>
      <c r="G415" s="11" t="str">
        <f aca="false">IF(INDEX(選手一覧!$D$5:$D$2736,$F415)="","",INDEX(選手一覧!$D$5:$D$2736,$F415))</f>
        <v/>
      </c>
      <c r="H415" s="12" t="str">
        <f aca="false">IF(INDEX(選手一覧!$E$5:$E$2736,$F415)="","",INDEX(選手一覧!$E$5:$E$2736,$F415))</f>
        <v/>
      </c>
      <c r="I415" s="11" t="str">
        <f aca="false">IF(INDEX(選手一覧!$H$5:$H$2736,$F415)="","",INDEX(選手一覧!$H$5:$H$2736,$F415))</f>
        <v/>
      </c>
      <c r="J415" s="12" t="str">
        <f aca="false">IF(INDEX(選手一覧!$I$5:$I$2736,$F415)="","",INDEX(選手一覧!$I$5:$I$2736,$F415))</f>
        <v/>
      </c>
    </row>
    <row r="416" customFormat="false" ht="15" hidden="false" customHeight="false" outlineLevel="0" collapsed="false">
      <c r="A416" s="12" t="n">
        <v>413</v>
      </c>
      <c r="B416" s="8" t="s">
        <v>1784</v>
      </c>
      <c r="C416" s="8" t="s">
        <v>1443</v>
      </c>
      <c r="D416" s="11" t="n">
        <v>0.00706909722222222</v>
      </c>
      <c r="E416" s="39" t="n">
        <f aca="false">ROUND((D416-$D$5)*86400,2)</f>
        <v>71.75</v>
      </c>
      <c r="F416" s="12" t="n">
        <v>1111</v>
      </c>
      <c r="G416" s="11" t="n">
        <f aca="false">IF(INDEX(選手一覧!$D$5:$D$2736,$F416)="","",INDEX(選手一覧!$D$5:$D$2736,$F416))</f>
        <v>0.0110112268518519</v>
      </c>
      <c r="H416" s="12" t="n">
        <f aca="false">IF(INDEX(選手一覧!$E$5:$E$2736,$F416)="","",INDEX(選手一覧!$E$5:$E$2736,$F416))</f>
        <v>1112</v>
      </c>
      <c r="I416" s="11" t="n">
        <f aca="false">IF(INDEX(選手一覧!$H$5:$H$2736,$F416)="","",INDEX(選手一覧!$H$5:$H$2736,$F416))</f>
        <v>0.00289837962962963</v>
      </c>
      <c r="J416" s="12" t="n">
        <f aca="false">IF(INDEX(選手一覧!$I$5:$I$2736,$F416)="","",INDEX(選手一覧!$I$5:$I$2736,$F416))</f>
        <v>935</v>
      </c>
    </row>
    <row r="417" customFormat="false" ht="15" hidden="false" customHeight="false" outlineLevel="0" collapsed="false">
      <c r="A417" s="12" t="n">
        <v>414</v>
      </c>
      <c r="B417" s="8" t="s">
        <v>2368</v>
      </c>
      <c r="C417" s="8" t="s">
        <v>1462</v>
      </c>
      <c r="D417" s="11" t="n">
        <v>0.00706967592592593</v>
      </c>
      <c r="E417" s="39" t="n">
        <f aca="false">ROUND((D417-$D$5)*86400,2)</f>
        <v>71.8</v>
      </c>
      <c r="F417" s="12" t="n">
        <v>1512</v>
      </c>
      <c r="G417" s="11" t="str">
        <f aca="false">IF(INDEX(選手一覧!$D$5:$D$2736,$F417)="","",INDEX(選手一覧!$D$5:$D$2736,$F417))</f>
        <v/>
      </c>
      <c r="H417" s="12" t="str">
        <f aca="false">IF(INDEX(選手一覧!$E$5:$E$2736,$F417)="","",INDEX(選手一覧!$E$5:$E$2736,$F417))</f>
        <v/>
      </c>
      <c r="I417" s="11" t="str">
        <f aca="false">IF(INDEX(選手一覧!$H$5:$H$2736,$F417)="","",INDEX(選手一覧!$H$5:$H$2736,$F417))</f>
        <v/>
      </c>
      <c r="J417" s="12" t="str">
        <f aca="false">IF(INDEX(選手一覧!$I$5:$I$2736,$F417)="","",INDEX(選手一覧!$I$5:$I$2736,$F417))</f>
        <v/>
      </c>
    </row>
    <row r="418" customFormat="false" ht="15" hidden="false" customHeight="false" outlineLevel="0" collapsed="false">
      <c r="A418" s="12" t="n">
        <v>415</v>
      </c>
      <c r="B418" s="8" t="s">
        <v>2369</v>
      </c>
      <c r="C418" s="8" t="s">
        <v>2304</v>
      </c>
      <c r="D418" s="11" t="n">
        <v>0.00707071759259259</v>
      </c>
      <c r="E418" s="39" t="n">
        <f aca="false">ROUND((D418-$D$5)*86400,2)</f>
        <v>71.89</v>
      </c>
      <c r="F418" s="12" t="n">
        <v>1513</v>
      </c>
      <c r="G418" s="11" t="str">
        <f aca="false">IF(INDEX(選手一覧!$D$5:$D$2736,$F418)="","",INDEX(選手一覧!$D$5:$D$2736,$F418))</f>
        <v/>
      </c>
      <c r="H418" s="12" t="str">
        <f aca="false">IF(INDEX(選手一覧!$E$5:$E$2736,$F418)="","",INDEX(選手一覧!$E$5:$E$2736,$F418))</f>
        <v/>
      </c>
      <c r="I418" s="11" t="str">
        <f aca="false">IF(INDEX(選手一覧!$H$5:$H$2736,$F418)="","",INDEX(選手一覧!$H$5:$H$2736,$F418))</f>
        <v/>
      </c>
      <c r="J418" s="12" t="str">
        <f aca="false">IF(INDEX(選手一覧!$I$5:$I$2736,$F418)="","",INDEX(選手一覧!$I$5:$I$2736,$F418))</f>
        <v/>
      </c>
    </row>
    <row r="419" customFormat="false" ht="15" hidden="false" customHeight="false" outlineLevel="0" collapsed="false">
      <c r="A419" s="12" t="n">
        <v>416</v>
      </c>
      <c r="B419" s="8" t="s">
        <v>2372</v>
      </c>
      <c r="C419" s="8" t="s">
        <v>2373</v>
      </c>
      <c r="D419" s="11" t="n">
        <v>0.00707083333333333</v>
      </c>
      <c r="E419" s="39" t="n">
        <f aca="false">ROUND((D419-$D$5)*86400,2)</f>
        <v>71.9</v>
      </c>
      <c r="F419" s="12" t="n">
        <v>1515</v>
      </c>
      <c r="G419" s="11" t="str">
        <f aca="false">IF(INDEX(選手一覧!$D$5:$D$2736,$F419)="","",INDEX(選手一覧!$D$5:$D$2736,$F419))</f>
        <v/>
      </c>
      <c r="H419" s="12" t="str">
        <f aca="false">IF(INDEX(選手一覧!$E$5:$E$2736,$F419)="","",INDEX(選手一覧!$E$5:$E$2736,$F419))</f>
        <v/>
      </c>
      <c r="I419" s="11" t="n">
        <f aca="false">IF(INDEX(選手一覧!$H$5:$H$2736,$F419)="","",INDEX(選手一覧!$H$5:$H$2736,$F419))</f>
        <v>0.00288923611111111</v>
      </c>
      <c r="J419" s="12" t="n">
        <f aca="false">IF(INDEX(選手一覧!$I$5:$I$2736,$F419)="","",INDEX(選手一覧!$I$5:$I$2736,$F419))</f>
        <v>857</v>
      </c>
    </row>
    <row r="420" customFormat="false" ht="15" hidden="false" customHeight="false" outlineLevel="0" collapsed="false">
      <c r="A420" s="12" t="n">
        <v>417</v>
      </c>
      <c r="B420" s="8" t="s">
        <v>2374</v>
      </c>
      <c r="C420" s="8" t="s">
        <v>2375</v>
      </c>
      <c r="D420" s="11" t="n">
        <v>0.00707233796296296</v>
      </c>
      <c r="E420" s="39" t="n">
        <f aca="false">ROUND((D420-$D$5)*86400,2)</f>
        <v>72.03</v>
      </c>
      <c r="F420" s="12" t="n">
        <v>1516</v>
      </c>
      <c r="G420" s="11" t="str">
        <f aca="false">IF(INDEX(選手一覧!$D$5:$D$2736,$F420)="","",INDEX(選手一覧!$D$5:$D$2736,$F420))</f>
        <v/>
      </c>
      <c r="H420" s="12" t="str">
        <f aca="false">IF(INDEX(選手一覧!$E$5:$E$2736,$F420)="","",INDEX(選手一覧!$E$5:$E$2736,$F420))</f>
        <v/>
      </c>
      <c r="I420" s="11" t="str">
        <f aca="false">IF(INDEX(選手一覧!$H$5:$H$2736,$F420)="","",INDEX(選手一覧!$H$5:$H$2736,$F420))</f>
        <v/>
      </c>
      <c r="J420" s="12" t="str">
        <f aca="false">IF(INDEX(選手一覧!$I$5:$I$2736,$F420)="","",INDEX(選手一覧!$I$5:$I$2736,$F420))</f>
        <v/>
      </c>
    </row>
    <row r="421" customFormat="false" ht="15" hidden="false" customHeight="false" outlineLevel="0" collapsed="false">
      <c r="A421" s="12" t="n">
        <v>418</v>
      </c>
      <c r="B421" s="8" t="s">
        <v>1817</v>
      </c>
      <c r="C421" s="8" t="s">
        <v>456</v>
      </c>
      <c r="D421" s="11" t="n">
        <v>0.00707256944444445</v>
      </c>
      <c r="E421" s="39" t="n">
        <f aca="false">ROUND((D421-$D$5)*86400,2)</f>
        <v>72.05</v>
      </c>
      <c r="F421" s="12" t="n">
        <v>1131</v>
      </c>
      <c r="G421" s="11" t="n">
        <f aca="false">IF(INDEX(選手一覧!$D$5:$D$2736,$F421)="","",INDEX(選手一覧!$D$5:$D$2736,$F421))</f>
        <v>0.0110216435185185</v>
      </c>
      <c r="H421" s="12" t="n">
        <f aca="false">IF(INDEX(選手一覧!$E$5:$E$2736,$F421)="","",INDEX(選手一覧!$E$5:$E$2736,$F421))</f>
        <v>1132</v>
      </c>
      <c r="I421" s="11" t="str">
        <f aca="false">IF(INDEX(選手一覧!$H$5:$H$2736,$F421)="","",INDEX(選手一覧!$H$5:$H$2736,$F421))</f>
        <v/>
      </c>
      <c r="J421" s="12" t="str">
        <f aca="false">IF(INDEX(選手一覧!$I$5:$I$2736,$F421)="","",INDEX(選手一覧!$I$5:$I$2736,$F421))</f>
        <v/>
      </c>
    </row>
    <row r="422" customFormat="false" ht="15" hidden="false" customHeight="false" outlineLevel="0" collapsed="false">
      <c r="A422" s="12" t="n">
        <v>419</v>
      </c>
      <c r="B422" s="8" t="s">
        <v>2378</v>
      </c>
      <c r="C422" s="8" t="s">
        <v>900</v>
      </c>
      <c r="D422" s="11" t="n">
        <v>0.00707407407407408</v>
      </c>
      <c r="E422" s="39" t="n">
        <f aca="false">ROUND((D422-$D$5)*86400,2)</f>
        <v>72.18</v>
      </c>
      <c r="F422" s="12" t="n">
        <v>1518</v>
      </c>
      <c r="G422" s="11" t="str">
        <f aca="false">IF(INDEX(選手一覧!$D$5:$D$2736,$F422)="","",INDEX(選手一覧!$D$5:$D$2736,$F422))</f>
        <v/>
      </c>
      <c r="H422" s="12" t="str">
        <f aca="false">IF(INDEX(選手一覧!$E$5:$E$2736,$F422)="","",INDEX(選手一覧!$E$5:$E$2736,$F422))</f>
        <v/>
      </c>
      <c r="I422" s="11" t="str">
        <f aca="false">IF(INDEX(選手一覧!$H$5:$H$2736,$F422)="","",INDEX(選手一覧!$H$5:$H$2736,$F422))</f>
        <v/>
      </c>
      <c r="J422" s="12" t="str">
        <f aca="false">IF(INDEX(選手一覧!$I$5:$I$2736,$F422)="","",INDEX(選手一覧!$I$5:$I$2736,$F422))</f>
        <v/>
      </c>
    </row>
    <row r="423" customFormat="false" ht="15" hidden="false" customHeight="false" outlineLevel="0" collapsed="false">
      <c r="A423" s="12" t="n">
        <v>420</v>
      </c>
      <c r="B423" s="8" t="s">
        <v>1338</v>
      </c>
      <c r="C423" s="8" t="s">
        <v>1339</v>
      </c>
      <c r="D423" s="11" t="n">
        <v>0.00707430555555556</v>
      </c>
      <c r="E423" s="39" t="n">
        <f aca="false">ROUND((D423-$D$5)*86400,2)</f>
        <v>72.2</v>
      </c>
      <c r="F423" s="12" t="n">
        <v>811</v>
      </c>
      <c r="G423" s="11" t="n">
        <f aca="false">IF(INDEX(選手一覧!$D$5:$D$2736,$F423)="","",INDEX(選手一覧!$D$5:$D$2736,$F423))</f>
        <v>0.0108391203703704</v>
      </c>
      <c r="H423" s="12" t="n">
        <f aca="false">IF(INDEX(選手一覧!$E$5:$E$2736,$F423)="","",INDEX(選手一覧!$E$5:$E$2736,$F423))</f>
        <v>812</v>
      </c>
      <c r="I423" s="11" t="n">
        <f aca="false">IF(INDEX(選手一覧!$H$5:$H$2736,$F423)="","",INDEX(選手一覧!$H$5:$H$2736,$F423))</f>
        <v>0.00292395833333333</v>
      </c>
      <c r="J423" s="12" t="n">
        <f aca="false">IF(INDEX(選手一覧!$I$5:$I$2736,$F423)="","",INDEX(選手一覧!$I$5:$I$2736,$F423))</f>
        <v>1136</v>
      </c>
    </row>
    <row r="424" customFormat="false" ht="15" hidden="false" customHeight="false" outlineLevel="0" collapsed="false">
      <c r="A424" s="12" t="n">
        <v>421</v>
      </c>
      <c r="B424" s="8" t="s">
        <v>1518</v>
      </c>
      <c r="C424" s="8" t="s">
        <v>1258</v>
      </c>
      <c r="D424" s="11" t="n">
        <v>0.00707465277777778</v>
      </c>
      <c r="E424" s="39" t="n">
        <f aca="false">ROUND((D424-$D$5)*86400,2)</f>
        <v>72.23</v>
      </c>
      <c r="F424" s="12" t="n">
        <v>927</v>
      </c>
      <c r="G424" s="11" t="n">
        <f aca="false">IF(INDEX(選手一覧!$D$5:$D$2736,$F424)="","",INDEX(選手一覧!$D$5:$D$2736,$F424))</f>
        <v>0.0109045138888889</v>
      </c>
      <c r="H424" s="12" t="n">
        <f aca="false">IF(INDEX(選手一覧!$E$5:$E$2736,$F424)="","",INDEX(選手一覧!$E$5:$E$2736,$F424))</f>
        <v>928</v>
      </c>
      <c r="I424" s="11" t="str">
        <f aca="false">IF(INDEX(選手一覧!$H$5:$H$2736,$F424)="","",INDEX(選手一覧!$H$5:$H$2736,$F424))</f>
        <v/>
      </c>
      <c r="J424" s="12" t="str">
        <f aca="false">IF(INDEX(選手一覧!$I$5:$I$2736,$F424)="","",INDEX(選手一覧!$I$5:$I$2736,$F424))</f>
        <v/>
      </c>
    </row>
    <row r="425" customFormat="false" ht="15" hidden="false" customHeight="false" outlineLevel="0" collapsed="false">
      <c r="A425" s="12" t="n">
        <v>422</v>
      </c>
      <c r="B425" s="8" t="s">
        <v>2379</v>
      </c>
      <c r="C425" s="8" t="s">
        <v>496</v>
      </c>
      <c r="D425" s="11" t="n">
        <v>0.00707604166666667</v>
      </c>
      <c r="E425" s="39" t="n">
        <f aca="false">ROUND((D425-$D$5)*86400,2)</f>
        <v>72.35</v>
      </c>
      <c r="F425" s="12" t="n">
        <v>1519</v>
      </c>
      <c r="G425" s="11" t="str">
        <f aca="false">IF(INDEX(選手一覧!$D$5:$D$2736,$F425)="","",INDEX(選手一覧!$D$5:$D$2736,$F425))</f>
        <v/>
      </c>
      <c r="H425" s="12" t="str">
        <f aca="false">IF(INDEX(選手一覧!$E$5:$E$2736,$F425)="","",INDEX(選手一覧!$E$5:$E$2736,$F425))</f>
        <v/>
      </c>
      <c r="I425" s="11" t="str">
        <f aca="false">IF(INDEX(選手一覧!$H$5:$H$2736,$F425)="","",INDEX(選手一覧!$H$5:$H$2736,$F425))</f>
        <v/>
      </c>
      <c r="J425" s="12" t="str">
        <f aca="false">IF(INDEX(選手一覧!$I$5:$I$2736,$F425)="","",INDEX(選手一覧!$I$5:$I$2736,$F425))</f>
        <v/>
      </c>
    </row>
    <row r="426" customFormat="false" ht="15" hidden="false" customHeight="false" outlineLevel="0" collapsed="false">
      <c r="A426" s="12" t="n">
        <v>423</v>
      </c>
      <c r="B426" s="8" t="s">
        <v>2382</v>
      </c>
      <c r="C426" s="8" t="s">
        <v>2383</v>
      </c>
      <c r="D426" s="11" t="n">
        <v>0.00707673611111111</v>
      </c>
      <c r="E426" s="39" t="n">
        <f aca="false">ROUND((D426-$D$5)*86400,2)</f>
        <v>72.41</v>
      </c>
      <c r="F426" s="12" t="n">
        <v>1522</v>
      </c>
      <c r="G426" s="11" t="str">
        <f aca="false">IF(INDEX(選手一覧!$D$5:$D$2736,$F426)="","",INDEX(選手一覧!$D$5:$D$2736,$F426))</f>
        <v/>
      </c>
      <c r="H426" s="12" t="str">
        <f aca="false">IF(INDEX(選手一覧!$E$5:$E$2736,$F426)="","",INDEX(選手一覧!$E$5:$E$2736,$F426))</f>
        <v/>
      </c>
      <c r="I426" s="11" t="str">
        <f aca="false">IF(INDEX(選手一覧!$H$5:$H$2736,$F426)="","",INDEX(選手一覧!$H$5:$H$2736,$F426))</f>
        <v/>
      </c>
      <c r="J426" s="12" t="str">
        <f aca="false">IF(INDEX(選手一覧!$I$5:$I$2736,$F426)="","",INDEX(選手一覧!$I$5:$I$2736,$F426))</f>
        <v/>
      </c>
    </row>
    <row r="427" customFormat="false" ht="15" hidden="false" customHeight="false" outlineLevel="0" collapsed="false">
      <c r="A427" s="12" t="n">
        <v>424</v>
      </c>
      <c r="B427" s="8" t="s">
        <v>2384</v>
      </c>
      <c r="C427" s="8" t="s">
        <v>96</v>
      </c>
      <c r="D427" s="11" t="n">
        <v>0.00707731481481482</v>
      </c>
      <c r="E427" s="39" t="n">
        <f aca="false">ROUND((D427-$D$5)*86400,2)</f>
        <v>72.46</v>
      </c>
      <c r="F427" s="12" t="n">
        <v>1523</v>
      </c>
      <c r="G427" s="11" t="str">
        <f aca="false">IF(INDEX(選手一覧!$D$5:$D$2736,$F427)="","",INDEX(選手一覧!$D$5:$D$2736,$F427))</f>
        <v/>
      </c>
      <c r="H427" s="12" t="str">
        <f aca="false">IF(INDEX(選手一覧!$E$5:$E$2736,$F427)="","",INDEX(選手一覧!$E$5:$E$2736,$F427))</f>
        <v/>
      </c>
      <c r="I427" s="11" t="str">
        <f aca="false">IF(INDEX(選手一覧!$H$5:$H$2736,$F427)="","",INDEX(選手一覧!$H$5:$H$2736,$F427))</f>
        <v/>
      </c>
      <c r="J427" s="12" t="str">
        <f aca="false">IF(INDEX(選手一覧!$I$5:$I$2736,$F427)="","",INDEX(選手一覧!$I$5:$I$2736,$F427))</f>
        <v/>
      </c>
    </row>
    <row r="428" customFormat="false" ht="15" hidden="false" customHeight="false" outlineLevel="0" collapsed="false">
      <c r="A428" s="12" t="n">
        <v>425</v>
      </c>
      <c r="B428" s="8" t="s">
        <v>2385</v>
      </c>
      <c r="C428" s="8" t="s">
        <v>61</v>
      </c>
      <c r="D428" s="11" t="n">
        <v>0.00707777777777778</v>
      </c>
      <c r="E428" s="39" t="n">
        <f aca="false">ROUND((D428-$D$5)*86400,2)</f>
        <v>72.5</v>
      </c>
      <c r="F428" s="12" t="n">
        <v>1524</v>
      </c>
      <c r="G428" s="11" t="str">
        <f aca="false">IF(INDEX(選手一覧!$D$5:$D$2736,$F428)="","",INDEX(選手一覧!$D$5:$D$2736,$F428))</f>
        <v/>
      </c>
      <c r="H428" s="12" t="str">
        <f aca="false">IF(INDEX(選手一覧!$E$5:$E$2736,$F428)="","",INDEX(選手一覧!$E$5:$E$2736,$F428))</f>
        <v/>
      </c>
      <c r="I428" s="11" t="n">
        <f aca="false">IF(INDEX(選手一覧!$H$5:$H$2736,$F428)="","",INDEX(選手一覧!$H$5:$H$2736,$F428))</f>
        <v>0.00283368055555556</v>
      </c>
      <c r="J428" s="12" t="n">
        <f aca="false">IF(INDEX(選手一覧!$I$5:$I$2736,$F428)="","",INDEX(選手一覧!$I$5:$I$2736,$F428))</f>
        <v>448</v>
      </c>
    </row>
    <row r="429" customFormat="false" ht="15" hidden="false" customHeight="false" outlineLevel="0" collapsed="false">
      <c r="A429" s="12" t="n">
        <v>426</v>
      </c>
      <c r="B429" s="8" t="s">
        <v>2388</v>
      </c>
      <c r="C429" s="8" t="s">
        <v>2389</v>
      </c>
      <c r="D429" s="11" t="n">
        <v>0.00707916666666667</v>
      </c>
      <c r="E429" s="39" t="n">
        <f aca="false">ROUND((D429-$D$5)*86400,2)</f>
        <v>72.62</v>
      </c>
      <c r="F429" s="12" t="n">
        <v>1526</v>
      </c>
      <c r="G429" s="11" t="str">
        <f aca="false">IF(INDEX(選手一覧!$D$5:$D$2736,$F429)="","",INDEX(選手一覧!$D$5:$D$2736,$F429))</f>
        <v/>
      </c>
      <c r="H429" s="12" t="str">
        <f aca="false">IF(INDEX(選手一覧!$E$5:$E$2736,$F429)="","",INDEX(選手一覧!$E$5:$E$2736,$F429))</f>
        <v/>
      </c>
      <c r="I429" s="11" t="str">
        <f aca="false">IF(INDEX(選手一覧!$H$5:$H$2736,$F429)="","",INDEX(選手一覧!$H$5:$H$2736,$F429))</f>
        <v/>
      </c>
      <c r="J429" s="12" t="str">
        <f aca="false">IF(INDEX(選手一覧!$I$5:$I$2736,$F429)="","",INDEX(選手一覧!$I$5:$I$2736,$F429))</f>
        <v/>
      </c>
    </row>
    <row r="430" customFormat="false" ht="15" hidden="false" customHeight="false" outlineLevel="0" collapsed="false">
      <c r="A430" s="12" t="n">
        <v>427</v>
      </c>
      <c r="B430" s="8" t="s">
        <v>1832</v>
      </c>
      <c r="C430" s="8" t="s">
        <v>471</v>
      </c>
      <c r="D430" s="11" t="n">
        <v>0.00707962962962963</v>
      </c>
      <c r="E430" s="39" t="n">
        <f aca="false">ROUND((D430-$D$5)*86400,2)</f>
        <v>72.66</v>
      </c>
      <c r="F430" s="12" t="n">
        <v>1142</v>
      </c>
      <c r="G430" s="11" t="n">
        <f aca="false">IF(INDEX(選手一覧!$D$5:$D$2736,$F430)="","",INDEX(選手一覧!$D$5:$D$2736,$F430))</f>
        <v>0.0110262731481482</v>
      </c>
      <c r="H430" s="12" t="n">
        <f aca="false">IF(INDEX(選手一覧!$E$5:$E$2736,$F430)="","",INDEX(選手一覧!$E$5:$E$2736,$F430))</f>
        <v>1143</v>
      </c>
      <c r="I430" s="11" t="n">
        <f aca="false">IF(INDEX(選手一覧!$H$5:$H$2736,$F430)="","",INDEX(選手一覧!$H$5:$H$2736,$F430))</f>
        <v>0.00292569444444444</v>
      </c>
      <c r="J430" s="12" t="n">
        <f aca="false">IF(INDEX(選手一覧!$I$5:$I$2736,$F430)="","",INDEX(選手一覧!$I$5:$I$2736,$F430))</f>
        <v>1155</v>
      </c>
    </row>
    <row r="431" customFormat="false" ht="15" hidden="false" customHeight="false" outlineLevel="0" collapsed="false">
      <c r="A431" s="12" t="n">
        <v>428</v>
      </c>
      <c r="B431" s="8" t="s">
        <v>2390</v>
      </c>
      <c r="C431" s="8" t="s">
        <v>2391</v>
      </c>
      <c r="D431" s="11" t="n">
        <v>0.00708009259259259</v>
      </c>
      <c r="E431" s="39" t="n">
        <f aca="false">ROUND((D431-$D$5)*86400,2)</f>
        <v>72.7</v>
      </c>
      <c r="F431" s="12" t="n">
        <v>1527</v>
      </c>
      <c r="G431" s="11" t="str">
        <f aca="false">IF(INDEX(選手一覧!$D$5:$D$2736,$F431)="","",INDEX(選手一覧!$D$5:$D$2736,$F431))</f>
        <v/>
      </c>
      <c r="H431" s="12" t="str">
        <f aca="false">IF(INDEX(選手一覧!$E$5:$E$2736,$F431)="","",INDEX(選手一覧!$E$5:$E$2736,$F431))</f>
        <v/>
      </c>
      <c r="I431" s="11" t="str">
        <f aca="false">IF(INDEX(選手一覧!$H$5:$H$2736,$F431)="","",INDEX(選手一覧!$H$5:$H$2736,$F431))</f>
        <v/>
      </c>
      <c r="J431" s="12" t="str">
        <f aca="false">IF(INDEX(選手一覧!$I$5:$I$2736,$F431)="","",INDEX(選手一覧!$I$5:$I$2736,$F431))</f>
        <v/>
      </c>
    </row>
    <row r="432" customFormat="false" ht="15" hidden="false" customHeight="false" outlineLevel="0" collapsed="false">
      <c r="A432" s="12" t="n">
        <v>429</v>
      </c>
      <c r="B432" s="8" t="s">
        <v>2392</v>
      </c>
      <c r="C432" s="8" t="s">
        <v>730</v>
      </c>
      <c r="D432" s="11" t="n">
        <v>0.00708217592592593</v>
      </c>
      <c r="E432" s="39" t="n">
        <f aca="false">ROUND((D432-$D$5)*86400,2)</f>
        <v>72.88</v>
      </c>
      <c r="F432" s="12" t="n">
        <v>1528</v>
      </c>
      <c r="G432" s="11" t="str">
        <f aca="false">IF(INDEX(選手一覧!$D$5:$D$2736,$F432)="","",INDEX(選手一覧!$D$5:$D$2736,$F432))</f>
        <v/>
      </c>
      <c r="H432" s="12" t="str">
        <f aca="false">IF(INDEX(選手一覧!$E$5:$E$2736,$F432)="","",INDEX(選手一覧!$E$5:$E$2736,$F432))</f>
        <v/>
      </c>
      <c r="I432" s="11" t="str">
        <f aca="false">IF(INDEX(選手一覧!$H$5:$H$2736,$F432)="","",INDEX(選手一覧!$H$5:$H$2736,$F432))</f>
        <v/>
      </c>
      <c r="J432" s="12" t="str">
        <f aca="false">IF(INDEX(選手一覧!$I$5:$I$2736,$F432)="","",INDEX(選手一覧!$I$5:$I$2736,$F432))</f>
        <v/>
      </c>
    </row>
    <row r="433" customFormat="false" ht="15" hidden="false" customHeight="false" outlineLevel="0" collapsed="false">
      <c r="A433" s="12" t="n">
        <v>430</v>
      </c>
      <c r="B433" s="8" t="s">
        <v>1878</v>
      </c>
      <c r="C433" s="8" t="s">
        <v>408</v>
      </c>
      <c r="D433" s="11" t="n">
        <v>0.00708252314814815</v>
      </c>
      <c r="E433" s="39" t="n">
        <f aca="false">ROUND((D433-$D$5)*86400,2)</f>
        <v>72.91</v>
      </c>
      <c r="F433" s="12" t="n">
        <v>1173</v>
      </c>
      <c r="G433" s="11" t="n">
        <f aca="false">IF(INDEX(選手一覧!$D$5:$D$2736,$F433)="","",INDEX(選手一覧!$D$5:$D$2736,$F433))</f>
        <v>0.0110377314814815</v>
      </c>
      <c r="H433" s="12" t="n">
        <f aca="false">IF(INDEX(選手一覧!$E$5:$E$2736,$F433)="","",INDEX(選手一覧!$E$5:$E$2736,$F433))</f>
        <v>1174</v>
      </c>
      <c r="I433" s="11" t="str">
        <f aca="false">IF(INDEX(選手一覧!$H$5:$H$2736,$F433)="","",INDEX(選手一覧!$H$5:$H$2736,$F433))</f>
        <v/>
      </c>
      <c r="J433" s="12" t="str">
        <f aca="false">IF(INDEX(選手一覧!$I$5:$I$2736,$F433)="","",INDEX(選手一覧!$I$5:$I$2736,$F433))</f>
        <v/>
      </c>
    </row>
    <row r="434" customFormat="false" ht="15" hidden="false" customHeight="false" outlineLevel="0" collapsed="false">
      <c r="A434" s="12" t="n">
        <v>431</v>
      </c>
      <c r="B434" s="8" t="s">
        <v>2393</v>
      </c>
      <c r="C434" s="8" t="s">
        <v>1124</v>
      </c>
      <c r="D434" s="11" t="n">
        <v>0.00708263888888889</v>
      </c>
      <c r="E434" s="39" t="n">
        <f aca="false">ROUND((D434-$D$5)*86400,2)</f>
        <v>72.92</v>
      </c>
      <c r="F434" s="12" t="n">
        <v>1529</v>
      </c>
      <c r="G434" s="11" t="str">
        <f aca="false">IF(INDEX(選手一覧!$D$5:$D$2736,$F434)="","",INDEX(選手一覧!$D$5:$D$2736,$F434))</f>
        <v/>
      </c>
      <c r="H434" s="12" t="str">
        <f aca="false">IF(INDEX(選手一覧!$E$5:$E$2736,$F434)="","",INDEX(選手一覧!$E$5:$E$2736,$F434))</f>
        <v/>
      </c>
      <c r="I434" s="11" t="str">
        <f aca="false">IF(INDEX(選手一覧!$H$5:$H$2736,$F434)="","",INDEX(選手一覧!$H$5:$H$2736,$F434))</f>
        <v/>
      </c>
      <c r="J434" s="12" t="str">
        <f aca="false">IF(INDEX(選手一覧!$I$5:$I$2736,$F434)="","",INDEX(選手一覧!$I$5:$I$2736,$F434))</f>
        <v/>
      </c>
    </row>
    <row r="435" customFormat="false" ht="15" hidden="false" customHeight="false" outlineLevel="0" collapsed="false">
      <c r="A435" s="12" t="n">
        <v>432</v>
      </c>
      <c r="B435" s="8" t="s">
        <v>1472</v>
      </c>
      <c r="C435" s="8" t="s">
        <v>89</v>
      </c>
      <c r="D435" s="11" t="n">
        <v>0.00708460648148148</v>
      </c>
      <c r="E435" s="39" t="n">
        <f aca="false">ROUND((D435-$D$5)*86400,2)</f>
        <v>73.09</v>
      </c>
      <c r="F435" s="12" t="n">
        <v>898</v>
      </c>
      <c r="G435" s="11" t="n">
        <f aca="false">IF(INDEX(選手一覧!$D$5:$D$2736,$F435)="","",INDEX(選手一覧!$D$5:$D$2736,$F435))</f>
        <v>0.0108835648148148</v>
      </c>
      <c r="H435" s="12" t="n">
        <f aca="false">IF(INDEX(選手一覧!$E$5:$E$2736,$F435)="","",INDEX(選手一覧!$E$5:$E$2736,$F435))</f>
        <v>899</v>
      </c>
      <c r="I435" s="11" t="n">
        <f aca="false">IF(INDEX(選手一覧!$H$5:$H$2736,$F435)="","",INDEX(選手一覧!$H$5:$H$2736,$F435))</f>
        <v>0.00284363425925926</v>
      </c>
      <c r="J435" s="12" t="n">
        <f aca="false">IF(INDEX(選手一覧!$I$5:$I$2736,$F435)="","",INDEX(選手一覧!$I$5:$I$2736,$F435))</f>
        <v>521</v>
      </c>
    </row>
    <row r="436" customFormat="false" ht="15" hidden="false" customHeight="false" outlineLevel="0" collapsed="false">
      <c r="A436" s="12" t="n">
        <v>433</v>
      </c>
      <c r="B436" s="8" t="s">
        <v>2098</v>
      </c>
      <c r="C436" s="8" t="s">
        <v>294</v>
      </c>
      <c r="D436" s="11" t="n">
        <v>0.00708506944444444</v>
      </c>
      <c r="E436" s="39" t="n">
        <f aca="false">ROUND((D436-$D$5)*86400,2)</f>
        <v>73.13</v>
      </c>
      <c r="F436" s="12" t="n">
        <v>1337</v>
      </c>
      <c r="G436" s="11" t="str">
        <f aca="false">IF(INDEX(選手一覧!$D$5:$D$2736,$F436)="","",INDEX(選手一覧!$D$5:$D$2736,$F436))</f>
        <v/>
      </c>
      <c r="H436" s="12" t="str">
        <f aca="false">IF(INDEX(選手一覧!$E$5:$E$2736,$F436)="","",INDEX(選手一覧!$E$5:$E$2736,$F436))</f>
        <v/>
      </c>
      <c r="I436" s="11" t="n">
        <f aca="false">IF(INDEX(選手一覧!$H$5:$H$2736,$F436)="","",INDEX(選手一覧!$H$5:$H$2736,$F436))</f>
        <v>0.00277673611111111</v>
      </c>
      <c r="J436" s="12" t="n">
        <f aca="false">IF(INDEX(選手一覧!$I$5:$I$2736,$F436)="","",INDEX(選手一覧!$I$5:$I$2736,$F436))</f>
        <v>185</v>
      </c>
    </row>
    <row r="437" customFormat="false" ht="15" hidden="false" customHeight="false" outlineLevel="0" collapsed="false">
      <c r="A437" s="12" t="n">
        <v>434</v>
      </c>
      <c r="B437" s="8" t="s">
        <v>2395</v>
      </c>
      <c r="C437" s="8" t="s">
        <v>1469</v>
      </c>
      <c r="D437" s="11" t="n">
        <v>0.00708622685185185</v>
      </c>
      <c r="E437" s="39" t="n">
        <f aca="false">ROUND((D437-$D$5)*86400,2)</f>
        <v>73.23</v>
      </c>
      <c r="F437" s="12" t="n">
        <v>1531</v>
      </c>
      <c r="G437" s="11" t="str">
        <f aca="false">IF(INDEX(選手一覧!$D$5:$D$2736,$F437)="","",INDEX(選手一覧!$D$5:$D$2736,$F437))</f>
        <v/>
      </c>
      <c r="H437" s="12" t="str">
        <f aca="false">IF(INDEX(選手一覧!$E$5:$E$2736,$F437)="","",INDEX(選手一覧!$E$5:$E$2736,$F437))</f>
        <v/>
      </c>
      <c r="I437" s="11" t="str">
        <f aca="false">IF(INDEX(選手一覧!$H$5:$H$2736,$F437)="","",INDEX(選手一覧!$H$5:$H$2736,$F437))</f>
        <v/>
      </c>
      <c r="J437" s="12" t="str">
        <f aca="false">IF(INDEX(選手一覧!$I$5:$I$2736,$F437)="","",INDEX(選手一覧!$I$5:$I$2736,$F437))</f>
        <v/>
      </c>
    </row>
    <row r="438" customFormat="false" ht="15" hidden="false" customHeight="false" outlineLevel="0" collapsed="false">
      <c r="A438" s="12" t="n">
        <v>435</v>
      </c>
      <c r="B438" s="8" t="s">
        <v>1701</v>
      </c>
      <c r="C438" s="8" t="s">
        <v>1702</v>
      </c>
      <c r="D438" s="11" t="n">
        <v>0.00708622685185185</v>
      </c>
      <c r="E438" s="39" t="n">
        <f aca="false">ROUND((D438-$D$5)*86400,2)</f>
        <v>73.23</v>
      </c>
      <c r="F438" s="12" t="n">
        <v>1054</v>
      </c>
      <c r="G438" s="11" t="n">
        <f aca="false">IF(INDEX(選手一覧!$D$5:$D$2736,$F438)="","",INDEX(選手一覧!$D$5:$D$2736,$F438))</f>
        <v>0.0109792824074074</v>
      </c>
      <c r="H438" s="12" t="n">
        <f aca="false">IF(INDEX(選手一覧!$E$5:$E$2736,$F438)="","",INDEX(選手一覧!$E$5:$E$2736,$F438))</f>
        <v>1055</v>
      </c>
      <c r="I438" s="11" t="str">
        <f aca="false">IF(INDEX(選手一覧!$H$5:$H$2736,$F438)="","",INDEX(選手一覧!$H$5:$H$2736,$F438))</f>
        <v/>
      </c>
      <c r="J438" s="12" t="str">
        <f aca="false">IF(INDEX(選手一覧!$I$5:$I$2736,$F438)="","",INDEX(選手一覧!$I$5:$I$2736,$F438))</f>
        <v/>
      </c>
    </row>
    <row r="439" customFormat="false" ht="15" hidden="false" customHeight="false" outlineLevel="0" collapsed="false">
      <c r="A439" s="12" t="n">
        <v>436</v>
      </c>
      <c r="B439" s="8" t="s">
        <v>2398</v>
      </c>
      <c r="C439" s="8" t="s">
        <v>172</v>
      </c>
      <c r="D439" s="11" t="n">
        <v>0.0070869212962963</v>
      </c>
      <c r="E439" s="39" t="n">
        <f aca="false">ROUND((D439-$D$5)*86400,2)</f>
        <v>73.29</v>
      </c>
      <c r="F439" s="12" t="n">
        <v>1533</v>
      </c>
      <c r="G439" s="11" t="str">
        <f aca="false">IF(INDEX(選手一覧!$D$5:$D$2736,$F439)="","",INDEX(選手一覧!$D$5:$D$2736,$F439))</f>
        <v/>
      </c>
      <c r="H439" s="12" t="str">
        <f aca="false">IF(INDEX(選手一覧!$E$5:$E$2736,$F439)="","",INDEX(選手一覧!$E$5:$E$2736,$F439))</f>
        <v/>
      </c>
      <c r="I439" s="11" t="str">
        <f aca="false">IF(INDEX(選手一覧!$H$5:$H$2736,$F439)="","",INDEX(選手一覧!$H$5:$H$2736,$F439))</f>
        <v/>
      </c>
      <c r="J439" s="12" t="str">
        <f aca="false">IF(INDEX(選手一覧!$I$5:$I$2736,$F439)="","",INDEX(選手一覧!$I$5:$I$2736,$F439))</f>
        <v/>
      </c>
    </row>
    <row r="440" customFormat="false" ht="15" hidden="false" customHeight="false" outlineLevel="0" collapsed="false">
      <c r="A440" s="12" t="n">
        <v>437</v>
      </c>
      <c r="B440" s="8" t="s">
        <v>325</v>
      </c>
      <c r="C440" s="8" t="s">
        <v>326</v>
      </c>
      <c r="D440" s="11" t="n">
        <v>0.0070880787037037</v>
      </c>
      <c r="E440" s="39" t="n">
        <f aca="false">ROUND((D440-$D$5)*86400,2)</f>
        <v>73.39</v>
      </c>
      <c r="F440" s="12" t="n">
        <v>160</v>
      </c>
      <c r="G440" s="11" t="n">
        <f aca="false">IF(INDEX(選手一覧!$D$5:$D$2736,$F440)="","",INDEX(選手一覧!$D$5:$D$2736,$F440))</f>
        <v>0.0103003472222222</v>
      </c>
      <c r="H440" s="12" t="n">
        <f aca="false">IF(INDEX(選手一覧!$E$5:$E$2736,$F440)="","",INDEX(選手一覧!$E$5:$E$2736,$F440))</f>
        <v>161</v>
      </c>
      <c r="I440" s="11" t="n">
        <f aca="false">IF(INDEX(選手一覧!$H$5:$H$2736,$F440)="","",INDEX(選手一覧!$H$5:$H$2736,$F440))</f>
        <v>0.00275381944444445</v>
      </c>
      <c r="J440" s="12" t="n">
        <f aca="false">IF(INDEX(選手一覧!$I$5:$I$2736,$F440)="","",INDEX(選手一覧!$I$5:$I$2736,$F440))</f>
        <v>113</v>
      </c>
    </row>
    <row r="441" customFormat="false" ht="15" hidden="false" customHeight="false" outlineLevel="0" collapsed="false">
      <c r="A441" s="12" t="n">
        <v>438</v>
      </c>
      <c r="B441" s="8" t="s">
        <v>2399</v>
      </c>
      <c r="C441" s="8" t="s">
        <v>241</v>
      </c>
      <c r="D441" s="11" t="n">
        <v>0.00709085648148148</v>
      </c>
      <c r="E441" s="39" t="n">
        <f aca="false">ROUND((D441-$D$5)*86400,2)</f>
        <v>73.63</v>
      </c>
      <c r="F441" s="12" t="n">
        <v>1534</v>
      </c>
      <c r="G441" s="11" t="str">
        <f aca="false">IF(INDEX(選手一覧!$D$5:$D$2736,$F441)="","",INDEX(選手一覧!$D$5:$D$2736,$F441))</f>
        <v/>
      </c>
      <c r="H441" s="12" t="str">
        <f aca="false">IF(INDEX(選手一覧!$E$5:$E$2736,$F441)="","",INDEX(選手一覧!$E$5:$E$2736,$F441))</f>
        <v/>
      </c>
      <c r="I441" s="11" t="str">
        <f aca="false">IF(INDEX(選手一覧!$H$5:$H$2736,$F441)="","",INDEX(選手一覧!$H$5:$H$2736,$F441))</f>
        <v/>
      </c>
      <c r="J441" s="12" t="str">
        <f aca="false">IF(INDEX(選手一覧!$I$5:$I$2736,$F441)="","",INDEX(選手一覧!$I$5:$I$2736,$F441))</f>
        <v/>
      </c>
    </row>
    <row r="442" customFormat="false" ht="15" hidden="false" customHeight="false" outlineLevel="0" collapsed="false">
      <c r="A442" s="12" t="n">
        <v>439</v>
      </c>
      <c r="B442" s="8" t="s">
        <v>2401</v>
      </c>
      <c r="C442" s="8" t="s">
        <v>1335</v>
      </c>
      <c r="D442" s="11" t="n">
        <v>0.00709201388888889</v>
      </c>
      <c r="E442" s="39" t="n">
        <f aca="false">ROUND((D442-$D$5)*86400,2)</f>
        <v>73.73</v>
      </c>
      <c r="F442" s="12" t="n">
        <v>1536</v>
      </c>
      <c r="G442" s="11" t="str">
        <f aca="false">IF(INDEX(選手一覧!$D$5:$D$2736,$F442)="","",INDEX(選手一覧!$D$5:$D$2736,$F442))</f>
        <v/>
      </c>
      <c r="H442" s="12" t="str">
        <f aca="false">IF(INDEX(選手一覧!$E$5:$E$2736,$F442)="","",INDEX(選手一覧!$E$5:$E$2736,$F442))</f>
        <v/>
      </c>
      <c r="I442" s="11" t="str">
        <f aca="false">IF(INDEX(選手一覧!$H$5:$H$2736,$F442)="","",INDEX(選手一覧!$H$5:$H$2736,$F442))</f>
        <v/>
      </c>
      <c r="J442" s="12" t="str">
        <f aca="false">IF(INDEX(選手一覧!$I$5:$I$2736,$F442)="","",INDEX(選手一覧!$I$5:$I$2736,$F442))</f>
        <v/>
      </c>
    </row>
    <row r="443" customFormat="false" ht="15" hidden="false" customHeight="false" outlineLevel="0" collapsed="false">
      <c r="A443" s="12" t="n">
        <v>440</v>
      </c>
      <c r="B443" s="8" t="s">
        <v>2403</v>
      </c>
      <c r="C443" s="8" t="s">
        <v>1303</v>
      </c>
      <c r="D443" s="11" t="n">
        <v>0.00709409722222222</v>
      </c>
      <c r="E443" s="39" t="n">
        <f aca="false">ROUND((D443-$D$5)*86400,2)</f>
        <v>73.91</v>
      </c>
      <c r="F443" s="12" t="n">
        <v>1538</v>
      </c>
      <c r="G443" s="11" t="str">
        <f aca="false">IF(INDEX(選手一覧!$D$5:$D$2736,$F443)="","",INDEX(選手一覧!$D$5:$D$2736,$F443))</f>
        <v/>
      </c>
      <c r="H443" s="12" t="str">
        <f aca="false">IF(INDEX(選手一覧!$E$5:$E$2736,$F443)="","",INDEX(選手一覧!$E$5:$E$2736,$F443))</f>
        <v/>
      </c>
      <c r="I443" s="11" t="str">
        <f aca="false">IF(INDEX(選手一覧!$H$5:$H$2736,$F443)="","",INDEX(選手一覧!$H$5:$H$2736,$F443))</f>
        <v/>
      </c>
      <c r="J443" s="12" t="str">
        <f aca="false">IF(INDEX(選手一覧!$I$5:$I$2736,$F443)="","",INDEX(選手一覧!$I$5:$I$2736,$F443))</f>
        <v/>
      </c>
    </row>
    <row r="444" customFormat="false" ht="15" hidden="false" customHeight="false" outlineLevel="0" collapsed="false">
      <c r="A444" s="12" t="n">
        <v>441</v>
      </c>
      <c r="B444" s="8" t="s">
        <v>2405</v>
      </c>
      <c r="C444" s="8" t="s">
        <v>2406</v>
      </c>
      <c r="D444" s="11" t="n">
        <v>0.0070943287037037</v>
      </c>
      <c r="E444" s="39" t="n">
        <f aca="false">ROUND((D444-$D$5)*86400,2)</f>
        <v>73.93</v>
      </c>
      <c r="F444" s="12" t="n">
        <v>1540</v>
      </c>
      <c r="G444" s="11" t="str">
        <f aca="false">IF(INDEX(選手一覧!$D$5:$D$2736,$F444)="","",INDEX(選手一覧!$D$5:$D$2736,$F444))</f>
        <v/>
      </c>
      <c r="H444" s="12" t="str">
        <f aca="false">IF(INDEX(選手一覧!$E$5:$E$2736,$F444)="","",INDEX(選手一覧!$E$5:$E$2736,$F444))</f>
        <v/>
      </c>
      <c r="I444" s="11" t="str">
        <f aca="false">IF(INDEX(選手一覧!$H$5:$H$2736,$F444)="","",INDEX(選手一覧!$H$5:$H$2736,$F444))</f>
        <v/>
      </c>
      <c r="J444" s="12" t="str">
        <f aca="false">IF(INDEX(選手一覧!$I$5:$I$2736,$F444)="","",INDEX(選手一覧!$I$5:$I$2736,$F444))</f>
        <v/>
      </c>
    </row>
    <row r="445" customFormat="false" ht="15" hidden="false" customHeight="false" outlineLevel="0" collapsed="false">
      <c r="A445" s="12" t="n">
        <v>442</v>
      </c>
      <c r="B445" s="8" t="s">
        <v>1802</v>
      </c>
      <c r="C445" s="8" t="s">
        <v>56</v>
      </c>
      <c r="D445" s="11" t="n">
        <v>0.00709490740740741</v>
      </c>
      <c r="E445" s="39" t="n">
        <f aca="false">ROUND((D445-$D$5)*86400,2)</f>
        <v>73.98</v>
      </c>
      <c r="F445" s="12" t="n">
        <v>1121</v>
      </c>
      <c r="G445" s="11" t="n">
        <f aca="false">IF(INDEX(選手一覧!$D$5:$D$2736,$F445)="","",INDEX(選手一覧!$D$5:$D$2736,$F445))</f>
        <v>0.0110171296296296</v>
      </c>
      <c r="H445" s="12" t="n">
        <f aca="false">IF(INDEX(選手一覧!$E$5:$E$2736,$F445)="","",INDEX(選手一覧!$E$5:$E$2736,$F445))</f>
        <v>1122</v>
      </c>
      <c r="I445" s="11" t="n">
        <f aca="false">IF(INDEX(選手一覧!$H$5:$H$2736,$F445)="","",INDEX(選手一覧!$H$5:$H$2736,$F445))</f>
        <v>0.00297152777777778</v>
      </c>
      <c r="J445" s="12" t="n">
        <f aca="false">IF(INDEX(選手一覧!$I$5:$I$2736,$F445)="","",INDEX(選手一覧!$I$5:$I$2736,$F445))</f>
        <v>1315</v>
      </c>
    </row>
    <row r="446" customFormat="false" ht="15" hidden="false" customHeight="false" outlineLevel="0" collapsed="false">
      <c r="A446" s="12" t="n">
        <v>443</v>
      </c>
      <c r="B446" s="8" t="s">
        <v>1840</v>
      </c>
      <c r="C446" s="8" t="s">
        <v>399</v>
      </c>
      <c r="D446" s="11" t="n">
        <v>0.00709537037037037</v>
      </c>
      <c r="E446" s="39" t="n">
        <f aca="false">ROUND((D446-$D$5)*86400,2)</f>
        <v>74.02</v>
      </c>
      <c r="F446" s="12" t="n">
        <v>1147</v>
      </c>
      <c r="G446" s="11" t="n">
        <f aca="false">IF(INDEX(選手一覧!$D$5:$D$2736,$F446)="","",INDEX(選手一覧!$D$5:$D$2736,$F446))</f>
        <v>0.0110284722222222</v>
      </c>
      <c r="H446" s="12" t="n">
        <f aca="false">IF(INDEX(選手一覧!$E$5:$E$2736,$F446)="","",INDEX(選手一覧!$E$5:$E$2736,$F446))</f>
        <v>1148</v>
      </c>
      <c r="I446" s="11" t="n">
        <f aca="false">IF(INDEX(選手一覧!$H$5:$H$2736,$F446)="","",INDEX(選手一覧!$H$5:$H$2736,$F446))</f>
        <v>0.00282037037037037</v>
      </c>
      <c r="J446" s="12" t="n">
        <f aca="false">IF(INDEX(選手一覧!$I$5:$I$2736,$F446)="","",INDEX(選手一覧!$I$5:$I$2736,$F446))</f>
        <v>363</v>
      </c>
    </row>
    <row r="447" customFormat="false" ht="15" hidden="false" customHeight="false" outlineLevel="0" collapsed="false">
      <c r="A447" s="12" t="n">
        <v>444</v>
      </c>
      <c r="B447" s="8" t="s">
        <v>395</v>
      </c>
      <c r="C447" s="8" t="s">
        <v>23</v>
      </c>
      <c r="D447" s="11" t="n">
        <v>0.00709699074074074</v>
      </c>
      <c r="E447" s="39" t="n">
        <f aca="false">ROUND((D447-$D$5)*86400,2)</f>
        <v>74.16</v>
      </c>
      <c r="F447" s="12" t="n">
        <v>201</v>
      </c>
      <c r="G447" s="11" t="n">
        <f aca="false">IF(INDEX(選手一覧!$D$5:$D$2736,$F447)="","",INDEX(選手一覧!$D$5:$D$2736,$F447))</f>
        <v>0.0103487268518519</v>
      </c>
      <c r="H447" s="12" t="n">
        <f aca="false">IF(INDEX(選手一覧!$E$5:$E$2736,$F447)="","",INDEX(選手一覧!$E$5:$E$2736,$F447))</f>
        <v>202</v>
      </c>
      <c r="I447" s="11" t="n">
        <f aca="false">IF(INDEX(選手一覧!$H$5:$H$2736,$F447)="","",INDEX(選手一覧!$H$5:$H$2736,$F447))</f>
        <v>0.0028431712962963</v>
      </c>
      <c r="J447" s="12" t="n">
        <f aca="false">IF(INDEX(選手一覧!$I$5:$I$2736,$F447)="","",INDEX(選手一覧!$I$5:$I$2736,$F447))</f>
        <v>518</v>
      </c>
    </row>
    <row r="448" customFormat="false" ht="15" hidden="false" customHeight="false" outlineLevel="0" collapsed="false">
      <c r="A448" s="12" t="n">
        <v>445</v>
      </c>
      <c r="B448" s="8" t="s">
        <v>2407</v>
      </c>
      <c r="C448" s="8" t="s">
        <v>52</v>
      </c>
      <c r="D448" s="11" t="n">
        <v>0.00709722222222222</v>
      </c>
      <c r="E448" s="39" t="n">
        <f aca="false">ROUND((D448-$D$5)*86400,2)</f>
        <v>74.18</v>
      </c>
      <c r="F448" s="12" t="n">
        <v>1541</v>
      </c>
      <c r="G448" s="11" t="str">
        <f aca="false">IF(INDEX(選手一覧!$D$5:$D$2736,$F448)="","",INDEX(選手一覧!$D$5:$D$2736,$F448))</f>
        <v/>
      </c>
      <c r="H448" s="12" t="str">
        <f aca="false">IF(INDEX(選手一覧!$E$5:$E$2736,$F448)="","",INDEX(選手一覧!$E$5:$E$2736,$F448))</f>
        <v/>
      </c>
      <c r="I448" s="11" t="n">
        <f aca="false">IF(INDEX(選手一覧!$H$5:$H$2736,$F448)="","",INDEX(選手一覧!$H$5:$H$2736,$F448))</f>
        <v>0.00292361111111111</v>
      </c>
      <c r="J448" s="12" t="n">
        <f aca="false">IF(INDEX(選手一覧!$I$5:$I$2736,$F448)="","",INDEX(選手一覧!$I$5:$I$2736,$F448))</f>
        <v>1134</v>
      </c>
    </row>
    <row r="449" customFormat="false" ht="15" hidden="false" customHeight="false" outlineLevel="0" collapsed="false">
      <c r="A449" s="12" t="n">
        <v>446</v>
      </c>
      <c r="B449" s="8" t="s">
        <v>2409</v>
      </c>
      <c r="C449" s="8" t="s">
        <v>2410</v>
      </c>
      <c r="D449" s="11" t="n">
        <v>0.00709733796296296</v>
      </c>
      <c r="E449" s="39" t="n">
        <f aca="false">ROUND((D449-$D$5)*86400,2)</f>
        <v>74.19</v>
      </c>
      <c r="F449" s="12" t="n">
        <v>1543</v>
      </c>
      <c r="G449" s="11" t="str">
        <f aca="false">IF(INDEX(選手一覧!$D$5:$D$2736,$F449)="","",INDEX(選手一覧!$D$5:$D$2736,$F449))</f>
        <v/>
      </c>
      <c r="H449" s="12" t="str">
        <f aca="false">IF(INDEX(選手一覧!$E$5:$E$2736,$F449)="","",INDEX(選手一覧!$E$5:$E$2736,$F449))</f>
        <v/>
      </c>
      <c r="I449" s="11" t="str">
        <f aca="false">IF(INDEX(選手一覧!$H$5:$H$2736,$F449)="","",INDEX(選手一覧!$H$5:$H$2736,$F449))</f>
        <v/>
      </c>
      <c r="J449" s="12" t="str">
        <f aca="false">IF(INDEX(選手一覧!$I$5:$I$2736,$F449)="","",INDEX(選手一覧!$I$5:$I$2736,$F449))</f>
        <v/>
      </c>
    </row>
    <row r="450" customFormat="false" ht="15" hidden="false" customHeight="false" outlineLevel="0" collapsed="false">
      <c r="A450" s="12" t="n">
        <v>447</v>
      </c>
      <c r="B450" s="8" t="s">
        <v>1763</v>
      </c>
      <c r="C450" s="8" t="s">
        <v>1402</v>
      </c>
      <c r="D450" s="11" t="n">
        <v>0.00709780092592593</v>
      </c>
      <c r="E450" s="39" t="n">
        <f aca="false">ROUND((D450-$D$5)*86400,2)</f>
        <v>74.23</v>
      </c>
      <c r="F450" s="12" t="n">
        <v>1096</v>
      </c>
      <c r="G450" s="11" t="n">
        <f aca="false">IF(INDEX(選手一覧!$D$5:$D$2736,$F450)="","",INDEX(選手一覧!$D$5:$D$2736,$F450))</f>
        <v>0.0110001157407407</v>
      </c>
      <c r="H450" s="12" t="n">
        <f aca="false">IF(INDEX(選手一覧!$E$5:$E$2736,$F450)="","",INDEX(選手一覧!$E$5:$E$2736,$F450))</f>
        <v>1097</v>
      </c>
      <c r="I450" s="11" t="str">
        <f aca="false">IF(INDEX(選手一覧!$H$5:$H$2736,$F450)="","",INDEX(選手一覧!$H$5:$H$2736,$F450))</f>
        <v/>
      </c>
      <c r="J450" s="12" t="str">
        <f aca="false">IF(INDEX(選手一覧!$I$5:$I$2736,$F450)="","",INDEX(選手一覧!$I$5:$I$2736,$F450))</f>
        <v/>
      </c>
    </row>
    <row r="451" customFormat="false" ht="15" hidden="false" customHeight="false" outlineLevel="0" collapsed="false">
      <c r="A451" s="12" t="n">
        <v>448</v>
      </c>
      <c r="B451" s="8" t="s">
        <v>2411</v>
      </c>
      <c r="C451" s="8" t="s">
        <v>1224</v>
      </c>
      <c r="D451" s="11" t="n">
        <v>0.00709780092592593</v>
      </c>
      <c r="E451" s="39" t="n">
        <f aca="false">ROUND((D451-$D$5)*86400,2)</f>
        <v>74.23</v>
      </c>
      <c r="F451" s="12" t="n">
        <v>1544</v>
      </c>
      <c r="G451" s="11" t="str">
        <f aca="false">IF(INDEX(選手一覧!$D$5:$D$2736,$F451)="","",INDEX(選手一覧!$D$5:$D$2736,$F451))</f>
        <v/>
      </c>
      <c r="H451" s="12" t="str">
        <f aca="false">IF(INDEX(選手一覧!$E$5:$E$2736,$F451)="","",INDEX(選手一覧!$E$5:$E$2736,$F451))</f>
        <v/>
      </c>
      <c r="I451" s="11" t="str">
        <f aca="false">IF(INDEX(選手一覧!$H$5:$H$2736,$F451)="","",INDEX(選手一覧!$H$5:$H$2736,$F451))</f>
        <v/>
      </c>
      <c r="J451" s="12" t="str">
        <f aca="false">IF(INDEX(選手一覧!$I$5:$I$2736,$F451)="","",INDEX(選手一覧!$I$5:$I$2736,$F451))</f>
        <v/>
      </c>
    </row>
    <row r="452" customFormat="false" ht="15" hidden="false" customHeight="false" outlineLevel="0" collapsed="false">
      <c r="A452" s="12" t="n">
        <v>449</v>
      </c>
      <c r="B452" s="8" t="s">
        <v>2412</v>
      </c>
      <c r="C452" s="8" t="s">
        <v>2111</v>
      </c>
      <c r="D452" s="11" t="n">
        <v>0.00709849537037037</v>
      </c>
      <c r="E452" s="39" t="n">
        <f aca="false">ROUND((D452-$D$5)*86400,2)</f>
        <v>74.29</v>
      </c>
      <c r="F452" s="12" t="n">
        <v>1545</v>
      </c>
      <c r="G452" s="11" t="str">
        <f aca="false">IF(INDEX(選手一覧!$D$5:$D$2736,$F452)="","",INDEX(選手一覧!$D$5:$D$2736,$F452))</f>
        <v/>
      </c>
      <c r="H452" s="12" t="str">
        <f aca="false">IF(INDEX(選手一覧!$E$5:$E$2736,$F452)="","",INDEX(選手一覧!$E$5:$E$2736,$F452))</f>
        <v/>
      </c>
      <c r="I452" s="11" t="n">
        <f aca="false">IF(INDEX(選手一覧!$H$5:$H$2736,$F452)="","",INDEX(選手一覧!$H$5:$H$2736,$F452))</f>
        <v>0.00295694444444444</v>
      </c>
      <c r="J452" s="12" t="n">
        <f aca="false">IF(INDEX(選手一覧!$I$5:$I$2736,$F452)="","",INDEX(選手一覧!$I$5:$I$2736,$F452))</f>
        <v>1259</v>
      </c>
    </row>
    <row r="453" customFormat="false" ht="15" hidden="false" customHeight="false" outlineLevel="0" collapsed="false">
      <c r="A453" s="12" t="n">
        <v>450</v>
      </c>
      <c r="B453" s="8" t="s">
        <v>2414</v>
      </c>
      <c r="C453" s="8" t="s">
        <v>1116</v>
      </c>
      <c r="D453" s="11" t="n">
        <v>0.00709872685185185</v>
      </c>
      <c r="E453" s="39" t="n">
        <f aca="false">ROUND((D453-$D$5)*86400,2)</f>
        <v>74.31</v>
      </c>
      <c r="F453" s="12" t="n">
        <v>1547</v>
      </c>
      <c r="G453" s="11" t="str">
        <f aca="false">IF(INDEX(選手一覧!$D$5:$D$2736,$F453)="","",INDEX(選手一覧!$D$5:$D$2736,$F453))</f>
        <v/>
      </c>
      <c r="H453" s="12" t="str">
        <f aca="false">IF(INDEX(選手一覧!$E$5:$E$2736,$F453)="","",INDEX(選手一覧!$E$5:$E$2736,$F453))</f>
        <v/>
      </c>
      <c r="I453" s="11" t="str">
        <f aca="false">IF(INDEX(選手一覧!$H$5:$H$2736,$F453)="","",INDEX(選手一覧!$H$5:$H$2736,$F453))</f>
        <v/>
      </c>
      <c r="J453" s="12" t="str">
        <f aca="false">IF(INDEX(選手一覧!$I$5:$I$2736,$F453)="","",INDEX(選手一覧!$I$5:$I$2736,$F453))</f>
        <v/>
      </c>
    </row>
    <row r="454" customFormat="false" ht="15" hidden="false" customHeight="false" outlineLevel="0" collapsed="false">
      <c r="A454" s="12" t="n">
        <v>451</v>
      </c>
      <c r="B454" s="8" t="s">
        <v>2416</v>
      </c>
      <c r="C454" s="8" t="s">
        <v>4683</v>
      </c>
      <c r="D454" s="11" t="n">
        <v>0.00710266203703704</v>
      </c>
      <c r="E454" s="39" t="n">
        <f aca="false">ROUND((D454-$D$5)*86400,2)</f>
        <v>74.65</v>
      </c>
      <c r="F454" s="12" t="n">
        <v>1549</v>
      </c>
      <c r="G454" s="11" t="str">
        <f aca="false">IF(INDEX(選手一覧!$D$5:$D$2736,$F454)="","",INDEX(選手一覧!$D$5:$D$2736,$F454))</f>
        <v/>
      </c>
      <c r="H454" s="12" t="str">
        <f aca="false">IF(INDEX(選手一覧!$E$5:$E$2736,$F454)="","",INDEX(選手一覧!$E$5:$E$2736,$F454))</f>
        <v/>
      </c>
      <c r="I454" s="11" t="n">
        <f aca="false">IF(INDEX(選手一覧!$H$5:$H$2736,$F454)="","",INDEX(選手一覧!$H$5:$H$2736,$F454))</f>
        <v>0.00288206018518519</v>
      </c>
      <c r="J454" s="12" t="n">
        <f aca="false">IF(INDEX(選手一覧!$I$5:$I$2736,$F454)="","",INDEX(選手一覧!$I$5:$I$2736,$F454))</f>
        <v>794</v>
      </c>
    </row>
    <row r="455" customFormat="false" ht="15" hidden="false" customHeight="false" outlineLevel="0" collapsed="false">
      <c r="A455" s="12" t="n">
        <v>452</v>
      </c>
      <c r="B455" s="8" t="s">
        <v>2419</v>
      </c>
      <c r="C455" s="8" t="s">
        <v>274</v>
      </c>
      <c r="D455" s="11" t="n">
        <v>0.00710428240740741</v>
      </c>
      <c r="E455" s="39" t="n">
        <f aca="false">ROUND((D455-$D$5)*86400,2)</f>
        <v>74.79</v>
      </c>
      <c r="F455" s="12" t="n">
        <v>1550</v>
      </c>
      <c r="G455" s="11" t="str">
        <f aca="false">IF(INDEX(選手一覧!$D$5:$D$2736,$F455)="","",INDEX(選手一覧!$D$5:$D$2736,$F455))</f>
        <v/>
      </c>
      <c r="H455" s="12" t="str">
        <f aca="false">IF(INDEX(選手一覧!$E$5:$E$2736,$F455)="","",INDEX(選手一覧!$E$5:$E$2736,$F455))</f>
        <v/>
      </c>
      <c r="I455" s="11" t="str">
        <f aca="false">IF(INDEX(選手一覧!$H$5:$H$2736,$F455)="","",INDEX(選手一覧!$H$5:$H$2736,$F455))</f>
        <v/>
      </c>
      <c r="J455" s="12" t="str">
        <f aca="false">IF(INDEX(選手一覧!$I$5:$I$2736,$F455)="","",INDEX(選手一覧!$I$5:$I$2736,$F455))</f>
        <v/>
      </c>
    </row>
    <row r="456" customFormat="false" ht="15" hidden="false" customHeight="false" outlineLevel="0" collapsed="false">
      <c r="A456" s="12" t="n">
        <v>453</v>
      </c>
      <c r="B456" s="8" t="s">
        <v>1700</v>
      </c>
      <c r="C456" s="8" t="s">
        <v>853</v>
      </c>
      <c r="D456" s="11" t="n">
        <v>0.00710462962962963</v>
      </c>
      <c r="E456" s="39" t="n">
        <f aca="false">ROUND((D456-$D$5)*86400,2)</f>
        <v>74.82</v>
      </c>
      <c r="F456" s="12" t="n">
        <v>1053</v>
      </c>
      <c r="G456" s="11" t="n">
        <f aca="false">IF(INDEX(選手一覧!$D$5:$D$2736,$F456)="","",INDEX(選手一覧!$D$5:$D$2736,$F456))</f>
        <v>0.0109790509259259</v>
      </c>
      <c r="H456" s="12" t="n">
        <f aca="false">IF(INDEX(選手一覧!$E$5:$E$2736,$F456)="","",INDEX(選手一覧!$E$5:$E$2736,$F456))</f>
        <v>1054</v>
      </c>
      <c r="I456" s="11" t="str">
        <f aca="false">IF(INDEX(選手一覧!$H$5:$H$2736,$F456)="","",INDEX(選手一覧!$H$5:$H$2736,$F456))</f>
        <v/>
      </c>
      <c r="J456" s="12" t="str">
        <f aca="false">IF(INDEX(選手一覧!$I$5:$I$2736,$F456)="","",INDEX(選手一覧!$I$5:$I$2736,$F456))</f>
        <v/>
      </c>
    </row>
    <row r="457" customFormat="false" ht="15" hidden="false" customHeight="false" outlineLevel="0" collapsed="false">
      <c r="A457" s="12" t="n">
        <v>454</v>
      </c>
      <c r="B457" s="8" t="s">
        <v>1611</v>
      </c>
      <c r="C457" s="8" t="s">
        <v>96</v>
      </c>
      <c r="D457" s="11" t="n">
        <v>0.00710578703703704</v>
      </c>
      <c r="E457" s="39" t="n">
        <f aca="false">ROUND((D457-$D$5)*86400,2)</f>
        <v>74.92</v>
      </c>
      <c r="F457" s="12" t="n">
        <v>993</v>
      </c>
      <c r="G457" s="11" t="n">
        <f aca="false">IF(INDEX(選手一覧!$D$5:$D$2736,$F457)="","",INDEX(選手一覧!$D$5:$D$2736,$F457))</f>
        <v>0.0109481481481482</v>
      </c>
      <c r="H457" s="12" t="n">
        <f aca="false">IF(INDEX(選手一覧!$E$5:$E$2736,$F457)="","",INDEX(選手一覧!$E$5:$E$2736,$F457))</f>
        <v>994</v>
      </c>
      <c r="I457" s="11" t="str">
        <f aca="false">IF(INDEX(選手一覧!$H$5:$H$2736,$F457)="","",INDEX(選手一覧!$H$5:$H$2736,$F457))</f>
        <v/>
      </c>
      <c r="J457" s="12" t="str">
        <f aca="false">IF(INDEX(選手一覧!$I$5:$I$2736,$F457)="","",INDEX(選手一覧!$I$5:$I$2736,$F457))</f>
        <v/>
      </c>
    </row>
    <row r="458" customFormat="false" ht="15" hidden="false" customHeight="false" outlineLevel="0" collapsed="false">
      <c r="A458" s="12" t="n">
        <v>455</v>
      </c>
      <c r="B458" s="8" t="s">
        <v>1548</v>
      </c>
      <c r="C458" s="8" t="s">
        <v>363</v>
      </c>
      <c r="D458" s="11" t="n">
        <v>0.00710694444444444</v>
      </c>
      <c r="E458" s="39" t="n">
        <f aca="false">ROUND((D458-$D$5)*86400,2)</f>
        <v>75.02</v>
      </c>
      <c r="F458" s="12" t="n">
        <v>950</v>
      </c>
      <c r="G458" s="11" t="n">
        <f aca="false">IF(INDEX(選手一覧!$D$5:$D$2736,$F458)="","",INDEX(選手一覧!$D$5:$D$2736,$F458))</f>
        <v>0.0109208333333333</v>
      </c>
      <c r="H458" s="12" t="n">
        <f aca="false">IF(INDEX(選手一覧!$E$5:$E$2736,$F458)="","",INDEX(選手一覧!$E$5:$E$2736,$F458))</f>
        <v>951</v>
      </c>
      <c r="I458" s="11" t="str">
        <f aca="false">IF(INDEX(選手一覧!$H$5:$H$2736,$F458)="","",INDEX(選手一覧!$H$5:$H$2736,$F458))</f>
        <v/>
      </c>
      <c r="J458" s="12" t="str">
        <f aca="false">IF(INDEX(選手一覧!$I$5:$I$2736,$F458)="","",INDEX(選手一覧!$I$5:$I$2736,$F458))</f>
        <v/>
      </c>
    </row>
    <row r="459" customFormat="false" ht="15" hidden="false" customHeight="false" outlineLevel="0" collapsed="false">
      <c r="A459" s="12" t="n">
        <v>456</v>
      </c>
      <c r="B459" s="8" t="s">
        <v>1210</v>
      </c>
      <c r="C459" s="8" t="s">
        <v>1211</v>
      </c>
      <c r="D459" s="11" t="n">
        <v>0.00711053240740741</v>
      </c>
      <c r="E459" s="39" t="n">
        <f aca="false">ROUND((D459-$D$5)*86400,2)</f>
        <v>75.33</v>
      </c>
      <c r="F459" s="12" t="n">
        <v>724</v>
      </c>
      <c r="G459" s="11" t="n">
        <f aca="false">IF(INDEX(選手一覧!$D$5:$D$2736,$F459)="","",INDEX(選手一覧!$D$5:$D$2736,$F459))</f>
        <v>0.0107909722222222</v>
      </c>
      <c r="H459" s="12" t="n">
        <f aca="false">IF(INDEX(選手一覧!$E$5:$E$2736,$F459)="","",INDEX(選手一覧!$E$5:$E$2736,$F459))</f>
        <v>725</v>
      </c>
      <c r="I459" s="11" t="n">
        <f aca="false">IF(INDEX(選手一覧!$H$5:$H$2736,$F459)="","",INDEX(選手一覧!$H$5:$H$2736,$F459))</f>
        <v>0.00284861111111111</v>
      </c>
      <c r="J459" s="12" t="n">
        <f aca="false">IF(INDEX(選手一覧!$I$5:$I$2736,$F459)="","",INDEX(選手一覧!$I$5:$I$2736,$F459))</f>
        <v>558</v>
      </c>
    </row>
    <row r="460" customFormat="false" ht="15" hidden="false" customHeight="false" outlineLevel="0" collapsed="false">
      <c r="A460" s="12" t="n">
        <v>457</v>
      </c>
      <c r="B460" s="8" t="s">
        <v>713</v>
      </c>
      <c r="C460" s="8" t="s">
        <v>496</v>
      </c>
      <c r="D460" s="11" t="n">
        <v>0.0071125</v>
      </c>
      <c r="E460" s="39" t="n">
        <f aca="false">ROUND((D460-$D$5)*86400,2)</f>
        <v>75.5</v>
      </c>
      <c r="F460" s="12" t="n">
        <v>399</v>
      </c>
      <c r="G460" s="11" t="n">
        <f aca="false">IF(INDEX(選手一覧!$D$5:$D$2736,$F460)="","",INDEX(選手一覧!$D$5:$D$2736,$F460))</f>
        <v>0.0105509259259259</v>
      </c>
      <c r="H460" s="12" t="n">
        <f aca="false">IF(INDEX(選手一覧!$E$5:$E$2736,$F460)="","",INDEX(選手一覧!$E$5:$E$2736,$F460))</f>
        <v>400</v>
      </c>
      <c r="I460" s="11" t="str">
        <f aca="false">IF(INDEX(選手一覧!$H$5:$H$2736,$F460)="","",INDEX(選手一覧!$H$5:$H$2736,$F460))</f>
        <v/>
      </c>
      <c r="J460" s="12" t="str">
        <f aca="false">IF(INDEX(選手一覧!$I$5:$I$2736,$F460)="","",INDEX(選手一覧!$I$5:$I$2736,$F460))</f>
        <v/>
      </c>
    </row>
    <row r="461" customFormat="false" ht="15" hidden="false" customHeight="false" outlineLevel="0" collapsed="false">
      <c r="A461" s="12" t="n">
        <v>458</v>
      </c>
      <c r="B461" s="8" t="s">
        <v>2420</v>
      </c>
      <c r="C461" s="8" t="s">
        <v>2421</v>
      </c>
      <c r="D461" s="11" t="n">
        <v>0.00711354166666667</v>
      </c>
      <c r="E461" s="39" t="n">
        <f aca="false">ROUND((D461-$D$5)*86400,2)</f>
        <v>75.59</v>
      </c>
      <c r="F461" s="12" t="n">
        <v>1551</v>
      </c>
      <c r="G461" s="11" t="str">
        <f aca="false">IF(INDEX(選手一覧!$D$5:$D$2736,$F461)="","",INDEX(選手一覧!$D$5:$D$2736,$F461))</f>
        <v/>
      </c>
      <c r="H461" s="12" t="str">
        <f aca="false">IF(INDEX(選手一覧!$E$5:$E$2736,$F461)="","",INDEX(選手一覧!$E$5:$E$2736,$F461))</f>
        <v/>
      </c>
      <c r="I461" s="11" t="str">
        <f aca="false">IF(INDEX(選手一覧!$H$5:$H$2736,$F461)="","",INDEX(選手一覧!$H$5:$H$2736,$F461))</f>
        <v/>
      </c>
      <c r="J461" s="12" t="str">
        <f aca="false">IF(INDEX(選手一覧!$I$5:$I$2736,$F461)="","",INDEX(選手一覧!$I$5:$I$2736,$F461))</f>
        <v/>
      </c>
    </row>
    <row r="462" customFormat="false" ht="15" hidden="false" customHeight="false" outlineLevel="0" collapsed="false">
      <c r="A462" s="12" t="n">
        <v>459</v>
      </c>
      <c r="B462" s="8" t="s">
        <v>2422</v>
      </c>
      <c r="C462" s="8" t="s">
        <v>2423</v>
      </c>
      <c r="D462" s="11" t="n">
        <v>0.00711597222222222</v>
      </c>
      <c r="E462" s="39" t="n">
        <f aca="false">ROUND((D462-$D$5)*86400,2)</f>
        <v>75.8</v>
      </c>
      <c r="F462" s="12" t="n">
        <v>1552</v>
      </c>
      <c r="G462" s="11" t="str">
        <f aca="false">IF(INDEX(選手一覧!$D$5:$D$2736,$F462)="","",INDEX(選手一覧!$D$5:$D$2736,$F462))</f>
        <v/>
      </c>
      <c r="H462" s="12" t="str">
        <f aca="false">IF(INDEX(選手一覧!$E$5:$E$2736,$F462)="","",INDEX(選手一覧!$E$5:$E$2736,$F462))</f>
        <v/>
      </c>
      <c r="I462" s="11" t="str">
        <f aca="false">IF(INDEX(選手一覧!$H$5:$H$2736,$F462)="","",INDEX(選手一覧!$H$5:$H$2736,$F462))</f>
        <v/>
      </c>
      <c r="J462" s="12" t="str">
        <f aca="false">IF(INDEX(選手一覧!$I$5:$I$2736,$F462)="","",INDEX(選手一覧!$I$5:$I$2736,$F462))</f>
        <v/>
      </c>
    </row>
    <row r="463" customFormat="false" ht="15" hidden="false" customHeight="false" outlineLevel="0" collapsed="false">
      <c r="A463" s="12" t="n">
        <v>460</v>
      </c>
      <c r="B463" s="8" t="s">
        <v>1146</v>
      </c>
      <c r="C463" s="8" t="s">
        <v>1147</v>
      </c>
      <c r="D463" s="11" t="n">
        <v>0.00711643518518519</v>
      </c>
      <c r="E463" s="39" t="n">
        <f aca="false">ROUND((D463-$D$5)*86400,2)</f>
        <v>75.84</v>
      </c>
      <c r="F463" s="12" t="n">
        <v>683</v>
      </c>
      <c r="G463" s="11" t="n">
        <f aca="false">IF(INDEX(選手一覧!$D$5:$D$2736,$F463)="","",INDEX(選手一覧!$D$5:$D$2736,$F463))</f>
        <v>0.0107622685185185</v>
      </c>
      <c r="H463" s="12" t="n">
        <f aca="false">IF(INDEX(選手一覧!$E$5:$E$2736,$F463)="","",INDEX(選手一覧!$E$5:$E$2736,$F463))</f>
        <v>684</v>
      </c>
      <c r="I463" s="11" t="n">
        <f aca="false">IF(INDEX(選手一覧!$H$5:$H$2736,$F463)="","",INDEX(選手一覧!$H$5:$H$2736,$F463))</f>
        <v>0.00296215277777778</v>
      </c>
      <c r="J463" s="12" t="n">
        <f aca="false">IF(INDEX(選手一覧!$I$5:$I$2736,$F463)="","",INDEX(選手一覧!$I$5:$I$2736,$F463))</f>
        <v>1278</v>
      </c>
    </row>
    <row r="464" customFormat="false" ht="15" hidden="false" customHeight="false" outlineLevel="0" collapsed="false">
      <c r="A464" s="12" t="n">
        <v>461</v>
      </c>
      <c r="B464" s="8" t="s">
        <v>2424</v>
      </c>
      <c r="C464" s="8" t="s">
        <v>1205</v>
      </c>
      <c r="D464" s="11" t="n">
        <v>0.00711643518518519</v>
      </c>
      <c r="E464" s="39" t="n">
        <f aca="false">ROUND((D464-$D$5)*86400,2)</f>
        <v>75.84</v>
      </c>
      <c r="F464" s="12" t="n">
        <v>1553</v>
      </c>
      <c r="G464" s="11" t="str">
        <f aca="false">IF(INDEX(選手一覧!$D$5:$D$2736,$F464)="","",INDEX(選手一覧!$D$5:$D$2736,$F464))</f>
        <v/>
      </c>
      <c r="H464" s="12" t="str">
        <f aca="false">IF(INDEX(選手一覧!$E$5:$E$2736,$F464)="","",INDEX(選手一覧!$E$5:$E$2736,$F464))</f>
        <v/>
      </c>
      <c r="I464" s="11" t="n">
        <f aca="false">IF(INDEX(選手一覧!$H$5:$H$2736,$F464)="","",INDEX(選手一覧!$H$5:$H$2736,$F464))</f>
        <v>0.00290520833333333</v>
      </c>
      <c r="J464" s="12" t="n">
        <f aca="false">IF(INDEX(選手一覧!$I$5:$I$2736,$F464)="","",INDEX(選手一覧!$I$5:$I$2736,$F464))</f>
        <v>984</v>
      </c>
    </row>
    <row r="465" customFormat="false" ht="15" hidden="false" customHeight="false" outlineLevel="0" collapsed="false">
      <c r="A465" s="12" t="n">
        <v>462</v>
      </c>
      <c r="B465" s="8" t="s">
        <v>2425</v>
      </c>
      <c r="C465" s="8" t="s">
        <v>2426</v>
      </c>
      <c r="D465" s="11" t="n">
        <v>0.00711678240740741</v>
      </c>
      <c r="E465" s="39" t="n">
        <f aca="false">ROUND((D465-$D$5)*86400,2)</f>
        <v>75.87</v>
      </c>
      <c r="F465" s="12" t="n">
        <v>1554</v>
      </c>
      <c r="G465" s="11" t="str">
        <f aca="false">IF(INDEX(選手一覧!$D$5:$D$2736,$F465)="","",INDEX(選手一覧!$D$5:$D$2736,$F465))</f>
        <v/>
      </c>
      <c r="H465" s="12" t="str">
        <f aca="false">IF(INDEX(選手一覧!$E$5:$E$2736,$F465)="","",INDEX(選手一覧!$E$5:$E$2736,$F465))</f>
        <v/>
      </c>
      <c r="I465" s="11" t="str">
        <f aca="false">IF(INDEX(選手一覧!$H$5:$H$2736,$F465)="","",INDEX(選手一覧!$H$5:$H$2736,$F465))</f>
        <v/>
      </c>
      <c r="J465" s="12" t="str">
        <f aca="false">IF(INDEX(選手一覧!$I$5:$I$2736,$F465)="","",INDEX(選手一覧!$I$5:$I$2736,$F465))</f>
        <v/>
      </c>
    </row>
    <row r="466" customFormat="false" ht="15" hidden="false" customHeight="false" outlineLevel="0" collapsed="false">
      <c r="A466" s="12" t="n">
        <v>463</v>
      </c>
      <c r="B466" s="8" t="s">
        <v>2266</v>
      </c>
      <c r="C466" s="8" t="s">
        <v>309</v>
      </c>
      <c r="D466" s="11" t="n">
        <v>0.00711736111111111</v>
      </c>
      <c r="E466" s="39" t="n">
        <f aca="false">ROUND((D466-$D$5)*86400,2)</f>
        <v>75.92</v>
      </c>
      <c r="F466" s="12" t="n">
        <v>1446</v>
      </c>
      <c r="G466" s="11" t="str">
        <f aca="false">IF(INDEX(選手一覧!$D$5:$D$2736,$F466)="","",INDEX(選手一覧!$D$5:$D$2736,$F466))</f>
        <v/>
      </c>
      <c r="H466" s="12" t="str">
        <f aca="false">IF(INDEX(選手一覧!$E$5:$E$2736,$F466)="","",INDEX(選手一覧!$E$5:$E$2736,$F466))</f>
        <v/>
      </c>
      <c r="I466" s="11" t="n">
        <f aca="false">IF(INDEX(選手一覧!$H$5:$H$2736,$F466)="","",INDEX(選手一覧!$H$5:$H$2736,$F466))</f>
        <v>0.00281493055555556</v>
      </c>
      <c r="J466" s="12" t="n">
        <f aca="false">IF(INDEX(選手一覧!$I$5:$I$2736,$F466)="","",INDEX(選手一覧!$I$5:$I$2736,$F466))</f>
        <v>343</v>
      </c>
    </row>
    <row r="467" customFormat="false" ht="15" hidden="false" customHeight="false" outlineLevel="0" collapsed="false">
      <c r="A467" s="12" t="n">
        <v>464</v>
      </c>
      <c r="B467" s="8" t="s">
        <v>1326</v>
      </c>
      <c r="C467" s="8" t="s">
        <v>1327</v>
      </c>
      <c r="D467" s="11" t="n">
        <v>0.00711782407407407</v>
      </c>
      <c r="E467" s="39" t="n">
        <f aca="false">ROUND((D467-$D$5)*86400,2)</f>
        <v>75.96</v>
      </c>
      <c r="F467" s="12" t="n">
        <v>804</v>
      </c>
      <c r="G467" s="11" t="n">
        <f aca="false">IF(INDEX(選手一覧!$D$5:$D$2736,$F467)="","",INDEX(選手一覧!$D$5:$D$2736,$F467))</f>
        <v>0.0108373842592593</v>
      </c>
      <c r="H467" s="12" t="n">
        <f aca="false">IF(INDEX(選手一覧!$E$5:$E$2736,$F467)="","",INDEX(選手一覧!$E$5:$E$2736,$F467))</f>
        <v>805</v>
      </c>
      <c r="I467" s="11" t="n">
        <f aca="false">IF(INDEX(選手一覧!$H$5:$H$2736,$F467)="","",INDEX(選手一覧!$H$5:$H$2736,$F467))</f>
        <v>0.002925</v>
      </c>
      <c r="J467" s="12" t="n">
        <f aca="false">IF(INDEX(選手一覧!$I$5:$I$2736,$F467)="","",INDEX(選手一覧!$I$5:$I$2736,$F467))</f>
        <v>1149</v>
      </c>
    </row>
    <row r="468" customFormat="false" ht="15" hidden="false" customHeight="false" outlineLevel="0" collapsed="false">
      <c r="A468" s="12" t="n">
        <v>465</v>
      </c>
      <c r="B468" s="8" t="s">
        <v>1119</v>
      </c>
      <c r="C468" s="8" t="s">
        <v>1120</v>
      </c>
      <c r="D468" s="11" t="n">
        <v>0.00711990740740741</v>
      </c>
      <c r="E468" s="39" t="n">
        <f aca="false">ROUND((D468-$D$5)*86400,2)</f>
        <v>76.14</v>
      </c>
      <c r="F468" s="12" t="n">
        <v>667</v>
      </c>
      <c r="G468" s="11" t="n">
        <f aca="false">IF(INDEX(選手一覧!$D$5:$D$2736,$F468)="","",INDEX(選手一覧!$D$5:$D$2736,$F468))</f>
        <v>0.0107510416666667</v>
      </c>
      <c r="H468" s="12" t="n">
        <f aca="false">IF(INDEX(選手一覧!$E$5:$E$2736,$F468)="","",INDEX(選手一覧!$E$5:$E$2736,$F468))</f>
        <v>668</v>
      </c>
      <c r="I468" s="11" t="n">
        <f aca="false">IF(INDEX(選手一覧!$H$5:$H$2736,$F468)="","",INDEX(選手一覧!$H$5:$H$2736,$F468))</f>
        <v>0.00285555555555556</v>
      </c>
      <c r="J468" s="12" t="n">
        <f aca="false">IF(INDEX(選手一覧!$I$5:$I$2736,$F468)="","",INDEX(選手一覧!$I$5:$I$2736,$F468))</f>
        <v>600</v>
      </c>
    </row>
    <row r="469" customFormat="false" ht="15" hidden="false" customHeight="false" outlineLevel="0" collapsed="false">
      <c r="A469" s="12" t="n">
        <v>466</v>
      </c>
      <c r="B469" s="8" t="s">
        <v>2429</v>
      </c>
      <c r="C469" s="8" t="s">
        <v>2430</v>
      </c>
      <c r="D469" s="11" t="n">
        <v>0.00712094907407407</v>
      </c>
      <c r="E469" s="39" t="n">
        <f aca="false">ROUND((D469-$D$5)*86400,2)</f>
        <v>76.23</v>
      </c>
      <c r="F469" s="12" t="n">
        <v>1556</v>
      </c>
      <c r="G469" s="11" t="str">
        <f aca="false">IF(INDEX(選手一覧!$D$5:$D$2736,$F469)="","",INDEX(選手一覧!$D$5:$D$2736,$F469))</f>
        <v/>
      </c>
      <c r="H469" s="12" t="str">
        <f aca="false">IF(INDEX(選手一覧!$E$5:$E$2736,$F469)="","",INDEX(選手一覧!$E$5:$E$2736,$F469))</f>
        <v/>
      </c>
      <c r="I469" s="11" t="str">
        <f aca="false">IF(INDEX(選手一覧!$H$5:$H$2736,$F469)="","",INDEX(選手一覧!$H$5:$H$2736,$F469))</f>
        <v/>
      </c>
      <c r="J469" s="12" t="str">
        <f aca="false">IF(INDEX(選手一覧!$I$5:$I$2736,$F469)="","",INDEX(選手一覧!$I$5:$I$2736,$F469))</f>
        <v/>
      </c>
    </row>
    <row r="470" customFormat="false" ht="15" hidden="false" customHeight="false" outlineLevel="0" collapsed="false">
      <c r="A470" s="12" t="n">
        <v>467</v>
      </c>
      <c r="B470" s="8" t="s">
        <v>2431</v>
      </c>
      <c r="C470" s="8" t="s">
        <v>2432</v>
      </c>
      <c r="D470" s="11" t="n">
        <v>0.0071224537037037</v>
      </c>
      <c r="E470" s="39" t="n">
        <f aca="false">ROUND((D470-$D$5)*86400,2)</f>
        <v>76.36</v>
      </c>
      <c r="F470" s="12" t="n">
        <v>1557</v>
      </c>
      <c r="G470" s="11" t="str">
        <f aca="false">IF(INDEX(選手一覧!$D$5:$D$2736,$F470)="","",INDEX(選手一覧!$D$5:$D$2736,$F470))</f>
        <v/>
      </c>
      <c r="H470" s="12" t="str">
        <f aca="false">IF(INDEX(選手一覧!$E$5:$E$2736,$F470)="","",INDEX(選手一覧!$E$5:$E$2736,$F470))</f>
        <v/>
      </c>
      <c r="I470" s="11" t="str">
        <f aca="false">IF(INDEX(選手一覧!$H$5:$H$2736,$F470)="","",INDEX(選手一覧!$H$5:$H$2736,$F470))</f>
        <v/>
      </c>
      <c r="J470" s="12" t="str">
        <f aca="false">IF(INDEX(選手一覧!$I$5:$I$2736,$F470)="","",INDEX(選手一覧!$I$5:$I$2736,$F470))</f>
        <v/>
      </c>
    </row>
    <row r="471" customFormat="false" ht="15" hidden="false" customHeight="false" outlineLevel="0" collapsed="false">
      <c r="A471" s="12" t="n">
        <v>468</v>
      </c>
      <c r="B471" s="8" t="s">
        <v>2435</v>
      </c>
      <c r="C471" s="8" t="s">
        <v>2436</v>
      </c>
      <c r="D471" s="11" t="n">
        <v>0.00712291666666667</v>
      </c>
      <c r="E471" s="39" t="n">
        <f aca="false">ROUND((D471-$D$5)*86400,2)</f>
        <v>76.4</v>
      </c>
      <c r="F471" s="12" t="n">
        <v>1559</v>
      </c>
      <c r="G471" s="11" t="str">
        <f aca="false">IF(INDEX(選手一覧!$D$5:$D$2736,$F471)="","",INDEX(選手一覧!$D$5:$D$2736,$F471))</f>
        <v/>
      </c>
      <c r="H471" s="12" t="str">
        <f aca="false">IF(INDEX(選手一覧!$E$5:$E$2736,$F471)="","",INDEX(選手一覧!$E$5:$E$2736,$F471))</f>
        <v/>
      </c>
      <c r="I471" s="11" t="str">
        <f aca="false">IF(INDEX(選手一覧!$H$5:$H$2736,$F471)="","",INDEX(選手一覧!$H$5:$H$2736,$F471))</f>
        <v/>
      </c>
      <c r="J471" s="12" t="str">
        <f aca="false">IF(INDEX(選手一覧!$I$5:$I$2736,$F471)="","",INDEX(選手一覧!$I$5:$I$2736,$F471))</f>
        <v/>
      </c>
    </row>
    <row r="472" customFormat="false" ht="15" hidden="false" customHeight="false" outlineLevel="0" collapsed="false">
      <c r="A472" s="12" t="n">
        <v>469</v>
      </c>
      <c r="B472" s="8" t="s">
        <v>2437</v>
      </c>
      <c r="C472" s="8" t="s">
        <v>2438</v>
      </c>
      <c r="D472" s="11" t="n">
        <v>0.007125</v>
      </c>
      <c r="E472" s="39" t="n">
        <f aca="false">ROUND((D472-$D$5)*86400,2)</f>
        <v>76.58</v>
      </c>
      <c r="F472" s="12" t="n">
        <v>1560</v>
      </c>
      <c r="G472" s="11" t="str">
        <f aca="false">IF(INDEX(選手一覧!$D$5:$D$2736,$F472)="","",INDEX(選手一覧!$D$5:$D$2736,$F472))</f>
        <v/>
      </c>
      <c r="H472" s="12" t="str">
        <f aca="false">IF(INDEX(選手一覧!$E$5:$E$2736,$F472)="","",INDEX(選手一覧!$E$5:$E$2736,$F472))</f>
        <v/>
      </c>
      <c r="I472" s="11" t="n">
        <f aca="false">IF(INDEX(選手一覧!$H$5:$H$2736,$F472)="","",INDEX(選手一覧!$H$5:$H$2736,$F472))</f>
        <v>0.00294166666666667</v>
      </c>
      <c r="J472" s="12" t="n">
        <f aca="false">IF(INDEX(選手一覧!$I$5:$I$2736,$F472)="","",INDEX(選手一覧!$I$5:$I$2736,$F472))</f>
        <v>1207</v>
      </c>
    </row>
    <row r="473" customFormat="false" ht="15" hidden="false" customHeight="false" outlineLevel="0" collapsed="false">
      <c r="A473" s="12" t="n">
        <v>470</v>
      </c>
      <c r="B473" s="8" t="s">
        <v>2439</v>
      </c>
      <c r="C473" s="8" t="s">
        <v>857</v>
      </c>
      <c r="D473" s="11" t="n">
        <v>0.00712511574074074</v>
      </c>
      <c r="E473" s="39" t="n">
        <f aca="false">ROUND((D473-$D$5)*86400,2)</f>
        <v>76.59</v>
      </c>
      <c r="F473" s="12" t="n">
        <v>1561</v>
      </c>
      <c r="G473" s="11" t="str">
        <f aca="false">IF(INDEX(選手一覧!$D$5:$D$2736,$F473)="","",INDEX(選手一覧!$D$5:$D$2736,$F473))</f>
        <v/>
      </c>
      <c r="H473" s="12" t="str">
        <f aca="false">IF(INDEX(選手一覧!$E$5:$E$2736,$F473)="","",INDEX(選手一覧!$E$5:$E$2736,$F473))</f>
        <v/>
      </c>
      <c r="I473" s="11" t="str">
        <f aca="false">IF(INDEX(選手一覧!$H$5:$H$2736,$F473)="","",INDEX(選手一覧!$H$5:$H$2736,$F473))</f>
        <v/>
      </c>
      <c r="J473" s="12" t="str">
        <f aca="false">IF(INDEX(選手一覧!$I$5:$I$2736,$F473)="","",INDEX(選手一覧!$I$5:$I$2736,$F473))</f>
        <v/>
      </c>
    </row>
    <row r="474" customFormat="false" ht="15" hidden="false" customHeight="false" outlineLevel="0" collapsed="false">
      <c r="A474" s="12" t="n">
        <v>471</v>
      </c>
      <c r="B474" s="8" t="s">
        <v>2441</v>
      </c>
      <c r="C474" s="8" t="s">
        <v>290</v>
      </c>
      <c r="D474" s="11" t="n">
        <v>0.0071255787037037</v>
      </c>
      <c r="E474" s="39" t="n">
        <f aca="false">ROUND((D474-$D$5)*86400,2)</f>
        <v>76.63</v>
      </c>
      <c r="F474" s="12" t="n">
        <v>1562</v>
      </c>
      <c r="G474" s="11" t="str">
        <f aca="false">IF(INDEX(選手一覧!$D$5:$D$2736,$F474)="","",INDEX(選手一覧!$D$5:$D$2736,$F474))</f>
        <v/>
      </c>
      <c r="H474" s="12" t="str">
        <f aca="false">IF(INDEX(選手一覧!$E$5:$E$2736,$F474)="","",INDEX(選手一覧!$E$5:$E$2736,$F474))</f>
        <v/>
      </c>
      <c r="I474" s="11" t="str">
        <f aca="false">IF(INDEX(選手一覧!$H$5:$H$2736,$F474)="","",INDEX(選手一覧!$H$5:$H$2736,$F474))</f>
        <v/>
      </c>
      <c r="J474" s="12" t="str">
        <f aca="false">IF(INDEX(選手一覧!$I$5:$I$2736,$F474)="","",INDEX(選手一覧!$I$5:$I$2736,$F474))</f>
        <v/>
      </c>
    </row>
    <row r="475" customFormat="false" ht="15" hidden="false" customHeight="false" outlineLevel="0" collapsed="false">
      <c r="A475" s="12" t="n">
        <v>472</v>
      </c>
      <c r="B475" s="8" t="s">
        <v>2442</v>
      </c>
      <c r="C475" s="8" t="s">
        <v>2249</v>
      </c>
      <c r="D475" s="11" t="n">
        <v>0.00712685185185185</v>
      </c>
      <c r="E475" s="39" t="n">
        <f aca="false">ROUND((D475-$D$5)*86400,2)</f>
        <v>76.74</v>
      </c>
      <c r="F475" s="12" t="n">
        <v>1563</v>
      </c>
      <c r="G475" s="11" t="str">
        <f aca="false">IF(INDEX(選手一覧!$D$5:$D$2736,$F475)="","",INDEX(選手一覧!$D$5:$D$2736,$F475))</f>
        <v/>
      </c>
      <c r="H475" s="12" t="str">
        <f aca="false">IF(INDEX(選手一覧!$E$5:$E$2736,$F475)="","",INDEX(選手一覧!$E$5:$E$2736,$F475))</f>
        <v/>
      </c>
      <c r="I475" s="11" t="str">
        <f aca="false">IF(INDEX(選手一覧!$H$5:$H$2736,$F475)="","",INDEX(選手一覧!$H$5:$H$2736,$F475))</f>
        <v/>
      </c>
      <c r="J475" s="12" t="str">
        <f aca="false">IF(INDEX(選手一覧!$I$5:$I$2736,$F475)="","",INDEX(選手一覧!$I$5:$I$2736,$F475))</f>
        <v/>
      </c>
    </row>
    <row r="476" customFormat="false" ht="15" hidden="false" customHeight="false" outlineLevel="0" collapsed="false">
      <c r="A476" s="12" t="n">
        <v>473</v>
      </c>
      <c r="B476" s="8" t="s">
        <v>1706</v>
      </c>
      <c r="C476" s="8" t="s">
        <v>437</v>
      </c>
      <c r="D476" s="11" t="n">
        <v>0.00712893518518519</v>
      </c>
      <c r="E476" s="39" t="n">
        <f aca="false">ROUND((D476-$D$5)*86400,2)</f>
        <v>76.92</v>
      </c>
      <c r="F476" s="12" t="n">
        <v>1058</v>
      </c>
      <c r="G476" s="11" t="n">
        <f aca="false">IF(INDEX(選手一覧!$D$5:$D$2736,$F476)="","",INDEX(選手一覧!$D$5:$D$2736,$F476))</f>
        <v>0.0109811342592593</v>
      </c>
      <c r="H476" s="12" t="n">
        <f aca="false">IF(INDEX(選手一覧!$E$5:$E$2736,$F476)="","",INDEX(選手一覧!$E$5:$E$2736,$F476))</f>
        <v>1059</v>
      </c>
      <c r="I476" s="11" t="str">
        <f aca="false">IF(INDEX(選手一覧!$H$5:$H$2736,$F476)="","",INDEX(選手一覧!$H$5:$H$2736,$F476))</f>
        <v/>
      </c>
      <c r="J476" s="12" t="str">
        <f aca="false">IF(INDEX(選手一覧!$I$5:$I$2736,$F476)="","",INDEX(選手一覧!$I$5:$I$2736,$F476))</f>
        <v/>
      </c>
    </row>
    <row r="477" customFormat="false" ht="15" hidden="false" customHeight="false" outlineLevel="0" collapsed="false">
      <c r="A477" s="12" t="n">
        <v>474</v>
      </c>
      <c r="B477" s="8" t="s">
        <v>2444</v>
      </c>
      <c r="C477" s="8" t="s">
        <v>2445</v>
      </c>
      <c r="D477" s="11" t="n">
        <v>0.00713171296296296</v>
      </c>
      <c r="E477" s="39" t="n">
        <f aca="false">ROUND((D477-$D$5)*86400,2)</f>
        <v>77.16</v>
      </c>
      <c r="F477" s="12" t="n">
        <v>1565</v>
      </c>
      <c r="G477" s="11" t="str">
        <f aca="false">IF(INDEX(選手一覧!$D$5:$D$2736,$F477)="","",INDEX(選手一覧!$D$5:$D$2736,$F477))</f>
        <v/>
      </c>
      <c r="H477" s="12" t="str">
        <f aca="false">IF(INDEX(選手一覧!$E$5:$E$2736,$F477)="","",INDEX(選手一覧!$E$5:$E$2736,$F477))</f>
        <v/>
      </c>
      <c r="I477" s="11" t="str">
        <f aca="false">IF(INDEX(選手一覧!$H$5:$H$2736,$F477)="","",INDEX(選手一覧!$H$5:$H$2736,$F477))</f>
        <v/>
      </c>
      <c r="J477" s="12" t="str">
        <f aca="false">IF(INDEX(選手一覧!$I$5:$I$2736,$F477)="","",INDEX(選手一覧!$I$5:$I$2736,$F477))</f>
        <v/>
      </c>
    </row>
    <row r="478" customFormat="false" ht="15" hidden="false" customHeight="false" outlineLevel="0" collapsed="false">
      <c r="A478" s="12" t="n">
        <v>475</v>
      </c>
      <c r="B478" s="8" t="s">
        <v>813</v>
      </c>
      <c r="C478" s="8" t="s">
        <v>814</v>
      </c>
      <c r="D478" s="11" t="n">
        <v>0.00713217592592593</v>
      </c>
      <c r="E478" s="39" t="n">
        <f aca="false">ROUND((D478-$D$5)*86400,2)</f>
        <v>77.2</v>
      </c>
      <c r="F478" s="12" t="n">
        <v>463</v>
      </c>
      <c r="G478" s="11" t="n">
        <f aca="false">IF(INDEX(選手一覧!$D$5:$D$2736,$F478)="","",INDEX(選手一覧!$D$5:$D$2736,$F478))</f>
        <v>0.010600462962963</v>
      </c>
      <c r="H478" s="12" t="n">
        <f aca="false">IF(INDEX(選手一覧!$E$5:$E$2736,$F478)="","",INDEX(選手一覧!$E$5:$E$2736,$F478))</f>
        <v>464</v>
      </c>
      <c r="I478" s="11" t="n">
        <f aca="false">IF(INDEX(選手一覧!$H$5:$H$2736,$F478)="","",INDEX(選手一覧!$H$5:$H$2736,$F478))</f>
        <v>0.00287071759259259</v>
      </c>
      <c r="J478" s="12" t="n">
        <f aca="false">IF(INDEX(選手一覧!$I$5:$I$2736,$F478)="","",INDEX(選手一覧!$I$5:$I$2736,$F478))</f>
        <v>702</v>
      </c>
    </row>
    <row r="479" customFormat="false" ht="15" hidden="false" customHeight="false" outlineLevel="0" collapsed="false">
      <c r="A479" s="12" t="n">
        <v>476</v>
      </c>
      <c r="B479" s="8" t="s">
        <v>2446</v>
      </c>
      <c r="C479" s="8" t="s">
        <v>2447</v>
      </c>
      <c r="D479" s="11" t="n">
        <v>0.00713472222222222</v>
      </c>
      <c r="E479" s="39" t="n">
        <f aca="false">ROUND((D479-$D$5)*86400,2)</f>
        <v>77.42</v>
      </c>
      <c r="F479" s="12" t="n">
        <v>1566</v>
      </c>
      <c r="G479" s="11" t="str">
        <f aca="false">IF(INDEX(選手一覧!$D$5:$D$2736,$F479)="","",INDEX(選手一覧!$D$5:$D$2736,$F479))</f>
        <v/>
      </c>
      <c r="H479" s="12" t="str">
        <f aca="false">IF(INDEX(選手一覧!$E$5:$E$2736,$F479)="","",INDEX(選手一覧!$E$5:$E$2736,$F479))</f>
        <v/>
      </c>
      <c r="I479" s="11" t="str">
        <f aca="false">IF(INDEX(選手一覧!$H$5:$H$2736,$F479)="","",INDEX(選手一覧!$H$5:$H$2736,$F479))</f>
        <v/>
      </c>
      <c r="J479" s="12" t="str">
        <f aca="false">IF(INDEX(選手一覧!$I$5:$I$2736,$F479)="","",INDEX(選手一覧!$I$5:$I$2736,$F479))</f>
        <v/>
      </c>
    </row>
    <row r="480" customFormat="false" ht="15" hidden="false" customHeight="false" outlineLevel="0" collapsed="false">
      <c r="A480" s="12" t="n">
        <v>477</v>
      </c>
      <c r="B480" s="8" t="s">
        <v>2448</v>
      </c>
      <c r="C480" s="8" t="s">
        <v>735</v>
      </c>
      <c r="D480" s="11" t="n">
        <v>0.00713599537037037</v>
      </c>
      <c r="E480" s="39" t="n">
        <f aca="false">ROUND((D480-$D$5)*86400,2)</f>
        <v>77.53</v>
      </c>
      <c r="F480" s="12" t="n">
        <v>1567</v>
      </c>
      <c r="G480" s="11" t="str">
        <f aca="false">IF(INDEX(選手一覧!$D$5:$D$2736,$F480)="","",INDEX(選手一覧!$D$5:$D$2736,$F480))</f>
        <v/>
      </c>
      <c r="H480" s="12" t="str">
        <f aca="false">IF(INDEX(選手一覧!$E$5:$E$2736,$F480)="","",INDEX(選手一覧!$E$5:$E$2736,$F480))</f>
        <v/>
      </c>
      <c r="I480" s="11" t="str">
        <f aca="false">IF(INDEX(選手一覧!$H$5:$H$2736,$F480)="","",INDEX(選手一覧!$H$5:$H$2736,$F480))</f>
        <v/>
      </c>
      <c r="J480" s="12" t="str">
        <f aca="false">IF(INDEX(選手一覧!$I$5:$I$2736,$F480)="","",INDEX(選手一覧!$I$5:$I$2736,$F480))</f>
        <v/>
      </c>
    </row>
    <row r="481" customFormat="false" ht="15" hidden="false" customHeight="false" outlineLevel="0" collapsed="false">
      <c r="A481" s="12" t="n">
        <v>478</v>
      </c>
      <c r="B481" s="8" t="s">
        <v>2450</v>
      </c>
      <c r="C481" s="8" t="s">
        <v>582</v>
      </c>
      <c r="D481" s="11" t="n">
        <v>0.00713900462962963</v>
      </c>
      <c r="E481" s="39" t="n">
        <f aca="false">ROUND((D481-$D$5)*86400,2)</f>
        <v>77.79</v>
      </c>
      <c r="F481" s="12" t="n">
        <v>1569</v>
      </c>
      <c r="G481" s="11" t="str">
        <f aca="false">IF(INDEX(選手一覧!$D$5:$D$2736,$F481)="","",INDEX(選手一覧!$D$5:$D$2736,$F481))</f>
        <v/>
      </c>
      <c r="H481" s="12" t="str">
        <f aca="false">IF(INDEX(選手一覧!$E$5:$E$2736,$F481)="","",INDEX(選手一覧!$E$5:$E$2736,$F481))</f>
        <v/>
      </c>
      <c r="I481" s="11" t="str">
        <f aca="false">IF(INDEX(選手一覧!$H$5:$H$2736,$F481)="","",INDEX(選手一覧!$H$5:$H$2736,$F481))</f>
        <v/>
      </c>
      <c r="J481" s="12" t="str">
        <f aca="false">IF(INDEX(選手一覧!$I$5:$I$2736,$F481)="","",INDEX(選手一覧!$I$5:$I$2736,$F481))</f>
        <v/>
      </c>
    </row>
    <row r="482" customFormat="false" ht="15" hidden="false" customHeight="false" outlineLevel="0" collapsed="false">
      <c r="A482" s="12" t="n">
        <v>479</v>
      </c>
      <c r="B482" s="8" t="s">
        <v>2451</v>
      </c>
      <c r="C482" s="8" t="s">
        <v>456</v>
      </c>
      <c r="D482" s="11" t="n">
        <v>0.00713900462962963</v>
      </c>
      <c r="E482" s="39" t="n">
        <f aca="false">ROUND((D482-$D$5)*86400,2)</f>
        <v>77.79</v>
      </c>
      <c r="F482" s="12" t="n">
        <v>1570</v>
      </c>
      <c r="G482" s="11" t="str">
        <f aca="false">IF(INDEX(選手一覧!$D$5:$D$2736,$F482)="","",INDEX(選手一覧!$D$5:$D$2736,$F482))</f>
        <v/>
      </c>
      <c r="H482" s="12" t="str">
        <f aca="false">IF(INDEX(選手一覧!$E$5:$E$2736,$F482)="","",INDEX(選手一覧!$E$5:$E$2736,$F482))</f>
        <v/>
      </c>
      <c r="I482" s="11" t="str">
        <f aca="false">IF(INDEX(選手一覧!$H$5:$H$2736,$F482)="","",INDEX(選手一覧!$H$5:$H$2736,$F482))</f>
        <v/>
      </c>
      <c r="J482" s="12" t="str">
        <f aca="false">IF(INDEX(選手一覧!$I$5:$I$2736,$F482)="","",INDEX(選手一覧!$I$5:$I$2736,$F482))</f>
        <v/>
      </c>
    </row>
    <row r="483" customFormat="false" ht="15" hidden="false" customHeight="false" outlineLevel="0" collapsed="false">
      <c r="A483" s="12" t="n">
        <v>480</v>
      </c>
      <c r="B483" s="8" t="s">
        <v>2453</v>
      </c>
      <c r="C483" s="8" t="s">
        <v>2454</v>
      </c>
      <c r="D483" s="11" t="n">
        <v>0.00713969907407407</v>
      </c>
      <c r="E483" s="39" t="n">
        <f aca="false">ROUND((D483-$D$5)*86400,2)</f>
        <v>77.85</v>
      </c>
      <c r="F483" s="12" t="n">
        <v>1571</v>
      </c>
      <c r="G483" s="11" t="str">
        <f aca="false">IF(INDEX(選手一覧!$D$5:$D$2736,$F483)="","",INDEX(選手一覧!$D$5:$D$2736,$F483))</f>
        <v/>
      </c>
      <c r="H483" s="12" t="str">
        <f aca="false">IF(INDEX(選手一覧!$E$5:$E$2736,$F483)="","",INDEX(選手一覧!$E$5:$E$2736,$F483))</f>
        <v/>
      </c>
      <c r="I483" s="11" t="str">
        <f aca="false">IF(INDEX(選手一覧!$H$5:$H$2736,$F483)="","",INDEX(選手一覧!$H$5:$H$2736,$F483))</f>
        <v/>
      </c>
      <c r="J483" s="12" t="str">
        <f aca="false">IF(INDEX(選手一覧!$I$5:$I$2736,$F483)="","",INDEX(選手一覧!$I$5:$I$2736,$F483))</f>
        <v/>
      </c>
    </row>
    <row r="484" customFormat="false" ht="15" hidden="false" customHeight="false" outlineLevel="0" collapsed="false">
      <c r="A484" s="12" t="n">
        <v>481</v>
      </c>
      <c r="B484" s="8" t="s">
        <v>2456</v>
      </c>
      <c r="C484" s="8" t="s">
        <v>2457</v>
      </c>
      <c r="D484" s="11" t="n">
        <v>0.00713993055555556</v>
      </c>
      <c r="E484" s="39" t="n">
        <f aca="false">ROUND((D484-$D$5)*86400,2)</f>
        <v>77.87</v>
      </c>
      <c r="F484" s="12" t="n">
        <v>1573</v>
      </c>
      <c r="G484" s="11" t="str">
        <f aca="false">IF(INDEX(選手一覧!$D$5:$D$2736,$F484)="","",INDEX(選手一覧!$D$5:$D$2736,$F484))</f>
        <v/>
      </c>
      <c r="H484" s="12" t="str">
        <f aca="false">IF(INDEX(選手一覧!$E$5:$E$2736,$F484)="","",INDEX(選手一覧!$E$5:$E$2736,$F484))</f>
        <v/>
      </c>
      <c r="I484" s="11" t="str">
        <f aca="false">IF(INDEX(選手一覧!$H$5:$H$2736,$F484)="","",INDEX(選手一覧!$H$5:$H$2736,$F484))</f>
        <v/>
      </c>
      <c r="J484" s="12" t="str">
        <f aca="false">IF(INDEX(選手一覧!$I$5:$I$2736,$F484)="","",INDEX(選手一覧!$I$5:$I$2736,$F484))</f>
        <v/>
      </c>
    </row>
    <row r="485" customFormat="false" ht="15" hidden="false" customHeight="false" outlineLevel="0" collapsed="false">
      <c r="A485" s="12" t="n">
        <v>482</v>
      </c>
      <c r="B485" s="8" t="s">
        <v>2460</v>
      </c>
      <c r="C485" s="8" t="s">
        <v>188</v>
      </c>
      <c r="D485" s="11" t="n">
        <v>0.00714247685185185</v>
      </c>
      <c r="E485" s="39" t="n">
        <f aca="false">ROUND((D485-$D$5)*86400,2)</f>
        <v>78.09</v>
      </c>
      <c r="F485" s="12" t="n">
        <v>1575</v>
      </c>
      <c r="G485" s="11" t="str">
        <f aca="false">IF(INDEX(選手一覧!$D$5:$D$2736,$F485)="","",INDEX(選手一覧!$D$5:$D$2736,$F485))</f>
        <v/>
      </c>
      <c r="H485" s="12" t="str">
        <f aca="false">IF(INDEX(選手一覧!$E$5:$E$2736,$F485)="","",INDEX(選手一覧!$E$5:$E$2736,$F485))</f>
        <v/>
      </c>
      <c r="I485" s="11" t="str">
        <f aca="false">IF(INDEX(選手一覧!$H$5:$H$2736,$F485)="","",INDEX(選手一覧!$H$5:$H$2736,$F485))</f>
        <v/>
      </c>
      <c r="J485" s="12" t="str">
        <f aca="false">IF(INDEX(選手一覧!$I$5:$I$2736,$F485)="","",INDEX(選手一覧!$I$5:$I$2736,$F485))</f>
        <v/>
      </c>
    </row>
    <row r="486" customFormat="false" ht="15" hidden="false" customHeight="false" outlineLevel="0" collapsed="false">
      <c r="A486" s="12" t="n">
        <v>483</v>
      </c>
      <c r="B486" s="8" t="s">
        <v>2461</v>
      </c>
      <c r="C486" s="8" t="s">
        <v>2462</v>
      </c>
      <c r="D486" s="11" t="n">
        <v>0.00714467592592593</v>
      </c>
      <c r="E486" s="39" t="n">
        <f aca="false">ROUND((D486-$D$5)*86400,2)</f>
        <v>78.28</v>
      </c>
      <c r="F486" s="12" t="n">
        <v>1576</v>
      </c>
      <c r="G486" s="11" t="str">
        <f aca="false">IF(INDEX(選手一覧!$D$5:$D$2736,$F486)="","",INDEX(選手一覧!$D$5:$D$2736,$F486))</f>
        <v/>
      </c>
      <c r="H486" s="12" t="str">
        <f aca="false">IF(INDEX(選手一覧!$E$5:$E$2736,$F486)="","",INDEX(選手一覧!$E$5:$E$2736,$F486))</f>
        <v/>
      </c>
      <c r="I486" s="11" t="str">
        <f aca="false">IF(INDEX(選手一覧!$H$5:$H$2736,$F486)="","",INDEX(選手一覧!$H$5:$H$2736,$F486))</f>
        <v/>
      </c>
      <c r="J486" s="12" t="str">
        <f aca="false">IF(INDEX(選手一覧!$I$5:$I$2736,$F486)="","",INDEX(選手一覧!$I$5:$I$2736,$F486))</f>
        <v/>
      </c>
    </row>
    <row r="487" customFormat="false" ht="15" hidden="false" customHeight="false" outlineLevel="0" collapsed="false">
      <c r="A487" s="12" t="n">
        <v>484</v>
      </c>
      <c r="B487" s="8" t="s">
        <v>2463</v>
      </c>
      <c r="C487" s="8" t="s">
        <v>158</v>
      </c>
      <c r="D487" s="11" t="n">
        <v>0.0071474537037037</v>
      </c>
      <c r="E487" s="39" t="n">
        <f aca="false">ROUND((D487-$D$5)*86400,2)</f>
        <v>78.52</v>
      </c>
      <c r="F487" s="12" t="n">
        <v>1577</v>
      </c>
      <c r="G487" s="11" t="str">
        <f aca="false">IF(INDEX(選手一覧!$D$5:$D$2736,$F487)="","",INDEX(選手一覧!$D$5:$D$2736,$F487))</f>
        <v/>
      </c>
      <c r="H487" s="12" t="str">
        <f aca="false">IF(INDEX(選手一覧!$E$5:$E$2736,$F487)="","",INDEX(選手一覧!$E$5:$E$2736,$F487))</f>
        <v/>
      </c>
      <c r="I487" s="11" t="str">
        <f aca="false">IF(INDEX(選手一覧!$H$5:$H$2736,$F487)="","",INDEX(選手一覧!$H$5:$H$2736,$F487))</f>
        <v/>
      </c>
      <c r="J487" s="12" t="str">
        <f aca="false">IF(INDEX(選手一覧!$I$5:$I$2736,$F487)="","",INDEX(選手一覧!$I$5:$I$2736,$F487))</f>
        <v/>
      </c>
    </row>
    <row r="488" customFormat="false" ht="15" hidden="false" customHeight="false" outlineLevel="0" collapsed="false">
      <c r="A488" s="12" t="n">
        <v>485</v>
      </c>
      <c r="B488" s="8" t="s">
        <v>2466</v>
      </c>
      <c r="C488" s="8" t="s">
        <v>1402</v>
      </c>
      <c r="D488" s="11" t="n">
        <v>0.00714826388888889</v>
      </c>
      <c r="E488" s="39" t="n">
        <f aca="false">ROUND((D488-$D$5)*86400,2)</f>
        <v>78.59</v>
      </c>
      <c r="F488" s="12" t="n">
        <v>1579</v>
      </c>
      <c r="G488" s="11" t="str">
        <f aca="false">IF(INDEX(選手一覧!$D$5:$D$2736,$F488)="","",INDEX(選手一覧!$D$5:$D$2736,$F488))</f>
        <v/>
      </c>
      <c r="H488" s="12" t="str">
        <f aca="false">IF(INDEX(選手一覧!$E$5:$E$2736,$F488)="","",INDEX(選手一覧!$E$5:$E$2736,$F488))</f>
        <v/>
      </c>
      <c r="I488" s="11" t="str">
        <f aca="false">IF(INDEX(選手一覧!$H$5:$H$2736,$F488)="","",INDEX(選手一覧!$H$5:$H$2736,$F488))</f>
        <v/>
      </c>
      <c r="J488" s="12" t="str">
        <f aca="false">IF(INDEX(選手一覧!$I$5:$I$2736,$F488)="","",INDEX(選手一覧!$I$5:$I$2736,$F488))</f>
        <v/>
      </c>
    </row>
    <row r="489" customFormat="false" ht="15" hidden="false" customHeight="false" outlineLevel="0" collapsed="false">
      <c r="A489" s="12" t="n">
        <v>486</v>
      </c>
      <c r="B489" s="8" t="s">
        <v>2467</v>
      </c>
      <c r="C489" s="8" t="s">
        <v>188</v>
      </c>
      <c r="D489" s="11" t="n">
        <v>0.00714861111111111</v>
      </c>
      <c r="E489" s="39" t="n">
        <f aca="false">ROUND((D489-$D$5)*86400,2)</f>
        <v>78.62</v>
      </c>
      <c r="F489" s="12" t="n">
        <v>1580</v>
      </c>
      <c r="G489" s="11" t="str">
        <f aca="false">IF(INDEX(選手一覧!$D$5:$D$2736,$F489)="","",INDEX(選手一覧!$D$5:$D$2736,$F489))</f>
        <v/>
      </c>
      <c r="H489" s="12" t="str">
        <f aca="false">IF(INDEX(選手一覧!$E$5:$E$2736,$F489)="","",INDEX(選手一覧!$E$5:$E$2736,$F489))</f>
        <v/>
      </c>
      <c r="I489" s="11" t="str">
        <f aca="false">IF(INDEX(選手一覧!$H$5:$H$2736,$F489)="","",INDEX(選手一覧!$H$5:$H$2736,$F489))</f>
        <v/>
      </c>
      <c r="J489" s="12" t="str">
        <f aca="false">IF(INDEX(選手一覧!$I$5:$I$2736,$F489)="","",INDEX(選手一覧!$I$5:$I$2736,$F489))</f>
        <v/>
      </c>
    </row>
    <row r="490" customFormat="false" ht="15" hidden="false" customHeight="false" outlineLevel="0" collapsed="false">
      <c r="A490" s="12" t="n">
        <v>487</v>
      </c>
      <c r="B490" s="8" t="s">
        <v>2468</v>
      </c>
      <c r="C490" s="8" t="s">
        <v>266</v>
      </c>
      <c r="D490" s="11" t="n">
        <v>0.00714872685185185</v>
      </c>
      <c r="E490" s="39" t="n">
        <f aca="false">ROUND((D490-$D$5)*86400,2)</f>
        <v>78.63</v>
      </c>
      <c r="F490" s="12" t="n">
        <v>1581</v>
      </c>
      <c r="G490" s="11" t="str">
        <f aca="false">IF(INDEX(選手一覧!$D$5:$D$2736,$F490)="","",INDEX(選手一覧!$D$5:$D$2736,$F490))</f>
        <v/>
      </c>
      <c r="H490" s="12" t="str">
        <f aca="false">IF(INDEX(選手一覧!$E$5:$E$2736,$F490)="","",INDEX(選手一覧!$E$5:$E$2736,$F490))</f>
        <v/>
      </c>
      <c r="I490" s="11" t="str">
        <f aca="false">IF(INDEX(選手一覧!$H$5:$H$2736,$F490)="","",INDEX(選手一覧!$H$5:$H$2736,$F490))</f>
        <v/>
      </c>
      <c r="J490" s="12" t="str">
        <f aca="false">IF(INDEX(選手一覧!$I$5:$I$2736,$F490)="","",INDEX(選手一覧!$I$5:$I$2736,$F490))</f>
        <v/>
      </c>
    </row>
    <row r="491" customFormat="false" ht="15" hidden="false" customHeight="false" outlineLevel="0" collapsed="false">
      <c r="A491" s="12" t="n">
        <v>488</v>
      </c>
      <c r="B491" s="8" t="s">
        <v>2470</v>
      </c>
      <c r="C491" s="8" t="s">
        <v>2471</v>
      </c>
      <c r="D491" s="11" t="n">
        <v>0.00714895833333333</v>
      </c>
      <c r="E491" s="39" t="n">
        <f aca="false">ROUND((D491-$D$5)*86400,2)</f>
        <v>78.65</v>
      </c>
      <c r="F491" s="12" t="n">
        <v>1583</v>
      </c>
      <c r="G491" s="11" t="str">
        <f aca="false">IF(INDEX(選手一覧!$D$5:$D$2736,$F491)="","",INDEX(選手一覧!$D$5:$D$2736,$F491))</f>
        <v/>
      </c>
      <c r="H491" s="12" t="str">
        <f aca="false">IF(INDEX(選手一覧!$E$5:$E$2736,$F491)="","",INDEX(選手一覧!$E$5:$E$2736,$F491))</f>
        <v/>
      </c>
      <c r="I491" s="11" t="str">
        <f aca="false">IF(INDEX(選手一覧!$H$5:$H$2736,$F491)="","",INDEX(選手一覧!$H$5:$H$2736,$F491))</f>
        <v/>
      </c>
      <c r="J491" s="12" t="str">
        <f aca="false">IF(INDEX(選手一覧!$I$5:$I$2736,$F491)="","",INDEX(選手一覧!$I$5:$I$2736,$F491))</f>
        <v/>
      </c>
    </row>
    <row r="492" customFormat="false" ht="15" hidden="false" customHeight="false" outlineLevel="0" collapsed="false">
      <c r="A492" s="12" t="n">
        <v>489</v>
      </c>
      <c r="B492" s="8" t="s">
        <v>2474</v>
      </c>
      <c r="C492" s="8" t="s">
        <v>2475</v>
      </c>
      <c r="D492" s="11" t="n">
        <v>0.00715034722222222</v>
      </c>
      <c r="E492" s="39" t="n">
        <f aca="false">ROUND((D492-$D$5)*86400,2)</f>
        <v>78.77</v>
      </c>
      <c r="F492" s="12" t="n">
        <v>1585</v>
      </c>
      <c r="G492" s="11" t="str">
        <f aca="false">IF(INDEX(選手一覧!$D$5:$D$2736,$F492)="","",INDEX(選手一覧!$D$5:$D$2736,$F492))</f>
        <v/>
      </c>
      <c r="H492" s="12" t="str">
        <f aca="false">IF(INDEX(選手一覧!$E$5:$E$2736,$F492)="","",INDEX(選手一覧!$E$5:$E$2736,$F492))</f>
        <v/>
      </c>
      <c r="I492" s="11" t="str">
        <f aca="false">IF(INDEX(選手一覧!$H$5:$H$2736,$F492)="","",INDEX(選手一覧!$H$5:$H$2736,$F492))</f>
        <v/>
      </c>
      <c r="J492" s="12" t="str">
        <f aca="false">IF(INDEX(選手一覧!$I$5:$I$2736,$F492)="","",INDEX(選手一覧!$I$5:$I$2736,$F492))</f>
        <v/>
      </c>
    </row>
    <row r="493" customFormat="false" ht="15" hidden="false" customHeight="false" outlineLevel="0" collapsed="false">
      <c r="A493" s="12" t="n">
        <v>490</v>
      </c>
      <c r="B493" s="8" t="s">
        <v>2476</v>
      </c>
      <c r="C493" s="8" t="s">
        <v>2477</v>
      </c>
      <c r="D493" s="11" t="n">
        <v>0.00715335648148148</v>
      </c>
      <c r="E493" s="39" t="n">
        <f aca="false">ROUND((D493-$D$5)*86400,2)</f>
        <v>79.03</v>
      </c>
      <c r="F493" s="12" t="n">
        <v>1586</v>
      </c>
      <c r="G493" s="11" t="str">
        <f aca="false">IF(INDEX(選手一覧!$D$5:$D$2736,$F493)="","",INDEX(選手一覧!$D$5:$D$2736,$F493))</f>
        <v/>
      </c>
      <c r="H493" s="12" t="str">
        <f aca="false">IF(INDEX(選手一覧!$E$5:$E$2736,$F493)="","",INDEX(選手一覧!$E$5:$E$2736,$F493))</f>
        <v/>
      </c>
      <c r="I493" s="11" t="str">
        <f aca="false">IF(INDEX(選手一覧!$H$5:$H$2736,$F493)="","",INDEX(選手一覧!$H$5:$H$2736,$F493))</f>
        <v/>
      </c>
      <c r="J493" s="12" t="str">
        <f aca="false">IF(INDEX(選手一覧!$I$5:$I$2736,$F493)="","",INDEX(選手一覧!$I$5:$I$2736,$F493))</f>
        <v/>
      </c>
    </row>
    <row r="494" customFormat="false" ht="15" hidden="false" customHeight="false" outlineLevel="0" collapsed="false">
      <c r="A494" s="12" t="n">
        <v>491</v>
      </c>
      <c r="B494" s="8" t="s">
        <v>675</v>
      </c>
      <c r="C494" s="8" t="s">
        <v>525</v>
      </c>
      <c r="D494" s="11" t="n">
        <v>0.00715509259259259</v>
      </c>
      <c r="E494" s="39" t="n">
        <f aca="false">ROUND((D494-$D$5)*86400,2)</f>
        <v>79.18</v>
      </c>
      <c r="F494" s="12" t="n">
        <v>375</v>
      </c>
      <c r="G494" s="11" t="n">
        <f aca="false">IF(INDEX(選手一覧!$D$5:$D$2736,$F494)="","",INDEX(選手一覧!$D$5:$D$2736,$F494))</f>
        <v>0.0105346064814815</v>
      </c>
      <c r="H494" s="12" t="n">
        <f aca="false">IF(INDEX(選手一覧!$E$5:$E$2736,$F494)="","",INDEX(選手一覧!$E$5:$E$2736,$F494))</f>
        <v>376</v>
      </c>
      <c r="I494" s="11" t="n">
        <f aca="false">IF(INDEX(選手一覧!$H$5:$H$2736,$F494)="","",INDEX(選手一覧!$H$5:$H$2736,$F494))</f>
        <v>0.00291921296296296</v>
      </c>
      <c r="J494" s="12" t="n">
        <f aca="false">IF(INDEX(選手一覧!$I$5:$I$2736,$F494)="","",INDEX(選手一覧!$I$5:$I$2736,$F494))</f>
        <v>1085</v>
      </c>
    </row>
    <row r="495" customFormat="false" ht="15" hidden="false" customHeight="false" outlineLevel="0" collapsed="false">
      <c r="A495" s="12" t="n">
        <v>492</v>
      </c>
      <c r="B495" s="8" t="s">
        <v>2478</v>
      </c>
      <c r="C495" s="8" t="s">
        <v>2479</v>
      </c>
      <c r="D495" s="11" t="n">
        <v>0.00715613425925926</v>
      </c>
      <c r="E495" s="39" t="n">
        <f aca="false">ROUND((D495-$D$5)*86400,2)</f>
        <v>79.27</v>
      </c>
      <c r="F495" s="12" t="n">
        <v>1587</v>
      </c>
      <c r="G495" s="11" t="str">
        <f aca="false">IF(INDEX(選手一覧!$D$5:$D$2736,$F495)="","",INDEX(選手一覧!$D$5:$D$2736,$F495))</f>
        <v/>
      </c>
      <c r="H495" s="12" t="str">
        <f aca="false">IF(INDEX(選手一覧!$E$5:$E$2736,$F495)="","",INDEX(選手一覧!$E$5:$E$2736,$F495))</f>
        <v/>
      </c>
      <c r="I495" s="11" t="str">
        <f aca="false">IF(INDEX(選手一覧!$H$5:$H$2736,$F495)="","",INDEX(選手一覧!$H$5:$H$2736,$F495))</f>
        <v/>
      </c>
      <c r="J495" s="12" t="str">
        <f aca="false">IF(INDEX(選手一覧!$I$5:$I$2736,$F495)="","",INDEX(選手一覧!$I$5:$I$2736,$F495))</f>
        <v/>
      </c>
    </row>
    <row r="496" customFormat="false" ht="15" hidden="false" customHeight="false" outlineLevel="0" collapsed="false">
      <c r="A496" s="12" t="n">
        <v>493</v>
      </c>
      <c r="B496" s="8" t="s">
        <v>2480</v>
      </c>
      <c r="C496" s="8" t="s">
        <v>2481</v>
      </c>
      <c r="D496" s="11" t="n">
        <v>0.00715671296296296</v>
      </c>
      <c r="E496" s="39" t="n">
        <f aca="false">ROUND((D496-$D$5)*86400,2)</f>
        <v>79.32</v>
      </c>
      <c r="F496" s="12" t="n">
        <v>1588</v>
      </c>
      <c r="G496" s="11" t="str">
        <f aca="false">IF(INDEX(選手一覧!$D$5:$D$2736,$F496)="","",INDEX(選手一覧!$D$5:$D$2736,$F496))</f>
        <v/>
      </c>
      <c r="H496" s="12" t="str">
        <f aca="false">IF(INDEX(選手一覧!$E$5:$E$2736,$F496)="","",INDEX(選手一覧!$E$5:$E$2736,$F496))</f>
        <v/>
      </c>
      <c r="I496" s="11" t="str">
        <f aca="false">IF(INDEX(選手一覧!$H$5:$H$2736,$F496)="","",INDEX(選手一覧!$H$5:$H$2736,$F496))</f>
        <v/>
      </c>
      <c r="J496" s="12" t="str">
        <f aca="false">IF(INDEX(選手一覧!$I$5:$I$2736,$F496)="","",INDEX(選手一覧!$I$5:$I$2736,$F496))</f>
        <v/>
      </c>
    </row>
    <row r="497" customFormat="false" ht="15" hidden="false" customHeight="false" outlineLevel="0" collapsed="false">
      <c r="A497" s="12" t="n">
        <v>494</v>
      </c>
      <c r="B497" s="8" t="s">
        <v>1916</v>
      </c>
      <c r="C497" s="8" t="s">
        <v>537</v>
      </c>
      <c r="D497" s="11" t="n">
        <v>0.00715798611111111</v>
      </c>
      <c r="E497" s="39" t="n">
        <f aca="false">ROUND((D497-$D$5)*86400,2)</f>
        <v>79.43</v>
      </c>
      <c r="F497" s="12" t="n">
        <v>1202</v>
      </c>
      <c r="G497" s="11" t="n">
        <f aca="false">IF(INDEX(選手一覧!$D$5:$D$2736,$F497)="","",INDEX(選手一覧!$D$5:$D$2736,$F497))</f>
        <v>0.0110524305555556</v>
      </c>
      <c r="H497" s="12" t="n">
        <f aca="false">IF(INDEX(選手一覧!$E$5:$E$2736,$F497)="","",INDEX(選手一覧!$E$5:$E$2736,$F497))</f>
        <v>1203</v>
      </c>
      <c r="I497" s="11" t="n">
        <f aca="false">IF(INDEX(選手一覧!$H$5:$H$2736,$F497)="","",INDEX(選手一覧!$H$5:$H$2736,$F497))</f>
        <v>0.00292071759259259</v>
      </c>
      <c r="J497" s="12" t="n">
        <f aca="false">IF(INDEX(選手一覧!$I$5:$I$2736,$F497)="","",INDEX(選手一覧!$I$5:$I$2736,$F497))</f>
        <v>1107</v>
      </c>
    </row>
    <row r="498" customFormat="false" ht="15" hidden="false" customHeight="false" outlineLevel="0" collapsed="false">
      <c r="A498" s="12" t="n">
        <v>495</v>
      </c>
      <c r="B498" s="8" t="s">
        <v>1542</v>
      </c>
      <c r="C498" s="8" t="s">
        <v>1224</v>
      </c>
      <c r="D498" s="11" t="n">
        <v>0.00716053240740741</v>
      </c>
      <c r="E498" s="39" t="n">
        <f aca="false">ROUND((D498-$D$5)*86400,2)</f>
        <v>79.65</v>
      </c>
      <c r="F498" s="12" t="n">
        <v>946</v>
      </c>
      <c r="G498" s="11" t="n">
        <f aca="false">IF(INDEX(選手一覧!$D$5:$D$2736,$F498)="","",INDEX(選手一覧!$D$5:$D$2736,$F498))</f>
        <v>0.0109165509259259</v>
      </c>
      <c r="H498" s="12" t="n">
        <f aca="false">IF(INDEX(選手一覧!$E$5:$E$2736,$F498)="","",INDEX(選手一覧!$E$5:$E$2736,$F498))</f>
        <v>947</v>
      </c>
      <c r="I498" s="11" t="n">
        <f aca="false">IF(INDEX(選手一覧!$H$5:$H$2736,$F498)="","",INDEX(選手一覧!$H$5:$H$2736,$F498))</f>
        <v>0.00290625</v>
      </c>
      <c r="J498" s="12" t="n">
        <f aca="false">IF(INDEX(選手一覧!$I$5:$I$2736,$F498)="","",INDEX(選手一覧!$I$5:$I$2736,$F498))</f>
        <v>990</v>
      </c>
    </row>
    <row r="499" customFormat="false" ht="15" hidden="false" customHeight="false" outlineLevel="0" collapsed="false">
      <c r="A499" s="12" t="n">
        <v>496</v>
      </c>
      <c r="B499" s="8" t="s">
        <v>2482</v>
      </c>
      <c r="C499" s="8" t="s">
        <v>2483</v>
      </c>
      <c r="D499" s="11" t="n">
        <v>0.00716053240740741</v>
      </c>
      <c r="E499" s="39" t="n">
        <f aca="false">ROUND((D499-$D$5)*86400,2)</f>
        <v>79.65</v>
      </c>
      <c r="F499" s="12" t="n">
        <v>1589</v>
      </c>
      <c r="G499" s="11" t="str">
        <f aca="false">IF(INDEX(選手一覧!$D$5:$D$2736,$F499)="","",INDEX(選手一覧!$D$5:$D$2736,$F499))</f>
        <v/>
      </c>
      <c r="H499" s="12" t="str">
        <f aca="false">IF(INDEX(選手一覧!$E$5:$E$2736,$F499)="","",INDEX(選手一覧!$E$5:$E$2736,$F499))</f>
        <v/>
      </c>
      <c r="I499" s="11" t="str">
        <f aca="false">IF(INDEX(選手一覧!$H$5:$H$2736,$F499)="","",INDEX(選手一覧!$H$5:$H$2736,$F499))</f>
        <v/>
      </c>
      <c r="J499" s="12" t="str">
        <f aca="false">IF(INDEX(選手一覧!$I$5:$I$2736,$F499)="","",INDEX(選手一覧!$I$5:$I$2736,$F499))</f>
        <v/>
      </c>
    </row>
    <row r="500" customFormat="false" ht="15" hidden="false" customHeight="false" outlineLevel="0" collapsed="false">
      <c r="A500" s="12" t="n">
        <v>497</v>
      </c>
      <c r="B500" s="8" t="s">
        <v>1574</v>
      </c>
      <c r="C500" s="8" t="s">
        <v>750</v>
      </c>
      <c r="D500" s="11" t="n">
        <v>0.00716076388888889</v>
      </c>
      <c r="E500" s="39" t="n">
        <f aca="false">ROUND((D500-$D$5)*86400,2)</f>
        <v>79.67</v>
      </c>
      <c r="F500" s="12" t="n">
        <v>968</v>
      </c>
      <c r="G500" s="11" t="n">
        <f aca="false">IF(INDEX(選手一覧!$D$5:$D$2736,$F500)="","",INDEX(選手一覧!$D$5:$D$2736,$F500))</f>
        <v>0.0109320601851852</v>
      </c>
      <c r="H500" s="12" t="n">
        <f aca="false">IF(INDEX(選手一覧!$E$5:$E$2736,$F500)="","",INDEX(選手一覧!$E$5:$E$2736,$F500))</f>
        <v>969</v>
      </c>
      <c r="I500" s="11" t="str">
        <f aca="false">IF(INDEX(選手一覧!$H$5:$H$2736,$F500)="","",INDEX(選手一覧!$H$5:$H$2736,$F500))</f>
        <v/>
      </c>
      <c r="J500" s="12" t="str">
        <f aca="false">IF(INDEX(選手一覧!$I$5:$I$2736,$F500)="","",INDEX(選手一覧!$I$5:$I$2736,$F500))</f>
        <v/>
      </c>
    </row>
    <row r="501" customFormat="false" ht="15" hidden="false" customHeight="false" outlineLevel="0" collapsed="false">
      <c r="A501" s="12" t="n">
        <v>498</v>
      </c>
      <c r="B501" s="8" t="s">
        <v>2484</v>
      </c>
      <c r="C501" s="8" t="s">
        <v>1545</v>
      </c>
      <c r="D501" s="11" t="n">
        <v>0.0071630787037037</v>
      </c>
      <c r="E501" s="39" t="n">
        <f aca="false">ROUND((D501-$D$5)*86400,2)</f>
        <v>79.87</v>
      </c>
      <c r="F501" s="12" t="n">
        <v>1590</v>
      </c>
      <c r="G501" s="11" t="str">
        <f aca="false">IF(INDEX(選手一覧!$D$5:$D$2736,$F501)="","",INDEX(選手一覧!$D$5:$D$2736,$F501))</f>
        <v/>
      </c>
      <c r="H501" s="12" t="str">
        <f aca="false">IF(INDEX(選手一覧!$E$5:$E$2736,$F501)="","",INDEX(選手一覧!$E$5:$E$2736,$F501))</f>
        <v/>
      </c>
      <c r="I501" s="11" t="str">
        <f aca="false">IF(INDEX(選手一覧!$H$5:$H$2736,$F501)="","",INDEX(選手一覧!$H$5:$H$2736,$F501))</f>
        <v/>
      </c>
      <c r="J501" s="12" t="str">
        <f aca="false">IF(INDEX(選手一覧!$I$5:$I$2736,$F501)="","",INDEX(選手一覧!$I$5:$I$2736,$F501))</f>
        <v/>
      </c>
    </row>
    <row r="502" customFormat="false" ht="15" hidden="false" customHeight="false" outlineLevel="0" collapsed="false">
      <c r="A502" s="12" t="n">
        <v>499</v>
      </c>
      <c r="B502" s="8" t="s">
        <v>2485</v>
      </c>
      <c r="C502" s="8" t="s">
        <v>2486</v>
      </c>
      <c r="D502" s="11" t="n">
        <v>0.00716331018518519</v>
      </c>
      <c r="E502" s="39" t="n">
        <f aca="false">ROUND((D502-$D$5)*86400,2)</f>
        <v>79.89</v>
      </c>
      <c r="F502" s="12" t="n">
        <v>1591</v>
      </c>
      <c r="G502" s="11" t="str">
        <f aca="false">IF(INDEX(選手一覧!$D$5:$D$2736,$F502)="","",INDEX(選手一覧!$D$5:$D$2736,$F502))</f>
        <v/>
      </c>
      <c r="H502" s="12" t="str">
        <f aca="false">IF(INDEX(選手一覧!$E$5:$E$2736,$F502)="","",INDEX(選手一覧!$E$5:$E$2736,$F502))</f>
        <v/>
      </c>
      <c r="I502" s="11" t="str">
        <f aca="false">IF(INDEX(選手一覧!$H$5:$H$2736,$F502)="","",INDEX(選手一覧!$H$5:$H$2736,$F502))</f>
        <v/>
      </c>
      <c r="J502" s="12" t="str">
        <f aca="false">IF(INDEX(選手一覧!$I$5:$I$2736,$F502)="","",INDEX(選手一覧!$I$5:$I$2736,$F502))</f>
        <v/>
      </c>
    </row>
    <row r="503" customFormat="false" ht="15" hidden="false" customHeight="false" outlineLevel="0" collapsed="false">
      <c r="A503" s="12" t="n">
        <v>500</v>
      </c>
      <c r="B503" s="8" t="s">
        <v>2487</v>
      </c>
      <c r="C503" s="8" t="s">
        <v>2488</v>
      </c>
      <c r="D503" s="11" t="n">
        <v>0.00716354166666667</v>
      </c>
      <c r="E503" s="39" t="n">
        <f aca="false">ROUND((D503-$D$5)*86400,2)</f>
        <v>79.91</v>
      </c>
      <c r="F503" s="12" t="n">
        <v>1592</v>
      </c>
      <c r="G503" s="11" t="str">
        <f aca="false">IF(INDEX(選手一覧!$D$5:$D$2736,$F503)="","",INDEX(選手一覧!$D$5:$D$2736,$F503))</f>
        <v/>
      </c>
      <c r="H503" s="12" t="str">
        <f aca="false">IF(INDEX(選手一覧!$E$5:$E$2736,$F503)="","",INDEX(選手一覧!$E$5:$E$2736,$F503))</f>
        <v/>
      </c>
      <c r="I503" s="11" t="str">
        <f aca="false">IF(INDEX(選手一覧!$H$5:$H$2736,$F503)="","",INDEX(選手一覧!$H$5:$H$2736,$F503))</f>
        <v/>
      </c>
      <c r="J503" s="12" t="str">
        <f aca="false">IF(INDEX(選手一覧!$I$5:$I$2736,$F503)="","",INDEX(選手一覧!$I$5:$I$2736,$F503))</f>
        <v/>
      </c>
    </row>
    <row r="504" customFormat="false" ht="15" hidden="false" customHeight="false" outlineLevel="0" collapsed="false">
      <c r="A504" s="12" t="n">
        <v>501</v>
      </c>
      <c r="B504" s="8" t="s">
        <v>2489</v>
      </c>
      <c r="C504" s="8" t="s">
        <v>1484</v>
      </c>
      <c r="D504" s="11" t="n">
        <v>0.00716458333333333</v>
      </c>
      <c r="E504" s="39" t="n">
        <f aca="false">ROUND((D504-$D$5)*86400,2)</f>
        <v>80</v>
      </c>
      <c r="F504" s="12" t="n">
        <v>1593</v>
      </c>
      <c r="G504" s="11" t="str">
        <f aca="false">IF(INDEX(選手一覧!$D$5:$D$2736,$F504)="","",INDEX(選手一覧!$D$5:$D$2736,$F504))</f>
        <v/>
      </c>
      <c r="H504" s="12" t="str">
        <f aca="false">IF(INDEX(選手一覧!$E$5:$E$2736,$F504)="","",INDEX(選手一覧!$E$5:$E$2736,$F504))</f>
        <v/>
      </c>
      <c r="I504" s="11" t="str">
        <f aca="false">IF(INDEX(選手一覧!$H$5:$H$2736,$F504)="","",INDEX(選手一覧!$H$5:$H$2736,$F504))</f>
        <v/>
      </c>
      <c r="J504" s="12" t="str">
        <f aca="false">IF(INDEX(選手一覧!$I$5:$I$2736,$F504)="","",INDEX(選手一覧!$I$5:$I$2736,$F504))</f>
        <v/>
      </c>
    </row>
    <row r="505" customFormat="false" ht="15" hidden="false" customHeight="false" outlineLevel="0" collapsed="false">
      <c r="A505" s="12" t="n">
        <v>502</v>
      </c>
      <c r="B505" s="8" t="s">
        <v>2490</v>
      </c>
      <c r="C505" s="8" t="s">
        <v>1756</v>
      </c>
      <c r="D505" s="11" t="n">
        <v>0.00716724537037037</v>
      </c>
      <c r="E505" s="39" t="n">
        <f aca="false">ROUND((D505-$D$5)*86400,2)</f>
        <v>80.23</v>
      </c>
      <c r="F505" s="12" t="n">
        <v>1594</v>
      </c>
      <c r="G505" s="11" t="str">
        <f aca="false">IF(INDEX(選手一覧!$D$5:$D$2736,$F505)="","",INDEX(選手一覧!$D$5:$D$2736,$F505))</f>
        <v/>
      </c>
      <c r="H505" s="12" t="str">
        <f aca="false">IF(INDEX(選手一覧!$E$5:$E$2736,$F505)="","",INDEX(選手一覧!$E$5:$E$2736,$F505))</f>
        <v/>
      </c>
      <c r="I505" s="11" t="str">
        <f aca="false">IF(INDEX(選手一覧!$H$5:$H$2736,$F505)="","",INDEX(選手一覧!$H$5:$H$2736,$F505))</f>
        <v/>
      </c>
      <c r="J505" s="12" t="str">
        <f aca="false">IF(INDEX(選手一覧!$I$5:$I$2736,$F505)="","",INDEX(選手一覧!$I$5:$I$2736,$F505))</f>
        <v/>
      </c>
    </row>
    <row r="506" customFormat="false" ht="15" hidden="false" customHeight="false" outlineLevel="0" collapsed="false">
      <c r="A506" s="12" t="n">
        <v>503</v>
      </c>
      <c r="B506" s="8" t="s">
        <v>2491</v>
      </c>
      <c r="C506" s="8" t="s">
        <v>2492</v>
      </c>
      <c r="D506" s="11" t="n">
        <v>0.00716736111111111</v>
      </c>
      <c r="E506" s="39" t="n">
        <f aca="false">ROUND((D506-$D$5)*86400,2)</f>
        <v>80.24</v>
      </c>
      <c r="F506" s="12" t="n">
        <v>1595</v>
      </c>
      <c r="G506" s="11" t="str">
        <f aca="false">IF(INDEX(選手一覧!$D$5:$D$2736,$F506)="","",INDEX(選手一覧!$D$5:$D$2736,$F506))</f>
        <v/>
      </c>
      <c r="H506" s="12" t="str">
        <f aca="false">IF(INDEX(選手一覧!$E$5:$E$2736,$F506)="","",INDEX(選手一覧!$E$5:$E$2736,$F506))</f>
        <v/>
      </c>
      <c r="I506" s="11" t="str">
        <f aca="false">IF(INDEX(選手一覧!$H$5:$H$2736,$F506)="","",INDEX(選手一覧!$H$5:$H$2736,$F506))</f>
        <v/>
      </c>
      <c r="J506" s="12" t="str">
        <f aca="false">IF(INDEX(選手一覧!$I$5:$I$2736,$F506)="","",INDEX(選手一覧!$I$5:$I$2736,$F506))</f>
        <v/>
      </c>
    </row>
    <row r="507" customFormat="false" ht="15" hidden="false" customHeight="false" outlineLevel="0" collapsed="false">
      <c r="A507" s="12" t="n">
        <v>504</v>
      </c>
      <c r="B507" s="8" t="s">
        <v>2493</v>
      </c>
      <c r="C507" s="8" t="s">
        <v>2494</v>
      </c>
      <c r="D507" s="11" t="n">
        <v>0.00716782407407407</v>
      </c>
      <c r="E507" s="39" t="n">
        <f aca="false">ROUND((D507-$D$5)*86400,2)</f>
        <v>80.28</v>
      </c>
      <c r="F507" s="12" t="n">
        <v>1596</v>
      </c>
      <c r="G507" s="11" t="str">
        <f aca="false">IF(INDEX(選手一覧!$D$5:$D$2736,$F507)="","",INDEX(選手一覧!$D$5:$D$2736,$F507))</f>
        <v/>
      </c>
      <c r="H507" s="12" t="str">
        <f aca="false">IF(INDEX(選手一覧!$E$5:$E$2736,$F507)="","",INDEX(選手一覧!$E$5:$E$2736,$F507))</f>
        <v/>
      </c>
      <c r="I507" s="11" t="str">
        <f aca="false">IF(INDEX(選手一覧!$H$5:$H$2736,$F507)="","",INDEX(選手一覧!$H$5:$H$2736,$F507))</f>
        <v/>
      </c>
      <c r="J507" s="12" t="str">
        <f aca="false">IF(INDEX(選手一覧!$I$5:$I$2736,$F507)="","",INDEX(選手一覧!$I$5:$I$2736,$F507))</f>
        <v/>
      </c>
    </row>
    <row r="508" customFormat="false" ht="15" hidden="false" customHeight="false" outlineLevel="0" collapsed="false">
      <c r="A508" s="12" t="n">
        <v>505</v>
      </c>
      <c r="B508" s="8" t="s">
        <v>2495</v>
      </c>
      <c r="C508" s="8" t="s">
        <v>2496</v>
      </c>
      <c r="D508" s="11" t="n">
        <v>0.00716782407407407</v>
      </c>
      <c r="E508" s="39" t="n">
        <f aca="false">ROUND((D508-$D$5)*86400,2)</f>
        <v>80.28</v>
      </c>
      <c r="F508" s="12" t="n">
        <v>1597</v>
      </c>
      <c r="G508" s="11" t="str">
        <f aca="false">IF(INDEX(選手一覧!$D$5:$D$2736,$F508)="","",INDEX(選手一覧!$D$5:$D$2736,$F508))</f>
        <v/>
      </c>
      <c r="H508" s="12" t="str">
        <f aca="false">IF(INDEX(選手一覧!$E$5:$E$2736,$F508)="","",INDEX(選手一覧!$E$5:$E$2736,$F508))</f>
        <v/>
      </c>
      <c r="I508" s="11" t="str">
        <f aca="false">IF(INDEX(選手一覧!$H$5:$H$2736,$F508)="","",INDEX(選手一覧!$H$5:$H$2736,$F508))</f>
        <v/>
      </c>
      <c r="J508" s="12" t="str">
        <f aca="false">IF(INDEX(選手一覧!$I$5:$I$2736,$F508)="","",INDEX(選手一覧!$I$5:$I$2736,$F508))</f>
        <v/>
      </c>
    </row>
    <row r="509" customFormat="false" ht="15" hidden="false" customHeight="false" outlineLevel="0" collapsed="false">
      <c r="A509" s="12" t="n">
        <v>506</v>
      </c>
      <c r="B509" s="8" t="s">
        <v>2497</v>
      </c>
      <c r="C509" s="8" t="s">
        <v>1869</v>
      </c>
      <c r="D509" s="11" t="n">
        <v>0.00716886574074074</v>
      </c>
      <c r="E509" s="39" t="n">
        <f aca="false">ROUND((D509-$D$5)*86400,2)</f>
        <v>80.37</v>
      </c>
      <c r="F509" s="12" t="n">
        <v>1598</v>
      </c>
      <c r="G509" s="11" t="str">
        <f aca="false">IF(INDEX(選手一覧!$D$5:$D$2736,$F509)="","",INDEX(選手一覧!$D$5:$D$2736,$F509))</f>
        <v/>
      </c>
      <c r="H509" s="12" t="str">
        <f aca="false">IF(INDEX(選手一覧!$E$5:$E$2736,$F509)="","",INDEX(選手一覧!$E$5:$E$2736,$F509))</f>
        <v/>
      </c>
      <c r="I509" s="11" t="str">
        <f aca="false">IF(INDEX(選手一覧!$H$5:$H$2736,$F509)="","",INDEX(選手一覧!$H$5:$H$2736,$F509))</f>
        <v/>
      </c>
      <c r="J509" s="12" t="str">
        <f aca="false">IF(INDEX(選手一覧!$I$5:$I$2736,$F509)="","",INDEX(選手一覧!$I$5:$I$2736,$F509))</f>
        <v/>
      </c>
    </row>
    <row r="510" customFormat="false" ht="15" hidden="false" customHeight="false" outlineLevel="0" collapsed="false">
      <c r="A510" s="12" t="n">
        <v>507</v>
      </c>
      <c r="B510" s="8" t="s">
        <v>2498</v>
      </c>
      <c r="C510" s="8" t="s">
        <v>868</v>
      </c>
      <c r="D510" s="11" t="n">
        <v>0.00716898148148148</v>
      </c>
      <c r="E510" s="39" t="n">
        <f aca="false">ROUND((D510-$D$5)*86400,2)</f>
        <v>80.38</v>
      </c>
      <c r="F510" s="12" t="n">
        <v>1599</v>
      </c>
      <c r="G510" s="11" t="str">
        <f aca="false">IF(INDEX(選手一覧!$D$5:$D$2736,$F510)="","",INDEX(選手一覧!$D$5:$D$2736,$F510))</f>
        <v/>
      </c>
      <c r="H510" s="12" t="str">
        <f aca="false">IF(INDEX(選手一覧!$E$5:$E$2736,$F510)="","",INDEX(選手一覧!$E$5:$E$2736,$F510))</f>
        <v/>
      </c>
      <c r="I510" s="11" t="str">
        <f aca="false">IF(INDEX(選手一覧!$H$5:$H$2736,$F510)="","",INDEX(選手一覧!$H$5:$H$2736,$F510))</f>
        <v/>
      </c>
      <c r="J510" s="12" t="str">
        <f aca="false">IF(INDEX(選手一覧!$I$5:$I$2736,$F510)="","",INDEX(選手一覧!$I$5:$I$2736,$F510))</f>
        <v/>
      </c>
    </row>
    <row r="511" customFormat="false" ht="15" hidden="false" customHeight="false" outlineLevel="0" collapsed="false">
      <c r="A511" s="12" t="n">
        <v>508</v>
      </c>
      <c r="B511" s="8" t="s">
        <v>2500</v>
      </c>
      <c r="C511" s="8" t="s">
        <v>2501</v>
      </c>
      <c r="D511" s="11" t="n">
        <v>0.00716898148148148</v>
      </c>
      <c r="E511" s="39" t="n">
        <f aca="false">ROUND((D511-$D$5)*86400,2)</f>
        <v>80.38</v>
      </c>
      <c r="F511" s="12" t="n">
        <v>1600</v>
      </c>
      <c r="G511" s="11" t="str">
        <f aca="false">IF(INDEX(選手一覧!$D$5:$D$2736,$F511)="","",INDEX(選手一覧!$D$5:$D$2736,$F511))</f>
        <v/>
      </c>
      <c r="H511" s="12" t="str">
        <f aca="false">IF(INDEX(選手一覧!$E$5:$E$2736,$F511)="","",INDEX(選手一覧!$E$5:$E$2736,$F511))</f>
        <v/>
      </c>
      <c r="I511" s="11" t="str">
        <f aca="false">IF(INDEX(選手一覧!$H$5:$H$2736,$F511)="","",INDEX(選手一覧!$H$5:$H$2736,$F511))</f>
        <v/>
      </c>
      <c r="J511" s="12" t="str">
        <f aca="false">IF(INDEX(選手一覧!$I$5:$I$2736,$F511)="","",INDEX(選手一覧!$I$5:$I$2736,$F511))</f>
        <v/>
      </c>
    </row>
    <row r="512" customFormat="false" ht="15" hidden="false" customHeight="false" outlineLevel="0" collapsed="false">
      <c r="A512" s="12" t="n">
        <v>509</v>
      </c>
      <c r="B512" s="8" t="s">
        <v>1848</v>
      </c>
      <c r="C512" s="8" t="s">
        <v>1356</v>
      </c>
      <c r="D512" s="11" t="n">
        <v>0.00716990740740741</v>
      </c>
      <c r="E512" s="39" t="n">
        <f aca="false">ROUND((D512-$D$5)*86400,2)</f>
        <v>80.46</v>
      </c>
      <c r="F512" s="12" t="n">
        <v>1153</v>
      </c>
      <c r="G512" s="11" t="n">
        <f aca="false">IF(INDEX(選手一覧!$D$5:$D$2736,$F512)="","",INDEX(選手一覧!$D$5:$D$2736,$F512))</f>
        <v>0.0110311342592593</v>
      </c>
      <c r="H512" s="12" t="n">
        <f aca="false">IF(INDEX(選手一覧!$E$5:$E$2736,$F512)="","",INDEX(選手一覧!$E$5:$E$2736,$F512))</f>
        <v>1154</v>
      </c>
      <c r="I512" s="11" t="str">
        <f aca="false">IF(INDEX(選手一覧!$H$5:$H$2736,$F512)="","",INDEX(選手一覧!$H$5:$H$2736,$F512))</f>
        <v/>
      </c>
      <c r="J512" s="12" t="str">
        <f aca="false">IF(INDEX(選手一覧!$I$5:$I$2736,$F512)="","",INDEX(選手一覧!$I$5:$I$2736,$F512))</f>
        <v/>
      </c>
    </row>
    <row r="513" customFormat="false" ht="15" hidden="false" customHeight="false" outlineLevel="0" collapsed="false">
      <c r="A513" s="12" t="n">
        <v>510</v>
      </c>
      <c r="B513" s="8" t="s">
        <v>1187</v>
      </c>
      <c r="C513" s="8" t="s">
        <v>311</v>
      </c>
      <c r="D513" s="11" t="n">
        <v>0.00717002314814815</v>
      </c>
      <c r="E513" s="39" t="n">
        <f aca="false">ROUND((D513-$D$5)*86400,2)</f>
        <v>80.47</v>
      </c>
      <c r="F513" s="12" t="n">
        <v>709</v>
      </c>
      <c r="G513" s="11" t="n">
        <f aca="false">IF(INDEX(選手一覧!$D$5:$D$2736,$F513)="","",INDEX(選手一覧!$D$5:$D$2736,$F513))</f>
        <v>0.0107835648148148</v>
      </c>
      <c r="H513" s="12" t="n">
        <f aca="false">IF(INDEX(選手一覧!$E$5:$E$2736,$F513)="","",INDEX(選手一覧!$E$5:$E$2736,$F513))</f>
        <v>710</v>
      </c>
      <c r="I513" s="11" t="str">
        <f aca="false">IF(INDEX(選手一覧!$H$5:$H$2736,$F513)="","",INDEX(選手一覧!$H$5:$H$2736,$F513))</f>
        <v/>
      </c>
      <c r="J513" s="12" t="str">
        <f aca="false">IF(INDEX(選手一覧!$I$5:$I$2736,$F513)="","",INDEX(選手一覧!$I$5:$I$2736,$F513))</f>
        <v/>
      </c>
    </row>
    <row r="514" customFormat="false" ht="15" hidden="false" customHeight="false" outlineLevel="0" collapsed="false">
      <c r="A514" s="12" t="n">
        <v>511</v>
      </c>
      <c r="B514" s="8" t="s">
        <v>2503</v>
      </c>
      <c r="C514" s="8" t="s">
        <v>2504</v>
      </c>
      <c r="D514" s="11" t="n">
        <v>0.0071712962962963</v>
      </c>
      <c r="E514" s="39" t="n">
        <f aca="false">ROUND((D514-$D$5)*86400,2)</f>
        <v>80.58</v>
      </c>
      <c r="F514" s="12" t="n">
        <v>1602</v>
      </c>
      <c r="G514" s="11" t="str">
        <f aca="false">IF(INDEX(選手一覧!$D$5:$D$2736,$F514)="","",INDEX(選手一覧!$D$5:$D$2736,$F514))</f>
        <v/>
      </c>
      <c r="H514" s="12" t="str">
        <f aca="false">IF(INDEX(選手一覧!$E$5:$E$2736,$F514)="","",INDEX(選手一覧!$E$5:$E$2736,$F514))</f>
        <v/>
      </c>
      <c r="I514" s="11" t="str">
        <f aca="false">IF(INDEX(選手一覧!$H$5:$H$2736,$F514)="","",INDEX(選手一覧!$H$5:$H$2736,$F514))</f>
        <v/>
      </c>
      <c r="J514" s="12" t="str">
        <f aca="false">IF(INDEX(選手一覧!$I$5:$I$2736,$F514)="","",INDEX(選手一覧!$I$5:$I$2736,$F514))</f>
        <v/>
      </c>
    </row>
    <row r="515" customFormat="false" ht="15" hidden="false" customHeight="false" outlineLevel="0" collapsed="false">
      <c r="A515" s="12" t="n">
        <v>512</v>
      </c>
      <c r="B515" s="8" t="s">
        <v>1280</v>
      </c>
      <c r="C515" s="8" t="s">
        <v>781</v>
      </c>
      <c r="D515" s="11" t="n">
        <v>0.00717361111111111</v>
      </c>
      <c r="E515" s="39" t="n">
        <f aca="false">ROUND((D515-$D$5)*86400,2)</f>
        <v>80.78</v>
      </c>
      <c r="F515" s="12" t="n">
        <v>769</v>
      </c>
      <c r="G515" s="11" t="n">
        <f aca="false">IF(INDEX(選手一覧!$D$5:$D$2736,$F515)="","",INDEX(選手一覧!$D$5:$D$2736,$F515))</f>
        <v>0.0108146990740741</v>
      </c>
      <c r="H515" s="12" t="n">
        <f aca="false">IF(INDEX(選手一覧!$E$5:$E$2736,$F515)="","",INDEX(選手一覧!$E$5:$E$2736,$F515))</f>
        <v>770</v>
      </c>
      <c r="I515" s="11" t="str">
        <f aca="false">IF(INDEX(選手一覧!$H$5:$H$2736,$F515)="","",INDEX(選手一覧!$H$5:$H$2736,$F515))</f>
        <v/>
      </c>
      <c r="J515" s="12" t="str">
        <f aca="false">IF(INDEX(選手一覧!$I$5:$I$2736,$F515)="","",INDEX(選手一覧!$I$5:$I$2736,$F515))</f>
        <v/>
      </c>
    </row>
    <row r="516" customFormat="false" ht="15" hidden="false" customHeight="false" outlineLevel="0" collapsed="false">
      <c r="A516" s="12" t="n">
        <v>513</v>
      </c>
      <c r="B516" s="8" t="s">
        <v>2507</v>
      </c>
      <c r="C516" s="8" t="s">
        <v>1335</v>
      </c>
      <c r="D516" s="11" t="n">
        <v>0.00717604166666667</v>
      </c>
      <c r="E516" s="39" t="n">
        <f aca="false">ROUND((D516-$D$5)*86400,2)</f>
        <v>80.99</v>
      </c>
      <c r="F516" s="12" t="n">
        <v>1604</v>
      </c>
      <c r="G516" s="11" t="str">
        <f aca="false">IF(INDEX(選手一覧!$D$5:$D$2736,$F516)="","",INDEX(選手一覧!$D$5:$D$2736,$F516))</f>
        <v/>
      </c>
      <c r="H516" s="12" t="str">
        <f aca="false">IF(INDEX(選手一覧!$E$5:$E$2736,$F516)="","",INDEX(選手一覧!$E$5:$E$2736,$F516))</f>
        <v/>
      </c>
      <c r="I516" s="11" t="str">
        <f aca="false">IF(INDEX(選手一覧!$H$5:$H$2736,$F516)="","",INDEX(選手一覧!$H$5:$H$2736,$F516))</f>
        <v/>
      </c>
      <c r="J516" s="12" t="str">
        <f aca="false">IF(INDEX(選手一覧!$I$5:$I$2736,$F516)="","",INDEX(選手一覧!$I$5:$I$2736,$F516))</f>
        <v/>
      </c>
    </row>
    <row r="517" customFormat="false" ht="15" hidden="false" customHeight="false" outlineLevel="0" collapsed="false">
      <c r="A517" s="12" t="n">
        <v>514</v>
      </c>
      <c r="B517" s="8" t="s">
        <v>2508</v>
      </c>
      <c r="C517" s="8" t="s">
        <v>2509</v>
      </c>
      <c r="D517" s="11" t="n">
        <v>0.0071775462962963</v>
      </c>
      <c r="E517" s="39" t="n">
        <f aca="false">ROUND((D517-$D$5)*86400,2)</f>
        <v>81.12</v>
      </c>
      <c r="F517" s="12" t="n">
        <v>1605</v>
      </c>
      <c r="G517" s="11" t="str">
        <f aca="false">IF(INDEX(選手一覧!$D$5:$D$2736,$F517)="","",INDEX(選手一覧!$D$5:$D$2736,$F517))</f>
        <v/>
      </c>
      <c r="H517" s="12" t="str">
        <f aca="false">IF(INDEX(選手一覧!$E$5:$E$2736,$F517)="","",INDEX(選手一覧!$E$5:$E$2736,$F517))</f>
        <v/>
      </c>
      <c r="I517" s="11" t="str">
        <f aca="false">IF(INDEX(選手一覧!$H$5:$H$2736,$F517)="","",INDEX(選手一覧!$H$5:$H$2736,$F517))</f>
        <v/>
      </c>
      <c r="J517" s="12" t="str">
        <f aca="false">IF(INDEX(選手一覧!$I$5:$I$2736,$F517)="","",INDEX(選手一覧!$I$5:$I$2736,$F517))</f>
        <v/>
      </c>
    </row>
    <row r="518" customFormat="false" ht="15" hidden="false" customHeight="false" outlineLevel="0" collapsed="false">
      <c r="A518" s="12" t="n">
        <v>515</v>
      </c>
      <c r="B518" s="8" t="s">
        <v>2510</v>
      </c>
      <c r="C518" s="8" t="s">
        <v>255</v>
      </c>
      <c r="D518" s="11" t="n">
        <v>0.00717858796296296</v>
      </c>
      <c r="E518" s="39" t="n">
        <f aca="false">ROUND((D518-$D$5)*86400,2)</f>
        <v>81.21</v>
      </c>
      <c r="F518" s="12" t="n">
        <v>1606</v>
      </c>
      <c r="G518" s="11" t="str">
        <f aca="false">IF(INDEX(選手一覧!$D$5:$D$2736,$F518)="","",INDEX(選手一覧!$D$5:$D$2736,$F518))</f>
        <v/>
      </c>
      <c r="H518" s="12" t="str">
        <f aca="false">IF(INDEX(選手一覧!$E$5:$E$2736,$F518)="","",INDEX(選手一覧!$E$5:$E$2736,$F518))</f>
        <v/>
      </c>
      <c r="I518" s="11" t="str">
        <f aca="false">IF(INDEX(選手一覧!$H$5:$H$2736,$F518)="","",INDEX(選手一覧!$H$5:$H$2736,$F518))</f>
        <v/>
      </c>
      <c r="J518" s="12" t="str">
        <f aca="false">IF(INDEX(選手一覧!$I$5:$I$2736,$F518)="","",INDEX(選手一覧!$I$5:$I$2736,$F518))</f>
        <v/>
      </c>
    </row>
    <row r="519" customFormat="false" ht="15" hidden="false" customHeight="false" outlineLevel="0" collapsed="false">
      <c r="A519" s="12" t="n">
        <v>516</v>
      </c>
      <c r="B519" s="8" t="s">
        <v>2511</v>
      </c>
      <c r="C519" s="8" t="s">
        <v>2512</v>
      </c>
      <c r="D519" s="11" t="n">
        <v>0.00717962962962963</v>
      </c>
      <c r="E519" s="39" t="n">
        <f aca="false">ROUND((D519-$D$5)*86400,2)</f>
        <v>81.3</v>
      </c>
      <c r="F519" s="12" t="n">
        <v>1607</v>
      </c>
      <c r="G519" s="11" t="str">
        <f aca="false">IF(INDEX(選手一覧!$D$5:$D$2736,$F519)="","",INDEX(選手一覧!$D$5:$D$2736,$F519))</f>
        <v/>
      </c>
      <c r="H519" s="12" t="str">
        <f aca="false">IF(INDEX(選手一覧!$E$5:$E$2736,$F519)="","",INDEX(選手一覧!$E$5:$E$2736,$F519))</f>
        <v/>
      </c>
      <c r="I519" s="11" t="str">
        <f aca="false">IF(INDEX(選手一覧!$H$5:$H$2736,$F519)="","",INDEX(選手一覧!$H$5:$H$2736,$F519))</f>
        <v/>
      </c>
      <c r="J519" s="12" t="str">
        <f aca="false">IF(INDEX(選手一覧!$I$5:$I$2736,$F519)="","",INDEX(選手一覧!$I$5:$I$2736,$F519))</f>
        <v/>
      </c>
    </row>
    <row r="520" customFormat="false" ht="15" hidden="false" customHeight="false" outlineLevel="0" collapsed="false">
      <c r="A520" s="12" t="n">
        <v>517</v>
      </c>
      <c r="B520" s="8" t="s">
        <v>2513</v>
      </c>
      <c r="C520" s="8" t="s">
        <v>2514</v>
      </c>
      <c r="D520" s="11" t="n">
        <v>0.00717974537037037</v>
      </c>
      <c r="E520" s="39" t="n">
        <f aca="false">ROUND((D520-$D$5)*86400,2)</f>
        <v>81.31</v>
      </c>
      <c r="F520" s="12" t="n">
        <v>1608</v>
      </c>
      <c r="G520" s="11" t="str">
        <f aca="false">IF(INDEX(選手一覧!$D$5:$D$2736,$F520)="","",INDEX(選手一覧!$D$5:$D$2736,$F520))</f>
        <v/>
      </c>
      <c r="H520" s="12" t="str">
        <f aca="false">IF(INDEX(選手一覧!$E$5:$E$2736,$F520)="","",INDEX(選手一覧!$E$5:$E$2736,$F520))</f>
        <v/>
      </c>
      <c r="I520" s="11" t="str">
        <f aca="false">IF(INDEX(選手一覧!$H$5:$H$2736,$F520)="","",INDEX(選手一覧!$H$5:$H$2736,$F520))</f>
        <v/>
      </c>
      <c r="J520" s="12" t="str">
        <f aca="false">IF(INDEX(選手一覧!$I$5:$I$2736,$F520)="","",INDEX(選手一覧!$I$5:$I$2736,$F520))</f>
        <v/>
      </c>
    </row>
    <row r="521" customFormat="false" ht="15" hidden="false" customHeight="false" outlineLevel="0" collapsed="false">
      <c r="A521" s="12" t="n">
        <v>518</v>
      </c>
      <c r="B521" s="8" t="s">
        <v>2515</v>
      </c>
      <c r="C521" s="8" t="s">
        <v>2516</v>
      </c>
      <c r="D521" s="11" t="n">
        <v>0.00718020833333333</v>
      </c>
      <c r="E521" s="39" t="n">
        <f aca="false">ROUND((D521-$D$5)*86400,2)</f>
        <v>81.35</v>
      </c>
      <c r="F521" s="12" t="n">
        <v>1609</v>
      </c>
      <c r="G521" s="11" t="str">
        <f aca="false">IF(INDEX(選手一覧!$D$5:$D$2736,$F521)="","",INDEX(選手一覧!$D$5:$D$2736,$F521))</f>
        <v/>
      </c>
      <c r="H521" s="12" t="str">
        <f aca="false">IF(INDEX(選手一覧!$E$5:$E$2736,$F521)="","",INDEX(選手一覧!$E$5:$E$2736,$F521))</f>
        <v/>
      </c>
      <c r="I521" s="11" t="str">
        <f aca="false">IF(INDEX(選手一覧!$H$5:$H$2736,$F521)="","",INDEX(選手一覧!$H$5:$H$2736,$F521))</f>
        <v/>
      </c>
      <c r="J521" s="12" t="str">
        <f aca="false">IF(INDEX(選手一覧!$I$5:$I$2736,$F521)="","",INDEX(選手一覧!$I$5:$I$2736,$F521))</f>
        <v/>
      </c>
    </row>
    <row r="522" customFormat="false" ht="15" hidden="false" customHeight="false" outlineLevel="0" collapsed="false">
      <c r="A522" s="12" t="n">
        <v>519</v>
      </c>
      <c r="B522" s="8" t="s">
        <v>2517</v>
      </c>
      <c r="C522" s="8" t="s">
        <v>2518</v>
      </c>
      <c r="D522" s="11" t="n">
        <v>0.00718032407407407</v>
      </c>
      <c r="E522" s="39" t="n">
        <f aca="false">ROUND((D522-$D$5)*86400,2)</f>
        <v>81.36</v>
      </c>
      <c r="F522" s="12" t="n">
        <v>1610</v>
      </c>
      <c r="G522" s="11" t="str">
        <f aca="false">IF(INDEX(選手一覧!$D$5:$D$2736,$F522)="","",INDEX(選手一覧!$D$5:$D$2736,$F522))</f>
        <v/>
      </c>
      <c r="H522" s="12" t="str">
        <f aca="false">IF(INDEX(選手一覧!$E$5:$E$2736,$F522)="","",INDEX(選手一覧!$E$5:$E$2736,$F522))</f>
        <v/>
      </c>
      <c r="I522" s="11" t="n">
        <f aca="false">IF(INDEX(選手一覧!$H$5:$H$2736,$F522)="","",INDEX(選手一覧!$H$5:$H$2736,$F522))</f>
        <v>0.00292488425925926</v>
      </c>
      <c r="J522" s="12" t="n">
        <f aca="false">IF(INDEX(選手一覧!$I$5:$I$2736,$F522)="","",INDEX(選手一覧!$I$5:$I$2736,$F522))</f>
        <v>1145</v>
      </c>
    </row>
    <row r="523" customFormat="false" ht="15" hidden="false" customHeight="false" outlineLevel="0" collapsed="false">
      <c r="A523" s="12" t="n">
        <v>520</v>
      </c>
      <c r="B523" s="8" t="s">
        <v>2519</v>
      </c>
      <c r="C523" s="8" t="s">
        <v>2459</v>
      </c>
      <c r="D523" s="11" t="n">
        <v>0.0071806712962963</v>
      </c>
      <c r="E523" s="39" t="n">
        <f aca="false">ROUND((D523-$D$5)*86400,2)</f>
        <v>81.39</v>
      </c>
      <c r="F523" s="12" t="n">
        <v>1611</v>
      </c>
      <c r="G523" s="11" t="str">
        <f aca="false">IF(INDEX(選手一覧!$D$5:$D$2736,$F523)="","",INDEX(選手一覧!$D$5:$D$2736,$F523))</f>
        <v/>
      </c>
      <c r="H523" s="12" t="str">
        <f aca="false">IF(INDEX(選手一覧!$E$5:$E$2736,$F523)="","",INDEX(選手一覧!$E$5:$E$2736,$F523))</f>
        <v/>
      </c>
      <c r="I523" s="11" t="str">
        <f aca="false">IF(INDEX(選手一覧!$H$5:$H$2736,$F523)="","",INDEX(選手一覧!$H$5:$H$2736,$F523))</f>
        <v/>
      </c>
      <c r="J523" s="12" t="str">
        <f aca="false">IF(INDEX(選手一覧!$I$5:$I$2736,$F523)="","",INDEX(選手一覧!$I$5:$I$2736,$F523))</f>
        <v/>
      </c>
    </row>
    <row r="524" customFormat="false" ht="15" hidden="false" customHeight="false" outlineLevel="0" collapsed="false">
      <c r="A524" s="12" t="n">
        <v>521</v>
      </c>
      <c r="B524" s="8" t="s">
        <v>2520</v>
      </c>
      <c r="C524" s="8" t="s">
        <v>1618</v>
      </c>
      <c r="D524" s="11" t="n">
        <v>0.00718287037037037</v>
      </c>
      <c r="E524" s="39" t="n">
        <f aca="false">ROUND((D524-$D$5)*86400,2)</f>
        <v>81.58</v>
      </c>
      <c r="F524" s="12" t="n">
        <v>1612</v>
      </c>
      <c r="G524" s="11" t="str">
        <f aca="false">IF(INDEX(選手一覧!$D$5:$D$2736,$F524)="","",INDEX(選手一覧!$D$5:$D$2736,$F524))</f>
        <v/>
      </c>
      <c r="H524" s="12" t="str">
        <f aca="false">IF(INDEX(選手一覧!$E$5:$E$2736,$F524)="","",INDEX(選手一覧!$E$5:$E$2736,$F524))</f>
        <v/>
      </c>
      <c r="I524" s="11" t="str">
        <f aca="false">IF(INDEX(選手一覧!$H$5:$H$2736,$F524)="","",INDEX(選手一覧!$H$5:$H$2736,$F524))</f>
        <v/>
      </c>
      <c r="J524" s="12" t="str">
        <f aca="false">IF(INDEX(選手一覧!$I$5:$I$2736,$F524)="","",INDEX(選手一覧!$I$5:$I$2736,$F524))</f>
        <v/>
      </c>
    </row>
    <row r="525" customFormat="false" ht="15" hidden="false" customHeight="false" outlineLevel="0" collapsed="false">
      <c r="A525" s="12" t="n">
        <v>522</v>
      </c>
      <c r="B525" s="8" t="s">
        <v>2521</v>
      </c>
      <c r="C525" s="8" t="s">
        <v>2522</v>
      </c>
      <c r="D525" s="11" t="n">
        <v>0.00718333333333333</v>
      </c>
      <c r="E525" s="39" t="n">
        <f aca="false">ROUND((D525-$D$5)*86400,2)</f>
        <v>81.62</v>
      </c>
      <c r="F525" s="12" t="n">
        <v>1613</v>
      </c>
      <c r="G525" s="11" t="str">
        <f aca="false">IF(INDEX(選手一覧!$D$5:$D$2736,$F525)="","",INDEX(選手一覧!$D$5:$D$2736,$F525))</f>
        <v/>
      </c>
      <c r="H525" s="12" t="str">
        <f aca="false">IF(INDEX(選手一覧!$E$5:$E$2736,$F525)="","",INDEX(選手一覧!$E$5:$E$2736,$F525))</f>
        <v/>
      </c>
      <c r="I525" s="11" t="str">
        <f aca="false">IF(INDEX(選手一覧!$H$5:$H$2736,$F525)="","",INDEX(選手一覧!$H$5:$H$2736,$F525))</f>
        <v/>
      </c>
      <c r="J525" s="12" t="str">
        <f aca="false">IF(INDEX(選手一覧!$I$5:$I$2736,$F525)="","",INDEX(選手一覧!$I$5:$I$2736,$F525))</f>
        <v/>
      </c>
    </row>
    <row r="526" customFormat="false" ht="15" hidden="false" customHeight="false" outlineLevel="0" collapsed="false">
      <c r="A526" s="12" t="n">
        <v>523</v>
      </c>
      <c r="B526" s="8" t="s">
        <v>1351</v>
      </c>
      <c r="C526" s="8" t="s">
        <v>274</v>
      </c>
      <c r="D526" s="11" t="n">
        <v>0.00718460648148148</v>
      </c>
      <c r="E526" s="39" t="n">
        <f aca="false">ROUND((D526-$D$5)*86400,2)</f>
        <v>81.73</v>
      </c>
      <c r="F526" s="12" t="n">
        <v>820</v>
      </c>
      <c r="G526" s="11" t="n">
        <f aca="false">IF(INDEX(選手一覧!$D$5:$D$2736,$F526)="","",INDEX(選手一覧!$D$5:$D$2736,$F526))</f>
        <v>0.0108438657407407</v>
      </c>
      <c r="H526" s="12" t="n">
        <f aca="false">IF(INDEX(選手一覧!$E$5:$E$2736,$F526)="","",INDEX(選手一覧!$E$5:$E$2736,$F526))</f>
        <v>821</v>
      </c>
      <c r="I526" s="11" t="str">
        <f aca="false">IF(INDEX(選手一覧!$H$5:$H$2736,$F526)="","",INDEX(選手一覧!$H$5:$H$2736,$F526))</f>
        <v/>
      </c>
      <c r="J526" s="12" t="str">
        <f aca="false">IF(INDEX(選手一覧!$I$5:$I$2736,$F526)="","",INDEX(選手一覧!$I$5:$I$2736,$F526))</f>
        <v/>
      </c>
    </row>
    <row r="527" customFormat="false" ht="15" hidden="false" customHeight="false" outlineLevel="0" collapsed="false">
      <c r="A527" s="12" t="n">
        <v>524</v>
      </c>
      <c r="B527" s="8" t="s">
        <v>2523</v>
      </c>
      <c r="C527" s="8" t="s">
        <v>2524</v>
      </c>
      <c r="D527" s="11" t="n">
        <v>0.00718472222222222</v>
      </c>
      <c r="E527" s="39" t="n">
        <f aca="false">ROUND((D527-$D$5)*86400,2)</f>
        <v>81.74</v>
      </c>
      <c r="F527" s="12" t="n">
        <v>1614</v>
      </c>
      <c r="G527" s="11" t="str">
        <f aca="false">IF(INDEX(選手一覧!$D$5:$D$2736,$F527)="","",INDEX(選手一覧!$D$5:$D$2736,$F527))</f>
        <v/>
      </c>
      <c r="H527" s="12" t="str">
        <f aca="false">IF(INDEX(選手一覧!$E$5:$E$2736,$F527)="","",INDEX(選手一覧!$E$5:$E$2736,$F527))</f>
        <v/>
      </c>
      <c r="I527" s="11" t="n">
        <f aca="false">IF(INDEX(選手一覧!$H$5:$H$2736,$F527)="","",INDEX(選手一覧!$H$5:$H$2736,$F527))</f>
        <v>0.00292824074074074</v>
      </c>
      <c r="J527" s="12" t="n">
        <f aca="false">IF(INDEX(選手一覧!$I$5:$I$2736,$F527)="","",INDEX(選手一覧!$I$5:$I$2736,$F527))</f>
        <v>1168</v>
      </c>
    </row>
    <row r="528" customFormat="false" ht="15" hidden="false" customHeight="false" outlineLevel="0" collapsed="false">
      <c r="A528" s="12" t="n">
        <v>525</v>
      </c>
      <c r="B528" s="8" t="s">
        <v>2525</v>
      </c>
      <c r="C528" s="8" t="s">
        <v>2526</v>
      </c>
      <c r="D528" s="11" t="n">
        <v>0.00718715277777778</v>
      </c>
      <c r="E528" s="39" t="n">
        <f aca="false">ROUND((D528-$D$5)*86400,2)</f>
        <v>81.95</v>
      </c>
      <c r="F528" s="12" t="n">
        <v>1615</v>
      </c>
      <c r="G528" s="11" t="str">
        <f aca="false">IF(INDEX(選手一覧!$D$5:$D$2736,$F528)="","",INDEX(選手一覧!$D$5:$D$2736,$F528))</f>
        <v/>
      </c>
      <c r="H528" s="12" t="str">
        <f aca="false">IF(INDEX(選手一覧!$E$5:$E$2736,$F528)="","",INDEX(選手一覧!$E$5:$E$2736,$F528))</f>
        <v/>
      </c>
      <c r="I528" s="11" t="str">
        <f aca="false">IF(INDEX(選手一覧!$H$5:$H$2736,$F528)="","",INDEX(選手一覧!$H$5:$H$2736,$F528))</f>
        <v/>
      </c>
      <c r="J528" s="12" t="str">
        <f aca="false">IF(INDEX(選手一覧!$I$5:$I$2736,$F528)="","",INDEX(選手一覧!$I$5:$I$2736,$F528))</f>
        <v/>
      </c>
    </row>
    <row r="529" customFormat="false" ht="15" hidden="false" customHeight="false" outlineLevel="0" collapsed="false">
      <c r="A529" s="12" t="n">
        <v>526</v>
      </c>
      <c r="B529" s="8" t="s">
        <v>2528</v>
      </c>
      <c r="C529" s="8" t="s">
        <v>817</v>
      </c>
      <c r="D529" s="11" t="n">
        <v>0.00718784722222222</v>
      </c>
      <c r="E529" s="39" t="n">
        <f aca="false">ROUND((D529-$D$5)*86400,2)</f>
        <v>82.01</v>
      </c>
      <c r="F529" s="12" t="n">
        <v>1617</v>
      </c>
      <c r="G529" s="11" t="str">
        <f aca="false">IF(INDEX(選手一覧!$D$5:$D$2736,$F529)="","",INDEX(選手一覧!$D$5:$D$2736,$F529))</f>
        <v/>
      </c>
      <c r="H529" s="12" t="str">
        <f aca="false">IF(INDEX(選手一覧!$E$5:$E$2736,$F529)="","",INDEX(選手一覧!$E$5:$E$2736,$F529))</f>
        <v/>
      </c>
      <c r="I529" s="11" t="str">
        <f aca="false">IF(INDEX(選手一覧!$H$5:$H$2736,$F529)="","",INDEX(選手一覧!$H$5:$H$2736,$F529))</f>
        <v/>
      </c>
      <c r="J529" s="12" t="str">
        <f aca="false">IF(INDEX(選手一覧!$I$5:$I$2736,$F529)="","",INDEX(選手一覧!$I$5:$I$2736,$F529))</f>
        <v/>
      </c>
    </row>
    <row r="530" customFormat="false" ht="15" hidden="false" customHeight="false" outlineLevel="0" collapsed="false">
      <c r="A530" s="12" t="n">
        <v>527</v>
      </c>
      <c r="B530" s="8" t="s">
        <v>2529</v>
      </c>
      <c r="C530" s="8" t="s">
        <v>290</v>
      </c>
      <c r="D530" s="11" t="n">
        <v>0.00718831018518519</v>
      </c>
      <c r="E530" s="39" t="n">
        <f aca="false">ROUND((D530-$D$5)*86400,2)</f>
        <v>82.05</v>
      </c>
      <c r="F530" s="12" t="n">
        <v>1618</v>
      </c>
      <c r="G530" s="11" t="str">
        <f aca="false">IF(INDEX(選手一覧!$D$5:$D$2736,$F530)="","",INDEX(選手一覧!$D$5:$D$2736,$F530))</f>
        <v/>
      </c>
      <c r="H530" s="12" t="str">
        <f aca="false">IF(INDEX(選手一覧!$E$5:$E$2736,$F530)="","",INDEX(選手一覧!$E$5:$E$2736,$F530))</f>
        <v/>
      </c>
      <c r="I530" s="11" t="str">
        <f aca="false">IF(INDEX(選手一覧!$H$5:$H$2736,$F530)="","",INDEX(選手一覧!$H$5:$H$2736,$F530))</f>
        <v/>
      </c>
      <c r="J530" s="12" t="str">
        <f aca="false">IF(INDEX(選手一覧!$I$5:$I$2736,$F530)="","",INDEX(選手一覧!$I$5:$I$2736,$F530))</f>
        <v/>
      </c>
    </row>
    <row r="531" customFormat="false" ht="15" hidden="false" customHeight="false" outlineLevel="0" collapsed="false">
      <c r="A531" s="12" t="n">
        <v>528</v>
      </c>
      <c r="B531" s="8" t="s">
        <v>2530</v>
      </c>
      <c r="C531" s="8" t="s">
        <v>1408</v>
      </c>
      <c r="D531" s="11" t="n">
        <v>0.00719085648148148</v>
      </c>
      <c r="E531" s="39" t="n">
        <f aca="false">ROUND((D531-$D$5)*86400,2)</f>
        <v>82.27</v>
      </c>
      <c r="F531" s="12" t="n">
        <v>1619</v>
      </c>
      <c r="G531" s="11" t="str">
        <f aca="false">IF(INDEX(選手一覧!$D$5:$D$2736,$F531)="","",INDEX(選手一覧!$D$5:$D$2736,$F531))</f>
        <v/>
      </c>
      <c r="H531" s="12" t="str">
        <f aca="false">IF(INDEX(選手一覧!$E$5:$E$2736,$F531)="","",INDEX(選手一覧!$E$5:$E$2736,$F531))</f>
        <v/>
      </c>
      <c r="I531" s="11" t="str">
        <f aca="false">IF(INDEX(選手一覧!$H$5:$H$2736,$F531)="","",INDEX(選手一覧!$H$5:$H$2736,$F531))</f>
        <v/>
      </c>
      <c r="J531" s="12" t="str">
        <f aca="false">IF(INDEX(選手一覧!$I$5:$I$2736,$F531)="","",INDEX(選手一覧!$I$5:$I$2736,$F531))</f>
        <v/>
      </c>
    </row>
    <row r="532" customFormat="false" ht="15" hidden="false" customHeight="false" outlineLevel="0" collapsed="false">
      <c r="A532" s="12" t="n">
        <v>529</v>
      </c>
      <c r="B532" s="8" t="s">
        <v>1015</v>
      </c>
      <c r="C532" s="8" t="s">
        <v>130</v>
      </c>
      <c r="D532" s="11" t="n">
        <v>0.0071912037037037</v>
      </c>
      <c r="E532" s="39" t="n">
        <f aca="false">ROUND((D532-$D$5)*86400,2)</f>
        <v>82.3</v>
      </c>
      <c r="F532" s="12" t="n">
        <v>591</v>
      </c>
      <c r="G532" s="11" t="n">
        <f aca="false">IF(INDEX(選手一覧!$D$5:$D$2736,$F532)="","",INDEX(選手一覧!$D$5:$D$2736,$F532))</f>
        <v>0.0107072916666667</v>
      </c>
      <c r="H532" s="12" t="n">
        <f aca="false">IF(INDEX(選手一覧!$E$5:$E$2736,$F532)="","",INDEX(選手一覧!$E$5:$E$2736,$F532))</f>
        <v>592</v>
      </c>
      <c r="I532" s="11" t="n">
        <f aca="false">IF(INDEX(選手一覧!$H$5:$H$2736,$F532)="","",INDEX(選手一覧!$H$5:$H$2736,$F532))</f>
        <v>0.00282974537037037</v>
      </c>
      <c r="J532" s="12" t="n">
        <f aca="false">IF(INDEX(選手一覧!$I$5:$I$2736,$F532)="","",INDEX(選手一覧!$I$5:$I$2736,$F532))</f>
        <v>426</v>
      </c>
    </row>
    <row r="533" customFormat="false" ht="15" hidden="false" customHeight="false" outlineLevel="0" collapsed="false">
      <c r="A533" s="12" t="n">
        <v>530</v>
      </c>
      <c r="B533" s="8" t="s">
        <v>2531</v>
      </c>
      <c r="C533" s="8" t="s">
        <v>197</v>
      </c>
      <c r="D533" s="11" t="n">
        <v>0.00719131944444445</v>
      </c>
      <c r="E533" s="39" t="n">
        <f aca="false">ROUND((D533-$D$5)*86400,2)</f>
        <v>82.31</v>
      </c>
      <c r="F533" s="12" t="n">
        <v>1620</v>
      </c>
      <c r="G533" s="11" t="str">
        <f aca="false">IF(INDEX(選手一覧!$D$5:$D$2736,$F533)="","",INDEX(選手一覧!$D$5:$D$2736,$F533))</f>
        <v/>
      </c>
      <c r="H533" s="12" t="str">
        <f aca="false">IF(INDEX(選手一覧!$E$5:$E$2736,$F533)="","",INDEX(選手一覧!$E$5:$E$2736,$F533))</f>
        <v/>
      </c>
      <c r="I533" s="11" t="str">
        <f aca="false">IF(INDEX(選手一覧!$H$5:$H$2736,$F533)="","",INDEX(選手一覧!$H$5:$H$2736,$F533))</f>
        <v/>
      </c>
      <c r="J533" s="12" t="str">
        <f aca="false">IF(INDEX(選手一覧!$I$5:$I$2736,$F533)="","",INDEX(選手一覧!$I$5:$I$2736,$F533))</f>
        <v/>
      </c>
    </row>
    <row r="534" customFormat="false" ht="15" hidden="false" customHeight="false" outlineLevel="0" collapsed="false">
      <c r="A534" s="12" t="n">
        <v>531</v>
      </c>
      <c r="B534" s="8" t="s">
        <v>1806</v>
      </c>
      <c r="C534" s="8" t="s">
        <v>326</v>
      </c>
      <c r="D534" s="11" t="n">
        <v>0.00719201388888889</v>
      </c>
      <c r="E534" s="39" t="n">
        <f aca="false">ROUND((D534-$D$5)*86400,2)</f>
        <v>82.37</v>
      </c>
      <c r="F534" s="12" t="n">
        <v>1124</v>
      </c>
      <c r="G534" s="11" t="n">
        <f aca="false">IF(INDEX(選手一覧!$D$5:$D$2736,$F534)="","",INDEX(選手一覧!$D$5:$D$2736,$F534))</f>
        <v>0.0110180555555556</v>
      </c>
      <c r="H534" s="12" t="n">
        <f aca="false">IF(INDEX(選手一覧!$E$5:$E$2736,$F534)="","",INDEX(選手一覧!$E$5:$E$2736,$F534))</f>
        <v>1125</v>
      </c>
      <c r="I534" s="11" t="str">
        <f aca="false">IF(INDEX(選手一覧!$H$5:$H$2736,$F534)="","",INDEX(選手一覧!$H$5:$H$2736,$F534))</f>
        <v/>
      </c>
      <c r="J534" s="12" t="str">
        <f aca="false">IF(INDEX(選手一覧!$I$5:$I$2736,$F534)="","",INDEX(選手一覧!$I$5:$I$2736,$F534))</f>
        <v/>
      </c>
    </row>
    <row r="535" customFormat="false" ht="15" hidden="false" customHeight="false" outlineLevel="0" collapsed="false">
      <c r="A535" s="12" t="n">
        <v>532</v>
      </c>
      <c r="B535" s="8" t="s">
        <v>2532</v>
      </c>
      <c r="C535" s="8" t="s">
        <v>2533</v>
      </c>
      <c r="D535" s="11" t="n">
        <v>0.00719386574074074</v>
      </c>
      <c r="E535" s="39" t="n">
        <f aca="false">ROUND((D535-$D$5)*86400,2)</f>
        <v>82.53</v>
      </c>
      <c r="F535" s="12" t="n">
        <v>1621</v>
      </c>
      <c r="G535" s="11" t="str">
        <f aca="false">IF(INDEX(選手一覧!$D$5:$D$2736,$F535)="","",INDEX(選手一覧!$D$5:$D$2736,$F535))</f>
        <v/>
      </c>
      <c r="H535" s="12" t="str">
        <f aca="false">IF(INDEX(選手一覧!$E$5:$E$2736,$F535)="","",INDEX(選手一覧!$E$5:$E$2736,$F535))</f>
        <v/>
      </c>
      <c r="I535" s="11" t="str">
        <f aca="false">IF(INDEX(選手一覧!$H$5:$H$2736,$F535)="","",INDEX(選手一覧!$H$5:$H$2736,$F535))</f>
        <v/>
      </c>
      <c r="J535" s="12" t="str">
        <f aca="false">IF(INDEX(選手一覧!$I$5:$I$2736,$F535)="","",INDEX(選手一覧!$I$5:$I$2736,$F535))</f>
        <v/>
      </c>
    </row>
    <row r="536" customFormat="false" ht="15" hidden="false" customHeight="false" outlineLevel="0" collapsed="false">
      <c r="A536" s="12" t="n">
        <v>533</v>
      </c>
      <c r="B536" s="8" t="s">
        <v>2534</v>
      </c>
      <c r="C536" s="8" t="s">
        <v>1508</v>
      </c>
      <c r="D536" s="11" t="n">
        <v>0.00719618055555556</v>
      </c>
      <c r="E536" s="39" t="n">
        <f aca="false">ROUND((D536-$D$5)*86400,2)</f>
        <v>82.73</v>
      </c>
      <c r="F536" s="12" t="n">
        <v>1622</v>
      </c>
      <c r="G536" s="11" t="str">
        <f aca="false">IF(INDEX(選手一覧!$D$5:$D$2736,$F536)="","",INDEX(選手一覧!$D$5:$D$2736,$F536))</f>
        <v/>
      </c>
      <c r="H536" s="12" t="str">
        <f aca="false">IF(INDEX(選手一覧!$E$5:$E$2736,$F536)="","",INDEX(選手一覧!$E$5:$E$2736,$F536))</f>
        <v/>
      </c>
      <c r="I536" s="11" t="str">
        <f aca="false">IF(INDEX(選手一覧!$H$5:$H$2736,$F536)="","",INDEX(選手一覧!$H$5:$H$2736,$F536))</f>
        <v/>
      </c>
      <c r="J536" s="12" t="str">
        <f aca="false">IF(INDEX(選手一覧!$I$5:$I$2736,$F536)="","",INDEX(選手一覧!$I$5:$I$2736,$F536))</f>
        <v/>
      </c>
    </row>
    <row r="537" customFormat="false" ht="15" hidden="false" customHeight="false" outlineLevel="0" collapsed="false">
      <c r="A537" s="12" t="n">
        <v>534</v>
      </c>
      <c r="B537" s="8" t="s">
        <v>2535</v>
      </c>
      <c r="C537" s="8" t="s">
        <v>845</v>
      </c>
      <c r="D537" s="11" t="n">
        <v>0.00719768518518519</v>
      </c>
      <c r="E537" s="39" t="n">
        <f aca="false">ROUND((D537-$D$5)*86400,2)</f>
        <v>82.86</v>
      </c>
      <c r="F537" s="12" t="n">
        <v>1623</v>
      </c>
      <c r="G537" s="11" t="str">
        <f aca="false">IF(INDEX(選手一覧!$D$5:$D$2736,$F537)="","",INDEX(選手一覧!$D$5:$D$2736,$F537))</f>
        <v/>
      </c>
      <c r="H537" s="12" t="str">
        <f aca="false">IF(INDEX(選手一覧!$E$5:$E$2736,$F537)="","",INDEX(選手一覧!$E$5:$E$2736,$F537))</f>
        <v/>
      </c>
      <c r="I537" s="11" t="str">
        <f aca="false">IF(INDEX(選手一覧!$H$5:$H$2736,$F537)="","",INDEX(選手一覧!$H$5:$H$2736,$F537))</f>
        <v/>
      </c>
      <c r="J537" s="12" t="str">
        <f aca="false">IF(INDEX(選手一覧!$I$5:$I$2736,$F537)="","",INDEX(選手一覧!$I$5:$I$2736,$F537))</f>
        <v/>
      </c>
    </row>
    <row r="538" customFormat="false" ht="15" hidden="false" customHeight="false" outlineLevel="0" collapsed="false">
      <c r="A538" s="12" t="n">
        <v>535</v>
      </c>
      <c r="B538" s="8" t="s">
        <v>2536</v>
      </c>
      <c r="C538" s="8" t="s">
        <v>390</v>
      </c>
      <c r="D538" s="11" t="n">
        <v>0.00719884259259259</v>
      </c>
      <c r="E538" s="39" t="n">
        <f aca="false">ROUND((D538-$D$5)*86400,2)</f>
        <v>82.96</v>
      </c>
      <c r="F538" s="12" t="n">
        <v>1624</v>
      </c>
      <c r="G538" s="11" t="str">
        <f aca="false">IF(INDEX(選手一覧!$D$5:$D$2736,$F538)="","",INDEX(選手一覧!$D$5:$D$2736,$F538))</f>
        <v/>
      </c>
      <c r="H538" s="12" t="str">
        <f aca="false">IF(INDEX(選手一覧!$E$5:$E$2736,$F538)="","",INDEX(選手一覧!$E$5:$E$2736,$F538))</f>
        <v/>
      </c>
      <c r="I538" s="11" t="str">
        <f aca="false">IF(INDEX(選手一覧!$H$5:$H$2736,$F538)="","",INDEX(選手一覧!$H$5:$H$2736,$F538))</f>
        <v/>
      </c>
      <c r="J538" s="12" t="str">
        <f aca="false">IF(INDEX(選手一覧!$I$5:$I$2736,$F538)="","",INDEX(選手一覧!$I$5:$I$2736,$F538))</f>
        <v/>
      </c>
    </row>
    <row r="539" customFormat="false" ht="15" hidden="false" customHeight="false" outlineLevel="0" collapsed="false">
      <c r="A539" s="12" t="n">
        <v>536</v>
      </c>
      <c r="B539" s="8" t="s">
        <v>2537</v>
      </c>
      <c r="C539" s="8" t="s">
        <v>2538</v>
      </c>
      <c r="D539" s="11" t="n">
        <v>0.00719988425925926</v>
      </c>
      <c r="E539" s="39" t="n">
        <f aca="false">ROUND((D539-$D$5)*86400,2)</f>
        <v>83.05</v>
      </c>
      <c r="F539" s="12" t="n">
        <v>1625</v>
      </c>
      <c r="G539" s="11" t="str">
        <f aca="false">IF(INDEX(選手一覧!$D$5:$D$2736,$F539)="","",INDEX(選手一覧!$D$5:$D$2736,$F539))</f>
        <v/>
      </c>
      <c r="H539" s="12" t="str">
        <f aca="false">IF(INDEX(選手一覧!$E$5:$E$2736,$F539)="","",INDEX(選手一覧!$E$5:$E$2736,$F539))</f>
        <v/>
      </c>
      <c r="I539" s="11" t="str">
        <f aca="false">IF(INDEX(選手一覧!$H$5:$H$2736,$F539)="","",INDEX(選手一覧!$H$5:$H$2736,$F539))</f>
        <v/>
      </c>
      <c r="J539" s="12" t="str">
        <f aca="false">IF(INDEX(選手一覧!$I$5:$I$2736,$F539)="","",INDEX(選手一覧!$I$5:$I$2736,$F539))</f>
        <v/>
      </c>
    </row>
    <row r="540" customFormat="false" ht="15" hidden="false" customHeight="false" outlineLevel="0" collapsed="false">
      <c r="A540" s="12" t="n">
        <v>537</v>
      </c>
      <c r="B540" s="8" t="s">
        <v>2540</v>
      </c>
      <c r="C540" s="8" t="s">
        <v>2174</v>
      </c>
      <c r="D540" s="11" t="n">
        <v>0.00720092592592593</v>
      </c>
      <c r="E540" s="39" t="n">
        <f aca="false">ROUND((D540-$D$5)*86400,2)</f>
        <v>83.14</v>
      </c>
      <c r="F540" s="12" t="n">
        <v>1627</v>
      </c>
      <c r="G540" s="11" t="str">
        <f aca="false">IF(INDEX(選手一覧!$D$5:$D$2736,$F540)="","",INDEX(選手一覧!$D$5:$D$2736,$F540))</f>
        <v/>
      </c>
      <c r="H540" s="12" t="str">
        <f aca="false">IF(INDEX(選手一覧!$E$5:$E$2736,$F540)="","",INDEX(選手一覧!$E$5:$E$2736,$F540))</f>
        <v/>
      </c>
      <c r="I540" s="11" t="str">
        <f aca="false">IF(INDEX(選手一覧!$H$5:$H$2736,$F540)="","",INDEX(選手一覧!$H$5:$H$2736,$F540))</f>
        <v/>
      </c>
      <c r="J540" s="12" t="str">
        <f aca="false">IF(INDEX(選手一覧!$I$5:$I$2736,$F540)="","",INDEX(選手一覧!$I$5:$I$2736,$F540))</f>
        <v/>
      </c>
    </row>
    <row r="541" customFormat="false" ht="15" hidden="false" customHeight="false" outlineLevel="0" collapsed="false">
      <c r="A541" s="12" t="n">
        <v>538</v>
      </c>
      <c r="B541" s="8" t="s">
        <v>2542</v>
      </c>
      <c r="C541" s="8" t="s">
        <v>554</v>
      </c>
      <c r="D541" s="11" t="n">
        <v>0.00720127314814815</v>
      </c>
      <c r="E541" s="39" t="n">
        <f aca="false">ROUND((D541-$D$5)*86400,2)</f>
        <v>83.17</v>
      </c>
      <c r="F541" s="12" t="n">
        <v>1629</v>
      </c>
      <c r="G541" s="11" t="str">
        <f aca="false">IF(INDEX(選手一覧!$D$5:$D$2736,$F541)="","",INDEX(選手一覧!$D$5:$D$2736,$F541))</f>
        <v/>
      </c>
      <c r="H541" s="12" t="str">
        <f aca="false">IF(INDEX(選手一覧!$E$5:$E$2736,$F541)="","",INDEX(選手一覧!$E$5:$E$2736,$F541))</f>
        <v/>
      </c>
      <c r="I541" s="11" t="n">
        <f aca="false">IF(INDEX(選手一覧!$H$5:$H$2736,$F541)="","",INDEX(選手一覧!$H$5:$H$2736,$F541))</f>
        <v>0.0029755787037037</v>
      </c>
      <c r="J541" s="12" t="n">
        <f aca="false">IF(INDEX(選手一覧!$I$5:$I$2736,$F541)="","",INDEX(選手一覧!$I$5:$I$2736,$F541))</f>
        <v>1329</v>
      </c>
    </row>
    <row r="542" customFormat="false" ht="15" hidden="false" customHeight="false" outlineLevel="0" collapsed="false">
      <c r="A542" s="12" t="n">
        <v>539</v>
      </c>
      <c r="B542" s="8" t="s">
        <v>2543</v>
      </c>
      <c r="C542" s="8" t="s">
        <v>1835</v>
      </c>
      <c r="D542" s="11" t="n">
        <v>0.00720127314814815</v>
      </c>
      <c r="E542" s="39" t="n">
        <f aca="false">ROUND((D542-$D$5)*86400,2)</f>
        <v>83.17</v>
      </c>
      <c r="F542" s="12" t="n">
        <v>1630</v>
      </c>
      <c r="G542" s="11" t="str">
        <f aca="false">IF(INDEX(選手一覧!$D$5:$D$2736,$F542)="","",INDEX(選手一覧!$D$5:$D$2736,$F542))</f>
        <v/>
      </c>
      <c r="H542" s="12" t="str">
        <f aca="false">IF(INDEX(選手一覧!$E$5:$E$2736,$F542)="","",INDEX(選手一覧!$E$5:$E$2736,$F542))</f>
        <v/>
      </c>
      <c r="I542" s="11" t="str">
        <f aca="false">IF(INDEX(選手一覧!$H$5:$H$2736,$F542)="","",INDEX(選手一覧!$H$5:$H$2736,$F542))</f>
        <v/>
      </c>
      <c r="J542" s="12" t="str">
        <f aca="false">IF(INDEX(選手一覧!$I$5:$I$2736,$F542)="","",INDEX(選手一覧!$I$5:$I$2736,$F542))</f>
        <v/>
      </c>
    </row>
    <row r="543" customFormat="false" ht="15" hidden="false" customHeight="false" outlineLevel="0" collapsed="false">
      <c r="A543" s="12" t="n">
        <v>540</v>
      </c>
      <c r="B543" s="8" t="s">
        <v>2544</v>
      </c>
      <c r="C543" s="8" t="s">
        <v>2545</v>
      </c>
      <c r="D543" s="11" t="n">
        <v>0.00720138888888889</v>
      </c>
      <c r="E543" s="39" t="n">
        <f aca="false">ROUND((D543-$D$5)*86400,2)</f>
        <v>83.18</v>
      </c>
      <c r="F543" s="12" t="n">
        <v>1631</v>
      </c>
      <c r="G543" s="11" t="str">
        <f aca="false">IF(INDEX(選手一覧!$D$5:$D$2736,$F543)="","",INDEX(選手一覧!$D$5:$D$2736,$F543))</f>
        <v/>
      </c>
      <c r="H543" s="12" t="str">
        <f aca="false">IF(INDEX(選手一覧!$E$5:$E$2736,$F543)="","",INDEX(選手一覧!$E$5:$E$2736,$F543))</f>
        <v/>
      </c>
      <c r="I543" s="11" t="str">
        <f aca="false">IF(INDEX(選手一覧!$H$5:$H$2736,$F543)="","",INDEX(選手一覧!$H$5:$H$2736,$F543))</f>
        <v/>
      </c>
      <c r="J543" s="12" t="str">
        <f aca="false">IF(INDEX(選手一覧!$I$5:$I$2736,$F543)="","",INDEX(選手一覧!$I$5:$I$2736,$F543))</f>
        <v/>
      </c>
    </row>
    <row r="544" customFormat="false" ht="15" hidden="false" customHeight="false" outlineLevel="0" collapsed="false">
      <c r="A544" s="12" t="n">
        <v>541</v>
      </c>
      <c r="B544" s="8" t="s">
        <v>467</v>
      </c>
      <c r="C544" s="8" t="s">
        <v>427</v>
      </c>
      <c r="D544" s="11" t="n">
        <v>0.0072037037037037</v>
      </c>
      <c r="E544" s="39" t="n">
        <f aca="false">ROUND((D544-$D$5)*86400,2)</f>
        <v>83.38</v>
      </c>
      <c r="F544" s="12" t="n">
        <v>244</v>
      </c>
      <c r="G544" s="11" t="n">
        <f aca="false">IF(INDEX(選手一覧!$D$5:$D$2736,$F544)="","",INDEX(選手一覧!$D$5:$D$2736,$F544))</f>
        <v>0.0103844907407407</v>
      </c>
      <c r="H544" s="12" t="n">
        <f aca="false">IF(INDEX(選手一覧!$E$5:$E$2736,$F544)="","",INDEX(選手一覧!$E$5:$E$2736,$F544))</f>
        <v>245</v>
      </c>
      <c r="I544" s="11" t="n">
        <f aca="false">IF(INDEX(選手一覧!$H$5:$H$2736,$F544)="","",INDEX(選手一覧!$H$5:$H$2736,$F544))</f>
        <v>0.00296643518518519</v>
      </c>
      <c r="J544" s="12" t="n">
        <f aca="false">IF(INDEX(選手一覧!$I$5:$I$2736,$F544)="","",INDEX(選手一覧!$I$5:$I$2736,$F544))</f>
        <v>1297</v>
      </c>
    </row>
    <row r="545" customFormat="false" ht="15" hidden="false" customHeight="false" outlineLevel="0" collapsed="false">
      <c r="A545" s="12" t="n">
        <v>542</v>
      </c>
      <c r="B545" s="8" t="s">
        <v>2550</v>
      </c>
      <c r="C545" s="8" t="s">
        <v>1503</v>
      </c>
      <c r="D545" s="11" t="n">
        <v>0.00720474537037037</v>
      </c>
      <c r="E545" s="39" t="n">
        <f aca="false">ROUND((D545-$D$5)*86400,2)</f>
        <v>83.47</v>
      </c>
      <c r="F545" s="12" t="n">
        <v>1634</v>
      </c>
      <c r="G545" s="11" t="str">
        <f aca="false">IF(INDEX(選手一覧!$D$5:$D$2736,$F545)="","",INDEX(選手一覧!$D$5:$D$2736,$F545))</f>
        <v/>
      </c>
      <c r="H545" s="12" t="str">
        <f aca="false">IF(INDEX(選手一覧!$E$5:$E$2736,$F545)="","",INDEX(選手一覧!$E$5:$E$2736,$F545))</f>
        <v/>
      </c>
      <c r="I545" s="11" t="n">
        <f aca="false">IF(INDEX(選手一覧!$H$5:$H$2736,$F545)="","",INDEX(選手一覧!$H$5:$H$2736,$F545))</f>
        <v>0.00292210648148148</v>
      </c>
      <c r="J545" s="12" t="n">
        <f aca="false">IF(INDEX(選手一覧!$I$5:$I$2736,$F545)="","",INDEX(選手一覧!$I$5:$I$2736,$F545))</f>
        <v>1114</v>
      </c>
    </row>
    <row r="546" customFormat="false" ht="15" hidden="false" customHeight="false" outlineLevel="0" collapsed="false">
      <c r="A546" s="12" t="n">
        <v>543</v>
      </c>
      <c r="B546" s="8" t="s">
        <v>2551</v>
      </c>
      <c r="C546" s="8" t="s">
        <v>2552</v>
      </c>
      <c r="D546" s="11" t="n">
        <v>0.00720555555555556</v>
      </c>
      <c r="E546" s="39" t="n">
        <f aca="false">ROUND((D546-$D$5)*86400,2)</f>
        <v>83.54</v>
      </c>
      <c r="F546" s="12" t="n">
        <v>1635</v>
      </c>
      <c r="G546" s="11" t="str">
        <f aca="false">IF(INDEX(選手一覧!$D$5:$D$2736,$F546)="","",INDEX(選手一覧!$D$5:$D$2736,$F546))</f>
        <v/>
      </c>
      <c r="H546" s="12" t="str">
        <f aca="false">IF(INDEX(選手一覧!$E$5:$E$2736,$F546)="","",INDEX(選手一覧!$E$5:$E$2736,$F546))</f>
        <v/>
      </c>
      <c r="I546" s="11" t="str">
        <f aca="false">IF(INDEX(選手一覧!$H$5:$H$2736,$F546)="","",INDEX(選手一覧!$H$5:$H$2736,$F546))</f>
        <v/>
      </c>
      <c r="J546" s="12" t="str">
        <f aca="false">IF(INDEX(選手一覧!$I$5:$I$2736,$F546)="","",INDEX(選手一覧!$I$5:$I$2736,$F546))</f>
        <v/>
      </c>
    </row>
    <row r="547" customFormat="false" ht="15" hidden="false" customHeight="false" outlineLevel="0" collapsed="false">
      <c r="A547" s="12" t="n">
        <v>544</v>
      </c>
      <c r="B547" s="8" t="s">
        <v>2553</v>
      </c>
      <c r="C547" s="8" t="s">
        <v>2554</v>
      </c>
      <c r="D547" s="11" t="n">
        <v>0.00720856481481482</v>
      </c>
      <c r="E547" s="39" t="n">
        <f aca="false">ROUND((D547-$D$5)*86400,2)</f>
        <v>83.8</v>
      </c>
      <c r="F547" s="12" t="n">
        <v>1636</v>
      </c>
      <c r="G547" s="11" t="str">
        <f aca="false">IF(INDEX(選手一覧!$D$5:$D$2736,$F547)="","",INDEX(選手一覧!$D$5:$D$2736,$F547))</f>
        <v/>
      </c>
      <c r="H547" s="12" t="str">
        <f aca="false">IF(INDEX(選手一覧!$E$5:$E$2736,$F547)="","",INDEX(選手一覧!$E$5:$E$2736,$F547))</f>
        <v/>
      </c>
      <c r="I547" s="11" t="n">
        <f aca="false">IF(INDEX(選手一覧!$H$5:$H$2736,$F547)="","",INDEX(選手一覧!$H$5:$H$2736,$F547))</f>
        <v>0.00297523148148148</v>
      </c>
      <c r="J547" s="12" t="n">
        <f aca="false">IF(INDEX(選手一覧!$I$5:$I$2736,$F547)="","",INDEX(選手一覧!$I$5:$I$2736,$F547))</f>
        <v>1326</v>
      </c>
    </row>
    <row r="548" customFormat="false" ht="15" hidden="false" customHeight="false" outlineLevel="0" collapsed="false">
      <c r="A548" s="12" t="n">
        <v>545</v>
      </c>
      <c r="B548" s="8" t="s">
        <v>1554</v>
      </c>
      <c r="C548" s="8" t="s">
        <v>316</v>
      </c>
      <c r="D548" s="11" t="n">
        <v>0.00720891203703704</v>
      </c>
      <c r="E548" s="39" t="n">
        <f aca="false">ROUND((D548-$D$5)*86400,2)</f>
        <v>83.83</v>
      </c>
      <c r="F548" s="12" t="n">
        <v>954</v>
      </c>
      <c r="G548" s="11" t="n">
        <f aca="false">IF(INDEX(選手一覧!$D$5:$D$2736,$F548)="","",INDEX(選手一覧!$D$5:$D$2736,$F548))</f>
        <v>0.0109229166666667</v>
      </c>
      <c r="H548" s="12" t="n">
        <f aca="false">IF(INDEX(選手一覧!$E$5:$E$2736,$F548)="","",INDEX(選手一覧!$E$5:$E$2736,$F548))</f>
        <v>955</v>
      </c>
      <c r="I548" s="11" t="n">
        <f aca="false">IF(INDEX(選手一覧!$H$5:$H$2736,$F548)="","",INDEX(選手一覧!$H$5:$H$2736,$F548))</f>
        <v>0.00281759259259259</v>
      </c>
      <c r="J548" s="12" t="n">
        <f aca="false">IF(INDEX(選手一覧!$I$5:$I$2736,$F548)="","",INDEX(選手一覧!$I$5:$I$2736,$F548))</f>
        <v>353</v>
      </c>
    </row>
    <row r="549" customFormat="false" ht="15" hidden="false" customHeight="false" outlineLevel="0" collapsed="false">
      <c r="A549" s="12" t="n">
        <v>546</v>
      </c>
      <c r="B549" s="8" t="s">
        <v>852</v>
      </c>
      <c r="C549" s="8" t="s">
        <v>853</v>
      </c>
      <c r="D549" s="11" t="n">
        <v>0.00720949074074074</v>
      </c>
      <c r="E549" s="39" t="n">
        <f aca="false">ROUND((D549-$D$5)*86400,2)</f>
        <v>83.88</v>
      </c>
      <c r="F549" s="12" t="n">
        <v>489</v>
      </c>
      <c r="G549" s="11" t="n">
        <f aca="false">IF(INDEX(選手一覧!$D$5:$D$2736,$F549)="","",INDEX(選手一覧!$D$5:$D$2736,$F549))</f>
        <v>0.0106164351851852</v>
      </c>
      <c r="H549" s="12" t="n">
        <f aca="false">IF(INDEX(選手一覧!$E$5:$E$2736,$F549)="","",INDEX(選手一覧!$E$5:$E$2736,$F549))</f>
        <v>490</v>
      </c>
      <c r="I549" s="11" t="n">
        <f aca="false">IF(INDEX(選手一覧!$H$5:$H$2736,$F549)="","",INDEX(選手一覧!$H$5:$H$2736,$F549))</f>
        <v>0.00291678240740741</v>
      </c>
      <c r="J549" s="12" t="n">
        <f aca="false">IF(INDEX(選手一覧!$I$5:$I$2736,$F549)="","",INDEX(選手一覧!$I$5:$I$2736,$F549))</f>
        <v>1064</v>
      </c>
    </row>
    <row r="550" customFormat="false" ht="15" hidden="false" customHeight="false" outlineLevel="0" collapsed="false">
      <c r="A550" s="12" t="n">
        <v>547</v>
      </c>
      <c r="B550" s="8" t="s">
        <v>2555</v>
      </c>
      <c r="C550" s="8" t="s">
        <v>2556</v>
      </c>
      <c r="D550" s="11" t="n">
        <v>0.00721018518518519</v>
      </c>
      <c r="E550" s="39" t="n">
        <f aca="false">ROUND((D550-$D$5)*86400,2)</f>
        <v>83.94</v>
      </c>
      <c r="F550" s="12" t="n">
        <v>1637</v>
      </c>
      <c r="G550" s="11" t="str">
        <f aca="false">IF(INDEX(選手一覧!$D$5:$D$2736,$F550)="","",INDEX(選手一覧!$D$5:$D$2736,$F550))</f>
        <v/>
      </c>
      <c r="H550" s="12" t="str">
        <f aca="false">IF(INDEX(選手一覧!$E$5:$E$2736,$F550)="","",INDEX(選手一覧!$E$5:$E$2736,$F550))</f>
        <v/>
      </c>
      <c r="I550" s="11" t="str">
        <f aca="false">IF(INDEX(選手一覧!$H$5:$H$2736,$F550)="","",INDEX(選手一覧!$H$5:$H$2736,$F550))</f>
        <v/>
      </c>
      <c r="J550" s="12" t="str">
        <f aca="false">IF(INDEX(選手一覧!$I$5:$I$2736,$F550)="","",INDEX(選手一覧!$I$5:$I$2736,$F550))</f>
        <v/>
      </c>
    </row>
    <row r="551" customFormat="false" ht="15" hidden="false" customHeight="false" outlineLevel="0" collapsed="false">
      <c r="A551" s="12" t="n">
        <v>548</v>
      </c>
      <c r="B551" s="8" t="s">
        <v>2558</v>
      </c>
      <c r="C551" s="8" t="s">
        <v>868</v>
      </c>
      <c r="D551" s="11" t="n">
        <v>0.00721053240740741</v>
      </c>
      <c r="E551" s="39" t="n">
        <f aca="false">ROUND((D551-$D$5)*86400,2)</f>
        <v>83.97</v>
      </c>
      <c r="F551" s="12" t="n">
        <v>1639</v>
      </c>
      <c r="G551" s="11" t="str">
        <f aca="false">IF(INDEX(選手一覧!$D$5:$D$2736,$F551)="","",INDEX(選手一覧!$D$5:$D$2736,$F551))</f>
        <v/>
      </c>
      <c r="H551" s="12" t="str">
        <f aca="false">IF(INDEX(選手一覧!$E$5:$E$2736,$F551)="","",INDEX(選手一覧!$E$5:$E$2736,$F551))</f>
        <v/>
      </c>
      <c r="I551" s="11" t="str">
        <f aca="false">IF(INDEX(選手一覧!$H$5:$H$2736,$F551)="","",INDEX(選手一覧!$H$5:$H$2736,$F551))</f>
        <v/>
      </c>
      <c r="J551" s="12" t="str">
        <f aca="false">IF(INDEX(選手一覧!$I$5:$I$2736,$F551)="","",INDEX(選手一覧!$I$5:$I$2736,$F551))</f>
        <v/>
      </c>
    </row>
    <row r="552" customFormat="false" ht="15" hidden="false" customHeight="false" outlineLevel="0" collapsed="false">
      <c r="A552" s="12" t="n">
        <v>549</v>
      </c>
      <c r="B552" s="8" t="s">
        <v>2561</v>
      </c>
      <c r="C552" s="8" t="s">
        <v>2562</v>
      </c>
      <c r="D552" s="11" t="n">
        <v>0.00721134259259259</v>
      </c>
      <c r="E552" s="39" t="n">
        <f aca="false">ROUND((D552-$D$5)*86400,2)</f>
        <v>84.04</v>
      </c>
      <c r="F552" s="12" t="n">
        <v>1641</v>
      </c>
      <c r="G552" s="11" t="str">
        <f aca="false">IF(INDEX(選手一覧!$D$5:$D$2736,$F552)="","",INDEX(選手一覧!$D$5:$D$2736,$F552))</f>
        <v/>
      </c>
      <c r="H552" s="12" t="str">
        <f aca="false">IF(INDEX(選手一覧!$E$5:$E$2736,$F552)="","",INDEX(選手一覧!$E$5:$E$2736,$F552))</f>
        <v/>
      </c>
      <c r="I552" s="11" t="str">
        <f aca="false">IF(INDEX(選手一覧!$H$5:$H$2736,$F552)="","",INDEX(選手一覧!$H$5:$H$2736,$F552))</f>
        <v/>
      </c>
      <c r="J552" s="12" t="str">
        <f aca="false">IF(INDEX(選手一覧!$I$5:$I$2736,$F552)="","",INDEX(選手一覧!$I$5:$I$2736,$F552))</f>
        <v/>
      </c>
    </row>
    <row r="553" customFormat="false" ht="15" hidden="false" customHeight="false" outlineLevel="0" collapsed="false">
      <c r="A553" s="12" t="n">
        <v>550</v>
      </c>
      <c r="B553" s="8" t="s">
        <v>1739</v>
      </c>
      <c r="C553" s="8" t="s">
        <v>1740</v>
      </c>
      <c r="D553" s="11" t="n">
        <v>0.00721296296296296</v>
      </c>
      <c r="E553" s="39" t="n">
        <f aca="false">ROUND((D553-$D$5)*86400,2)</f>
        <v>84.18</v>
      </c>
      <c r="F553" s="12" t="n">
        <v>1080</v>
      </c>
      <c r="G553" s="11" t="n">
        <f aca="false">IF(INDEX(選手一覧!$D$5:$D$2736,$F553)="","",INDEX(選手一覧!$D$5:$D$2736,$F553))</f>
        <v>0.0109909722222222</v>
      </c>
      <c r="H553" s="12" t="n">
        <f aca="false">IF(INDEX(選手一覧!$E$5:$E$2736,$F553)="","",INDEX(選手一覧!$E$5:$E$2736,$F553))</f>
        <v>1081</v>
      </c>
      <c r="I553" s="11" t="str">
        <f aca="false">IF(INDEX(選手一覧!$H$5:$H$2736,$F553)="","",INDEX(選手一覧!$H$5:$H$2736,$F553))</f>
        <v/>
      </c>
      <c r="J553" s="12" t="str">
        <f aca="false">IF(INDEX(選手一覧!$I$5:$I$2736,$F553)="","",INDEX(選手一覧!$I$5:$I$2736,$F553))</f>
        <v/>
      </c>
    </row>
    <row r="554" customFormat="false" ht="15" hidden="false" customHeight="false" outlineLevel="0" collapsed="false">
      <c r="A554" s="12" t="n">
        <v>551</v>
      </c>
      <c r="B554" s="8" t="s">
        <v>2567</v>
      </c>
      <c r="C554" s="8" t="s">
        <v>373</v>
      </c>
      <c r="D554" s="11" t="n">
        <v>0.00721342592592593</v>
      </c>
      <c r="E554" s="39" t="n">
        <f aca="false">ROUND((D554-$D$5)*86400,2)</f>
        <v>84.22</v>
      </c>
      <c r="F554" s="12" t="n">
        <v>1644</v>
      </c>
      <c r="G554" s="11" t="str">
        <f aca="false">IF(INDEX(選手一覧!$D$5:$D$2736,$F554)="","",INDEX(選手一覧!$D$5:$D$2736,$F554))</f>
        <v/>
      </c>
      <c r="H554" s="12" t="str">
        <f aca="false">IF(INDEX(選手一覧!$E$5:$E$2736,$F554)="","",INDEX(選手一覧!$E$5:$E$2736,$F554))</f>
        <v/>
      </c>
      <c r="I554" s="11" t="str">
        <f aca="false">IF(INDEX(選手一覧!$H$5:$H$2736,$F554)="","",INDEX(選手一覧!$H$5:$H$2736,$F554))</f>
        <v/>
      </c>
      <c r="J554" s="12" t="str">
        <f aca="false">IF(INDEX(選手一覧!$I$5:$I$2736,$F554)="","",INDEX(選手一覧!$I$5:$I$2736,$F554))</f>
        <v/>
      </c>
    </row>
    <row r="555" customFormat="false" ht="15" hidden="false" customHeight="false" outlineLevel="0" collapsed="false">
      <c r="A555" s="12" t="n">
        <v>552</v>
      </c>
      <c r="B555" s="8" t="s">
        <v>2568</v>
      </c>
      <c r="C555" s="8" t="s">
        <v>2569</v>
      </c>
      <c r="D555" s="11" t="n">
        <v>0.00721365740740741</v>
      </c>
      <c r="E555" s="39" t="n">
        <f aca="false">ROUND((D555-$D$5)*86400,2)</f>
        <v>84.24</v>
      </c>
      <c r="F555" s="12" t="n">
        <v>1645</v>
      </c>
      <c r="G555" s="11" t="str">
        <f aca="false">IF(INDEX(選手一覧!$D$5:$D$2736,$F555)="","",INDEX(選手一覧!$D$5:$D$2736,$F555))</f>
        <v/>
      </c>
      <c r="H555" s="12" t="str">
        <f aca="false">IF(INDEX(選手一覧!$E$5:$E$2736,$F555)="","",INDEX(選手一覧!$E$5:$E$2736,$F555))</f>
        <v/>
      </c>
      <c r="I555" s="11" t="str">
        <f aca="false">IF(INDEX(選手一覧!$H$5:$H$2736,$F555)="","",INDEX(選手一覧!$H$5:$H$2736,$F555))</f>
        <v/>
      </c>
      <c r="J555" s="12" t="str">
        <f aca="false">IF(INDEX(選手一覧!$I$5:$I$2736,$F555)="","",INDEX(選手一覧!$I$5:$I$2736,$F555))</f>
        <v/>
      </c>
    </row>
    <row r="556" customFormat="false" ht="15" hidden="false" customHeight="false" outlineLevel="0" collapsed="false">
      <c r="A556" s="12" t="n">
        <v>553</v>
      </c>
      <c r="B556" s="8" t="s">
        <v>2570</v>
      </c>
      <c r="C556" s="8" t="s">
        <v>2571</v>
      </c>
      <c r="D556" s="11" t="n">
        <v>0.00721435185185185</v>
      </c>
      <c r="E556" s="39" t="n">
        <f aca="false">ROUND((D556-$D$5)*86400,2)</f>
        <v>84.3</v>
      </c>
      <c r="F556" s="12" t="n">
        <v>1646</v>
      </c>
      <c r="G556" s="11" t="str">
        <f aca="false">IF(INDEX(選手一覧!$D$5:$D$2736,$F556)="","",INDEX(選手一覧!$D$5:$D$2736,$F556))</f>
        <v/>
      </c>
      <c r="H556" s="12" t="str">
        <f aca="false">IF(INDEX(選手一覧!$E$5:$E$2736,$F556)="","",INDEX(選手一覧!$E$5:$E$2736,$F556))</f>
        <v/>
      </c>
      <c r="I556" s="11" t="str">
        <f aca="false">IF(INDEX(選手一覧!$H$5:$H$2736,$F556)="","",INDEX(選手一覧!$H$5:$H$2736,$F556))</f>
        <v/>
      </c>
      <c r="J556" s="12" t="str">
        <f aca="false">IF(INDEX(選手一覧!$I$5:$I$2736,$F556)="","",INDEX(選手一覧!$I$5:$I$2736,$F556))</f>
        <v/>
      </c>
    </row>
    <row r="557" customFormat="false" ht="15" hidden="false" customHeight="false" outlineLevel="0" collapsed="false">
      <c r="A557" s="12" t="n">
        <v>554</v>
      </c>
      <c r="B557" s="8" t="s">
        <v>2572</v>
      </c>
      <c r="C557" s="8" t="s">
        <v>2573</v>
      </c>
      <c r="D557" s="11" t="n">
        <v>0.00721539351851852</v>
      </c>
      <c r="E557" s="39" t="n">
        <f aca="false">ROUND((D557-$D$5)*86400,2)</f>
        <v>84.39</v>
      </c>
      <c r="F557" s="12" t="n">
        <v>1647</v>
      </c>
      <c r="G557" s="11" t="str">
        <f aca="false">IF(INDEX(選手一覧!$D$5:$D$2736,$F557)="","",INDEX(選手一覧!$D$5:$D$2736,$F557))</f>
        <v/>
      </c>
      <c r="H557" s="12" t="str">
        <f aca="false">IF(INDEX(選手一覧!$E$5:$E$2736,$F557)="","",INDEX(選手一覧!$E$5:$E$2736,$F557))</f>
        <v/>
      </c>
      <c r="I557" s="11" t="str">
        <f aca="false">IF(INDEX(選手一覧!$H$5:$H$2736,$F557)="","",INDEX(選手一覧!$H$5:$H$2736,$F557))</f>
        <v/>
      </c>
      <c r="J557" s="12" t="str">
        <f aca="false">IF(INDEX(選手一覧!$I$5:$I$2736,$F557)="","",INDEX(選手一覧!$I$5:$I$2736,$F557))</f>
        <v/>
      </c>
    </row>
    <row r="558" customFormat="false" ht="15" hidden="false" customHeight="false" outlineLevel="0" collapsed="false">
      <c r="A558" s="12" t="n">
        <v>555</v>
      </c>
      <c r="B558" s="8" t="s">
        <v>2574</v>
      </c>
      <c r="C558" s="8" t="s">
        <v>2575</v>
      </c>
      <c r="D558" s="11" t="n">
        <v>0.00721608796296296</v>
      </c>
      <c r="E558" s="39" t="n">
        <f aca="false">ROUND((D558-$D$5)*86400,2)</f>
        <v>84.45</v>
      </c>
      <c r="F558" s="12" t="n">
        <v>1648</v>
      </c>
      <c r="G558" s="11" t="str">
        <f aca="false">IF(INDEX(選手一覧!$D$5:$D$2736,$F558)="","",INDEX(選手一覧!$D$5:$D$2736,$F558))</f>
        <v/>
      </c>
      <c r="H558" s="12" t="str">
        <f aca="false">IF(INDEX(選手一覧!$E$5:$E$2736,$F558)="","",INDEX(選手一覧!$E$5:$E$2736,$F558))</f>
        <v/>
      </c>
      <c r="I558" s="11" t="str">
        <f aca="false">IF(INDEX(選手一覧!$H$5:$H$2736,$F558)="","",INDEX(選手一覧!$H$5:$H$2736,$F558))</f>
        <v/>
      </c>
      <c r="J558" s="12" t="str">
        <f aca="false">IF(INDEX(選手一覧!$I$5:$I$2736,$F558)="","",INDEX(選手一覧!$I$5:$I$2736,$F558))</f>
        <v/>
      </c>
    </row>
    <row r="559" customFormat="false" ht="15" hidden="false" customHeight="false" outlineLevel="0" collapsed="false">
      <c r="A559" s="12" t="n">
        <v>556</v>
      </c>
      <c r="B559" s="8" t="s">
        <v>2576</v>
      </c>
      <c r="C559" s="8" t="s">
        <v>2377</v>
      </c>
      <c r="D559" s="11" t="n">
        <v>0.00721655092592593</v>
      </c>
      <c r="E559" s="39" t="n">
        <f aca="false">ROUND((D559-$D$5)*86400,2)</f>
        <v>84.49</v>
      </c>
      <c r="F559" s="12" t="n">
        <v>1649</v>
      </c>
      <c r="G559" s="11" t="str">
        <f aca="false">IF(INDEX(選手一覧!$D$5:$D$2736,$F559)="","",INDEX(選手一覧!$D$5:$D$2736,$F559))</f>
        <v/>
      </c>
      <c r="H559" s="12" t="str">
        <f aca="false">IF(INDEX(選手一覧!$E$5:$E$2736,$F559)="","",INDEX(選手一覧!$E$5:$E$2736,$F559))</f>
        <v/>
      </c>
      <c r="I559" s="11" t="str">
        <f aca="false">IF(INDEX(選手一覧!$H$5:$H$2736,$F559)="","",INDEX(選手一覧!$H$5:$H$2736,$F559))</f>
        <v/>
      </c>
      <c r="J559" s="12" t="str">
        <f aca="false">IF(INDEX(選手一覧!$I$5:$I$2736,$F559)="","",INDEX(選手一覧!$I$5:$I$2736,$F559))</f>
        <v/>
      </c>
    </row>
    <row r="560" customFormat="false" ht="15" hidden="false" customHeight="false" outlineLevel="0" collapsed="false">
      <c r="A560" s="12" t="n">
        <v>557</v>
      </c>
      <c r="B560" s="8" t="s">
        <v>1874</v>
      </c>
      <c r="C560" s="8" t="s">
        <v>1875</v>
      </c>
      <c r="D560" s="11" t="n">
        <v>0.00721666666666667</v>
      </c>
      <c r="E560" s="39" t="n">
        <f aca="false">ROUND((D560-$D$5)*86400,2)</f>
        <v>84.5</v>
      </c>
      <c r="F560" s="12" t="n">
        <v>1170</v>
      </c>
      <c r="G560" s="11" t="n">
        <f aca="false">IF(INDEX(選手一覧!$D$5:$D$2736,$F560)="","",INDEX(選手一覧!$D$5:$D$2736,$F560))</f>
        <v>0.0110373842592593</v>
      </c>
      <c r="H560" s="12" t="n">
        <f aca="false">IF(INDEX(選手一覧!$E$5:$E$2736,$F560)="","",INDEX(選手一覧!$E$5:$E$2736,$F560))</f>
        <v>1171</v>
      </c>
      <c r="I560" s="11" t="n">
        <f aca="false">IF(INDEX(選手一覧!$H$5:$H$2736,$F560)="","",INDEX(選手一覧!$H$5:$H$2736,$F560))</f>
        <v>0.00294166666666667</v>
      </c>
      <c r="J560" s="12" t="n">
        <f aca="false">IF(INDEX(選手一覧!$I$5:$I$2736,$F560)="","",INDEX(選手一覧!$I$5:$I$2736,$F560))</f>
        <v>1206</v>
      </c>
    </row>
    <row r="561" customFormat="false" ht="15" hidden="false" customHeight="false" outlineLevel="0" collapsed="false">
      <c r="A561" s="12" t="n">
        <v>558</v>
      </c>
      <c r="B561" s="8" t="s">
        <v>2578</v>
      </c>
      <c r="C561" s="8" t="s">
        <v>2579</v>
      </c>
      <c r="D561" s="11" t="n">
        <v>0.00721712962962963</v>
      </c>
      <c r="E561" s="39" t="n">
        <f aca="false">ROUND((D561-$D$5)*86400,2)</f>
        <v>84.54</v>
      </c>
      <c r="F561" s="12" t="n">
        <v>1651</v>
      </c>
      <c r="G561" s="11" t="str">
        <f aca="false">IF(INDEX(選手一覧!$D$5:$D$2736,$F561)="","",INDEX(選手一覧!$D$5:$D$2736,$F561))</f>
        <v/>
      </c>
      <c r="H561" s="12" t="str">
        <f aca="false">IF(INDEX(選手一覧!$E$5:$E$2736,$F561)="","",INDEX(選手一覧!$E$5:$E$2736,$F561))</f>
        <v/>
      </c>
      <c r="I561" s="11" t="str">
        <f aca="false">IF(INDEX(選手一覧!$H$5:$H$2736,$F561)="","",INDEX(選手一覧!$H$5:$H$2736,$F561))</f>
        <v/>
      </c>
      <c r="J561" s="12" t="str">
        <f aca="false">IF(INDEX(選手一覧!$I$5:$I$2736,$F561)="","",INDEX(選手一覧!$I$5:$I$2736,$F561))</f>
        <v/>
      </c>
    </row>
    <row r="562" customFormat="false" ht="15" hidden="false" customHeight="false" outlineLevel="0" collapsed="false">
      <c r="A562" s="12" t="n">
        <v>559</v>
      </c>
      <c r="B562" s="8" t="s">
        <v>2580</v>
      </c>
      <c r="C562" s="8" t="s">
        <v>2581</v>
      </c>
      <c r="D562" s="11" t="n">
        <v>0.00722013888888889</v>
      </c>
      <c r="E562" s="39" t="n">
        <f aca="false">ROUND((D562-$D$5)*86400,2)</f>
        <v>84.8</v>
      </c>
      <c r="F562" s="12" t="n">
        <v>1652</v>
      </c>
      <c r="G562" s="11" t="str">
        <f aca="false">IF(INDEX(選手一覧!$D$5:$D$2736,$F562)="","",INDEX(選手一覧!$D$5:$D$2736,$F562))</f>
        <v/>
      </c>
      <c r="H562" s="12" t="str">
        <f aca="false">IF(INDEX(選手一覧!$E$5:$E$2736,$F562)="","",INDEX(選手一覧!$E$5:$E$2736,$F562))</f>
        <v/>
      </c>
      <c r="I562" s="11" t="str">
        <f aca="false">IF(INDEX(選手一覧!$H$5:$H$2736,$F562)="","",INDEX(選手一覧!$H$5:$H$2736,$F562))</f>
        <v/>
      </c>
      <c r="J562" s="12" t="str">
        <f aca="false">IF(INDEX(選手一覧!$I$5:$I$2736,$F562)="","",INDEX(選手一覧!$I$5:$I$2736,$F562))</f>
        <v/>
      </c>
    </row>
    <row r="563" customFormat="false" ht="15" hidden="false" customHeight="false" outlineLevel="0" collapsed="false">
      <c r="A563" s="12" t="n">
        <v>560</v>
      </c>
      <c r="B563" s="8" t="s">
        <v>2582</v>
      </c>
      <c r="C563" s="8" t="s">
        <v>2304</v>
      </c>
      <c r="D563" s="11" t="n">
        <v>0.00722094907407407</v>
      </c>
      <c r="E563" s="39" t="n">
        <f aca="false">ROUND((D563-$D$5)*86400,2)</f>
        <v>84.87</v>
      </c>
      <c r="F563" s="12" t="n">
        <v>1653</v>
      </c>
      <c r="G563" s="11" t="str">
        <f aca="false">IF(INDEX(選手一覧!$D$5:$D$2736,$F563)="","",INDEX(選手一覧!$D$5:$D$2736,$F563))</f>
        <v/>
      </c>
      <c r="H563" s="12" t="str">
        <f aca="false">IF(INDEX(選手一覧!$E$5:$E$2736,$F563)="","",INDEX(選手一覧!$E$5:$E$2736,$F563))</f>
        <v/>
      </c>
      <c r="I563" s="11" t="str">
        <f aca="false">IF(INDEX(選手一覧!$H$5:$H$2736,$F563)="","",INDEX(選手一覧!$H$5:$H$2736,$F563))</f>
        <v/>
      </c>
      <c r="J563" s="12" t="str">
        <f aca="false">IF(INDEX(選手一覧!$I$5:$I$2736,$F563)="","",INDEX(選手一覧!$I$5:$I$2736,$F563))</f>
        <v/>
      </c>
    </row>
    <row r="564" customFormat="false" ht="15" hidden="false" customHeight="false" outlineLevel="0" collapsed="false">
      <c r="A564" s="12" t="n">
        <v>561</v>
      </c>
      <c r="B564" s="8" t="s">
        <v>2583</v>
      </c>
      <c r="C564" s="8" t="s">
        <v>1308</v>
      </c>
      <c r="D564" s="11" t="n">
        <v>0.00722106481481482</v>
      </c>
      <c r="E564" s="39" t="n">
        <f aca="false">ROUND((D564-$D$5)*86400,2)</f>
        <v>84.88</v>
      </c>
      <c r="F564" s="12" t="n">
        <v>1654</v>
      </c>
      <c r="G564" s="11" t="str">
        <f aca="false">IF(INDEX(選手一覧!$D$5:$D$2736,$F564)="","",INDEX(選手一覧!$D$5:$D$2736,$F564))</f>
        <v/>
      </c>
      <c r="H564" s="12" t="str">
        <f aca="false">IF(INDEX(選手一覧!$E$5:$E$2736,$F564)="","",INDEX(選手一覧!$E$5:$E$2736,$F564))</f>
        <v/>
      </c>
      <c r="I564" s="11" t="n">
        <f aca="false">IF(INDEX(選手一覧!$H$5:$H$2736,$F564)="","",INDEX(選手一覧!$H$5:$H$2736,$F564))</f>
        <v>0.00289560185185185</v>
      </c>
      <c r="J564" s="12" t="n">
        <f aca="false">IF(INDEX(選手一覧!$I$5:$I$2736,$F564)="","",INDEX(選手一覧!$I$5:$I$2736,$F564))</f>
        <v>916</v>
      </c>
    </row>
    <row r="565" customFormat="false" ht="15" hidden="false" customHeight="false" outlineLevel="0" collapsed="false">
      <c r="A565" s="12" t="n">
        <v>562</v>
      </c>
      <c r="B565" s="8" t="s">
        <v>2584</v>
      </c>
      <c r="C565" s="8" t="s">
        <v>2180</v>
      </c>
      <c r="D565" s="11" t="n">
        <v>0.007221875</v>
      </c>
      <c r="E565" s="39" t="n">
        <f aca="false">ROUND((D565-$D$5)*86400,2)</f>
        <v>84.95</v>
      </c>
      <c r="F565" s="12" t="n">
        <v>1655</v>
      </c>
      <c r="G565" s="11" t="str">
        <f aca="false">IF(INDEX(選手一覧!$D$5:$D$2736,$F565)="","",INDEX(選手一覧!$D$5:$D$2736,$F565))</f>
        <v/>
      </c>
      <c r="H565" s="12" t="str">
        <f aca="false">IF(INDEX(選手一覧!$E$5:$E$2736,$F565)="","",INDEX(選手一覧!$E$5:$E$2736,$F565))</f>
        <v/>
      </c>
      <c r="I565" s="11" t="str">
        <f aca="false">IF(INDEX(選手一覧!$H$5:$H$2736,$F565)="","",INDEX(選手一覧!$H$5:$H$2736,$F565))</f>
        <v/>
      </c>
      <c r="J565" s="12" t="str">
        <f aca="false">IF(INDEX(選手一覧!$I$5:$I$2736,$F565)="","",INDEX(選手一覧!$I$5:$I$2736,$F565))</f>
        <v/>
      </c>
    </row>
    <row r="566" customFormat="false" ht="15" hidden="false" customHeight="false" outlineLevel="0" collapsed="false">
      <c r="A566" s="12" t="n">
        <v>563</v>
      </c>
      <c r="B566" s="8" t="s">
        <v>2587</v>
      </c>
      <c r="C566" s="8" t="s">
        <v>2588</v>
      </c>
      <c r="D566" s="11" t="n">
        <v>0.00722326388888889</v>
      </c>
      <c r="E566" s="39" t="n">
        <f aca="false">ROUND((D566-$D$5)*86400,2)</f>
        <v>85.07</v>
      </c>
      <c r="F566" s="12" t="n">
        <v>1657</v>
      </c>
      <c r="G566" s="11" t="str">
        <f aca="false">IF(INDEX(選手一覧!$D$5:$D$2736,$F566)="","",INDEX(選手一覧!$D$5:$D$2736,$F566))</f>
        <v/>
      </c>
      <c r="H566" s="12" t="str">
        <f aca="false">IF(INDEX(選手一覧!$E$5:$E$2736,$F566)="","",INDEX(選手一覧!$E$5:$E$2736,$F566))</f>
        <v/>
      </c>
      <c r="I566" s="11" t="str">
        <f aca="false">IF(INDEX(選手一覧!$H$5:$H$2736,$F566)="","",INDEX(選手一覧!$H$5:$H$2736,$F566))</f>
        <v/>
      </c>
      <c r="J566" s="12" t="str">
        <f aca="false">IF(INDEX(選手一覧!$I$5:$I$2736,$F566)="","",INDEX(選手一覧!$I$5:$I$2736,$F566))</f>
        <v/>
      </c>
    </row>
    <row r="567" customFormat="false" ht="15" hidden="false" customHeight="false" outlineLevel="0" collapsed="false">
      <c r="A567" s="12" t="n">
        <v>564</v>
      </c>
      <c r="B567" s="8" t="s">
        <v>2591</v>
      </c>
      <c r="C567" s="8" t="s">
        <v>2592</v>
      </c>
      <c r="D567" s="11" t="n">
        <v>0.00722395833333333</v>
      </c>
      <c r="E567" s="39" t="n">
        <f aca="false">ROUND((D567-$D$5)*86400,2)</f>
        <v>85.13</v>
      </c>
      <c r="F567" s="12" t="n">
        <v>1659</v>
      </c>
      <c r="G567" s="11" t="str">
        <f aca="false">IF(INDEX(選手一覧!$D$5:$D$2736,$F567)="","",INDEX(選手一覧!$D$5:$D$2736,$F567))</f>
        <v/>
      </c>
      <c r="H567" s="12" t="str">
        <f aca="false">IF(INDEX(選手一覧!$E$5:$E$2736,$F567)="","",INDEX(選手一覧!$E$5:$E$2736,$F567))</f>
        <v/>
      </c>
      <c r="I567" s="11" t="str">
        <f aca="false">IF(INDEX(選手一覧!$H$5:$H$2736,$F567)="","",INDEX(選手一覧!$H$5:$H$2736,$F567))</f>
        <v/>
      </c>
      <c r="J567" s="12" t="str">
        <f aca="false">IF(INDEX(選手一覧!$I$5:$I$2736,$F567)="","",INDEX(選手一覧!$I$5:$I$2736,$F567))</f>
        <v/>
      </c>
    </row>
    <row r="568" customFormat="false" ht="15" hidden="false" customHeight="false" outlineLevel="0" collapsed="false">
      <c r="A568" s="12" t="n">
        <v>565</v>
      </c>
      <c r="B568" s="8" t="s">
        <v>1225</v>
      </c>
      <c r="C568" s="8" t="s">
        <v>1042</v>
      </c>
      <c r="D568" s="11" t="n">
        <v>0.00722488425925926</v>
      </c>
      <c r="E568" s="39" t="n">
        <f aca="false">ROUND((D568-$D$5)*86400,2)</f>
        <v>85.21</v>
      </c>
      <c r="F568" s="12" t="n">
        <v>733</v>
      </c>
      <c r="G568" s="11" t="n">
        <f aca="false">IF(INDEX(選手一覧!$D$5:$D$2736,$F568)="","",INDEX(選手一覧!$D$5:$D$2736,$F568))</f>
        <v>0.0107952546296296</v>
      </c>
      <c r="H568" s="12" t="n">
        <f aca="false">IF(INDEX(選手一覧!$E$5:$E$2736,$F568)="","",INDEX(選手一覧!$E$5:$E$2736,$F568))</f>
        <v>734</v>
      </c>
      <c r="I568" s="11" t="n">
        <f aca="false">IF(INDEX(選手一覧!$H$5:$H$2736,$F568)="","",INDEX(選手一覧!$H$5:$H$2736,$F568))</f>
        <v>0.00296493055555556</v>
      </c>
      <c r="J568" s="12" t="n">
        <f aca="false">IF(INDEX(選手一覧!$I$5:$I$2736,$F568)="","",INDEX(選手一覧!$I$5:$I$2736,$F568))</f>
        <v>1290</v>
      </c>
    </row>
    <row r="569" customFormat="false" ht="15" hidden="false" customHeight="false" outlineLevel="0" collapsed="false">
      <c r="A569" s="12" t="n">
        <v>566</v>
      </c>
      <c r="B569" s="8" t="s">
        <v>2594</v>
      </c>
      <c r="C569" s="8" t="s">
        <v>989</v>
      </c>
      <c r="D569" s="11" t="n">
        <v>0.00722581018518519</v>
      </c>
      <c r="E569" s="39" t="n">
        <f aca="false">ROUND((D569-$D$5)*86400,2)</f>
        <v>85.29</v>
      </c>
      <c r="F569" s="12" t="n">
        <v>1661</v>
      </c>
      <c r="G569" s="11" t="str">
        <f aca="false">IF(INDEX(選手一覧!$D$5:$D$2736,$F569)="","",INDEX(選手一覧!$D$5:$D$2736,$F569))</f>
        <v/>
      </c>
      <c r="H569" s="12" t="str">
        <f aca="false">IF(INDEX(選手一覧!$E$5:$E$2736,$F569)="","",INDEX(選手一覧!$E$5:$E$2736,$F569))</f>
        <v/>
      </c>
      <c r="I569" s="11" t="str">
        <f aca="false">IF(INDEX(選手一覧!$H$5:$H$2736,$F569)="","",INDEX(選手一覧!$H$5:$H$2736,$F569))</f>
        <v/>
      </c>
      <c r="J569" s="12" t="str">
        <f aca="false">IF(INDEX(選手一覧!$I$5:$I$2736,$F569)="","",INDEX(選手一覧!$I$5:$I$2736,$F569))</f>
        <v/>
      </c>
    </row>
    <row r="570" customFormat="false" ht="15" hidden="false" customHeight="false" outlineLevel="0" collapsed="false">
      <c r="A570" s="12" t="n">
        <v>567</v>
      </c>
      <c r="B570" s="8" t="s">
        <v>2596</v>
      </c>
      <c r="C570" s="8" t="s">
        <v>252</v>
      </c>
      <c r="D570" s="11" t="n">
        <v>0.00722604166666667</v>
      </c>
      <c r="E570" s="39" t="n">
        <f aca="false">ROUND((D570-$D$5)*86400,2)</f>
        <v>85.31</v>
      </c>
      <c r="F570" s="12" t="n">
        <v>1663</v>
      </c>
      <c r="G570" s="11" t="str">
        <f aca="false">IF(INDEX(選手一覧!$D$5:$D$2736,$F570)="","",INDEX(選手一覧!$D$5:$D$2736,$F570))</f>
        <v/>
      </c>
      <c r="H570" s="12" t="str">
        <f aca="false">IF(INDEX(選手一覧!$E$5:$E$2736,$F570)="","",INDEX(選手一覧!$E$5:$E$2736,$F570))</f>
        <v/>
      </c>
      <c r="I570" s="11" t="str">
        <f aca="false">IF(INDEX(選手一覧!$H$5:$H$2736,$F570)="","",INDEX(選手一覧!$H$5:$H$2736,$F570))</f>
        <v/>
      </c>
      <c r="J570" s="12" t="str">
        <f aca="false">IF(INDEX(選手一覧!$I$5:$I$2736,$F570)="","",INDEX(選手一覧!$I$5:$I$2736,$F570))</f>
        <v/>
      </c>
    </row>
    <row r="571" customFormat="false" ht="15" hidden="false" customHeight="false" outlineLevel="0" collapsed="false">
      <c r="A571" s="12" t="n">
        <v>568</v>
      </c>
      <c r="B571" s="8" t="s">
        <v>2597</v>
      </c>
      <c r="C571" s="8" t="s">
        <v>1496</v>
      </c>
      <c r="D571" s="11" t="n">
        <v>0.00722638888888889</v>
      </c>
      <c r="E571" s="39" t="n">
        <f aca="false">ROUND((D571-$D$5)*86400,2)</f>
        <v>85.34</v>
      </c>
      <c r="F571" s="12" t="n">
        <v>1664</v>
      </c>
      <c r="G571" s="11" t="str">
        <f aca="false">IF(INDEX(選手一覧!$D$5:$D$2736,$F571)="","",INDEX(選手一覧!$D$5:$D$2736,$F571))</f>
        <v/>
      </c>
      <c r="H571" s="12" t="str">
        <f aca="false">IF(INDEX(選手一覧!$E$5:$E$2736,$F571)="","",INDEX(選手一覧!$E$5:$E$2736,$F571))</f>
        <v/>
      </c>
      <c r="I571" s="11" t="str">
        <f aca="false">IF(INDEX(選手一覧!$H$5:$H$2736,$F571)="","",INDEX(選手一覧!$H$5:$H$2736,$F571))</f>
        <v/>
      </c>
      <c r="J571" s="12" t="str">
        <f aca="false">IF(INDEX(選手一覧!$I$5:$I$2736,$F571)="","",INDEX(選手一覧!$I$5:$I$2736,$F571))</f>
        <v/>
      </c>
    </row>
    <row r="572" customFormat="false" ht="15" hidden="false" customHeight="false" outlineLevel="0" collapsed="false">
      <c r="A572" s="12" t="n">
        <v>569</v>
      </c>
      <c r="B572" s="8" t="s">
        <v>2598</v>
      </c>
      <c r="C572" s="8" t="s">
        <v>2599</v>
      </c>
      <c r="D572" s="11" t="n">
        <v>0.00722743055555556</v>
      </c>
      <c r="E572" s="39" t="n">
        <f aca="false">ROUND((D572-$D$5)*86400,2)</f>
        <v>85.43</v>
      </c>
      <c r="F572" s="12" t="n">
        <v>1665</v>
      </c>
      <c r="G572" s="11" t="str">
        <f aca="false">IF(INDEX(選手一覧!$D$5:$D$2736,$F572)="","",INDEX(選手一覧!$D$5:$D$2736,$F572))</f>
        <v/>
      </c>
      <c r="H572" s="12" t="str">
        <f aca="false">IF(INDEX(選手一覧!$E$5:$E$2736,$F572)="","",INDEX(選手一覧!$E$5:$E$2736,$F572))</f>
        <v/>
      </c>
      <c r="I572" s="11" t="str">
        <f aca="false">IF(INDEX(選手一覧!$H$5:$H$2736,$F572)="","",INDEX(選手一覧!$H$5:$H$2736,$F572))</f>
        <v/>
      </c>
      <c r="J572" s="12" t="str">
        <f aca="false">IF(INDEX(選手一覧!$I$5:$I$2736,$F572)="","",INDEX(選手一覧!$I$5:$I$2736,$F572))</f>
        <v/>
      </c>
    </row>
    <row r="573" customFormat="false" ht="15" hidden="false" customHeight="false" outlineLevel="0" collapsed="false">
      <c r="A573" s="12" t="n">
        <v>570</v>
      </c>
      <c r="B573" s="8" t="s">
        <v>2600</v>
      </c>
      <c r="C573" s="8" t="s">
        <v>2601</v>
      </c>
      <c r="D573" s="11" t="n">
        <v>0.00722881944444445</v>
      </c>
      <c r="E573" s="39" t="n">
        <f aca="false">ROUND((D573-$D$5)*86400,2)</f>
        <v>85.55</v>
      </c>
      <c r="F573" s="12" t="n">
        <v>1666</v>
      </c>
      <c r="G573" s="11" t="str">
        <f aca="false">IF(INDEX(選手一覧!$D$5:$D$2736,$F573)="","",INDEX(選手一覧!$D$5:$D$2736,$F573))</f>
        <v/>
      </c>
      <c r="H573" s="12" t="str">
        <f aca="false">IF(INDEX(選手一覧!$E$5:$E$2736,$F573)="","",INDEX(選手一覧!$E$5:$E$2736,$F573))</f>
        <v/>
      </c>
      <c r="I573" s="11" t="str">
        <f aca="false">IF(INDEX(選手一覧!$H$5:$H$2736,$F573)="","",INDEX(選手一覧!$H$5:$H$2736,$F573))</f>
        <v/>
      </c>
      <c r="J573" s="12" t="str">
        <f aca="false">IF(INDEX(選手一覧!$I$5:$I$2736,$F573)="","",INDEX(選手一覧!$I$5:$I$2736,$F573))</f>
        <v/>
      </c>
    </row>
    <row r="574" customFormat="false" ht="15" hidden="false" customHeight="false" outlineLevel="0" collapsed="false">
      <c r="A574" s="12" t="n">
        <v>571</v>
      </c>
      <c r="B574" s="8" t="s">
        <v>2602</v>
      </c>
      <c r="C574" s="8" t="s">
        <v>1919</v>
      </c>
      <c r="D574" s="11" t="n">
        <v>0.00722905092592593</v>
      </c>
      <c r="E574" s="39" t="n">
        <f aca="false">ROUND((D574-$D$5)*86400,2)</f>
        <v>85.57</v>
      </c>
      <c r="F574" s="12" t="n">
        <v>1667</v>
      </c>
      <c r="G574" s="11" t="str">
        <f aca="false">IF(INDEX(選手一覧!$D$5:$D$2736,$F574)="","",INDEX(選手一覧!$D$5:$D$2736,$F574))</f>
        <v/>
      </c>
      <c r="H574" s="12" t="str">
        <f aca="false">IF(INDEX(選手一覧!$E$5:$E$2736,$F574)="","",INDEX(選手一覧!$E$5:$E$2736,$F574))</f>
        <v/>
      </c>
      <c r="I574" s="11" t="str">
        <f aca="false">IF(INDEX(選手一覧!$H$5:$H$2736,$F574)="","",INDEX(選手一覧!$H$5:$H$2736,$F574))</f>
        <v/>
      </c>
      <c r="J574" s="12" t="str">
        <f aca="false">IF(INDEX(選手一覧!$I$5:$I$2736,$F574)="","",INDEX(選手一覧!$I$5:$I$2736,$F574))</f>
        <v/>
      </c>
    </row>
    <row r="575" customFormat="false" ht="15" hidden="false" customHeight="false" outlineLevel="0" collapsed="false">
      <c r="A575" s="12" t="n">
        <v>572</v>
      </c>
      <c r="B575" s="8" t="s">
        <v>2603</v>
      </c>
      <c r="C575" s="8" t="s">
        <v>2604</v>
      </c>
      <c r="D575" s="11" t="n">
        <v>0.00722916666666667</v>
      </c>
      <c r="E575" s="39" t="n">
        <f aca="false">ROUND((D575-$D$5)*86400,2)</f>
        <v>85.58</v>
      </c>
      <c r="F575" s="12" t="n">
        <v>1668</v>
      </c>
      <c r="G575" s="11" t="str">
        <f aca="false">IF(INDEX(選手一覧!$D$5:$D$2736,$F575)="","",INDEX(選手一覧!$D$5:$D$2736,$F575))</f>
        <v/>
      </c>
      <c r="H575" s="12" t="str">
        <f aca="false">IF(INDEX(選手一覧!$E$5:$E$2736,$F575)="","",INDEX(選手一覧!$E$5:$E$2736,$F575))</f>
        <v/>
      </c>
      <c r="I575" s="11" t="str">
        <f aca="false">IF(INDEX(選手一覧!$H$5:$H$2736,$F575)="","",INDEX(選手一覧!$H$5:$H$2736,$F575))</f>
        <v/>
      </c>
      <c r="J575" s="12" t="str">
        <f aca="false">IF(INDEX(選手一覧!$I$5:$I$2736,$F575)="","",INDEX(選手一覧!$I$5:$I$2736,$F575))</f>
        <v/>
      </c>
    </row>
    <row r="576" customFormat="false" ht="15" hidden="false" customHeight="false" outlineLevel="0" collapsed="false">
      <c r="A576" s="12" t="n">
        <v>573</v>
      </c>
      <c r="B576" s="8" t="s">
        <v>2605</v>
      </c>
      <c r="C576" s="8" t="s">
        <v>1042</v>
      </c>
      <c r="D576" s="11" t="n">
        <v>0.00722951388888889</v>
      </c>
      <c r="E576" s="39" t="n">
        <f aca="false">ROUND((D576-$D$5)*86400,2)</f>
        <v>85.61</v>
      </c>
      <c r="F576" s="12" t="n">
        <v>1669</v>
      </c>
      <c r="G576" s="11" t="str">
        <f aca="false">IF(INDEX(選手一覧!$D$5:$D$2736,$F576)="","",INDEX(選手一覧!$D$5:$D$2736,$F576))</f>
        <v/>
      </c>
      <c r="H576" s="12" t="str">
        <f aca="false">IF(INDEX(選手一覧!$E$5:$E$2736,$F576)="","",INDEX(選手一覧!$E$5:$E$2736,$F576))</f>
        <v/>
      </c>
      <c r="I576" s="11" t="n">
        <f aca="false">IF(INDEX(選手一覧!$H$5:$H$2736,$F576)="","",INDEX(選手一覧!$H$5:$H$2736,$F576))</f>
        <v>0.00286990740740741</v>
      </c>
      <c r="J576" s="12" t="n">
        <f aca="false">IF(INDEX(選手一覧!$I$5:$I$2736,$F576)="","",INDEX(選手一覧!$I$5:$I$2736,$F576))</f>
        <v>695</v>
      </c>
    </row>
    <row r="577" customFormat="false" ht="15" hidden="false" customHeight="false" outlineLevel="0" collapsed="false">
      <c r="A577" s="12" t="n">
        <v>574</v>
      </c>
      <c r="B577" s="8" t="s">
        <v>557</v>
      </c>
      <c r="C577" s="8" t="s">
        <v>558</v>
      </c>
      <c r="D577" s="11" t="n">
        <v>0.00723009259259259</v>
      </c>
      <c r="E577" s="39" t="n">
        <f aca="false">ROUND((D577-$D$5)*86400,2)</f>
        <v>85.66</v>
      </c>
      <c r="F577" s="12" t="n">
        <v>301</v>
      </c>
      <c r="G577" s="11" t="n">
        <f aca="false">IF(INDEX(選手一覧!$D$5:$D$2736,$F577)="","",INDEX(選手一覧!$D$5:$D$2736,$F577))</f>
        <v>0.0104483796296296</v>
      </c>
      <c r="H577" s="12" t="n">
        <f aca="false">IF(INDEX(選手一覧!$E$5:$E$2736,$F577)="","",INDEX(選手一覧!$E$5:$E$2736,$F577))</f>
        <v>302</v>
      </c>
      <c r="I577" s="11" t="n">
        <f aca="false">IF(INDEX(選手一覧!$H$5:$H$2736,$F577)="","",INDEX(選手一覧!$H$5:$H$2736,$F577))</f>
        <v>0.00286956018518519</v>
      </c>
      <c r="J577" s="12" t="n">
        <f aca="false">IF(INDEX(選手一覧!$I$5:$I$2736,$F577)="","",INDEX(選手一覧!$I$5:$I$2736,$F577))</f>
        <v>691</v>
      </c>
    </row>
    <row r="578" customFormat="false" ht="15" hidden="false" customHeight="false" outlineLevel="0" collapsed="false">
      <c r="A578" s="12" t="n">
        <v>575</v>
      </c>
      <c r="B578" s="8" t="s">
        <v>1729</v>
      </c>
      <c r="C578" s="8" t="s">
        <v>1730</v>
      </c>
      <c r="D578" s="11" t="n">
        <v>0.00723148148148148</v>
      </c>
      <c r="E578" s="39" t="n">
        <f aca="false">ROUND((D578-$D$5)*86400,2)</f>
        <v>85.78</v>
      </c>
      <c r="F578" s="12" t="n">
        <v>1073</v>
      </c>
      <c r="G578" s="11" t="n">
        <f aca="false">IF(INDEX(選手一覧!$D$5:$D$2736,$F578)="","",INDEX(選手一覧!$D$5:$D$2736,$F578))</f>
        <v>0.0109866898148148</v>
      </c>
      <c r="H578" s="12" t="n">
        <f aca="false">IF(INDEX(選手一覧!$E$5:$E$2736,$F578)="","",INDEX(選手一覧!$E$5:$E$2736,$F578))</f>
        <v>1074</v>
      </c>
      <c r="I578" s="11" t="n">
        <f aca="false">IF(INDEX(選手一覧!$H$5:$H$2736,$F578)="","",INDEX(選手一覧!$H$5:$H$2736,$F578))</f>
        <v>0.00285983796296296</v>
      </c>
      <c r="J578" s="12" t="n">
        <f aca="false">IF(INDEX(選手一覧!$I$5:$I$2736,$F578)="","",INDEX(選手一覧!$I$5:$I$2736,$F578))</f>
        <v>632</v>
      </c>
    </row>
    <row r="579" customFormat="false" ht="15" hidden="false" customHeight="false" outlineLevel="0" collapsed="false">
      <c r="A579" s="12" t="n">
        <v>576</v>
      </c>
      <c r="B579" s="8" t="s">
        <v>840</v>
      </c>
      <c r="C579" s="8" t="s">
        <v>456</v>
      </c>
      <c r="D579" s="11" t="n">
        <v>0.00723171296296296</v>
      </c>
      <c r="E579" s="39" t="n">
        <f aca="false">ROUND((D579-$D$5)*86400,2)</f>
        <v>85.8</v>
      </c>
      <c r="F579" s="12" t="n">
        <v>481</v>
      </c>
      <c r="G579" s="11" t="n">
        <f aca="false">IF(INDEX(選手一覧!$D$5:$D$2736,$F579)="","",INDEX(選手一覧!$D$5:$D$2736,$F579))</f>
        <v>0.0106128472222222</v>
      </c>
      <c r="H579" s="12" t="n">
        <f aca="false">IF(INDEX(選手一覧!$E$5:$E$2736,$F579)="","",INDEX(選手一覧!$E$5:$E$2736,$F579))</f>
        <v>482</v>
      </c>
      <c r="I579" s="11" t="n">
        <f aca="false">IF(INDEX(選手一覧!$H$5:$H$2736,$F579)="","",INDEX(選手一覧!$H$5:$H$2736,$F579))</f>
        <v>0.00281458333333333</v>
      </c>
      <c r="J579" s="12" t="n">
        <f aca="false">IF(INDEX(選手一覧!$I$5:$I$2736,$F579)="","",INDEX(選手一覧!$I$5:$I$2736,$F579))</f>
        <v>341</v>
      </c>
    </row>
    <row r="580" customFormat="false" ht="15" hidden="false" customHeight="false" outlineLevel="0" collapsed="false">
      <c r="A580" s="12" t="n">
        <v>577</v>
      </c>
      <c r="B580" s="8" t="s">
        <v>2609</v>
      </c>
      <c r="C580" s="8" t="s">
        <v>667</v>
      </c>
      <c r="D580" s="11" t="n">
        <v>0.00723217592592593</v>
      </c>
      <c r="E580" s="39" t="n">
        <f aca="false">ROUND((D580-$D$5)*86400,2)</f>
        <v>85.84</v>
      </c>
      <c r="F580" s="12" t="n">
        <v>1672</v>
      </c>
      <c r="G580" s="11" t="str">
        <f aca="false">IF(INDEX(選手一覧!$D$5:$D$2736,$F580)="","",INDEX(選手一覧!$D$5:$D$2736,$F580))</f>
        <v/>
      </c>
      <c r="H580" s="12" t="str">
        <f aca="false">IF(INDEX(選手一覧!$E$5:$E$2736,$F580)="","",INDEX(選手一覧!$E$5:$E$2736,$F580))</f>
        <v/>
      </c>
      <c r="I580" s="11" t="str">
        <f aca="false">IF(INDEX(選手一覧!$H$5:$H$2736,$F580)="","",INDEX(選手一覧!$H$5:$H$2736,$F580))</f>
        <v/>
      </c>
      <c r="J580" s="12" t="str">
        <f aca="false">IF(INDEX(選手一覧!$I$5:$I$2736,$F580)="","",INDEX(選手一覧!$I$5:$I$2736,$F580))</f>
        <v/>
      </c>
    </row>
    <row r="581" customFormat="false" ht="15" hidden="false" customHeight="false" outlineLevel="0" collapsed="false">
      <c r="A581" s="12" t="n">
        <v>578</v>
      </c>
      <c r="B581" s="8" t="s">
        <v>2612</v>
      </c>
      <c r="C581" s="8" t="s">
        <v>2613</v>
      </c>
      <c r="D581" s="11" t="n">
        <v>0.00723321759259259</v>
      </c>
      <c r="E581" s="39" t="n">
        <f aca="false">ROUND((D581-$D$5)*86400,2)</f>
        <v>85.93</v>
      </c>
      <c r="F581" s="12" t="n">
        <v>1674</v>
      </c>
      <c r="G581" s="11" t="str">
        <f aca="false">IF(INDEX(選手一覧!$D$5:$D$2736,$F581)="","",INDEX(選手一覧!$D$5:$D$2736,$F581))</f>
        <v/>
      </c>
      <c r="H581" s="12" t="str">
        <f aca="false">IF(INDEX(選手一覧!$E$5:$E$2736,$F581)="","",INDEX(選手一覧!$E$5:$E$2736,$F581))</f>
        <v/>
      </c>
      <c r="I581" s="11" t="str">
        <f aca="false">IF(INDEX(選手一覧!$H$5:$H$2736,$F581)="","",INDEX(選手一覧!$H$5:$H$2736,$F581))</f>
        <v/>
      </c>
      <c r="J581" s="12" t="str">
        <f aca="false">IF(INDEX(選手一覧!$I$5:$I$2736,$F581)="","",INDEX(選手一覧!$I$5:$I$2736,$F581))</f>
        <v/>
      </c>
    </row>
    <row r="582" customFormat="false" ht="15" hidden="false" customHeight="false" outlineLevel="0" collapsed="false">
      <c r="A582" s="12" t="n">
        <v>579</v>
      </c>
      <c r="B582" s="8" t="s">
        <v>2614</v>
      </c>
      <c r="C582" s="8" t="s">
        <v>839</v>
      </c>
      <c r="D582" s="11" t="n">
        <v>0.0072337962962963</v>
      </c>
      <c r="E582" s="39" t="n">
        <f aca="false">ROUND((D582-$D$5)*86400,2)</f>
        <v>85.98</v>
      </c>
      <c r="F582" s="12" t="n">
        <v>1675</v>
      </c>
      <c r="G582" s="11" t="str">
        <f aca="false">IF(INDEX(選手一覧!$D$5:$D$2736,$F582)="","",INDEX(選手一覧!$D$5:$D$2736,$F582))</f>
        <v/>
      </c>
      <c r="H582" s="12" t="str">
        <f aca="false">IF(INDEX(選手一覧!$E$5:$E$2736,$F582)="","",INDEX(選手一覧!$E$5:$E$2736,$F582))</f>
        <v/>
      </c>
      <c r="I582" s="11" t="str">
        <f aca="false">IF(INDEX(選手一覧!$H$5:$H$2736,$F582)="","",INDEX(選手一覧!$H$5:$H$2736,$F582))</f>
        <v/>
      </c>
      <c r="J582" s="12" t="str">
        <f aca="false">IF(INDEX(選手一覧!$I$5:$I$2736,$F582)="","",INDEX(選手一覧!$I$5:$I$2736,$F582))</f>
        <v/>
      </c>
    </row>
    <row r="583" customFormat="false" ht="15" hidden="false" customHeight="false" outlineLevel="0" collapsed="false">
      <c r="A583" s="12" t="n">
        <v>580</v>
      </c>
      <c r="B583" s="8" t="s">
        <v>2615</v>
      </c>
      <c r="C583" s="8" t="s">
        <v>2616</v>
      </c>
      <c r="D583" s="11" t="n">
        <v>0.00723460648148148</v>
      </c>
      <c r="E583" s="39" t="n">
        <f aca="false">ROUND((D583-$D$5)*86400,2)</f>
        <v>86.05</v>
      </c>
      <c r="F583" s="12" t="n">
        <v>1676</v>
      </c>
      <c r="G583" s="11" t="str">
        <f aca="false">IF(INDEX(選手一覧!$D$5:$D$2736,$F583)="","",INDEX(選手一覧!$D$5:$D$2736,$F583))</f>
        <v/>
      </c>
      <c r="H583" s="12" t="str">
        <f aca="false">IF(INDEX(選手一覧!$E$5:$E$2736,$F583)="","",INDEX(選手一覧!$E$5:$E$2736,$F583))</f>
        <v/>
      </c>
      <c r="I583" s="11" t="str">
        <f aca="false">IF(INDEX(選手一覧!$H$5:$H$2736,$F583)="","",INDEX(選手一覧!$H$5:$H$2736,$F583))</f>
        <v/>
      </c>
      <c r="J583" s="12" t="str">
        <f aca="false">IF(INDEX(選手一覧!$I$5:$I$2736,$F583)="","",INDEX(選手一覧!$I$5:$I$2736,$F583))</f>
        <v/>
      </c>
    </row>
    <row r="584" customFormat="false" ht="15" hidden="false" customHeight="false" outlineLevel="0" collapsed="false">
      <c r="A584" s="12" t="n">
        <v>581</v>
      </c>
      <c r="B584" s="8" t="s">
        <v>1666</v>
      </c>
      <c r="C584" s="8" t="s">
        <v>1667</v>
      </c>
      <c r="D584" s="11" t="n">
        <v>0.00723611111111111</v>
      </c>
      <c r="E584" s="39" t="n">
        <f aca="false">ROUND((D584-$D$5)*86400,2)</f>
        <v>86.18</v>
      </c>
      <c r="F584" s="12" t="n">
        <v>1032</v>
      </c>
      <c r="G584" s="11" t="n">
        <f aca="false">IF(INDEX(選手一覧!$D$5:$D$2736,$F584)="","",INDEX(選手一覧!$D$5:$D$2736,$F584))</f>
        <v>0.0109680555555556</v>
      </c>
      <c r="H584" s="12" t="n">
        <f aca="false">IF(INDEX(選手一覧!$E$5:$E$2736,$F584)="","",INDEX(選手一覧!$E$5:$E$2736,$F584))</f>
        <v>1033</v>
      </c>
      <c r="I584" s="11" t="n">
        <f aca="false">IF(INDEX(選手一覧!$H$5:$H$2736,$F584)="","",INDEX(選手一覧!$H$5:$H$2736,$F584))</f>
        <v>0.00288900462962963</v>
      </c>
      <c r="J584" s="12" t="n">
        <f aca="false">IF(INDEX(選手一覧!$I$5:$I$2736,$F584)="","",INDEX(選手一覧!$I$5:$I$2736,$F584))</f>
        <v>855</v>
      </c>
    </row>
    <row r="585" customFormat="false" ht="15" hidden="false" customHeight="false" outlineLevel="0" collapsed="false">
      <c r="A585" s="12" t="n">
        <v>582</v>
      </c>
      <c r="B585" s="8" t="s">
        <v>2618</v>
      </c>
      <c r="C585" s="8" t="s">
        <v>1147</v>
      </c>
      <c r="D585" s="11" t="n">
        <v>0.00723634259259259</v>
      </c>
      <c r="E585" s="39" t="n">
        <f aca="false">ROUND((D585-$D$5)*86400,2)</f>
        <v>86.2</v>
      </c>
      <c r="F585" s="12" t="n">
        <v>1678</v>
      </c>
      <c r="G585" s="11" t="str">
        <f aca="false">IF(INDEX(選手一覧!$D$5:$D$2736,$F585)="","",INDEX(選手一覧!$D$5:$D$2736,$F585))</f>
        <v/>
      </c>
      <c r="H585" s="12" t="str">
        <f aca="false">IF(INDEX(選手一覧!$E$5:$E$2736,$F585)="","",INDEX(選手一覧!$E$5:$E$2736,$F585))</f>
        <v/>
      </c>
      <c r="I585" s="11" t="str">
        <f aca="false">IF(INDEX(選手一覧!$H$5:$H$2736,$F585)="","",INDEX(選手一覧!$H$5:$H$2736,$F585))</f>
        <v/>
      </c>
      <c r="J585" s="12" t="str">
        <f aca="false">IF(INDEX(選手一覧!$I$5:$I$2736,$F585)="","",INDEX(選手一覧!$I$5:$I$2736,$F585))</f>
        <v/>
      </c>
    </row>
    <row r="586" customFormat="false" ht="15" hidden="false" customHeight="false" outlineLevel="0" collapsed="false">
      <c r="A586" s="12" t="n">
        <v>583</v>
      </c>
      <c r="B586" s="8" t="s">
        <v>2619</v>
      </c>
      <c r="C586" s="8" t="s">
        <v>2620</v>
      </c>
      <c r="D586" s="11" t="n">
        <v>0.00723761574074074</v>
      </c>
      <c r="E586" s="39" t="n">
        <f aca="false">ROUND((D586-$D$5)*86400,2)</f>
        <v>86.31</v>
      </c>
      <c r="F586" s="12" t="n">
        <v>1679</v>
      </c>
      <c r="G586" s="11" t="str">
        <f aca="false">IF(INDEX(選手一覧!$D$5:$D$2736,$F586)="","",INDEX(選手一覧!$D$5:$D$2736,$F586))</f>
        <v/>
      </c>
      <c r="H586" s="12" t="str">
        <f aca="false">IF(INDEX(選手一覧!$E$5:$E$2736,$F586)="","",INDEX(選手一覧!$E$5:$E$2736,$F586))</f>
        <v/>
      </c>
      <c r="I586" s="11" t="str">
        <f aca="false">IF(INDEX(選手一覧!$H$5:$H$2736,$F586)="","",INDEX(選手一覧!$H$5:$H$2736,$F586))</f>
        <v/>
      </c>
      <c r="J586" s="12" t="str">
        <f aca="false">IF(INDEX(選手一覧!$I$5:$I$2736,$F586)="","",INDEX(選手一覧!$I$5:$I$2736,$F586))</f>
        <v/>
      </c>
    </row>
    <row r="587" customFormat="false" ht="15" hidden="false" customHeight="false" outlineLevel="0" collapsed="false">
      <c r="A587" s="12" t="n">
        <v>584</v>
      </c>
      <c r="B587" s="8" t="s">
        <v>2621</v>
      </c>
      <c r="C587" s="8" t="s">
        <v>1085</v>
      </c>
      <c r="D587" s="11" t="n">
        <v>0.0072380787037037</v>
      </c>
      <c r="E587" s="39" t="n">
        <f aca="false">ROUND((D587-$D$5)*86400,2)</f>
        <v>86.35</v>
      </c>
      <c r="F587" s="12" t="n">
        <v>1680</v>
      </c>
      <c r="G587" s="11" t="str">
        <f aca="false">IF(INDEX(選手一覧!$D$5:$D$2736,$F587)="","",INDEX(選手一覧!$D$5:$D$2736,$F587))</f>
        <v/>
      </c>
      <c r="H587" s="12" t="str">
        <f aca="false">IF(INDEX(選手一覧!$E$5:$E$2736,$F587)="","",INDEX(選手一覧!$E$5:$E$2736,$F587))</f>
        <v/>
      </c>
      <c r="I587" s="11" t="str">
        <f aca="false">IF(INDEX(選手一覧!$H$5:$H$2736,$F587)="","",INDEX(選手一覧!$H$5:$H$2736,$F587))</f>
        <v/>
      </c>
      <c r="J587" s="12" t="str">
        <f aca="false">IF(INDEX(選手一覧!$I$5:$I$2736,$F587)="","",INDEX(選手一覧!$I$5:$I$2736,$F587))</f>
        <v/>
      </c>
    </row>
    <row r="588" customFormat="false" ht="15" hidden="false" customHeight="false" outlineLevel="0" collapsed="false">
      <c r="A588" s="12" t="n">
        <v>585</v>
      </c>
      <c r="B588" s="8" t="s">
        <v>2622</v>
      </c>
      <c r="C588" s="8" t="s">
        <v>2623</v>
      </c>
      <c r="D588" s="11" t="n">
        <v>0.00723854166666667</v>
      </c>
      <c r="E588" s="39" t="n">
        <f aca="false">ROUND((D588-$D$5)*86400,2)</f>
        <v>86.39</v>
      </c>
      <c r="F588" s="12" t="n">
        <v>1681</v>
      </c>
      <c r="G588" s="11" t="str">
        <f aca="false">IF(INDEX(選手一覧!$D$5:$D$2736,$F588)="","",INDEX(選手一覧!$D$5:$D$2736,$F588))</f>
        <v/>
      </c>
      <c r="H588" s="12" t="str">
        <f aca="false">IF(INDEX(選手一覧!$E$5:$E$2736,$F588)="","",INDEX(選手一覧!$E$5:$E$2736,$F588))</f>
        <v/>
      </c>
      <c r="I588" s="11" t="str">
        <f aca="false">IF(INDEX(選手一覧!$H$5:$H$2736,$F588)="","",INDEX(選手一覧!$H$5:$H$2736,$F588))</f>
        <v/>
      </c>
      <c r="J588" s="12" t="str">
        <f aca="false">IF(INDEX(選手一覧!$I$5:$I$2736,$F588)="","",INDEX(選手一覧!$I$5:$I$2736,$F588))</f>
        <v/>
      </c>
    </row>
    <row r="589" customFormat="false" ht="15" hidden="false" customHeight="false" outlineLevel="0" collapsed="false">
      <c r="A589" s="12" t="n">
        <v>586</v>
      </c>
      <c r="B589" s="8" t="s">
        <v>1843</v>
      </c>
      <c r="C589" s="8" t="s">
        <v>1844</v>
      </c>
      <c r="D589" s="11" t="n">
        <v>0.00723888888888889</v>
      </c>
      <c r="E589" s="39" t="n">
        <f aca="false">ROUND((D589-$D$5)*86400,2)</f>
        <v>86.42</v>
      </c>
      <c r="F589" s="12" t="n">
        <v>1150</v>
      </c>
      <c r="G589" s="11" t="n">
        <f aca="false">IF(INDEX(選手一覧!$D$5:$D$2736,$F589)="","",INDEX(選手一覧!$D$5:$D$2736,$F589))</f>
        <v>0.0110297453703704</v>
      </c>
      <c r="H589" s="12" t="n">
        <f aca="false">IF(INDEX(選手一覧!$E$5:$E$2736,$F589)="","",INDEX(選手一覧!$E$5:$E$2736,$F589))</f>
        <v>1151</v>
      </c>
      <c r="I589" s="11" t="n">
        <f aca="false">IF(INDEX(選手一覧!$H$5:$H$2736,$F589)="","",INDEX(選手一覧!$H$5:$H$2736,$F589))</f>
        <v>0.00292025462962963</v>
      </c>
      <c r="J589" s="12" t="n">
        <f aca="false">IF(INDEX(選手一覧!$I$5:$I$2736,$F589)="","",INDEX(選手一覧!$I$5:$I$2736,$F589))</f>
        <v>1100</v>
      </c>
    </row>
    <row r="590" customFormat="false" ht="15" hidden="false" customHeight="false" outlineLevel="0" collapsed="false">
      <c r="A590" s="12" t="n">
        <v>587</v>
      </c>
      <c r="B590" s="8" t="s">
        <v>2625</v>
      </c>
      <c r="C590" s="8" t="s">
        <v>515</v>
      </c>
      <c r="D590" s="11" t="n">
        <v>0.00724212962962963</v>
      </c>
      <c r="E590" s="39" t="n">
        <f aca="false">ROUND((D590-$D$5)*86400,2)</f>
        <v>86.7</v>
      </c>
      <c r="F590" s="12" t="n">
        <v>1682</v>
      </c>
      <c r="G590" s="11" t="str">
        <f aca="false">IF(INDEX(選手一覧!$D$5:$D$2736,$F590)="","",INDEX(選手一覧!$D$5:$D$2736,$F590))</f>
        <v/>
      </c>
      <c r="H590" s="12" t="str">
        <f aca="false">IF(INDEX(選手一覧!$E$5:$E$2736,$F590)="","",INDEX(選手一覧!$E$5:$E$2736,$F590))</f>
        <v/>
      </c>
      <c r="I590" s="11" t="str">
        <f aca="false">IF(INDEX(選手一覧!$H$5:$H$2736,$F590)="","",INDEX(選手一覧!$H$5:$H$2736,$F590))</f>
        <v/>
      </c>
      <c r="J590" s="12" t="str">
        <f aca="false">IF(INDEX(選手一覧!$I$5:$I$2736,$F590)="","",INDEX(選手一覧!$I$5:$I$2736,$F590))</f>
        <v/>
      </c>
    </row>
    <row r="591" customFormat="false" ht="15" hidden="false" customHeight="false" outlineLevel="0" collapsed="false">
      <c r="A591" s="12" t="n">
        <v>588</v>
      </c>
      <c r="B591" s="8" t="s">
        <v>1145</v>
      </c>
      <c r="C591" s="8" t="s">
        <v>817</v>
      </c>
      <c r="D591" s="11" t="n">
        <v>0.00724259259259259</v>
      </c>
      <c r="E591" s="39" t="n">
        <f aca="false">ROUND((D591-$D$5)*86400,2)</f>
        <v>86.74</v>
      </c>
      <c r="F591" s="12" t="n">
        <v>682</v>
      </c>
      <c r="G591" s="11" t="n">
        <f aca="false">IF(INDEX(選手一覧!$D$5:$D$2736,$F591)="","",INDEX(選手一覧!$D$5:$D$2736,$F591))</f>
        <v>0.0107611111111111</v>
      </c>
      <c r="H591" s="12" t="n">
        <f aca="false">IF(INDEX(選手一覧!$E$5:$E$2736,$F591)="","",INDEX(選手一覧!$E$5:$E$2736,$F591))</f>
        <v>683</v>
      </c>
      <c r="I591" s="11" t="n">
        <f aca="false">IF(INDEX(選手一覧!$H$5:$H$2736,$F591)="","",INDEX(選手一覧!$H$5:$H$2736,$F591))</f>
        <v>0.00284027777777778</v>
      </c>
      <c r="J591" s="12" t="n">
        <f aca="false">IF(INDEX(選手一覧!$I$5:$I$2736,$F591)="","",INDEX(選手一覧!$I$5:$I$2736,$F591))</f>
        <v>498</v>
      </c>
    </row>
    <row r="592" customFormat="false" ht="15" hidden="false" customHeight="false" outlineLevel="0" collapsed="false">
      <c r="A592" s="12" t="n">
        <v>589</v>
      </c>
      <c r="B592" s="8" t="s">
        <v>2626</v>
      </c>
      <c r="C592" s="8" t="s">
        <v>1963</v>
      </c>
      <c r="D592" s="11" t="n">
        <v>0.00724328703703704</v>
      </c>
      <c r="E592" s="39" t="n">
        <f aca="false">ROUND((D592-$D$5)*86400,2)</f>
        <v>86.8</v>
      </c>
      <c r="F592" s="12" t="n">
        <v>1683</v>
      </c>
      <c r="G592" s="11" t="str">
        <f aca="false">IF(INDEX(選手一覧!$D$5:$D$2736,$F592)="","",INDEX(選手一覧!$D$5:$D$2736,$F592))</f>
        <v/>
      </c>
      <c r="H592" s="12" t="str">
        <f aca="false">IF(INDEX(選手一覧!$E$5:$E$2736,$F592)="","",INDEX(選手一覧!$E$5:$E$2736,$F592))</f>
        <v/>
      </c>
      <c r="I592" s="11" t="str">
        <f aca="false">IF(INDEX(選手一覧!$H$5:$H$2736,$F592)="","",INDEX(選手一覧!$H$5:$H$2736,$F592))</f>
        <v/>
      </c>
      <c r="J592" s="12" t="str">
        <f aca="false">IF(INDEX(選手一覧!$I$5:$I$2736,$F592)="","",INDEX(選手一覧!$I$5:$I$2736,$F592))</f>
        <v/>
      </c>
    </row>
    <row r="593" customFormat="false" ht="15" hidden="false" customHeight="false" outlineLevel="0" collapsed="false">
      <c r="A593" s="12" t="n">
        <v>590</v>
      </c>
      <c r="B593" s="8" t="s">
        <v>2627</v>
      </c>
      <c r="C593" s="8" t="s">
        <v>2039</v>
      </c>
      <c r="D593" s="11" t="n">
        <v>0.00724328703703704</v>
      </c>
      <c r="E593" s="39" t="n">
        <f aca="false">ROUND((D593-$D$5)*86400,2)</f>
        <v>86.8</v>
      </c>
      <c r="F593" s="12" t="n">
        <v>1684</v>
      </c>
      <c r="G593" s="11" t="str">
        <f aca="false">IF(INDEX(選手一覧!$D$5:$D$2736,$F593)="","",INDEX(選手一覧!$D$5:$D$2736,$F593))</f>
        <v/>
      </c>
      <c r="H593" s="12" t="str">
        <f aca="false">IF(INDEX(選手一覧!$E$5:$E$2736,$F593)="","",INDEX(選手一覧!$E$5:$E$2736,$F593))</f>
        <v/>
      </c>
      <c r="I593" s="11" t="str">
        <f aca="false">IF(INDEX(選手一覧!$H$5:$H$2736,$F593)="","",INDEX(選手一覧!$H$5:$H$2736,$F593))</f>
        <v/>
      </c>
      <c r="J593" s="12" t="str">
        <f aca="false">IF(INDEX(選手一覧!$I$5:$I$2736,$F593)="","",INDEX(選手一覧!$I$5:$I$2736,$F593))</f>
        <v/>
      </c>
    </row>
    <row r="594" customFormat="false" ht="15" hidden="false" customHeight="false" outlineLevel="0" collapsed="false">
      <c r="A594" s="12" t="n">
        <v>591</v>
      </c>
      <c r="B594" s="8" t="s">
        <v>2628</v>
      </c>
      <c r="C594" s="8" t="s">
        <v>1732</v>
      </c>
      <c r="D594" s="11" t="n">
        <v>0.0072443287037037</v>
      </c>
      <c r="E594" s="39" t="n">
        <f aca="false">ROUND((D594-$D$5)*86400,2)</f>
        <v>86.89</v>
      </c>
      <c r="F594" s="12" t="n">
        <v>1685</v>
      </c>
      <c r="G594" s="11" t="str">
        <f aca="false">IF(INDEX(選手一覧!$D$5:$D$2736,$F594)="","",INDEX(選手一覧!$D$5:$D$2736,$F594))</f>
        <v/>
      </c>
      <c r="H594" s="12" t="str">
        <f aca="false">IF(INDEX(選手一覧!$E$5:$E$2736,$F594)="","",INDEX(選手一覧!$E$5:$E$2736,$F594))</f>
        <v/>
      </c>
      <c r="I594" s="11" t="str">
        <f aca="false">IF(INDEX(選手一覧!$H$5:$H$2736,$F594)="","",INDEX(選手一覧!$H$5:$H$2736,$F594))</f>
        <v/>
      </c>
      <c r="J594" s="12" t="str">
        <f aca="false">IF(INDEX(選手一覧!$I$5:$I$2736,$F594)="","",INDEX(選手一覧!$I$5:$I$2736,$F594))</f>
        <v/>
      </c>
    </row>
    <row r="595" customFormat="false" ht="15" hidden="false" customHeight="false" outlineLevel="0" collapsed="false">
      <c r="A595" s="12" t="n">
        <v>592</v>
      </c>
      <c r="B595" s="8" t="s">
        <v>2629</v>
      </c>
      <c r="C595" s="8" t="s">
        <v>2630</v>
      </c>
      <c r="D595" s="11" t="n">
        <v>0.00724618055555556</v>
      </c>
      <c r="E595" s="39" t="n">
        <f aca="false">ROUND((D595-$D$5)*86400,2)</f>
        <v>87.05</v>
      </c>
      <c r="F595" s="12" t="n">
        <v>1686</v>
      </c>
      <c r="G595" s="11" t="str">
        <f aca="false">IF(INDEX(選手一覧!$D$5:$D$2736,$F595)="","",INDEX(選手一覧!$D$5:$D$2736,$F595))</f>
        <v/>
      </c>
      <c r="H595" s="12" t="str">
        <f aca="false">IF(INDEX(選手一覧!$E$5:$E$2736,$F595)="","",INDEX(選手一覧!$E$5:$E$2736,$F595))</f>
        <v/>
      </c>
      <c r="I595" s="11" t="str">
        <f aca="false">IF(INDEX(選手一覧!$H$5:$H$2736,$F595)="","",INDEX(選手一覧!$H$5:$H$2736,$F595))</f>
        <v/>
      </c>
      <c r="J595" s="12" t="str">
        <f aca="false">IF(INDEX(選手一覧!$I$5:$I$2736,$F595)="","",INDEX(選手一覧!$I$5:$I$2736,$F595))</f>
        <v/>
      </c>
    </row>
    <row r="596" customFormat="false" ht="15" hidden="false" customHeight="false" outlineLevel="0" collapsed="false">
      <c r="A596" s="12" t="n">
        <v>593</v>
      </c>
      <c r="B596" s="8" t="s">
        <v>2631</v>
      </c>
      <c r="C596" s="8" t="s">
        <v>2153</v>
      </c>
      <c r="D596" s="11" t="n">
        <v>0.00724722222222222</v>
      </c>
      <c r="E596" s="39" t="n">
        <f aca="false">ROUND((D596-$D$5)*86400,2)</f>
        <v>87.14</v>
      </c>
      <c r="F596" s="12" t="n">
        <v>1687</v>
      </c>
      <c r="G596" s="11" t="str">
        <f aca="false">IF(INDEX(選手一覧!$D$5:$D$2736,$F596)="","",INDEX(選手一覧!$D$5:$D$2736,$F596))</f>
        <v/>
      </c>
      <c r="H596" s="12" t="str">
        <f aca="false">IF(INDEX(選手一覧!$E$5:$E$2736,$F596)="","",INDEX(選手一覧!$E$5:$E$2736,$F596))</f>
        <v/>
      </c>
      <c r="I596" s="11" t="str">
        <f aca="false">IF(INDEX(選手一覧!$H$5:$H$2736,$F596)="","",INDEX(選手一覧!$H$5:$H$2736,$F596))</f>
        <v/>
      </c>
      <c r="J596" s="12" t="str">
        <f aca="false">IF(INDEX(選手一覧!$I$5:$I$2736,$F596)="","",INDEX(選手一覧!$I$5:$I$2736,$F596))</f>
        <v/>
      </c>
    </row>
    <row r="597" customFormat="false" ht="15" hidden="false" customHeight="false" outlineLevel="0" collapsed="false">
      <c r="A597" s="12" t="n">
        <v>594</v>
      </c>
      <c r="B597" s="8" t="s">
        <v>2632</v>
      </c>
      <c r="C597" s="8" t="s">
        <v>1448</v>
      </c>
      <c r="D597" s="11" t="n">
        <v>0.0072474537037037</v>
      </c>
      <c r="E597" s="39" t="n">
        <f aca="false">ROUND((D597-$D$5)*86400,2)</f>
        <v>87.16</v>
      </c>
      <c r="F597" s="12" t="n">
        <v>1688</v>
      </c>
      <c r="G597" s="11" t="str">
        <f aca="false">IF(INDEX(選手一覧!$D$5:$D$2736,$F597)="","",INDEX(選手一覧!$D$5:$D$2736,$F597))</f>
        <v/>
      </c>
      <c r="H597" s="12" t="str">
        <f aca="false">IF(INDEX(選手一覧!$E$5:$E$2736,$F597)="","",INDEX(選手一覧!$E$5:$E$2736,$F597))</f>
        <v/>
      </c>
      <c r="I597" s="11" t="str">
        <f aca="false">IF(INDEX(選手一覧!$H$5:$H$2736,$F597)="","",INDEX(選手一覧!$H$5:$H$2736,$F597))</f>
        <v/>
      </c>
      <c r="J597" s="12" t="str">
        <f aca="false">IF(INDEX(選手一覧!$I$5:$I$2736,$F597)="","",INDEX(選手一覧!$I$5:$I$2736,$F597))</f>
        <v/>
      </c>
    </row>
    <row r="598" customFormat="false" ht="15" hidden="false" customHeight="false" outlineLevel="0" collapsed="false">
      <c r="A598" s="12" t="n">
        <v>595</v>
      </c>
      <c r="B598" s="8" t="s">
        <v>2635</v>
      </c>
      <c r="C598" s="8" t="s">
        <v>2636</v>
      </c>
      <c r="D598" s="11" t="n">
        <v>0.00724768518518519</v>
      </c>
      <c r="E598" s="39" t="n">
        <f aca="false">ROUND((D598-$D$5)*86400,2)</f>
        <v>87.18</v>
      </c>
      <c r="F598" s="12" t="n">
        <v>1690</v>
      </c>
      <c r="G598" s="11" t="str">
        <f aca="false">IF(INDEX(選手一覧!$D$5:$D$2736,$F598)="","",INDEX(選手一覧!$D$5:$D$2736,$F598))</f>
        <v/>
      </c>
      <c r="H598" s="12" t="str">
        <f aca="false">IF(INDEX(選手一覧!$E$5:$E$2736,$F598)="","",INDEX(選手一覧!$E$5:$E$2736,$F598))</f>
        <v/>
      </c>
      <c r="I598" s="11" t="str">
        <f aca="false">IF(INDEX(選手一覧!$H$5:$H$2736,$F598)="","",INDEX(選手一覧!$H$5:$H$2736,$F598))</f>
        <v/>
      </c>
      <c r="J598" s="12" t="str">
        <f aca="false">IF(INDEX(選手一覧!$I$5:$I$2736,$F598)="","",INDEX(選手一覧!$I$5:$I$2736,$F598))</f>
        <v/>
      </c>
    </row>
    <row r="599" customFormat="false" ht="15" hidden="false" customHeight="false" outlineLevel="0" collapsed="false">
      <c r="A599" s="12" t="n">
        <v>596</v>
      </c>
      <c r="B599" s="8" t="s">
        <v>2639</v>
      </c>
      <c r="C599" s="8" t="s">
        <v>1689</v>
      </c>
      <c r="D599" s="11" t="n">
        <v>0.00724826388888889</v>
      </c>
      <c r="E599" s="39" t="n">
        <f aca="false">ROUND((D599-$D$5)*86400,2)</f>
        <v>87.23</v>
      </c>
      <c r="F599" s="12" t="n">
        <v>1692</v>
      </c>
      <c r="G599" s="11" t="str">
        <f aca="false">IF(INDEX(選手一覧!$D$5:$D$2736,$F599)="","",INDEX(選手一覧!$D$5:$D$2736,$F599))</f>
        <v/>
      </c>
      <c r="H599" s="12" t="str">
        <f aca="false">IF(INDEX(選手一覧!$E$5:$E$2736,$F599)="","",INDEX(選手一覧!$E$5:$E$2736,$F599))</f>
        <v/>
      </c>
      <c r="I599" s="11" t="n">
        <f aca="false">IF(INDEX(選手一覧!$H$5:$H$2736,$F599)="","",INDEX(選手一覧!$H$5:$H$2736,$F599))</f>
        <v>0.00290162037037037</v>
      </c>
      <c r="J599" s="12" t="n">
        <f aca="false">IF(INDEX(選手一覧!$I$5:$I$2736,$F599)="","",INDEX(選手一覧!$I$5:$I$2736,$F599))</f>
        <v>961</v>
      </c>
    </row>
    <row r="600" customFormat="false" ht="15" hidden="false" customHeight="false" outlineLevel="0" collapsed="false">
      <c r="A600" s="12" t="n">
        <v>597</v>
      </c>
      <c r="B600" s="8" t="s">
        <v>784</v>
      </c>
      <c r="C600" s="8" t="s">
        <v>578</v>
      </c>
      <c r="D600" s="11" t="n">
        <v>0.00725046296296296</v>
      </c>
      <c r="E600" s="39" t="n">
        <f aca="false">ROUND((D600-$D$5)*86400,2)</f>
        <v>87.42</v>
      </c>
      <c r="F600" s="12" t="n">
        <v>442</v>
      </c>
      <c r="G600" s="11" t="n">
        <f aca="false">IF(INDEX(選手一覧!$D$5:$D$2736,$F600)="","",INDEX(選手一覧!$D$5:$D$2736,$F600))</f>
        <v>0.0105847222222222</v>
      </c>
      <c r="H600" s="12" t="n">
        <f aca="false">IF(INDEX(選手一覧!$E$5:$E$2736,$F600)="","",INDEX(選手一覧!$E$5:$E$2736,$F600))</f>
        <v>443</v>
      </c>
      <c r="I600" s="11" t="n">
        <f aca="false">IF(INDEX(選手一覧!$H$5:$H$2736,$F600)="","",INDEX(選手一覧!$H$5:$H$2736,$F600))</f>
        <v>0.00297615740740741</v>
      </c>
      <c r="J600" s="12" t="n">
        <f aca="false">IF(INDEX(選手一覧!$I$5:$I$2736,$F600)="","",INDEX(選手一覧!$I$5:$I$2736,$F600))</f>
        <v>1335</v>
      </c>
    </row>
    <row r="601" customFormat="false" ht="15" hidden="false" customHeight="false" outlineLevel="0" collapsed="false">
      <c r="A601" s="12" t="n">
        <v>598</v>
      </c>
      <c r="B601" s="8" t="s">
        <v>2640</v>
      </c>
      <c r="C601" s="8" t="s">
        <v>2641</v>
      </c>
      <c r="D601" s="11" t="n">
        <v>0.00725219907407407</v>
      </c>
      <c r="E601" s="39" t="n">
        <f aca="false">ROUND((D601-$D$5)*86400,2)</f>
        <v>87.57</v>
      </c>
      <c r="F601" s="12" t="n">
        <v>1693</v>
      </c>
      <c r="G601" s="11" t="str">
        <f aca="false">IF(INDEX(選手一覧!$D$5:$D$2736,$F601)="","",INDEX(選手一覧!$D$5:$D$2736,$F601))</f>
        <v/>
      </c>
      <c r="H601" s="12" t="str">
        <f aca="false">IF(INDEX(選手一覧!$E$5:$E$2736,$F601)="","",INDEX(選手一覧!$E$5:$E$2736,$F601))</f>
        <v/>
      </c>
      <c r="I601" s="11" t="str">
        <f aca="false">IF(INDEX(選手一覧!$H$5:$H$2736,$F601)="","",INDEX(選手一覧!$H$5:$H$2736,$F601))</f>
        <v/>
      </c>
      <c r="J601" s="12" t="str">
        <f aca="false">IF(INDEX(選手一覧!$I$5:$I$2736,$F601)="","",INDEX(選手一覧!$I$5:$I$2736,$F601))</f>
        <v/>
      </c>
    </row>
    <row r="602" customFormat="false" ht="15" hidden="false" customHeight="false" outlineLevel="0" collapsed="false">
      <c r="A602" s="12" t="n">
        <v>599</v>
      </c>
      <c r="B602" s="8" t="s">
        <v>2642</v>
      </c>
      <c r="C602" s="8" t="s">
        <v>2643</v>
      </c>
      <c r="D602" s="11" t="n">
        <v>0.0072525462962963</v>
      </c>
      <c r="E602" s="39" t="n">
        <f aca="false">ROUND((D602-$D$5)*86400,2)</f>
        <v>87.6</v>
      </c>
      <c r="F602" s="12" t="n">
        <v>1694</v>
      </c>
      <c r="G602" s="11" t="str">
        <f aca="false">IF(INDEX(選手一覧!$D$5:$D$2736,$F602)="","",INDEX(選手一覧!$D$5:$D$2736,$F602))</f>
        <v/>
      </c>
      <c r="H602" s="12" t="str">
        <f aca="false">IF(INDEX(選手一覧!$E$5:$E$2736,$F602)="","",INDEX(選手一覧!$E$5:$E$2736,$F602))</f>
        <v/>
      </c>
      <c r="I602" s="11" t="str">
        <f aca="false">IF(INDEX(選手一覧!$H$5:$H$2736,$F602)="","",INDEX(選手一覧!$H$5:$H$2736,$F602))</f>
        <v/>
      </c>
      <c r="J602" s="12" t="str">
        <f aca="false">IF(INDEX(選手一覧!$I$5:$I$2736,$F602)="","",INDEX(選手一覧!$I$5:$I$2736,$F602))</f>
        <v/>
      </c>
    </row>
    <row r="603" customFormat="false" ht="15" hidden="false" customHeight="false" outlineLevel="0" collapsed="false">
      <c r="A603" s="12" t="n">
        <v>600</v>
      </c>
      <c r="B603" s="8" t="s">
        <v>2644</v>
      </c>
      <c r="C603" s="8" t="s">
        <v>1713</v>
      </c>
      <c r="D603" s="11" t="n">
        <v>0.00725393518518519</v>
      </c>
      <c r="E603" s="39" t="n">
        <f aca="false">ROUND((D603-$D$5)*86400,2)</f>
        <v>87.72</v>
      </c>
      <c r="F603" s="12" t="n">
        <v>1695</v>
      </c>
      <c r="G603" s="11" t="str">
        <f aca="false">IF(INDEX(選手一覧!$D$5:$D$2736,$F603)="","",INDEX(選手一覧!$D$5:$D$2736,$F603))</f>
        <v/>
      </c>
      <c r="H603" s="12" t="str">
        <f aca="false">IF(INDEX(選手一覧!$E$5:$E$2736,$F603)="","",INDEX(選手一覧!$E$5:$E$2736,$F603))</f>
        <v/>
      </c>
      <c r="I603" s="11" t="str">
        <f aca="false">IF(INDEX(選手一覧!$H$5:$H$2736,$F603)="","",INDEX(選手一覧!$H$5:$H$2736,$F603))</f>
        <v/>
      </c>
      <c r="J603" s="12" t="str">
        <f aca="false">IF(INDEX(選手一覧!$I$5:$I$2736,$F603)="","",INDEX(選手一覧!$I$5:$I$2736,$F603))</f>
        <v/>
      </c>
    </row>
    <row r="604" customFormat="false" ht="15" hidden="false" customHeight="false" outlineLevel="0" collapsed="false">
      <c r="A604" s="12" t="n">
        <v>601</v>
      </c>
      <c r="B604" s="8" t="s">
        <v>2646</v>
      </c>
      <c r="C604" s="8" t="s">
        <v>2271</v>
      </c>
      <c r="D604" s="11" t="n">
        <v>0.00725497685185185</v>
      </c>
      <c r="E604" s="39" t="n">
        <f aca="false">ROUND((D604-$D$5)*86400,2)</f>
        <v>87.81</v>
      </c>
      <c r="F604" s="12" t="n">
        <v>1696</v>
      </c>
      <c r="G604" s="11" t="str">
        <f aca="false">IF(INDEX(選手一覧!$D$5:$D$2736,$F604)="","",INDEX(選手一覧!$D$5:$D$2736,$F604))</f>
        <v/>
      </c>
      <c r="H604" s="12" t="str">
        <f aca="false">IF(INDEX(選手一覧!$E$5:$E$2736,$F604)="","",INDEX(選手一覧!$E$5:$E$2736,$F604))</f>
        <v/>
      </c>
      <c r="I604" s="11" t="str">
        <f aca="false">IF(INDEX(選手一覧!$H$5:$H$2736,$F604)="","",INDEX(選手一覧!$H$5:$H$2736,$F604))</f>
        <v/>
      </c>
      <c r="J604" s="12" t="str">
        <f aca="false">IF(INDEX(選手一覧!$I$5:$I$2736,$F604)="","",INDEX(選手一覧!$I$5:$I$2736,$F604))</f>
        <v/>
      </c>
    </row>
    <row r="605" customFormat="false" ht="15" hidden="false" customHeight="false" outlineLevel="0" collapsed="false">
      <c r="A605" s="12" t="n">
        <v>602</v>
      </c>
      <c r="B605" s="8" t="s">
        <v>2647</v>
      </c>
      <c r="C605" s="8" t="s">
        <v>1174</v>
      </c>
      <c r="D605" s="11" t="n">
        <v>0.00725659722222222</v>
      </c>
      <c r="E605" s="39" t="n">
        <f aca="false">ROUND((D605-$D$5)*86400,2)</f>
        <v>87.95</v>
      </c>
      <c r="F605" s="12" t="n">
        <v>1697</v>
      </c>
      <c r="G605" s="11" t="str">
        <f aca="false">IF(INDEX(選手一覧!$D$5:$D$2736,$F605)="","",INDEX(選手一覧!$D$5:$D$2736,$F605))</f>
        <v/>
      </c>
      <c r="H605" s="12" t="str">
        <f aca="false">IF(INDEX(選手一覧!$E$5:$E$2736,$F605)="","",INDEX(選手一覧!$E$5:$E$2736,$F605))</f>
        <v/>
      </c>
      <c r="I605" s="11" t="str">
        <f aca="false">IF(INDEX(選手一覧!$H$5:$H$2736,$F605)="","",INDEX(選手一覧!$H$5:$H$2736,$F605))</f>
        <v/>
      </c>
      <c r="J605" s="12" t="str">
        <f aca="false">IF(INDEX(選手一覧!$I$5:$I$2736,$F605)="","",INDEX(選手一覧!$I$5:$I$2736,$F605))</f>
        <v/>
      </c>
    </row>
    <row r="606" customFormat="false" ht="15" hidden="false" customHeight="false" outlineLevel="0" collapsed="false">
      <c r="A606" s="12" t="n">
        <v>603</v>
      </c>
      <c r="B606" s="8" t="s">
        <v>2648</v>
      </c>
      <c r="C606" s="8" t="s">
        <v>2459</v>
      </c>
      <c r="D606" s="11" t="n">
        <v>0.00725891203703704</v>
      </c>
      <c r="E606" s="39" t="n">
        <f aca="false">ROUND((D606-$D$5)*86400,2)</f>
        <v>88.15</v>
      </c>
      <c r="F606" s="12" t="n">
        <v>1698</v>
      </c>
      <c r="G606" s="11" t="str">
        <f aca="false">IF(INDEX(選手一覧!$D$5:$D$2736,$F606)="","",INDEX(選手一覧!$D$5:$D$2736,$F606))</f>
        <v/>
      </c>
      <c r="H606" s="12" t="str">
        <f aca="false">IF(INDEX(選手一覧!$E$5:$E$2736,$F606)="","",INDEX(選手一覧!$E$5:$E$2736,$F606))</f>
        <v/>
      </c>
      <c r="I606" s="11" t="str">
        <f aca="false">IF(INDEX(選手一覧!$H$5:$H$2736,$F606)="","",INDEX(選手一覧!$H$5:$H$2736,$F606))</f>
        <v/>
      </c>
      <c r="J606" s="12" t="str">
        <f aca="false">IF(INDEX(選手一覧!$I$5:$I$2736,$F606)="","",INDEX(選手一覧!$I$5:$I$2736,$F606))</f>
        <v/>
      </c>
    </row>
    <row r="607" customFormat="false" ht="15" hidden="false" customHeight="false" outlineLevel="0" collapsed="false">
      <c r="A607" s="12" t="n">
        <v>604</v>
      </c>
      <c r="B607" s="8" t="s">
        <v>2649</v>
      </c>
      <c r="C607" s="8" t="s">
        <v>1422</v>
      </c>
      <c r="D607" s="11" t="n">
        <v>0.00725925925925926</v>
      </c>
      <c r="E607" s="39" t="n">
        <f aca="false">ROUND((D607-$D$5)*86400,2)</f>
        <v>88.18</v>
      </c>
      <c r="F607" s="12" t="n">
        <v>1699</v>
      </c>
      <c r="G607" s="11" t="str">
        <f aca="false">IF(INDEX(選手一覧!$D$5:$D$2736,$F607)="","",INDEX(選手一覧!$D$5:$D$2736,$F607))</f>
        <v/>
      </c>
      <c r="H607" s="12" t="str">
        <f aca="false">IF(INDEX(選手一覧!$E$5:$E$2736,$F607)="","",INDEX(選手一覧!$E$5:$E$2736,$F607))</f>
        <v/>
      </c>
      <c r="I607" s="11" t="str">
        <f aca="false">IF(INDEX(選手一覧!$H$5:$H$2736,$F607)="","",INDEX(選手一覧!$H$5:$H$2736,$F607))</f>
        <v/>
      </c>
      <c r="J607" s="12" t="str">
        <f aca="false">IF(INDEX(選手一覧!$I$5:$I$2736,$F607)="","",INDEX(選手一覧!$I$5:$I$2736,$F607))</f>
        <v/>
      </c>
    </row>
    <row r="608" customFormat="false" ht="15" hidden="false" customHeight="false" outlineLevel="0" collapsed="false">
      <c r="A608" s="12" t="n">
        <v>605</v>
      </c>
      <c r="B608" s="8" t="s">
        <v>2650</v>
      </c>
      <c r="C608" s="8" t="s">
        <v>2027</v>
      </c>
      <c r="D608" s="11" t="n">
        <v>0.00726006944444444</v>
      </c>
      <c r="E608" s="39" t="n">
        <f aca="false">ROUND((D608-$D$5)*86400,2)</f>
        <v>88.25</v>
      </c>
      <c r="F608" s="12" t="n">
        <v>1700</v>
      </c>
      <c r="G608" s="11" t="str">
        <f aca="false">IF(INDEX(選手一覧!$D$5:$D$2736,$F608)="","",INDEX(選手一覧!$D$5:$D$2736,$F608))</f>
        <v/>
      </c>
      <c r="H608" s="12" t="str">
        <f aca="false">IF(INDEX(選手一覧!$E$5:$E$2736,$F608)="","",INDEX(選手一覧!$E$5:$E$2736,$F608))</f>
        <v/>
      </c>
      <c r="I608" s="11" t="str">
        <f aca="false">IF(INDEX(選手一覧!$H$5:$H$2736,$F608)="","",INDEX(選手一覧!$H$5:$H$2736,$F608))</f>
        <v/>
      </c>
      <c r="J608" s="12" t="str">
        <f aca="false">IF(INDEX(選手一覧!$I$5:$I$2736,$F608)="","",INDEX(選手一覧!$I$5:$I$2736,$F608))</f>
        <v/>
      </c>
    </row>
    <row r="609" customFormat="false" ht="15" hidden="false" customHeight="false" outlineLevel="0" collapsed="false">
      <c r="A609" s="12" t="n">
        <v>606</v>
      </c>
      <c r="B609" s="8" t="s">
        <v>2651</v>
      </c>
      <c r="C609" s="8" t="s">
        <v>1726</v>
      </c>
      <c r="D609" s="11" t="n">
        <v>0.00726018518518519</v>
      </c>
      <c r="E609" s="39" t="n">
        <f aca="false">ROUND((D609-$D$5)*86400,2)</f>
        <v>88.26</v>
      </c>
      <c r="F609" s="12" t="n">
        <v>1701</v>
      </c>
      <c r="G609" s="11" t="str">
        <f aca="false">IF(INDEX(選手一覧!$D$5:$D$2736,$F609)="","",INDEX(選手一覧!$D$5:$D$2736,$F609))</f>
        <v/>
      </c>
      <c r="H609" s="12" t="str">
        <f aca="false">IF(INDEX(選手一覧!$E$5:$E$2736,$F609)="","",INDEX(選手一覧!$E$5:$E$2736,$F609))</f>
        <v/>
      </c>
      <c r="I609" s="11" t="str">
        <f aca="false">IF(INDEX(選手一覧!$H$5:$H$2736,$F609)="","",INDEX(選手一覧!$H$5:$H$2736,$F609))</f>
        <v/>
      </c>
      <c r="J609" s="12" t="str">
        <f aca="false">IF(INDEX(選手一覧!$I$5:$I$2736,$F609)="","",INDEX(選手一覧!$I$5:$I$2736,$F609))</f>
        <v/>
      </c>
    </row>
    <row r="610" customFormat="false" ht="15" hidden="false" customHeight="false" outlineLevel="0" collapsed="false">
      <c r="A610" s="12" t="n">
        <v>607</v>
      </c>
      <c r="B610" s="8" t="s">
        <v>2653</v>
      </c>
      <c r="C610" s="8" t="s">
        <v>1583</v>
      </c>
      <c r="D610" s="11" t="n">
        <v>0.00726076388888889</v>
      </c>
      <c r="E610" s="39" t="n">
        <f aca="false">ROUND((D610-$D$5)*86400,2)</f>
        <v>88.31</v>
      </c>
      <c r="F610" s="12" t="n">
        <v>1703</v>
      </c>
      <c r="G610" s="11" t="str">
        <f aca="false">IF(INDEX(選手一覧!$D$5:$D$2736,$F610)="","",INDEX(選手一覧!$D$5:$D$2736,$F610))</f>
        <v/>
      </c>
      <c r="H610" s="12" t="str">
        <f aca="false">IF(INDEX(選手一覧!$E$5:$E$2736,$F610)="","",INDEX(選手一覧!$E$5:$E$2736,$F610))</f>
        <v/>
      </c>
      <c r="I610" s="11" t="str">
        <f aca="false">IF(INDEX(選手一覧!$H$5:$H$2736,$F610)="","",INDEX(選手一覧!$H$5:$H$2736,$F610))</f>
        <v/>
      </c>
      <c r="J610" s="12" t="str">
        <f aca="false">IF(INDEX(選手一覧!$I$5:$I$2736,$F610)="","",INDEX(選手一覧!$I$5:$I$2736,$F610))</f>
        <v/>
      </c>
    </row>
    <row r="611" customFormat="false" ht="15" hidden="false" customHeight="false" outlineLevel="0" collapsed="false">
      <c r="A611" s="12" t="n">
        <v>608</v>
      </c>
      <c r="B611" s="8" t="s">
        <v>2655</v>
      </c>
      <c r="C611" s="8" t="s">
        <v>2111</v>
      </c>
      <c r="D611" s="11" t="n">
        <v>0.00726273148148148</v>
      </c>
      <c r="E611" s="39" t="n">
        <f aca="false">ROUND((D611-$D$5)*86400,2)</f>
        <v>88.48</v>
      </c>
      <c r="F611" s="12" t="n">
        <v>1704</v>
      </c>
      <c r="G611" s="11" t="str">
        <f aca="false">IF(INDEX(選手一覧!$D$5:$D$2736,$F611)="","",INDEX(選手一覧!$D$5:$D$2736,$F611))</f>
        <v/>
      </c>
      <c r="H611" s="12" t="str">
        <f aca="false">IF(INDEX(選手一覧!$E$5:$E$2736,$F611)="","",INDEX(選手一覧!$E$5:$E$2736,$F611))</f>
        <v/>
      </c>
      <c r="I611" s="11" t="str">
        <f aca="false">IF(INDEX(選手一覧!$H$5:$H$2736,$F611)="","",INDEX(選手一覧!$H$5:$H$2736,$F611))</f>
        <v/>
      </c>
      <c r="J611" s="12" t="str">
        <f aca="false">IF(INDEX(選手一覧!$I$5:$I$2736,$F611)="","",INDEX(選手一覧!$I$5:$I$2736,$F611))</f>
        <v/>
      </c>
    </row>
    <row r="612" customFormat="false" ht="15" hidden="false" customHeight="false" outlineLevel="0" collapsed="false">
      <c r="A612" s="12" t="n">
        <v>609</v>
      </c>
      <c r="B612" s="8" t="s">
        <v>2656</v>
      </c>
      <c r="C612" s="8" t="s">
        <v>2657</v>
      </c>
      <c r="D612" s="11" t="n">
        <v>0.00726284722222222</v>
      </c>
      <c r="E612" s="39" t="n">
        <f aca="false">ROUND((D612-$D$5)*86400,2)</f>
        <v>88.49</v>
      </c>
      <c r="F612" s="12" t="n">
        <v>1705</v>
      </c>
      <c r="G612" s="11" t="str">
        <f aca="false">IF(INDEX(選手一覧!$D$5:$D$2736,$F612)="","",INDEX(選手一覧!$D$5:$D$2736,$F612))</f>
        <v/>
      </c>
      <c r="H612" s="12" t="str">
        <f aca="false">IF(INDEX(選手一覧!$E$5:$E$2736,$F612)="","",INDEX(選手一覧!$E$5:$E$2736,$F612))</f>
        <v/>
      </c>
      <c r="I612" s="11" t="str">
        <f aca="false">IF(INDEX(選手一覧!$H$5:$H$2736,$F612)="","",INDEX(選手一覧!$H$5:$H$2736,$F612))</f>
        <v/>
      </c>
      <c r="J612" s="12" t="str">
        <f aca="false">IF(INDEX(選手一覧!$I$5:$I$2736,$F612)="","",INDEX(選手一覧!$I$5:$I$2736,$F612))</f>
        <v/>
      </c>
    </row>
    <row r="613" customFormat="false" ht="15" hidden="false" customHeight="false" outlineLevel="0" collapsed="false">
      <c r="A613" s="12" t="n">
        <v>610</v>
      </c>
      <c r="B613" s="8" t="s">
        <v>2658</v>
      </c>
      <c r="C613" s="8" t="s">
        <v>2659</v>
      </c>
      <c r="D613" s="11" t="n">
        <v>0.00726354166666667</v>
      </c>
      <c r="E613" s="39" t="n">
        <f aca="false">ROUND((D613-$D$5)*86400,2)</f>
        <v>88.55</v>
      </c>
      <c r="F613" s="12" t="n">
        <v>1706</v>
      </c>
      <c r="G613" s="11" t="str">
        <f aca="false">IF(INDEX(選手一覧!$D$5:$D$2736,$F613)="","",INDEX(選手一覧!$D$5:$D$2736,$F613))</f>
        <v/>
      </c>
      <c r="H613" s="12" t="str">
        <f aca="false">IF(INDEX(選手一覧!$E$5:$E$2736,$F613)="","",INDEX(選手一覧!$E$5:$E$2736,$F613))</f>
        <v/>
      </c>
      <c r="I613" s="11" t="str">
        <f aca="false">IF(INDEX(選手一覧!$H$5:$H$2736,$F613)="","",INDEX(選手一覧!$H$5:$H$2736,$F613))</f>
        <v/>
      </c>
      <c r="J613" s="12" t="str">
        <f aca="false">IF(INDEX(選手一覧!$I$5:$I$2736,$F613)="","",INDEX(選手一覧!$I$5:$I$2736,$F613))</f>
        <v/>
      </c>
    </row>
    <row r="614" customFormat="false" ht="15" hidden="false" customHeight="false" outlineLevel="0" collapsed="false">
      <c r="A614" s="12" t="n">
        <v>611</v>
      </c>
      <c r="B614" s="8" t="s">
        <v>2660</v>
      </c>
      <c r="C614" s="8" t="s">
        <v>2661</v>
      </c>
      <c r="D614" s="11" t="n">
        <v>0.00726585648148148</v>
      </c>
      <c r="E614" s="39" t="n">
        <f aca="false">ROUND((D614-$D$5)*86400,2)</f>
        <v>88.75</v>
      </c>
      <c r="F614" s="12" t="n">
        <v>1707</v>
      </c>
      <c r="G614" s="11" t="str">
        <f aca="false">IF(INDEX(選手一覧!$D$5:$D$2736,$F614)="","",INDEX(選手一覧!$D$5:$D$2736,$F614))</f>
        <v/>
      </c>
      <c r="H614" s="12" t="str">
        <f aca="false">IF(INDEX(選手一覧!$E$5:$E$2736,$F614)="","",INDEX(選手一覧!$E$5:$E$2736,$F614))</f>
        <v/>
      </c>
      <c r="I614" s="11" t="str">
        <f aca="false">IF(INDEX(選手一覧!$H$5:$H$2736,$F614)="","",INDEX(選手一覧!$H$5:$H$2736,$F614))</f>
        <v/>
      </c>
      <c r="J614" s="12" t="str">
        <f aca="false">IF(INDEX(選手一覧!$I$5:$I$2736,$F614)="","",INDEX(選手一覧!$I$5:$I$2736,$F614))</f>
        <v/>
      </c>
    </row>
    <row r="615" customFormat="false" ht="15" hidden="false" customHeight="false" outlineLevel="0" collapsed="false">
      <c r="A615" s="12" t="n">
        <v>612</v>
      </c>
      <c r="B615" s="8" t="s">
        <v>2662</v>
      </c>
      <c r="C615" s="8" t="s">
        <v>2663</v>
      </c>
      <c r="D615" s="11" t="n">
        <v>0.00726747685185185</v>
      </c>
      <c r="E615" s="39" t="n">
        <f aca="false">ROUND((D615-$D$5)*86400,2)</f>
        <v>88.89</v>
      </c>
      <c r="F615" s="12" t="n">
        <v>1708</v>
      </c>
      <c r="G615" s="11" t="str">
        <f aca="false">IF(INDEX(選手一覧!$D$5:$D$2736,$F615)="","",INDEX(選手一覧!$D$5:$D$2736,$F615))</f>
        <v/>
      </c>
      <c r="H615" s="12" t="str">
        <f aca="false">IF(INDEX(選手一覧!$E$5:$E$2736,$F615)="","",INDEX(選手一覧!$E$5:$E$2736,$F615))</f>
        <v/>
      </c>
      <c r="I615" s="11" t="str">
        <f aca="false">IF(INDEX(選手一覧!$H$5:$H$2736,$F615)="","",INDEX(選手一覧!$H$5:$H$2736,$F615))</f>
        <v/>
      </c>
      <c r="J615" s="12" t="str">
        <f aca="false">IF(INDEX(選手一覧!$I$5:$I$2736,$F615)="","",INDEX(選手一覧!$I$5:$I$2736,$F615))</f>
        <v/>
      </c>
    </row>
    <row r="616" customFormat="false" ht="15" hidden="false" customHeight="false" outlineLevel="0" collapsed="false">
      <c r="A616" s="12" t="n">
        <v>613</v>
      </c>
      <c r="B616" s="8" t="s">
        <v>2664</v>
      </c>
      <c r="C616" s="8" t="s">
        <v>1756</v>
      </c>
      <c r="D616" s="11" t="n">
        <v>0.00726851851851852</v>
      </c>
      <c r="E616" s="39" t="n">
        <f aca="false">ROUND((D616-$D$5)*86400,2)</f>
        <v>88.98</v>
      </c>
      <c r="F616" s="12" t="n">
        <v>1709</v>
      </c>
      <c r="G616" s="11" t="str">
        <f aca="false">IF(INDEX(選手一覧!$D$5:$D$2736,$F616)="","",INDEX(選手一覧!$D$5:$D$2736,$F616))</f>
        <v/>
      </c>
      <c r="H616" s="12" t="str">
        <f aca="false">IF(INDEX(選手一覧!$E$5:$E$2736,$F616)="","",INDEX(選手一覧!$E$5:$E$2736,$F616))</f>
        <v/>
      </c>
      <c r="I616" s="11" t="str">
        <f aca="false">IF(INDEX(選手一覧!$H$5:$H$2736,$F616)="","",INDEX(選手一覧!$H$5:$H$2736,$F616))</f>
        <v/>
      </c>
      <c r="J616" s="12" t="str">
        <f aca="false">IF(INDEX(選手一覧!$I$5:$I$2736,$F616)="","",INDEX(選手一覧!$I$5:$I$2736,$F616))</f>
        <v/>
      </c>
    </row>
    <row r="617" customFormat="false" ht="15" hidden="false" customHeight="false" outlineLevel="0" collapsed="false">
      <c r="A617" s="12" t="n">
        <v>614</v>
      </c>
      <c r="B617" s="8" t="s">
        <v>2665</v>
      </c>
      <c r="C617" s="8" t="s">
        <v>2166</v>
      </c>
      <c r="D617" s="11" t="n">
        <v>0.00726851851851852</v>
      </c>
      <c r="E617" s="39" t="n">
        <f aca="false">ROUND((D617-$D$5)*86400,2)</f>
        <v>88.98</v>
      </c>
      <c r="F617" s="12" t="n">
        <v>1710</v>
      </c>
      <c r="G617" s="11" t="str">
        <f aca="false">IF(INDEX(選手一覧!$D$5:$D$2736,$F617)="","",INDEX(選手一覧!$D$5:$D$2736,$F617))</f>
        <v/>
      </c>
      <c r="H617" s="12" t="str">
        <f aca="false">IF(INDEX(選手一覧!$E$5:$E$2736,$F617)="","",INDEX(選手一覧!$E$5:$E$2736,$F617))</f>
        <v/>
      </c>
      <c r="I617" s="11" t="str">
        <f aca="false">IF(INDEX(選手一覧!$H$5:$H$2736,$F617)="","",INDEX(選手一覧!$H$5:$H$2736,$F617))</f>
        <v/>
      </c>
      <c r="J617" s="12" t="str">
        <f aca="false">IF(INDEX(選手一覧!$I$5:$I$2736,$F617)="","",INDEX(選手一覧!$I$5:$I$2736,$F617))</f>
        <v/>
      </c>
    </row>
    <row r="618" customFormat="false" ht="15" hidden="false" customHeight="false" outlineLevel="0" collapsed="false">
      <c r="A618" s="12" t="n">
        <v>615</v>
      </c>
      <c r="B618" s="8" t="s">
        <v>2666</v>
      </c>
      <c r="C618" s="8" t="s">
        <v>2667</v>
      </c>
      <c r="D618" s="11" t="n">
        <v>0.00726886574074074</v>
      </c>
      <c r="E618" s="39" t="n">
        <f aca="false">ROUND((D618-$D$5)*86400,2)</f>
        <v>89.01</v>
      </c>
      <c r="F618" s="12" t="n">
        <v>1711</v>
      </c>
      <c r="G618" s="11" t="str">
        <f aca="false">IF(INDEX(選手一覧!$D$5:$D$2736,$F618)="","",INDEX(選手一覧!$D$5:$D$2736,$F618))</f>
        <v/>
      </c>
      <c r="H618" s="12" t="str">
        <f aca="false">IF(INDEX(選手一覧!$E$5:$E$2736,$F618)="","",INDEX(選手一覧!$E$5:$E$2736,$F618))</f>
        <v/>
      </c>
      <c r="I618" s="11" t="str">
        <f aca="false">IF(INDEX(選手一覧!$H$5:$H$2736,$F618)="","",INDEX(選手一覧!$H$5:$H$2736,$F618))</f>
        <v/>
      </c>
      <c r="J618" s="12" t="str">
        <f aca="false">IF(INDEX(選手一覧!$I$5:$I$2736,$F618)="","",INDEX(選手一覧!$I$5:$I$2736,$F618))</f>
        <v/>
      </c>
    </row>
    <row r="619" customFormat="false" ht="15" hidden="false" customHeight="false" outlineLevel="0" collapsed="false">
      <c r="A619" s="12" t="n">
        <v>616</v>
      </c>
      <c r="B619" s="8" t="s">
        <v>2669</v>
      </c>
      <c r="C619" s="8" t="s">
        <v>2670</v>
      </c>
      <c r="D619" s="11" t="n">
        <v>0.00727002314814815</v>
      </c>
      <c r="E619" s="39" t="n">
        <f aca="false">ROUND((D619-$D$5)*86400,2)</f>
        <v>89.11</v>
      </c>
      <c r="F619" s="12" t="n">
        <v>1713</v>
      </c>
      <c r="G619" s="11" t="str">
        <f aca="false">IF(INDEX(選手一覧!$D$5:$D$2736,$F619)="","",INDEX(選手一覧!$D$5:$D$2736,$F619))</f>
        <v/>
      </c>
      <c r="H619" s="12" t="str">
        <f aca="false">IF(INDEX(選手一覧!$E$5:$E$2736,$F619)="","",INDEX(選手一覧!$E$5:$E$2736,$F619))</f>
        <v/>
      </c>
      <c r="I619" s="11" t="str">
        <f aca="false">IF(INDEX(選手一覧!$H$5:$H$2736,$F619)="","",INDEX(選手一覧!$H$5:$H$2736,$F619))</f>
        <v/>
      </c>
      <c r="J619" s="12" t="str">
        <f aca="false">IF(INDEX(選手一覧!$I$5:$I$2736,$F619)="","",INDEX(選手一覧!$I$5:$I$2736,$F619))</f>
        <v/>
      </c>
    </row>
    <row r="620" customFormat="false" ht="15" hidden="false" customHeight="false" outlineLevel="0" collapsed="false">
      <c r="A620" s="12" t="n">
        <v>617</v>
      </c>
      <c r="B620" s="8" t="s">
        <v>2671</v>
      </c>
      <c r="C620" s="8" t="s">
        <v>2672</v>
      </c>
      <c r="D620" s="11" t="n">
        <v>0.00727025462962963</v>
      </c>
      <c r="E620" s="39" t="n">
        <f aca="false">ROUND((D620-$D$5)*86400,2)</f>
        <v>89.13</v>
      </c>
      <c r="F620" s="12" t="n">
        <v>1714</v>
      </c>
      <c r="G620" s="11" t="str">
        <f aca="false">IF(INDEX(選手一覧!$D$5:$D$2736,$F620)="","",INDEX(選手一覧!$D$5:$D$2736,$F620))</f>
        <v/>
      </c>
      <c r="H620" s="12" t="str">
        <f aca="false">IF(INDEX(選手一覧!$E$5:$E$2736,$F620)="","",INDEX(選手一覧!$E$5:$E$2736,$F620))</f>
        <v/>
      </c>
      <c r="I620" s="11" t="n">
        <f aca="false">IF(INDEX(選手一覧!$H$5:$H$2736,$F620)="","",INDEX(選手一覧!$H$5:$H$2736,$F620))</f>
        <v>0.002909375</v>
      </c>
      <c r="J620" s="12" t="n">
        <f aca="false">IF(INDEX(選手一覧!$I$5:$I$2736,$F620)="","",INDEX(選手一覧!$I$5:$I$2736,$F620))</f>
        <v>1012</v>
      </c>
    </row>
    <row r="621" customFormat="false" ht="15" hidden="false" customHeight="false" outlineLevel="0" collapsed="false">
      <c r="A621" s="12" t="n">
        <v>618</v>
      </c>
      <c r="B621" s="8" t="s">
        <v>2673</v>
      </c>
      <c r="C621" s="8" t="s">
        <v>1087</v>
      </c>
      <c r="D621" s="11" t="n">
        <v>0.00727291666666667</v>
      </c>
      <c r="E621" s="39" t="n">
        <f aca="false">ROUND((D621-$D$5)*86400,2)</f>
        <v>89.36</v>
      </c>
      <c r="F621" s="12" t="n">
        <v>1715</v>
      </c>
      <c r="G621" s="11" t="str">
        <f aca="false">IF(INDEX(選手一覧!$D$5:$D$2736,$F621)="","",INDEX(選手一覧!$D$5:$D$2736,$F621))</f>
        <v/>
      </c>
      <c r="H621" s="12" t="str">
        <f aca="false">IF(INDEX(選手一覧!$E$5:$E$2736,$F621)="","",INDEX(選手一覧!$E$5:$E$2736,$F621))</f>
        <v/>
      </c>
      <c r="I621" s="11" t="str">
        <f aca="false">IF(INDEX(選手一覧!$H$5:$H$2736,$F621)="","",INDEX(選手一覧!$H$5:$H$2736,$F621))</f>
        <v/>
      </c>
      <c r="J621" s="12" t="str">
        <f aca="false">IF(INDEX(選手一覧!$I$5:$I$2736,$F621)="","",INDEX(選手一覧!$I$5:$I$2736,$F621))</f>
        <v/>
      </c>
    </row>
    <row r="622" customFormat="false" ht="15" hidden="false" customHeight="false" outlineLevel="0" collapsed="false">
      <c r="A622" s="12" t="n">
        <v>619</v>
      </c>
      <c r="B622" s="8" t="s">
        <v>2674</v>
      </c>
      <c r="C622" s="8" t="s">
        <v>2675</v>
      </c>
      <c r="D622" s="11" t="n">
        <v>0.007278125</v>
      </c>
      <c r="E622" s="39" t="n">
        <f aca="false">ROUND((D622-$D$5)*86400,2)</f>
        <v>89.81</v>
      </c>
      <c r="F622" s="12" t="n">
        <v>1716</v>
      </c>
      <c r="G622" s="11" t="str">
        <f aca="false">IF(INDEX(選手一覧!$D$5:$D$2736,$F622)="","",INDEX(選手一覧!$D$5:$D$2736,$F622))</f>
        <v/>
      </c>
      <c r="H622" s="12" t="str">
        <f aca="false">IF(INDEX(選手一覧!$E$5:$E$2736,$F622)="","",INDEX(選手一覧!$E$5:$E$2736,$F622))</f>
        <v/>
      </c>
      <c r="I622" s="11" t="n">
        <f aca="false">IF(INDEX(選手一覧!$H$5:$H$2736,$F622)="","",INDEX(選手一覧!$H$5:$H$2736,$F622))</f>
        <v>0.00296631944444445</v>
      </c>
      <c r="J622" s="12" t="n">
        <f aca="false">IF(INDEX(選手一覧!$I$5:$I$2736,$F622)="","",INDEX(選手一覧!$I$5:$I$2736,$F622))</f>
        <v>1296</v>
      </c>
    </row>
    <row r="623" customFormat="false" ht="15" hidden="false" customHeight="false" outlineLevel="0" collapsed="false">
      <c r="A623" s="12" t="n">
        <v>620</v>
      </c>
      <c r="B623" s="8" t="s">
        <v>2679</v>
      </c>
      <c r="C623" s="8" t="s">
        <v>2680</v>
      </c>
      <c r="D623" s="11" t="n">
        <v>0.00727893518518519</v>
      </c>
      <c r="E623" s="39" t="n">
        <f aca="false">ROUND((D623-$D$5)*86400,2)</f>
        <v>89.88</v>
      </c>
      <c r="F623" s="12" t="n">
        <v>1718</v>
      </c>
      <c r="G623" s="11" t="str">
        <f aca="false">IF(INDEX(選手一覧!$D$5:$D$2736,$F623)="","",INDEX(選手一覧!$D$5:$D$2736,$F623))</f>
        <v/>
      </c>
      <c r="H623" s="12" t="str">
        <f aca="false">IF(INDEX(選手一覧!$E$5:$E$2736,$F623)="","",INDEX(選手一覧!$E$5:$E$2736,$F623))</f>
        <v/>
      </c>
      <c r="I623" s="11" t="str">
        <f aca="false">IF(INDEX(選手一覧!$H$5:$H$2736,$F623)="","",INDEX(選手一覧!$H$5:$H$2736,$F623))</f>
        <v/>
      </c>
      <c r="J623" s="12" t="str">
        <f aca="false">IF(INDEX(選手一覧!$I$5:$I$2736,$F623)="","",INDEX(選手一覧!$I$5:$I$2736,$F623))</f>
        <v/>
      </c>
    </row>
    <row r="624" customFormat="false" ht="15" hidden="false" customHeight="false" outlineLevel="0" collapsed="false">
      <c r="A624" s="12" t="n">
        <v>621</v>
      </c>
      <c r="B624" s="8" t="s">
        <v>1509</v>
      </c>
      <c r="C624" s="8" t="s">
        <v>578</v>
      </c>
      <c r="D624" s="11" t="n">
        <v>0.00728148148148148</v>
      </c>
      <c r="E624" s="39" t="n">
        <f aca="false">ROUND((D624-$D$5)*86400,2)</f>
        <v>90.1</v>
      </c>
      <c r="F624" s="12" t="n">
        <v>921</v>
      </c>
      <c r="G624" s="11" t="n">
        <f aca="false">IF(INDEX(選手一覧!$D$5:$D$2736,$F624)="","",INDEX(選手一覧!$D$5:$D$2736,$F624))</f>
        <v>0.0109021990740741</v>
      </c>
      <c r="H624" s="12" t="n">
        <f aca="false">IF(INDEX(選手一覧!$E$5:$E$2736,$F624)="","",INDEX(選手一覧!$E$5:$E$2736,$F624))</f>
        <v>922</v>
      </c>
      <c r="I624" s="11" t="str">
        <f aca="false">IF(INDEX(選手一覧!$H$5:$H$2736,$F624)="","",INDEX(選手一覧!$H$5:$H$2736,$F624))</f>
        <v/>
      </c>
      <c r="J624" s="12" t="str">
        <f aca="false">IF(INDEX(選手一覧!$I$5:$I$2736,$F624)="","",INDEX(選手一覧!$I$5:$I$2736,$F624))</f>
        <v/>
      </c>
    </row>
    <row r="625" customFormat="false" ht="15" hidden="false" customHeight="false" outlineLevel="0" collapsed="false">
      <c r="A625" s="12" t="n">
        <v>622</v>
      </c>
      <c r="B625" s="8" t="s">
        <v>2681</v>
      </c>
      <c r="C625" s="8" t="s">
        <v>122</v>
      </c>
      <c r="D625" s="11" t="n">
        <v>0.0072818287037037</v>
      </c>
      <c r="E625" s="39" t="n">
        <f aca="false">ROUND((D625-$D$5)*86400,2)</f>
        <v>90.13</v>
      </c>
      <c r="F625" s="12" t="n">
        <v>1719</v>
      </c>
      <c r="G625" s="11" t="str">
        <f aca="false">IF(INDEX(選手一覧!$D$5:$D$2736,$F625)="","",INDEX(選手一覧!$D$5:$D$2736,$F625))</f>
        <v/>
      </c>
      <c r="H625" s="12" t="str">
        <f aca="false">IF(INDEX(選手一覧!$E$5:$E$2736,$F625)="","",INDEX(選手一覧!$E$5:$E$2736,$F625))</f>
        <v/>
      </c>
      <c r="I625" s="11" t="str">
        <f aca="false">IF(INDEX(選手一覧!$H$5:$H$2736,$F625)="","",INDEX(選手一覧!$H$5:$H$2736,$F625))</f>
        <v/>
      </c>
      <c r="J625" s="12" t="str">
        <f aca="false">IF(INDEX(選手一覧!$I$5:$I$2736,$F625)="","",INDEX(選手一覧!$I$5:$I$2736,$F625))</f>
        <v/>
      </c>
    </row>
    <row r="626" customFormat="false" ht="15" hidden="false" customHeight="false" outlineLevel="0" collapsed="false">
      <c r="A626" s="12" t="n">
        <v>623</v>
      </c>
      <c r="B626" s="8" t="s">
        <v>1968</v>
      </c>
      <c r="C626" s="8" t="s">
        <v>423</v>
      </c>
      <c r="D626" s="11" t="n">
        <v>0.00728298611111111</v>
      </c>
      <c r="E626" s="39" t="n">
        <f aca="false">ROUND((D626-$D$5)*86400,2)</f>
        <v>90.23</v>
      </c>
      <c r="F626" s="12" t="n">
        <v>1238</v>
      </c>
      <c r="G626" s="11" t="n">
        <f aca="false">IF(INDEX(選手一覧!$D$5:$D$2736,$F626)="","",INDEX(選手一覧!$D$5:$D$2736,$F626))</f>
        <v>0.0110722222222222</v>
      </c>
      <c r="H626" s="12" t="n">
        <f aca="false">IF(INDEX(選手一覧!$E$5:$E$2736,$F626)="","",INDEX(選手一覧!$E$5:$E$2736,$F626))</f>
        <v>1239</v>
      </c>
      <c r="I626" s="11" t="str">
        <f aca="false">IF(INDEX(選手一覧!$H$5:$H$2736,$F626)="","",INDEX(選手一覧!$H$5:$H$2736,$F626))</f>
        <v/>
      </c>
      <c r="J626" s="12" t="str">
        <f aca="false">IF(INDEX(選手一覧!$I$5:$I$2736,$F626)="","",INDEX(選手一覧!$I$5:$I$2736,$F626))</f>
        <v/>
      </c>
    </row>
    <row r="627" customFormat="false" ht="15" hidden="false" customHeight="false" outlineLevel="0" collapsed="false">
      <c r="A627" s="12" t="n">
        <v>624</v>
      </c>
      <c r="B627" s="8" t="s">
        <v>2682</v>
      </c>
      <c r="C627" s="8" t="s">
        <v>2373</v>
      </c>
      <c r="D627" s="11" t="n">
        <v>0.00728321759259259</v>
      </c>
      <c r="E627" s="39" t="n">
        <f aca="false">ROUND((D627-$D$5)*86400,2)</f>
        <v>90.25</v>
      </c>
      <c r="F627" s="12" t="n">
        <v>1720</v>
      </c>
      <c r="G627" s="11" t="str">
        <f aca="false">IF(INDEX(選手一覧!$D$5:$D$2736,$F627)="","",INDEX(選手一覧!$D$5:$D$2736,$F627))</f>
        <v/>
      </c>
      <c r="H627" s="12" t="str">
        <f aca="false">IF(INDEX(選手一覧!$E$5:$E$2736,$F627)="","",INDEX(選手一覧!$E$5:$E$2736,$F627))</f>
        <v/>
      </c>
      <c r="I627" s="11" t="str">
        <f aca="false">IF(INDEX(選手一覧!$H$5:$H$2736,$F627)="","",INDEX(選手一覧!$H$5:$H$2736,$F627))</f>
        <v/>
      </c>
      <c r="J627" s="12" t="str">
        <f aca="false">IF(INDEX(選手一覧!$I$5:$I$2736,$F627)="","",INDEX(選手一覧!$I$5:$I$2736,$F627))</f>
        <v/>
      </c>
    </row>
    <row r="628" customFormat="false" ht="15" hidden="false" customHeight="false" outlineLevel="0" collapsed="false">
      <c r="A628" s="12" t="n">
        <v>625</v>
      </c>
      <c r="B628" s="8" t="s">
        <v>2683</v>
      </c>
      <c r="C628" s="8" t="s">
        <v>2684</v>
      </c>
      <c r="D628" s="11" t="n">
        <v>0.00728344907407407</v>
      </c>
      <c r="E628" s="39" t="n">
        <f aca="false">ROUND((D628-$D$5)*86400,2)</f>
        <v>90.27</v>
      </c>
      <c r="F628" s="12" t="n">
        <v>1721</v>
      </c>
      <c r="G628" s="11" t="str">
        <f aca="false">IF(INDEX(選手一覧!$D$5:$D$2736,$F628)="","",INDEX(選手一覧!$D$5:$D$2736,$F628))</f>
        <v/>
      </c>
      <c r="H628" s="12" t="str">
        <f aca="false">IF(INDEX(選手一覧!$E$5:$E$2736,$F628)="","",INDEX(選手一覧!$E$5:$E$2736,$F628))</f>
        <v/>
      </c>
      <c r="I628" s="11" t="str">
        <f aca="false">IF(INDEX(選手一覧!$H$5:$H$2736,$F628)="","",INDEX(選手一覧!$H$5:$H$2736,$F628))</f>
        <v/>
      </c>
      <c r="J628" s="12" t="str">
        <f aca="false">IF(INDEX(選手一覧!$I$5:$I$2736,$F628)="","",INDEX(選手一覧!$I$5:$I$2736,$F628))</f>
        <v/>
      </c>
    </row>
    <row r="629" customFormat="false" ht="15" hidden="false" customHeight="false" outlineLevel="0" collapsed="false">
      <c r="A629" s="12" t="n">
        <v>626</v>
      </c>
      <c r="B629" s="8" t="s">
        <v>2686</v>
      </c>
      <c r="C629" s="8" t="s">
        <v>249</v>
      </c>
      <c r="D629" s="11" t="n">
        <v>0.00728356481481481</v>
      </c>
      <c r="E629" s="39" t="n">
        <f aca="false">ROUND((D629-$D$5)*86400,2)</f>
        <v>90.28</v>
      </c>
      <c r="F629" s="12" t="n">
        <v>1723</v>
      </c>
      <c r="G629" s="11" t="str">
        <f aca="false">IF(INDEX(選手一覧!$D$5:$D$2736,$F629)="","",INDEX(選手一覧!$D$5:$D$2736,$F629))</f>
        <v/>
      </c>
      <c r="H629" s="12" t="str">
        <f aca="false">IF(INDEX(選手一覧!$E$5:$E$2736,$F629)="","",INDEX(選手一覧!$E$5:$E$2736,$F629))</f>
        <v/>
      </c>
      <c r="I629" s="11" t="str">
        <f aca="false">IF(INDEX(選手一覧!$H$5:$H$2736,$F629)="","",INDEX(選手一覧!$H$5:$H$2736,$F629))</f>
        <v/>
      </c>
      <c r="J629" s="12" t="str">
        <f aca="false">IF(INDEX(選手一覧!$I$5:$I$2736,$F629)="","",INDEX(選手一覧!$I$5:$I$2736,$F629))</f>
        <v/>
      </c>
    </row>
    <row r="630" customFormat="false" ht="15" hidden="false" customHeight="false" outlineLevel="0" collapsed="false">
      <c r="A630" s="12" t="n">
        <v>627</v>
      </c>
      <c r="B630" s="8" t="s">
        <v>2689</v>
      </c>
      <c r="C630" s="8" t="s">
        <v>2680</v>
      </c>
      <c r="D630" s="11" t="n">
        <v>0.00728414351851852</v>
      </c>
      <c r="E630" s="39" t="n">
        <f aca="false">ROUND((D630-$D$5)*86400,2)</f>
        <v>90.33</v>
      </c>
      <c r="F630" s="12" t="n">
        <v>1725</v>
      </c>
      <c r="G630" s="11" t="str">
        <f aca="false">IF(INDEX(選手一覧!$D$5:$D$2736,$F630)="","",INDEX(選手一覧!$D$5:$D$2736,$F630))</f>
        <v/>
      </c>
      <c r="H630" s="12" t="str">
        <f aca="false">IF(INDEX(選手一覧!$E$5:$E$2736,$F630)="","",INDEX(選手一覧!$E$5:$E$2736,$F630))</f>
        <v/>
      </c>
      <c r="I630" s="11" t="str">
        <f aca="false">IF(INDEX(選手一覧!$H$5:$H$2736,$F630)="","",INDEX(選手一覧!$H$5:$H$2736,$F630))</f>
        <v/>
      </c>
      <c r="J630" s="12" t="str">
        <f aca="false">IF(INDEX(選手一覧!$I$5:$I$2736,$F630)="","",INDEX(選手一覧!$I$5:$I$2736,$F630))</f>
        <v/>
      </c>
    </row>
    <row r="631" customFormat="false" ht="15" hidden="false" customHeight="false" outlineLevel="0" collapsed="false">
      <c r="A631" s="12" t="n">
        <v>628</v>
      </c>
      <c r="B631" s="8" t="s">
        <v>974</v>
      </c>
      <c r="C631" s="8" t="s">
        <v>975</v>
      </c>
      <c r="D631" s="11" t="n">
        <v>0.00728587962962963</v>
      </c>
      <c r="E631" s="39" t="n">
        <f aca="false">ROUND((D631-$D$5)*86400,2)</f>
        <v>90.48</v>
      </c>
      <c r="F631" s="12" t="n">
        <v>563</v>
      </c>
      <c r="G631" s="11" t="n">
        <f aca="false">IF(INDEX(選手一覧!$D$5:$D$2736,$F631)="","",INDEX(選手一覧!$D$5:$D$2736,$F631))</f>
        <v>0.0106871527777778</v>
      </c>
      <c r="H631" s="12" t="n">
        <f aca="false">IF(INDEX(選手一覧!$E$5:$E$2736,$F631)="","",INDEX(選手一覧!$E$5:$E$2736,$F631))</f>
        <v>564</v>
      </c>
      <c r="I631" s="11" t="n">
        <f aca="false">IF(INDEX(選手一覧!$H$5:$H$2736,$F631)="","",INDEX(選手一覧!$H$5:$H$2736,$F631))</f>
        <v>0.00288969907407407</v>
      </c>
      <c r="J631" s="12" t="n">
        <f aca="false">IF(INDEX(選手一覧!$I$5:$I$2736,$F631)="","",INDEX(選手一覧!$I$5:$I$2736,$F631))</f>
        <v>862</v>
      </c>
    </row>
    <row r="632" customFormat="false" ht="15" hidden="false" customHeight="false" outlineLevel="0" collapsed="false">
      <c r="A632" s="12" t="n">
        <v>629</v>
      </c>
      <c r="B632" s="8" t="s">
        <v>2690</v>
      </c>
      <c r="C632" s="8" t="s">
        <v>1541</v>
      </c>
      <c r="D632" s="11" t="n">
        <v>0.00728912037037037</v>
      </c>
      <c r="E632" s="39" t="n">
        <f aca="false">ROUND((D632-$D$5)*86400,2)</f>
        <v>90.76</v>
      </c>
      <c r="F632" s="12" t="n">
        <v>1726</v>
      </c>
      <c r="G632" s="11" t="str">
        <f aca="false">IF(INDEX(選手一覧!$D$5:$D$2736,$F632)="","",INDEX(選手一覧!$D$5:$D$2736,$F632))</f>
        <v/>
      </c>
      <c r="H632" s="12" t="str">
        <f aca="false">IF(INDEX(選手一覧!$E$5:$E$2736,$F632)="","",INDEX(選手一覧!$E$5:$E$2736,$F632))</f>
        <v/>
      </c>
      <c r="I632" s="11" t="str">
        <f aca="false">IF(INDEX(選手一覧!$H$5:$H$2736,$F632)="","",INDEX(選手一覧!$H$5:$H$2736,$F632))</f>
        <v/>
      </c>
      <c r="J632" s="12" t="str">
        <f aca="false">IF(INDEX(選手一覧!$I$5:$I$2736,$F632)="","",INDEX(選手一覧!$I$5:$I$2736,$F632))</f>
        <v/>
      </c>
    </row>
    <row r="633" customFormat="false" ht="15" hidden="false" customHeight="false" outlineLevel="0" collapsed="false">
      <c r="A633" s="12" t="n">
        <v>630</v>
      </c>
      <c r="B633" s="8" t="s">
        <v>1128</v>
      </c>
      <c r="C633" s="8" t="s">
        <v>518</v>
      </c>
      <c r="D633" s="11" t="n">
        <v>0.007290625</v>
      </c>
      <c r="E633" s="39" t="n">
        <f aca="false">ROUND((D633-$D$5)*86400,2)</f>
        <v>90.89</v>
      </c>
      <c r="F633" s="12" t="n">
        <v>672</v>
      </c>
      <c r="G633" s="11" t="n">
        <f aca="false">IF(INDEX(選手一覧!$D$5:$D$2736,$F633)="","",INDEX(選手一覧!$D$5:$D$2736,$F633))</f>
        <v>0.0107538194444444</v>
      </c>
      <c r="H633" s="12" t="n">
        <f aca="false">IF(INDEX(選手一覧!$E$5:$E$2736,$F633)="","",INDEX(選手一覧!$E$5:$E$2736,$F633))</f>
        <v>673</v>
      </c>
      <c r="I633" s="11" t="str">
        <f aca="false">IF(INDEX(選手一覧!$H$5:$H$2736,$F633)="","",INDEX(選手一覧!$H$5:$H$2736,$F633))</f>
        <v/>
      </c>
      <c r="J633" s="12" t="str">
        <f aca="false">IF(INDEX(選手一覧!$I$5:$I$2736,$F633)="","",INDEX(選手一覧!$I$5:$I$2736,$F633))</f>
        <v/>
      </c>
    </row>
    <row r="634" customFormat="false" ht="15" hidden="false" customHeight="false" outlineLevel="0" collapsed="false">
      <c r="A634" s="12" t="n">
        <v>631</v>
      </c>
      <c r="B634" s="8" t="s">
        <v>2692</v>
      </c>
      <c r="C634" s="8" t="s">
        <v>2693</v>
      </c>
      <c r="D634" s="11" t="n">
        <v>0.00729085648148148</v>
      </c>
      <c r="E634" s="39" t="n">
        <f aca="false">ROUND((D634-$D$5)*86400,2)</f>
        <v>90.91</v>
      </c>
      <c r="F634" s="12" t="n">
        <v>1728</v>
      </c>
      <c r="G634" s="11" t="str">
        <f aca="false">IF(INDEX(選手一覧!$D$5:$D$2736,$F634)="","",INDEX(選手一覧!$D$5:$D$2736,$F634))</f>
        <v/>
      </c>
      <c r="H634" s="12" t="str">
        <f aca="false">IF(INDEX(選手一覧!$E$5:$E$2736,$F634)="","",INDEX(選手一覧!$E$5:$E$2736,$F634))</f>
        <v/>
      </c>
      <c r="I634" s="11" t="n">
        <f aca="false">IF(INDEX(選手一覧!$H$5:$H$2736,$F634)="","",INDEX(選手一覧!$H$5:$H$2736,$F634))</f>
        <v>0.00291111111111111</v>
      </c>
      <c r="J634" s="12" t="n">
        <f aca="false">IF(INDEX(選手一覧!$I$5:$I$2736,$F634)="","",INDEX(選手一覧!$I$5:$I$2736,$F634))</f>
        <v>1030</v>
      </c>
    </row>
    <row r="635" customFormat="false" ht="15" hidden="false" customHeight="false" outlineLevel="0" collapsed="false">
      <c r="A635" s="12" t="n">
        <v>632</v>
      </c>
      <c r="B635" s="8" t="s">
        <v>2695</v>
      </c>
      <c r="C635" s="8" t="s">
        <v>2696</v>
      </c>
      <c r="D635" s="11" t="n">
        <v>0.00729189814814815</v>
      </c>
      <c r="E635" s="39" t="n">
        <f aca="false">ROUND((D635-$D$5)*86400,2)</f>
        <v>91</v>
      </c>
      <c r="F635" s="12" t="n">
        <v>1730</v>
      </c>
      <c r="G635" s="11" t="str">
        <f aca="false">IF(INDEX(選手一覧!$D$5:$D$2736,$F635)="","",INDEX(選手一覧!$D$5:$D$2736,$F635))</f>
        <v/>
      </c>
      <c r="H635" s="12" t="str">
        <f aca="false">IF(INDEX(選手一覧!$E$5:$E$2736,$F635)="","",INDEX(選手一覧!$E$5:$E$2736,$F635))</f>
        <v/>
      </c>
      <c r="I635" s="11" t="str">
        <f aca="false">IF(INDEX(選手一覧!$H$5:$H$2736,$F635)="","",INDEX(選手一覧!$H$5:$H$2736,$F635))</f>
        <v/>
      </c>
      <c r="J635" s="12" t="str">
        <f aca="false">IF(INDEX(選手一覧!$I$5:$I$2736,$F635)="","",INDEX(選手一覧!$I$5:$I$2736,$F635))</f>
        <v/>
      </c>
    </row>
    <row r="636" customFormat="false" ht="15" hidden="false" customHeight="false" outlineLevel="0" collapsed="false">
      <c r="A636" s="12" t="n">
        <v>633</v>
      </c>
      <c r="B636" s="8" t="s">
        <v>2697</v>
      </c>
      <c r="C636" s="8" t="s">
        <v>2094</v>
      </c>
      <c r="D636" s="11" t="n">
        <v>0.00729236111111111</v>
      </c>
      <c r="E636" s="39" t="n">
        <f aca="false">ROUND((D636-$D$5)*86400,2)</f>
        <v>91.04</v>
      </c>
      <c r="F636" s="12" t="n">
        <v>1731</v>
      </c>
      <c r="G636" s="11" t="str">
        <f aca="false">IF(INDEX(選手一覧!$D$5:$D$2736,$F636)="","",INDEX(選手一覧!$D$5:$D$2736,$F636))</f>
        <v/>
      </c>
      <c r="H636" s="12" t="str">
        <f aca="false">IF(INDEX(選手一覧!$E$5:$E$2736,$F636)="","",INDEX(選手一覧!$E$5:$E$2736,$F636))</f>
        <v/>
      </c>
      <c r="I636" s="11" t="str">
        <f aca="false">IF(INDEX(選手一覧!$H$5:$H$2736,$F636)="","",INDEX(選手一覧!$H$5:$H$2736,$F636))</f>
        <v/>
      </c>
      <c r="J636" s="12" t="str">
        <f aca="false">IF(INDEX(選手一覧!$I$5:$I$2736,$F636)="","",INDEX(選手一覧!$I$5:$I$2736,$F636))</f>
        <v/>
      </c>
    </row>
    <row r="637" customFormat="false" ht="15" hidden="false" customHeight="false" outlineLevel="0" collapsed="false">
      <c r="A637" s="12" t="n">
        <v>634</v>
      </c>
      <c r="B637" s="8" t="s">
        <v>2698</v>
      </c>
      <c r="C637" s="8" t="s">
        <v>2204</v>
      </c>
      <c r="D637" s="11" t="n">
        <v>0.00729236111111111</v>
      </c>
      <c r="E637" s="39" t="n">
        <f aca="false">ROUND((D637-$D$5)*86400,2)</f>
        <v>91.04</v>
      </c>
      <c r="F637" s="12" t="n">
        <v>1732</v>
      </c>
      <c r="G637" s="11" t="str">
        <f aca="false">IF(INDEX(選手一覧!$D$5:$D$2736,$F637)="","",INDEX(選手一覧!$D$5:$D$2736,$F637))</f>
        <v/>
      </c>
      <c r="H637" s="12" t="str">
        <f aca="false">IF(INDEX(選手一覧!$E$5:$E$2736,$F637)="","",INDEX(選手一覧!$E$5:$E$2736,$F637))</f>
        <v/>
      </c>
      <c r="I637" s="11" t="str">
        <f aca="false">IF(INDEX(選手一覧!$H$5:$H$2736,$F637)="","",INDEX(選手一覧!$H$5:$H$2736,$F637))</f>
        <v/>
      </c>
      <c r="J637" s="12" t="str">
        <f aca="false">IF(INDEX(選手一覧!$I$5:$I$2736,$F637)="","",INDEX(選手一覧!$I$5:$I$2736,$F637))</f>
        <v/>
      </c>
    </row>
    <row r="638" customFormat="false" ht="15" hidden="false" customHeight="false" outlineLevel="0" collapsed="false">
      <c r="A638" s="12" t="n">
        <v>635</v>
      </c>
      <c r="B638" s="8" t="s">
        <v>2699</v>
      </c>
      <c r="C638" s="8" t="s">
        <v>1699</v>
      </c>
      <c r="D638" s="11" t="n">
        <v>0.00729409722222222</v>
      </c>
      <c r="E638" s="39" t="n">
        <f aca="false">ROUND((D638-$D$5)*86400,2)</f>
        <v>91.19</v>
      </c>
      <c r="F638" s="12" t="n">
        <v>1733</v>
      </c>
      <c r="G638" s="11" t="str">
        <f aca="false">IF(INDEX(選手一覧!$D$5:$D$2736,$F638)="","",INDEX(選手一覧!$D$5:$D$2736,$F638))</f>
        <v/>
      </c>
      <c r="H638" s="12" t="str">
        <f aca="false">IF(INDEX(選手一覧!$E$5:$E$2736,$F638)="","",INDEX(選手一覧!$E$5:$E$2736,$F638))</f>
        <v/>
      </c>
      <c r="I638" s="11" t="str">
        <f aca="false">IF(INDEX(選手一覧!$H$5:$H$2736,$F638)="","",INDEX(選手一覧!$H$5:$H$2736,$F638))</f>
        <v/>
      </c>
      <c r="J638" s="12" t="str">
        <f aca="false">IF(INDEX(選手一覧!$I$5:$I$2736,$F638)="","",INDEX(選手一覧!$I$5:$I$2736,$F638))</f>
        <v/>
      </c>
    </row>
    <row r="639" customFormat="false" ht="15" hidden="false" customHeight="false" outlineLevel="0" collapsed="false">
      <c r="A639" s="12" t="n">
        <v>636</v>
      </c>
      <c r="B639" s="8" t="s">
        <v>2700</v>
      </c>
      <c r="C639" s="8" t="s">
        <v>2701</v>
      </c>
      <c r="D639" s="11" t="n">
        <v>0.00729421296296296</v>
      </c>
      <c r="E639" s="39" t="n">
        <f aca="false">ROUND((D639-$D$5)*86400,2)</f>
        <v>91.2</v>
      </c>
      <c r="F639" s="12" t="n">
        <v>1734</v>
      </c>
      <c r="G639" s="11" t="str">
        <f aca="false">IF(INDEX(選手一覧!$D$5:$D$2736,$F639)="","",INDEX(選手一覧!$D$5:$D$2736,$F639))</f>
        <v/>
      </c>
      <c r="H639" s="12" t="str">
        <f aca="false">IF(INDEX(選手一覧!$E$5:$E$2736,$F639)="","",INDEX(選手一覧!$E$5:$E$2736,$F639))</f>
        <v/>
      </c>
      <c r="I639" s="11" t="str">
        <f aca="false">IF(INDEX(選手一覧!$H$5:$H$2736,$F639)="","",INDEX(選手一覧!$H$5:$H$2736,$F639))</f>
        <v/>
      </c>
      <c r="J639" s="12" t="str">
        <f aca="false">IF(INDEX(選手一覧!$I$5:$I$2736,$F639)="","",INDEX(選手一覧!$I$5:$I$2736,$F639))</f>
        <v/>
      </c>
    </row>
    <row r="640" customFormat="false" ht="15" hidden="false" customHeight="false" outlineLevel="0" collapsed="false">
      <c r="A640" s="12" t="n">
        <v>637</v>
      </c>
      <c r="B640" s="8" t="s">
        <v>2702</v>
      </c>
      <c r="C640" s="8" t="s">
        <v>2703</v>
      </c>
      <c r="D640" s="11" t="n">
        <v>0.00729444444444445</v>
      </c>
      <c r="E640" s="39" t="n">
        <f aca="false">ROUND((D640-$D$5)*86400,2)</f>
        <v>91.22</v>
      </c>
      <c r="F640" s="12" t="n">
        <v>1735</v>
      </c>
      <c r="G640" s="11" t="str">
        <f aca="false">IF(INDEX(選手一覧!$D$5:$D$2736,$F640)="","",INDEX(選手一覧!$D$5:$D$2736,$F640))</f>
        <v/>
      </c>
      <c r="H640" s="12" t="str">
        <f aca="false">IF(INDEX(選手一覧!$E$5:$E$2736,$F640)="","",INDEX(選手一覧!$E$5:$E$2736,$F640))</f>
        <v/>
      </c>
      <c r="I640" s="11" t="str">
        <f aca="false">IF(INDEX(選手一覧!$H$5:$H$2736,$F640)="","",INDEX(選手一覧!$H$5:$H$2736,$F640))</f>
        <v/>
      </c>
      <c r="J640" s="12" t="str">
        <f aca="false">IF(INDEX(選手一覧!$I$5:$I$2736,$F640)="","",INDEX(選手一覧!$I$5:$I$2736,$F640))</f>
        <v/>
      </c>
    </row>
    <row r="641" customFormat="false" ht="15" hidden="false" customHeight="false" outlineLevel="0" collapsed="false">
      <c r="A641" s="12" t="n">
        <v>638</v>
      </c>
      <c r="B641" s="8" t="s">
        <v>2704</v>
      </c>
      <c r="C641" s="8" t="s">
        <v>721</v>
      </c>
      <c r="D641" s="11" t="n">
        <v>0.00729456018518519</v>
      </c>
      <c r="E641" s="39" t="n">
        <f aca="false">ROUND((D641-$D$5)*86400,2)</f>
        <v>91.23</v>
      </c>
      <c r="F641" s="12" t="n">
        <v>1736</v>
      </c>
      <c r="G641" s="11" t="str">
        <f aca="false">IF(INDEX(選手一覧!$D$5:$D$2736,$F641)="","",INDEX(選手一覧!$D$5:$D$2736,$F641))</f>
        <v/>
      </c>
      <c r="H641" s="12" t="str">
        <f aca="false">IF(INDEX(選手一覧!$E$5:$E$2736,$F641)="","",INDEX(選手一覧!$E$5:$E$2736,$F641))</f>
        <v/>
      </c>
      <c r="I641" s="11" t="str">
        <f aca="false">IF(INDEX(選手一覧!$H$5:$H$2736,$F641)="","",INDEX(選手一覧!$H$5:$H$2736,$F641))</f>
        <v/>
      </c>
      <c r="J641" s="12" t="str">
        <f aca="false">IF(INDEX(選手一覧!$I$5:$I$2736,$F641)="","",INDEX(選手一覧!$I$5:$I$2736,$F641))</f>
        <v/>
      </c>
    </row>
    <row r="642" customFormat="false" ht="15" hidden="false" customHeight="false" outlineLevel="0" collapsed="false">
      <c r="A642" s="12" t="n">
        <v>639</v>
      </c>
      <c r="B642" s="8" t="s">
        <v>2706</v>
      </c>
      <c r="C642" s="8" t="s">
        <v>2569</v>
      </c>
      <c r="D642" s="11" t="n">
        <v>0.00729537037037037</v>
      </c>
      <c r="E642" s="39" t="n">
        <f aca="false">ROUND((D642-$D$5)*86400,2)</f>
        <v>91.3</v>
      </c>
      <c r="F642" s="12" t="n">
        <v>1738</v>
      </c>
      <c r="G642" s="11" t="str">
        <f aca="false">IF(INDEX(選手一覧!$D$5:$D$2736,$F642)="","",INDEX(選手一覧!$D$5:$D$2736,$F642))</f>
        <v/>
      </c>
      <c r="H642" s="12" t="str">
        <f aca="false">IF(INDEX(選手一覧!$E$5:$E$2736,$F642)="","",INDEX(選手一覧!$E$5:$E$2736,$F642))</f>
        <v/>
      </c>
      <c r="I642" s="11" t="str">
        <f aca="false">IF(INDEX(選手一覧!$H$5:$H$2736,$F642)="","",INDEX(選手一覧!$H$5:$H$2736,$F642))</f>
        <v/>
      </c>
      <c r="J642" s="12" t="str">
        <f aca="false">IF(INDEX(選手一覧!$I$5:$I$2736,$F642)="","",INDEX(選手一覧!$I$5:$I$2736,$F642))</f>
        <v/>
      </c>
    </row>
    <row r="643" customFormat="false" ht="15" hidden="false" customHeight="false" outlineLevel="0" collapsed="false">
      <c r="A643" s="12" t="n">
        <v>640</v>
      </c>
      <c r="B643" s="8" t="s">
        <v>2709</v>
      </c>
      <c r="C643" s="8" t="s">
        <v>2710</v>
      </c>
      <c r="D643" s="11" t="n">
        <v>0.00729664351851852</v>
      </c>
      <c r="E643" s="39" t="n">
        <f aca="false">ROUND((D643-$D$5)*86400,2)</f>
        <v>91.41</v>
      </c>
      <c r="F643" s="12" t="n">
        <v>1740</v>
      </c>
      <c r="G643" s="11" t="str">
        <f aca="false">IF(INDEX(選手一覧!$D$5:$D$2736,$F643)="","",INDEX(選手一覧!$D$5:$D$2736,$F643))</f>
        <v/>
      </c>
      <c r="H643" s="12" t="str">
        <f aca="false">IF(INDEX(選手一覧!$E$5:$E$2736,$F643)="","",INDEX(選手一覧!$E$5:$E$2736,$F643))</f>
        <v/>
      </c>
      <c r="I643" s="11" t="str">
        <f aca="false">IF(INDEX(選手一覧!$H$5:$H$2736,$F643)="","",INDEX(選手一覧!$H$5:$H$2736,$F643))</f>
        <v/>
      </c>
      <c r="J643" s="12" t="str">
        <f aca="false">IF(INDEX(選手一覧!$I$5:$I$2736,$F643)="","",INDEX(選手一覧!$I$5:$I$2736,$F643))</f>
        <v/>
      </c>
    </row>
    <row r="644" customFormat="false" ht="15" hidden="false" customHeight="false" outlineLevel="0" collapsed="false">
      <c r="A644" s="12" t="n">
        <v>641</v>
      </c>
      <c r="B644" s="8" t="s">
        <v>2711</v>
      </c>
      <c r="C644" s="8" t="s">
        <v>2712</v>
      </c>
      <c r="D644" s="11" t="n">
        <v>0.00729849537037037</v>
      </c>
      <c r="E644" s="39" t="n">
        <f aca="false">ROUND((D644-$D$5)*86400,2)</f>
        <v>91.57</v>
      </c>
      <c r="F644" s="12" t="n">
        <v>1741</v>
      </c>
      <c r="G644" s="11" t="str">
        <f aca="false">IF(INDEX(選手一覧!$D$5:$D$2736,$F644)="","",INDEX(選手一覧!$D$5:$D$2736,$F644))</f>
        <v/>
      </c>
      <c r="H644" s="12" t="str">
        <f aca="false">IF(INDEX(選手一覧!$E$5:$E$2736,$F644)="","",INDEX(選手一覧!$E$5:$E$2736,$F644))</f>
        <v/>
      </c>
      <c r="I644" s="11" t="str">
        <f aca="false">IF(INDEX(選手一覧!$H$5:$H$2736,$F644)="","",INDEX(選手一覧!$H$5:$H$2736,$F644))</f>
        <v/>
      </c>
      <c r="J644" s="12" t="str">
        <f aca="false">IF(INDEX(選手一覧!$I$5:$I$2736,$F644)="","",INDEX(選手一覧!$I$5:$I$2736,$F644))</f>
        <v/>
      </c>
    </row>
    <row r="645" customFormat="false" ht="15" hidden="false" customHeight="false" outlineLevel="0" collapsed="false">
      <c r="A645" s="12" t="n">
        <v>642</v>
      </c>
      <c r="B645" s="8" t="s">
        <v>2713</v>
      </c>
      <c r="C645" s="8" t="s">
        <v>94</v>
      </c>
      <c r="D645" s="11" t="n">
        <v>0.00729849537037037</v>
      </c>
      <c r="E645" s="39" t="n">
        <f aca="false">ROUND((D645-$D$5)*86400,2)</f>
        <v>91.57</v>
      </c>
      <c r="F645" s="12" t="n">
        <v>1742</v>
      </c>
      <c r="G645" s="11" t="str">
        <f aca="false">IF(INDEX(選手一覧!$D$5:$D$2736,$F645)="","",INDEX(選手一覧!$D$5:$D$2736,$F645))</f>
        <v/>
      </c>
      <c r="H645" s="12" t="str">
        <f aca="false">IF(INDEX(選手一覧!$E$5:$E$2736,$F645)="","",INDEX(選手一覧!$E$5:$E$2736,$F645))</f>
        <v/>
      </c>
      <c r="I645" s="11" t="str">
        <f aca="false">IF(INDEX(選手一覧!$H$5:$H$2736,$F645)="","",INDEX(選手一覧!$H$5:$H$2736,$F645))</f>
        <v/>
      </c>
      <c r="J645" s="12" t="str">
        <f aca="false">IF(INDEX(選手一覧!$I$5:$I$2736,$F645)="","",INDEX(選手一覧!$I$5:$I$2736,$F645))</f>
        <v/>
      </c>
    </row>
    <row r="646" customFormat="false" ht="15" hidden="false" customHeight="false" outlineLevel="0" collapsed="false">
      <c r="A646" s="12" t="n">
        <v>643</v>
      </c>
      <c r="B646" s="8" t="s">
        <v>2716</v>
      </c>
      <c r="C646" s="8" t="s">
        <v>2643</v>
      </c>
      <c r="D646" s="11" t="n">
        <v>0.00729872685185185</v>
      </c>
      <c r="E646" s="39" t="n">
        <f aca="false">ROUND((D646-$D$5)*86400,2)</f>
        <v>91.59</v>
      </c>
      <c r="F646" s="12" t="n">
        <v>1744</v>
      </c>
      <c r="G646" s="11" t="str">
        <f aca="false">IF(INDEX(選手一覧!$D$5:$D$2736,$F646)="","",INDEX(選手一覧!$D$5:$D$2736,$F646))</f>
        <v/>
      </c>
      <c r="H646" s="12" t="str">
        <f aca="false">IF(INDEX(選手一覧!$E$5:$E$2736,$F646)="","",INDEX(選手一覧!$E$5:$E$2736,$F646))</f>
        <v/>
      </c>
      <c r="I646" s="11" t="str">
        <f aca="false">IF(INDEX(選手一覧!$H$5:$H$2736,$F646)="","",INDEX(選手一覧!$H$5:$H$2736,$F646))</f>
        <v/>
      </c>
      <c r="J646" s="12" t="str">
        <f aca="false">IF(INDEX(選手一覧!$I$5:$I$2736,$F646)="","",INDEX(選手一覧!$I$5:$I$2736,$F646))</f>
        <v/>
      </c>
    </row>
    <row r="647" customFormat="false" ht="15" hidden="false" customHeight="false" outlineLevel="0" collapsed="false">
      <c r="A647" s="12" t="n">
        <v>644</v>
      </c>
      <c r="B647" s="8" t="s">
        <v>2717</v>
      </c>
      <c r="C647" s="8" t="s">
        <v>2718</v>
      </c>
      <c r="D647" s="11" t="n">
        <v>0.00729884259259259</v>
      </c>
      <c r="E647" s="39" t="n">
        <f aca="false">ROUND((D647-$D$5)*86400,2)</f>
        <v>91.6</v>
      </c>
      <c r="F647" s="12" t="n">
        <v>1745</v>
      </c>
      <c r="G647" s="11" t="str">
        <f aca="false">IF(INDEX(選手一覧!$D$5:$D$2736,$F647)="","",INDEX(選手一覧!$D$5:$D$2736,$F647))</f>
        <v/>
      </c>
      <c r="H647" s="12" t="str">
        <f aca="false">IF(INDEX(選手一覧!$E$5:$E$2736,$F647)="","",INDEX(選手一覧!$E$5:$E$2736,$F647))</f>
        <v/>
      </c>
      <c r="I647" s="11" t="str">
        <f aca="false">IF(INDEX(選手一覧!$H$5:$H$2736,$F647)="","",INDEX(選手一覧!$H$5:$H$2736,$F647))</f>
        <v/>
      </c>
      <c r="J647" s="12" t="str">
        <f aca="false">IF(INDEX(選手一覧!$I$5:$I$2736,$F647)="","",INDEX(選手一覧!$I$5:$I$2736,$F647))</f>
        <v/>
      </c>
    </row>
    <row r="648" customFormat="false" ht="15" hidden="false" customHeight="false" outlineLevel="0" collapsed="false">
      <c r="A648" s="12" t="n">
        <v>645</v>
      </c>
      <c r="B648" s="8" t="s">
        <v>2719</v>
      </c>
      <c r="C648" s="8" t="s">
        <v>1680</v>
      </c>
      <c r="D648" s="11" t="n">
        <v>0.00729930555555556</v>
      </c>
      <c r="E648" s="39" t="n">
        <f aca="false">ROUND((D648-$D$5)*86400,2)</f>
        <v>91.64</v>
      </c>
      <c r="F648" s="12" t="n">
        <v>1746</v>
      </c>
      <c r="G648" s="11" t="str">
        <f aca="false">IF(INDEX(選手一覧!$D$5:$D$2736,$F648)="","",INDEX(選手一覧!$D$5:$D$2736,$F648))</f>
        <v/>
      </c>
      <c r="H648" s="12" t="str">
        <f aca="false">IF(INDEX(選手一覧!$E$5:$E$2736,$F648)="","",INDEX(選手一覧!$E$5:$E$2736,$F648))</f>
        <v/>
      </c>
      <c r="I648" s="11" t="str">
        <f aca="false">IF(INDEX(選手一覧!$H$5:$H$2736,$F648)="","",INDEX(選手一覧!$H$5:$H$2736,$F648))</f>
        <v/>
      </c>
      <c r="J648" s="12" t="str">
        <f aca="false">IF(INDEX(選手一覧!$I$5:$I$2736,$F648)="","",INDEX(選手一覧!$I$5:$I$2736,$F648))</f>
        <v/>
      </c>
    </row>
    <row r="649" customFormat="false" ht="15" hidden="false" customHeight="false" outlineLevel="0" collapsed="false">
      <c r="A649" s="12" t="n">
        <v>646</v>
      </c>
      <c r="B649" s="8" t="s">
        <v>1190</v>
      </c>
      <c r="C649" s="8" t="s">
        <v>70</v>
      </c>
      <c r="D649" s="11" t="n">
        <v>0.0072994212962963</v>
      </c>
      <c r="E649" s="39" t="n">
        <f aca="false">ROUND((D649-$D$5)*86400,2)</f>
        <v>91.65</v>
      </c>
      <c r="F649" s="12" t="n">
        <v>711</v>
      </c>
      <c r="G649" s="11" t="n">
        <f aca="false">IF(INDEX(選手一覧!$D$5:$D$2736,$F649)="","",INDEX(選手一覧!$D$5:$D$2736,$F649))</f>
        <v>0.0107847222222222</v>
      </c>
      <c r="H649" s="12" t="n">
        <f aca="false">IF(INDEX(選手一覧!$E$5:$E$2736,$F649)="","",INDEX(選手一覧!$E$5:$E$2736,$F649))</f>
        <v>712</v>
      </c>
      <c r="I649" s="11" t="n">
        <f aca="false">IF(INDEX(選手一覧!$H$5:$H$2736,$F649)="","",INDEX(選手一覧!$H$5:$H$2736,$F649))</f>
        <v>0.00289733796296296</v>
      </c>
      <c r="J649" s="12" t="n">
        <f aca="false">IF(INDEX(選手一覧!$I$5:$I$2736,$F649)="","",INDEX(選手一覧!$I$5:$I$2736,$F649))</f>
        <v>927</v>
      </c>
    </row>
    <row r="650" customFormat="false" ht="15" hidden="false" customHeight="false" outlineLevel="0" collapsed="false">
      <c r="A650" s="12" t="n">
        <v>647</v>
      </c>
      <c r="B650" s="8" t="s">
        <v>2724</v>
      </c>
      <c r="C650" s="8" t="s">
        <v>667</v>
      </c>
      <c r="D650" s="11" t="n">
        <v>0.00729988425925926</v>
      </c>
      <c r="E650" s="39" t="n">
        <f aca="false">ROUND((D650-$D$5)*86400,2)</f>
        <v>91.69</v>
      </c>
      <c r="F650" s="12" t="n">
        <v>1749</v>
      </c>
      <c r="G650" s="11" t="str">
        <f aca="false">IF(INDEX(選手一覧!$D$5:$D$2736,$F650)="","",INDEX(選手一覧!$D$5:$D$2736,$F650))</f>
        <v/>
      </c>
      <c r="H650" s="12" t="str">
        <f aca="false">IF(INDEX(選手一覧!$E$5:$E$2736,$F650)="","",INDEX(選手一覧!$E$5:$E$2736,$F650))</f>
        <v/>
      </c>
      <c r="I650" s="11" t="str">
        <f aca="false">IF(INDEX(選手一覧!$H$5:$H$2736,$F650)="","",INDEX(選手一覧!$H$5:$H$2736,$F650))</f>
        <v/>
      </c>
      <c r="J650" s="12" t="str">
        <f aca="false">IF(INDEX(選手一覧!$I$5:$I$2736,$F650)="","",INDEX(選手一覧!$I$5:$I$2736,$F650))</f>
        <v/>
      </c>
    </row>
    <row r="651" customFormat="false" ht="15" hidden="false" customHeight="false" outlineLevel="0" collapsed="false">
      <c r="A651" s="12" t="n">
        <v>648</v>
      </c>
      <c r="B651" s="8" t="s">
        <v>2726</v>
      </c>
      <c r="C651" s="8" t="s">
        <v>2727</v>
      </c>
      <c r="D651" s="11" t="n">
        <v>0.0073005787037037</v>
      </c>
      <c r="E651" s="39" t="n">
        <f aca="false">ROUND((D651-$D$5)*86400,2)</f>
        <v>91.75</v>
      </c>
      <c r="F651" s="12" t="n">
        <v>1750</v>
      </c>
      <c r="G651" s="11" t="str">
        <f aca="false">IF(INDEX(選手一覧!$D$5:$D$2736,$F651)="","",INDEX(選手一覧!$D$5:$D$2736,$F651))</f>
        <v/>
      </c>
      <c r="H651" s="12" t="str">
        <f aca="false">IF(INDEX(選手一覧!$E$5:$E$2736,$F651)="","",INDEX(選手一覧!$E$5:$E$2736,$F651))</f>
        <v/>
      </c>
      <c r="I651" s="11" t="str">
        <f aca="false">IF(INDEX(選手一覧!$H$5:$H$2736,$F651)="","",INDEX(選手一覧!$H$5:$H$2736,$F651))</f>
        <v/>
      </c>
      <c r="J651" s="12" t="str">
        <f aca="false">IF(INDEX(選手一覧!$I$5:$I$2736,$F651)="","",INDEX(選手一覧!$I$5:$I$2736,$F651))</f>
        <v/>
      </c>
    </row>
    <row r="652" customFormat="false" ht="15" hidden="false" customHeight="false" outlineLevel="0" collapsed="false">
      <c r="A652" s="12" t="n">
        <v>649</v>
      </c>
      <c r="B652" s="8" t="s">
        <v>2728</v>
      </c>
      <c r="C652" s="8" t="s">
        <v>1689</v>
      </c>
      <c r="D652" s="11" t="n">
        <v>0.00730069444444444</v>
      </c>
      <c r="E652" s="39" t="n">
        <f aca="false">ROUND((D652-$D$5)*86400,2)</f>
        <v>91.76</v>
      </c>
      <c r="F652" s="12" t="n">
        <v>1751</v>
      </c>
      <c r="G652" s="11" t="str">
        <f aca="false">IF(INDEX(選手一覧!$D$5:$D$2736,$F652)="","",INDEX(選手一覧!$D$5:$D$2736,$F652))</f>
        <v/>
      </c>
      <c r="H652" s="12" t="str">
        <f aca="false">IF(INDEX(選手一覧!$E$5:$E$2736,$F652)="","",INDEX(選手一覧!$E$5:$E$2736,$F652))</f>
        <v/>
      </c>
      <c r="I652" s="11" t="str">
        <f aca="false">IF(INDEX(選手一覧!$H$5:$H$2736,$F652)="","",INDEX(選手一覧!$H$5:$H$2736,$F652))</f>
        <v/>
      </c>
      <c r="J652" s="12" t="str">
        <f aca="false">IF(INDEX(選手一覧!$I$5:$I$2736,$F652)="","",INDEX(選手一覧!$I$5:$I$2736,$F652))</f>
        <v/>
      </c>
    </row>
    <row r="653" customFormat="false" ht="15" hidden="false" customHeight="false" outlineLevel="0" collapsed="false">
      <c r="A653" s="12" t="n">
        <v>650</v>
      </c>
      <c r="B653" s="8" t="s">
        <v>1106</v>
      </c>
      <c r="C653" s="8" t="s">
        <v>16</v>
      </c>
      <c r="D653" s="11" t="n">
        <v>0.00730231481481481</v>
      </c>
      <c r="E653" s="39" t="n">
        <f aca="false">ROUND((D653-$D$5)*86400,2)</f>
        <v>91.9</v>
      </c>
      <c r="F653" s="12" t="n">
        <v>659</v>
      </c>
      <c r="G653" s="11" t="n">
        <f aca="false">IF(INDEX(選手一覧!$D$5:$D$2736,$F653)="","",INDEX(選手一覧!$D$5:$D$2736,$F653))</f>
        <v>0.0107447916666667</v>
      </c>
      <c r="H653" s="12" t="n">
        <f aca="false">IF(INDEX(選手一覧!$E$5:$E$2736,$F653)="","",INDEX(選手一覧!$E$5:$E$2736,$F653))</f>
        <v>660</v>
      </c>
      <c r="I653" s="11" t="str">
        <f aca="false">IF(INDEX(選手一覧!$H$5:$H$2736,$F653)="","",INDEX(選手一覧!$H$5:$H$2736,$F653))</f>
        <v/>
      </c>
      <c r="J653" s="12" t="str">
        <f aca="false">IF(INDEX(選手一覧!$I$5:$I$2736,$F653)="","",INDEX(選手一覧!$I$5:$I$2736,$F653))</f>
        <v/>
      </c>
    </row>
    <row r="654" customFormat="false" ht="15" hidden="false" customHeight="false" outlineLevel="0" collapsed="false">
      <c r="A654" s="12" t="n">
        <v>651</v>
      </c>
      <c r="B654" s="8" t="s">
        <v>1751</v>
      </c>
      <c r="C654" s="8" t="s">
        <v>1752</v>
      </c>
      <c r="D654" s="11" t="n">
        <v>0.00730405092592593</v>
      </c>
      <c r="E654" s="39" t="n">
        <f aca="false">ROUND((D654-$D$5)*86400,2)</f>
        <v>92.05</v>
      </c>
      <c r="F654" s="12" t="n">
        <v>1088</v>
      </c>
      <c r="G654" s="11" t="n">
        <f aca="false">IF(INDEX(選手一覧!$D$5:$D$2736,$F654)="","",INDEX(選手一覧!$D$5:$D$2736,$F654))</f>
        <v>0.0109954861111111</v>
      </c>
      <c r="H654" s="12" t="n">
        <f aca="false">IF(INDEX(選手一覧!$E$5:$E$2736,$F654)="","",INDEX(選手一覧!$E$5:$E$2736,$F654))</f>
        <v>1089</v>
      </c>
      <c r="I654" s="11" t="str">
        <f aca="false">IF(INDEX(選手一覧!$H$5:$H$2736,$F654)="","",INDEX(選手一覧!$H$5:$H$2736,$F654))</f>
        <v/>
      </c>
      <c r="J654" s="12" t="str">
        <f aca="false">IF(INDEX(選手一覧!$I$5:$I$2736,$F654)="","",INDEX(選手一覧!$I$5:$I$2736,$F654))</f>
        <v/>
      </c>
    </row>
    <row r="655" customFormat="false" ht="15" hidden="false" customHeight="false" outlineLevel="0" collapsed="false">
      <c r="A655" s="12" t="n">
        <v>652</v>
      </c>
      <c r="B655" s="8" t="s">
        <v>1594</v>
      </c>
      <c r="C655" s="8" t="s">
        <v>1595</v>
      </c>
      <c r="D655" s="11" t="n">
        <v>0.00730428240740741</v>
      </c>
      <c r="E655" s="39" t="n">
        <f aca="false">ROUND((D655-$D$5)*86400,2)</f>
        <v>92.07</v>
      </c>
      <c r="F655" s="12" t="n">
        <v>980</v>
      </c>
      <c r="G655" s="11" t="n">
        <f aca="false">IF(INDEX(選手一覧!$D$5:$D$2736,$F655)="","",INDEX(選手一覧!$D$5:$D$2736,$F655))</f>
        <v>0.0109394675925926</v>
      </c>
      <c r="H655" s="12" t="n">
        <f aca="false">IF(INDEX(選手一覧!$E$5:$E$2736,$F655)="","",INDEX(選手一覧!$E$5:$E$2736,$F655))</f>
        <v>981</v>
      </c>
      <c r="I655" s="11" t="n">
        <f aca="false">IF(INDEX(選手一覧!$H$5:$H$2736,$F655)="","",INDEX(選手一覧!$H$5:$H$2736,$F655))</f>
        <v>0.00287407407407407</v>
      </c>
      <c r="J655" s="12" t="n">
        <f aca="false">IF(INDEX(選手一覧!$I$5:$I$2736,$F655)="","",INDEX(選手一覧!$I$5:$I$2736,$F655))</f>
        <v>727</v>
      </c>
    </row>
    <row r="656" customFormat="false" ht="15" hidden="false" customHeight="false" outlineLevel="0" collapsed="false">
      <c r="A656" s="12" t="n">
        <v>653</v>
      </c>
      <c r="B656" s="8" t="s">
        <v>2729</v>
      </c>
      <c r="C656" s="8" t="s">
        <v>1211</v>
      </c>
      <c r="D656" s="11" t="n">
        <v>0.00730439814814815</v>
      </c>
      <c r="E656" s="39" t="n">
        <f aca="false">ROUND((D656-$D$5)*86400,2)</f>
        <v>92.08</v>
      </c>
      <c r="F656" s="12" t="n">
        <v>1752</v>
      </c>
      <c r="G656" s="11" t="str">
        <f aca="false">IF(INDEX(選手一覧!$D$5:$D$2736,$F656)="","",INDEX(選手一覧!$D$5:$D$2736,$F656))</f>
        <v/>
      </c>
      <c r="H656" s="12" t="str">
        <f aca="false">IF(INDEX(選手一覧!$E$5:$E$2736,$F656)="","",INDEX(選手一覧!$E$5:$E$2736,$F656))</f>
        <v/>
      </c>
      <c r="I656" s="11" t="str">
        <f aca="false">IF(INDEX(選手一覧!$H$5:$H$2736,$F656)="","",INDEX(選手一覧!$H$5:$H$2736,$F656))</f>
        <v/>
      </c>
      <c r="J656" s="12" t="str">
        <f aca="false">IF(INDEX(選手一覧!$I$5:$I$2736,$F656)="","",INDEX(選手一覧!$I$5:$I$2736,$F656))</f>
        <v/>
      </c>
    </row>
    <row r="657" customFormat="false" ht="15" hidden="false" customHeight="false" outlineLevel="0" collapsed="false">
      <c r="A657" s="12" t="n">
        <v>654</v>
      </c>
      <c r="B657" s="8" t="s">
        <v>2730</v>
      </c>
      <c r="C657" s="8" t="s">
        <v>2731</v>
      </c>
      <c r="D657" s="11" t="n">
        <v>0.00730578703703704</v>
      </c>
      <c r="E657" s="39" t="n">
        <f aca="false">ROUND((D657-$D$5)*86400,2)</f>
        <v>92.2</v>
      </c>
      <c r="F657" s="12" t="n">
        <v>1753</v>
      </c>
      <c r="G657" s="11" t="str">
        <f aca="false">IF(INDEX(選手一覧!$D$5:$D$2736,$F657)="","",INDEX(選手一覧!$D$5:$D$2736,$F657))</f>
        <v/>
      </c>
      <c r="H657" s="12" t="str">
        <f aca="false">IF(INDEX(選手一覧!$E$5:$E$2736,$F657)="","",INDEX(選手一覧!$E$5:$E$2736,$F657))</f>
        <v/>
      </c>
      <c r="I657" s="11" t="str">
        <f aca="false">IF(INDEX(選手一覧!$H$5:$H$2736,$F657)="","",INDEX(選手一覧!$H$5:$H$2736,$F657))</f>
        <v/>
      </c>
      <c r="J657" s="12" t="str">
        <f aca="false">IF(INDEX(選手一覧!$I$5:$I$2736,$F657)="","",INDEX(選手一覧!$I$5:$I$2736,$F657))</f>
        <v/>
      </c>
    </row>
    <row r="658" customFormat="false" ht="15" hidden="false" customHeight="false" outlineLevel="0" collapsed="false">
      <c r="A658" s="12" t="n">
        <v>655</v>
      </c>
      <c r="B658" s="8" t="s">
        <v>2732</v>
      </c>
      <c r="C658" s="8" t="s">
        <v>2733</v>
      </c>
      <c r="D658" s="11" t="n">
        <v>0.00730578703703704</v>
      </c>
      <c r="E658" s="39" t="n">
        <f aca="false">ROUND((D658-$D$5)*86400,2)</f>
        <v>92.2</v>
      </c>
      <c r="F658" s="12" t="n">
        <v>1754</v>
      </c>
      <c r="G658" s="11" t="str">
        <f aca="false">IF(INDEX(選手一覧!$D$5:$D$2736,$F658)="","",INDEX(選手一覧!$D$5:$D$2736,$F658))</f>
        <v/>
      </c>
      <c r="H658" s="12" t="str">
        <f aca="false">IF(INDEX(選手一覧!$E$5:$E$2736,$F658)="","",INDEX(選手一覧!$E$5:$E$2736,$F658))</f>
        <v/>
      </c>
      <c r="I658" s="11" t="str">
        <f aca="false">IF(INDEX(選手一覧!$H$5:$H$2736,$F658)="","",INDEX(選手一覧!$H$5:$H$2736,$F658))</f>
        <v/>
      </c>
      <c r="J658" s="12" t="str">
        <f aca="false">IF(INDEX(選手一覧!$I$5:$I$2736,$F658)="","",INDEX(選手一覧!$I$5:$I$2736,$F658))</f>
        <v/>
      </c>
    </row>
    <row r="659" customFormat="false" ht="15" hidden="false" customHeight="false" outlineLevel="0" collapsed="false">
      <c r="A659" s="12" t="n">
        <v>656</v>
      </c>
      <c r="B659" s="8" t="s">
        <v>2734</v>
      </c>
      <c r="C659" s="8" t="s">
        <v>667</v>
      </c>
      <c r="D659" s="11" t="n">
        <v>0.0073068287037037</v>
      </c>
      <c r="E659" s="39" t="n">
        <f aca="false">ROUND((D659-$D$5)*86400,2)</f>
        <v>92.29</v>
      </c>
      <c r="F659" s="12" t="n">
        <v>1755</v>
      </c>
      <c r="G659" s="11" t="str">
        <f aca="false">IF(INDEX(選手一覧!$D$5:$D$2736,$F659)="","",INDEX(選手一覧!$D$5:$D$2736,$F659))</f>
        <v/>
      </c>
      <c r="H659" s="12" t="str">
        <f aca="false">IF(INDEX(選手一覧!$E$5:$E$2736,$F659)="","",INDEX(選手一覧!$E$5:$E$2736,$F659))</f>
        <v/>
      </c>
      <c r="I659" s="11" t="str">
        <f aca="false">IF(INDEX(選手一覧!$H$5:$H$2736,$F659)="","",INDEX(選手一覧!$H$5:$H$2736,$F659))</f>
        <v/>
      </c>
      <c r="J659" s="12" t="str">
        <f aca="false">IF(INDEX(選手一覧!$I$5:$I$2736,$F659)="","",INDEX(選手一覧!$I$5:$I$2736,$F659))</f>
        <v/>
      </c>
    </row>
    <row r="660" customFormat="false" ht="15" hidden="false" customHeight="false" outlineLevel="0" collapsed="false">
      <c r="A660" s="12" t="n">
        <v>657</v>
      </c>
      <c r="B660" s="8" t="s">
        <v>1943</v>
      </c>
      <c r="C660" s="8" t="s">
        <v>1944</v>
      </c>
      <c r="D660" s="11" t="n">
        <v>0.00730798611111111</v>
      </c>
      <c r="E660" s="39" t="n">
        <f aca="false">ROUND((D660-$D$5)*86400,2)</f>
        <v>92.39</v>
      </c>
      <c r="F660" s="12" t="n">
        <v>1220</v>
      </c>
      <c r="G660" s="11" t="n">
        <f aca="false">IF(INDEX(選手一覧!$D$5:$D$2736,$F660)="","",INDEX(選手一覧!$D$5:$D$2736,$F660))</f>
        <v>0.0110622685185185</v>
      </c>
      <c r="H660" s="12" t="n">
        <f aca="false">IF(INDEX(選手一覧!$E$5:$E$2736,$F660)="","",INDEX(選手一覧!$E$5:$E$2736,$F660))</f>
        <v>1221</v>
      </c>
      <c r="I660" s="11" t="str">
        <f aca="false">IF(INDEX(選手一覧!$H$5:$H$2736,$F660)="","",INDEX(選手一覧!$H$5:$H$2736,$F660))</f>
        <v/>
      </c>
      <c r="J660" s="12" t="str">
        <f aca="false">IF(INDEX(選手一覧!$I$5:$I$2736,$F660)="","",INDEX(選手一覧!$I$5:$I$2736,$F660))</f>
        <v/>
      </c>
    </row>
    <row r="661" customFormat="false" ht="15" hidden="false" customHeight="false" outlineLevel="0" collapsed="false">
      <c r="A661" s="12" t="n">
        <v>658</v>
      </c>
      <c r="B661" s="8" t="s">
        <v>2737</v>
      </c>
      <c r="C661" s="8" t="s">
        <v>1378</v>
      </c>
      <c r="D661" s="11" t="n">
        <v>0.00730821759259259</v>
      </c>
      <c r="E661" s="39" t="n">
        <f aca="false">ROUND((D661-$D$5)*86400,2)</f>
        <v>92.41</v>
      </c>
      <c r="F661" s="12" t="n">
        <v>1757</v>
      </c>
      <c r="G661" s="11" t="str">
        <f aca="false">IF(INDEX(選手一覧!$D$5:$D$2736,$F661)="","",INDEX(選手一覧!$D$5:$D$2736,$F661))</f>
        <v/>
      </c>
      <c r="H661" s="12" t="str">
        <f aca="false">IF(INDEX(選手一覧!$E$5:$E$2736,$F661)="","",INDEX(選手一覧!$E$5:$E$2736,$F661))</f>
        <v/>
      </c>
      <c r="I661" s="11" t="str">
        <f aca="false">IF(INDEX(選手一覧!$H$5:$H$2736,$F661)="","",INDEX(選手一覧!$H$5:$H$2736,$F661))</f>
        <v/>
      </c>
      <c r="J661" s="12" t="str">
        <f aca="false">IF(INDEX(選手一覧!$I$5:$I$2736,$F661)="","",INDEX(選手一覧!$I$5:$I$2736,$F661))</f>
        <v/>
      </c>
    </row>
    <row r="662" customFormat="false" ht="15" hidden="false" customHeight="false" outlineLevel="0" collapsed="false">
      <c r="A662" s="12" t="n">
        <v>659</v>
      </c>
      <c r="B662" s="8" t="s">
        <v>2738</v>
      </c>
      <c r="C662" s="8" t="s">
        <v>1835</v>
      </c>
      <c r="D662" s="11" t="n">
        <v>0.00731238425925926</v>
      </c>
      <c r="E662" s="39" t="n">
        <f aca="false">ROUND((D662-$D$5)*86400,2)</f>
        <v>92.77</v>
      </c>
      <c r="F662" s="12" t="n">
        <v>1758</v>
      </c>
      <c r="G662" s="11" t="str">
        <f aca="false">IF(INDEX(選手一覧!$D$5:$D$2736,$F662)="","",INDEX(選手一覧!$D$5:$D$2736,$F662))</f>
        <v/>
      </c>
      <c r="H662" s="12" t="str">
        <f aca="false">IF(INDEX(選手一覧!$E$5:$E$2736,$F662)="","",INDEX(選手一覧!$E$5:$E$2736,$F662))</f>
        <v/>
      </c>
      <c r="I662" s="11" t="str">
        <f aca="false">IF(INDEX(選手一覧!$H$5:$H$2736,$F662)="","",INDEX(選手一覧!$H$5:$H$2736,$F662))</f>
        <v/>
      </c>
      <c r="J662" s="12" t="str">
        <f aca="false">IF(INDEX(選手一覧!$I$5:$I$2736,$F662)="","",INDEX(選手一覧!$I$5:$I$2736,$F662))</f>
        <v/>
      </c>
    </row>
    <row r="663" customFormat="false" ht="15" hidden="false" customHeight="false" outlineLevel="0" collapsed="false">
      <c r="A663" s="12" t="n">
        <v>660</v>
      </c>
      <c r="B663" s="8" t="s">
        <v>2739</v>
      </c>
      <c r="C663" s="8" t="s">
        <v>1411</v>
      </c>
      <c r="D663" s="11" t="n">
        <v>0.00731354166666667</v>
      </c>
      <c r="E663" s="39" t="n">
        <f aca="false">ROUND((D663-$D$5)*86400,2)</f>
        <v>92.87</v>
      </c>
      <c r="F663" s="12" t="n">
        <v>1759</v>
      </c>
      <c r="G663" s="11" t="str">
        <f aca="false">IF(INDEX(選手一覧!$D$5:$D$2736,$F663)="","",INDEX(選手一覧!$D$5:$D$2736,$F663))</f>
        <v/>
      </c>
      <c r="H663" s="12" t="str">
        <f aca="false">IF(INDEX(選手一覧!$E$5:$E$2736,$F663)="","",INDEX(選手一覧!$E$5:$E$2736,$F663))</f>
        <v/>
      </c>
      <c r="I663" s="11" t="str">
        <f aca="false">IF(INDEX(選手一覧!$H$5:$H$2736,$F663)="","",INDEX(選手一覧!$H$5:$H$2736,$F663))</f>
        <v/>
      </c>
      <c r="J663" s="12" t="str">
        <f aca="false">IF(INDEX(選手一覧!$I$5:$I$2736,$F663)="","",INDEX(選手一覧!$I$5:$I$2736,$F663))</f>
        <v/>
      </c>
    </row>
    <row r="664" customFormat="false" ht="15" hidden="false" customHeight="false" outlineLevel="0" collapsed="false">
      <c r="A664" s="12" t="n">
        <v>661</v>
      </c>
      <c r="B664" s="8" t="s">
        <v>2741</v>
      </c>
      <c r="C664" s="8" t="s">
        <v>2718</v>
      </c>
      <c r="D664" s="11" t="n">
        <v>0.00731400462962963</v>
      </c>
      <c r="E664" s="39" t="n">
        <f aca="false">ROUND((D664-$D$5)*86400,2)</f>
        <v>92.91</v>
      </c>
      <c r="F664" s="12" t="n">
        <v>1761</v>
      </c>
      <c r="G664" s="11" t="str">
        <f aca="false">IF(INDEX(選手一覧!$D$5:$D$2736,$F664)="","",INDEX(選手一覧!$D$5:$D$2736,$F664))</f>
        <v/>
      </c>
      <c r="H664" s="12" t="str">
        <f aca="false">IF(INDEX(選手一覧!$E$5:$E$2736,$F664)="","",INDEX(選手一覧!$E$5:$E$2736,$F664))</f>
        <v/>
      </c>
      <c r="I664" s="11" t="n">
        <f aca="false">IF(INDEX(選手一覧!$H$5:$H$2736,$F664)="","",INDEX(選手一覧!$H$5:$H$2736,$F664))</f>
        <v>0.00290173611111111</v>
      </c>
      <c r="J664" s="12" t="n">
        <f aca="false">IF(INDEX(選手一覧!$I$5:$I$2736,$F664)="","",INDEX(選手一覧!$I$5:$I$2736,$F664))</f>
        <v>962</v>
      </c>
    </row>
    <row r="665" customFormat="false" ht="15" hidden="false" customHeight="false" outlineLevel="0" collapsed="false">
      <c r="A665" s="12" t="n">
        <v>662</v>
      </c>
      <c r="B665" s="8" t="s">
        <v>2742</v>
      </c>
      <c r="C665" s="8" t="s">
        <v>2743</v>
      </c>
      <c r="D665" s="11" t="n">
        <v>0.0073150462962963</v>
      </c>
      <c r="E665" s="39" t="n">
        <f aca="false">ROUND((D665-$D$5)*86400,2)</f>
        <v>93</v>
      </c>
      <c r="F665" s="12" t="n">
        <v>1762</v>
      </c>
      <c r="G665" s="11" t="str">
        <f aca="false">IF(INDEX(選手一覧!$D$5:$D$2736,$F665)="","",INDEX(選手一覧!$D$5:$D$2736,$F665))</f>
        <v/>
      </c>
      <c r="H665" s="12" t="str">
        <f aca="false">IF(INDEX(選手一覧!$E$5:$E$2736,$F665)="","",INDEX(選手一覧!$E$5:$E$2736,$F665))</f>
        <v/>
      </c>
      <c r="I665" s="11" t="str">
        <f aca="false">IF(INDEX(選手一覧!$H$5:$H$2736,$F665)="","",INDEX(選手一覧!$H$5:$H$2736,$F665))</f>
        <v/>
      </c>
      <c r="J665" s="12" t="str">
        <f aca="false">IF(INDEX(選手一覧!$I$5:$I$2736,$F665)="","",INDEX(選手一覧!$I$5:$I$2736,$F665))</f>
        <v/>
      </c>
    </row>
    <row r="666" customFormat="false" ht="15" hidden="false" customHeight="false" outlineLevel="0" collapsed="false">
      <c r="A666" s="12" t="n">
        <v>663</v>
      </c>
      <c r="B666" s="8" t="s">
        <v>2745</v>
      </c>
      <c r="C666" s="8" t="s">
        <v>1926</v>
      </c>
      <c r="D666" s="11" t="n">
        <v>0.00731655092592593</v>
      </c>
      <c r="E666" s="39" t="n">
        <f aca="false">ROUND((D666-$D$5)*86400,2)</f>
        <v>93.13</v>
      </c>
      <c r="F666" s="12" t="n">
        <v>1764</v>
      </c>
      <c r="G666" s="11" t="str">
        <f aca="false">IF(INDEX(選手一覧!$D$5:$D$2736,$F666)="","",INDEX(選手一覧!$D$5:$D$2736,$F666))</f>
        <v/>
      </c>
      <c r="H666" s="12" t="str">
        <f aca="false">IF(INDEX(選手一覧!$E$5:$E$2736,$F666)="","",INDEX(選手一覧!$E$5:$E$2736,$F666))</f>
        <v/>
      </c>
      <c r="I666" s="11" t="str">
        <f aca="false">IF(INDEX(選手一覧!$H$5:$H$2736,$F666)="","",INDEX(選手一覧!$H$5:$H$2736,$F666))</f>
        <v/>
      </c>
      <c r="J666" s="12" t="str">
        <f aca="false">IF(INDEX(選手一覧!$I$5:$I$2736,$F666)="","",INDEX(選手一覧!$I$5:$I$2736,$F666))</f>
        <v/>
      </c>
    </row>
    <row r="667" customFormat="false" ht="15" hidden="false" customHeight="false" outlineLevel="0" collapsed="false">
      <c r="A667" s="12" t="n">
        <v>664</v>
      </c>
      <c r="B667" s="8" t="s">
        <v>1447</v>
      </c>
      <c r="C667" s="8" t="s">
        <v>1448</v>
      </c>
      <c r="D667" s="11" t="n">
        <v>0.00731689814814815</v>
      </c>
      <c r="E667" s="39" t="n">
        <f aca="false">ROUND((D667-$D$5)*86400,2)</f>
        <v>93.16</v>
      </c>
      <c r="F667" s="12" t="n">
        <v>881</v>
      </c>
      <c r="G667" s="11" t="n">
        <f aca="false">IF(INDEX(選手一覧!$D$5:$D$2736,$F667)="","",INDEX(選手一覧!$D$5:$D$2736,$F667))</f>
        <v>0.010875462962963</v>
      </c>
      <c r="H667" s="12" t="n">
        <f aca="false">IF(INDEX(選手一覧!$E$5:$E$2736,$F667)="","",INDEX(選手一覧!$E$5:$E$2736,$F667))</f>
        <v>882</v>
      </c>
      <c r="I667" s="11" t="n">
        <f aca="false">IF(INDEX(選手一覧!$H$5:$H$2736,$F667)="","",INDEX(選手一覧!$H$5:$H$2736,$F667))</f>
        <v>0.00277581018518519</v>
      </c>
      <c r="J667" s="12" t="n">
        <f aca="false">IF(INDEX(選手一覧!$I$5:$I$2736,$F667)="","",INDEX(選手一覧!$I$5:$I$2736,$F667))</f>
        <v>179</v>
      </c>
    </row>
    <row r="668" customFormat="false" ht="15" hidden="false" customHeight="false" outlineLevel="0" collapsed="false">
      <c r="A668" s="12" t="n">
        <v>665</v>
      </c>
      <c r="B668" s="8" t="s">
        <v>2746</v>
      </c>
      <c r="C668" s="8" t="s">
        <v>1183</v>
      </c>
      <c r="D668" s="11" t="n">
        <v>0.00731689814814815</v>
      </c>
      <c r="E668" s="39" t="n">
        <f aca="false">ROUND((D668-$D$5)*86400,2)</f>
        <v>93.16</v>
      </c>
      <c r="F668" s="12" t="n">
        <v>1765</v>
      </c>
      <c r="G668" s="11" t="str">
        <f aca="false">IF(INDEX(選手一覧!$D$5:$D$2736,$F668)="","",INDEX(選手一覧!$D$5:$D$2736,$F668))</f>
        <v/>
      </c>
      <c r="H668" s="12" t="str">
        <f aca="false">IF(INDEX(選手一覧!$E$5:$E$2736,$F668)="","",INDEX(選手一覧!$E$5:$E$2736,$F668))</f>
        <v/>
      </c>
      <c r="I668" s="11" t="str">
        <f aca="false">IF(INDEX(選手一覧!$H$5:$H$2736,$F668)="","",INDEX(選手一覧!$H$5:$H$2736,$F668))</f>
        <v/>
      </c>
      <c r="J668" s="12" t="str">
        <f aca="false">IF(INDEX(選手一覧!$I$5:$I$2736,$F668)="","",INDEX(選手一覧!$I$5:$I$2736,$F668))</f>
        <v/>
      </c>
    </row>
    <row r="669" customFormat="false" ht="15" hidden="false" customHeight="false" outlineLevel="0" collapsed="false">
      <c r="A669" s="12" t="n">
        <v>666</v>
      </c>
      <c r="B669" s="8" t="s">
        <v>2749</v>
      </c>
      <c r="C669" s="8" t="s">
        <v>2623</v>
      </c>
      <c r="D669" s="11" t="n">
        <v>0.00731724537037037</v>
      </c>
      <c r="E669" s="39" t="n">
        <f aca="false">ROUND((D669-$D$5)*86400,2)</f>
        <v>93.19</v>
      </c>
      <c r="F669" s="12" t="n">
        <v>1767</v>
      </c>
      <c r="G669" s="11" t="str">
        <f aca="false">IF(INDEX(選手一覧!$D$5:$D$2736,$F669)="","",INDEX(選手一覧!$D$5:$D$2736,$F669))</f>
        <v/>
      </c>
      <c r="H669" s="12" t="str">
        <f aca="false">IF(INDEX(選手一覧!$E$5:$E$2736,$F669)="","",INDEX(選手一覧!$E$5:$E$2736,$F669))</f>
        <v/>
      </c>
      <c r="I669" s="11" t="str">
        <f aca="false">IF(INDEX(選手一覧!$H$5:$H$2736,$F669)="","",INDEX(選手一覧!$H$5:$H$2736,$F669))</f>
        <v/>
      </c>
      <c r="J669" s="12" t="str">
        <f aca="false">IF(INDEX(選手一覧!$I$5:$I$2736,$F669)="","",INDEX(選手一覧!$I$5:$I$2736,$F669))</f>
        <v/>
      </c>
    </row>
    <row r="670" customFormat="false" ht="15" hidden="false" customHeight="false" outlineLevel="0" collapsed="false">
      <c r="A670" s="12" t="n">
        <v>667</v>
      </c>
      <c r="B670" s="8" t="s">
        <v>2751</v>
      </c>
      <c r="C670" s="8" t="s">
        <v>1713</v>
      </c>
      <c r="D670" s="11" t="n">
        <v>0.00731782407407407</v>
      </c>
      <c r="E670" s="39" t="n">
        <f aca="false">ROUND((D670-$D$5)*86400,2)</f>
        <v>93.24</v>
      </c>
      <c r="F670" s="12" t="n">
        <v>1768</v>
      </c>
      <c r="G670" s="11" t="str">
        <f aca="false">IF(INDEX(選手一覧!$D$5:$D$2736,$F670)="","",INDEX(選手一覧!$D$5:$D$2736,$F670))</f>
        <v/>
      </c>
      <c r="H670" s="12" t="str">
        <f aca="false">IF(INDEX(選手一覧!$E$5:$E$2736,$F670)="","",INDEX(選手一覧!$E$5:$E$2736,$F670))</f>
        <v/>
      </c>
      <c r="I670" s="11" t="n">
        <f aca="false">IF(INDEX(選手一覧!$H$5:$H$2736,$F670)="","",INDEX(選手一覧!$H$5:$H$2736,$F670))</f>
        <v>0.0028869212962963</v>
      </c>
      <c r="J670" s="12" t="n">
        <f aca="false">IF(INDEX(選手一覧!$I$5:$I$2736,$F670)="","",INDEX(選手一覧!$I$5:$I$2736,$F670))</f>
        <v>832</v>
      </c>
    </row>
    <row r="671" customFormat="false" ht="15" hidden="false" customHeight="false" outlineLevel="0" collapsed="false">
      <c r="A671" s="12" t="n">
        <v>668</v>
      </c>
      <c r="B671" s="8" t="s">
        <v>1240</v>
      </c>
      <c r="C671" s="8" t="s">
        <v>2754</v>
      </c>
      <c r="D671" s="11" t="n">
        <v>0.00731805555555556</v>
      </c>
      <c r="E671" s="39" t="n">
        <f aca="false">ROUND((D671-$D$5)*86400,2)</f>
        <v>93.26</v>
      </c>
      <c r="F671" s="12" t="n">
        <v>1770</v>
      </c>
      <c r="G671" s="11" t="str">
        <f aca="false">IF(INDEX(選手一覧!$D$5:$D$2736,$F671)="","",INDEX(選手一覧!$D$5:$D$2736,$F671))</f>
        <v/>
      </c>
      <c r="H671" s="12" t="str">
        <f aca="false">IF(INDEX(選手一覧!$E$5:$E$2736,$F671)="","",INDEX(選手一覧!$E$5:$E$2736,$F671))</f>
        <v/>
      </c>
      <c r="I671" s="11" t="str">
        <f aca="false">IF(INDEX(選手一覧!$H$5:$H$2736,$F671)="","",INDEX(選手一覧!$H$5:$H$2736,$F671))</f>
        <v/>
      </c>
      <c r="J671" s="12" t="str">
        <f aca="false">IF(INDEX(選手一覧!$I$5:$I$2736,$F671)="","",INDEX(選手一覧!$I$5:$I$2736,$F671))</f>
        <v/>
      </c>
    </row>
    <row r="672" customFormat="false" ht="15" hidden="false" customHeight="false" outlineLevel="0" collapsed="false">
      <c r="A672" s="12" t="n">
        <v>669</v>
      </c>
      <c r="B672" s="8" t="s">
        <v>2756</v>
      </c>
      <c r="C672" s="8" t="s">
        <v>2757</v>
      </c>
      <c r="D672" s="11" t="n">
        <v>0.00731840277777778</v>
      </c>
      <c r="E672" s="39" t="n">
        <f aca="false">ROUND((D672-$D$5)*86400,2)</f>
        <v>93.29</v>
      </c>
      <c r="F672" s="12" t="n">
        <v>1771</v>
      </c>
      <c r="G672" s="11" t="str">
        <f aca="false">IF(INDEX(選手一覧!$D$5:$D$2736,$F672)="","",INDEX(選手一覧!$D$5:$D$2736,$F672))</f>
        <v/>
      </c>
      <c r="H672" s="12" t="str">
        <f aca="false">IF(INDEX(選手一覧!$E$5:$E$2736,$F672)="","",INDEX(選手一覧!$E$5:$E$2736,$F672))</f>
        <v/>
      </c>
      <c r="I672" s="11" t="str">
        <f aca="false">IF(INDEX(選手一覧!$H$5:$H$2736,$F672)="","",INDEX(選手一覧!$H$5:$H$2736,$F672))</f>
        <v/>
      </c>
      <c r="J672" s="12" t="str">
        <f aca="false">IF(INDEX(選手一覧!$I$5:$I$2736,$F672)="","",INDEX(選手一覧!$I$5:$I$2736,$F672))</f>
        <v/>
      </c>
    </row>
    <row r="673" customFormat="false" ht="15" hidden="false" customHeight="false" outlineLevel="0" collapsed="false">
      <c r="A673" s="12" t="n">
        <v>670</v>
      </c>
      <c r="B673" s="8" t="s">
        <v>2758</v>
      </c>
      <c r="C673" s="8" t="s">
        <v>2364</v>
      </c>
      <c r="D673" s="11" t="n">
        <v>0.00731956018518519</v>
      </c>
      <c r="E673" s="39" t="n">
        <f aca="false">ROUND((D673-$D$5)*86400,2)</f>
        <v>93.39</v>
      </c>
      <c r="F673" s="12" t="n">
        <v>1772</v>
      </c>
      <c r="G673" s="11" t="str">
        <f aca="false">IF(INDEX(選手一覧!$D$5:$D$2736,$F673)="","",INDEX(選手一覧!$D$5:$D$2736,$F673))</f>
        <v/>
      </c>
      <c r="H673" s="12" t="str">
        <f aca="false">IF(INDEX(選手一覧!$E$5:$E$2736,$F673)="","",INDEX(選手一覧!$E$5:$E$2736,$F673))</f>
        <v/>
      </c>
      <c r="I673" s="11" t="str">
        <f aca="false">IF(INDEX(選手一覧!$H$5:$H$2736,$F673)="","",INDEX(選手一覧!$H$5:$H$2736,$F673))</f>
        <v/>
      </c>
      <c r="J673" s="12" t="str">
        <f aca="false">IF(INDEX(選手一覧!$I$5:$I$2736,$F673)="","",INDEX(選手一覧!$I$5:$I$2736,$F673))</f>
        <v/>
      </c>
    </row>
    <row r="674" customFormat="false" ht="15" hidden="false" customHeight="false" outlineLevel="0" collapsed="false">
      <c r="A674" s="12" t="n">
        <v>671</v>
      </c>
      <c r="B674" s="8" t="s">
        <v>658</v>
      </c>
      <c r="C674" s="8" t="s">
        <v>537</v>
      </c>
      <c r="D674" s="11" t="n">
        <v>0.00732141203703704</v>
      </c>
      <c r="E674" s="39" t="n">
        <f aca="false">ROUND((D674-$D$5)*86400,2)</f>
        <v>93.55</v>
      </c>
      <c r="F674" s="12" t="n">
        <v>365</v>
      </c>
      <c r="G674" s="11" t="n">
        <f aca="false">IF(INDEX(選手一覧!$D$5:$D$2736,$F674)="","",INDEX(選手一覧!$D$5:$D$2736,$F674))</f>
        <v>0.0105252314814815</v>
      </c>
      <c r="H674" s="12" t="n">
        <f aca="false">IF(INDEX(選手一覧!$E$5:$E$2736,$F674)="","",INDEX(選手一覧!$E$5:$E$2736,$F674))</f>
        <v>366</v>
      </c>
      <c r="I674" s="11" t="n">
        <f aca="false">IF(INDEX(選手一覧!$H$5:$H$2736,$F674)="","",INDEX(選手一覧!$H$5:$H$2736,$F674))</f>
        <v>0.00289467592592593</v>
      </c>
      <c r="J674" s="12" t="n">
        <f aca="false">IF(INDEX(選手一覧!$I$5:$I$2736,$F674)="","",INDEX(選手一覧!$I$5:$I$2736,$F674))</f>
        <v>910</v>
      </c>
    </row>
    <row r="675" customFormat="false" ht="15" hidden="false" customHeight="false" outlineLevel="0" collapsed="false">
      <c r="A675" s="12" t="n">
        <v>672</v>
      </c>
      <c r="B675" s="8" t="s">
        <v>2759</v>
      </c>
      <c r="C675" s="8" t="s">
        <v>2362</v>
      </c>
      <c r="D675" s="11" t="n">
        <v>0.00732141203703704</v>
      </c>
      <c r="E675" s="39" t="n">
        <f aca="false">ROUND((D675-$D$5)*86400,2)</f>
        <v>93.55</v>
      </c>
      <c r="F675" s="12" t="n">
        <v>1773</v>
      </c>
      <c r="G675" s="11" t="str">
        <f aca="false">IF(INDEX(選手一覧!$D$5:$D$2736,$F675)="","",INDEX(選手一覧!$D$5:$D$2736,$F675))</f>
        <v/>
      </c>
      <c r="H675" s="12" t="str">
        <f aca="false">IF(INDEX(選手一覧!$E$5:$E$2736,$F675)="","",INDEX(選手一覧!$E$5:$E$2736,$F675))</f>
        <v/>
      </c>
      <c r="I675" s="11" t="n">
        <f aca="false">IF(INDEX(選手一覧!$H$5:$H$2736,$F675)="","",INDEX(選手一覧!$H$5:$H$2736,$F675))</f>
        <v>0.00292604166666667</v>
      </c>
      <c r="J675" s="12" t="n">
        <f aca="false">IF(INDEX(選手一覧!$I$5:$I$2736,$F675)="","",INDEX(選手一覧!$I$5:$I$2736,$F675))</f>
        <v>1158</v>
      </c>
    </row>
    <row r="676" customFormat="false" ht="15" hidden="false" customHeight="false" outlineLevel="0" collapsed="false">
      <c r="A676" s="12" t="n">
        <v>673</v>
      </c>
      <c r="B676" s="8" t="s">
        <v>2763</v>
      </c>
      <c r="C676" s="8" t="s">
        <v>2113</v>
      </c>
      <c r="D676" s="11" t="n">
        <v>0.00732152777777778</v>
      </c>
      <c r="E676" s="39" t="n">
        <f aca="false">ROUND((D676-$D$5)*86400,2)</f>
        <v>93.56</v>
      </c>
      <c r="F676" s="12" t="n">
        <v>1775</v>
      </c>
      <c r="G676" s="11" t="str">
        <f aca="false">IF(INDEX(選手一覧!$D$5:$D$2736,$F676)="","",INDEX(選手一覧!$D$5:$D$2736,$F676))</f>
        <v/>
      </c>
      <c r="H676" s="12" t="str">
        <f aca="false">IF(INDEX(選手一覧!$E$5:$E$2736,$F676)="","",INDEX(選手一覧!$E$5:$E$2736,$F676))</f>
        <v/>
      </c>
      <c r="I676" s="11" t="str">
        <f aca="false">IF(INDEX(選手一覧!$H$5:$H$2736,$F676)="","",INDEX(選手一覧!$H$5:$H$2736,$F676))</f>
        <v/>
      </c>
      <c r="J676" s="12" t="str">
        <f aca="false">IF(INDEX(選手一覧!$I$5:$I$2736,$F676)="","",INDEX(選手一覧!$I$5:$I$2736,$F676))</f>
        <v/>
      </c>
    </row>
    <row r="677" customFormat="false" ht="15" hidden="false" customHeight="false" outlineLevel="0" collapsed="false">
      <c r="A677" s="12" t="n">
        <v>674</v>
      </c>
      <c r="B677" s="8" t="s">
        <v>2764</v>
      </c>
      <c r="C677" s="8" t="s">
        <v>2765</v>
      </c>
      <c r="D677" s="11" t="n">
        <v>0.00732175925925926</v>
      </c>
      <c r="E677" s="39" t="n">
        <f aca="false">ROUND((D677-$D$5)*86400,2)</f>
        <v>93.58</v>
      </c>
      <c r="F677" s="12" t="n">
        <v>1776</v>
      </c>
      <c r="G677" s="11" t="str">
        <f aca="false">IF(INDEX(選手一覧!$D$5:$D$2736,$F677)="","",INDEX(選手一覧!$D$5:$D$2736,$F677))</f>
        <v/>
      </c>
      <c r="H677" s="12" t="str">
        <f aca="false">IF(INDEX(選手一覧!$E$5:$E$2736,$F677)="","",INDEX(選手一覧!$E$5:$E$2736,$F677))</f>
        <v/>
      </c>
      <c r="I677" s="11" t="str">
        <f aca="false">IF(INDEX(選手一覧!$H$5:$H$2736,$F677)="","",INDEX(選手一覧!$H$5:$H$2736,$F677))</f>
        <v/>
      </c>
      <c r="J677" s="12" t="str">
        <f aca="false">IF(INDEX(選手一覧!$I$5:$I$2736,$F677)="","",INDEX(選手一覧!$I$5:$I$2736,$F677))</f>
        <v/>
      </c>
    </row>
    <row r="678" customFormat="false" ht="15" hidden="false" customHeight="false" outlineLevel="0" collapsed="false">
      <c r="A678" s="12" t="n">
        <v>675</v>
      </c>
      <c r="B678" s="8" t="s">
        <v>2767</v>
      </c>
      <c r="C678" s="8" t="s">
        <v>2768</v>
      </c>
      <c r="D678" s="11" t="n">
        <v>0.00732361111111111</v>
      </c>
      <c r="E678" s="39" t="n">
        <f aca="false">ROUND((D678-$D$5)*86400,2)</f>
        <v>93.74</v>
      </c>
      <c r="F678" s="12" t="n">
        <v>1778</v>
      </c>
      <c r="G678" s="11" t="str">
        <f aca="false">IF(INDEX(選手一覧!$D$5:$D$2736,$F678)="","",INDEX(選手一覧!$D$5:$D$2736,$F678))</f>
        <v/>
      </c>
      <c r="H678" s="12" t="str">
        <f aca="false">IF(INDEX(選手一覧!$E$5:$E$2736,$F678)="","",INDEX(選手一覧!$E$5:$E$2736,$F678))</f>
        <v/>
      </c>
      <c r="I678" s="11" t="str">
        <f aca="false">IF(INDEX(選手一覧!$H$5:$H$2736,$F678)="","",INDEX(選手一覧!$H$5:$H$2736,$F678))</f>
        <v/>
      </c>
      <c r="J678" s="12" t="str">
        <f aca="false">IF(INDEX(選手一覧!$I$5:$I$2736,$F678)="","",INDEX(選手一覧!$I$5:$I$2736,$F678))</f>
        <v/>
      </c>
    </row>
    <row r="679" customFormat="false" ht="15" hidden="false" customHeight="false" outlineLevel="0" collapsed="false">
      <c r="A679" s="12" t="n">
        <v>676</v>
      </c>
      <c r="B679" s="8" t="s">
        <v>2771</v>
      </c>
      <c r="C679" s="8" t="s">
        <v>2772</v>
      </c>
      <c r="D679" s="11" t="n">
        <v>0.00732384259259259</v>
      </c>
      <c r="E679" s="39" t="n">
        <f aca="false">ROUND((D679-$D$5)*86400,2)</f>
        <v>93.76</v>
      </c>
      <c r="F679" s="12" t="n">
        <v>1780</v>
      </c>
      <c r="G679" s="11" t="str">
        <f aca="false">IF(INDEX(選手一覧!$D$5:$D$2736,$F679)="","",INDEX(選手一覧!$D$5:$D$2736,$F679))</f>
        <v/>
      </c>
      <c r="H679" s="12" t="str">
        <f aca="false">IF(INDEX(選手一覧!$E$5:$E$2736,$F679)="","",INDEX(選手一覧!$E$5:$E$2736,$F679))</f>
        <v/>
      </c>
      <c r="I679" s="11" t="str">
        <f aca="false">IF(INDEX(選手一覧!$H$5:$H$2736,$F679)="","",INDEX(選手一覧!$H$5:$H$2736,$F679))</f>
        <v/>
      </c>
      <c r="J679" s="12" t="str">
        <f aca="false">IF(INDEX(選手一覧!$I$5:$I$2736,$F679)="","",INDEX(選手一覧!$I$5:$I$2736,$F679))</f>
        <v/>
      </c>
    </row>
    <row r="680" customFormat="false" ht="15" hidden="false" customHeight="false" outlineLevel="0" collapsed="false">
      <c r="A680" s="12" t="n">
        <v>677</v>
      </c>
      <c r="B680" s="8" t="s">
        <v>2773</v>
      </c>
      <c r="C680" s="8" t="s">
        <v>2774</v>
      </c>
      <c r="D680" s="11" t="n">
        <v>0.00732453703703704</v>
      </c>
      <c r="E680" s="39" t="n">
        <f aca="false">ROUND((D680-$D$5)*86400,2)</f>
        <v>93.82</v>
      </c>
      <c r="F680" s="12" t="n">
        <v>1781</v>
      </c>
      <c r="G680" s="11" t="str">
        <f aca="false">IF(INDEX(選手一覧!$D$5:$D$2736,$F680)="","",INDEX(選手一覧!$D$5:$D$2736,$F680))</f>
        <v/>
      </c>
      <c r="H680" s="12" t="str">
        <f aca="false">IF(INDEX(選手一覧!$E$5:$E$2736,$F680)="","",INDEX(選手一覧!$E$5:$E$2736,$F680))</f>
        <v/>
      </c>
      <c r="I680" s="11" t="str">
        <f aca="false">IF(INDEX(選手一覧!$H$5:$H$2736,$F680)="","",INDEX(選手一覧!$H$5:$H$2736,$F680))</f>
        <v/>
      </c>
      <c r="J680" s="12" t="str">
        <f aca="false">IF(INDEX(選手一覧!$I$5:$I$2736,$F680)="","",INDEX(選手一覧!$I$5:$I$2736,$F680))</f>
        <v/>
      </c>
    </row>
    <row r="681" customFormat="false" ht="15" hidden="false" customHeight="false" outlineLevel="0" collapsed="false">
      <c r="A681" s="12" t="n">
        <v>678</v>
      </c>
      <c r="B681" s="8" t="s">
        <v>2776</v>
      </c>
      <c r="C681" s="8" t="s">
        <v>2777</v>
      </c>
      <c r="D681" s="11" t="n">
        <v>0.007325</v>
      </c>
      <c r="E681" s="39" t="n">
        <f aca="false">ROUND((D681-$D$5)*86400,2)</f>
        <v>93.86</v>
      </c>
      <c r="F681" s="12" t="n">
        <v>1783</v>
      </c>
      <c r="G681" s="11" t="str">
        <f aca="false">IF(INDEX(選手一覧!$D$5:$D$2736,$F681)="","",INDEX(選手一覧!$D$5:$D$2736,$F681))</f>
        <v/>
      </c>
      <c r="H681" s="12" t="str">
        <f aca="false">IF(INDEX(選手一覧!$E$5:$E$2736,$F681)="","",INDEX(選手一覧!$E$5:$E$2736,$F681))</f>
        <v/>
      </c>
      <c r="I681" s="11" t="str">
        <f aca="false">IF(INDEX(選手一覧!$H$5:$H$2736,$F681)="","",INDEX(選手一覧!$H$5:$H$2736,$F681))</f>
        <v/>
      </c>
      <c r="J681" s="12" t="str">
        <f aca="false">IF(INDEX(選手一覧!$I$5:$I$2736,$F681)="","",INDEX(選手一覧!$I$5:$I$2736,$F681))</f>
        <v/>
      </c>
    </row>
    <row r="682" customFormat="false" ht="15" hidden="false" customHeight="false" outlineLevel="0" collapsed="false">
      <c r="A682" s="12" t="n">
        <v>679</v>
      </c>
      <c r="B682" s="8" t="s">
        <v>2780</v>
      </c>
      <c r="C682" s="8" t="s">
        <v>2059</v>
      </c>
      <c r="D682" s="11" t="n">
        <v>0.00732719907407408</v>
      </c>
      <c r="E682" s="39" t="n">
        <f aca="false">ROUND((D682-$D$5)*86400,2)</f>
        <v>94.05</v>
      </c>
      <c r="F682" s="12" t="n">
        <v>1785</v>
      </c>
      <c r="G682" s="11" t="str">
        <f aca="false">IF(INDEX(選手一覧!$D$5:$D$2736,$F682)="","",INDEX(選手一覧!$D$5:$D$2736,$F682))</f>
        <v/>
      </c>
      <c r="H682" s="12" t="str">
        <f aca="false">IF(INDEX(選手一覧!$E$5:$E$2736,$F682)="","",INDEX(選手一覧!$E$5:$E$2736,$F682))</f>
        <v/>
      </c>
      <c r="I682" s="11" t="n">
        <f aca="false">IF(INDEX(選手一覧!$H$5:$H$2736,$F682)="","",INDEX(選手一覧!$H$5:$H$2736,$F682))</f>
        <v>0.00296273148148148</v>
      </c>
      <c r="J682" s="12" t="n">
        <f aca="false">IF(INDEX(選手一覧!$I$5:$I$2736,$F682)="","",INDEX(選手一覧!$I$5:$I$2736,$F682))</f>
        <v>1282</v>
      </c>
    </row>
    <row r="683" customFormat="false" ht="15" hidden="false" customHeight="false" outlineLevel="0" collapsed="false">
      <c r="A683" s="12" t="n">
        <v>680</v>
      </c>
      <c r="B683" s="8" t="s">
        <v>2781</v>
      </c>
      <c r="C683" s="8" t="s">
        <v>229</v>
      </c>
      <c r="D683" s="11" t="n">
        <v>0.00732893518518519</v>
      </c>
      <c r="E683" s="39" t="n">
        <f aca="false">ROUND((D683-$D$5)*86400,2)</f>
        <v>94.2</v>
      </c>
      <c r="F683" s="12" t="n">
        <v>1786</v>
      </c>
      <c r="G683" s="11" t="str">
        <f aca="false">IF(INDEX(選手一覧!$D$5:$D$2736,$F683)="","",INDEX(選手一覧!$D$5:$D$2736,$F683))</f>
        <v/>
      </c>
      <c r="H683" s="12" t="str">
        <f aca="false">IF(INDEX(選手一覧!$E$5:$E$2736,$F683)="","",INDEX(選手一覧!$E$5:$E$2736,$F683))</f>
        <v/>
      </c>
      <c r="I683" s="11" t="str">
        <f aca="false">IF(INDEX(選手一覧!$H$5:$H$2736,$F683)="","",INDEX(選手一覧!$H$5:$H$2736,$F683))</f>
        <v/>
      </c>
      <c r="J683" s="12" t="str">
        <f aca="false">IF(INDEX(選手一覧!$I$5:$I$2736,$F683)="","",INDEX(選手一覧!$I$5:$I$2736,$F683))</f>
        <v/>
      </c>
    </row>
    <row r="684" customFormat="false" ht="15" hidden="false" customHeight="false" outlineLevel="0" collapsed="false">
      <c r="A684" s="12" t="n">
        <v>681</v>
      </c>
      <c r="B684" s="8" t="s">
        <v>1647</v>
      </c>
      <c r="C684" s="8" t="s">
        <v>54</v>
      </c>
      <c r="D684" s="11" t="n">
        <v>0.00732905092592593</v>
      </c>
      <c r="E684" s="39" t="n">
        <f aca="false">ROUND((D684-$D$5)*86400,2)</f>
        <v>94.21</v>
      </c>
      <c r="F684" s="12" t="n">
        <v>1019</v>
      </c>
      <c r="G684" s="11" t="n">
        <f aca="false">IF(INDEX(選手一覧!$D$5:$D$2736,$F684)="","",INDEX(選手一覧!$D$5:$D$2736,$F684))</f>
        <v>0.0109596064814815</v>
      </c>
      <c r="H684" s="12" t="n">
        <f aca="false">IF(INDEX(選手一覧!$E$5:$E$2736,$F684)="","",INDEX(選手一覧!$E$5:$E$2736,$F684))</f>
        <v>1020</v>
      </c>
      <c r="I684" s="11" t="str">
        <f aca="false">IF(INDEX(選手一覧!$H$5:$H$2736,$F684)="","",INDEX(選手一覧!$H$5:$H$2736,$F684))</f>
        <v/>
      </c>
      <c r="J684" s="12" t="str">
        <f aca="false">IF(INDEX(選手一覧!$I$5:$I$2736,$F684)="","",INDEX(選手一覧!$I$5:$I$2736,$F684))</f>
        <v/>
      </c>
    </row>
    <row r="685" customFormat="false" ht="15" hidden="false" customHeight="false" outlineLevel="0" collapsed="false">
      <c r="A685" s="12" t="n">
        <v>682</v>
      </c>
      <c r="B685" s="8" t="s">
        <v>2784</v>
      </c>
      <c r="C685" s="8" t="s">
        <v>2785</v>
      </c>
      <c r="D685" s="11" t="n">
        <v>0.00732962962962963</v>
      </c>
      <c r="E685" s="39" t="n">
        <f aca="false">ROUND((D685-$D$5)*86400,2)</f>
        <v>94.26</v>
      </c>
      <c r="F685" s="12" t="n">
        <v>1788</v>
      </c>
      <c r="G685" s="11" t="str">
        <f aca="false">IF(INDEX(選手一覧!$D$5:$D$2736,$F685)="","",INDEX(選手一覧!$D$5:$D$2736,$F685))</f>
        <v/>
      </c>
      <c r="H685" s="12" t="str">
        <f aca="false">IF(INDEX(選手一覧!$E$5:$E$2736,$F685)="","",INDEX(選手一覧!$E$5:$E$2736,$F685))</f>
        <v/>
      </c>
      <c r="I685" s="11" t="str">
        <f aca="false">IF(INDEX(選手一覧!$H$5:$H$2736,$F685)="","",INDEX(選手一覧!$H$5:$H$2736,$F685))</f>
        <v/>
      </c>
      <c r="J685" s="12" t="str">
        <f aca="false">IF(INDEX(選手一覧!$I$5:$I$2736,$F685)="","",INDEX(選手一覧!$I$5:$I$2736,$F685))</f>
        <v/>
      </c>
    </row>
    <row r="686" customFormat="false" ht="15" hidden="false" customHeight="false" outlineLevel="0" collapsed="false">
      <c r="A686" s="12" t="n">
        <v>683</v>
      </c>
      <c r="B686" s="8" t="s">
        <v>2786</v>
      </c>
      <c r="C686" s="8" t="s">
        <v>2383</v>
      </c>
      <c r="D686" s="11" t="n">
        <v>0.00733078703703704</v>
      </c>
      <c r="E686" s="39" t="n">
        <f aca="false">ROUND((D686-$D$5)*86400,2)</f>
        <v>94.36</v>
      </c>
      <c r="F686" s="12" t="n">
        <v>1789</v>
      </c>
      <c r="G686" s="11" t="str">
        <f aca="false">IF(INDEX(選手一覧!$D$5:$D$2736,$F686)="","",INDEX(選手一覧!$D$5:$D$2736,$F686))</f>
        <v/>
      </c>
      <c r="H686" s="12" t="str">
        <f aca="false">IF(INDEX(選手一覧!$E$5:$E$2736,$F686)="","",INDEX(選手一覧!$E$5:$E$2736,$F686))</f>
        <v/>
      </c>
      <c r="I686" s="11" t="str">
        <f aca="false">IF(INDEX(選手一覧!$H$5:$H$2736,$F686)="","",INDEX(選手一覧!$H$5:$H$2736,$F686))</f>
        <v/>
      </c>
      <c r="J686" s="12" t="str">
        <f aca="false">IF(INDEX(選手一覧!$I$5:$I$2736,$F686)="","",INDEX(選手一覧!$I$5:$I$2736,$F686))</f>
        <v/>
      </c>
    </row>
    <row r="687" customFormat="false" ht="15" hidden="false" customHeight="false" outlineLevel="0" collapsed="false">
      <c r="A687" s="12" t="n">
        <v>684</v>
      </c>
      <c r="B687" s="8" t="s">
        <v>2788</v>
      </c>
      <c r="C687" s="8" t="s">
        <v>2188</v>
      </c>
      <c r="D687" s="11" t="n">
        <v>0.00733136574074074</v>
      </c>
      <c r="E687" s="39" t="n">
        <f aca="false">ROUND((D687-$D$5)*86400,2)</f>
        <v>94.41</v>
      </c>
      <c r="F687" s="12" t="n">
        <v>1791</v>
      </c>
      <c r="G687" s="11" t="str">
        <f aca="false">IF(INDEX(選手一覧!$D$5:$D$2736,$F687)="","",INDEX(選手一覧!$D$5:$D$2736,$F687))</f>
        <v/>
      </c>
      <c r="H687" s="12" t="str">
        <f aca="false">IF(INDEX(選手一覧!$E$5:$E$2736,$F687)="","",INDEX(選手一覧!$E$5:$E$2736,$F687))</f>
        <v/>
      </c>
      <c r="I687" s="11" t="str">
        <f aca="false">IF(INDEX(選手一覧!$H$5:$H$2736,$F687)="","",INDEX(選手一覧!$H$5:$H$2736,$F687))</f>
        <v/>
      </c>
      <c r="J687" s="12" t="str">
        <f aca="false">IF(INDEX(選手一覧!$I$5:$I$2736,$F687)="","",INDEX(選手一覧!$I$5:$I$2736,$F687))</f>
        <v/>
      </c>
    </row>
    <row r="688" customFormat="false" ht="15" hidden="false" customHeight="false" outlineLevel="0" collapsed="false">
      <c r="A688" s="12" t="n">
        <v>685</v>
      </c>
      <c r="B688" s="8" t="s">
        <v>2789</v>
      </c>
      <c r="C688" s="8" t="s">
        <v>2790</v>
      </c>
      <c r="D688" s="11" t="n">
        <v>0.00733229166666667</v>
      </c>
      <c r="E688" s="39" t="n">
        <f aca="false">ROUND((D688-$D$5)*86400,2)</f>
        <v>94.49</v>
      </c>
      <c r="F688" s="12" t="n">
        <v>1792</v>
      </c>
      <c r="G688" s="11" t="str">
        <f aca="false">IF(INDEX(選手一覧!$D$5:$D$2736,$F688)="","",INDEX(選手一覧!$D$5:$D$2736,$F688))</f>
        <v/>
      </c>
      <c r="H688" s="12" t="str">
        <f aca="false">IF(INDEX(選手一覧!$E$5:$E$2736,$F688)="","",INDEX(選手一覧!$E$5:$E$2736,$F688))</f>
        <v/>
      </c>
      <c r="I688" s="11" t="str">
        <f aca="false">IF(INDEX(選手一覧!$H$5:$H$2736,$F688)="","",INDEX(選手一覧!$H$5:$H$2736,$F688))</f>
        <v/>
      </c>
      <c r="J688" s="12" t="str">
        <f aca="false">IF(INDEX(選手一覧!$I$5:$I$2736,$F688)="","",INDEX(選手一覧!$I$5:$I$2736,$F688))</f>
        <v/>
      </c>
    </row>
    <row r="689" customFormat="false" ht="15" hidden="false" customHeight="false" outlineLevel="0" collapsed="false">
      <c r="A689" s="12" t="n">
        <v>686</v>
      </c>
      <c r="B689" s="8" t="s">
        <v>2791</v>
      </c>
      <c r="C689" s="8" t="s">
        <v>433</v>
      </c>
      <c r="D689" s="11" t="n">
        <v>0.0073337962962963</v>
      </c>
      <c r="E689" s="39" t="n">
        <f aca="false">ROUND((D689-$D$5)*86400,2)</f>
        <v>94.62</v>
      </c>
      <c r="F689" s="12" t="n">
        <v>1793</v>
      </c>
      <c r="G689" s="11" t="str">
        <f aca="false">IF(INDEX(選手一覧!$D$5:$D$2736,$F689)="","",INDEX(選手一覧!$D$5:$D$2736,$F689))</f>
        <v/>
      </c>
      <c r="H689" s="12" t="str">
        <f aca="false">IF(INDEX(選手一覧!$E$5:$E$2736,$F689)="","",INDEX(選手一覧!$E$5:$E$2736,$F689))</f>
        <v/>
      </c>
      <c r="I689" s="11" t="str">
        <f aca="false">IF(INDEX(選手一覧!$H$5:$H$2736,$F689)="","",INDEX(選手一覧!$H$5:$H$2736,$F689))</f>
        <v/>
      </c>
      <c r="J689" s="12" t="str">
        <f aca="false">IF(INDEX(選手一覧!$I$5:$I$2736,$F689)="","",INDEX(選手一覧!$I$5:$I$2736,$F689))</f>
        <v/>
      </c>
    </row>
    <row r="690" customFormat="false" ht="15" hidden="false" customHeight="false" outlineLevel="0" collapsed="false">
      <c r="A690" s="12" t="n">
        <v>687</v>
      </c>
      <c r="B690" s="8" t="s">
        <v>2792</v>
      </c>
      <c r="C690" s="8" t="s">
        <v>1563</v>
      </c>
      <c r="D690" s="11" t="n">
        <v>0.00733449074074074</v>
      </c>
      <c r="E690" s="39" t="n">
        <f aca="false">ROUND((D690-$D$5)*86400,2)</f>
        <v>94.68</v>
      </c>
      <c r="F690" s="12" t="n">
        <v>1794</v>
      </c>
      <c r="G690" s="11" t="str">
        <f aca="false">IF(INDEX(選手一覧!$D$5:$D$2736,$F690)="","",INDEX(選手一覧!$D$5:$D$2736,$F690))</f>
        <v/>
      </c>
      <c r="H690" s="12" t="str">
        <f aca="false">IF(INDEX(選手一覧!$E$5:$E$2736,$F690)="","",INDEX(選手一覧!$E$5:$E$2736,$F690))</f>
        <v/>
      </c>
      <c r="I690" s="11" t="str">
        <f aca="false">IF(INDEX(選手一覧!$H$5:$H$2736,$F690)="","",INDEX(選手一覧!$H$5:$H$2736,$F690))</f>
        <v/>
      </c>
      <c r="J690" s="12" t="str">
        <f aca="false">IF(INDEX(選手一覧!$I$5:$I$2736,$F690)="","",INDEX(選手一覧!$I$5:$I$2736,$F690))</f>
        <v/>
      </c>
    </row>
    <row r="691" customFormat="false" ht="15" hidden="false" customHeight="false" outlineLevel="0" collapsed="false">
      <c r="A691" s="12" t="n">
        <v>688</v>
      </c>
      <c r="B691" s="8" t="s">
        <v>2793</v>
      </c>
      <c r="C691" s="8" t="s">
        <v>2794</v>
      </c>
      <c r="D691" s="11" t="n">
        <v>0.00733680555555556</v>
      </c>
      <c r="E691" s="39" t="n">
        <f aca="false">ROUND((D691-$D$5)*86400,2)</f>
        <v>94.88</v>
      </c>
      <c r="F691" s="12" t="n">
        <v>1795</v>
      </c>
      <c r="G691" s="11" t="str">
        <f aca="false">IF(INDEX(選手一覧!$D$5:$D$2736,$F691)="","",INDEX(選手一覧!$D$5:$D$2736,$F691))</f>
        <v/>
      </c>
      <c r="H691" s="12" t="str">
        <f aca="false">IF(INDEX(選手一覧!$E$5:$E$2736,$F691)="","",INDEX(選手一覧!$E$5:$E$2736,$F691))</f>
        <v/>
      </c>
      <c r="I691" s="11" t="str">
        <f aca="false">IF(INDEX(選手一覧!$H$5:$H$2736,$F691)="","",INDEX(選手一覧!$H$5:$H$2736,$F691))</f>
        <v/>
      </c>
      <c r="J691" s="12" t="str">
        <f aca="false">IF(INDEX(選手一覧!$I$5:$I$2736,$F691)="","",INDEX(選手一覧!$I$5:$I$2736,$F691))</f>
        <v/>
      </c>
    </row>
    <row r="692" customFormat="false" ht="15" hidden="false" customHeight="false" outlineLevel="0" collapsed="false">
      <c r="A692" s="12" t="n">
        <v>689</v>
      </c>
      <c r="B692" s="8" t="s">
        <v>2795</v>
      </c>
      <c r="C692" s="8" t="s">
        <v>197</v>
      </c>
      <c r="D692" s="11" t="n">
        <v>0.0073375</v>
      </c>
      <c r="E692" s="39" t="n">
        <f aca="false">ROUND((D692-$D$5)*86400,2)</f>
        <v>94.94</v>
      </c>
      <c r="F692" s="12" t="n">
        <v>1796</v>
      </c>
      <c r="G692" s="11" t="str">
        <f aca="false">IF(INDEX(選手一覧!$D$5:$D$2736,$F692)="","",INDEX(選手一覧!$D$5:$D$2736,$F692))</f>
        <v/>
      </c>
      <c r="H692" s="12" t="str">
        <f aca="false">IF(INDEX(選手一覧!$E$5:$E$2736,$F692)="","",INDEX(選手一覧!$E$5:$E$2736,$F692))</f>
        <v/>
      </c>
      <c r="I692" s="11" t="str">
        <f aca="false">IF(INDEX(選手一覧!$H$5:$H$2736,$F692)="","",INDEX(選手一覧!$H$5:$H$2736,$F692))</f>
        <v/>
      </c>
      <c r="J692" s="12" t="str">
        <f aca="false">IF(INDEX(選手一覧!$I$5:$I$2736,$F692)="","",INDEX(選手一覧!$I$5:$I$2736,$F692))</f>
        <v/>
      </c>
    </row>
    <row r="693" customFormat="false" ht="15" hidden="false" customHeight="false" outlineLevel="0" collapsed="false">
      <c r="A693" s="12" t="n">
        <v>690</v>
      </c>
      <c r="B693" s="8" t="s">
        <v>1645</v>
      </c>
      <c r="C693" s="8" t="s">
        <v>1087</v>
      </c>
      <c r="D693" s="11" t="n">
        <v>0.00733819444444444</v>
      </c>
      <c r="E693" s="39" t="n">
        <f aca="false">ROUND((D693-$D$5)*86400,2)</f>
        <v>95</v>
      </c>
      <c r="F693" s="12" t="n">
        <v>1017</v>
      </c>
      <c r="G693" s="11" t="n">
        <f aca="false">IF(INDEX(選手一覧!$D$5:$D$2736,$F693)="","",INDEX(選手一覧!$D$5:$D$2736,$F693))</f>
        <v>0.0109578703703704</v>
      </c>
      <c r="H693" s="12" t="n">
        <f aca="false">IF(INDEX(選手一覧!$E$5:$E$2736,$F693)="","",INDEX(選手一覧!$E$5:$E$2736,$F693))</f>
        <v>1018</v>
      </c>
      <c r="I693" s="11" t="str">
        <f aca="false">IF(INDEX(選手一覧!$H$5:$H$2736,$F693)="","",INDEX(選手一覧!$H$5:$H$2736,$F693))</f>
        <v/>
      </c>
      <c r="J693" s="12" t="str">
        <f aca="false">IF(INDEX(選手一覧!$I$5:$I$2736,$F693)="","",INDEX(選手一覧!$I$5:$I$2736,$F693))</f>
        <v/>
      </c>
    </row>
    <row r="694" customFormat="false" ht="15" hidden="false" customHeight="false" outlineLevel="0" collapsed="false">
      <c r="A694" s="12" t="n">
        <v>691</v>
      </c>
      <c r="B694" s="8" t="s">
        <v>2796</v>
      </c>
      <c r="C694" s="8" t="s">
        <v>2797</v>
      </c>
      <c r="D694" s="11" t="n">
        <v>0.00733819444444444</v>
      </c>
      <c r="E694" s="39" t="n">
        <f aca="false">ROUND((D694-$D$5)*86400,2)</f>
        <v>95</v>
      </c>
      <c r="F694" s="12" t="n">
        <v>1797</v>
      </c>
      <c r="G694" s="11" t="str">
        <f aca="false">IF(INDEX(選手一覧!$D$5:$D$2736,$F694)="","",INDEX(選手一覧!$D$5:$D$2736,$F694))</f>
        <v/>
      </c>
      <c r="H694" s="12" t="str">
        <f aca="false">IF(INDEX(選手一覧!$E$5:$E$2736,$F694)="","",INDEX(選手一覧!$E$5:$E$2736,$F694))</f>
        <v/>
      </c>
      <c r="I694" s="11" t="str">
        <f aca="false">IF(INDEX(選手一覧!$H$5:$H$2736,$F694)="","",INDEX(選手一覧!$H$5:$H$2736,$F694))</f>
        <v/>
      </c>
      <c r="J694" s="12" t="str">
        <f aca="false">IF(INDEX(選手一覧!$I$5:$I$2736,$F694)="","",INDEX(選手一覧!$I$5:$I$2736,$F694))</f>
        <v/>
      </c>
    </row>
    <row r="695" customFormat="false" ht="15" hidden="false" customHeight="false" outlineLevel="0" collapsed="false">
      <c r="A695" s="12" t="n">
        <v>692</v>
      </c>
      <c r="B695" s="8" t="s">
        <v>1655</v>
      </c>
      <c r="C695" s="8" t="s">
        <v>1120</v>
      </c>
      <c r="D695" s="11" t="n">
        <v>0.00733854166666667</v>
      </c>
      <c r="E695" s="39" t="n">
        <f aca="false">ROUND((D695-$D$5)*86400,2)</f>
        <v>95.03</v>
      </c>
      <c r="F695" s="12" t="n">
        <v>1023</v>
      </c>
      <c r="G695" s="11" t="n">
        <f aca="false">IF(INDEX(選手一覧!$D$5:$D$2736,$F695)="","",INDEX(選手一覧!$D$5:$D$2736,$F695))</f>
        <v>0.0109635416666667</v>
      </c>
      <c r="H695" s="12" t="n">
        <f aca="false">IF(INDEX(選手一覧!$E$5:$E$2736,$F695)="","",INDEX(選手一覧!$E$5:$E$2736,$F695))</f>
        <v>1024</v>
      </c>
      <c r="I695" s="11" t="n">
        <f aca="false">IF(INDEX(選手一覧!$H$5:$H$2736,$F695)="","",INDEX(選手一覧!$H$5:$H$2736,$F695))</f>
        <v>0.00294328703703704</v>
      </c>
      <c r="J695" s="12" t="n">
        <f aca="false">IF(INDEX(選手一覧!$I$5:$I$2736,$F695)="","",INDEX(選手一覧!$I$5:$I$2736,$F695))</f>
        <v>1213</v>
      </c>
    </row>
    <row r="696" customFormat="false" ht="15" hidden="false" customHeight="false" outlineLevel="0" collapsed="false">
      <c r="A696" s="12" t="n">
        <v>693</v>
      </c>
      <c r="B696" s="8" t="s">
        <v>2800</v>
      </c>
      <c r="C696" s="8" t="s">
        <v>2106</v>
      </c>
      <c r="D696" s="11" t="n">
        <v>0.00733969907407407</v>
      </c>
      <c r="E696" s="39" t="n">
        <f aca="false">ROUND((D696-$D$5)*86400,2)</f>
        <v>95.13</v>
      </c>
      <c r="F696" s="12" t="n">
        <v>1799</v>
      </c>
      <c r="G696" s="11" t="str">
        <f aca="false">IF(INDEX(選手一覧!$D$5:$D$2736,$F696)="","",INDEX(選手一覧!$D$5:$D$2736,$F696))</f>
        <v/>
      </c>
      <c r="H696" s="12" t="str">
        <f aca="false">IF(INDEX(選手一覧!$E$5:$E$2736,$F696)="","",INDEX(選手一覧!$E$5:$E$2736,$F696))</f>
        <v/>
      </c>
      <c r="I696" s="11" t="str">
        <f aca="false">IF(INDEX(選手一覧!$H$5:$H$2736,$F696)="","",INDEX(選手一覧!$H$5:$H$2736,$F696))</f>
        <v/>
      </c>
      <c r="J696" s="12" t="str">
        <f aca="false">IF(INDEX(選手一覧!$I$5:$I$2736,$F696)="","",INDEX(選手一覧!$I$5:$I$2736,$F696))</f>
        <v/>
      </c>
    </row>
    <row r="697" customFormat="false" ht="15" hidden="false" customHeight="false" outlineLevel="0" collapsed="false">
      <c r="A697" s="12" t="n">
        <v>694</v>
      </c>
      <c r="B697" s="8" t="s">
        <v>2801</v>
      </c>
      <c r="C697" s="8" t="s">
        <v>2586</v>
      </c>
      <c r="D697" s="11" t="n">
        <v>0.00733981481481482</v>
      </c>
      <c r="E697" s="39" t="n">
        <f aca="false">ROUND((D697-$D$5)*86400,2)</f>
        <v>95.14</v>
      </c>
      <c r="F697" s="12" t="n">
        <v>1800</v>
      </c>
      <c r="G697" s="11" t="str">
        <f aca="false">IF(INDEX(選手一覧!$D$5:$D$2736,$F697)="","",INDEX(選手一覧!$D$5:$D$2736,$F697))</f>
        <v/>
      </c>
      <c r="H697" s="12" t="str">
        <f aca="false">IF(INDEX(選手一覧!$E$5:$E$2736,$F697)="","",INDEX(選手一覧!$E$5:$E$2736,$F697))</f>
        <v/>
      </c>
      <c r="I697" s="11" t="str">
        <f aca="false">IF(INDEX(選手一覧!$H$5:$H$2736,$F697)="","",INDEX(選手一覧!$H$5:$H$2736,$F697))</f>
        <v/>
      </c>
      <c r="J697" s="12" t="str">
        <f aca="false">IF(INDEX(選手一覧!$I$5:$I$2736,$F697)="","",INDEX(選手一覧!$I$5:$I$2736,$F697))</f>
        <v/>
      </c>
    </row>
    <row r="698" customFormat="false" ht="15" hidden="false" customHeight="false" outlineLevel="0" collapsed="false">
      <c r="A698" s="12" t="n">
        <v>695</v>
      </c>
      <c r="B698" s="8" t="s">
        <v>2802</v>
      </c>
      <c r="C698" s="8" t="s">
        <v>2803</v>
      </c>
      <c r="D698" s="11" t="n">
        <v>0.00733981481481482</v>
      </c>
      <c r="E698" s="39" t="n">
        <f aca="false">ROUND((D698-$D$5)*86400,2)</f>
        <v>95.14</v>
      </c>
      <c r="F698" s="12" t="n">
        <v>1801</v>
      </c>
      <c r="G698" s="11" t="str">
        <f aca="false">IF(INDEX(選手一覧!$D$5:$D$2736,$F698)="","",INDEX(選手一覧!$D$5:$D$2736,$F698))</f>
        <v/>
      </c>
      <c r="H698" s="12" t="str">
        <f aca="false">IF(INDEX(選手一覧!$E$5:$E$2736,$F698)="","",INDEX(選手一覧!$E$5:$E$2736,$F698))</f>
        <v/>
      </c>
      <c r="I698" s="11" t="str">
        <f aca="false">IF(INDEX(選手一覧!$H$5:$H$2736,$F698)="","",INDEX(選手一覧!$H$5:$H$2736,$F698))</f>
        <v/>
      </c>
      <c r="J698" s="12" t="str">
        <f aca="false">IF(INDEX(選手一覧!$I$5:$I$2736,$F698)="","",INDEX(選手一覧!$I$5:$I$2736,$F698))</f>
        <v/>
      </c>
    </row>
    <row r="699" customFormat="false" ht="15" hidden="false" customHeight="false" outlineLevel="0" collapsed="false">
      <c r="A699" s="12" t="n">
        <v>696</v>
      </c>
      <c r="B699" s="8" t="s">
        <v>2804</v>
      </c>
      <c r="C699" s="8" t="s">
        <v>2608</v>
      </c>
      <c r="D699" s="11" t="n">
        <v>0.00734085648148148</v>
      </c>
      <c r="E699" s="39" t="n">
        <f aca="false">ROUND((D699-$D$5)*86400,2)</f>
        <v>95.23</v>
      </c>
      <c r="F699" s="12" t="n">
        <v>1802</v>
      </c>
      <c r="G699" s="11" t="str">
        <f aca="false">IF(INDEX(選手一覧!$D$5:$D$2736,$F699)="","",INDEX(選手一覧!$D$5:$D$2736,$F699))</f>
        <v/>
      </c>
      <c r="H699" s="12" t="str">
        <f aca="false">IF(INDEX(選手一覧!$E$5:$E$2736,$F699)="","",INDEX(選手一覧!$E$5:$E$2736,$F699))</f>
        <v/>
      </c>
      <c r="I699" s="11" t="str">
        <f aca="false">IF(INDEX(選手一覧!$H$5:$H$2736,$F699)="","",INDEX(選手一覧!$H$5:$H$2736,$F699))</f>
        <v/>
      </c>
      <c r="J699" s="12" t="str">
        <f aca="false">IF(INDEX(選手一覧!$I$5:$I$2736,$F699)="","",INDEX(選手一覧!$I$5:$I$2736,$F699))</f>
        <v/>
      </c>
    </row>
    <row r="700" customFormat="false" ht="15" hidden="false" customHeight="false" outlineLevel="0" collapsed="false">
      <c r="A700" s="12" t="n">
        <v>697</v>
      </c>
      <c r="B700" s="8" t="s">
        <v>2807</v>
      </c>
      <c r="C700" s="8" t="s">
        <v>2808</v>
      </c>
      <c r="D700" s="11" t="n">
        <v>0.00734131944444444</v>
      </c>
      <c r="E700" s="39" t="n">
        <f aca="false">ROUND((D700-$D$5)*86400,2)</f>
        <v>95.27</v>
      </c>
      <c r="F700" s="12" t="n">
        <v>1804</v>
      </c>
      <c r="G700" s="11" t="str">
        <f aca="false">IF(INDEX(選手一覧!$D$5:$D$2736,$F700)="","",INDEX(選手一覧!$D$5:$D$2736,$F700))</f>
        <v/>
      </c>
      <c r="H700" s="12" t="str">
        <f aca="false">IF(INDEX(選手一覧!$E$5:$E$2736,$F700)="","",INDEX(選手一覧!$E$5:$E$2736,$F700))</f>
        <v/>
      </c>
      <c r="I700" s="11" t="str">
        <f aca="false">IF(INDEX(選手一覧!$H$5:$H$2736,$F700)="","",INDEX(選手一覧!$H$5:$H$2736,$F700))</f>
        <v/>
      </c>
      <c r="J700" s="12" t="str">
        <f aca="false">IF(INDEX(選手一覧!$I$5:$I$2736,$F700)="","",INDEX(選手一覧!$I$5:$I$2736,$F700))</f>
        <v/>
      </c>
    </row>
    <row r="701" customFormat="false" ht="15" hidden="false" customHeight="false" outlineLevel="0" collapsed="false">
      <c r="A701" s="12" t="n">
        <v>698</v>
      </c>
      <c r="B701" s="8" t="s">
        <v>2798</v>
      </c>
      <c r="C701" s="8" t="s">
        <v>2799</v>
      </c>
      <c r="D701" s="11" t="n">
        <v>0.00734178240740741</v>
      </c>
      <c r="E701" s="39" t="n">
        <f aca="false">ROUND((D701-$D$5)*86400,2)</f>
        <v>95.31</v>
      </c>
      <c r="F701" s="12" t="n">
        <v>1798</v>
      </c>
      <c r="G701" s="11" t="str">
        <f aca="false">IF(INDEX(選手一覧!$D$5:$D$2736,$F701)="","",INDEX(選手一覧!$D$5:$D$2736,$F701))</f>
        <v/>
      </c>
      <c r="H701" s="12" t="str">
        <f aca="false">IF(INDEX(選手一覧!$E$5:$E$2736,$F701)="","",INDEX(選手一覧!$E$5:$E$2736,$F701))</f>
        <v/>
      </c>
      <c r="I701" s="11" t="n">
        <f aca="false">IF(INDEX(選手一覧!$H$5:$H$2736,$F701)="","",INDEX(選手一覧!$H$5:$H$2736,$F701))</f>
        <v>0.00286956018518519</v>
      </c>
      <c r="J701" s="12" t="n">
        <f aca="false">IF(INDEX(選手一覧!$I$5:$I$2736,$F701)="","",INDEX(選手一覧!$I$5:$I$2736,$F701))</f>
        <v>693</v>
      </c>
    </row>
    <row r="702" customFormat="false" ht="15" hidden="false" customHeight="false" outlineLevel="0" collapsed="false">
      <c r="A702" s="12" t="n">
        <v>699</v>
      </c>
      <c r="B702" s="8" t="s">
        <v>1552</v>
      </c>
      <c r="C702" s="8" t="s">
        <v>1553</v>
      </c>
      <c r="D702" s="11" t="n">
        <v>0.00734189814814815</v>
      </c>
      <c r="E702" s="39" t="n">
        <f aca="false">ROUND((D702-$D$5)*86400,2)</f>
        <v>95.32</v>
      </c>
      <c r="F702" s="12" t="n">
        <v>953</v>
      </c>
      <c r="G702" s="11" t="n">
        <f aca="false">IF(INDEX(選手一覧!$D$5:$D$2736,$F702)="","",INDEX(選手一覧!$D$5:$D$2736,$F702))</f>
        <v>0.0109225694444444</v>
      </c>
      <c r="H702" s="12" t="n">
        <f aca="false">IF(INDEX(選手一覧!$E$5:$E$2736,$F702)="","",INDEX(選手一覧!$E$5:$E$2736,$F702))</f>
        <v>954</v>
      </c>
      <c r="I702" s="11" t="n">
        <f aca="false">IF(INDEX(選手一覧!$H$5:$H$2736,$F702)="","",INDEX(選手一覧!$H$5:$H$2736,$F702))</f>
        <v>0.00295</v>
      </c>
      <c r="J702" s="12" t="n">
        <f aca="false">IF(INDEX(選手一覧!$I$5:$I$2736,$F702)="","",INDEX(選手一覧!$I$5:$I$2736,$F702))</f>
        <v>1237</v>
      </c>
    </row>
    <row r="703" customFormat="false" ht="15" hidden="false" customHeight="false" outlineLevel="0" collapsed="false">
      <c r="A703" s="12" t="n">
        <v>700</v>
      </c>
      <c r="B703" s="8" t="s">
        <v>1720</v>
      </c>
      <c r="C703" s="8" t="s">
        <v>1721</v>
      </c>
      <c r="D703" s="11" t="n">
        <v>0.00734363425925926</v>
      </c>
      <c r="E703" s="39" t="n">
        <f aca="false">ROUND((D703-$D$5)*86400,2)</f>
        <v>95.47</v>
      </c>
      <c r="F703" s="12" t="n">
        <v>1068</v>
      </c>
      <c r="G703" s="11" t="n">
        <f aca="false">IF(INDEX(選手一覧!$D$5:$D$2736,$F703)="","",INDEX(選手一覧!$D$5:$D$2736,$F703))</f>
        <v>0.0109855324074074</v>
      </c>
      <c r="H703" s="12" t="n">
        <f aca="false">IF(INDEX(選手一覧!$E$5:$E$2736,$F703)="","",INDEX(選手一覧!$E$5:$E$2736,$F703))</f>
        <v>1069</v>
      </c>
      <c r="I703" s="11" t="n">
        <f aca="false">IF(INDEX(選手一覧!$H$5:$H$2736,$F703)="","",INDEX(選手一覧!$H$5:$H$2736,$F703))</f>
        <v>0.0028556712962963</v>
      </c>
      <c r="J703" s="12" t="n">
        <f aca="false">IF(INDEX(選手一覧!$I$5:$I$2736,$F703)="","",INDEX(選手一覧!$I$5:$I$2736,$F703))</f>
        <v>601</v>
      </c>
    </row>
    <row r="704" customFormat="false" ht="15" hidden="false" customHeight="false" outlineLevel="0" collapsed="false">
      <c r="A704" s="12" t="n">
        <v>701</v>
      </c>
      <c r="B704" s="8" t="s">
        <v>2813</v>
      </c>
      <c r="C704" s="8" t="s">
        <v>2814</v>
      </c>
      <c r="D704" s="11" t="n">
        <v>0.00734363425925926</v>
      </c>
      <c r="E704" s="39" t="n">
        <f aca="false">ROUND((D704-$D$5)*86400,2)</f>
        <v>95.47</v>
      </c>
      <c r="F704" s="12" t="n">
        <v>1807</v>
      </c>
      <c r="G704" s="11" t="str">
        <f aca="false">IF(INDEX(選手一覧!$D$5:$D$2736,$F704)="","",INDEX(選手一覧!$D$5:$D$2736,$F704))</f>
        <v/>
      </c>
      <c r="H704" s="12" t="str">
        <f aca="false">IF(INDEX(選手一覧!$E$5:$E$2736,$F704)="","",INDEX(選手一覧!$E$5:$E$2736,$F704))</f>
        <v/>
      </c>
      <c r="I704" s="11" t="str">
        <f aca="false">IF(INDEX(選手一覧!$H$5:$H$2736,$F704)="","",INDEX(選手一覧!$H$5:$H$2736,$F704))</f>
        <v/>
      </c>
      <c r="J704" s="12" t="str">
        <f aca="false">IF(INDEX(選手一覧!$I$5:$I$2736,$F704)="","",INDEX(選手一覧!$I$5:$I$2736,$F704))</f>
        <v/>
      </c>
    </row>
    <row r="705" customFormat="false" ht="15" hidden="false" customHeight="false" outlineLevel="0" collapsed="false">
      <c r="A705" s="12" t="n">
        <v>702</v>
      </c>
      <c r="B705" s="8" t="s">
        <v>2815</v>
      </c>
      <c r="C705" s="8" t="s">
        <v>570</v>
      </c>
      <c r="D705" s="11" t="n">
        <v>0.00734363425925926</v>
      </c>
      <c r="E705" s="39" t="n">
        <f aca="false">ROUND((D705-$D$5)*86400,2)</f>
        <v>95.47</v>
      </c>
      <c r="F705" s="12" t="n">
        <v>1808</v>
      </c>
      <c r="G705" s="11" t="str">
        <f aca="false">IF(INDEX(選手一覧!$D$5:$D$2736,$F705)="","",INDEX(選手一覧!$D$5:$D$2736,$F705))</f>
        <v/>
      </c>
      <c r="H705" s="12" t="str">
        <f aca="false">IF(INDEX(選手一覧!$E$5:$E$2736,$F705)="","",INDEX(選手一覧!$E$5:$E$2736,$F705))</f>
        <v/>
      </c>
      <c r="I705" s="11" t="str">
        <f aca="false">IF(INDEX(選手一覧!$H$5:$H$2736,$F705)="","",INDEX(選手一覧!$H$5:$H$2736,$F705))</f>
        <v/>
      </c>
      <c r="J705" s="12" t="str">
        <f aca="false">IF(INDEX(選手一覧!$I$5:$I$2736,$F705)="","",INDEX(選手一覧!$I$5:$I$2736,$F705))</f>
        <v/>
      </c>
    </row>
    <row r="706" customFormat="false" ht="15" hidden="false" customHeight="false" outlineLevel="0" collapsed="false">
      <c r="A706" s="12" t="n">
        <v>703</v>
      </c>
      <c r="B706" s="8" t="s">
        <v>1922</v>
      </c>
      <c r="C706" s="8" t="s">
        <v>1923</v>
      </c>
      <c r="D706" s="11" t="n">
        <v>0.00734479166666667</v>
      </c>
      <c r="E706" s="39" t="n">
        <f aca="false">ROUND((D706-$D$5)*86400,2)</f>
        <v>95.57</v>
      </c>
      <c r="F706" s="12" t="n">
        <v>1206</v>
      </c>
      <c r="G706" s="11" t="n">
        <f aca="false">IF(INDEX(選手一覧!$D$5:$D$2736,$F706)="","",INDEX(選手一覧!$D$5:$D$2736,$F706))</f>
        <v>0.0110538194444444</v>
      </c>
      <c r="H706" s="12" t="n">
        <f aca="false">IF(INDEX(選手一覧!$E$5:$E$2736,$F706)="","",INDEX(選手一覧!$E$5:$E$2736,$F706))</f>
        <v>1207</v>
      </c>
      <c r="I706" s="11" t="str">
        <f aca="false">IF(INDEX(選手一覧!$H$5:$H$2736,$F706)="","",INDEX(選手一覧!$H$5:$H$2736,$F706))</f>
        <v/>
      </c>
      <c r="J706" s="12" t="str">
        <f aca="false">IF(INDEX(選手一覧!$I$5:$I$2736,$F706)="","",INDEX(選手一覧!$I$5:$I$2736,$F706))</f>
        <v/>
      </c>
    </row>
    <row r="707" customFormat="false" ht="15" hidden="false" customHeight="false" outlineLevel="0" collapsed="false">
      <c r="A707" s="12" t="n">
        <v>704</v>
      </c>
      <c r="B707" s="8" t="s">
        <v>2816</v>
      </c>
      <c r="C707" s="8" t="s">
        <v>2516</v>
      </c>
      <c r="D707" s="11" t="n">
        <v>0.00734502314814815</v>
      </c>
      <c r="E707" s="39" t="n">
        <f aca="false">ROUND((D707-$D$5)*86400,2)</f>
        <v>95.59</v>
      </c>
      <c r="F707" s="12" t="n">
        <v>1809</v>
      </c>
      <c r="G707" s="11" t="str">
        <f aca="false">IF(INDEX(選手一覧!$D$5:$D$2736,$F707)="","",INDEX(選手一覧!$D$5:$D$2736,$F707))</f>
        <v/>
      </c>
      <c r="H707" s="12" t="str">
        <f aca="false">IF(INDEX(選手一覧!$E$5:$E$2736,$F707)="","",INDEX(選手一覧!$E$5:$E$2736,$F707))</f>
        <v/>
      </c>
      <c r="I707" s="11" t="str">
        <f aca="false">IF(INDEX(選手一覧!$H$5:$H$2736,$F707)="","",INDEX(選手一覧!$H$5:$H$2736,$F707))</f>
        <v/>
      </c>
      <c r="J707" s="12" t="str">
        <f aca="false">IF(INDEX(選手一覧!$I$5:$I$2736,$F707)="","",INDEX(選手一覧!$I$5:$I$2736,$F707))</f>
        <v/>
      </c>
    </row>
    <row r="708" customFormat="false" ht="15" hidden="false" customHeight="false" outlineLevel="0" collapsed="false">
      <c r="A708" s="12" t="n">
        <v>705</v>
      </c>
      <c r="B708" s="8" t="s">
        <v>2817</v>
      </c>
      <c r="C708" s="8" t="s">
        <v>2818</v>
      </c>
      <c r="D708" s="11" t="n">
        <v>0.00734513888888889</v>
      </c>
      <c r="E708" s="39" t="n">
        <f aca="false">ROUND((D708-$D$5)*86400,2)</f>
        <v>95.6</v>
      </c>
      <c r="F708" s="12" t="n">
        <v>1810</v>
      </c>
      <c r="G708" s="11" t="str">
        <f aca="false">IF(INDEX(選手一覧!$D$5:$D$2736,$F708)="","",INDEX(選手一覧!$D$5:$D$2736,$F708))</f>
        <v/>
      </c>
      <c r="H708" s="12" t="str">
        <f aca="false">IF(INDEX(選手一覧!$E$5:$E$2736,$F708)="","",INDEX(選手一覧!$E$5:$E$2736,$F708))</f>
        <v/>
      </c>
      <c r="I708" s="11" t="str">
        <f aca="false">IF(INDEX(選手一覧!$H$5:$H$2736,$F708)="","",INDEX(選手一覧!$H$5:$H$2736,$F708))</f>
        <v/>
      </c>
      <c r="J708" s="12" t="str">
        <f aca="false">IF(INDEX(選手一覧!$I$5:$I$2736,$F708)="","",INDEX(選手一覧!$I$5:$I$2736,$F708))</f>
        <v/>
      </c>
    </row>
    <row r="709" customFormat="false" ht="15" hidden="false" customHeight="false" outlineLevel="0" collapsed="false">
      <c r="A709" s="12" t="n">
        <v>706</v>
      </c>
      <c r="B709" s="8" t="s">
        <v>1913</v>
      </c>
      <c r="C709" s="8" t="s">
        <v>1756</v>
      </c>
      <c r="D709" s="11" t="n">
        <v>0.00734594907407408</v>
      </c>
      <c r="E709" s="39" t="n">
        <f aca="false">ROUND((D709-$D$5)*86400,2)</f>
        <v>95.67</v>
      </c>
      <c r="F709" s="12" t="n">
        <v>1199</v>
      </c>
      <c r="G709" s="11" t="n">
        <f aca="false">IF(INDEX(選手一覧!$D$5:$D$2736,$F709)="","",INDEX(選手一覧!$D$5:$D$2736,$F709))</f>
        <v>0.0110517361111111</v>
      </c>
      <c r="H709" s="12" t="n">
        <f aca="false">IF(INDEX(選手一覧!$E$5:$E$2736,$F709)="","",INDEX(選手一覧!$E$5:$E$2736,$F709))</f>
        <v>1200</v>
      </c>
      <c r="I709" s="11" t="n">
        <f aca="false">IF(INDEX(選手一覧!$H$5:$H$2736,$F709)="","",INDEX(選手一覧!$H$5:$H$2736,$F709))</f>
        <v>0.00288194444444444</v>
      </c>
      <c r="J709" s="12" t="n">
        <f aca="false">IF(INDEX(選手一覧!$I$5:$I$2736,$F709)="","",INDEX(選手一覧!$I$5:$I$2736,$F709))</f>
        <v>790</v>
      </c>
    </row>
    <row r="710" customFormat="false" ht="15" hidden="false" customHeight="false" outlineLevel="0" collapsed="false">
      <c r="A710" s="12" t="n">
        <v>707</v>
      </c>
      <c r="B710" s="8" t="s">
        <v>2820</v>
      </c>
      <c r="C710" s="8" t="s">
        <v>910</v>
      </c>
      <c r="D710" s="11" t="n">
        <v>0.00734606481481482</v>
      </c>
      <c r="E710" s="39" t="n">
        <f aca="false">ROUND((D710-$D$5)*86400,2)</f>
        <v>95.68</v>
      </c>
      <c r="F710" s="12" t="n">
        <v>1812</v>
      </c>
      <c r="G710" s="11" t="str">
        <f aca="false">IF(INDEX(選手一覧!$D$5:$D$2736,$F710)="","",INDEX(選手一覧!$D$5:$D$2736,$F710))</f>
        <v/>
      </c>
      <c r="H710" s="12" t="str">
        <f aca="false">IF(INDEX(選手一覧!$E$5:$E$2736,$F710)="","",INDEX(選手一覧!$E$5:$E$2736,$F710))</f>
        <v/>
      </c>
      <c r="I710" s="11" t="str">
        <f aca="false">IF(INDEX(選手一覧!$H$5:$H$2736,$F710)="","",INDEX(選手一覧!$H$5:$H$2736,$F710))</f>
        <v/>
      </c>
      <c r="J710" s="12" t="str">
        <f aca="false">IF(INDEX(選手一覧!$I$5:$I$2736,$F710)="","",INDEX(選手一覧!$I$5:$I$2736,$F710))</f>
        <v/>
      </c>
    </row>
    <row r="711" customFormat="false" ht="15" hidden="false" customHeight="false" outlineLevel="0" collapsed="false">
      <c r="A711" s="12" t="n">
        <v>708</v>
      </c>
      <c r="B711" s="8" t="s">
        <v>2822</v>
      </c>
      <c r="C711" s="8" t="s">
        <v>2373</v>
      </c>
      <c r="D711" s="11" t="n">
        <v>0.00734837962962963</v>
      </c>
      <c r="E711" s="39" t="n">
        <f aca="false">ROUND((D711-$D$5)*86400,2)</f>
        <v>95.88</v>
      </c>
      <c r="F711" s="12" t="n">
        <v>1814</v>
      </c>
      <c r="G711" s="11" t="str">
        <f aca="false">IF(INDEX(選手一覧!$D$5:$D$2736,$F711)="","",INDEX(選手一覧!$D$5:$D$2736,$F711))</f>
        <v/>
      </c>
      <c r="H711" s="12" t="str">
        <f aca="false">IF(INDEX(選手一覧!$E$5:$E$2736,$F711)="","",INDEX(選手一覧!$E$5:$E$2736,$F711))</f>
        <v/>
      </c>
      <c r="I711" s="11" t="str">
        <f aca="false">IF(INDEX(選手一覧!$H$5:$H$2736,$F711)="","",INDEX(選手一覧!$H$5:$H$2736,$F711))</f>
        <v/>
      </c>
      <c r="J711" s="12" t="str">
        <f aca="false">IF(INDEX(選手一覧!$I$5:$I$2736,$F711)="","",INDEX(選手一覧!$I$5:$I$2736,$F711))</f>
        <v/>
      </c>
    </row>
    <row r="712" customFormat="false" ht="15" hidden="false" customHeight="false" outlineLevel="0" collapsed="false">
      <c r="A712" s="12" t="n">
        <v>709</v>
      </c>
      <c r="B712" s="8" t="s">
        <v>2824</v>
      </c>
      <c r="C712" s="8" t="s">
        <v>1484</v>
      </c>
      <c r="D712" s="11" t="n">
        <v>0.00734884259259259</v>
      </c>
      <c r="E712" s="39" t="n">
        <f aca="false">ROUND((D712-$D$5)*86400,2)</f>
        <v>95.92</v>
      </c>
      <c r="F712" s="12" t="n">
        <v>1816</v>
      </c>
      <c r="G712" s="11" t="str">
        <f aca="false">IF(INDEX(選手一覧!$D$5:$D$2736,$F712)="","",INDEX(選手一覧!$D$5:$D$2736,$F712))</f>
        <v/>
      </c>
      <c r="H712" s="12" t="str">
        <f aca="false">IF(INDEX(選手一覧!$E$5:$E$2736,$F712)="","",INDEX(選手一覧!$E$5:$E$2736,$F712))</f>
        <v/>
      </c>
      <c r="I712" s="11" t="str">
        <f aca="false">IF(INDEX(選手一覧!$H$5:$H$2736,$F712)="","",INDEX(選手一覧!$H$5:$H$2736,$F712))</f>
        <v/>
      </c>
      <c r="J712" s="12" t="str">
        <f aca="false">IF(INDEX(選手一覧!$I$5:$I$2736,$F712)="","",INDEX(選手一覧!$I$5:$I$2736,$F712))</f>
        <v/>
      </c>
    </row>
    <row r="713" customFormat="false" ht="15" hidden="false" customHeight="false" outlineLevel="0" collapsed="false">
      <c r="A713" s="12" t="n">
        <v>710</v>
      </c>
      <c r="B713" s="8" t="s">
        <v>2825</v>
      </c>
      <c r="C713" s="8" t="s">
        <v>2826</v>
      </c>
      <c r="D713" s="11" t="n">
        <v>0.00734918981481482</v>
      </c>
      <c r="E713" s="39" t="n">
        <f aca="false">ROUND((D713-$D$5)*86400,2)</f>
        <v>95.95</v>
      </c>
      <c r="F713" s="12" t="n">
        <v>1817</v>
      </c>
      <c r="G713" s="11" t="str">
        <f aca="false">IF(INDEX(選手一覧!$D$5:$D$2736,$F713)="","",INDEX(選手一覧!$D$5:$D$2736,$F713))</f>
        <v/>
      </c>
      <c r="H713" s="12" t="str">
        <f aca="false">IF(INDEX(選手一覧!$E$5:$E$2736,$F713)="","",INDEX(選手一覧!$E$5:$E$2736,$F713))</f>
        <v/>
      </c>
      <c r="I713" s="11" t="str">
        <f aca="false">IF(INDEX(選手一覧!$H$5:$H$2736,$F713)="","",INDEX(選手一覧!$H$5:$H$2736,$F713))</f>
        <v/>
      </c>
      <c r="J713" s="12" t="str">
        <f aca="false">IF(INDEX(選手一覧!$I$5:$I$2736,$F713)="","",INDEX(選手一覧!$I$5:$I$2736,$F713))</f>
        <v/>
      </c>
    </row>
    <row r="714" customFormat="false" ht="15" hidden="false" customHeight="false" outlineLevel="0" collapsed="false">
      <c r="A714" s="12" t="n">
        <v>711</v>
      </c>
      <c r="B714" s="8" t="s">
        <v>2829</v>
      </c>
      <c r="C714" s="8" t="s">
        <v>2830</v>
      </c>
      <c r="D714" s="11" t="n">
        <v>0.00735208333333333</v>
      </c>
      <c r="E714" s="39" t="n">
        <f aca="false">ROUND((D714-$D$5)*86400,2)</f>
        <v>96.2</v>
      </c>
      <c r="F714" s="12" t="n">
        <v>1819</v>
      </c>
      <c r="G714" s="11" t="str">
        <f aca="false">IF(INDEX(選手一覧!$D$5:$D$2736,$F714)="","",INDEX(選手一覧!$D$5:$D$2736,$F714))</f>
        <v/>
      </c>
      <c r="H714" s="12" t="str">
        <f aca="false">IF(INDEX(選手一覧!$E$5:$E$2736,$F714)="","",INDEX(選手一覧!$E$5:$E$2736,$F714))</f>
        <v/>
      </c>
      <c r="I714" s="11" t="str">
        <f aca="false">IF(INDEX(選手一覧!$H$5:$H$2736,$F714)="","",INDEX(選手一覧!$H$5:$H$2736,$F714))</f>
        <v/>
      </c>
      <c r="J714" s="12" t="str">
        <f aca="false">IF(INDEX(選手一覧!$I$5:$I$2736,$F714)="","",INDEX(選手一覧!$I$5:$I$2736,$F714))</f>
        <v/>
      </c>
    </row>
    <row r="715" customFormat="false" ht="15" hidden="false" customHeight="false" outlineLevel="0" collapsed="false">
      <c r="A715" s="12" t="n">
        <v>712</v>
      </c>
      <c r="B715" s="8" t="s">
        <v>1856</v>
      </c>
      <c r="C715" s="8" t="s">
        <v>1213</v>
      </c>
      <c r="D715" s="11" t="n">
        <v>0.00735243055555556</v>
      </c>
      <c r="E715" s="39" t="n">
        <f aca="false">ROUND((D715-$D$5)*86400,2)</f>
        <v>96.23</v>
      </c>
      <c r="F715" s="12" t="n">
        <v>1820</v>
      </c>
      <c r="G715" s="11" t="str">
        <f aca="false">IF(INDEX(選手一覧!$D$5:$D$2736,$F715)="","",INDEX(選手一覧!$D$5:$D$2736,$F715))</f>
        <v/>
      </c>
      <c r="H715" s="12" t="str">
        <f aca="false">IF(INDEX(選手一覧!$E$5:$E$2736,$F715)="","",INDEX(選手一覧!$E$5:$E$2736,$F715))</f>
        <v/>
      </c>
      <c r="I715" s="11" t="str">
        <f aca="false">IF(INDEX(選手一覧!$H$5:$H$2736,$F715)="","",INDEX(選手一覧!$H$5:$H$2736,$F715))</f>
        <v/>
      </c>
      <c r="J715" s="12" t="str">
        <f aca="false">IF(INDEX(選手一覧!$I$5:$I$2736,$F715)="","",INDEX(選手一覧!$I$5:$I$2736,$F715))</f>
        <v/>
      </c>
    </row>
    <row r="716" customFormat="false" ht="15" hidden="false" customHeight="false" outlineLevel="0" collapsed="false">
      <c r="A716" s="12" t="n">
        <v>713</v>
      </c>
      <c r="B716" s="8" t="s">
        <v>2832</v>
      </c>
      <c r="C716" s="8" t="s">
        <v>1795</v>
      </c>
      <c r="D716" s="11" t="n">
        <v>0.00735289351851852</v>
      </c>
      <c r="E716" s="39" t="n">
        <f aca="false">ROUND((D716-$D$5)*86400,2)</f>
        <v>96.27</v>
      </c>
      <c r="F716" s="12" t="n">
        <v>1821</v>
      </c>
      <c r="G716" s="11" t="str">
        <f aca="false">IF(INDEX(選手一覧!$D$5:$D$2736,$F716)="","",INDEX(選手一覧!$D$5:$D$2736,$F716))</f>
        <v/>
      </c>
      <c r="H716" s="12" t="str">
        <f aca="false">IF(INDEX(選手一覧!$E$5:$E$2736,$F716)="","",INDEX(選手一覧!$E$5:$E$2736,$F716))</f>
        <v/>
      </c>
      <c r="I716" s="11" t="n">
        <f aca="false">IF(INDEX(選手一覧!$H$5:$H$2736,$F716)="","",INDEX(選手一覧!$H$5:$H$2736,$F716))</f>
        <v>0.00287974537037037</v>
      </c>
      <c r="J716" s="12" t="n">
        <f aca="false">IF(INDEX(選手一覧!$I$5:$I$2736,$F716)="","",INDEX(選手一覧!$I$5:$I$2736,$F716))</f>
        <v>768</v>
      </c>
    </row>
    <row r="717" customFormat="false" ht="15" hidden="false" customHeight="false" outlineLevel="0" collapsed="false">
      <c r="A717" s="12" t="n">
        <v>714</v>
      </c>
      <c r="B717" s="8" t="s">
        <v>1423</v>
      </c>
      <c r="C717" s="8" t="s">
        <v>1424</v>
      </c>
      <c r="D717" s="11" t="n">
        <v>0.00735300925925926</v>
      </c>
      <c r="E717" s="39" t="n">
        <f aca="false">ROUND((D717-$D$5)*86400,2)</f>
        <v>96.28</v>
      </c>
      <c r="F717" s="12" t="n">
        <v>866</v>
      </c>
      <c r="G717" s="11" t="n">
        <f aca="false">IF(INDEX(選手一覧!$D$5:$D$2736,$F717)="","",INDEX(選手一覧!$D$5:$D$2736,$F717))</f>
        <v>0.0108677083333333</v>
      </c>
      <c r="H717" s="12" t="n">
        <f aca="false">IF(INDEX(選手一覧!$E$5:$E$2736,$F717)="","",INDEX(選手一覧!$E$5:$E$2736,$F717))</f>
        <v>867</v>
      </c>
      <c r="I717" s="11" t="n">
        <f aca="false">IF(INDEX(選手一覧!$H$5:$H$2736,$F717)="","",INDEX(選手一覧!$H$5:$H$2736,$F717))</f>
        <v>0.00290034722222222</v>
      </c>
      <c r="J717" s="12" t="n">
        <f aca="false">IF(INDEX(選手一覧!$I$5:$I$2736,$F717)="","",INDEX(選手一覧!$I$5:$I$2736,$F717))</f>
        <v>950</v>
      </c>
    </row>
    <row r="718" customFormat="false" ht="15" hidden="false" customHeight="false" outlineLevel="0" collapsed="false">
      <c r="A718" s="12" t="n">
        <v>715</v>
      </c>
      <c r="B718" s="8" t="s">
        <v>1599</v>
      </c>
      <c r="C718" s="8" t="s">
        <v>197</v>
      </c>
      <c r="D718" s="11" t="n">
        <v>0.00735509259259259</v>
      </c>
      <c r="E718" s="39" t="n">
        <f aca="false">ROUND((D718-$D$5)*86400,2)</f>
        <v>96.46</v>
      </c>
      <c r="F718" s="12" t="n">
        <v>983</v>
      </c>
      <c r="G718" s="11" t="n">
        <f aca="false">IF(INDEX(選手一覧!$D$5:$D$2736,$F718)="","",INDEX(選手一覧!$D$5:$D$2736,$F718))</f>
        <v>0.0109420138888889</v>
      </c>
      <c r="H718" s="12" t="n">
        <f aca="false">IF(INDEX(選手一覧!$E$5:$E$2736,$F718)="","",INDEX(選手一覧!$E$5:$E$2736,$F718))</f>
        <v>984</v>
      </c>
      <c r="I718" s="11" t="str">
        <f aca="false">IF(INDEX(選手一覧!$H$5:$H$2736,$F718)="","",INDEX(選手一覧!$H$5:$H$2736,$F718))</f>
        <v/>
      </c>
      <c r="J718" s="12" t="str">
        <f aca="false">IF(INDEX(選手一覧!$I$5:$I$2736,$F718)="","",INDEX(選手一覧!$I$5:$I$2736,$F718))</f>
        <v/>
      </c>
    </row>
    <row r="719" customFormat="false" ht="15" hidden="false" customHeight="false" outlineLevel="0" collapsed="false">
      <c r="A719" s="12" t="n">
        <v>716</v>
      </c>
      <c r="B719" s="8" t="s">
        <v>1998</v>
      </c>
      <c r="C719" s="8" t="s">
        <v>508</v>
      </c>
      <c r="D719" s="11" t="n">
        <v>0.0073556712962963</v>
      </c>
      <c r="E719" s="39" t="n">
        <f aca="false">ROUND((D719-$D$5)*86400,2)</f>
        <v>96.51</v>
      </c>
      <c r="F719" s="12" t="n">
        <v>1261</v>
      </c>
      <c r="G719" s="11" t="n">
        <f aca="false">IF(INDEX(選手一覧!$D$5:$D$2736,$F719)="","",INDEX(選手一覧!$D$5:$D$2736,$F719))</f>
        <v>0.0110917824074074</v>
      </c>
      <c r="H719" s="12" t="n">
        <f aca="false">IF(INDEX(選手一覧!$E$5:$E$2736,$F719)="","",INDEX(選手一覧!$E$5:$E$2736,$F719))</f>
        <v>1262</v>
      </c>
      <c r="I719" s="11" t="str">
        <f aca="false">IF(INDEX(選手一覧!$H$5:$H$2736,$F719)="","",INDEX(選手一覧!$H$5:$H$2736,$F719))</f>
        <v/>
      </c>
      <c r="J719" s="12" t="str">
        <f aca="false">IF(INDEX(選手一覧!$I$5:$I$2736,$F719)="","",INDEX(選手一覧!$I$5:$I$2736,$F719))</f>
        <v/>
      </c>
    </row>
    <row r="720" customFormat="false" ht="15" hidden="false" customHeight="false" outlineLevel="0" collapsed="false">
      <c r="A720" s="12" t="n">
        <v>717</v>
      </c>
      <c r="B720" s="8" t="s">
        <v>2835</v>
      </c>
      <c r="C720" s="8" t="s">
        <v>2836</v>
      </c>
      <c r="D720" s="11" t="n">
        <v>0.00735601851851852</v>
      </c>
      <c r="E720" s="39" t="n">
        <f aca="false">ROUND((D720-$D$5)*86400,2)</f>
        <v>96.54</v>
      </c>
      <c r="F720" s="12" t="n">
        <v>1823</v>
      </c>
      <c r="G720" s="11" t="str">
        <f aca="false">IF(INDEX(選手一覧!$D$5:$D$2736,$F720)="","",INDEX(選手一覧!$D$5:$D$2736,$F720))</f>
        <v/>
      </c>
      <c r="H720" s="12" t="str">
        <f aca="false">IF(INDEX(選手一覧!$E$5:$E$2736,$F720)="","",INDEX(選手一覧!$E$5:$E$2736,$F720))</f>
        <v/>
      </c>
      <c r="I720" s="11" t="str">
        <f aca="false">IF(INDEX(選手一覧!$H$5:$H$2736,$F720)="","",INDEX(選手一覧!$H$5:$H$2736,$F720))</f>
        <v/>
      </c>
      <c r="J720" s="12" t="str">
        <f aca="false">IF(INDEX(選手一覧!$I$5:$I$2736,$F720)="","",INDEX(選手一覧!$I$5:$I$2736,$F720))</f>
        <v/>
      </c>
    </row>
    <row r="721" customFormat="false" ht="15" hidden="false" customHeight="false" outlineLevel="0" collapsed="false">
      <c r="A721" s="12" t="n">
        <v>718</v>
      </c>
      <c r="B721" s="8" t="s">
        <v>2837</v>
      </c>
      <c r="C721" s="8" t="s">
        <v>2426</v>
      </c>
      <c r="D721" s="11" t="n">
        <v>0.00736041666666667</v>
      </c>
      <c r="E721" s="39" t="n">
        <f aca="false">ROUND((D721-$D$5)*86400,2)</f>
        <v>96.92</v>
      </c>
      <c r="F721" s="12" t="n">
        <v>1824</v>
      </c>
      <c r="G721" s="11" t="str">
        <f aca="false">IF(INDEX(選手一覧!$D$5:$D$2736,$F721)="","",INDEX(選手一覧!$D$5:$D$2736,$F721))</f>
        <v/>
      </c>
      <c r="H721" s="12" t="str">
        <f aca="false">IF(INDEX(選手一覧!$E$5:$E$2736,$F721)="","",INDEX(選手一覧!$E$5:$E$2736,$F721))</f>
        <v/>
      </c>
      <c r="I721" s="11" t="str">
        <f aca="false">IF(INDEX(選手一覧!$H$5:$H$2736,$F721)="","",INDEX(選手一覧!$H$5:$H$2736,$F721))</f>
        <v/>
      </c>
      <c r="J721" s="12" t="str">
        <f aca="false">IF(INDEX(選手一覧!$I$5:$I$2736,$F721)="","",INDEX(選手一覧!$I$5:$I$2736,$F721))</f>
        <v/>
      </c>
    </row>
    <row r="722" customFormat="false" ht="15" hidden="false" customHeight="false" outlineLevel="0" collapsed="false">
      <c r="A722" s="12" t="n">
        <v>719</v>
      </c>
      <c r="B722" s="8" t="s">
        <v>2838</v>
      </c>
      <c r="C722" s="8" t="s">
        <v>2839</v>
      </c>
      <c r="D722" s="11" t="n">
        <v>0.00736041666666667</v>
      </c>
      <c r="E722" s="39" t="n">
        <f aca="false">ROUND((D722-$D$5)*86400,2)</f>
        <v>96.92</v>
      </c>
      <c r="F722" s="12" t="n">
        <v>1825</v>
      </c>
      <c r="G722" s="11" t="str">
        <f aca="false">IF(INDEX(選手一覧!$D$5:$D$2736,$F722)="","",INDEX(選手一覧!$D$5:$D$2736,$F722))</f>
        <v/>
      </c>
      <c r="H722" s="12" t="str">
        <f aca="false">IF(INDEX(選手一覧!$E$5:$E$2736,$F722)="","",INDEX(選手一覧!$E$5:$E$2736,$F722))</f>
        <v/>
      </c>
      <c r="I722" s="11" t="str">
        <f aca="false">IF(INDEX(選手一覧!$H$5:$H$2736,$F722)="","",INDEX(選手一覧!$H$5:$H$2736,$F722))</f>
        <v/>
      </c>
      <c r="J722" s="12" t="str">
        <f aca="false">IF(INDEX(選手一覧!$I$5:$I$2736,$F722)="","",INDEX(選手一覧!$I$5:$I$2736,$F722))</f>
        <v/>
      </c>
    </row>
    <row r="723" customFormat="false" ht="15" hidden="false" customHeight="false" outlineLevel="0" collapsed="false">
      <c r="A723" s="12" t="n">
        <v>720</v>
      </c>
      <c r="B723" s="8" t="s">
        <v>2840</v>
      </c>
      <c r="C723" s="8" t="s">
        <v>408</v>
      </c>
      <c r="D723" s="11" t="n">
        <v>0.00736053240740741</v>
      </c>
      <c r="E723" s="39" t="n">
        <f aca="false">ROUND((D723-$D$5)*86400,2)</f>
        <v>96.93</v>
      </c>
      <c r="F723" s="12" t="n">
        <v>1826</v>
      </c>
      <c r="G723" s="11" t="str">
        <f aca="false">IF(INDEX(選手一覧!$D$5:$D$2736,$F723)="","",INDEX(選手一覧!$D$5:$D$2736,$F723))</f>
        <v/>
      </c>
      <c r="H723" s="12" t="str">
        <f aca="false">IF(INDEX(選手一覧!$E$5:$E$2736,$F723)="","",INDEX(選手一覧!$E$5:$E$2736,$F723))</f>
        <v/>
      </c>
      <c r="I723" s="11" t="str">
        <f aca="false">IF(INDEX(選手一覧!$H$5:$H$2736,$F723)="","",INDEX(選手一覧!$H$5:$H$2736,$F723))</f>
        <v/>
      </c>
      <c r="J723" s="12" t="str">
        <f aca="false">IF(INDEX(選手一覧!$I$5:$I$2736,$F723)="","",INDEX(選手一覧!$I$5:$I$2736,$F723))</f>
        <v/>
      </c>
    </row>
    <row r="724" customFormat="false" ht="15" hidden="false" customHeight="false" outlineLevel="0" collapsed="false">
      <c r="A724" s="12" t="n">
        <v>721</v>
      </c>
      <c r="B724" s="8" t="s">
        <v>2841</v>
      </c>
      <c r="C724" s="8" t="s">
        <v>1392</v>
      </c>
      <c r="D724" s="11" t="n">
        <v>0.00736087962962963</v>
      </c>
      <c r="E724" s="39" t="n">
        <f aca="false">ROUND((D724-$D$5)*86400,2)</f>
        <v>96.96</v>
      </c>
      <c r="F724" s="12" t="n">
        <v>1827</v>
      </c>
      <c r="G724" s="11" t="str">
        <f aca="false">IF(INDEX(選手一覧!$D$5:$D$2736,$F724)="","",INDEX(選手一覧!$D$5:$D$2736,$F724))</f>
        <v/>
      </c>
      <c r="H724" s="12" t="str">
        <f aca="false">IF(INDEX(選手一覧!$E$5:$E$2736,$F724)="","",INDEX(選手一覧!$E$5:$E$2736,$F724))</f>
        <v/>
      </c>
      <c r="I724" s="11" t="str">
        <f aca="false">IF(INDEX(選手一覧!$H$5:$H$2736,$F724)="","",INDEX(選手一覧!$H$5:$H$2736,$F724))</f>
        <v/>
      </c>
      <c r="J724" s="12" t="str">
        <f aca="false">IF(INDEX(選手一覧!$I$5:$I$2736,$F724)="","",INDEX(選手一覧!$I$5:$I$2736,$F724))</f>
        <v/>
      </c>
    </row>
    <row r="725" customFormat="false" ht="15" hidden="false" customHeight="false" outlineLevel="0" collapsed="false">
      <c r="A725" s="12" t="n">
        <v>722</v>
      </c>
      <c r="B725" s="8" t="s">
        <v>2843</v>
      </c>
      <c r="C725" s="8" t="s">
        <v>2844</v>
      </c>
      <c r="D725" s="11" t="n">
        <v>0.00736157407407407</v>
      </c>
      <c r="E725" s="39" t="n">
        <f aca="false">ROUND((D725-$D$5)*86400,2)</f>
        <v>97.02</v>
      </c>
      <c r="F725" s="12" t="n">
        <v>1828</v>
      </c>
      <c r="G725" s="11" t="str">
        <f aca="false">IF(INDEX(選手一覧!$D$5:$D$2736,$F725)="","",INDEX(選手一覧!$D$5:$D$2736,$F725))</f>
        <v/>
      </c>
      <c r="H725" s="12" t="str">
        <f aca="false">IF(INDEX(選手一覧!$E$5:$E$2736,$F725)="","",INDEX(選手一覧!$E$5:$E$2736,$F725))</f>
        <v/>
      </c>
      <c r="I725" s="11" t="str">
        <f aca="false">IF(INDEX(選手一覧!$H$5:$H$2736,$F725)="","",INDEX(選手一覧!$H$5:$H$2736,$F725))</f>
        <v/>
      </c>
      <c r="J725" s="12" t="str">
        <f aca="false">IF(INDEX(選手一覧!$I$5:$I$2736,$F725)="","",INDEX(選手一覧!$I$5:$I$2736,$F725))</f>
        <v/>
      </c>
    </row>
    <row r="726" customFormat="false" ht="15" hidden="false" customHeight="false" outlineLevel="0" collapsed="false">
      <c r="A726" s="12" t="n">
        <v>723</v>
      </c>
      <c r="B726" s="8" t="s">
        <v>2847</v>
      </c>
      <c r="C726" s="8" t="s">
        <v>1579</v>
      </c>
      <c r="D726" s="11" t="n">
        <v>0.00736273148148148</v>
      </c>
      <c r="E726" s="39" t="n">
        <f aca="false">ROUND((D726-$D$5)*86400,2)</f>
        <v>97.12</v>
      </c>
      <c r="F726" s="12" t="n">
        <v>1830</v>
      </c>
      <c r="G726" s="11" t="str">
        <f aca="false">IF(INDEX(選手一覧!$D$5:$D$2736,$F726)="","",INDEX(選手一覧!$D$5:$D$2736,$F726))</f>
        <v/>
      </c>
      <c r="H726" s="12" t="str">
        <f aca="false">IF(INDEX(選手一覧!$E$5:$E$2736,$F726)="","",INDEX(選手一覧!$E$5:$E$2736,$F726))</f>
        <v/>
      </c>
      <c r="I726" s="11" t="str">
        <f aca="false">IF(INDEX(選手一覧!$H$5:$H$2736,$F726)="","",INDEX(選手一覧!$H$5:$H$2736,$F726))</f>
        <v/>
      </c>
      <c r="J726" s="12" t="str">
        <f aca="false">IF(INDEX(選手一覧!$I$5:$I$2736,$F726)="","",INDEX(選手一覧!$I$5:$I$2736,$F726))</f>
        <v/>
      </c>
    </row>
    <row r="727" customFormat="false" ht="15" hidden="false" customHeight="false" outlineLevel="0" collapsed="false">
      <c r="A727" s="12" t="n">
        <v>724</v>
      </c>
      <c r="B727" s="8" t="s">
        <v>2849</v>
      </c>
      <c r="C727" s="8" t="s">
        <v>2850</v>
      </c>
      <c r="D727" s="11" t="n">
        <v>0.00736273148148148</v>
      </c>
      <c r="E727" s="39" t="n">
        <f aca="false">ROUND((D727-$D$5)*86400,2)</f>
        <v>97.12</v>
      </c>
      <c r="F727" s="12" t="n">
        <v>1832</v>
      </c>
      <c r="G727" s="11" t="str">
        <f aca="false">IF(INDEX(選手一覧!$D$5:$D$2736,$F727)="","",INDEX(選手一覧!$D$5:$D$2736,$F727))</f>
        <v/>
      </c>
      <c r="H727" s="12" t="str">
        <f aca="false">IF(INDEX(選手一覧!$E$5:$E$2736,$F727)="","",INDEX(選手一覧!$E$5:$E$2736,$F727))</f>
        <v/>
      </c>
      <c r="I727" s="11" t="str">
        <f aca="false">IF(INDEX(選手一覧!$H$5:$H$2736,$F727)="","",INDEX(選手一覧!$H$5:$H$2736,$F727))</f>
        <v/>
      </c>
      <c r="J727" s="12" t="str">
        <f aca="false">IF(INDEX(選手一覧!$I$5:$I$2736,$F727)="","",INDEX(選手一覧!$I$5:$I$2736,$F727))</f>
        <v/>
      </c>
    </row>
    <row r="728" customFormat="false" ht="15" hidden="false" customHeight="false" outlineLevel="0" collapsed="false">
      <c r="A728" s="12" t="n">
        <v>725</v>
      </c>
      <c r="B728" s="8" t="s">
        <v>951</v>
      </c>
      <c r="C728" s="8" t="s">
        <v>54</v>
      </c>
      <c r="D728" s="11" t="n">
        <v>0.00736342592592593</v>
      </c>
      <c r="E728" s="39" t="n">
        <f aca="false">ROUND((D728-$D$5)*86400,2)</f>
        <v>97.18</v>
      </c>
      <c r="F728" s="12" t="n">
        <v>548</v>
      </c>
      <c r="G728" s="11" t="n">
        <f aca="false">IF(INDEX(選手一覧!$D$5:$D$2736,$F728)="","",INDEX(選手一覧!$D$5:$D$2736,$F728))</f>
        <v>0.0106704861111111</v>
      </c>
      <c r="H728" s="12" t="n">
        <f aca="false">IF(INDEX(選手一覧!$E$5:$E$2736,$F728)="","",INDEX(選手一覧!$E$5:$E$2736,$F728))</f>
        <v>549</v>
      </c>
      <c r="I728" s="11" t="n">
        <f aca="false">IF(INDEX(選手一覧!$H$5:$H$2736,$F728)="","",INDEX(選手一覧!$H$5:$H$2736,$F728))</f>
        <v>0.00291284722222222</v>
      </c>
      <c r="J728" s="12" t="n">
        <f aca="false">IF(INDEX(選手一覧!$I$5:$I$2736,$F728)="","",INDEX(選手一覧!$I$5:$I$2736,$F728))</f>
        <v>1042</v>
      </c>
    </row>
    <row r="729" customFormat="false" ht="15" hidden="false" customHeight="false" outlineLevel="0" collapsed="false">
      <c r="A729" s="12" t="n">
        <v>726</v>
      </c>
      <c r="B729" s="8" t="s">
        <v>2853</v>
      </c>
      <c r="C729" s="8" t="s">
        <v>1847</v>
      </c>
      <c r="D729" s="11" t="n">
        <v>0.00736400462962963</v>
      </c>
      <c r="E729" s="39" t="n">
        <f aca="false">ROUND((D729-$D$5)*86400,2)</f>
        <v>97.23</v>
      </c>
      <c r="F729" s="12" t="n">
        <v>1834</v>
      </c>
      <c r="G729" s="11" t="str">
        <f aca="false">IF(INDEX(選手一覧!$D$5:$D$2736,$F729)="","",INDEX(選手一覧!$D$5:$D$2736,$F729))</f>
        <v/>
      </c>
      <c r="H729" s="12" t="str">
        <f aca="false">IF(INDEX(選手一覧!$E$5:$E$2736,$F729)="","",INDEX(選手一覧!$E$5:$E$2736,$F729))</f>
        <v/>
      </c>
      <c r="I729" s="11" t="str">
        <f aca="false">IF(INDEX(選手一覧!$H$5:$H$2736,$F729)="","",INDEX(選手一覧!$H$5:$H$2736,$F729))</f>
        <v/>
      </c>
      <c r="J729" s="12" t="str">
        <f aca="false">IF(INDEX(選手一覧!$I$5:$I$2736,$F729)="","",INDEX(選手一覧!$I$5:$I$2736,$F729))</f>
        <v/>
      </c>
    </row>
    <row r="730" customFormat="false" ht="15" hidden="false" customHeight="false" outlineLevel="0" collapsed="false">
      <c r="A730" s="12" t="n">
        <v>727</v>
      </c>
      <c r="B730" s="8" t="s">
        <v>2855</v>
      </c>
      <c r="C730" s="8" t="s">
        <v>1062</v>
      </c>
      <c r="D730" s="11" t="n">
        <v>0.00736446759259259</v>
      </c>
      <c r="E730" s="39" t="n">
        <f aca="false">ROUND((D730-$D$5)*86400,2)</f>
        <v>97.27</v>
      </c>
      <c r="F730" s="12" t="n">
        <v>1836</v>
      </c>
      <c r="G730" s="11" t="str">
        <f aca="false">IF(INDEX(選手一覧!$D$5:$D$2736,$F730)="","",INDEX(選手一覧!$D$5:$D$2736,$F730))</f>
        <v/>
      </c>
      <c r="H730" s="12" t="str">
        <f aca="false">IF(INDEX(選手一覧!$E$5:$E$2736,$F730)="","",INDEX(選手一覧!$E$5:$E$2736,$F730))</f>
        <v/>
      </c>
      <c r="I730" s="11" t="n">
        <f aca="false">IF(INDEX(選手一覧!$H$5:$H$2736,$F730)="","",INDEX(選手一覧!$H$5:$H$2736,$F730))</f>
        <v>0.00290729166666667</v>
      </c>
      <c r="J730" s="12" t="n">
        <f aca="false">IF(INDEX(選手一覧!$I$5:$I$2736,$F730)="","",INDEX(選手一覧!$I$5:$I$2736,$F730))</f>
        <v>995</v>
      </c>
    </row>
    <row r="731" customFormat="false" ht="15" hidden="false" customHeight="false" outlineLevel="0" collapsed="false">
      <c r="A731" s="12" t="n">
        <v>728</v>
      </c>
      <c r="B731" s="8" t="s">
        <v>2856</v>
      </c>
      <c r="C731" s="8" t="s">
        <v>2857</v>
      </c>
      <c r="D731" s="11" t="n">
        <v>0.00736469907407407</v>
      </c>
      <c r="E731" s="39" t="n">
        <f aca="false">ROUND((D731-$D$5)*86400,2)</f>
        <v>97.29</v>
      </c>
      <c r="F731" s="12" t="n">
        <v>1837</v>
      </c>
      <c r="G731" s="11" t="str">
        <f aca="false">IF(INDEX(選手一覧!$D$5:$D$2736,$F731)="","",INDEX(選手一覧!$D$5:$D$2736,$F731))</f>
        <v/>
      </c>
      <c r="H731" s="12" t="str">
        <f aca="false">IF(INDEX(選手一覧!$E$5:$E$2736,$F731)="","",INDEX(選手一覧!$E$5:$E$2736,$F731))</f>
        <v/>
      </c>
      <c r="I731" s="11" t="str">
        <f aca="false">IF(INDEX(選手一覧!$H$5:$H$2736,$F731)="","",INDEX(選手一覧!$H$5:$H$2736,$F731))</f>
        <v/>
      </c>
      <c r="J731" s="12" t="str">
        <f aca="false">IF(INDEX(選手一覧!$I$5:$I$2736,$F731)="","",INDEX(選手一覧!$I$5:$I$2736,$F731))</f>
        <v/>
      </c>
    </row>
    <row r="732" customFormat="false" ht="15" hidden="false" customHeight="false" outlineLevel="0" collapsed="false">
      <c r="A732" s="12" t="n">
        <v>729</v>
      </c>
      <c r="B732" s="8" t="s">
        <v>2858</v>
      </c>
      <c r="C732" s="8" t="s">
        <v>2859</v>
      </c>
      <c r="D732" s="11" t="n">
        <v>0.00736527777777778</v>
      </c>
      <c r="E732" s="39" t="n">
        <f aca="false">ROUND((D732-$D$5)*86400,2)</f>
        <v>97.34</v>
      </c>
      <c r="F732" s="12" t="n">
        <v>1838</v>
      </c>
      <c r="G732" s="11" t="str">
        <f aca="false">IF(INDEX(選手一覧!$D$5:$D$2736,$F732)="","",INDEX(選手一覧!$D$5:$D$2736,$F732))</f>
        <v/>
      </c>
      <c r="H732" s="12" t="str">
        <f aca="false">IF(INDEX(選手一覧!$E$5:$E$2736,$F732)="","",INDEX(選手一覧!$E$5:$E$2736,$F732))</f>
        <v/>
      </c>
      <c r="I732" s="11" t="str">
        <f aca="false">IF(INDEX(選手一覧!$H$5:$H$2736,$F732)="","",INDEX(選手一覧!$H$5:$H$2736,$F732))</f>
        <v/>
      </c>
      <c r="J732" s="12" t="str">
        <f aca="false">IF(INDEX(選手一覧!$I$5:$I$2736,$F732)="","",INDEX(選手一覧!$I$5:$I$2736,$F732))</f>
        <v/>
      </c>
    </row>
    <row r="733" customFormat="false" ht="15" hidden="false" customHeight="false" outlineLevel="0" collapsed="false">
      <c r="A733" s="12" t="n">
        <v>730</v>
      </c>
      <c r="B733" s="8" t="s">
        <v>2864</v>
      </c>
      <c r="C733" s="8" t="s">
        <v>2865</v>
      </c>
      <c r="D733" s="11" t="n">
        <v>0.00736747685185185</v>
      </c>
      <c r="E733" s="39" t="n">
        <f aca="false">ROUND((D733-$D$5)*86400,2)</f>
        <v>97.53</v>
      </c>
      <c r="F733" s="12" t="n">
        <v>1841</v>
      </c>
      <c r="G733" s="11" t="str">
        <f aca="false">IF(INDEX(選手一覧!$D$5:$D$2736,$F733)="","",INDEX(選手一覧!$D$5:$D$2736,$F733))</f>
        <v/>
      </c>
      <c r="H733" s="12" t="str">
        <f aca="false">IF(INDEX(選手一覧!$E$5:$E$2736,$F733)="","",INDEX(選手一覧!$E$5:$E$2736,$F733))</f>
        <v/>
      </c>
      <c r="I733" s="11" t="str">
        <f aca="false">IF(INDEX(選手一覧!$H$5:$H$2736,$F733)="","",INDEX(選手一覧!$H$5:$H$2736,$F733))</f>
        <v/>
      </c>
      <c r="J733" s="12" t="str">
        <f aca="false">IF(INDEX(選手一覧!$I$5:$I$2736,$F733)="","",INDEX(選手一覧!$I$5:$I$2736,$F733))</f>
        <v/>
      </c>
    </row>
    <row r="734" customFormat="false" ht="15" hidden="false" customHeight="false" outlineLevel="0" collapsed="false">
      <c r="A734" s="12" t="n">
        <v>731</v>
      </c>
      <c r="B734" s="8" t="s">
        <v>2866</v>
      </c>
      <c r="C734" s="8" t="s">
        <v>2867</v>
      </c>
      <c r="D734" s="11" t="n">
        <v>0.00736921296296296</v>
      </c>
      <c r="E734" s="39" t="n">
        <f aca="false">ROUND((D734-$D$5)*86400,2)</f>
        <v>97.68</v>
      </c>
      <c r="F734" s="12" t="n">
        <v>1842</v>
      </c>
      <c r="G734" s="11" t="str">
        <f aca="false">IF(INDEX(選手一覧!$D$5:$D$2736,$F734)="","",INDEX(選手一覧!$D$5:$D$2736,$F734))</f>
        <v/>
      </c>
      <c r="H734" s="12" t="str">
        <f aca="false">IF(INDEX(選手一覧!$E$5:$E$2736,$F734)="","",INDEX(選手一覧!$E$5:$E$2736,$F734))</f>
        <v/>
      </c>
      <c r="I734" s="11" t="str">
        <f aca="false">IF(INDEX(選手一覧!$H$5:$H$2736,$F734)="","",INDEX(選手一覧!$H$5:$H$2736,$F734))</f>
        <v/>
      </c>
      <c r="J734" s="12" t="str">
        <f aca="false">IF(INDEX(選手一覧!$I$5:$I$2736,$F734)="","",INDEX(選手一覧!$I$5:$I$2736,$F734))</f>
        <v/>
      </c>
    </row>
    <row r="735" customFormat="false" ht="15" hidden="false" customHeight="false" outlineLevel="0" collapsed="false">
      <c r="A735" s="12" t="n">
        <v>732</v>
      </c>
      <c r="B735" s="8" t="s">
        <v>2869</v>
      </c>
      <c r="C735" s="8" t="s">
        <v>2678</v>
      </c>
      <c r="D735" s="11" t="n">
        <v>0.0073693287037037</v>
      </c>
      <c r="E735" s="39" t="n">
        <f aca="false">ROUND((D735-$D$5)*86400,2)</f>
        <v>97.69</v>
      </c>
      <c r="F735" s="12" t="n">
        <v>1844</v>
      </c>
      <c r="G735" s="11" t="str">
        <f aca="false">IF(INDEX(選手一覧!$D$5:$D$2736,$F735)="","",INDEX(選手一覧!$D$5:$D$2736,$F735))</f>
        <v/>
      </c>
      <c r="H735" s="12" t="str">
        <f aca="false">IF(INDEX(選手一覧!$E$5:$E$2736,$F735)="","",INDEX(選手一覧!$E$5:$E$2736,$F735))</f>
        <v/>
      </c>
      <c r="I735" s="11" t="str">
        <f aca="false">IF(INDEX(選手一覧!$H$5:$H$2736,$F735)="","",INDEX(選手一覧!$H$5:$H$2736,$F735))</f>
        <v/>
      </c>
      <c r="J735" s="12" t="str">
        <f aca="false">IF(INDEX(選手一覧!$I$5:$I$2736,$F735)="","",INDEX(選手一覧!$I$5:$I$2736,$F735))</f>
        <v/>
      </c>
    </row>
    <row r="736" customFormat="false" ht="15" hidden="false" customHeight="false" outlineLevel="0" collapsed="false">
      <c r="A736" s="12" t="n">
        <v>733</v>
      </c>
      <c r="B736" s="8" t="s">
        <v>2870</v>
      </c>
      <c r="C736" s="8" t="s">
        <v>975</v>
      </c>
      <c r="D736" s="11" t="n">
        <v>0.00736979166666667</v>
      </c>
      <c r="E736" s="39" t="n">
        <f aca="false">ROUND((D736-$D$5)*86400,2)</f>
        <v>97.73</v>
      </c>
      <c r="F736" s="12" t="n">
        <v>1845</v>
      </c>
      <c r="G736" s="11" t="str">
        <f aca="false">IF(INDEX(選手一覧!$D$5:$D$2736,$F736)="","",INDEX(選手一覧!$D$5:$D$2736,$F736))</f>
        <v/>
      </c>
      <c r="H736" s="12" t="str">
        <f aca="false">IF(INDEX(選手一覧!$E$5:$E$2736,$F736)="","",INDEX(選手一覧!$E$5:$E$2736,$F736))</f>
        <v/>
      </c>
      <c r="I736" s="11" t="str">
        <f aca="false">IF(INDEX(選手一覧!$H$5:$H$2736,$F736)="","",INDEX(選手一覧!$H$5:$H$2736,$F736))</f>
        <v/>
      </c>
      <c r="J736" s="12" t="str">
        <f aca="false">IF(INDEX(選手一覧!$I$5:$I$2736,$F736)="","",INDEX(選手一覧!$I$5:$I$2736,$F736))</f>
        <v/>
      </c>
    </row>
    <row r="737" customFormat="false" ht="15" hidden="false" customHeight="false" outlineLevel="0" collapsed="false">
      <c r="A737" s="12" t="n">
        <v>734</v>
      </c>
      <c r="B737" s="8" t="s">
        <v>2871</v>
      </c>
      <c r="C737" s="8" t="s">
        <v>2406</v>
      </c>
      <c r="D737" s="11" t="n">
        <v>0.00737002314814815</v>
      </c>
      <c r="E737" s="39" t="n">
        <f aca="false">ROUND((D737-$D$5)*86400,2)</f>
        <v>97.75</v>
      </c>
      <c r="F737" s="12" t="n">
        <v>1846</v>
      </c>
      <c r="G737" s="11" t="str">
        <f aca="false">IF(INDEX(選手一覧!$D$5:$D$2736,$F737)="","",INDEX(選手一覧!$D$5:$D$2736,$F737))</f>
        <v/>
      </c>
      <c r="H737" s="12" t="str">
        <f aca="false">IF(INDEX(選手一覧!$E$5:$E$2736,$F737)="","",INDEX(選手一覧!$E$5:$E$2736,$F737))</f>
        <v/>
      </c>
      <c r="I737" s="11" t="str">
        <f aca="false">IF(INDEX(選手一覧!$H$5:$H$2736,$F737)="","",INDEX(選手一覧!$H$5:$H$2736,$F737))</f>
        <v/>
      </c>
      <c r="J737" s="12" t="str">
        <f aca="false">IF(INDEX(選手一覧!$I$5:$I$2736,$F737)="","",INDEX(選手一覧!$I$5:$I$2736,$F737))</f>
        <v/>
      </c>
    </row>
    <row r="738" customFormat="false" ht="15" hidden="false" customHeight="false" outlineLevel="0" collapsed="false">
      <c r="A738" s="12" t="n">
        <v>735</v>
      </c>
      <c r="B738" s="8" t="s">
        <v>2872</v>
      </c>
      <c r="C738" s="8" t="s">
        <v>2863</v>
      </c>
      <c r="D738" s="11" t="n">
        <v>0.00737037037037037</v>
      </c>
      <c r="E738" s="39" t="n">
        <f aca="false">ROUND((D738-$D$5)*86400,2)</f>
        <v>97.78</v>
      </c>
      <c r="F738" s="12" t="n">
        <v>1847</v>
      </c>
      <c r="G738" s="11" t="str">
        <f aca="false">IF(INDEX(選手一覧!$D$5:$D$2736,$F738)="","",INDEX(選手一覧!$D$5:$D$2736,$F738))</f>
        <v/>
      </c>
      <c r="H738" s="12" t="str">
        <f aca="false">IF(INDEX(選手一覧!$E$5:$E$2736,$F738)="","",INDEX(選手一覧!$E$5:$E$2736,$F738))</f>
        <v/>
      </c>
      <c r="I738" s="11" t="str">
        <f aca="false">IF(INDEX(選手一覧!$H$5:$H$2736,$F738)="","",INDEX(選手一覧!$H$5:$H$2736,$F738))</f>
        <v/>
      </c>
      <c r="J738" s="12" t="str">
        <f aca="false">IF(INDEX(選手一覧!$I$5:$I$2736,$F738)="","",INDEX(選手一覧!$I$5:$I$2736,$F738))</f>
        <v/>
      </c>
    </row>
    <row r="739" customFormat="false" ht="15" hidden="false" customHeight="false" outlineLevel="0" collapsed="false">
      <c r="A739" s="12" t="n">
        <v>736</v>
      </c>
      <c r="B739" s="8" t="s">
        <v>2874</v>
      </c>
      <c r="C739" s="8" t="s">
        <v>2875</v>
      </c>
      <c r="D739" s="11" t="n">
        <v>0.00737210648148148</v>
      </c>
      <c r="E739" s="39" t="n">
        <f aca="false">ROUND((D739-$D$5)*86400,2)</f>
        <v>97.93</v>
      </c>
      <c r="F739" s="12" t="n">
        <v>1849</v>
      </c>
      <c r="G739" s="11" t="str">
        <f aca="false">IF(INDEX(選手一覧!$D$5:$D$2736,$F739)="","",INDEX(選手一覧!$D$5:$D$2736,$F739))</f>
        <v/>
      </c>
      <c r="H739" s="12" t="str">
        <f aca="false">IF(INDEX(選手一覧!$E$5:$E$2736,$F739)="","",INDEX(選手一覧!$E$5:$E$2736,$F739))</f>
        <v/>
      </c>
      <c r="I739" s="11" t="str">
        <f aca="false">IF(INDEX(選手一覧!$H$5:$H$2736,$F739)="","",INDEX(選手一覧!$H$5:$H$2736,$F739))</f>
        <v/>
      </c>
      <c r="J739" s="12" t="str">
        <f aca="false">IF(INDEX(選手一覧!$I$5:$I$2736,$F739)="","",INDEX(選手一覧!$I$5:$I$2736,$F739))</f>
        <v/>
      </c>
    </row>
    <row r="740" customFormat="false" ht="15" hidden="false" customHeight="false" outlineLevel="0" collapsed="false">
      <c r="A740" s="12" t="n">
        <v>737</v>
      </c>
      <c r="B740" s="8" t="s">
        <v>1786</v>
      </c>
      <c r="C740" s="8" t="s">
        <v>96</v>
      </c>
      <c r="D740" s="11" t="n">
        <v>0.0073724537037037</v>
      </c>
      <c r="E740" s="39" t="n">
        <f aca="false">ROUND((D740-$D$5)*86400,2)</f>
        <v>97.96</v>
      </c>
      <c r="F740" s="12" t="n">
        <v>1112</v>
      </c>
      <c r="G740" s="11" t="n">
        <f aca="false">IF(INDEX(選手一覧!$D$5:$D$2736,$F740)="","",INDEX(選手一覧!$D$5:$D$2736,$F740))</f>
        <v>0.0110116898148148</v>
      </c>
      <c r="H740" s="12" t="n">
        <f aca="false">IF(INDEX(選手一覧!$E$5:$E$2736,$F740)="","",INDEX(選手一覧!$E$5:$E$2736,$F740))</f>
        <v>1113</v>
      </c>
      <c r="I740" s="11" t="n">
        <f aca="false">IF(INDEX(選手一覧!$H$5:$H$2736,$F740)="","",INDEX(選手一覧!$H$5:$H$2736,$F740))</f>
        <v>0.00294918981481482</v>
      </c>
      <c r="J740" s="12" t="n">
        <f aca="false">IF(INDEX(選手一覧!$I$5:$I$2736,$F740)="","",INDEX(選手一覧!$I$5:$I$2736,$F740))</f>
        <v>1234</v>
      </c>
    </row>
    <row r="741" customFormat="false" ht="15" hidden="false" customHeight="false" outlineLevel="0" collapsed="false">
      <c r="A741" s="12" t="n">
        <v>738</v>
      </c>
      <c r="B741" s="8" t="s">
        <v>2879</v>
      </c>
      <c r="C741" s="8" t="s">
        <v>582</v>
      </c>
      <c r="D741" s="11" t="n">
        <v>0.00737280092592593</v>
      </c>
      <c r="E741" s="39" t="n">
        <f aca="false">ROUND((D741-$D$5)*86400,2)</f>
        <v>97.99</v>
      </c>
      <c r="F741" s="12" t="n">
        <v>1852</v>
      </c>
      <c r="G741" s="11" t="str">
        <f aca="false">IF(INDEX(選手一覧!$D$5:$D$2736,$F741)="","",INDEX(選手一覧!$D$5:$D$2736,$F741))</f>
        <v/>
      </c>
      <c r="H741" s="12" t="str">
        <f aca="false">IF(INDEX(選手一覧!$E$5:$E$2736,$F741)="","",INDEX(選手一覧!$E$5:$E$2736,$F741))</f>
        <v/>
      </c>
      <c r="I741" s="11" t="str">
        <f aca="false">IF(INDEX(選手一覧!$H$5:$H$2736,$F741)="","",INDEX(選手一覧!$H$5:$H$2736,$F741))</f>
        <v/>
      </c>
      <c r="J741" s="12" t="str">
        <f aca="false">IF(INDEX(選手一覧!$I$5:$I$2736,$F741)="","",INDEX(選手一覧!$I$5:$I$2736,$F741))</f>
        <v/>
      </c>
    </row>
    <row r="742" customFormat="false" ht="15" hidden="false" customHeight="false" outlineLevel="0" collapsed="false">
      <c r="A742" s="12" t="n">
        <v>739</v>
      </c>
      <c r="B742" s="8" t="s">
        <v>2880</v>
      </c>
      <c r="C742" s="8" t="s">
        <v>1654</v>
      </c>
      <c r="D742" s="11" t="n">
        <v>0.00737337962962963</v>
      </c>
      <c r="E742" s="39" t="n">
        <f aca="false">ROUND((D742-$D$5)*86400,2)</f>
        <v>98.04</v>
      </c>
      <c r="F742" s="12" t="n">
        <v>1853</v>
      </c>
      <c r="G742" s="11" t="str">
        <f aca="false">IF(INDEX(選手一覧!$D$5:$D$2736,$F742)="","",INDEX(選手一覧!$D$5:$D$2736,$F742))</f>
        <v/>
      </c>
      <c r="H742" s="12" t="str">
        <f aca="false">IF(INDEX(選手一覧!$E$5:$E$2736,$F742)="","",INDEX(選手一覧!$E$5:$E$2736,$F742))</f>
        <v/>
      </c>
      <c r="I742" s="11" t="str">
        <f aca="false">IF(INDEX(選手一覧!$H$5:$H$2736,$F742)="","",INDEX(選手一覧!$H$5:$H$2736,$F742))</f>
        <v/>
      </c>
      <c r="J742" s="12" t="str">
        <f aca="false">IF(INDEX(選手一覧!$I$5:$I$2736,$F742)="","",INDEX(選手一覧!$I$5:$I$2736,$F742))</f>
        <v/>
      </c>
    </row>
    <row r="743" customFormat="false" ht="15" hidden="false" customHeight="false" outlineLevel="0" collapsed="false">
      <c r="A743" s="12" t="n">
        <v>740</v>
      </c>
      <c r="B743" s="8" t="s">
        <v>2883</v>
      </c>
      <c r="C743" s="8" t="s">
        <v>2884</v>
      </c>
      <c r="D743" s="11" t="n">
        <v>0.00737361111111111</v>
      </c>
      <c r="E743" s="39" t="n">
        <f aca="false">ROUND((D743-$D$5)*86400,2)</f>
        <v>98.06</v>
      </c>
      <c r="F743" s="12" t="n">
        <v>1855</v>
      </c>
      <c r="G743" s="11" t="str">
        <f aca="false">IF(INDEX(選手一覧!$D$5:$D$2736,$F743)="","",INDEX(選手一覧!$D$5:$D$2736,$F743))</f>
        <v/>
      </c>
      <c r="H743" s="12" t="str">
        <f aca="false">IF(INDEX(選手一覧!$E$5:$E$2736,$F743)="","",INDEX(選手一覧!$E$5:$E$2736,$F743))</f>
        <v/>
      </c>
      <c r="I743" s="11" t="str">
        <f aca="false">IF(INDEX(選手一覧!$H$5:$H$2736,$F743)="","",INDEX(選手一覧!$H$5:$H$2736,$F743))</f>
        <v/>
      </c>
      <c r="J743" s="12" t="str">
        <f aca="false">IF(INDEX(選手一覧!$I$5:$I$2736,$F743)="","",INDEX(選手一覧!$I$5:$I$2736,$F743))</f>
        <v/>
      </c>
    </row>
    <row r="744" customFormat="false" ht="15" hidden="false" customHeight="false" outlineLevel="0" collapsed="false">
      <c r="A744" s="12" t="n">
        <v>741</v>
      </c>
      <c r="B744" s="8" t="s">
        <v>2887</v>
      </c>
      <c r="C744" s="8" t="s">
        <v>1056</v>
      </c>
      <c r="D744" s="11" t="n">
        <v>0.00737418981481482</v>
      </c>
      <c r="E744" s="39" t="n">
        <f aca="false">ROUND((D744-$D$5)*86400,2)</f>
        <v>98.11</v>
      </c>
      <c r="F744" s="12" t="n">
        <v>1857</v>
      </c>
      <c r="G744" s="11" t="str">
        <f aca="false">IF(INDEX(選手一覧!$D$5:$D$2736,$F744)="","",INDEX(選手一覧!$D$5:$D$2736,$F744))</f>
        <v/>
      </c>
      <c r="H744" s="12" t="str">
        <f aca="false">IF(INDEX(選手一覧!$E$5:$E$2736,$F744)="","",INDEX(選手一覧!$E$5:$E$2736,$F744))</f>
        <v/>
      </c>
      <c r="I744" s="11" t="str">
        <f aca="false">IF(INDEX(選手一覧!$H$5:$H$2736,$F744)="","",INDEX(選手一覧!$H$5:$H$2736,$F744))</f>
        <v/>
      </c>
      <c r="J744" s="12" t="str">
        <f aca="false">IF(INDEX(選手一覧!$I$5:$I$2736,$F744)="","",INDEX(選手一覧!$I$5:$I$2736,$F744))</f>
        <v/>
      </c>
    </row>
    <row r="745" customFormat="false" ht="15" hidden="false" customHeight="false" outlineLevel="0" collapsed="false">
      <c r="A745" s="12" t="n">
        <v>742</v>
      </c>
      <c r="B745" s="8" t="s">
        <v>2888</v>
      </c>
      <c r="C745" s="8" t="s">
        <v>2889</v>
      </c>
      <c r="D745" s="11" t="n">
        <v>0.00737453703703704</v>
      </c>
      <c r="E745" s="39" t="n">
        <f aca="false">ROUND((D745-$D$5)*86400,2)</f>
        <v>98.14</v>
      </c>
      <c r="F745" s="12" t="n">
        <v>1858</v>
      </c>
      <c r="G745" s="11" t="str">
        <f aca="false">IF(INDEX(選手一覧!$D$5:$D$2736,$F745)="","",INDEX(選手一覧!$D$5:$D$2736,$F745))</f>
        <v/>
      </c>
      <c r="H745" s="12" t="str">
        <f aca="false">IF(INDEX(選手一覧!$E$5:$E$2736,$F745)="","",INDEX(選手一覧!$E$5:$E$2736,$F745))</f>
        <v/>
      </c>
      <c r="I745" s="11" t="str">
        <f aca="false">IF(INDEX(選手一覧!$H$5:$H$2736,$F745)="","",INDEX(選手一覧!$H$5:$H$2736,$F745))</f>
        <v/>
      </c>
      <c r="J745" s="12" t="str">
        <f aca="false">IF(INDEX(選手一覧!$I$5:$I$2736,$F745)="","",INDEX(選手一覧!$I$5:$I$2736,$F745))</f>
        <v/>
      </c>
    </row>
    <row r="746" customFormat="false" ht="15" hidden="false" customHeight="false" outlineLevel="0" collapsed="false">
      <c r="A746" s="12" t="n">
        <v>743</v>
      </c>
      <c r="B746" s="8" t="s">
        <v>1651</v>
      </c>
      <c r="C746" s="8" t="s">
        <v>1124</v>
      </c>
      <c r="D746" s="11" t="n">
        <v>0.00737592592592593</v>
      </c>
      <c r="E746" s="39" t="n">
        <f aca="false">ROUND((D746-$D$5)*86400,2)</f>
        <v>98.26</v>
      </c>
      <c r="F746" s="12" t="n">
        <v>1021</v>
      </c>
      <c r="G746" s="11" t="n">
        <f aca="false">IF(INDEX(選手一覧!$D$5:$D$2736,$F746)="","",INDEX(選手一覧!$D$5:$D$2736,$F746))</f>
        <v>0.0109625</v>
      </c>
      <c r="H746" s="12" t="n">
        <f aca="false">IF(INDEX(選手一覧!$E$5:$E$2736,$F746)="","",INDEX(選手一覧!$E$5:$E$2736,$F746))</f>
        <v>1022</v>
      </c>
      <c r="I746" s="11" t="str">
        <f aca="false">IF(INDEX(選手一覧!$H$5:$H$2736,$F746)="","",INDEX(選手一覧!$H$5:$H$2736,$F746))</f>
        <v/>
      </c>
      <c r="J746" s="12" t="str">
        <f aca="false">IF(INDEX(選手一覧!$I$5:$I$2736,$F746)="","",INDEX(選手一覧!$I$5:$I$2736,$F746))</f>
        <v/>
      </c>
    </row>
    <row r="747" customFormat="false" ht="15" hidden="false" customHeight="false" outlineLevel="0" collapsed="false">
      <c r="A747" s="12" t="n">
        <v>744</v>
      </c>
      <c r="B747" s="8" t="s">
        <v>2892</v>
      </c>
      <c r="C747" s="8" t="s">
        <v>2893</v>
      </c>
      <c r="D747" s="11" t="n">
        <v>0.00737662037037037</v>
      </c>
      <c r="E747" s="39" t="n">
        <f aca="false">ROUND((D747-$D$5)*86400,2)</f>
        <v>98.32</v>
      </c>
      <c r="F747" s="12" t="n">
        <v>1860</v>
      </c>
      <c r="G747" s="11" t="str">
        <f aca="false">IF(INDEX(選手一覧!$D$5:$D$2736,$F747)="","",INDEX(選手一覧!$D$5:$D$2736,$F747))</f>
        <v/>
      </c>
      <c r="H747" s="12" t="str">
        <f aca="false">IF(INDEX(選手一覧!$E$5:$E$2736,$F747)="","",INDEX(選手一覧!$E$5:$E$2736,$F747))</f>
        <v/>
      </c>
      <c r="I747" s="11" t="str">
        <f aca="false">IF(INDEX(選手一覧!$H$5:$H$2736,$F747)="","",INDEX(選手一覧!$H$5:$H$2736,$F747))</f>
        <v/>
      </c>
      <c r="J747" s="12" t="str">
        <f aca="false">IF(INDEX(選手一覧!$I$5:$I$2736,$F747)="","",INDEX(選手一覧!$I$5:$I$2736,$F747))</f>
        <v/>
      </c>
    </row>
    <row r="748" customFormat="false" ht="15" hidden="false" customHeight="false" outlineLevel="0" collapsed="false">
      <c r="A748" s="12" t="n">
        <v>745</v>
      </c>
      <c r="B748" s="8" t="s">
        <v>2896</v>
      </c>
      <c r="C748" s="8" t="s">
        <v>316</v>
      </c>
      <c r="D748" s="11" t="n">
        <v>0.00737662037037037</v>
      </c>
      <c r="E748" s="39" t="n">
        <f aca="false">ROUND((D748-$D$5)*86400,2)</f>
        <v>98.32</v>
      </c>
      <c r="F748" s="12" t="n">
        <v>1862</v>
      </c>
      <c r="G748" s="11" t="str">
        <f aca="false">IF(INDEX(選手一覧!$D$5:$D$2736,$F748)="","",INDEX(選手一覧!$D$5:$D$2736,$F748))</f>
        <v/>
      </c>
      <c r="H748" s="12" t="str">
        <f aca="false">IF(INDEX(選手一覧!$E$5:$E$2736,$F748)="","",INDEX(選手一覧!$E$5:$E$2736,$F748))</f>
        <v/>
      </c>
      <c r="I748" s="11" t="str">
        <f aca="false">IF(INDEX(選手一覧!$H$5:$H$2736,$F748)="","",INDEX(選手一覧!$H$5:$H$2736,$F748))</f>
        <v/>
      </c>
      <c r="J748" s="12" t="str">
        <f aca="false">IF(INDEX(選手一覧!$I$5:$I$2736,$F748)="","",INDEX(選手一覧!$I$5:$I$2736,$F748))</f>
        <v/>
      </c>
    </row>
    <row r="749" customFormat="false" ht="15" hidden="false" customHeight="false" outlineLevel="0" collapsed="false">
      <c r="A749" s="12" t="n">
        <v>746</v>
      </c>
      <c r="B749" s="8" t="s">
        <v>2897</v>
      </c>
      <c r="C749" s="8" t="s">
        <v>2898</v>
      </c>
      <c r="D749" s="11" t="n">
        <v>0.00737673611111111</v>
      </c>
      <c r="E749" s="39" t="n">
        <f aca="false">ROUND((D749-$D$5)*86400,2)</f>
        <v>98.33</v>
      </c>
      <c r="F749" s="12" t="n">
        <v>1863</v>
      </c>
      <c r="G749" s="11" t="str">
        <f aca="false">IF(INDEX(選手一覧!$D$5:$D$2736,$F749)="","",INDEX(選手一覧!$D$5:$D$2736,$F749))</f>
        <v/>
      </c>
      <c r="H749" s="12" t="str">
        <f aca="false">IF(INDEX(選手一覧!$E$5:$E$2736,$F749)="","",INDEX(選手一覧!$E$5:$E$2736,$F749))</f>
        <v/>
      </c>
      <c r="I749" s="11" t="str">
        <f aca="false">IF(INDEX(選手一覧!$H$5:$H$2736,$F749)="","",INDEX(選手一覧!$H$5:$H$2736,$F749))</f>
        <v/>
      </c>
      <c r="J749" s="12" t="str">
        <f aca="false">IF(INDEX(選手一覧!$I$5:$I$2736,$F749)="","",INDEX(選手一覧!$I$5:$I$2736,$F749))</f>
        <v/>
      </c>
    </row>
    <row r="750" customFormat="false" ht="15" hidden="false" customHeight="false" outlineLevel="0" collapsed="false">
      <c r="A750" s="12" t="n">
        <v>747</v>
      </c>
      <c r="B750" s="8" t="s">
        <v>2899</v>
      </c>
      <c r="C750" s="8" t="s">
        <v>481</v>
      </c>
      <c r="D750" s="11" t="n">
        <v>0.00737824074074074</v>
      </c>
      <c r="E750" s="39" t="n">
        <f aca="false">ROUND((D750-$D$5)*86400,2)</f>
        <v>98.46</v>
      </c>
      <c r="F750" s="12" t="n">
        <v>1864</v>
      </c>
      <c r="G750" s="11" t="str">
        <f aca="false">IF(INDEX(選手一覧!$D$5:$D$2736,$F750)="","",INDEX(選手一覧!$D$5:$D$2736,$F750))</f>
        <v/>
      </c>
      <c r="H750" s="12" t="str">
        <f aca="false">IF(INDEX(選手一覧!$E$5:$E$2736,$F750)="","",INDEX(選手一覧!$E$5:$E$2736,$F750))</f>
        <v/>
      </c>
      <c r="I750" s="11" t="str">
        <f aca="false">IF(INDEX(選手一覧!$H$5:$H$2736,$F750)="","",INDEX(選手一覧!$H$5:$H$2736,$F750))</f>
        <v/>
      </c>
      <c r="J750" s="12" t="str">
        <f aca="false">IF(INDEX(選手一覧!$I$5:$I$2736,$F750)="","",INDEX(選手一覧!$I$5:$I$2736,$F750))</f>
        <v/>
      </c>
    </row>
    <row r="751" customFormat="false" ht="15" hidden="false" customHeight="false" outlineLevel="0" collapsed="false">
      <c r="A751" s="12" t="n">
        <v>748</v>
      </c>
      <c r="B751" s="8" t="s">
        <v>2900</v>
      </c>
      <c r="C751" s="8" t="s">
        <v>2901</v>
      </c>
      <c r="D751" s="11" t="n">
        <v>0.00737824074074074</v>
      </c>
      <c r="E751" s="39" t="n">
        <f aca="false">ROUND((D751-$D$5)*86400,2)</f>
        <v>98.46</v>
      </c>
      <c r="F751" s="12" t="n">
        <v>1865</v>
      </c>
      <c r="G751" s="11" t="str">
        <f aca="false">IF(INDEX(選手一覧!$D$5:$D$2736,$F751)="","",INDEX(選手一覧!$D$5:$D$2736,$F751))</f>
        <v/>
      </c>
      <c r="H751" s="12" t="str">
        <f aca="false">IF(INDEX(選手一覧!$E$5:$E$2736,$F751)="","",INDEX(選手一覧!$E$5:$E$2736,$F751))</f>
        <v/>
      </c>
      <c r="I751" s="11" t="str">
        <f aca="false">IF(INDEX(選手一覧!$H$5:$H$2736,$F751)="","",INDEX(選手一覧!$H$5:$H$2736,$F751))</f>
        <v/>
      </c>
      <c r="J751" s="12" t="str">
        <f aca="false">IF(INDEX(選手一覧!$I$5:$I$2736,$F751)="","",INDEX(選手一覧!$I$5:$I$2736,$F751))</f>
        <v/>
      </c>
    </row>
    <row r="752" customFormat="false" ht="15" hidden="false" customHeight="false" outlineLevel="0" collapsed="false">
      <c r="A752" s="12" t="n">
        <v>749</v>
      </c>
      <c r="B752" s="8" t="s">
        <v>2904</v>
      </c>
      <c r="C752" s="8" t="s">
        <v>382</v>
      </c>
      <c r="D752" s="11" t="n">
        <v>0.00737881944444444</v>
      </c>
      <c r="E752" s="39" t="n">
        <f aca="false">ROUND((D752-$D$5)*86400,2)</f>
        <v>98.51</v>
      </c>
      <c r="F752" s="12" t="n">
        <v>1867</v>
      </c>
      <c r="G752" s="11" t="str">
        <f aca="false">IF(INDEX(選手一覧!$D$5:$D$2736,$F752)="","",INDEX(選手一覧!$D$5:$D$2736,$F752))</f>
        <v/>
      </c>
      <c r="H752" s="12" t="str">
        <f aca="false">IF(INDEX(選手一覧!$E$5:$E$2736,$F752)="","",INDEX(選手一覧!$E$5:$E$2736,$F752))</f>
        <v/>
      </c>
      <c r="I752" s="11" t="str">
        <f aca="false">IF(INDEX(選手一覧!$H$5:$H$2736,$F752)="","",INDEX(選手一覧!$H$5:$H$2736,$F752))</f>
        <v/>
      </c>
      <c r="J752" s="12" t="str">
        <f aca="false">IF(INDEX(選手一覧!$I$5:$I$2736,$F752)="","",INDEX(選手一覧!$I$5:$I$2736,$F752))</f>
        <v/>
      </c>
    </row>
    <row r="753" customFormat="false" ht="15" hidden="false" customHeight="false" outlineLevel="0" collapsed="false">
      <c r="A753" s="12" t="n">
        <v>750</v>
      </c>
      <c r="B753" s="8" t="s">
        <v>2905</v>
      </c>
      <c r="C753" s="8" t="s">
        <v>2906</v>
      </c>
      <c r="D753" s="11" t="n">
        <v>0.00737939814814815</v>
      </c>
      <c r="E753" s="39" t="n">
        <f aca="false">ROUND((D753-$D$5)*86400,2)</f>
        <v>98.56</v>
      </c>
      <c r="F753" s="12" t="n">
        <v>1868</v>
      </c>
      <c r="G753" s="11" t="str">
        <f aca="false">IF(INDEX(選手一覧!$D$5:$D$2736,$F753)="","",INDEX(選手一覧!$D$5:$D$2736,$F753))</f>
        <v/>
      </c>
      <c r="H753" s="12" t="str">
        <f aca="false">IF(INDEX(選手一覧!$E$5:$E$2736,$F753)="","",INDEX(選手一覧!$E$5:$E$2736,$F753))</f>
        <v/>
      </c>
      <c r="I753" s="11" t="str">
        <f aca="false">IF(INDEX(選手一覧!$H$5:$H$2736,$F753)="","",INDEX(選手一覧!$H$5:$H$2736,$F753))</f>
        <v/>
      </c>
      <c r="J753" s="12" t="str">
        <f aca="false">IF(INDEX(選手一覧!$I$5:$I$2736,$F753)="","",INDEX(選手一覧!$I$5:$I$2736,$F753))</f>
        <v/>
      </c>
    </row>
    <row r="754" customFormat="false" ht="15" hidden="false" customHeight="false" outlineLevel="0" collapsed="false">
      <c r="A754" s="12" t="n">
        <v>751</v>
      </c>
      <c r="B754" s="8" t="s">
        <v>2909</v>
      </c>
      <c r="C754" s="8" t="s">
        <v>2910</v>
      </c>
      <c r="D754" s="11" t="n">
        <v>0.00737986111111111</v>
      </c>
      <c r="E754" s="39" t="n">
        <f aca="false">ROUND((D754-$D$5)*86400,2)</f>
        <v>98.6</v>
      </c>
      <c r="F754" s="12" t="n">
        <v>1870</v>
      </c>
      <c r="G754" s="11" t="str">
        <f aca="false">IF(INDEX(選手一覧!$D$5:$D$2736,$F754)="","",INDEX(選手一覧!$D$5:$D$2736,$F754))</f>
        <v/>
      </c>
      <c r="H754" s="12" t="str">
        <f aca="false">IF(INDEX(選手一覧!$E$5:$E$2736,$F754)="","",INDEX(選手一覧!$E$5:$E$2736,$F754))</f>
        <v/>
      </c>
      <c r="I754" s="11" t="str">
        <f aca="false">IF(INDEX(選手一覧!$H$5:$H$2736,$F754)="","",INDEX(選手一覧!$H$5:$H$2736,$F754))</f>
        <v/>
      </c>
      <c r="J754" s="12" t="str">
        <f aca="false">IF(INDEX(選手一覧!$I$5:$I$2736,$F754)="","",INDEX(選手一覧!$I$5:$I$2736,$F754))</f>
        <v/>
      </c>
    </row>
    <row r="755" customFormat="false" ht="15" hidden="false" customHeight="false" outlineLevel="0" collapsed="false">
      <c r="A755" s="12" t="n">
        <v>752</v>
      </c>
      <c r="B755" s="8" t="s">
        <v>2911</v>
      </c>
      <c r="C755" s="8" t="s">
        <v>1767</v>
      </c>
      <c r="D755" s="11" t="n">
        <v>0.00738032407407407</v>
      </c>
      <c r="E755" s="39" t="n">
        <f aca="false">ROUND((D755-$D$5)*86400,2)</f>
        <v>98.64</v>
      </c>
      <c r="F755" s="12" t="n">
        <v>1871</v>
      </c>
      <c r="G755" s="11" t="str">
        <f aca="false">IF(INDEX(選手一覧!$D$5:$D$2736,$F755)="","",INDEX(選手一覧!$D$5:$D$2736,$F755))</f>
        <v/>
      </c>
      <c r="H755" s="12" t="str">
        <f aca="false">IF(INDEX(選手一覧!$E$5:$E$2736,$F755)="","",INDEX(選手一覧!$E$5:$E$2736,$F755))</f>
        <v/>
      </c>
      <c r="I755" s="11" t="n">
        <f aca="false">IF(INDEX(選手一覧!$H$5:$H$2736,$F755)="","",INDEX(選手一覧!$H$5:$H$2736,$F755))</f>
        <v>0.00289409722222222</v>
      </c>
      <c r="J755" s="12" t="n">
        <f aca="false">IF(INDEX(選手一覧!$I$5:$I$2736,$F755)="","",INDEX(選手一覧!$I$5:$I$2736,$F755))</f>
        <v>905</v>
      </c>
    </row>
    <row r="756" customFormat="false" ht="15" hidden="false" customHeight="false" outlineLevel="0" collapsed="false">
      <c r="A756" s="12" t="n">
        <v>753</v>
      </c>
      <c r="B756" s="8" t="s">
        <v>2914</v>
      </c>
      <c r="C756" s="8" t="s">
        <v>2915</v>
      </c>
      <c r="D756" s="11" t="n">
        <v>0.00738055555555556</v>
      </c>
      <c r="E756" s="39" t="n">
        <f aca="false">ROUND((D756-$D$5)*86400,2)</f>
        <v>98.66</v>
      </c>
      <c r="F756" s="12" t="n">
        <v>1873</v>
      </c>
      <c r="G756" s="11" t="str">
        <f aca="false">IF(INDEX(選手一覧!$D$5:$D$2736,$F756)="","",INDEX(選手一覧!$D$5:$D$2736,$F756))</f>
        <v/>
      </c>
      <c r="H756" s="12" t="str">
        <f aca="false">IF(INDEX(選手一覧!$E$5:$E$2736,$F756)="","",INDEX(選手一覧!$E$5:$E$2736,$F756))</f>
        <v/>
      </c>
      <c r="I756" s="11" t="str">
        <f aca="false">IF(INDEX(選手一覧!$H$5:$H$2736,$F756)="","",INDEX(選手一覧!$H$5:$H$2736,$F756))</f>
        <v/>
      </c>
      <c r="J756" s="12" t="str">
        <f aca="false">IF(INDEX(選手一覧!$I$5:$I$2736,$F756)="","",INDEX(選手一覧!$I$5:$I$2736,$F756))</f>
        <v/>
      </c>
    </row>
    <row r="757" customFormat="false" ht="15" hidden="false" customHeight="false" outlineLevel="0" collapsed="false">
      <c r="A757" s="12" t="n">
        <v>754</v>
      </c>
      <c r="B757" s="8" t="s">
        <v>2916</v>
      </c>
      <c r="C757" s="8" t="s">
        <v>2917</v>
      </c>
      <c r="D757" s="11" t="n">
        <v>0.00738090277777778</v>
      </c>
      <c r="E757" s="39" t="n">
        <f aca="false">ROUND((D757-$D$5)*86400,2)</f>
        <v>98.69</v>
      </c>
      <c r="F757" s="12" t="n">
        <v>1874</v>
      </c>
      <c r="G757" s="11" t="str">
        <f aca="false">IF(INDEX(選手一覧!$D$5:$D$2736,$F757)="","",INDEX(選手一覧!$D$5:$D$2736,$F757))</f>
        <v/>
      </c>
      <c r="H757" s="12" t="str">
        <f aca="false">IF(INDEX(選手一覧!$E$5:$E$2736,$F757)="","",INDEX(選手一覧!$E$5:$E$2736,$F757))</f>
        <v/>
      </c>
      <c r="I757" s="11" t="str">
        <f aca="false">IF(INDEX(選手一覧!$H$5:$H$2736,$F757)="","",INDEX(選手一覧!$H$5:$H$2736,$F757))</f>
        <v/>
      </c>
      <c r="J757" s="12" t="str">
        <f aca="false">IF(INDEX(選手一覧!$I$5:$I$2736,$F757)="","",INDEX(選手一覧!$I$5:$I$2736,$F757))</f>
        <v/>
      </c>
    </row>
    <row r="758" customFormat="false" ht="15" hidden="false" customHeight="false" outlineLevel="0" collapsed="false">
      <c r="A758" s="12" t="n">
        <v>755</v>
      </c>
      <c r="B758" s="8" t="s">
        <v>2920</v>
      </c>
      <c r="C758" s="8" t="s">
        <v>568</v>
      </c>
      <c r="D758" s="11" t="n">
        <v>0.00738402777777778</v>
      </c>
      <c r="E758" s="39" t="n">
        <f aca="false">ROUND((D758-$D$5)*86400,2)</f>
        <v>98.96</v>
      </c>
      <c r="F758" s="12" t="n">
        <v>1876</v>
      </c>
      <c r="G758" s="11" t="str">
        <f aca="false">IF(INDEX(選手一覧!$D$5:$D$2736,$F758)="","",INDEX(選手一覧!$D$5:$D$2736,$F758))</f>
        <v/>
      </c>
      <c r="H758" s="12" t="str">
        <f aca="false">IF(INDEX(選手一覧!$E$5:$E$2736,$F758)="","",INDEX(選手一覧!$E$5:$E$2736,$F758))</f>
        <v/>
      </c>
      <c r="I758" s="11" t="str">
        <f aca="false">IF(INDEX(選手一覧!$H$5:$H$2736,$F758)="","",INDEX(選手一覧!$H$5:$H$2736,$F758))</f>
        <v/>
      </c>
      <c r="J758" s="12" t="str">
        <f aca="false">IF(INDEX(選手一覧!$I$5:$I$2736,$F758)="","",INDEX(選手一覧!$I$5:$I$2736,$F758))</f>
        <v/>
      </c>
    </row>
    <row r="759" customFormat="false" ht="15" hidden="false" customHeight="false" outlineLevel="0" collapsed="false">
      <c r="A759" s="12" t="n">
        <v>756</v>
      </c>
      <c r="B759" s="8" t="s">
        <v>2921</v>
      </c>
      <c r="C759" s="8" t="s">
        <v>2922</v>
      </c>
      <c r="D759" s="11" t="n">
        <v>0.00738414351851852</v>
      </c>
      <c r="E759" s="39" t="n">
        <f aca="false">ROUND((D759-$D$5)*86400,2)</f>
        <v>98.97</v>
      </c>
      <c r="F759" s="12" t="n">
        <v>1877</v>
      </c>
      <c r="G759" s="11" t="str">
        <f aca="false">IF(INDEX(選手一覧!$D$5:$D$2736,$F759)="","",INDEX(選手一覧!$D$5:$D$2736,$F759))</f>
        <v/>
      </c>
      <c r="H759" s="12" t="str">
        <f aca="false">IF(INDEX(選手一覧!$E$5:$E$2736,$F759)="","",INDEX(選手一覧!$E$5:$E$2736,$F759))</f>
        <v/>
      </c>
      <c r="I759" s="11" t="str">
        <f aca="false">IF(INDEX(選手一覧!$H$5:$H$2736,$F759)="","",INDEX(選手一覧!$H$5:$H$2736,$F759))</f>
        <v/>
      </c>
      <c r="J759" s="12" t="str">
        <f aca="false">IF(INDEX(選手一覧!$I$5:$I$2736,$F759)="","",INDEX(選手一覧!$I$5:$I$2736,$F759))</f>
        <v/>
      </c>
    </row>
    <row r="760" customFormat="false" ht="15" hidden="false" customHeight="false" outlineLevel="0" collapsed="false">
      <c r="A760" s="12" t="n">
        <v>757</v>
      </c>
      <c r="B760" s="8" t="s">
        <v>2923</v>
      </c>
      <c r="C760" s="8" t="s">
        <v>2924</v>
      </c>
      <c r="D760" s="11" t="n">
        <v>0.00739236111111111</v>
      </c>
      <c r="E760" s="39" t="n">
        <f aca="false">ROUND((D760-$D$5)*86400,2)</f>
        <v>99.68</v>
      </c>
      <c r="F760" s="12" t="n">
        <v>1878</v>
      </c>
      <c r="G760" s="11" t="str">
        <f aca="false">IF(INDEX(選手一覧!$D$5:$D$2736,$F760)="","",INDEX(選手一覧!$D$5:$D$2736,$F760))</f>
        <v/>
      </c>
      <c r="H760" s="12" t="str">
        <f aca="false">IF(INDEX(選手一覧!$E$5:$E$2736,$F760)="","",INDEX(選手一覧!$E$5:$E$2736,$F760))</f>
        <v/>
      </c>
      <c r="I760" s="11" t="str">
        <f aca="false">IF(INDEX(選手一覧!$H$5:$H$2736,$F760)="","",INDEX(選手一覧!$H$5:$H$2736,$F760))</f>
        <v/>
      </c>
      <c r="J760" s="12" t="str">
        <f aca="false">IF(INDEX(選手一覧!$I$5:$I$2736,$F760)="","",INDEX(選手一覧!$I$5:$I$2736,$F760))</f>
        <v/>
      </c>
    </row>
    <row r="761" customFormat="false" ht="15" hidden="false" customHeight="false" outlineLevel="0" collapsed="false">
      <c r="A761" s="12" t="n">
        <v>758</v>
      </c>
      <c r="B761" s="8" t="s">
        <v>2926</v>
      </c>
      <c r="C761" s="8" t="s">
        <v>2459</v>
      </c>
      <c r="D761" s="11" t="n">
        <v>0.00738599537037037</v>
      </c>
      <c r="E761" s="39" t="n">
        <f aca="false">ROUND((D761-$D$5)*86400,2)</f>
        <v>99.13</v>
      </c>
      <c r="F761" s="12" t="n">
        <v>1879</v>
      </c>
      <c r="G761" s="11" t="str">
        <f aca="false">IF(INDEX(選手一覧!$D$5:$D$2736,$F761)="","",INDEX(選手一覧!$D$5:$D$2736,$F761))</f>
        <v/>
      </c>
      <c r="H761" s="12" t="str">
        <f aca="false">IF(INDEX(選手一覧!$E$5:$E$2736,$F761)="","",INDEX(選手一覧!$E$5:$E$2736,$F761))</f>
        <v/>
      </c>
      <c r="I761" s="11" t="str">
        <f aca="false">IF(INDEX(選手一覧!$H$5:$H$2736,$F761)="","",INDEX(選手一覧!$H$5:$H$2736,$F761))</f>
        <v/>
      </c>
      <c r="J761" s="12" t="str">
        <f aca="false">IF(INDEX(選手一覧!$I$5:$I$2736,$F761)="","",INDEX(選手一覧!$I$5:$I$2736,$F761))</f>
        <v/>
      </c>
    </row>
    <row r="762" customFormat="false" ht="15" hidden="false" customHeight="false" outlineLevel="0" collapsed="false">
      <c r="A762" s="12" t="n">
        <v>759</v>
      </c>
      <c r="B762" s="8" t="s">
        <v>2929</v>
      </c>
      <c r="C762" s="8" t="s">
        <v>2930</v>
      </c>
      <c r="D762" s="11" t="n">
        <v>0.00738912037037037</v>
      </c>
      <c r="E762" s="39" t="n">
        <f aca="false">ROUND((D762-$D$5)*86400,2)</f>
        <v>99.4</v>
      </c>
      <c r="F762" s="12" t="n">
        <v>1881</v>
      </c>
      <c r="G762" s="11" t="str">
        <f aca="false">IF(INDEX(選手一覧!$D$5:$D$2736,$F762)="","",INDEX(選手一覧!$D$5:$D$2736,$F762))</f>
        <v/>
      </c>
      <c r="H762" s="12" t="str">
        <f aca="false">IF(INDEX(選手一覧!$E$5:$E$2736,$F762)="","",INDEX(選手一覧!$E$5:$E$2736,$F762))</f>
        <v/>
      </c>
      <c r="I762" s="11" t="str">
        <f aca="false">IF(INDEX(選手一覧!$H$5:$H$2736,$F762)="","",INDEX(選手一覧!$H$5:$H$2736,$F762))</f>
        <v/>
      </c>
      <c r="J762" s="12" t="str">
        <f aca="false">IF(INDEX(選手一覧!$I$5:$I$2736,$F762)="","",INDEX(選手一覧!$I$5:$I$2736,$F762))</f>
        <v/>
      </c>
    </row>
    <row r="763" customFormat="false" ht="15" hidden="false" customHeight="false" outlineLevel="0" collapsed="false">
      <c r="A763" s="12" t="n">
        <v>760</v>
      </c>
      <c r="B763" s="8" t="s">
        <v>1198</v>
      </c>
      <c r="C763" s="8" t="s">
        <v>612</v>
      </c>
      <c r="D763" s="11" t="n">
        <v>0.00738912037037037</v>
      </c>
      <c r="E763" s="39" t="n">
        <f aca="false">ROUND((D763-$D$5)*86400,2)</f>
        <v>99.4</v>
      </c>
      <c r="F763" s="12" t="n">
        <v>717</v>
      </c>
      <c r="G763" s="11" t="n">
        <f aca="false">IF(INDEX(選手一覧!$D$5:$D$2736,$F763)="","",INDEX(選手一覧!$D$5:$D$2736,$F763))</f>
        <v>0.0107881944444444</v>
      </c>
      <c r="H763" s="12" t="n">
        <f aca="false">IF(INDEX(選手一覧!$E$5:$E$2736,$F763)="","",INDEX(選手一覧!$E$5:$E$2736,$F763))</f>
        <v>718</v>
      </c>
      <c r="I763" s="11" t="n">
        <f aca="false">IF(INDEX(選手一覧!$H$5:$H$2736,$F763)="","",INDEX(選手一覧!$H$5:$H$2736,$F763))</f>
        <v>0.00278356481481482</v>
      </c>
      <c r="J763" s="12" t="n">
        <f aca="false">IF(INDEX(選手一覧!$I$5:$I$2736,$F763)="","",INDEX(選手一覧!$I$5:$I$2736,$F763))</f>
        <v>214</v>
      </c>
    </row>
    <row r="764" customFormat="false" ht="15" hidden="false" customHeight="false" outlineLevel="0" collapsed="false">
      <c r="A764" s="12" t="n">
        <v>761</v>
      </c>
      <c r="B764" s="8" t="s">
        <v>2933</v>
      </c>
      <c r="C764" s="8" t="s">
        <v>2146</v>
      </c>
      <c r="D764" s="11" t="n">
        <v>0.00738958333333333</v>
      </c>
      <c r="E764" s="39" t="n">
        <f aca="false">ROUND((D764-$D$5)*86400,2)</f>
        <v>99.44</v>
      </c>
      <c r="F764" s="12" t="n">
        <v>1883</v>
      </c>
      <c r="G764" s="11" t="str">
        <f aca="false">IF(INDEX(選手一覧!$D$5:$D$2736,$F764)="","",INDEX(選手一覧!$D$5:$D$2736,$F764))</f>
        <v/>
      </c>
      <c r="H764" s="12" t="str">
        <f aca="false">IF(INDEX(選手一覧!$E$5:$E$2736,$F764)="","",INDEX(選手一覧!$E$5:$E$2736,$F764))</f>
        <v/>
      </c>
      <c r="I764" s="11" t="str">
        <f aca="false">IF(INDEX(選手一覧!$H$5:$H$2736,$F764)="","",INDEX(選手一覧!$H$5:$H$2736,$F764))</f>
        <v/>
      </c>
      <c r="J764" s="12" t="str">
        <f aca="false">IF(INDEX(選手一覧!$I$5:$I$2736,$F764)="","",INDEX(選手一覧!$I$5:$I$2736,$F764))</f>
        <v/>
      </c>
    </row>
    <row r="765" customFormat="false" ht="15" hidden="false" customHeight="false" outlineLevel="0" collapsed="false">
      <c r="A765" s="12" t="n">
        <v>762</v>
      </c>
      <c r="B765" s="8" t="s">
        <v>2934</v>
      </c>
      <c r="C765" s="8" t="s">
        <v>479</v>
      </c>
      <c r="D765" s="11" t="n">
        <v>0.00738969907407408</v>
      </c>
      <c r="E765" s="39" t="n">
        <f aca="false">ROUND((D765-$D$5)*86400,2)</f>
        <v>99.45</v>
      </c>
      <c r="F765" s="12" t="n">
        <v>1884</v>
      </c>
      <c r="G765" s="11" t="str">
        <f aca="false">IF(INDEX(選手一覧!$D$5:$D$2736,$F765)="","",INDEX(選手一覧!$D$5:$D$2736,$F765))</f>
        <v/>
      </c>
      <c r="H765" s="12" t="str">
        <f aca="false">IF(INDEX(選手一覧!$E$5:$E$2736,$F765)="","",INDEX(選手一覧!$E$5:$E$2736,$F765))</f>
        <v/>
      </c>
      <c r="I765" s="11" t="n">
        <f aca="false">IF(INDEX(選手一覧!$H$5:$H$2736,$F765)="","",INDEX(選手一覧!$H$5:$H$2736,$F765))</f>
        <v>0.00297581018518519</v>
      </c>
      <c r="J765" s="12" t="n">
        <f aca="false">IF(INDEX(選手一覧!$I$5:$I$2736,$F765)="","",INDEX(選手一覧!$I$5:$I$2736,$F765))</f>
        <v>1333</v>
      </c>
    </row>
    <row r="766" customFormat="false" ht="15" hidden="false" customHeight="false" outlineLevel="0" collapsed="false">
      <c r="A766" s="12" t="n">
        <v>763</v>
      </c>
      <c r="B766" s="8" t="s">
        <v>2936</v>
      </c>
      <c r="C766" s="8" t="s">
        <v>2937</v>
      </c>
      <c r="D766" s="11" t="n">
        <v>0.00739143518518519</v>
      </c>
      <c r="E766" s="39" t="n">
        <f aca="false">ROUND((D766-$D$5)*86400,2)</f>
        <v>99.6</v>
      </c>
      <c r="F766" s="12" t="n">
        <v>1886</v>
      </c>
      <c r="G766" s="11" t="str">
        <f aca="false">IF(INDEX(選手一覧!$D$5:$D$2736,$F766)="","",INDEX(選手一覧!$D$5:$D$2736,$F766))</f>
        <v/>
      </c>
      <c r="H766" s="12" t="str">
        <f aca="false">IF(INDEX(選手一覧!$E$5:$E$2736,$F766)="","",INDEX(選手一覧!$E$5:$E$2736,$F766))</f>
        <v/>
      </c>
      <c r="I766" s="11" t="str">
        <f aca="false">IF(INDEX(選手一覧!$H$5:$H$2736,$F766)="","",INDEX(選手一覧!$H$5:$H$2736,$F766))</f>
        <v/>
      </c>
      <c r="J766" s="12" t="str">
        <f aca="false">IF(INDEX(選手一覧!$I$5:$I$2736,$F766)="","",INDEX(選手一覧!$I$5:$I$2736,$F766))</f>
        <v/>
      </c>
    </row>
    <row r="767" customFormat="false" ht="15" hidden="false" customHeight="false" outlineLevel="0" collapsed="false">
      <c r="A767" s="12" t="n">
        <v>764</v>
      </c>
      <c r="B767" s="8" t="s">
        <v>2939</v>
      </c>
      <c r="C767" s="8" t="s">
        <v>772</v>
      </c>
      <c r="D767" s="11" t="n">
        <v>0.00739247685185185</v>
      </c>
      <c r="E767" s="39" t="n">
        <f aca="false">ROUND((D767-$D$5)*86400,2)</f>
        <v>99.69</v>
      </c>
      <c r="F767" s="12" t="n">
        <v>1888</v>
      </c>
      <c r="G767" s="11" t="str">
        <f aca="false">IF(INDEX(選手一覧!$D$5:$D$2736,$F767)="","",INDEX(選手一覧!$D$5:$D$2736,$F767))</f>
        <v/>
      </c>
      <c r="H767" s="12" t="str">
        <f aca="false">IF(INDEX(選手一覧!$E$5:$E$2736,$F767)="","",INDEX(選手一覧!$E$5:$E$2736,$F767))</f>
        <v/>
      </c>
      <c r="I767" s="11" t="str">
        <f aca="false">IF(INDEX(選手一覧!$H$5:$H$2736,$F767)="","",INDEX(選手一覧!$H$5:$H$2736,$F767))</f>
        <v/>
      </c>
      <c r="J767" s="12" t="str">
        <f aca="false">IF(INDEX(選手一覧!$I$5:$I$2736,$F767)="","",INDEX(選手一覧!$I$5:$I$2736,$F767))</f>
        <v/>
      </c>
    </row>
    <row r="768" customFormat="false" ht="15" hidden="false" customHeight="false" outlineLevel="0" collapsed="false">
      <c r="A768" s="12" t="n">
        <v>765</v>
      </c>
      <c r="B768" s="8" t="s">
        <v>369</v>
      </c>
      <c r="C768" s="8" t="s">
        <v>370</v>
      </c>
      <c r="D768" s="11" t="n">
        <v>0.00739351851851852</v>
      </c>
      <c r="E768" s="39" t="n">
        <f aca="false">ROUND((D768-$D$5)*86400,2)</f>
        <v>99.78</v>
      </c>
      <c r="F768" s="12" t="n">
        <v>185</v>
      </c>
      <c r="G768" s="11" t="n">
        <f aca="false">IF(INDEX(選手一覧!$D$5:$D$2736,$F768)="","",INDEX(選手一覧!$D$5:$D$2736,$F768))</f>
        <v>0.0103365740740741</v>
      </c>
      <c r="H768" s="12" t="n">
        <f aca="false">IF(INDEX(選手一覧!$E$5:$E$2736,$F768)="","",INDEX(選手一覧!$E$5:$E$2736,$F768))</f>
        <v>186</v>
      </c>
      <c r="I768" s="11" t="n">
        <f aca="false">IF(INDEX(選手一覧!$H$5:$H$2736,$F768)="","",INDEX(選手一覧!$H$5:$H$2736,$F768))</f>
        <v>0.002790625</v>
      </c>
      <c r="J768" s="12" t="n">
        <f aca="false">IF(INDEX(選手一覧!$I$5:$I$2736,$F768)="","",INDEX(選手一覧!$I$5:$I$2736,$F768))</f>
        <v>243</v>
      </c>
    </row>
    <row r="769" customFormat="false" ht="15" hidden="false" customHeight="false" outlineLevel="0" collapsed="false">
      <c r="A769" s="12" t="n">
        <v>766</v>
      </c>
      <c r="B769" s="8" t="s">
        <v>2942</v>
      </c>
      <c r="C769" s="8" t="s">
        <v>2943</v>
      </c>
      <c r="D769" s="11" t="n">
        <v>0.00739409722222222</v>
      </c>
      <c r="E769" s="39" t="n">
        <f aca="false">ROUND((D769-$D$5)*86400,2)</f>
        <v>99.83</v>
      </c>
      <c r="F769" s="12" t="n">
        <v>1891</v>
      </c>
      <c r="G769" s="11" t="str">
        <f aca="false">IF(INDEX(選手一覧!$D$5:$D$2736,$F769)="","",INDEX(選手一覧!$D$5:$D$2736,$F769))</f>
        <v/>
      </c>
      <c r="H769" s="12" t="str">
        <f aca="false">IF(INDEX(選手一覧!$E$5:$E$2736,$F769)="","",INDEX(選手一覧!$E$5:$E$2736,$F769))</f>
        <v/>
      </c>
      <c r="I769" s="11" t="str">
        <f aca="false">IF(INDEX(選手一覧!$H$5:$H$2736,$F769)="","",INDEX(選手一覧!$H$5:$H$2736,$F769))</f>
        <v/>
      </c>
      <c r="J769" s="12" t="str">
        <f aca="false">IF(INDEX(選手一覧!$I$5:$I$2736,$F769)="","",INDEX(選手一覧!$I$5:$I$2736,$F769))</f>
        <v/>
      </c>
    </row>
    <row r="770" customFormat="false" ht="15" hidden="false" customHeight="false" outlineLevel="0" collapsed="false">
      <c r="A770" s="12" t="n">
        <v>767</v>
      </c>
      <c r="B770" s="8" t="s">
        <v>2945</v>
      </c>
      <c r="C770" s="8" t="s">
        <v>742</v>
      </c>
      <c r="D770" s="11" t="n">
        <v>0.00739548611111111</v>
      </c>
      <c r="E770" s="39" t="n">
        <f aca="false">ROUND((D770-$D$5)*86400,2)</f>
        <v>99.95</v>
      </c>
      <c r="F770" s="12" t="n">
        <v>1893</v>
      </c>
      <c r="G770" s="11" t="str">
        <f aca="false">IF(INDEX(選手一覧!$D$5:$D$2736,$F770)="","",INDEX(選手一覧!$D$5:$D$2736,$F770))</f>
        <v/>
      </c>
      <c r="H770" s="12" t="str">
        <f aca="false">IF(INDEX(選手一覧!$E$5:$E$2736,$F770)="","",INDEX(選手一覧!$E$5:$E$2736,$F770))</f>
        <v/>
      </c>
      <c r="I770" s="11" t="str">
        <f aca="false">IF(INDEX(選手一覧!$H$5:$H$2736,$F770)="","",INDEX(選手一覧!$H$5:$H$2736,$F770))</f>
        <v/>
      </c>
      <c r="J770" s="12" t="str">
        <f aca="false">IF(INDEX(選手一覧!$I$5:$I$2736,$F770)="","",INDEX(選手一覧!$I$5:$I$2736,$F770))</f>
        <v/>
      </c>
    </row>
    <row r="771" customFormat="false" ht="15" hidden="false" customHeight="false" outlineLevel="0" collapsed="false">
      <c r="A771" s="12" t="n">
        <v>768</v>
      </c>
      <c r="B771" s="8" t="s">
        <v>2948</v>
      </c>
      <c r="C771" s="8" t="s">
        <v>2949</v>
      </c>
      <c r="D771" s="11" t="n">
        <v>0.00739571759259259</v>
      </c>
      <c r="E771" s="39" t="n">
        <f aca="false">ROUND((D771-$D$5)*86400,2)</f>
        <v>99.97</v>
      </c>
      <c r="F771" s="12" t="n">
        <v>1895</v>
      </c>
      <c r="G771" s="11" t="str">
        <f aca="false">IF(INDEX(選手一覧!$D$5:$D$2736,$F771)="","",INDEX(選手一覧!$D$5:$D$2736,$F771))</f>
        <v/>
      </c>
      <c r="H771" s="12" t="str">
        <f aca="false">IF(INDEX(選手一覧!$E$5:$E$2736,$F771)="","",INDEX(選手一覧!$E$5:$E$2736,$F771))</f>
        <v/>
      </c>
      <c r="I771" s="11" t="str">
        <f aca="false">IF(INDEX(選手一覧!$H$5:$H$2736,$F771)="","",INDEX(選手一覧!$H$5:$H$2736,$F771))</f>
        <v/>
      </c>
      <c r="J771" s="12" t="str">
        <f aca="false">IF(INDEX(選手一覧!$I$5:$I$2736,$F771)="","",INDEX(選手一覧!$I$5:$I$2736,$F771))</f>
        <v/>
      </c>
    </row>
    <row r="772" customFormat="false" ht="15" hidden="false" customHeight="false" outlineLevel="0" collapsed="false">
      <c r="A772" s="12" t="n">
        <v>769</v>
      </c>
      <c r="B772" s="8" t="s">
        <v>2950</v>
      </c>
      <c r="C772" s="8" t="s">
        <v>2951</v>
      </c>
      <c r="D772" s="11" t="n">
        <v>0.007396875</v>
      </c>
      <c r="E772" s="39" t="n">
        <f aca="false">ROUND((D772-$D$5)*86400,2)</f>
        <v>100.07</v>
      </c>
      <c r="F772" s="12" t="n">
        <v>1896</v>
      </c>
      <c r="G772" s="11" t="str">
        <f aca="false">IF(INDEX(選手一覧!$D$5:$D$2736,$F772)="","",INDEX(選手一覧!$D$5:$D$2736,$F772))</f>
        <v/>
      </c>
      <c r="H772" s="12" t="str">
        <f aca="false">IF(INDEX(選手一覧!$E$5:$E$2736,$F772)="","",INDEX(選手一覧!$E$5:$E$2736,$F772))</f>
        <v/>
      </c>
      <c r="I772" s="11" t="str">
        <f aca="false">IF(INDEX(選手一覧!$H$5:$H$2736,$F772)="","",INDEX(選手一覧!$H$5:$H$2736,$F772))</f>
        <v/>
      </c>
      <c r="J772" s="12" t="str">
        <f aca="false">IF(INDEX(選手一覧!$I$5:$I$2736,$F772)="","",INDEX(選手一覧!$I$5:$I$2736,$F772))</f>
        <v/>
      </c>
    </row>
    <row r="773" customFormat="false" ht="15" hidden="false" customHeight="false" outlineLevel="0" collapsed="false">
      <c r="A773" s="12" t="n">
        <v>770</v>
      </c>
      <c r="B773" s="8" t="s">
        <v>2952</v>
      </c>
      <c r="C773" s="8" t="s">
        <v>2426</v>
      </c>
      <c r="D773" s="11" t="n">
        <v>0.00739780092592593</v>
      </c>
      <c r="E773" s="39" t="n">
        <f aca="false">ROUND((D773-$D$5)*86400,2)</f>
        <v>100.15</v>
      </c>
      <c r="F773" s="12" t="n">
        <v>1897</v>
      </c>
      <c r="G773" s="11" t="str">
        <f aca="false">IF(INDEX(選手一覧!$D$5:$D$2736,$F773)="","",INDEX(選手一覧!$D$5:$D$2736,$F773))</f>
        <v/>
      </c>
      <c r="H773" s="12" t="str">
        <f aca="false">IF(INDEX(選手一覧!$E$5:$E$2736,$F773)="","",INDEX(選手一覧!$E$5:$E$2736,$F773))</f>
        <v/>
      </c>
      <c r="I773" s="11" t="str">
        <f aca="false">IF(INDEX(選手一覧!$H$5:$H$2736,$F773)="","",INDEX(選手一覧!$H$5:$H$2736,$F773))</f>
        <v/>
      </c>
      <c r="J773" s="12" t="str">
        <f aca="false">IF(INDEX(選手一覧!$I$5:$I$2736,$F773)="","",INDEX(選手一覧!$I$5:$I$2736,$F773))</f>
        <v/>
      </c>
    </row>
    <row r="774" customFormat="false" ht="15" hidden="false" customHeight="false" outlineLevel="0" collapsed="false">
      <c r="A774" s="12" t="n">
        <v>771</v>
      </c>
      <c r="B774" s="8" t="s">
        <v>2953</v>
      </c>
      <c r="C774" s="8" t="s">
        <v>2875</v>
      </c>
      <c r="D774" s="11" t="n">
        <v>0.00739988425925926</v>
      </c>
      <c r="E774" s="39" t="n">
        <f aca="false">ROUND((D774-$D$5)*86400,2)</f>
        <v>100.33</v>
      </c>
      <c r="F774" s="12" t="n">
        <v>1898</v>
      </c>
      <c r="G774" s="11" t="str">
        <f aca="false">IF(INDEX(選手一覧!$D$5:$D$2736,$F774)="","",INDEX(選手一覧!$D$5:$D$2736,$F774))</f>
        <v/>
      </c>
      <c r="H774" s="12" t="str">
        <f aca="false">IF(INDEX(選手一覧!$E$5:$E$2736,$F774)="","",INDEX(選手一覧!$E$5:$E$2736,$F774))</f>
        <v/>
      </c>
      <c r="I774" s="11" t="str">
        <f aca="false">IF(INDEX(選手一覧!$H$5:$H$2736,$F774)="","",INDEX(選手一覧!$H$5:$H$2736,$F774))</f>
        <v/>
      </c>
      <c r="J774" s="12" t="str">
        <f aca="false">IF(INDEX(選手一覧!$I$5:$I$2736,$F774)="","",INDEX(選手一覧!$I$5:$I$2736,$F774))</f>
        <v/>
      </c>
    </row>
    <row r="775" customFormat="false" ht="15" hidden="false" customHeight="false" outlineLevel="0" collapsed="false">
      <c r="A775" s="12" t="n">
        <v>772</v>
      </c>
      <c r="B775" s="8" t="s">
        <v>2954</v>
      </c>
      <c r="C775" s="8" t="s">
        <v>1335</v>
      </c>
      <c r="D775" s="11" t="n">
        <v>0.00740138888888889</v>
      </c>
      <c r="E775" s="39" t="n">
        <f aca="false">ROUND((D775-$D$5)*86400,2)</f>
        <v>100.46</v>
      </c>
      <c r="F775" s="12" t="n">
        <v>1899</v>
      </c>
      <c r="G775" s="11" t="str">
        <f aca="false">IF(INDEX(選手一覧!$D$5:$D$2736,$F775)="","",INDEX(選手一覧!$D$5:$D$2736,$F775))</f>
        <v/>
      </c>
      <c r="H775" s="12" t="str">
        <f aca="false">IF(INDEX(選手一覧!$E$5:$E$2736,$F775)="","",INDEX(選手一覧!$E$5:$E$2736,$F775))</f>
        <v/>
      </c>
      <c r="I775" s="11" t="str">
        <f aca="false">IF(INDEX(選手一覧!$H$5:$H$2736,$F775)="","",INDEX(選手一覧!$H$5:$H$2736,$F775))</f>
        <v/>
      </c>
      <c r="J775" s="12" t="str">
        <f aca="false">IF(INDEX(選手一覧!$I$5:$I$2736,$F775)="","",INDEX(選手一覧!$I$5:$I$2736,$F775))</f>
        <v/>
      </c>
    </row>
    <row r="776" customFormat="false" ht="15" hidden="false" customHeight="false" outlineLevel="0" collapsed="false">
      <c r="A776" s="12" t="n">
        <v>773</v>
      </c>
      <c r="B776" s="8" t="s">
        <v>1845</v>
      </c>
      <c r="C776" s="8" t="s">
        <v>1224</v>
      </c>
      <c r="D776" s="11" t="n">
        <v>0.00740162037037037</v>
      </c>
      <c r="E776" s="39" t="n">
        <f aca="false">ROUND((D776-$D$5)*86400,2)</f>
        <v>100.48</v>
      </c>
      <c r="F776" s="12" t="n">
        <v>1151</v>
      </c>
      <c r="G776" s="11" t="n">
        <f aca="false">IF(INDEX(選手一覧!$D$5:$D$2736,$F776)="","",INDEX(選手一覧!$D$5:$D$2736,$F776))</f>
        <v>0.011030787037037</v>
      </c>
      <c r="H776" s="12" t="n">
        <f aca="false">IF(INDEX(選手一覧!$E$5:$E$2736,$F776)="","",INDEX(選手一覧!$E$5:$E$2736,$F776))</f>
        <v>1152</v>
      </c>
      <c r="I776" s="11" t="str">
        <f aca="false">IF(INDEX(選手一覧!$H$5:$H$2736,$F776)="","",INDEX(選手一覧!$H$5:$H$2736,$F776))</f>
        <v/>
      </c>
      <c r="J776" s="12" t="str">
        <f aca="false">IF(INDEX(選手一覧!$I$5:$I$2736,$F776)="","",INDEX(選手一覧!$I$5:$I$2736,$F776))</f>
        <v/>
      </c>
    </row>
    <row r="777" customFormat="false" ht="15" hidden="false" customHeight="false" outlineLevel="0" collapsed="false">
      <c r="A777" s="12" t="n">
        <v>774</v>
      </c>
      <c r="B777" s="8" t="s">
        <v>2958</v>
      </c>
      <c r="C777" s="8" t="s">
        <v>2959</v>
      </c>
      <c r="D777" s="11" t="n">
        <v>0.00740173611111111</v>
      </c>
      <c r="E777" s="39" t="n">
        <f aca="false">ROUND((D777-$D$5)*86400,2)</f>
        <v>100.49</v>
      </c>
      <c r="F777" s="12" t="n">
        <v>1902</v>
      </c>
      <c r="G777" s="11" t="str">
        <f aca="false">IF(INDEX(選手一覧!$D$5:$D$2736,$F777)="","",INDEX(選手一覧!$D$5:$D$2736,$F777))</f>
        <v/>
      </c>
      <c r="H777" s="12" t="str">
        <f aca="false">IF(INDEX(選手一覧!$E$5:$E$2736,$F777)="","",INDEX(選手一覧!$E$5:$E$2736,$F777))</f>
        <v/>
      </c>
      <c r="I777" s="11" t="str">
        <f aca="false">IF(INDEX(選手一覧!$H$5:$H$2736,$F777)="","",INDEX(選手一覧!$H$5:$H$2736,$F777))</f>
        <v/>
      </c>
      <c r="J777" s="12" t="str">
        <f aca="false">IF(INDEX(選手一覧!$I$5:$I$2736,$F777)="","",INDEX(選手一覧!$I$5:$I$2736,$F777))</f>
        <v/>
      </c>
    </row>
    <row r="778" customFormat="false" ht="15" hidden="false" customHeight="false" outlineLevel="0" collapsed="false">
      <c r="A778" s="12" t="n">
        <v>775</v>
      </c>
      <c r="B778" s="8" t="s">
        <v>2961</v>
      </c>
      <c r="C778" s="8" t="s">
        <v>2962</v>
      </c>
      <c r="D778" s="11" t="n">
        <v>0.00740243055555556</v>
      </c>
      <c r="E778" s="39" t="n">
        <f aca="false">ROUND((D778-$D$5)*86400,2)</f>
        <v>100.55</v>
      </c>
      <c r="F778" s="12" t="n">
        <v>1904</v>
      </c>
      <c r="G778" s="11" t="str">
        <f aca="false">IF(INDEX(選手一覧!$D$5:$D$2736,$F778)="","",INDEX(選手一覧!$D$5:$D$2736,$F778))</f>
        <v/>
      </c>
      <c r="H778" s="12" t="str">
        <f aca="false">IF(INDEX(選手一覧!$E$5:$E$2736,$F778)="","",INDEX(選手一覧!$E$5:$E$2736,$F778))</f>
        <v/>
      </c>
      <c r="I778" s="11" t="str">
        <f aca="false">IF(INDEX(選手一覧!$H$5:$H$2736,$F778)="","",INDEX(選手一覧!$H$5:$H$2736,$F778))</f>
        <v/>
      </c>
      <c r="J778" s="12" t="str">
        <f aca="false">IF(INDEX(選手一覧!$I$5:$I$2736,$F778)="","",INDEX(選手一覧!$I$5:$I$2736,$F778))</f>
        <v/>
      </c>
    </row>
    <row r="779" customFormat="false" ht="15" hidden="false" customHeight="false" outlineLevel="0" collapsed="false">
      <c r="A779" s="12" t="n">
        <v>776</v>
      </c>
      <c r="B779" s="8" t="s">
        <v>2963</v>
      </c>
      <c r="C779" s="8" t="s">
        <v>2275</v>
      </c>
      <c r="D779" s="11" t="n">
        <v>0.00740381944444445</v>
      </c>
      <c r="E779" s="39" t="n">
        <f aca="false">ROUND((D779-$D$5)*86400,2)</f>
        <v>100.67</v>
      </c>
      <c r="F779" s="12" t="n">
        <v>1905</v>
      </c>
      <c r="G779" s="11" t="str">
        <f aca="false">IF(INDEX(選手一覧!$D$5:$D$2736,$F779)="","",INDEX(選手一覧!$D$5:$D$2736,$F779))</f>
        <v/>
      </c>
      <c r="H779" s="12" t="str">
        <f aca="false">IF(INDEX(選手一覧!$E$5:$E$2736,$F779)="","",INDEX(選手一覧!$E$5:$E$2736,$F779))</f>
        <v/>
      </c>
      <c r="I779" s="11" t="str">
        <f aca="false">IF(INDEX(選手一覧!$H$5:$H$2736,$F779)="","",INDEX(選手一覧!$H$5:$H$2736,$F779))</f>
        <v/>
      </c>
      <c r="J779" s="12" t="str">
        <f aca="false">IF(INDEX(選手一覧!$I$5:$I$2736,$F779)="","",INDEX(選手一覧!$I$5:$I$2736,$F779))</f>
        <v/>
      </c>
    </row>
    <row r="780" customFormat="false" ht="15" hidden="false" customHeight="false" outlineLevel="0" collapsed="false">
      <c r="A780" s="12" t="n">
        <v>777</v>
      </c>
      <c r="B780" s="8" t="s">
        <v>1733</v>
      </c>
      <c r="C780" s="8" t="s">
        <v>138</v>
      </c>
      <c r="D780" s="11" t="n">
        <v>0.00740451388888889</v>
      </c>
      <c r="E780" s="39" t="n">
        <f aca="false">ROUND((D780-$D$5)*86400,2)</f>
        <v>100.73</v>
      </c>
      <c r="F780" s="12" t="n">
        <v>1075</v>
      </c>
      <c r="G780" s="11" t="n">
        <f aca="false">IF(INDEX(選手一覧!$D$5:$D$2736,$F780)="","",INDEX(選手一覧!$D$5:$D$2736,$F780))</f>
        <v>0.0109872685185185</v>
      </c>
      <c r="H780" s="12" t="n">
        <f aca="false">IF(INDEX(選手一覧!$E$5:$E$2736,$F780)="","",INDEX(選手一覧!$E$5:$E$2736,$F780))</f>
        <v>1076</v>
      </c>
      <c r="I780" s="11" t="n">
        <f aca="false">IF(INDEX(選手一覧!$H$5:$H$2736,$F780)="","",INDEX(選手一覧!$H$5:$H$2736,$F780))</f>
        <v>0.00289212962962963</v>
      </c>
      <c r="J780" s="12" t="n">
        <f aca="false">IF(INDEX(選手一覧!$I$5:$I$2736,$F780)="","",INDEX(選手一覧!$I$5:$I$2736,$F780))</f>
        <v>892</v>
      </c>
    </row>
    <row r="781" customFormat="false" ht="15" hidden="false" customHeight="false" outlineLevel="0" collapsed="false">
      <c r="A781" s="12" t="n">
        <v>778</v>
      </c>
      <c r="B781" s="8" t="s">
        <v>2965</v>
      </c>
      <c r="C781" s="8" t="s">
        <v>154</v>
      </c>
      <c r="D781" s="11" t="n">
        <v>0.00740474537037037</v>
      </c>
      <c r="E781" s="39" t="n">
        <f aca="false">ROUND((D781-$D$5)*86400,2)</f>
        <v>100.75</v>
      </c>
      <c r="F781" s="12" t="n">
        <v>1907</v>
      </c>
      <c r="G781" s="11" t="str">
        <f aca="false">IF(INDEX(選手一覧!$D$5:$D$2736,$F781)="","",INDEX(選手一覧!$D$5:$D$2736,$F781))</f>
        <v/>
      </c>
      <c r="H781" s="12" t="str">
        <f aca="false">IF(INDEX(選手一覧!$E$5:$E$2736,$F781)="","",INDEX(選手一覧!$E$5:$E$2736,$F781))</f>
        <v/>
      </c>
      <c r="I781" s="11" t="str">
        <f aca="false">IF(INDEX(選手一覧!$H$5:$H$2736,$F781)="","",INDEX(選手一覧!$H$5:$H$2736,$F781))</f>
        <v/>
      </c>
      <c r="J781" s="12" t="str">
        <f aca="false">IF(INDEX(選手一覧!$I$5:$I$2736,$F781)="","",INDEX(選手一覧!$I$5:$I$2736,$F781))</f>
        <v/>
      </c>
    </row>
    <row r="782" customFormat="false" ht="15" hidden="false" customHeight="false" outlineLevel="0" collapsed="false">
      <c r="A782" s="12" t="n">
        <v>779</v>
      </c>
      <c r="B782" s="8" t="s">
        <v>2966</v>
      </c>
      <c r="C782" s="8" t="s">
        <v>2967</v>
      </c>
      <c r="D782" s="11" t="n">
        <v>0.00740509259259259</v>
      </c>
      <c r="E782" s="39" t="n">
        <f aca="false">ROUND((D782-$D$5)*86400,2)</f>
        <v>100.78</v>
      </c>
      <c r="F782" s="12" t="n">
        <v>1908</v>
      </c>
      <c r="G782" s="11" t="str">
        <f aca="false">IF(INDEX(選手一覧!$D$5:$D$2736,$F782)="","",INDEX(選手一覧!$D$5:$D$2736,$F782))</f>
        <v/>
      </c>
      <c r="H782" s="12" t="str">
        <f aca="false">IF(INDEX(選手一覧!$E$5:$E$2736,$F782)="","",INDEX(選手一覧!$E$5:$E$2736,$F782))</f>
        <v/>
      </c>
      <c r="I782" s="11" t="str">
        <f aca="false">IF(INDEX(選手一覧!$H$5:$H$2736,$F782)="","",INDEX(選手一覧!$H$5:$H$2736,$F782))</f>
        <v/>
      </c>
      <c r="J782" s="12" t="str">
        <f aca="false">IF(INDEX(選手一覧!$I$5:$I$2736,$F782)="","",INDEX(選手一覧!$I$5:$I$2736,$F782))</f>
        <v/>
      </c>
    </row>
    <row r="783" customFormat="false" ht="15" hidden="false" customHeight="false" outlineLevel="0" collapsed="false">
      <c r="A783" s="12" t="n">
        <v>780</v>
      </c>
      <c r="B783" s="8" t="s">
        <v>2969</v>
      </c>
      <c r="C783" s="8" t="s">
        <v>1385</v>
      </c>
      <c r="D783" s="11" t="n">
        <v>0.00740555555555556</v>
      </c>
      <c r="E783" s="39" t="n">
        <f aca="false">ROUND((D783-$D$5)*86400,2)</f>
        <v>100.82</v>
      </c>
      <c r="F783" s="12" t="n">
        <v>1910</v>
      </c>
      <c r="G783" s="11" t="str">
        <f aca="false">IF(INDEX(選手一覧!$D$5:$D$2736,$F783)="","",INDEX(選手一覧!$D$5:$D$2736,$F783))</f>
        <v/>
      </c>
      <c r="H783" s="12" t="str">
        <f aca="false">IF(INDEX(選手一覧!$E$5:$E$2736,$F783)="","",INDEX(選手一覧!$E$5:$E$2736,$F783))</f>
        <v/>
      </c>
      <c r="I783" s="11" t="str">
        <f aca="false">IF(INDEX(選手一覧!$H$5:$H$2736,$F783)="","",INDEX(選手一覧!$H$5:$H$2736,$F783))</f>
        <v/>
      </c>
      <c r="J783" s="12" t="str">
        <f aca="false">IF(INDEX(選手一覧!$I$5:$I$2736,$F783)="","",INDEX(選手一覧!$I$5:$I$2736,$F783))</f>
        <v/>
      </c>
    </row>
    <row r="784" customFormat="false" ht="15" hidden="false" customHeight="false" outlineLevel="0" collapsed="false">
      <c r="A784" s="12" t="n">
        <v>781</v>
      </c>
      <c r="B784" s="8" t="s">
        <v>753</v>
      </c>
      <c r="C784" s="8" t="s">
        <v>246</v>
      </c>
      <c r="D784" s="11" t="n">
        <v>0.00740578703703704</v>
      </c>
      <c r="E784" s="39" t="n">
        <f aca="false">ROUND((D784-$D$5)*86400,2)</f>
        <v>100.84</v>
      </c>
      <c r="F784" s="12" t="n">
        <v>423</v>
      </c>
      <c r="G784" s="11" t="n">
        <f aca="false">IF(INDEX(選手一覧!$D$5:$D$2736,$F784)="","",INDEX(選手一覧!$D$5:$D$2736,$F784))</f>
        <v>0.0105699074074074</v>
      </c>
      <c r="H784" s="12" t="n">
        <f aca="false">IF(INDEX(選手一覧!$E$5:$E$2736,$F784)="","",INDEX(選手一覧!$E$5:$E$2736,$F784))</f>
        <v>424</v>
      </c>
      <c r="I784" s="11" t="str">
        <f aca="false">IF(INDEX(選手一覧!$H$5:$H$2736,$F784)="","",INDEX(選手一覧!$H$5:$H$2736,$F784))</f>
        <v/>
      </c>
      <c r="J784" s="12" t="str">
        <f aca="false">IF(INDEX(選手一覧!$I$5:$I$2736,$F784)="","",INDEX(選手一覧!$I$5:$I$2736,$F784))</f>
        <v/>
      </c>
    </row>
    <row r="785" customFormat="false" ht="15" hidden="false" customHeight="false" outlineLevel="0" collapsed="false">
      <c r="A785" s="12" t="n">
        <v>782</v>
      </c>
      <c r="B785" s="8" t="s">
        <v>2971</v>
      </c>
      <c r="C785" s="8" t="s">
        <v>961</v>
      </c>
      <c r="D785" s="11" t="n">
        <v>0.00740868055555556</v>
      </c>
      <c r="E785" s="39" t="n">
        <f aca="false">ROUND((D785-$D$5)*86400,2)</f>
        <v>101.09</v>
      </c>
      <c r="F785" s="12" t="n">
        <v>1912</v>
      </c>
      <c r="G785" s="11" t="str">
        <f aca="false">IF(INDEX(選手一覧!$D$5:$D$2736,$F785)="","",INDEX(選手一覧!$D$5:$D$2736,$F785))</f>
        <v/>
      </c>
      <c r="H785" s="12" t="str">
        <f aca="false">IF(INDEX(選手一覧!$E$5:$E$2736,$F785)="","",INDEX(選手一覧!$E$5:$E$2736,$F785))</f>
        <v/>
      </c>
      <c r="I785" s="11" t="str">
        <f aca="false">IF(INDEX(選手一覧!$H$5:$H$2736,$F785)="","",INDEX(選手一覧!$H$5:$H$2736,$F785))</f>
        <v/>
      </c>
      <c r="J785" s="12" t="str">
        <f aca="false">IF(INDEX(選手一覧!$I$5:$I$2736,$F785)="","",INDEX(選手一覧!$I$5:$I$2736,$F785))</f>
        <v/>
      </c>
    </row>
    <row r="786" customFormat="false" ht="15" hidden="false" customHeight="false" outlineLevel="0" collapsed="false">
      <c r="A786" s="12" t="n">
        <v>783</v>
      </c>
      <c r="B786" s="8" t="s">
        <v>2973</v>
      </c>
      <c r="C786" s="8" t="s">
        <v>2974</v>
      </c>
      <c r="D786" s="11" t="n">
        <v>0.00740949074074074</v>
      </c>
      <c r="E786" s="39" t="n">
        <f aca="false">ROUND((D786-$D$5)*86400,2)</f>
        <v>101.16</v>
      </c>
      <c r="F786" s="12" t="n">
        <v>1914</v>
      </c>
      <c r="G786" s="11" t="str">
        <f aca="false">IF(INDEX(選手一覧!$D$5:$D$2736,$F786)="","",INDEX(選手一覧!$D$5:$D$2736,$F786))</f>
        <v/>
      </c>
      <c r="H786" s="12" t="str">
        <f aca="false">IF(INDEX(選手一覧!$E$5:$E$2736,$F786)="","",INDEX(選手一覧!$E$5:$E$2736,$F786))</f>
        <v/>
      </c>
      <c r="I786" s="11" t="str">
        <f aca="false">IF(INDEX(選手一覧!$H$5:$H$2736,$F786)="","",INDEX(選手一覧!$H$5:$H$2736,$F786))</f>
        <v/>
      </c>
      <c r="J786" s="12" t="str">
        <f aca="false">IF(INDEX(選手一覧!$I$5:$I$2736,$F786)="","",INDEX(選手一覧!$I$5:$I$2736,$F786))</f>
        <v/>
      </c>
    </row>
    <row r="787" customFormat="false" ht="15" hidden="false" customHeight="false" outlineLevel="0" collapsed="false">
      <c r="A787" s="12" t="n">
        <v>784</v>
      </c>
      <c r="B787" s="8" t="s">
        <v>2975</v>
      </c>
      <c r="C787" s="8" t="s">
        <v>2641</v>
      </c>
      <c r="D787" s="11" t="n">
        <v>0.00741122685185185</v>
      </c>
      <c r="E787" s="39" t="n">
        <f aca="false">ROUND((D787-$D$5)*86400,2)</f>
        <v>101.31</v>
      </c>
      <c r="F787" s="12" t="n">
        <v>1915</v>
      </c>
      <c r="G787" s="11" t="str">
        <f aca="false">IF(INDEX(選手一覧!$D$5:$D$2736,$F787)="","",INDEX(選手一覧!$D$5:$D$2736,$F787))</f>
        <v/>
      </c>
      <c r="H787" s="12" t="str">
        <f aca="false">IF(INDEX(選手一覧!$E$5:$E$2736,$F787)="","",INDEX(選手一覧!$E$5:$E$2736,$F787))</f>
        <v/>
      </c>
      <c r="I787" s="11" t="str">
        <f aca="false">IF(INDEX(選手一覧!$H$5:$H$2736,$F787)="","",INDEX(選手一覧!$H$5:$H$2736,$F787))</f>
        <v/>
      </c>
      <c r="J787" s="12" t="str">
        <f aca="false">IF(INDEX(選手一覧!$I$5:$I$2736,$F787)="","",INDEX(選手一覧!$I$5:$I$2736,$F787))</f>
        <v/>
      </c>
    </row>
    <row r="788" customFormat="false" ht="15" hidden="false" customHeight="false" outlineLevel="0" collapsed="false">
      <c r="A788" s="12" t="n">
        <v>785</v>
      </c>
      <c r="B788" s="8" t="s">
        <v>2976</v>
      </c>
      <c r="C788" s="8" t="s">
        <v>2579</v>
      </c>
      <c r="D788" s="11" t="n">
        <v>0.00741226851851852</v>
      </c>
      <c r="E788" s="39" t="n">
        <f aca="false">ROUND((D788-$D$5)*86400,2)</f>
        <v>101.4</v>
      </c>
      <c r="F788" s="12" t="n">
        <v>1916</v>
      </c>
      <c r="G788" s="11" t="str">
        <f aca="false">IF(INDEX(選手一覧!$D$5:$D$2736,$F788)="","",INDEX(選手一覧!$D$5:$D$2736,$F788))</f>
        <v/>
      </c>
      <c r="H788" s="12" t="str">
        <f aca="false">IF(INDEX(選手一覧!$E$5:$E$2736,$F788)="","",INDEX(選手一覧!$E$5:$E$2736,$F788))</f>
        <v/>
      </c>
      <c r="I788" s="11" t="str">
        <f aca="false">IF(INDEX(選手一覧!$H$5:$H$2736,$F788)="","",INDEX(選手一覧!$H$5:$H$2736,$F788))</f>
        <v/>
      </c>
      <c r="J788" s="12" t="str">
        <f aca="false">IF(INDEX(選手一覧!$I$5:$I$2736,$F788)="","",INDEX(選手一覧!$I$5:$I$2736,$F788))</f>
        <v/>
      </c>
    </row>
    <row r="789" customFormat="false" ht="15" hidden="false" customHeight="false" outlineLevel="0" collapsed="false">
      <c r="A789" s="12" t="n">
        <v>786</v>
      </c>
      <c r="B789" s="8" t="s">
        <v>1804</v>
      </c>
      <c r="C789" s="8" t="s">
        <v>1805</v>
      </c>
      <c r="D789" s="11" t="n">
        <v>0.00741400462962963</v>
      </c>
      <c r="E789" s="39" t="n">
        <f aca="false">ROUND((D789-$D$5)*86400,2)</f>
        <v>101.55</v>
      </c>
      <c r="F789" s="12" t="n">
        <v>1123</v>
      </c>
      <c r="G789" s="11" t="n">
        <f aca="false">IF(INDEX(選手一覧!$D$5:$D$2736,$F789)="","",INDEX(選手一覧!$D$5:$D$2736,$F789))</f>
        <v>0.0110175925925926</v>
      </c>
      <c r="H789" s="12" t="n">
        <f aca="false">IF(INDEX(選手一覧!$E$5:$E$2736,$F789)="","",INDEX(選手一覧!$E$5:$E$2736,$F789))</f>
        <v>1124</v>
      </c>
      <c r="I789" s="11" t="n">
        <f aca="false">IF(INDEX(選手一覧!$H$5:$H$2736,$F789)="","",INDEX(選手一覧!$H$5:$H$2736,$F789))</f>
        <v>0.00284386574074074</v>
      </c>
      <c r="J789" s="12" t="n">
        <f aca="false">IF(INDEX(選手一覧!$I$5:$I$2736,$F789)="","",INDEX(選手一覧!$I$5:$I$2736,$F789))</f>
        <v>523</v>
      </c>
    </row>
    <row r="790" customFormat="false" ht="15" hidden="false" customHeight="false" outlineLevel="0" collapsed="false">
      <c r="A790" s="12" t="n">
        <v>787</v>
      </c>
      <c r="B790" s="8" t="s">
        <v>2978</v>
      </c>
      <c r="C790" s="8" t="s">
        <v>1258</v>
      </c>
      <c r="D790" s="11" t="n">
        <v>0.00741493055555556</v>
      </c>
      <c r="E790" s="39" t="n">
        <f aca="false">ROUND((D790-$D$5)*86400,2)</f>
        <v>101.63</v>
      </c>
      <c r="F790" s="12" t="n">
        <v>1918</v>
      </c>
      <c r="G790" s="11" t="str">
        <f aca="false">IF(INDEX(選手一覧!$D$5:$D$2736,$F790)="","",INDEX(選手一覧!$D$5:$D$2736,$F790))</f>
        <v/>
      </c>
      <c r="H790" s="12" t="str">
        <f aca="false">IF(INDEX(選手一覧!$E$5:$E$2736,$F790)="","",INDEX(選手一覧!$E$5:$E$2736,$F790))</f>
        <v/>
      </c>
      <c r="I790" s="11" t="str">
        <f aca="false">IF(INDEX(選手一覧!$H$5:$H$2736,$F790)="","",INDEX(選手一覧!$H$5:$H$2736,$F790))</f>
        <v/>
      </c>
      <c r="J790" s="12" t="str">
        <f aca="false">IF(INDEX(選手一覧!$I$5:$I$2736,$F790)="","",INDEX(選手一覧!$I$5:$I$2736,$F790))</f>
        <v/>
      </c>
    </row>
    <row r="791" customFormat="false" ht="15" hidden="false" customHeight="false" outlineLevel="0" collapsed="false">
      <c r="A791" s="12" t="n">
        <v>788</v>
      </c>
      <c r="B791" s="8" t="s">
        <v>2472</v>
      </c>
      <c r="C791" s="8" t="s">
        <v>2310</v>
      </c>
      <c r="D791" s="11" t="n">
        <v>0.00741527777777778</v>
      </c>
      <c r="E791" s="39" t="n">
        <f aca="false">ROUND((D791-$D$5)*86400,2)</f>
        <v>101.66</v>
      </c>
      <c r="F791" s="12" t="n">
        <v>1584</v>
      </c>
      <c r="G791" s="11" t="str">
        <f aca="false">IF(INDEX(選手一覧!$D$5:$D$2736,$F791)="","",INDEX(選手一覧!$D$5:$D$2736,$F791))</f>
        <v/>
      </c>
      <c r="H791" s="12" t="str">
        <f aca="false">IF(INDEX(選手一覧!$E$5:$E$2736,$F791)="","",INDEX(選手一覧!$E$5:$E$2736,$F791))</f>
        <v/>
      </c>
      <c r="I791" s="11" t="n">
        <f aca="false">IF(INDEX(選手一覧!$H$5:$H$2736,$F791)="","",INDEX(選手一覧!$H$5:$H$2736,$F791))</f>
        <v>0.00283912037037037</v>
      </c>
      <c r="J791" s="12" t="n">
        <f aca="false">IF(INDEX(選手一覧!$I$5:$I$2736,$F791)="","",INDEX(選手一覧!$I$5:$I$2736,$F791))</f>
        <v>489</v>
      </c>
    </row>
    <row r="792" customFormat="false" ht="15" hidden="false" customHeight="false" outlineLevel="0" collapsed="false">
      <c r="A792" s="12" t="n">
        <v>789</v>
      </c>
      <c r="B792" s="8" t="s">
        <v>2981</v>
      </c>
      <c r="C792" s="8" t="s">
        <v>584</v>
      </c>
      <c r="D792" s="11" t="n">
        <v>0.00741678240740741</v>
      </c>
      <c r="E792" s="39" t="n">
        <f aca="false">ROUND((D792-$D$5)*86400,2)</f>
        <v>101.79</v>
      </c>
      <c r="F792" s="12" t="n">
        <v>1920</v>
      </c>
      <c r="G792" s="11" t="str">
        <f aca="false">IF(INDEX(選手一覧!$D$5:$D$2736,$F792)="","",INDEX(選手一覧!$D$5:$D$2736,$F792))</f>
        <v/>
      </c>
      <c r="H792" s="12" t="str">
        <f aca="false">IF(INDEX(選手一覧!$E$5:$E$2736,$F792)="","",INDEX(選手一覧!$E$5:$E$2736,$F792))</f>
        <v/>
      </c>
      <c r="I792" s="11" t="str">
        <f aca="false">IF(INDEX(選手一覧!$H$5:$H$2736,$F792)="","",INDEX(選手一覧!$H$5:$H$2736,$F792))</f>
        <v/>
      </c>
      <c r="J792" s="12" t="str">
        <f aca="false">IF(INDEX(選手一覧!$I$5:$I$2736,$F792)="","",INDEX(選手一覧!$I$5:$I$2736,$F792))</f>
        <v/>
      </c>
    </row>
    <row r="793" customFormat="false" ht="15" hidden="false" customHeight="false" outlineLevel="0" collapsed="false">
      <c r="A793" s="12" t="n">
        <v>790</v>
      </c>
      <c r="B793" s="8" t="s">
        <v>2983</v>
      </c>
      <c r="C793" s="8" t="s">
        <v>2984</v>
      </c>
      <c r="D793" s="11" t="n">
        <v>0.00741724537037037</v>
      </c>
      <c r="E793" s="39" t="n">
        <f aca="false">ROUND((D793-$D$5)*86400,2)</f>
        <v>101.83</v>
      </c>
      <c r="F793" s="12" t="n">
        <v>1922</v>
      </c>
      <c r="G793" s="11" t="str">
        <f aca="false">IF(INDEX(選手一覧!$D$5:$D$2736,$F793)="","",INDEX(選手一覧!$D$5:$D$2736,$F793))</f>
        <v/>
      </c>
      <c r="H793" s="12" t="str">
        <f aca="false">IF(INDEX(選手一覧!$E$5:$E$2736,$F793)="","",INDEX(選手一覧!$E$5:$E$2736,$F793))</f>
        <v/>
      </c>
      <c r="I793" s="11" t="str">
        <f aca="false">IF(INDEX(選手一覧!$H$5:$H$2736,$F793)="","",INDEX(選手一覧!$H$5:$H$2736,$F793))</f>
        <v/>
      </c>
      <c r="J793" s="12" t="str">
        <f aca="false">IF(INDEX(選手一覧!$I$5:$I$2736,$F793)="","",INDEX(選手一覧!$I$5:$I$2736,$F793))</f>
        <v/>
      </c>
    </row>
    <row r="794" customFormat="false" ht="15" hidden="false" customHeight="false" outlineLevel="0" collapsed="false">
      <c r="A794" s="12" t="n">
        <v>791</v>
      </c>
      <c r="B794" s="8" t="s">
        <v>2985</v>
      </c>
      <c r="C794" s="8" t="s">
        <v>1042</v>
      </c>
      <c r="D794" s="11" t="n">
        <v>0.00741736111111111</v>
      </c>
      <c r="E794" s="39" t="n">
        <f aca="false">ROUND((D794-$D$5)*86400,2)</f>
        <v>101.84</v>
      </c>
      <c r="F794" s="12" t="n">
        <v>1923</v>
      </c>
      <c r="G794" s="11" t="str">
        <f aca="false">IF(INDEX(選手一覧!$D$5:$D$2736,$F794)="","",INDEX(選手一覧!$D$5:$D$2736,$F794))</f>
        <v/>
      </c>
      <c r="H794" s="12" t="str">
        <f aca="false">IF(INDEX(選手一覧!$E$5:$E$2736,$F794)="","",INDEX(選手一覧!$E$5:$E$2736,$F794))</f>
        <v/>
      </c>
      <c r="I794" s="11" t="str">
        <f aca="false">IF(INDEX(選手一覧!$H$5:$H$2736,$F794)="","",INDEX(選手一覧!$H$5:$H$2736,$F794))</f>
        <v/>
      </c>
      <c r="J794" s="12" t="str">
        <f aca="false">IF(INDEX(選手一覧!$I$5:$I$2736,$F794)="","",INDEX(選手一覧!$I$5:$I$2736,$F794))</f>
        <v/>
      </c>
    </row>
    <row r="795" customFormat="false" ht="15" hidden="false" customHeight="false" outlineLevel="0" collapsed="false">
      <c r="A795" s="12" t="n">
        <v>792</v>
      </c>
      <c r="B795" s="8" t="s">
        <v>2986</v>
      </c>
      <c r="C795" s="8" t="s">
        <v>1028</v>
      </c>
      <c r="D795" s="11" t="n">
        <v>0.00741747685185185</v>
      </c>
      <c r="E795" s="39" t="n">
        <f aca="false">ROUND((D795-$D$5)*86400,2)</f>
        <v>101.85</v>
      </c>
      <c r="F795" s="12" t="n">
        <v>1924</v>
      </c>
      <c r="G795" s="11" t="str">
        <f aca="false">IF(INDEX(選手一覧!$D$5:$D$2736,$F795)="","",INDEX(選手一覧!$D$5:$D$2736,$F795))</f>
        <v/>
      </c>
      <c r="H795" s="12" t="str">
        <f aca="false">IF(INDEX(選手一覧!$E$5:$E$2736,$F795)="","",INDEX(選手一覧!$E$5:$E$2736,$F795))</f>
        <v/>
      </c>
      <c r="I795" s="11" t="str">
        <f aca="false">IF(INDEX(選手一覧!$H$5:$H$2736,$F795)="","",INDEX(選手一覧!$H$5:$H$2736,$F795))</f>
        <v/>
      </c>
      <c r="J795" s="12" t="str">
        <f aca="false">IF(INDEX(選手一覧!$I$5:$I$2736,$F795)="","",INDEX(選手一覧!$I$5:$I$2736,$F795))</f>
        <v/>
      </c>
    </row>
    <row r="796" customFormat="false" ht="15" hidden="false" customHeight="false" outlineLevel="0" collapsed="false">
      <c r="A796" s="12" t="n">
        <v>793</v>
      </c>
      <c r="B796" s="8" t="s">
        <v>2988</v>
      </c>
      <c r="C796" s="8" t="s">
        <v>1676</v>
      </c>
      <c r="D796" s="11" t="n">
        <v>0.00741886574074074</v>
      </c>
      <c r="E796" s="39" t="n">
        <f aca="false">ROUND((D796-$D$5)*86400,2)</f>
        <v>101.97</v>
      </c>
      <c r="F796" s="12" t="n">
        <v>1926</v>
      </c>
      <c r="G796" s="11" t="str">
        <f aca="false">IF(INDEX(選手一覧!$D$5:$D$2736,$F796)="","",INDEX(選手一覧!$D$5:$D$2736,$F796))</f>
        <v/>
      </c>
      <c r="H796" s="12" t="str">
        <f aca="false">IF(INDEX(選手一覧!$E$5:$E$2736,$F796)="","",INDEX(選手一覧!$E$5:$E$2736,$F796))</f>
        <v/>
      </c>
      <c r="I796" s="11" t="str">
        <f aca="false">IF(INDEX(選手一覧!$H$5:$H$2736,$F796)="","",INDEX(選手一覧!$H$5:$H$2736,$F796))</f>
        <v/>
      </c>
      <c r="J796" s="12" t="str">
        <f aca="false">IF(INDEX(選手一覧!$I$5:$I$2736,$F796)="","",INDEX(選手一覧!$I$5:$I$2736,$F796))</f>
        <v/>
      </c>
    </row>
    <row r="797" customFormat="false" ht="15" hidden="false" customHeight="false" outlineLevel="0" collapsed="false">
      <c r="A797" s="12" t="n">
        <v>794</v>
      </c>
      <c r="B797" s="8" t="s">
        <v>2989</v>
      </c>
      <c r="C797" s="8" t="s">
        <v>2990</v>
      </c>
      <c r="D797" s="11" t="n">
        <v>0.00742025462962963</v>
      </c>
      <c r="E797" s="39" t="n">
        <f aca="false">ROUND((D797-$D$5)*86400,2)</f>
        <v>102.09</v>
      </c>
      <c r="F797" s="12" t="n">
        <v>1927</v>
      </c>
      <c r="G797" s="11" t="str">
        <f aca="false">IF(INDEX(選手一覧!$D$5:$D$2736,$F797)="","",INDEX(選手一覧!$D$5:$D$2736,$F797))</f>
        <v/>
      </c>
      <c r="H797" s="12" t="str">
        <f aca="false">IF(INDEX(選手一覧!$E$5:$E$2736,$F797)="","",INDEX(選手一覧!$E$5:$E$2736,$F797))</f>
        <v/>
      </c>
      <c r="I797" s="11" t="str">
        <f aca="false">IF(INDEX(選手一覧!$H$5:$H$2736,$F797)="","",INDEX(選手一覧!$H$5:$H$2736,$F797))</f>
        <v/>
      </c>
      <c r="J797" s="12" t="str">
        <f aca="false">IF(INDEX(選手一覧!$I$5:$I$2736,$F797)="","",INDEX(選手一覧!$I$5:$I$2736,$F797))</f>
        <v/>
      </c>
    </row>
    <row r="798" customFormat="false" ht="15" hidden="false" customHeight="false" outlineLevel="0" collapsed="false">
      <c r="A798" s="12" t="n">
        <v>795</v>
      </c>
      <c r="B798" s="8" t="s">
        <v>744</v>
      </c>
      <c r="C798" s="8" t="s">
        <v>399</v>
      </c>
      <c r="D798" s="11" t="n">
        <v>0.00742060185185185</v>
      </c>
      <c r="E798" s="39" t="n">
        <f aca="false">ROUND((D798-$D$5)*86400,2)</f>
        <v>102.12</v>
      </c>
      <c r="F798" s="12" t="n">
        <v>417</v>
      </c>
      <c r="G798" s="11" t="n">
        <f aca="false">IF(INDEX(選手一覧!$D$5:$D$2736,$F798)="","",INDEX(選手一覧!$D$5:$D$2736,$F798))</f>
        <v>0.0105646990740741</v>
      </c>
      <c r="H798" s="12" t="n">
        <f aca="false">IF(INDEX(選手一覧!$E$5:$E$2736,$F798)="","",INDEX(選手一覧!$E$5:$E$2736,$F798))</f>
        <v>418</v>
      </c>
      <c r="I798" s="11" t="str">
        <f aca="false">IF(INDEX(選手一覧!$H$5:$H$2736,$F798)="","",INDEX(選手一覧!$H$5:$H$2736,$F798))</f>
        <v/>
      </c>
      <c r="J798" s="12" t="str">
        <f aca="false">IF(INDEX(選手一覧!$I$5:$I$2736,$F798)="","",INDEX(選手一覧!$I$5:$I$2736,$F798))</f>
        <v/>
      </c>
    </row>
    <row r="799" customFormat="false" ht="15" hidden="false" customHeight="false" outlineLevel="0" collapsed="false">
      <c r="A799" s="12" t="n">
        <v>796</v>
      </c>
      <c r="B799" s="8" t="s">
        <v>2992</v>
      </c>
      <c r="C799" s="8" t="s">
        <v>1669</v>
      </c>
      <c r="D799" s="11" t="n">
        <v>0.00742118055555556</v>
      </c>
      <c r="E799" s="39" t="n">
        <f aca="false">ROUND((D799-$D$5)*86400,2)</f>
        <v>102.17</v>
      </c>
      <c r="F799" s="12" t="n">
        <v>1929</v>
      </c>
      <c r="G799" s="11" t="str">
        <f aca="false">IF(INDEX(選手一覧!$D$5:$D$2736,$F799)="","",INDEX(選手一覧!$D$5:$D$2736,$F799))</f>
        <v/>
      </c>
      <c r="H799" s="12" t="str">
        <f aca="false">IF(INDEX(選手一覧!$E$5:$E$2736,$F799)="","",INDEX(選手一覧!$E$5:$E$2736,$F799))</f>
        <v/>
      </c>
      <c r="I799" s="11" t="str">
        <f aca="false">IF(INDEX(選手一覧!$H$5:$H$2736,$F799)="","",INDEX(選手一覧!$H$5:$H$2736,$F799))</f>
        <v/>
      </c>
      <c r="J799" s="12" t="str">
        <f aca="false">IF(INDEX(選手一覧!$I$5:$I$2736,$F799)="","",INDEX(選手一覧!$I$5:$I$2736,$F799))</f>
        <v/>
      </c>
    </row>
    <row r="800" customFormat="false" ht="15" hidden="false" customHeight="false" outlineLevel="0" collapsed="false">
      <c r="A800" s="12" t="n">
        <v>797</v>
      </c>
      <c r="B800" s="8" t="s">
        <v>1340</v>
      </c>
      <c r="C800" s="8" t="s">
        <v>1341</v>
      </c>
      <c r="D800" s="11" t="n">
        <v>0.00742210648148148</v>
      </c>
      <c r="E800" s="39" t="n">
        <f aca="false">ROUND((D800-$D$5)*86400,2)</f>
        <v>102.25</v>
      </c>
      <c r="F800" s="12" t="n">
        <v>812</v>
      </c>
      <c r="G800" s="11" t="n">
        <f aca="false">IF(INDEX(選手一覧!$D$5:$D$2736,$F800)="","",INDEX(選手一覧!$D$5:$D$2736,$F800))</f>
        <v>0.0108391203703704</v>
      </c>
      <c r="H800" s="12" t="n">
        <f aca="false">IF(INDEX(選手一覧!$E$5:$E$2736,$F800)="","",INDEX(選手一覧!$E$5:$E$2736,$F800))</f>
        <v>813</v>
      </c>
      <c r="I800" s="11" t="str">
        <f aca="false">IF(INDEX(選手一覧!$H$5:$H$2736,$F800)="","",INDEX(選手一覧!$H$5:$H$2736,$F800))</f>
        <v/>
      </c>
      <c r="J800" s="12" t="str">
        <f aca="false">IF(INDEX(選手一覧!$I$5:$I$2736,$F800)="","",INDEX(選手一覧!$I$5:$I$2736,$F800))</f>
        <v/>
      </c>
    </row>
    <row r="801" customFormat="false" ht="15" hidden="false" customHeight="false" outlineLevel="0" collapsed="false">
      <c r="A801" s="12" t="n">
        <v>798</v>
      </c>
      <c r="B801" s="8" t="s">
        <v>2994</v>
      </c>
      <c r="C801" s="8" t="s">
        <v>810</v>
      </c>
      <c r="D801" s="11" t="n">
        <v>0.00742372685185185</v>
      </c>
      <c r="E801" s="39" t="n">
        <f aca="false">ROUND((D801-$D$5)*86400,2)</f>
        <v>102.39</v>
      </c>
      <c r="F801" s="12" t="n">
        <v>1931</v>
      </c>
      <c r="G801" s="11" t="str">
        <f aca="false">IF(INDEX(選手一覧!$D$5:$D$2736,$F801)="","",INDEX(選手一覧!$D$5:$D$2736,$F801))</f>
        <v/>
      </c>
      <c r="H801" s="12" t="str">
        <f aca="false">IF(INDEX(選手一覧!$E$5:$E$2736,$F801)="","",INDEX(選手一覧!$E$5:$E$2736,$F801))</f>
        <v/>
      </c>
      <c r="I801" s="11" t="str">
        <f aca="false">IF(INDEX(選手一覧!$H$5:$H$2736,$F801)="","",INDEX(選手一覧!$H$5:$H$2736,$F801))</f>
        <v/>
      </c>
      <c r="J801" s="12" t="str">
        <f aca="false">IF(INDEX(選手一覧!$I$5:$I$2736,$F801)="","",INDEX(選手一覧!$I$5:$I$2736,$F801))</f>
        <v/>
      </c>
    </row>
    <row r="802" customFormat="false" ht="15" hidden="false" customHeight="false" outlineLevel="0" collapsed="false">
      <c r="A802" s="12" t="n">
        <v>799</v>
      </c>
      <c r="B802" s="8" t="s">
        <v>2996</v>
      </c>
      <c r="C802" s="8" t="s">
        <v>606</v>
      </c>
      <c r="D802" s="11" t="n">
        <v>0.0074244212962963</v>
      </c>
      <c r="E802" s="39" t="n">
        <f aca="false">ROUND((D802-$D$5)*86400,2)</f>
        <v>102.45</v>
      </c>
      <c r="F802" s="12" t="n">
        <v>1933</v>
      </c>
      <c r="G802" s="11" t="str">
        <f aca="false">IF(INDEX(選手一覧!$D$5:$D$2736,$F802)="","",INDEX(選手一覧!$D$5:$D$2736,$F802))</f>
        <v/>
      </c>
      <c r="H802" s="12" t="str">
        <f aca="false">IF(INDEX(選手一覧!$E$5:$E$2736,$F802)="","",INDEX(選手一覧!$E$5:$E$2736,$F802))</f>
        <v/>
      </c>
      <c r="I802" s="11" t="str">
        <f aca="false">IF(INDEX(選手一覧!$H$5:$H$2736,$F802)="","",INDEX(選手一覧!$H$5:$H$2736,$F802))</f>
        <v/>
      </c>
      <c r="J802" s="12" t="str">
        <f aca="false">IF(INDEX(選手一覧!$I$5:$I$2736,$F802)="","",INDEX(選手一覧!$I$5:$I$2736,$F802))</f>
        <v/>
      </c>
    </row>
    <row r="803" customFormat="false" ht="15" hidden="false" customHeight="false" outlineLevel="0" collapsed="false">
      <c r="A803" s="12" t="n">
        <v>800</v>
      </c>
      <c r="B803" s="8" t="s">
        <v>2997</v>
      </c>
      <c r="C803" s="8" t="s">
        <v>2998</v>
      </c>
      <c r="D803" s="11" t="n">
        <v>0.00742638888888889</v>
      </c>
      <c r="E803" s="39" t="n">
        <f aca="false">ROUND((D803-$D$5)*86400,2)</f>
        <v>102.62</v>
      </c>
      <c r="F803" s="12" t="n">
        <v>1934</v>
      </c>
      <c r="G803" s="11" t="str">
        <f aca="false">IF(INDEX(選手一覧!$D$5:$D$2736,$F803)="","",INDEX(選手一覧!$D$5:$D$2736,$F803))</f>
        <v/>
      </c>
      <c r="H803" s="12" t="str">
        <f aca="false">IF(INDEX(選手一覧!$E$5:$E$2736,$F803)="","",INDEX(選手一覧!$E$5:$E$2736,$F803))</f>
        <v/>
      </c>
      <c r="I803" s="11" t="str">
        <f aca="false">IF(INDEX(選手一覧!$H$5:$H$2736,$F803)="","",INDEX(選手一覧!$H$5:$H$2736,$F803))</f>
        <v/>
      </c>
      <c r="J803" s="12" t="str">
        <f aca="false">IF(INDEX(選手一覧!$I$5:$I$2736,$F803)="","",INDEX(選手一覧!$I$5:$I$2736,$F803))</f>
        <v/>
      </c>
    </row>
    <row r="804" customFormat="false" ht="15" hidden="false" customHeight="false" outlineLevel="0" collapsed="false">
      <c r="A804" s="12" t="n">
        <v>801</v>
      </c>
      <c r="B804" s="8" t="s">
        <v>3000</v>
      </c>
      <c r="C804" s="8" t="s">
        <v>3001</v>
      </c>
      <c r="D804" s="11" t="n">
        <v>0.00742743055555556</v>
      </c>
      <c r="E804" s="39" t="n">
        <f aca="false">ROUND((D804-$D$5)*86400,2)</f>
        <v>102.71</v>
      </c>
      <c r="F804" s="12" t="n">
        <v>1936</v>
      </c>
      <c r="G804" s="11" t="str">
        <f aca="false">IF(INDEX(選手一覧!$D$5:$D$2736,$F804)="","",INDEX(選手一覧!$D$5:$D$2736,$F804))</f>
        <v/>
      </c>
      <c r="H804" s="12" t="str">
        <f aca="false">IF(INDEX(選手一覧!$E$5:$E$2736,$F804)="","",INDEX(選手一覧!$E$5:$E$2736,$F804))</f>
        <v/>
      </c>
      <c r="I804" s="11" t="str">
        <f aca="false">IF(INDEX(選手一覧!$H$5:$H$2736,$F804)="","",INDEX(選手一覧!$H$5:$H$2736,$F804))</f>
        <v/>
      </c>
      <c r="J804" s="12" t="str">
        <f aca="false">IF(INDEX(選手一覧!$I$5:$I$2736,$F804)="","",INDEX(選手一覧!$I$5:$I$2736,$F804))</f>
        <v/>
      </c>
    </row>
    <row r="805" customFormat="false" ht="15" hidden="false" customHeight="false" outlineLevel="0" collapsed="false">
      <c r="A805" s="12" t="n">
        <v>802</v>
      </c>
      <c r="B805" s="8" t="s">
        <v>3002</v>
      </c>
      <c r="C805" s="8" t="s">
        <v>946</v>
      </c>
      <c r="D805" s="11" t="n">
        <v>0.00742905092592593</v>
      </c>
      <c r="E805" s="39" t="n">
        <f aca="false">ROUND((D805-$D$5)*86400,2)</f>
        <v>102.85</v>
      </c>
      <c r="F805" s="12" t="n">
        <v>1937</v>
      </c>
      <c r="G805" s="11" t="str">
        <f aca="false">IF(INDEX(選手一覧!$D$5:$D$2736,$F805)="","",INDEX(選手一覧!$D$5:$D$2736,$F805))</f>
        <v/>
      </c>
      <c r="H805" s="12" t="str">
        <f aca="false">IF(INDEX(選手一覧!$E$5:$E$2736,$F805)="","",INDEX(選手一覧!$E$5:$E$2736,$F805))</f>
        <v/>
      </c>
      <c r="I805" s="11" t="str">
        <f aca="false">IF(INDEX(選手一覧!$H$5:$H$2736,$F805)="","",INDEX(選手一覧!$H$5:$H$2736,$F805))</f>
        <v/>
      </c>
      <c r="J805" s="12" t="str">
        <f aca="false">IF(INDEX(選手一覧!$I$5:$I$2736,$F805)="","",INDEX(選手一覧!$I$5:$I$2736,$F805))</f>
        <v/>
      </c>
    </row>
    <row r="806" customFormat="false" ht="15" hidden="false" customHeight="false" outlineLevel="0" collapsed="false">
      <c r="A806" s="12" t="n">
        <v>803</v>
      </c>
      <c r="B806" s="8" t="s">
        <v>3003</v>
      </c>
      <c r="C806" s="8" t="s">
        <v>3004</v>
      </c>
      <c r="D806" s="11" t="n">
        <v>0.00742916666666667</v>
      </c>
      <c r="E806" s="39" t="n">
        <f aca="false">ROUND((D806-$D$5)*86400,2)</f>
        <v>102.86</v>
      </c>
      <c r="F806" s="12" t="n">
        <v>1938</v>
      </c>
      <c r="G806" s="11" t="str">
        <f aca="false">IF(INDEX(選手一覧!$D$5:$D$2736,$F806)="","",INDEX(選手一覧!$D$5:$D$2736,$F806))</f>
        <v/>
      </c>
      <c r="H806" s="12" t="str">
        <f aca="false">IF(INDEX(選手一覧!$E$5:$E$2736,$F806)="","",INDEX(選手一覧!$E$5:$E$2736,$F806))</f>
        <v/>
      </c>
      <c r="I806" s="11" t="str">
        <f aca="false">IF(INDEX(選手一覧!$H$5:$H$2736,$F806)="","",INDEX(選手一覧!$H$5:$H$2736,$F806))</f>
        <v/>
      </c>
      <c r="J806" s="12" t="str">
        <f aca="false">IF(INDEX(選手一覧!$I$5:$I$2736,$F806)="","",INDEX(選手一覧!$I$5:$I$2736,$F806))</f>
        <v/>
      </c>
    </row>
    <row r="807" customFormat="false" ht="15" hidden="false" customHeight="false" outlineLevel="0" collapsed="false">
      <c r="A807" s="12" t="n">
        <v>804</v>
      </c>
      <c r="B807" s="8" t="s">
        <v>2004</v>
      </c>
      <c r="C807" s="8" t="s">
        <v>96</v>
      </c>
      <c r="D807" s="11" t="n">
        <v>0.00742951388888889</v>
      </c>
      <c r="E807" s="39" t="n">
        <f aca="false">ROUND((D807-$D$5)*86400,2)</f>
        <v>102.89</v>
      </c>
      <c r="F807" s="12" t="n">
        <v>1267</v>
      </c>
      <c r="G807" s="11" t="n">
        <f aca="false">IF(INDEX(選手一覧!$D$5:$D$2736,$F807)="","",INDEX(選手一覧!$D$5:$D$2736,$F807))</f>
        <v>0.0110979166666667</v>
      </c>
      <c r="H807" s="12" t="n">
        <f aca="false">IF(INDEX(選手一覧!$E$5:$E$2736,$F807)="","",INDEX(選手一覧!$E$5:$E$2736,$F807))</f>
        <v>1268</v>
      </c>
      <c r="I807" s="11" t="n">
        <f aca="false">IF(INDEX(選手一覧!$H$5:$H$2736,$F807)="","",INDEX(選手一覧!$H$5:$H$2736,$F807))</f>
        <v>0.00291412037037037</v>
      </c>
      <c r="J807" s="12" t="n">
        <f aca="false">IF(INDEX(選手一覧!$I$5:$I$2736,$F807)="","",INDEX(選手一覧!$I$5:$I$2736,$F807))</f>
        <v>1051</v>
      </c>
    </row>
    <row r="808" customFormat="false" ht="15" hidden="false" customHeight="false" outlineLevel="0" collapsed="false">
      <c r="A808" s="12" t="n">
        <v>805</v>
      </c>
      <c r="B808" s="8" t="s">
        <v>1646</v>
      </c>
      <c r="C808" s="8" t="s">
        <v>1042</v>
      </c>
      <c r="D808" s="11" t="n">
        <v>0.00743009259259259</v>
      </c>
      <c r="E808" s="39" t="n">
        <f aca="false">ROUND((D808-$D$5)*86400,2)</f>
        <v>102.94</v>
      </c>
      <c r="F808" s="12" t="n">
        <v>1018</v>
      </c>
      <c r="G808" s="11" t="n">
        <f aca="false">IF(INDEX(選手一覧!$D$5:$D$2736,$F808)="","",INDEX(選手一覧!$D$5:$D$2736,$F808))</f>
        <v>0.0109579861111111</v>
      </c>
      <c r="H808" s="12" t="n">
        <f aca="false">IF(INDEX(選手一覧!$E$5:$E$2736,$F808)="","",INDEX(選手一覧!$E$5:$E$2736,$F808))</f>
        <v>1019</v>
      </c>
      <c r="I808" s="11" t="n">
        <f aca="false">IF(INDEX(選手一覧!$H$5:$H$2736,$F808)="","",INDEX(選手一覧!$H$5:$H$2736,$F808))</f>
        <v>0.0028681712962963</v>
      </c>
      <c r="J808" s="12" t="n">
        <f aca="false">IF(INDEX(選手一覧!$I$5:$I$2736,$F808)="","",INDEX(選手一覧!$I$5:$I$2736,$F808))</f>
        <v>682</v>
      </c>
    </row>
    <row r="809" customFormat="false" ht="15" hidden="false" customHeight="false" outlineLevel="0" collapsed="false">
      <c r="A809" s="12" t="n">
        <v>806</v>
      </c>
      <c r="B809" s="8" t="s">
        <v>3006</v>
      </c>
      <c r="C809" s="8" t="s">
        <v>1869</v>
      </c>
      <c r="D809" s="11" t="n">
        <v>0.00743032407407407</v>
      </c>
      <c r="E809" s="39" t="n">
        <f aca="false">ROUND((D809-$D$5)*86400,2)</f>
        <v>102.96</v>
      </c>
      <c r="F809" s="12" t="n">
        <v>1940</v>
      </c>
      <c r="G809" s="11" t="str">
        <f aca="false">IF(INDEX(選手一覧!$D$5:$D$2736,$F809)="","",INDEX(選手一覧!$D$5:$D$2736,$F809))</f>
        <v/>
      </c>
      <c r="H809" s="12" t="str">
        <f aca="false">IF(INDEX(選手一覧!$E$5:$E$2736,$F809)="","",INDEX(選手一覧!$E$5:$E$2736,$F809))</f>
        <v/>
      </c>
      <c r="I809" s="11" t="str">
        <f aca="false">IF(INDEX(選手一覧!$H$5:$H$2736,$F809)="","",INDEX(選手一覧!$H$5:$H$2736,$F809))</f>
        <v/>
      </c>
      <c r="J809" s="12" t="str">
        <f aca="false">IF(INDEX(選手一覧!$I$5:$I$2736,$F809)="","",INDEX(選手一覧!$I$5:$I$2736,$F809))</f>
        <v/>
      </c>
    </row>
    <row r="810" customFormat="false" ht="15" hidden="false" customHeight="false" outlineLevel="0" collapsed="false">
      <c r="A810" s="12" t="n">
        <v>807</v>
      </c>
      <c r="B810" s="8" t="s">
        <v>3009</v>
      </c>
      <c r="C810" s="8" t="s">
        <v>3010</v>
      </c>
      <c r="D810" s="11" t="n">
        <v>0.00743148148148148</v>
      </c>
      <c r="E810" s="39" t="n">
        <f aca="false">ROUND((D810-$D$5)*86400,2)</f>
        <v>103.06</v>
      </c>
      <c r="F810" s="12" t="n">
        <v>1942</v>
      </c>
      <c r="G810" s="11" t="str">
        <f aca="false">IF(INDEX(選手一覧!$D$5:$D$2736,$F810)="","",INDEX(選手一覧!$D$5:$D$2736,$F810))</f>
        <v/>
      </c>
      <c r="H810" s="12" t="str">
        <f aca="false">IF(INDEX(選手一覧!$E$5:$E$2736,$F810)="","",INDEX(選手一覧!$E$5:$E$2736,$F810))</f>
        <v/>
      </c>
      <c r="I810" s="11" t="str">
        <f aca="false">IF(INDEX(選手一覧!$H$5:$H$2736,$F810)="","",INDEX(選手一覧!$H$5:$H$2736,$F810))</f>
        <v/>
      </c>
      <c r="J810" s="12" t="str">
        <f aca="false">IF(INDEX(選手一覧!$I$5:$I$2736,$F810)="","",INDEX(選手一覧!$I$5:$I$2736,$F810))</f>
        <v/>
      </c>
    </row>
    <row r="811" customFormat="false" ht="15" hidden="false" customHeight="false" outlineLevel="0" collapsed="false">
      <c r="A811" s="12" t="n">
        <v>808</v>
      </c>
      <c r="B811" s="8" t="s">
        <v>3013</v>
      </c>
      <c r="C811" s="8" t="s">
        <v>3014</v>
      </c>
      <c r="D811" s="11" t="n">
        <v>0.00743240740740741</v>
      </c>
      <c r="E811" s="39" t="n">
        <f aca="false">ROUND((D811-$D$5)*86400,2)</f>
        <v>103.14</v>
      </c>
      <c r="F811" s="12" t="n">
        <v>1944</v>
      </c>
      <c r="G811" s="11" t="str">
        <f aca="false">IF(INDEX(選手一覧!$D$5:$D$2736,$F811)="","",INDEX(選手一覧!$D$5:$D$2736,$F811))</f>
        <v/>
      </c>
      <c r="H811" s="12" t="str">
        <f aca="false">IF(INDEX(選手一覧!$E$5:$E$2736,$F811)="","",INDEX(選手一覧!$E$5:$E$2736,$F811))</f>
        <v/>
      </c>
      <c r="I811" s="11" t="str">
        <f aca="false">IF(INDEX(選手一覧!$H$5:$H$2736,$F811)="","",INDEX(選手一覧!$H$5:$H$2736,$F811))</f>
        <v/>
      </c>
      <c r="J811" s="12" t="str">
        <f aca="false">IF(INDEX(選手一覧!$I$5:$I$2736,$F811)="","",INDEX(選手一覧!$I$5:$I$2736,$F811))</f>
        <v/>
      </c>
    </row>
    <row r="812" customFormat="false" ht="15" hidden="false" customHeight="false" outlineLevel="0" collapsed="false">
      <c r="A812" s="12" t="n">
        <v>809</v>
      </c>
      <c r="B812" s="8" t="s">
        <v>3015</v>
      </c>
      <c r="C812" s="8" t="s">
        <v>3016</v>
      </c>
      <c r="D812" s="11" t="n">
        <v>0.00743252314814815</v>
      </c>
      <c r="E812" s="39" t="n">
        <f aca="false">ROUND((D812-$D$5)*86400,2)</f>
        <v>103.15</v>
      </c>
      <c r="F812" s="12" t="n">
        <v>1945</v>
      </c>
      <c r="G812" s="11" t="str">
        <f aca="false">IF(INDEX(選手一覧!$D$5:$D$2736,$F812)="","",INDEX(選手一覧!$D$5:$D$2736,$F812))</f>
        <v/>
      </c>
      <c r="H812" s="12" t="str">
        <f aca="false">IF(INDEX(選手一覧!$E$5:$E$2736,$F812)="","",INDEX(選手一覧!$E$5:$E$2736,$F812))</f>
        <v/>
      </c>
      <c r="I812" s="11" t="str">
        <f aca="false">IF(INDEX(選手一覧!$H$5:$H$2736,$F812)="","",INDEX(選手一覧!$H$5:$H$2736,$F812))</f>
        <v/>
      </c>
      <c r="J812" s="12" t="str">
        <f aca="false">IF(INDEX(選手一覧!$I$5:$I$2736,$F812)="","",INDEX(選手一覧!$I$5:$I$2736,$F812))</f>
        <v/>
      </c>
    </row>
    <row r="813" customFormat="false" ht="15" hidden="false" customHeight="false" outlineLevel="0" collapsed="false">
      <c r="A813" s="12" t="n">
        <v>810</v>
      </c>
      <c r="B813" s="8" t="s">
        <v>3017</v>
      </c>
      <c r="C813" s="8" t="s">
        <v>3018</v>
      </c>
      <c r="D813" s="11" t="n">
        <v>0.00743310185185185</v>
      </c>
      <c r="E813" s="39" t="n">
        <f aca="false">ROUND((D813-$D$5)*86400,2)</f>
        <v>103.2</v>
      </c>
      <c r="F813" s="12" t="n">
        <v>1946</v>
      </c>
      <c r="G813" s="11" t="str">
        <f aca="false">IF(INDEX(選手一覧!$D$5:$D$2736,$F813)="","",INDEX(選手一覧!$D$5:$D$2736,$F813))</f>
        <v/>
      </c>
      <c r="H813" s="12" t="str">
        <f aca="false">IF(INDEX(選手一覧!$E$5:$E$2736,$F813)="","",INDEX(選手一覧!$E$5:$E$2736,$F813))</f>
        <v/>
      </c>
      <c r="I813" s="11" t="str">
        <f aca="false">IF(INDEX(選手一覧!$H$5:$H$2736,$F813)="","",INDEX(選手一覧!$H$5:$H$2736,$F813))</f>
        <v/>
      </c>
      <c r="J813" s="12" t="str">
        <f aca="false">IF(INDEX(選手一覧!$I$5:$I$2736,$F813)="","",INDEX(選手一覧!$I$5:$I$2736,$F813))</f>
        <v/>
      </c>
    </row>
    <row r="814" customFormat="false" ht="15" hidden="false" customHeight="false" outlineLevel="0" collapsed="false">
      <c r="A814" s="12" t="n">
        <v>811</v>
      </c>
      <c r="B814" s="8" t="s">
        <v>3019</v>
      </c>
      <c r="C814" s="8" t="s">
        <v>3020</v>
      </c>
      <c r="D814" s="11" t="n">
        <v>0.00743321759259259</v>
      </c>
      <c r="E814" s="39" t="n">
        <f aca="false">ROUND((D814-$D$5)*86400,2)</f>
        <v>103.21</v>
      </c>
      <c r="F814" s="12" t="n">
        <v>1947</v>
      </c>
      <c r="G814" s="11" t="str">
        <f aca="false">IF(INDEX(選手一覧!$D$5:$D$2736,$F814)="","",INDEX(選手一覧!$D$5:$D$2736,$F814))</f>
        <v/>
      </c>
      <c r="H814" s="12" t="str">
        <f aca="false">IF(INDEX(選手一覧!$E$5:$E$2736,$F814)="","",INDEX(選手一覧!$E$5:$E$2736,$F814))</f>
        <v/>
      </c>
      <c r="I814" s="11" t="str">
        <f aca="false">IF(INDEX(選手一覧!$H$5:$H$2736,$F814)="","",INDEX(選手一覧!$H$5:$H$2736,$F814))</f>
        <v/>
      </c>
      <c r="J814" s="12" t="str">
        <f aca="false">IF(INDEX(選手一覧!$I$5:$I$2736,$F814)="","",INDEX(選手一覧!$I$5:$I$2736,$F814))</f>
        <v/>
      </c>
    </row>
    <row r="815" customFormat="false" ht="15" hidden="false" customHeight="false" outlineLevel="0" collapsed="false">
      <c r="A815" s="12" t="n">
        <v>812</v>
      </c>
      <c r="B815" s="8" t="s">
        <v>3021</v>
      </c>
      <c r="C815" s="8" t="s">
        <v>2790</v>
      </c>
      <c r="D815" s="11" t="n">
        <v>0.00743333333333333</v>
      </c>
      <c r="E815" s="39" t="n">
        <f aca="false">ROUND((D815-$D$5)*86400,2)</f>
        <v>103.22</v>
      </c>
      <c r="F815" s="12" t="n">
        <v>1948</v>
      </c>
      <c r="G815" s="11" t="str">
        <f aca="false">IF(INDEX(選手一覧!$D$5:$D$2736,$F815)="","",INDEX(選手一覧!$D$5:$D$2736,$F815))</f>
        <v/>
      </c>
      <c r="H815" s="12" t="str">
        <f aca="false">IF(INDEX(選手一覧!$E$5:$E$2736,$F815)="","",INDEX(選手一覧!$E$5:$E$2736,$F815))</f>
        <v/>
      </c>
      <c r="I815" s="11" t="str">
        <f aca="false">IF(INDEX(選手一覧!$H$5:$H$2736,$F815)="","",INDEX(選手一覧!$H$5:$H$2736,$F815))</f>
        <v/>
      </c>
      <c r="J815" s="12" t="str">
        <f aca="false">IF(INDEX(選手一覧!$I$5:$I$2736,$F815)="","",INDEX(選手一覧!$I$5:$I$2736,$F815))</f>
        <v/>
      </c>
    </row>
    <row r="816" customFormat="false" ht="15" hidden="false" customHeight="false" outlineLevel="0" collapsed="false">
      <c r="A816" s="12" t="n">
        <v>813</v>
      </c>
      <c r="B816" s="8" t="s">
        <v>1372</v>
      </c>
      <c r="C816" s="8" t="s">
        <v>1835</v>
      </c>
      <c r="D816" s="11" t="n">
        <v>0.00743541666666667</v>
      </c>
      <c r="E816" s="39" t="n">
        <f aca="false">ROUND((D816-$D$5)*86400,2)</f>
        <v>103.4</v>
      </c>
      <c r="F816" s="12" t="n">
        <v>1950</v>
      </c>
      <c r="G816" s="11" t="str">
        <f aca="false">IF(INDEX(選手一覧!$D$5:$D$2736,$F816)="","",INDEX(選手一覧!$D$5:$D$2736,$F816))</f>
        <v/>
      </c>
      <c r="H816" s="12" t="str">
        <f aca="false">IF(INDEX(選手一覧!$E$5:$E$2736,$F816)="","",INDEX(選手一覧!$E$5:$E$2736,$F816))</f>
        <v/>
      </c>
      <c r="I816" s="11" t="str">
        <f aca="false">IF(INDEX(選手一覧!$H$5:$H$2736,$F816)="","",INDEX(選手一覧!$H$5:$H$2736,$F816))</f>
        <v/>
      </c>
      <c r="J816" s="12" t="str">
        <f aca="false">IF(INDEX(選手一覧!$I$5:$I$2736,$F816)="","",INDEX(選手一覧!$I$5:$I$2736,$F816))</f>
        <v/>
      </c>
    </row>
    <row r="817" customFormat="false" ht="15" hidden="false" customHeight="false" outlineLevel="0" collapsed="false">
      <c r="A817" s="12" t="n">
        <v>814</v>
      </c>
      <c r="B817" s="8" t="s">
        <v>3024</v>
      </c>
      <c r="C817" s="8" t="s">
        <v>73</v>
      </c>
      <c r="D817" s="11" t="n">
        <v>0.00743738425925926</v>
      </c>
      <c r="E817" s="39" t="n">
        <f aca="false">ROUND((D817-$D$5)*86400,2)</f>
        <v>103.57</v>
      </c>
      <c r="F817" s="12" t="n">
        <v>1951</v>
      </c>
      <c r="G817" s="11" t="str">
        <f aca="false">IF(INDEX(選手一覧!$D$5:$D$2736,$F817)="","",INDEX(選手一覧!$D$5:$D$2736,$F817))</f>
        <v/>
      </c>
      <c r="H817" s="12" t="str">
        <f aca="false">IF(INDEX(選手一覧!$E$5:$E$2736,$F817)="","",INDEX(選手一覧!$E$5:$E$2736,$F817))</f>
        <v/>
      </c>
      <c r="I817" s="11" t="str">
        <f aca="false">IF(INDEX(選手一覧!$H$5:$H$2736,$F817)="","",INDEX(選手一覧!$H$5:$H$2736,$F817))</f>
        <v/>
      </c>
      <c r="J817" s="12" t="str">
        <f aca="false">IF(INDEX(選手一覧!$I$5:$I$2736,$F817)="","",INDEX(選手一覧!$I$5:$I$2736,$F817))</f>
        <v/>
      </c>
    </row>
    <row r="818" customFormat="false" ht="15" hidden="false" customHeight="false" outlineLevel="0" collapsed="false">
      <c r="A818" s="12" t="n">
        <v>815</v>
      </c>
      <c r="B818" s="8" t="s">
        <v>3025</v>
      </c>
      <c r="C818" s="8" t="s">
        <v>3026</v>
      </c>
      <c r="D818" s="11" t="n">
        <v>0.00743738425925926</v>
      </c>
      <c r="E818" s="39" t="n">
        <f aca="false">ROUND((D818-$D$5)*86400,2)</f>
        <v>103.57</v>
      </c>
      <c r="F818" s="12" t="n">
        <v>1952</v>
      </c>
      <c r="G818" s="11" t="str">
        <f aca="false">IF(INDEX(選手一覧!$D$5:$D$2736,$F818)="","",INDEX(選手一覧!$D$5:$D$2736,$F818))</f>
        <v/>
      </c>
      <c r="H818" s="12" t="str">
        <f aca="false">IF(INDEX(選手一覧!$E$5:$E$2736,$F818)="","",INDEX(選手一覧!$E$5:$E$2736,$F818))</f>
        <v/>
      </c>
      <c r="I818" s="11" t="str">
        <f aca="false">IF(INDEX(選手一覧!$H$5:$H$2736,$F818)="","",INDEX(選手一覧!$H$5:$H$2736,$F818))</f>
        <v/>
      </c>
      <c r="J818" s="12" t="str">
        <f aca="false">IF(INDEX(選手一覧!$I$5:$I$2736,$F818)="","",INDEX(選手一覧!$I$5:$I$2736,$F818))</f>
        <v/>
      </c>
    </row>
    <row r="819" customFormat="false" ht="15" hidden="false" customHeight="false" outlineLevel="0" collapsed="false">
      <c r="A819" s="12" t="n">
        <v>816</v>
      </c>
      <c r="B819" s="8" t="s">
        <v>3027</v>
      </c>
      <c r="C819" s="8" t="s">
        <v>304</v>
      </c>
      <c r="D819" s="11" t="n">
        <v>0.00743819444444444</v>
      </c>
      <c r="E819" s="39" t="n">
        <f aca="false">ROUND((D819-$D$5)*86400,2)</f>
        <v>103.64</v>
      </c>
      <c r="F819" s="12" t="n">
        <v>1953</v>
      </c>
      <c r="G819" s="11" t="str">
        <f aca="false">IF(INDEX(選手一覧!$D$5:$D$2736,$F819)="","",INDEX(選手一覧!$D$5:$D$2736,$F819))</f>
        <v/>
      </c>
      <c r="H819" s="12" t="str">
        <f aca="false">IF(INDEX(選手一覧!$E$5:$E$2736,$F819)="","",INDEX(選手一覧!$E$5:$E$2736,$F819))</f>
        <v/>
      </c>
      <c r="I819" s="11" t="str">
        <f aca="false">IF(INDEX(選手一覧!$H$5:$H$2736,$F819)="","",INDEX(選手一覧!$H$5:$H$2736,$F819))</f>
        <v/>
      </c>
      <c r="J819" s="12" t="str">
        <f aca="false">IF(INDEX(選手一覧!$I$5:$I$2736,$F819)="","",INDEX(選手一覧!$I$5:$I$2736,$F819))</f>
        <v/>
      </c>
    </row>
    <row r="820" customFormat="false" ht="15" hidden="false" customHeight="false" outlineLevel="0" collapsed="false">
      <c r="A820" s="12" t="n">
        <v>817</v>
      </c>
      <c r="B820" s="8" t="s">
        <v>3030</v>
      </c>
      <c r="C820" s="8" t="s">
        <v>1209</v>
      </c>
      <c r="D820" s="11" t="n">
        <v>0.00743900462962963</v>
      </c>
      <c r="E820" s="39" t="n">
        <f aca="false">ROUND((D820-$D$5)*86400,2)</f>
        <v>103.71</v>
      </c>
      <c r="F820" s="12" t="n">
        <v>1955</v>
      </c>
      <c r="G820" s="11" t="str">
        <f aca="false">IF(INDEX(選手一覧!$D$5:$D$2736,$F820)="","",INDEX(選手一覧!$D$5:$D$2736,$F820))</f>
        <v/>
      </c>
      <c r="H820" s="12" t="str">
        <f aca="false">IF(INDEX(選手一覧!$E$5:$E$2736,$F820)="","",INDEX(選手一覧!$E$5:$E$2736,$F820))</f>
        <v/>
      </c>
      <c r="I820" s="11" t="str">
        <f aca="false">IF(INDEX(選手一覧!$H$5:$H$2736,$F820)="","",INDEX(選手一覧!$H$5:$H$2736,$F820))</f>
        <v/>
      </c>
      <c r="J820" s="12" t="str">
        <f aca="false">IF(INDEX(選手一覧!$I$5:$I$2736,$F820)="","",INDEX(選手一覧!$I$5:$I$2736,$F820))</f>
        <v/>
      </c>
    </row>
    <row r="821" customFormat="false" ht="15" hidden="false" customHeight="false" outlineLevel="0" collapsed="false">
      <c r="A821" s="12" t="n">
        <v>818</v>
      </c>
      <c r="B821" s="8" t="s">
        <v>3031</v>
      </c>
      <c r="C821" s="8" t="s">
        <v>3032</v>
      </c>
      <c r="D821" s="11" t="n">
        <v>0.00744016203703704</v>
      </c>
      <c r="E821" s="39" t="n">
        <f aca="false">ROUND((D821-$D$5)*86400,2)</f>
        <v>103.81</v>
      </c>
      <c r="F821" s="12" t="n">
        <v>1956</v>
      </c>
      <c r="G821" s="11" t="str">
        <f aca="false">IF(INDEX(選手一覧!$D$5:$D$2736,$F821)="","",INDEX(選手一覧!$D$5:$D$2736,$F821))</f>
        <v/>
      </c>
      <c r="H821" s="12" t="str">
        <f aca="false">IF(INDEX(選手一覧!$E$5:$E$2736,$F821)="","",INDEX(選手一覧!$E$5:$E$2736,$F821))</f>
        <v/>
      </c>
      <c r="I821" s="11" t="str">
        <f aca="false">IF(INDEX(選手一覧!$H$5:$H$2736,$F821)="","",INDEX(選手一覧!$H$5:$H$2736,$F821))</f>
        <v/>
      </c>
      <c r="J821" s="12" t="str">
        <f aca="false">IF(INDEX(選手一覧!$I$5:$I$2736,$F821)="","",INDEX(選手一覧!$I$5:$I$2736,$F821))</f>
        <v/>
      </c>
    </row>
    <row r="822" customFormat="false" ht="15" hidden="false" customHeight="false" outlineLevel="0" collapsed="false">
      <c r="A822" s="12" t="n">
        <v>819</v>
      </c>
      <c r="B822" s="8" t="s">
        <v>3034</v>
      </c>
      <c r="C822" s="8" t="s">
        <v>3035</v>
      </c>
      <c r="D822" s="11" t="n">
        <v>0.00744039351851852</v>
      </c>
      <c r="E822" s="39" t="n">
        <f aca="false">ROUND((D822-$D$5)*86400,2)</f>
        <v>103.83</v>
      </c>
      <c r="F822" s="12" t="n">
        <v>1958</v>
      </c>
      <c r="G822" s="11" t="str">
        <f aca="false">IF(INDEX(選手一覧!$D$5:$D$2736,$F822)="","",INDEX(選手一覧!$D$5:$D$2736,$F822))</f>
        <v/>
      </c>
      <c r="H822" s="12" t="str">
        <f aca="false">IF(INDEX(選手一覧!$E$5:$E$2736,$F822)="","",INDEX(選手一覧!$E$5:$E$2736,$F822))</f>
        <v/>
      </c>
      <c r="I822" s="11" t="str">
        <f aca="false">IF(INDEX(選手一覧!$H$5:$H$2736,$F822)="","",INDEX(選手一覧!$H$5:$H$2736,$F822))</f>
        <v/>
      </c>
      <c r="J822" s="12" t="str">
        <f aca="false">IF(INDEX(選手一覧!$I$5:$I$2736,$F822)="","",INDEX(選手一覧!$I$5:$I$2736,$F822))</f>
        <v/>
      </c>
    </row>
    <row r="823" customFormat="false" ht="15" hidden="false" customHeight="false" outlineLevel="0" collapsed="false">
      <c r="A823" s="12" t="n">
        <v>820</v>
      </c>
      <c r="B823" s="8" t="s">
        <v>3036</v>
      </c>
      <c r="C823" s="8" t="s">
        <v>2174</v>
      </c>
      <c r="D823" s="11" t="n">
        <v>0.00744305555555556</v>
      </c>
      <c r="E823" s="39" t="n">
        <f aca="false">ROUND((D823-$D$5)*86400,2)</f>
        <v>104.06</v>
      </c>
      <c r="F823" s="12" t="n">
        <v>1959</v>
      </c>
      <c r="G823" s="11" t="str">
        <f aca="false">IF(INDEX(選手一覧!$D$5:$D$2736,$F823)="","",INDEX(選手一覧!$D$5:$D$2736,$F823))</f>
        <v/>
      </c>
      <c r="H823" s="12" t="str">
        <f aca="false">IF(INDEX(選手一覧!$E$5:$E$2736,$F823)="","",INDEX(選手一覧!$E$5:$E$2736,$F823))</f>
        <v/>
      </c>
      <c r="I823" s="11" t="str">
        <f aca="false">IF(INDEX(選手一覧!$H$5:$H$2736,$F823)="","",INDEX(選手一覧!$H$5:$H$2736,$F823))</f>
        <v/>
      </c>
      <c r="J823" s="12" t="str">
        <f aca="false">IF(INDEX(選手一覧!$I$5:$I$2736,$F823)="","",INDEX(選手一覧!$I$5:$I$2736,$F823))</f>
        <v/>
      </c>
    </row>
    <row r="824" customFormat="false" ht="15" hidden="false" customHeight="false" outlineLevel="0" collapsed="false">
      <c r="A824" s="12" t="n">
        <v>821</v>
      </c>
      <c r="B824" s="8" t="s">
        <v>3037</v>
      </c>
      <c r="C824" s="8" t="s">
        <v>2445</v>
      </c>
      <c r="D824" s="11" t="n">
        <v>0.00744328703703704</v>
      </c>
      <c r="E824" s="39" t="n">
        <f aca="false">ROUND((D824-$D$5)*86400,2)</f>
        <v>104.08</v>
      </c>
      <c r="F824" s="12" t="n">
        <v>1960</v>
      </c>
      <c r="G824" s="11" t="str">
        <f aca="false">IF(INDEX(選手一覧!$D$5:$D$2736,$F824)="","",INDEX(選手一覧!$D$5:$D$2736,$F824))</f>
        <v/>
      </c>
      <c r="H824" s="12" t="str">
        <f aca="false">IF(INDEX(選手一覧!$E$5:$E$2736,$F824)="","",INDEX(選手一覧!$E$5:$E$2736,$F824))</f>
        <v/>
      </c>
      <c r="I824" s="11" t="str">
        <f aca="false">IF(INDEX(選手一覧!$H$5:$H$2736,$F824)="","",INDEX(選手一覧!$H$5:$H$2736,$F824))</f>
        <v/>
      </c>
      <c r="J824" s="12" t="str">
        <f aca="false">IF(INDEX(選手一覧!$I$5:$I$2736,$F824)="","",INDEX(選手一覧!$I$5:$I$2736,$F824))</f>
        <v/>
      </c>
    </row>
    <row r="825" customFormat="false" ht="15" hidden="false" customHeight="false" outlineLevel="0" collapsed="false">
      <c r="A825" s="12" t="n">
        <v>822</v>
      </c>
      <c r="B825" s="8" t="s">
        <v>3038</v>
      </c>
      <c r="C825" s="8" t="s">
        <v>3039</v>
      </c>
      <c r="D825" s="11" t="n">
        <v>0.00744490740740741</v>
      </c>
      <c r="E825" s="39" t="n">
        <f aca="false">ROUND((D825-$D$5)*86400,2)</f>
        <v>104.22</v>
      </c>
      <c r="F825" s="12" t="n">
        <v>1961</v>
      </c>
      <c r="G825" s="11" t="str">
        <f aca="false">IF(INDEX(選手一覧!$D$5:$D$2736,$F825)="","",INDEX(選手一覧!$D$5:$D$2736,$F825))</f>
        <v/>
      </c>
      <c r="H825" s="12" t="str">
        <f aca="false">IF(INDEX(選手一覧!$E$5:$E$2736,$F825)="","",INDEX(選手一覧!$E$5:$E$2736,$F825))</f>
        <v/>
      </c>
      <c r="I825" s="11" t="str">
        <f aca="false">IF(INDEX(選手一覧!$H$5:$H$2736,$F825)="","",INDEX(選手一覧!$H$5:$H$2736,$F825))</f>
        <v/>
      </c>
      <c r="J825" s="12" t="str">
        <f aca="false">IF(INDEX(選手一覧!$I$5:$I$2736,$F825)="","",INDEX(選手一覧!$I$5:$I$2736,$F825))</f>
        <v/>
      </c>
    </row>
    <row r="826" customFormat="false" ht="15" hidden="false" customHeight="false" outlineLevel="0" collapsed="false">
      <c r="A826" s="12" t="n">
        <v>823</v>
      </c>
      <c r="B826" s="8" t="s">
        <v>3040</v>
      </c>
      <c r="C826" s="8" t="s">
        <v>1634</v>
      </c>
      <c r="D826" s="11" t="n">
        <v>0.00744571759259259</v>
      </c>
      <c r="E826" s="39" t="n">
        <f aca="false">ROUND((D826-$D$5)*86400,2)</f>
        <v>104.29</v>
      </c>
      <c r="F826" s="12" t="n">
        <v>1962</v>
      </c>
      <c r="G826" s="11" t="str">
        <f aca="false">IF(INDEX(選手一覧!$D$5:$D$2736,$F826)="","",INDEX(選手一覧!$D$5:$D$2736,$F826))</f>
        <v/>
      </c>
      <c r="H826" s="12" t="str">
        <f aca="false">IF(INDEX(選手一覧!$E$5:$E$2736,$F826)="","",INDEX(選手一覧!$E$5:$E$2736,$F826))</f>
        <v/>
      </c>
      <c r="I826" s="11" t="str">
        <f aca="false">IF(INDEX(選手一覧!$H$5:$H$2736,$F826)="","",INDEX(選手一覧!$H$5:$H$2736,$F826))</f>
        <v/>
      </c>
      <c r="J826" s="12" t="str">
        <f aca="false">IF(INDEX(選手一覧!$I$5:$I$2736,$F826)="","",INDEX(選手一覧!$I$5:$I$2736,$F826))</f>
        <v/>
      </c>
    </row>
    <row r="827" customFormat="false" ht="15" hidden="false" customHeight="false" outlineLevel="0" collapsed="false">
      <c r="A827" s="12" t="n">
        <v>824</v>
      </c>
      <c r="B827" s="8" t="s">
        <v>3041</v>
      </c>
      <c r="C827" s="8" t="s">
        <v>2919</v>
      </c>
      <c r="D827" s="11" t="n">
        <v>0.00744675925925926</v>
      </c>
      <c r="E827" s="39" t="n">
        <f aca="false">ROUND((D827-$D$5)*86400,2)</f>
        <v>104.38</v>
      </c>
      <c r="F827" s="12" t="n">
        <v>1963</v>
      </c>
      <c r="G827" s="11" t="str">
        <f aca="false">IF(INDEX(選手一覧!$D$5:$D$2736,$F827)="","",INDEX(選手一覧!$D$5:$D$2736,$F827))</f>
        <v/>
      </c>
      <c r="H827" s="12" t="str">
        <f aca="false">IF(INDEX(選手一覧!$E$5:$E$2736,$F827)="","",INDEX(選手一覧!$E$5:$E$2736,$F827))</f>
        <v/>
      </c>
      <c r="I827" s="11" t="str">
        <f aca="false">IF(INDEX(選手一覧!$H$5:$H$2736,$F827)="","",INDEX(選手一覧!$H$5:$H$2736,$F827))</f>
        <v/>
      </c>
      <c r="J827" s="12" t="str">
        <f aca="false">IF(INDEX(選手一覧!$I$5:$I$2736,$F827)="","",INDEX(選手一覧!$I$5:$I$2736,$F827))</f>
        <v/>
      </c>
    </row>
    <row r="828" customFormat="false" ht="15" hidden="false" customHeight="false" outlineLevel="0" collapsed="false">
      <c r="A828" s="12" t="n">
        <v>825</v>
      </c>
      <c r="B828" s="8" t="s">
        <v>3042</v>
      </c>
      <c r="C828" s="8" t="s">
        <v>1202</v>
      </c>
      <c r="D828" s="11" t="n">
        <v>0.00744768518518519</v>
      </c>
      <c r="E828" s="39" t="n">
        <f aca="false">ROUND((D828-$D$5)*86400,2)</f>
        <v>104.46</v>
      </c>
      <c r="F828" s="12" t="n">
        <v>1964</v>
      </c>
      <c r="G828" s="11" t="str">
        <f aca="false">IF(INDEX(選手一覧!$D$5:$D$2736,$F828)="","",INDEX(選手一覧!$D$5:$D$2736,$F828))</f>
        <v/>
      </c>
      <c r="H828" s="12" t="str">
        <f aca="false">IF(INDEX(選手一覧!$E$5:$E$2736,$F828)="","",INDEX(選手一覧!$E$5:$E$2736,$F828))</f>
        <v/>
      </c>
      <c r="I828" s="11" t="str">
        <f aca="false">IF(INDEX(選手一覧!$H$5:$H$2736,$F828)="","",INDEX(選手一覧!$H$5:$H$2736,$F828))</f>
        <v/>
      </c>
      <c r="J828" s="12" t="str">
        <f aca="false">IF(INDEX(選手一覧!$I$5:$I$2736,$F828)="","",INDEX(選手一覧!$I$5:$I$2736,$F828))</f>
        <v/>
      </c>
    </row>
    <row r="829" customFormat="false" ht="15" hidden="false" customHeight="false" outlineLevel="0" collapsed="false">
      <c r="A829" s="12" t="n">
        <v>826</v>
      </c>
      <c r="B829" s="8" t="s">
        <v>3044</v>
      </c>
      <c r="C829" s="8" t="s">
        <v>1327</v>
      </c>
      <c r="D829" s="11" t="n">
        <v>0.00744791666666667</v>
      </c>
      <c r="E829" s="39" t="n">
        <f aca="false">ROUND((D829-$D$5)*86400,2)</f>
        <v>104.48</v>
      </c>
      <c r="F829" s="12" t="n">
        <v>1966</v>
      </c>
      <c r="G829" s="11" t="str">
        <f aca="false">IF(INDEX(選手一覧!$D$5:$D$2736,$F829)="","",INDEX(選手一覧!$D$5:$D$2736,$F829))</f>
        <v/>
      </c>
      <c r="H829" s="12" t="str">
        <f aca="false">IF(INDEX(選手一覧!$E$5:$E$2736,$F829)="","",INDEX(選手一覧!$E$5:$E$2736,$F829))</f>
        <v/>
      </c>
      <c r="I829" s="11" t="str">
        <f aca="false">IF(INDEX(選手一覧!$H$5:$H$2736,$F829)="","",INDEX(選手一覧!$H$5:$H$2736,$F829))</f>
        <v/>
      </c>
      <c r="J829" s="12" t="str">
        <f aca="false">IF(INDEX(選手一覧!$I$5:$I$2736,$F829)="","",INDEX(選手一覧!$I$5:$I$2736,$F829))</f>
        <v/>
      </c>
    </row>
    <row r="830" customFormat="false" ht="15" hidden="false" customHeight="false" outlineLevel="0" collapsed="false">
      <c r="A830" s="12" t="n">
        <v>827</v>
      </c>
      <c r="B830" s="8" t="s">
        <v>3046</v>
      </c>
      <c r="C830" s="8" t="s">
        <v>3047</v>
      </c>
      <c r="D830" s="11" t="n">
        <v>0.00744826388888889</v>
      </c>
      <c r="E830" s="39" t="n">
        <f aca="false">ROUND((D830-$D$5)*86400,2)</f>
        <v>104.51</v>
      </c>
      <c r="F830" s="12" t="n">
        <v>1968</v>
      </c>
      <c r="G830" s="11" t="str">
        <f aca="false">IF(INDEX(選手一覧!$D$5:$D$2736,$F830)="","",INDEX(選手一覧!$D$5:$D$2736,$F830))</f>
        <v/>
      </c>
      <c r="H830" s="12" t="str">
        <f aca="false">IF(INDEX(選手一覧!$E$5:$E$2736,$F830)="","",INDEX(選手一覧!$E$5:$E$2736,$F830))</f>
        <v/>
      </c>
      <c r="I830" s="11" t="str">
        <f aca="false">IF(INDEX(選手一覧!$H$5:$H$2736,$F830)="","",INDEX(選手一覧!$H$5:$H$2736,$F830))</f>
        <v/>
      </c>
      <c r="J830" s="12" t="str">
        <f aca="false">IF(INDEX(選手一覧!$I$5:$I$2736,$F830)="","",INDEX(選手一覧!$I$5:$I$2736,$F830))</f>
        <v/>
      </c>
    </row>
    <row r="831" customFormat="false" ht="15" hidden="false" customHeight="false" outlineLevel="0" collapsed="false">
      <c r="A831" s="12" t="n">
        <v>828</v>
      </c>
      <c r="B831" s="8" t="s">
        <v>3048</v>
      </c>
      <c r="C831" s="8" t="s">
        <v>3049</v>
      </c>
      <c r="D831" s="11" t="n">
        <v>0.00744872685185185</v>
      </c>
      <c r="E831" s="39" t="n">
        <f aca="false">ROUND((D831-$D$5)*86400,2)</f>
        <v>104.55</v>
      </c>
      <c r="F831" s="12" t="n">
        <v>1969</v>
      </c>
      <c r="G831" s="11" t="str">
        <f aca="false">IF(INDEX(選手一覧!$D$5:$D$2736,$F831)="","",INDEX(選手一覧!$D$5:$D$2736,$F831))</f>
        <v/>
      </c>
      <c r="H831" s="12" t="str">
        <f aca="false">IF(INDEX(選手一覧!$E$5:$E$2736,$F831)="","",INDEX(選手一覧!$E$5:$E$2736,$F831))</f>
        <v/>
      </c>
      <c r="I831" s="11" t="n">
        <f aca="false">IF(INDEX(選手一覧!$H$5:$H$2736,$F831)="","",INDEX(選手一覧!$H$5:$H$2736,$F831))</f>
        <v>0.00295092592592593</v>
      </c>
      <c r="J831" s="12" t="n">
        <f aca="false">IF(INDEX(選手一覧!$I$5:$I$2736,$F831)="","",INDEX(選手一覧!$I$5:$I$2736,$F831))</f>
        <v>1243</v>
      </c>
    </row>
    <row r="832" customFormat="false" ht="15" hidden="false" customHeight="false" outlineLevel="0" collapsed="false">
      <c r="A832" s="12" t="n">
        <v>829</v>
      </c>
      <c r="B832" s="8" t="s">
        <v>3050</v>
      </c>
      <c r="C832" s="8" t="s">
        <v>3051</v>
      </c>
      <c r="D832" s="11" t="n">
        <v>0.00744953703703704</v>
      </c>
      <c r="E832" s="39" t="n">
        <f aca="false">ROUND((D832-$D$5)*86400,2)</f>
        <v>104.62</v>
      </c>
      <c r="F832" s="12" t="n">
        <v>1970</v>
      </c>
      <c r="G832" s="11" t="str">
        <f aca="false">IF(INDEX(選手一覧!$D$5:$D$2736,$F832)="","",INDEX(選手一覧!$D$5:$D$2736,$F832))</f>
        <v/>
      </c>
      <c r="H832" s="12" t="str">
        <f aca="false">IF(INDEX(選手一覧!$E$5:$E$2736,$F832)="","",INDEX(選手一覧!$E$5:$E$2736,$F832))</f>
        <v/>
      </c>
      <c r="I832" s="11" t="str">
        <f aca="false">IF(INDEX(選手一覧!$H$5:$H$2736,$F832)="","",INDEX(選手一覧!$H$5:$H$2736,$F832))</f>
        <v/>
      </c>
      <c r="J832" s="12" t="str">
        <f aca="false">IF(INDEX(選手一覧!$I$5:$I$2736,$F832)="","",INDEX(選手一覧!$I$5:$I$2736,$F832))</f>
        <v/>
      </c>
    </row>
    <row r="833" customFormat="false" ht="15" hidden="false" customHeight="false" outlineLevel="0" collapsed="false">
      <c r="A833" s="12" t="n">
        <v>830</v>
      </c>
      <c r="B833" s="8" t="s">
        <v>3052</v>
      </c>
      <c r="C833" s="8" t="s">
        <v>2803</v>
      </c>
      <c r="D833" s="11" t="n">
        <v>0.00745011574074074</v>
      </c>
      <c r="E833" s="39" t="n">
        <f aca="false">ROUND((D833-$D$5)*86400,2)</f>
        <v>104.67</v>
      </c>
      <c r="F833" s="12" t="n">
        <v>1971</v>
      </c>
      <c r="G833" s="11" t="str">
        <f aca="false">IF(INDEX(選手一覧!$D$5:$D$2736,$F833)="","",INDEX(選手一覧!$D$5:$D$2736,$F833))</f>
        <v/>
      </c>
      <c r="H833" s="12" t="str">
        <f aca="false">IF(INDEX(選手一覧!$E$5:$E$2736,$F833)="","",INDEX(選手一覧!$E$5:$E$2736,$F833))</f>
        <v/>
      </c>
      <c r="I833" s="11" t="str">
        <f aca="false">IF(INDEX(選手一覧!$H$5:$H$2736,$F833)="","",INDEX(選手一覧!$H$5:$H$2736,$F833))</f>
        <v/>
      </c>
      <c r="J833" s="12" t="str">
        <f aca="false">IF(INDEX(選手一覧!$I$5:$I$2736,$F833)="","",INDEX(選手一覧!$I$5:$I$2736,$F833))</f>
        <v/>
      </c>
    </row>
    <row r="834" customFormat="false" ht="15" hidden="false" customHeight="false" outlineLevel="0" collapsed="false">
      <c r="A834" s="12" t="n">
        <v>831</v>
      </c>
      <c r="B834" s="8" t="s">
        <v>3055</v>
      </c>
      <c r="C834" s="8" t="s">
        <v>3056</v>
      </c>
      <c r="D834" s="11" t="n">
        <v>0.00745162037037037</v>
      </c>
      <c r="E834" s="39" t="n">
        <f aca="false">ROUND((D834-$D$5)*86400,2)</f>
        <v>104.8</v>
      </c>
      <c r="F834" s="12" t="n">
        <v>1973</v>
      </c>
      <c r="G834" s="11" t="str">
        <f aca="false">IF(INDEX(選手一覧!$D$5:$D$2736,$F834)="","",INDEX(選手一覧!$D$5:$D$2736,$F834))</f>
        <v/>
      </c>
      <c r="H834" s="12" t="str">
        <f aca="false">IF(INDEX(選手一覧!$E$5:$E$2736,$F834)="","",INDEX(選手一覧!$E$5:$E$2736,$F834))</f>
        <v/>
      </c>
      <c r="I834" s="11" t="str">
        <f aca="false">IF(INDEX(選手一覧!$H$5:$H$2736,$F834)="","",INDEX(選手一覧!$H$5:$H$2736,$F834))</f>
        <v/>
      </c>
      <c r="J834" s="12" t="str">
        <f aca="false">IF(INDEX(選手一覧!$I$5:$I$2736,$F834)="","",INDEX(選手一覧!$I$5:$I$2736,$F834))</f>
        <v/>
      </c>
    </row>
    <row r="835" customFormat="false" ht="15" hidden="false" customHeight="false" outlineLevel="0" collapsed="false">
      <c r="A835" s="12" t="n">
        <v>832</v>
      </c>
      <c r="B835" s="8" t="s">
        <v>3058</v>
      </c>
      <c r="C835" s="8" t="s">
        <v>851</v>
      </c>
      <c r="D835" s="11" t="n">
        <v>0.0074525462962963</v>
      </c>
      <c r="E835" s="39" t="n">
        <f aca="false">ROUND((D835-$D$5)*86400,2)</f>
        <v>104.88</v>
      </c>
      <c r="F835" s="12" t="n">
        <v>1975</v>
      </c>
      <c r="G835" s="11" t="str">
        <f aca="false">IF(INDEX(選手一覧!$D$5:$D$2736,$F835)="","",INDEX(選手一覧!$D$5:$D$2736,$F835))</f>
        <v/>
      </c>
      <c r="H835" s="12" t="str">
        <f aca="false">IF(INDEX(選手一覧!$E$5:$E$2736,$F835)="","",INDEX(選手一覧!$E$5:$E$2736,$F835))</f>
        <v/>
      </c>
      <c r="I835" s="11" t="str">
        <f aca="false">IF(INDEX(選手一覧!$H$5:$H$2736,$F835)="","",INDEX(選手一覧!$H$5:$H$2736,$F835))</f>
        <v/>
      </c>
      <c r="J835" s="12" t="str">
        <f aca="false">IF(INDEX(選手一覧!$I$5:$I$2736,$F835)="","",INDEX(選手一覧!$I$5:$I$2736,$F835))</f>
        <v/>
      </c>
    </row>
    <row r="836" customFormat="false" ht="15" hidden="false" customHeight="false" outlineLevel="0" collapsed="false">
      <c r="A836" s="12" t="n">
        <v>833</v>
      </c>
      <c r="B836" s="8" t="s">
        <v>3059</v>
      </c>
      <c r="C836" s="8" t="s">
        <v>2264</v>
      </c>
      <c r="D836" s="11" t="n">
        <v>0.00745277777777778</v>
      </c>
      <c r="E836" s="39" t="n">
        <f aca="false">ROUND((D836-$D$5)*86400,2)</f>
        <v>104.9</v>
      </c>
      <c r="F836" s="12" t="n">
        <v>1976</v>
      </c>
      <c r="G836" s="11" t="str">
        <f aca="false">IF(INDEX(選手一覧!$D$5:$D$2736,$F836)="","",INDEX(選手一覧!$D$5:$D$2736,$F836))</f>
        <v/>
      </c>
      <c r="H836" s="12" t="str">
        <f aca="false">IF(INDEX(選手一覧!$E$5:$E$2736,$F836)="","",INDEX(選手一覧!$E$5:$E$2736,$F836))</f>
        <v/>
      </c>
      <c r="I836" s="11" t="str">
        <f aca="false">IF(INDEX(選手一覧!$H$5:$H$2736,$F836)="","",INDEX(選手一覧!$H$5:$H$2736,$F836))</f>
        <v/>
      </c>
      <c r="J836" s="12" t="str">
        <f aca="false">IF(INDEX(選手一覧!$I$5:$I$2736,$F836)="","",INDEX(選手一覧!$I$5:$I$2736,$F836))</f>
        <v/>
      </c>
    </row>
    <row r="837" customFormat="false" ht="15" hidden="false" customHeight="false" outlineLevel="0" collapsed="false">
      <c r="A837" s="12" t="n">
        <v>834</v>
      </c>
      <c r="B837" s="8" t="s">
        <v>3060</v>
      </c>
      <c r="C837" s="8" t="s">
        <v>3061</v>
      </c>
      <c r="D837" s="11" t="n">
        <v>0.00745289351851852</v>
      </c>
      <c r="E837" s="39" t="n">
        <f aca="false">ROUND((D837-$D$5)*86400,2)</f>
        <v>104.91</v>
      </c>
      <c r="F837" s="12" t="n">
        <v>1977</v>
      </c>
      <c r="G837" s="11" t="str">
        <f aca="false">IF(INDEX(選手一覧!$D$5:$D$2736,$F837)="","",INDEX(選手一覧!$D$5:$D$2736,$F837))</f>
        <v/>
      </c>
      <c r="H837" s="12" t="str">
        <f aca="false">IF(INDEX(選手一覧!$E$5:$E$2736,$F837)="","",INDEX(選手一覧!$E$5:$E$2736,$F837))</f>
        <v/>
      </c>
      <c r="I837" s="11" t="str">
        <f aca="false">IF(INDEX(選手一覧!$H$5:$H$2736,$F837)="","",INDEX(選手一覧!$H$5:$H$2736,$F837))</f>
        <v/>
      </c>
      <c r="J837" s="12" t="str">
        <f aca="false">IF(INDEX(選手一覧!$I$5:$I$2736,$F837)="","",INDEX(選手一覧!$I$5:$I$2736,$F837))</f>
        <v/>
      </c>
    </row>
    <row r="838" customFormat="false" ht="15" hidden="false" customHeight="false" outlineLevel="0" collapsed="false">
      <c r="A838" s="12" t="n">
        <v>835</v>
      </c>
      <c r="B838" s="8" t="s">
        <v>3063</v>
      </c>
      <c r="C838" s="8" t="s">
        <v>2552</v>
      </c>
      <c r="D838" s="11" t="n">
        <v>0.00745289351851852</v>
      </c>
      <c r="E838" s="39" t="n">
        <f aca="false">ROUND((D838-$D$5)*86400,2)</f>
        <v>104.91</v>
      </c>
      <c r="F838" s="12" t="n">
        <v>1979</v>
      </c>
      <c r="G838" s="11" t="str">
        <f aca="false">IF(INDEX(選手一覧!$D$5:$D$2736,$F838)="","",INDEX(選手一覧!$D$5:$D$2736,$F838))</f>
        <v/>
      </c>
      <c r="H838" s="12" t="str">
        <f aca="false">IF(INDEX(選手一覧!$E$5:$E$2736,$F838)="","",INDEX(選手一覧!$E$5:$E$2736,$F838))</f>
        <v/>
      </c>
      <c r="I838" s="11" t="str">
        <f aca="false">IF(INDEX(選手一覧!$H$5:$H$2736,$F838)="","",INDEX(選手一覧!$H$5:$H$2736,$F838))</f>
        <v/>
      </c>
      <c r="J838" s="12" t="str">
        <f aca="false">IF(INDEX(選手一覧!$I$5:$I$2736,$F838)="","",INDEX(選手一覧!$I$5:$I$2736,$F838))</f>
        <v/>
      </c>
    </row>
    <row r="839" customFormat="false" ht="15" hidden="false" customHeight="false" outlineLevel="0" collapsed="false">
      <c r="A839" s="12" t="n">
        <v>836</v>
      </c>
      <c r="B839" s="8" t="s">
        <v>3064</v>
      </c>
      <c r="C839" s="8" t="s">
        <v>3065</v>
      </c>
      <c r="D839" s="11" t="n">
        <v>0.00745347222222222</v>
      </c>
      <c r="E839" s="39" t="n">
        <f aca="false">ROUND((D839-$D$5)*86400,2)</f>
        <v>104.96</v>
      </c>
      <c r="F839" s="12" t="n">
        <v>1980</v>
      </c>
      <c r="G839" s="11" t="str">
        <f aca="false">IF(INDEX(選手一覧!$D$5:$D$2736,$F839)="","",INDEX(選手一覧!$D$5:$D$2736,$F839))</f>
        <v/>
      </c>
      <c r="H839" s="12" t="str">
        <f aca="false">IF(INDEX(選手一覧!$E$5:$E$2736,$F839)="","",INDEX(選手一覧!$E$5:$E$2736,$F839))</f>
        <v/>
      </c>
      <c r="I839" s="11" t="str">
        <f aca="false">IF(INDEX(選手一覧!$H$5:$H$2736,$F839)="","",INDEX(選手一覧!$H$5:$H$2736,$F839))</f>
        <v/>
      </c>
      <c r="J839" s="12" t="str">
        <f aca="false">IF(INDEX(選手一覧!$I$5:$I$2736,$F839)="","",INDEX(選手一覧!$I$5:$I$2736,$F839))</f>
        <v/>
      </c>
    </row>
    <row r="840" customFormat="false" ht="15" hidden="false" customHeight="false" outlineLevel="0" collapsed="false">
      <c r="A840" s="12" t="n">
        <v>837</v>
      </c>
      <c r="B840" s="8" t="s">
        <v>3067</v>
      </c>
      <c r="C840" s="8" t="s">
        <v>3068</v>
      </c>
      <c r="D840" s="11" t="n">
        <v>0.00745405092592593</v>
      </c>
      <c r="E840" s="39" t="n">
        <f aca="false">ROUND((D840-$D$5)*86400,2)</f>
        <v>105.01</v>
      </c>
      <c r="F840" s="12" t="n">
        <v>1982</v>
      </c>
      <c r="G840" s="11" t="str">
        <f aca="false">IF(INDEX(選手一覧!$D$5:$D$2736,$F840)="","",INDEX(選手一覧!$D$5:$D$2736,$F840))</f>
        <v/>
      </c>
      <c r="H840" s="12" t="str">
        <f aca="false">IF(INDEX(選手一覧!$E$5:$E$2736,$F840)="","",INDEX(選手一覧!$E$5:$E$2736,$F840))</f>
        <v/>
      </c>
      <c r="I840" s="11" t="str">
        <f aca="false">IF(INDEX(選手一覧!$H$5:$H$2736,$F840)="","",INDEX(選手一覧!$H$5:$H$2736,$F840))</f>
        <v/>
      </c>
      <c r="J840" s="12" t="str">
        <f aca="false">IF(INDEX(選手一覧!$I$5:$I$2736,$F840)="","",INDEX(選手一覧!$I$5:$I$2736,$F840))</f>
        <v/>
      </c>
    </row>
    <row r="841" customFormat="false" ht="15" hidden="false" customHeight="false" outlineLevel="0" collapsed="false">
      <c r="A841" s="12" t="n">
        <v>838</v>
      </c>
      <c r="B841" s="8" t="s">
        <v>3069</v>
      </c>
      <c r="C841" s="8" t="s">
        <v>3070</v>
      </c>
      <c r="D841" s="11" t="n">
        <v>0.00745451388888889</v>
      </c>
      <c r="E841" s="39" t="n">
        <f aca="false">ROUND((D841-$D$5)*86400,2)</f>
        <v>105.05</v>
      </c>
      <c r="F841" s="12" t="n">
        <v>1983</v>
      </c>
      <c r="G841" s="11" t="str">
        <f aca="false">IF(INDEX(選手一覧!$D$5:$D$2736,$F841)="","",INDEX(選手一覧!$D$5:$D$2736,$F841))</f>
        <v/>
      </c>
      <c r="H841" s="12" t="str">
        <f aca="false">IF(INDEX(選手一覧!$E$5:$E$2736,$F841)="","",INDEX(選手一覧!$E$5:$E$2736,$F841))</f>
        <v/>
      </c>
      <c r="I841" s="11" t="str">
        <f aca="false">IF(INDEX(選手一覧!$H$5:$H$2736,$F841)="","",INDEX(選手一覧!$H$5:$H$2736,$F841))</f>
        <v/>
      </c>
      <c r="J841" s="12" t="str">
        <f aca="false">IF(INDEX(選手一覧!$I$5:$I$2736,$F841)="","",INDEX(選手一覧!$I$5:$I$2736,$F841))</f>
        <v/>
      </c>
    </row>
    <row r="842" customFormat="false" ht="15" hidden="false" customHeight="false" outlineLevel="0" collapsed="false">
      <c r="A842" s="12" t="n">
        <v>839</v>
      </c>
      <c r="B842" s="8" t="s">
        <v>3072</v>
      </c>
      <c r="C842" s="8" t="s">
        <v>3073</v>
      </c>
      <c r="D842" s="11" t="n">
        <v>0.00745520833333333</v>
      </c>
      <c r="E842" s="39" t="n">
        <f aca="false">ROUND((D842-$D$5)*86400,2)</f>
        <v>105.11</v>
      </c>
      <c r="F842" s="12" t="n">
        <v>1985</v>
      </c>
      <c r="G842" s="11" t="str">
        <f aca="false">IF(INDEX(選手一覧!$D$5:$D$2736,$F842)="","",INDEX(選手一覧!$D$5:$D$2736,$F842))</f>
        <v/>
      </c>
      <c r="H842" s="12" t="str">
        <f aca="false">IF(INDEX(選手一覧!$E$5:$E$2736,$F842)="","",INDEX(選手一覧!$E$5:$E$2736,$F842))</f>
        <v/>
      </c>
      <c r="I842" s="11" t="str">
        <f aca="false">IF(INDEX(選手一覧!$H$5:$H$2736,$F842)="","",INDEX(選手一覧!$H$5:$H$2736,$F842))</f>
        <v/>
      </c>
      <c r="J842" s="12" t="str">
        <f aca="false">IF(INDEX(選手一覧!$I$5:$I$2736,$F842)="","",INDEX(選手一覧!$I$5:$I$2736,$F842))</f>
        <v/>
      </c>
    </row>
    <row r="843" customFormat="false" ht="15" hidden="false" customHeight="false" outlineLevel="0" collapsed="false">
      <c r="A843" s="12" t="n">
        <v>840</v>
      </c>
      <c r="B843" s="8" t="s">
        <v>2025</v>
      </c>
      <c r="C843" s="8" t="s">
        <v>1120</v>
      </c>
      <c r="D843" s="11" t="n">
        <v>0.00745601851851852</v>
      </c>
      <c r="E843" s="39" t="n">
        <f aca="false">ROUND((D843-$D$5)*86400,2)</f>
        <v>105.18</v>
      </c>
      <c r="F843" s="12" t="n">
        <v>1285</v>
      </c>
      <c r="G843" s="11" t="n">
        <f aca="false">IF(INDEX(選手一覧!$D$5:$D$2736,$F843)="","",INDEX(選手一覧!$D$5:$D$2736,$F843))</f>
        <v>0.0111196759259259</v>
      </c>
      <c r="H843" s="12" t="n">
        <f aca="false">IF(INDEX(選手一覧!$E$5:$E$2736,$F843)="","",INDEX(選手一覧!$E$5:$E$2736,$F843))</f>
        <v>1286</v>
      </c>
      <c r="I843" s="11" t="str">
        <f aca="false">IF(INDEX(選手一覧!$H$5:$H$2736,$F843)="","",INDEX(選手一覧!$H$5:$H$2736,$F843))</f>
        <v/>
      </c>
      <c r="J843" s="12" t="str">
        <f aca="false">IF(INDEX(選手一覧!$I$5:$I$2736,$F843)="","",INDEX(選手一覧!$I$5:$I$2736,$F843))</f>
        <v/>
      </c>
    </row>
    <row r="844" customFormat="false" ht="15" hidden="false" customHeight="false" outlineLevel="0" collapsed="false">
      <c r="A844" s="12" t="n">
        <v>841</v>
      </c>
      <c r="B844" s="8" t="s">
        <v>1539</v>
      </c>
      <c r="C844" s="8" t="s">
        <v>233</v>
      </c>
      <c r="D844" s="11" t="n">
        <v>0.00745625</v>
      </c>
      <c r="E844" s="39" t="n">
        <f aca="false">ROUND((D844-$D$5)*86400,2)</f>
        <v>105.2</v>
      </c>
      <c r="F844" s="12" t="n">
        <v>944</v>
      </c>
      <c r="G844" s="11" t="n">
        <f aca="false">IF(INDEX(選手一覧!$D$5:$D$2736,$F844)="","",INDEX(選手一覧!$D$5:$D$2736,$F844))</f>
        <v>0.0109134259259259</v>
      </c>
      <c r="H844" s="12" t="n">
        <f aca="false">IF(INDEX(選手一覧!$E$5:$E$2736,$F844)="","",INDEX(選手一覧!$E$5:$E$2736,$F844))</f>
        <v>945</v>
      </c>
      <c r="I844" s="11" t="str">
        <f aca="false">IF(INDEX(選手一覧!$H$5:$H$2736,$F844)="","",INDEX(選手一覧!$H$5:$H$2736,$F844))</f>
        <v/>
      </c>
      <c r="J844" s="12" t="str">
        <f aca="false">IF(INDEX(選手一覧!$I$5:$I$2736,$F844)="","",INDEX(選手一覧!$I$5:$I$2736,$F844))</f>
        <v/>
      </c>
    </row>
    <row r="845" customFormat="false" ht="15" hidden="false" customHeight="false" outlineLevel="0" collapsed="false">
      <c r="A845" s="12" t="n">
        <v>842</v>
      </c>
      <c r="B845" s="8" t="s">
        <v>3074</v>
      </c>
      <c r="C845" s="8" t="s">
        <v>3075</v>
      </c>
      <c r="D845" s="11" t="n">
        <v>0.00745717592592593</v>
      </c>
      <c r="E845" s="39" t="n">
        <f aca="false">ROUND((D845-$D$5)*86400,2)</f>
        <v>105.28</v>
      </c>
      <c r="F845" s="12" t="n">
        <v>1986</v>
      </c>
      <c r="G845" s="11" t="str">
        <f aca="false">IF(INDEX(選手一覧!$D$5:$D$2736,$F845)="","",INDEX(選手一覧!$D$5:$D$2736,$F845))</f>
        <v/>
      </c>
      <c r="H845" s="12" t="str">
        <f aca="false">IF(INDEX(選手一覧!$E$5:$E$2736,$F845)="","",INDEX(選手一覧!$E$5:$E$2736,$F845))</f>
        <v/>
      </c>
      <c r="I845" s="11" t="str">
        <f aca="false">IF(INDEX(選手一覧!$H$5:$H$2736,$F845)="","",INDEX(選手一覧!$H$5:$H$2736,$F845))</f>
        <v/>
      </c>
      <c r="J845" s="12" t="str">
        <f aca="false">IF(INDEX(選手一覧!$I$5:$I$2736,$F845)="","",INDEX(選手一覧!$I$5:$I$2736,$F845))</f>
        <v/>
      </c>
    </row>
    <row r="846" customFormat="false" ht="15" hidden="false" customHeight="false" outlineLevel="0" collapsed="false">
      <c r="A846" s="12" t="n">
        <v>843</v>
      </c>
      <c r="B846" s="8" t="s">
        <v>3077</v>
      </c>
      <c r="C846" s="8" t="s">
        <v>447</v>
      </c>
      <c r="D846" s="11" t="n">
        <v>0.00745833333333333</v>
      </c>
      <c r="E846" s="39" t="n">
        <f aca="false">ROUND((D846-$D$5)*86400,2)</f>
        <v>105.38</v>
      </c>
      <c r="F846" s="12" t="n">
        <v>1988</v>
      </c>
      <c r="G846" s="11" t="str">
        <f aca="false">IF(INDEX(選手一覧!$D$5:$D$2736,$F846)="","",INDEX(選手一覧!$D$5:$D$2736,$F846))</f>
        <v/>
      </c>
      <c r="H846" s="12" t="str">
        <f aca="false">IF(INDEX(選手一覧!$E$5:$E$2736,$F846)="","",INDEX(選手一覧!$E$5:$E$2736,$F846))</f>
        <v/>
      </c>
      <c r="I846" s="11" t="str">
        <f aca="false">IF(INDEX(選手一覧!$H$5:$H$2736,$F846)="","",INDEX(選手一覧!$H$5:$H$2736,$F846))</f>
        <v/>
      </c>
      <c r="J846" s="12" t="str">
        <f aca="false">IF(INDEX(選手一覧!$I$5:$I$2736,$F846)="","",INDEX(選手一覧!$I$5:$I$2736,$F846))</f>
        <v/>
      </c>
    </row>
    <row r="847" customFormat="false" ht="15" hidden="false" customHeight="false" outlineLevel="0" collapsed="false">
      <c r="A847" s="12" t="n">
        <v>844</v>
      </c>
      <c r="B847" s="8" t="s">
        <v>3080</v>
      </c>
      <c r="C847" s="8" t="s">
        <v>1541</v>
      </c>
      <c r="D847" s="11" t="n">
        <v>0.00745972222222222</v>
      </c>
      <c r="E847" s="39" t="n">
        <f aca="false">ROUND((D847-$D$5)*86400,2)</f>
        <v>105.5</v>
      </c>
      <c r="F847" s="12" t="n">
        <v>1990</v>
      </c>
      <c r="G847" s="11" t="str">
        <f aca="false">IF(INDEX(選手一覧!$D$5:$D$2736,$F847)="","",INDEX(選手一覧!$D$5:$D$2736,$F847))</f>
        <v/>
      </c>
      <c r="H847" s="12" t="str">
        <f aca="false">IF(INDEX(選手一覧!$E$5:$E$2736,$F847)="","",INDEX(選手一覧!$E$5:$E$2736,$F847))</f>
        <v/>
      </c>
      <c r="I847" s="11" t="str">
        <f aca="false">IF(INDEX(選手一覧!$H$5:$H$2736,$F847)="","",INDEX(選手一覧!$H$5:$H$2736,$F847))</f>
        <v/>
      </c>
      <c r="J847" s="12" t="str">
        <f aca="false">IF(INDEX(選手一覧!$I$5:$I$2736,$F847)="","",INDEX(選手一覧!$I$5:$I$2736,$F847))</f>
        <v/>
      </c>
    </row>
    <row r="848" customFormat="false" ht="15" hidden="false" customHeight="false" outlineLevel="0" collapsed="false">
      <c r="A848" s="12" t="n">
        <v>845</v>
      </c>
      <c r="B848" s="8" t="s">
        <v>3081</v>
      </c>
      <c r="C848" s="8" t="s">
        <v>3082</v>
      </c>
      <c r="D848" s="11" t="n">
        <v>0.00746041666666667</v>
      </c>
      <c r="E848" s="39" t="n">
        <f aca="false">ROUND((D848-$D$5)*86400,2)</f>
        <v>105.56</v>
      </c>
      <c r="F848" s="12" t="n">
        <v>1991</v>
      </c>
      <c r="G848" s="11" t="str">
        <f aca="false">IF(INDEX(選手一覧!$D$5:$D$2736,$F848)="","",INDEX(選手一覧!$D$5:$D$2736,$F848))</f>
        <v/>
      </c>
      <c r="H848" s="12" t="str">
        <f aca="false">IF(INDEX(選手一覧!$E$5:$E$2736,$F848)="","",INDEX(選手一覧!$E$5:$E$2736,$F848))</f>
        <v/>
      </c>
      <c r="I848" s="11" t="str">
        <f aca="false">IF(INDEX(選手一覧!$H$5:$H$2736,$F848)="","",INDEX(選手一覧!$H$5:$H$2736,$F848))</f>
        <v/>
      </c>
      <c r="J848" s="12" t="str">
        <f aca="false">IF(INDEX(選手一覧!$I$5:$I$2736,$F848)="","",INDEX(選手一覧!$I$5:$I$2736,$F848))</f>
        <v/>
      </c>
    </row>
    <row r="849" customFormat="false" ht="15" hidden="false" customHeight="false" outlineLevel="0" collapsed="false">
      <c r="A849" s="12" t="n">
        <v>846</v>
      </c>
      <c r="B849" s="8" t="s">
        <v>3083</v>
      </c>
      <c r="C849" s="8" t="s">
        <v>1248</v>
      </c>
      <c r="D849" s="11" t="n">
        <v>0.00746122685185185</v>
      </c>
      <c r="E849" s="39" t="n">
        <f aca="false">ROUND((D849-$D$5)*86400,2)</f>
        <v>105.63</v>
      </c>
      <c r="F849" s="12" t="n">
        <v>1992</v>
      </c>
      <c r="G849" s="11" t="str">
        <f aca="false">IF(INDEX(選手一覧!$D$5:$D$2736,$F849)="","",INDEX(選手一覧!$D$5:$D$2736,$F849))</f>
        <v/>
      </c>
      <c r="H849" s="12" t="str">
        <f aca="false">IF(INDEX(選手一覧!$E$5:$E$2736,$F849)="","",INDEX(選手一覧!$E$5:$E$2736,$F849))</f>
        <v/>
      </c>
      <c r="I849" s="11" t="str">
        <f aca="false">IF(INDEX(選手一覧!$H$5:$H$2736,$F849)="","",INDEX(選手一覧!$H$5:$H$2736,$F849))</f>
        <v/>
      </c>
      <c r="J849" s="12" t="str">
        <f aca="false">IF(INDEX(選手一覧!$I$5:$I$2736,$F849)="","",INDEX(選手一覧!$I$5:$I$2736,$F849))</f>
        <v/>
      </c>
    </row>
    <row r="850" customFormat="false" ht="15" hidden="false" customHeight="false" outlineLevel="0" collapsed="false">
      <c r="A850" s="12" t="n">
        <v>847</v>
      </c>
      <c r="B850" s="8" t="s">
        <v>3085</v>
      </c>
      <c r="C850" s="8" t="s">
        <v>3086</v>
      </c>
      <c r="D850" s="11" t="n">
        <v>0.0074619212962963</v>
      </c>
      <c r="E850" s="39" t="n">
        <f aca="false">ROUND((D850-$D$5)*86400,2)</f>
        <v>105.69</v>
      </c>
      <c r="F850" s="12" t="n">
        <v>1994</v>
      </c>
      <c r="G850" s="11" t="str">
        <f aca="false">IF(INDEX(選手一覧!$D$5:$D$2736,$F850)="","",INDEX(選手一覧!$D$5:$D$2736,$F850))</f>
        <v/>
      </c>
      <c r="H850" s="12" t="str">
        <f aca="false">IF(INDEX(選手一覧!$E$5:$E$2736,$F850)="","",INDEX(選手一覧!$E$5:$E$2736,$F850))</f>
        <v/>
      </c>
      <c r="I850" s="11" t="str">
        <f aca="false">IF(INDEX(選手一覧!$H$5:$H$2736,$F850)="","",INDEX(選手一覧!$H$5:$H$2736,$F850))</f>
        <v/>
      </c>
      <c r="J850" s="12" t="str">
        <f aca="false">IF(INDEX(選手一覧!$I$5:$I$2736,$F850)="","",INDEX(選手一覧!$I$5:$I$2736,$F850))</f>
        <v/>
      </c>
    </row>
    <row r="851" customFormat="false" ht="15" hidden="false" customHeight="false" outlineLevel="0" collapsed="false">
      <c r="A851" s="12" t="n">
        <v>848</v>
      </c>
      <c r="B851" s="8" t="s">
        <v>3087</v>
      </c>
      <c r="C851" s="8" t="s">
        <v>3088</v>
      </c>
      <c r="D851" s="11" t="n">
        <v>0.00746203703703704</v>
      </c>
      <c r="E851" s="39" t="n">
        <f aca="false">ROUND((D851-$D$5)*86400,2)</f>
        <v>105.7</v>
      </c>
      <c r="F851" s="12" t="n">
        <v>1995</v>
      </c>
      <c r="G851" s="11" t="str">
        <f aca="false">IF(INDEX(選手一覧!$D$5:$D$2736,$F851)="","",INDEX(選手一覧!$D$5:$D$2736,$F851))</f>
        <v/>
      </c>
      <c r="H851" s="12" t="str">
        <f aca="false">IF(INDEX(選手一覧!$E$5:$E$2736,$F851)="","",INDEX(選手一覧!$E$5:$E$2736,$F851))</f>
        <v/>
      </c>
      <c r="I851" s="11" t="str">
        <f aca="false">IF(INDEX(選手一覧!$H$5:$H$2736,$F851)="","",INDEX(選手一覧!$H$5:$H$2736,$F851))</f>
        <v/>
      </c>
      <c r="J851" s="12" t="str">
        <f aca="false">IF(INDEX(選手一覧!$I$5:$I$2736,$F851)="","",INDEX(選手一覧!$I$5:$I$2736,$F851))</f>
        <v/>
      </c>
    </row>
    <row r="852" customFormat="false" ht="15" hidden="false" customHeight="false" outlineLevel="0" collapsed="false">
      <c r="A852" s="12" t="n">
        <v>849</v>
      </c>
      <c r="B852" s="8" t="s">
        <v>3089</v>
      </c>
      <c r="C852" s="8" t="s">
        <v>3090</v>
      </c>
      <c r="D852" s="11" t="n">
        <v>0.0074625</v>
      </c>
      <c r="E852" s="39" t="n">
        <f aca="false">ROUND((D852-$D$5)*86400,2)</f>
        <v>105.74</v>
      </c>
      <c r="F852" s="12" t="n">
        <v>1996</v>
      </c>
      <c r="G852" s="11" t="str">
        <f aca="false">IF(INDEX(選手一覧!$D$5:$D$2736,$F852)="","",INDEX(選手一覧!$D$5:$D$2736,$F852))</f>
        <v/>
      </c>
      <c r="H852" s="12" t="str">
        <f aca="false">IF(INDEX(選手一覧!$E$5:$E$2736,$F852)="","",INDEX(選手一覧!$E$5:$E$2736,$F852))</f>
        <v/>
      </c>
      <c r="I852" s="11" t="str">
        <f aca="false">IF(INDEX(選手一覧!$H$5:$H$2736,$F852)="","",INDEX(選手一覧!$H$5:$H$2736,$F852))</f>
        <v/>
      </c>
      <c r="J852" s="12" t="str">
        <f aca="false">IF(INDEX(選手一覧!$I$5:$I$2736,$F852)="","",INDEX(選手一覧!$I$5:$I$2736,$F852))</f>
        <v/>
      </c>
    </row>
    <row r="853" customFormat="false" ht="15" hidden="false" customHeight="false" outlineLevel="0" collapsed="false">
      <c r="A853" s="12" t="n">
        <v>850</v>
      </c>
      <c r="B853" s="8" t="s">
        <v>3092</v>
      </c>
      <c r="C853" s="8" t="s">
        <v>2290</v>
      </c>
      <c r="D853" s="11" t="n">
        <v>0.0074625</v>
      </c>
      <c r="E853" s="39" t="n">
        <f aca="false">ROUND((D853-$D$5)*86400,2)</f>
        <v>105.74</v>
      </c>
      <c r="F853" s="12" t="n">
        <v>1998</v>
      </c>
      <c r="G853" s="11" t="str">
        <f aca="false">IF(INDEX(選手一覧!$D$5:$D$2736,$F853)="","",INDEX(選手一覧!$D$5:$D$2736,$F853))</f>
        <v/>
      </c>
      <c r="H853" s="12" t="str">
        <f aca="false">IF(INDEX(選手一覧!$E$5:$E$2736,$F853)="","",INDEX(選手一覧!$E$5:$E$2736,$F853))</f>
        <v/>
      </c>
      <c r="I853" s="11" t="str">
        <f aca="false">IF(INDEX(選手一覧!$H$5:$H$2736,$F853)="","",INDEX(選手一覧!$H$5:$H$2736,$F853))</f>
        <v/>
      </c>
      <c r="J853" s="12" t="str">
        <f aca="false">IF(INDEX(選手一覧!$I$5:$I$2736,$F853)="","",INDEX(選手一覧!$I$5:$I$2736,$F853))</f>
        <v/>
      </c>
    </row>
    <row r="854" customFormat="false" ht="15" hidden="false" customHeight="false" outlineLevel="0" collapsed="false">
      <c r="A854" s="12" t="n">
        <v>851</v>
      </c>
      <c r="B854" s="8" t="s">
        <v>3095</v>
      </c>
      <c r="C854" s="8" t="s">
        <v>3096</v>
      </c>
      <c r="D854" s="11" t="n">
        <v>0.0074630787037037</v>
      </c>
      <c r="E854" s="39" t="n">
        <f aca="false">ROUND((D854-$D$5)*86400,2)</f>
        <v>105.79</v>
      </c>
      <c r="F854" s="12" t="n">
        <v>2000</v>
      </c>
      <c r="G854" s="11" t="str">
        <f aca="false">IF(INDEX(選手一覧!$D$5:$D$2736,$F854)="","",INDEX(選手一覧!$D$5:$D$2736,$F854))</f>
        <v/>
      </c>
      <c r="H854" s="12" t="str">
        <f aca="false">IF(INDEX(選手一覧!$E$5:$E$2736,$F854)="","",INDEX(選手一覧!$E$5:$E$2736,$F854))</f>
        <v/>
      </c>
      <c r="I854" s="11" t="str">
        <f aca="false">IF(INDEX(選手一覧!$H$5:$H$2736,$F854)="","",INDEX(選手一覧!$H$5:$H$2736,$F854))</f>
        <v/>
      </c>
      <c r="J854" s="12" t="str">
        <f aca="false">IF(INDEX(選手一覧!$I$5:$I$2736,$F854)="","",INDEX(選手一覧!$I$5:$I$2736,$F854))</f>
        <v/>
      </c>
    </row>
    <row r="855" customFormat="false" ht="15" hidden="false" customHeight="false" outlineLevel="0" collapsed="false">
      <c r="A855" s="12" t="n">
        <v>852</v>
      </c>
      <c r="B855" s="8" t="s">
        <v>3097</v>
      </c>
      <c r="C855" s="8" t="s">
        <v>1520</v>
      </c>
      <c r="D855" s="11" t="n">
        <v>0.00746377314814815</v>
      </c>
      <c r="E855" s="39" t="n">
        <f aca="false">ROUND((D855-$D$5)*86400,2)</f>
        <v>105.85</v>
      </c>
      <c r="F855" s="12" t="n">
        <v>2001</v>
      </c>
      <c r="G855" s="11" t="str">
        <f aca="false">IF(INDEX(選手一覧!$D$5:$D$2736,$F855)="","",INDEX(選手一覧!$D$5:$D$2736,$F855))</f>
        <v/>
      </c>
      <c r="H855" s="12" t="str">
        <f aca="false">IF(INDEX(選手一覧!$E$5:$E$2736,$F855)="","",INDEX(選手一覧!$E$5:$E$2736,$F855))</f>
        <v/>
      </c>
      <c r="I855" s="11" t="str">
        <f aca="false">IF(INDEX(選手一覧!$H$5:$H$2736,$F855)="","",INDEX(選手一覧!$H$5:$H$2736,$F855))</f>
        <v/>
      </c>
      <c r="J855" s="12" t="str">
        <f aca="false">IF(INDEX(選手一覧!$I$5:$I$2736,$F855)="","",INDEX(選手一覧!$I$5:$I$2736,$F855))</f>
        <v/>
      </c>
    </row>
    <row r="856" customFormat="false" ht="15" hidden="false" customHeight="false" outlineLevel="0" collapsed="false">
      <c r="A856" s="12" t="n">
        <v>853</v>
      </c>
      <c r="B856" s="8" t="s">
        <v>3098</v>
      </c>
      <c r="C856" s="8" t="s">
        <v>3099</v>
      </c>
      <c r="D856" s="11" t="n">
        <v>0.00746412037037037</v>
      </c>
      <c r="E856" s="39" t="n">
        <f aca="false">ROUND((D856-$D$5)*86400,2)</f>
        <v>105.88</v>
      </c>
      <c r="F856" s="12" t="n">
        <v>2002</v>
      </c>
      <c r="G856" s="11" t="str">
        <f aca="false">IF(INDEX(選手一覧!$D$5:$D$2736,$F856)="","",INDEX(選手一覧!$D$5:$D$2736,$F856))</f>
        <v/>
      </c>
      <c r="H856" s="12" t="str">
        <f aca="false">IF(INDEX(選手一覧!$E$5:$E$2736,$F856)="","",INDEX(選手一覧!$E$5:$E$2736,$F856))</f>
        <v/>
      </c>
      <c r="I856" s="11" t="str">
        <f aca="false">IF(INDEX(選手一覧!$H$5:$H$2736,$F856)="","",INDEX(選手一覧!$H$5:$H$2736,$F856))</f>
        <v/>
      </c>
      <c r="J856" s="12" t="str">
        <f aca="false">IF(INDEX(選手一覧!$I$5:$I$2736,$F856)="","",INDEX(選手一覧!$I$5:$I$2736,$F856))</f>
        <v/>
      </c>
    </row>
    <row r="857" customFormat="false" ht="15" hidden="false" customHeight="false" outlineLevel="0" collapsed="false">
      <c r="A857" s="12" t="n">
        <v>854</v>
      </c>
      <c r="B857" s="8" t="s">
        <v>3100</v>
      </c>
      <c r="C857" s="8" t="s">
        <v>3101</v>
      </c>
      <c r="D857" s="11" t="n">
        <v>0.00746412037037037</v>
      </c>
      <c r="E857" s="39" t="n">
        <f aca="false">ROUND((D857-$D$5)*86400,2)</f>
        <v>105.88</v>
      </c>
      <c r="F857" s="12" t="n">
        <v>2003</v>
      </c>
      <c r="G857" s="11" t="str">
        <f aca="false">IF(INDEX(選手一覧!$D$5:$D$2736,$F857)="","",INDEX(選手一覧!$D$5:$D$2736,$F857))</f>
        <v/>
      </c>
      <c r="H857" s="12" t="str">
        <f aca="false">IF(INDEX(選手一覧!$E$5:$E$2736,$F857)="","",INDEX(選手一覧!$E$5:$E$2736,$F857))</f>
        <v/>
      </c>
      <c r="I857" s="11" t="str">
        <f aca="false">IF(INDEX(選手一覧!$H$5:$H$2736,$F857)="","",INDEX(選手一覧!$H$5:$H$2736,$F857))</f>
        <v/>
      </c>
      <c r="J857" s="12" t="str">
        <f aca="false">IF(INDEX(選手一覧!$I$5:$I$2736,$F857)="","",INDEX(選手一覧!$I$5:$I$2736,$F857))</f>
        <v/>
      </c>
    </row>
    <row r="858" customFormat="false" ht="15" hidden="false" customHeight="false" outlineLevel="0" collapsed="false">
      <c r="A858" s="12" t="n">
        <v>855</v>
      </c>
      <c r="B858" s="8" t="s">
        <v>3102</v>
      </c>
      <c r="C858" s="8" t="s">
        <v>1761</v>
      </c>
      <c r="D858" s="11" t="n">
        <v>0.00746527777777778</v>
      </c>
      <c r="E858" s="39" t="n">
        <f aca="false">ROUND((D858-$D$5)*86400,2)</f>
        <v>105.98</v>
      </c>
      <c r="F858" s="12" t="n">
        <v>2004</v>
      </c>
      <c r="G858" s="11" t="str">
        <f aca="false">IF(INDEX(選手一覧!$D$5:$D$2736,$F858)="","",INDEX(選手一覧!$D$5:$D$2736,$F858))</f>
        <v/>
      </c>
      <c r="H858" s="12" t="str">
        <f aca="false">IF(INDEX(選手一覧!$E$5:$E$2736,$F858)="","",INDEX(選手一覧!$E$5:$E$2736,$F858))</f>
        <v/>
      </c>
      <c r="I858" s="11" t="str">
        <f aca="false">IF(INDEX(選手一覧!$H$5:$H$2736,$F858)="","",INDEX(選手一覧!$H$5:$H$2736,$F858))</f>
        <v/>
      </c>
      <c r="J858" s="12" t="str">
        <f aca="false">IF(INDEX(選手一覧!$I$5:$I$2736,$F858)="","",INDEX(選手一覧!$I$5:$I$2736,$F858))</f>
        <v/>
      </c>
    </row>
    <row r="859" customFormat="false" ht="15" hidden="false" customHeight="false" outlineLevel="0" collapsed="false">
      <c r="A859" s="12" t="n">
        <v>856</v>
      </c>
      <c r="B859" s="8" t="s">
        <v>3103</v>
      </c>
      <c r="C859" s="8" t="s">
        <v>866</v>
      </c>
      <c r="D859" s="11" t="n">
        <v>0.00746666666666667</v>
      </c>
      <c r="E859" s="39" t="n">
        <f aca="false">ROUND((D859-$D$5)*86400,2)</f>
        <v>106.1</v>
      </c>
      <c r="F859" s="12" t="n">
        <v>2005</v>
      </c>
      <c r="G859" s="11" t="str">
        <f aca="false">IF(INDEX(選手一覧!$D$5:$D$2736,$F859)="","",INDEX(選手一覧!$D$5:$D$2736,$F859))</f>
        <v/>
      </c>
      <c r="H859" s="12" t="str">
        <f aca="false">IF(INDEX(選手一覧!$E$5:$E$2736,$F859)="","",INDEX(選手一覧!$E$5:$E$2736,$F859))</f>
        <v/>
      </c>
      <c r="I859" s="11" t="str">
        <f aca="false">IF(INDEX(選手一覧!$H$5:$H$2736,$F859)="","",INDEX(選手一覧!$H$5:$H$2736,$F859))</f>
        <v/>
      </c>
      <c r="J859" s="12" t="str">
        <f aca="false">IF(INDEX(選手一覧!$I$5:$I$2736,$F859)="","",INDEX(選手一覧!$I$5:$I$2736,$F859))</f>
        <v/>
      </c>
    </row>
    <row r="860" customFormat="false" ht="15" hidden="false" customHeight="false" outlineLevel="0" collapsed="false">
      <c r="A860" s="12" t="n">
        <v>857</v>
      </c>
      <c r="B860" s="8" t="s">
        <v>1126</v>
      </c>
      <c r="C860" s="8" t="s">
        <v>344</v>
      </c>
      <c r="D860" s="11" t="n">
        <v>0.00746712962962963</v>
      </c>
      <c r="E860" s="39" t="n">
        <f aca="false">ROUND((D860-$D$5)*86400,2)</f>
        <v>106.14</v>
      </c>
      <c r="F860" s="12" t="n">
        <v>671</v>
      </c>
      <c r="G860" s="11" t="n">
        <f aca="false">IF(INDEX(選手一覧!$D$5:$D$2736,$F860)="","",INDEX(選手一覧!$D$5:$D$2736,$F860))</f>
        <v>0.010753125</v>
      </c>
      <c r="H860" s="12" t="n">
        <f aca="false">IF(INDEX(選手一覧!$E$5:$E$2736,$F860)="","",INDEX(選手一覧!$E$5:$E$2736,$F860))</f>
        <v>672</v>
      </c>
      <c r="I860" s="11" t="n">
        <f aca="false">IF(INDEX(選手一覧!$H$5:$H$2736,$F860)="","",INDEX(選手一覧!$H$5:$H$2736,$F860))</f>
        <v>0.00291041666666667</v>
      </c>
      <c r="J860" s="12" t="n">
        <f aca="false">IF(INDEX(選手一覧!$I$5:$I$2736,$F860)="","",INDEX(選手一覧!$I$5:$I$2736,$F860))</f>
        <v>1024</v>
      </c>
    </row>
    <row r="861" customFormat="false" ht="15" hidden="false" customHeight="false" outlineLevel="0" collapsed="false">
      <c r="A861" s="12" t="n">
        <v>858</v>
      </c>
      <c r="B861" s="8" t="s">
        <v>3106</v>
      </c>
      <c r="C861" s="8" t="s">
        <v>1116</v>
      </c>
      <c r="D861" s="11" t="n">
        <v>0.00746793981481482</v>
      </c>
      <c r="E861" s="39" t="n">
        <f aca="false">ROUND((D861-$D$5)*86400,2)</f>
        <v>106.21</v>
      </c>
      <c r="F861" s="12" t="n">
        <v>2007</v>
      </c>
      <c r="G861" s="11" t="str">
        <f aca="false">IF(INDEX(選手一覧!$D$5:$D$2736,$F861)="","",INDEX(選手一覧!$D$5:$D$2736,$F861))</f>
        <v/>
      </c>
      <c r="H861" s="12" t="str">
        <f aca="false">IF(INDEX(選手一覧!$E$5:$E$2736,$F861)="","",INDEX(選手一覧!$E$5:$E$2736,$F861))</f>
        <v/>
      </c>
      <c r="I861" s="11" t="str">
        <f aca="false">IF(INDEX(選手一覧!$H$5:$H$2736,$F861)="","",INDEX(選手一覧!$H$5:$H$2736,$F861))</f>
        <v/>
      </c>
      <c r="J861" s="12" t="str">
        <f aca="false">IF(INDEX(選手一覧!$I$5:$I$2736,$F861)="","",INDEX(選手一覧!$I$5:$I$2736,$F861))</f>
        <v/>
      </c>
    </row>
    <row r="862" customFormat="false" ht="15" hidden="false" customHeight="false" outlineLevel="0" collapsed="false">
      <c r="A862" s="12" t="n">
        <v>859</v>
      </c>
      <c r="B862" s="8" t="s">
        <v>3107</v>
      </c>
      <c r="C862" s="8" t="s">
        <v>922</v>
      </c>
      <c r="D862" s="11" t="n">
        <v>0.00746956018518519</v>
      </c>
      <c r="E862" s="39" t="n">
        <f aca="false">ROUND((D862-$D$5)*86400,2)</f>
        <v>106.35</v>
      </c>
      <c r="F862" s="12" t="n">
        <v>2008</v>
      </c>
      <c r="G862" s="11" t="str">
        <f aca="false">IF(INDEX(選手一覧!$D$5:$D$2736,$F862)="","",INDEX(選手一覧!$D$5:$D$2736,$F862))</f>
        <v/>
      </c>
      <c r="H862" s="12" t="str">
        <f aca="false">IF(INDEX(選手一覧!$E$5:$E$2736,$F862)="","",INDEX(選手一覧!$E$5:$E$2736,$F862))</f>
        <v/>
      </c>
      <c r="I862" s="11" t="str">
        <f aca="false">IF(INDEX(選手一覧!$H$5:$H$2736,$F862)="","",INDEX(選手一覧!$H$5:$H$2736,$F862))</f>
        <v/>
      </c>
      <c r="J862" s="12" t="str">
        <f aca="false">IF(INDEX(選手一覧!$I$5:$I$2736,$F862)="","",INDEX(選手一覧!$I$5:$I$2736,$F862))</f>
        <v/>
      </c>
    </row>
    <row r="863" customFormat="false" ht="15" hidden="false" customHeight="false" outlineLevel="0" collapsed="false">
      <c r="A863" s="12" t="n">
        <v>860</v>
      </c>
      <c r="B863" s="8" t="s">
        <v>3108</v>
      </c>
      <c r="C863" s="8" t="s">
        <v>2195</v>
      </c>
      <c r="D863" s="11" t="n">
        <v>0.00747141203703704</v>
      </c>
      <c r="E863" s="39" t="n">
        <f aca="false">ROUND((D863-$D$5)*86400,2)</f>
        <v>106.51</v>
      </c>
      <c r="F863" s="12" t="n">
        <v>2009</v>
      </c>
      <c r="G863" s="11" t="str">
        <f aca="false">IF(INDEX(選手一覧!$D$5:$D$2736,$F863)="","",INDEX(選手一覧!$D$5:$D$2736,$F863))</f>
        <v/>
      </c>
      <c r="H863" s="12" t="str">
        <f aca="false">IF(INDEX(選手一覧!$E$5:$E$2736,$F863)="","",INDEX(選手一覧!$E$5:$E$2736,$F863))</f>
        <v/>
      </c>
      <c r="I863" s="11" t="n">
        <f aca="false">IF(INDEX(選手一覧!$H$5:$H$2736,$F863)="","",INDEX(選手一覧!$H$5:$H$2736,$F863))</f>
        <v>0.00292881944444444</v>
      </c>
      <c r="J863" s="12" t="n">
        <f aca="false">IF(INDEX(選手一覧!$I$5:$I$2736,$F863)="","",INDEX(選手一覧!$I$5:$I$2736,$F863))</f>
        <v>1170</v>
      </c>
    </row>
    <row r="864" customFormat="false" ht="15" hidden="false" customHeight="false" outlineLevel="0" collapsed="false">
      <c r="A864" s="12" t="n">
        <v>861</v>
      </c>
      <c r="B864" s="8" t="s">
        <v>3110</v>
      </c>
      <c r="C864" s="8" t="s">
        <v>1669</v>
      </c>
      <c r="D864" s="11" t="n">
        <v>0.00747418981481482</v>
      </c>
      <c r="E864" s="39" t="n">
        <f aca="false">ROUND((D864-$D$5)*86400,2)</f>
        <v>106.75</v>
      </c>
      <c r="F864" s="12" t="n">
        <v>2011</v>
      </c>
      <c r="G864" s="11" t="str">
        <f aca="false">IF(INDEX(選手一覧!$D$5:$D$2736,$F864)="","",INDEX(選手一覧!$D$5:$D$2736,$F864))</f>
        <v/>
      </c>
      <c r="H864" s="12" t="str">
        <f aca="false">IF(INDEX(選手一覧!$E$5:$E$2736,$F864)="","",INDEX(選手一覧!$E$5:$E$2736,$F864))</f>
        <v/>
      </c>
      <c r="I864" s="11" t="str">
        <f aca="false">IF(INDEX(選手一覧!$H$5:$H$2736,$F864)="","",INDEX(選手一覧!$H$5:$H$2736,$F864))</f>
        <v/>
      </c>
      <c r="J864" s="12" t="str">
        <f aca="false">IF(INDEX(選手一覧!$I$5:$I$2736,$F864)="","",INDEX(選手一覧!$I$5:$I$2736,$F864))</f>
        <v/>
      </c>
    </row>
    <row r="865" customFormat="false" ht="15" hidden="false" customHeight="false" outlineLevel="0" collapsed="false">
      <c r="A865" s="12" t="n">
        <v>862</v>
      </c>
      <c r="B865" s="8" t="s">
        <v>3112</v>
      </c>
      <c r="C865" s="8" t="s">
        <v>3113</v>
      </c>
      <c r="D865" s="11" t="n">
        <v>0.0074744212962963</v>
      </c>
      <c r="E865" s="39" t="n">
        <f aca="false">ROUND((D865-$D$5)*86400,2)</f>
        <v>106.77</v>
      </c>
      <c r="F865" s="12" t="n">
        <v>2013</v>
      </c>
      <c r="G865" s="11" t="str">
        <f aca="false">IF(INDEX(選手一覧!$D$5:$D$2736,$F865)="","",INDEX(選手一覧!$D$5:$D$2736,$F865))</f>
        <v/>
      </c>
      <c r="H865" s="12" t="str">
        <f aca="false">IF(INDEX(選手一覧!$E$5:$E$2736,$F865)="","",INDEX(選手一覧!$E$5:$E$2736,$F865))</f>
        <v/>
      </c>
      <c r="I865" s="11" t="str">
        <f aca="false">IF(INDEX(選手一覧!$H$5:$H$2736,$F865)="","",INDEX(選手一覧!$H$5:$H$2736,$F865))</f>
        <v/>
      </c>
      <c r="J865" s="12" t="str">
        <f aca="false">IF(INDEX(選手一覧!$I$5:$I$2736,$F865)="","",INDEX(選手一覧!$I$5:$I$2736,$F865))</f>
        <v/>
      </c>
    </row>
    <row r="866" customFormat="false" ht="15" hidden="false" customHeight="false" outlineLevel="0" collapsed="false">
      <c r="A866" s="12" t="n">
        <v>863</v>
      </c>
      <c r="B866" s="8" t="s">
        <v>3114</v>
      </c>
      <c r="C866" s="8" t="s">
        <v>616</v>
      </c>
      <c r="D866" s="11" t="n">
        <v>0.00747476851851852</v>
      </c>
      <c r="E866" s="39" t="n">
        <f aca="false">ROUND((D866-$D$5)*86400,2)</f>
        <v>106.8</v>
      </c>
      <c r="F866" s="12" t="n">
        <v>2014</v>
      </c>
      <c r="G866" s="11" t="str">
        <f aca="false">IF(INDEX(選手一覧!$D$5:$D$2736,$F866)="","",INDEX(選手一覧!$D$5:$D$2736,$F866))</f>
        <v/>
      </c>
      <c r="H866" s="12" t="str">
        <f aca="false">IF(INDEX(選手一覧!$E$5:$E$2736,$F866)="","",INDEX(選手一覧!$E$5:$E$2736,$F866))</f>
        <v/>
      </c>
      <c r="I866" s="11" t="str">
        <f aca="false">IF(INDEX(選手一覧!$H$5:$H$2736,$F866)="","",INDEX(選手一覧!$H$5:$H$2736,$F866))</f>
        <v/>
      </c>
      <c r="J866" s="12" t="str">
        <f aca="false">IF(INDEX(選手一覧!$I$5:$I$2736,$F866)="","",INDEX(選手一覧!$I$5:$I$2736,$F866))</f>
        <v/>
      </c>
    </row>
    <row r="867" customFormat="false" ht="15" hidden="false" customHeight="false" outlineLevel="0" collapsed="false">
      <c r="A867" s="12" t="n">
        <v>864</v>
      </c>
      <c r="B867" s="8" t="s">
        <v>3116</v>
      </c>
      <c r="C867" s="8" t="s">
        <v>2029</v>
      </c>
      <c r="D867" s="11" t="n">
        <v>0.007475</v>
      </c>
      <c r="E867" s="39" t="n">
        <f aca="false">ROUND((D867-$D$5)*86400,2)</f>
        <v>106.82</v>
      </c>
      <c r="F867" s="12" t="n">
        <v>2016</v>
      </c>
      <c r="G867" s="11" t="str">
        <f aca="false">IF(INDEX(選手一覧!$D$5:$D$2736,$F867)="","",INDEX(選手一覧!$D$5:$D$2736,$F867))</f>
        <v/>
      </c>
      <c r="H867" s="12" t="str">
        <f aca="false">IF(INDEX(選手一覧!$E$5:$E$2736,$F867)="","",INDEX(選手一覧!$E$5:$E$2736,$F867))</f>
        <v/>
      </c>
      <c r="I867" s="11" t="str">
        <f aca="false">IF(INDEX(選手一覧!$H$5:$H$2736,$F867)="","",INDEX(選手一覧!$H$5:$H$2736,$F867))</f>
        <v/>
      </c>
      <c r="J867" s="12" t="str">
        <f aca="false">IF(INDEX(選手一覧!$I$5:$I$2736,$F867)="","",INDEX(選手一覧!$I$5:$I$2736,$F867))</f>
        <v/>
      </c>
    </row>
    <row r="868" customFormat="false" ht="15" hidden="false" customHeight="false" outlineLevel="0" collapsed="false">
      <c r="A868" s="12" t="n">
        <v>865</v>
      </c>
      <c r="B868" s="8" t="s">
        <v>3117</v>
      </c>
      <c r="C868" s="8" t="s">
        <v>479</v>
      </c>
      <c r="D868" s="11" t="n">
        <v>0.00747627314814815</v>
      </c>
      <c r="E868" s="39" t="n">
        <f aca="false">ROUND((D868-$D$5)*86400,2)</f>
        <v>106.93</v>
      </c>
      <c r="F868" s="12" t="n">
        <v>2017</v>
      </c>
      <c r="G868" s="11" t="str">
        <f aca="false">IF(INDEX(選手一覧!$D$5:$D$2736,$F868)="","",INDEX(選手一覧!$D$5:$D$2736,$F868))</f>
        <v/>
      </c>
      <c r="H868" s="12" t="str">
        <f aca="false">IF(INDEX(選手一覧!$E$5:$E$2736,$F868)="","",INDEX(選手一覧!$E$5:$E$2736,$F868))</f>
        <v/>
      </c>
      <c r="I868" s="11" t="str">
        <f aca="false">IF(INDEX(選手一覧!$H$5:$H$2736,$F868)="","",INDEX(選手一覧!$H$5:$H$2736,$F868))</f>
        <v/>
      </c>
      <c r="J868" s="12" t="str">
        <f aca="false">IF(INDEX(選手一覧!$I$5:$I$2736,$F868)="","",INDEX(選手一覧!$I$5:$I$2736,$F868))</f>
        <v/>
      </c>
    </row>
    <row r="869" customFormat="false" ht="15" hidden="false" customHeight="false" outlineLevel="0" collapsed="false">
      <c r="A869" s="12" t="n">
        <v>866</v>
      </c>
      <c r="B869" s="8" t="s">
        <v>3119</v>
      </c>
      <c r="C869" s="8" t="s">
        <v>3120</v>
      </c>
      <c r="D869" s="11" t="n">
        <v>0.00747708333333333</v>
      </c>
      <c r="E869" s="39" t="n">
        <f aca="false">ROUND((D869-$D$5)*86400,2)</f>
        <v>107</v>
      </c>
      <c r="F869" s="12" t="n">
        <v>2019</v>
      </c>
      <c r="G869" s="11" t="str">
        <f aca="false">IF(INDEX(選手一覧!$D$5:$D$2736,$F869)="","",INDEX(選手一覧!$D$5:$D$2736,$F869))</f>
        <v/>
      </c>
      <c r="H869" s="12" t="str">
        <f aca="false">IF(INDEX(選手一覧!$E$5:$E$2736,$F869)="","",INDEX(選手一覧!$E$5:$E$2736,$F869))</f>
        <v/>
      </c>
      <c r="I869" s="11" t="str">
        <f aca="false">IF(INDEX(選手一覧!$H$5:$H$2736,$F869)="","",INDEX(選手一覧!$H$5:$H$2736,$F869))</f>
        <v/>
      </c>
      <c r="J869" s="12" t="str">
        <f aca="false">IF(INDEX(選手一覧!$I$5:$I$2736,$F869)="","",INDEX(選手一覧!$I$5:$I$2736,$F869))</f>
        <v/>
      </c>
    </row>
    <row r="870" customFormat="false" ht="15" hidden="false" customHeight="false" outlineLevel="0" collapsed="false">
      <c r="A870" s="12" t="n">
        <v>867</v>
      </c>
      <c r="B870" s="8" t="s">
        <v>3121</v>
      </c>
      <c r="C870" s="8" t="s">
        <v>3049</v>
      </c>
      <c r="D870" s="11" t="n">
        <v>0.00747708333333333</v>
      </c>
      <c r="E870" s="39" t="n">
        <f aca="false">ROUND((D870-$D$5)*86400,2)</f>
        <v>107</v>
      </c>
      <c r="F870" s="12" t="n">
        <v>2020</v>
      </c>
      <c r="G870" s="11" t="str">
        <f aca="false">IF(INDEX(選手一覧!$D$5:$D$2736,$F870)="","",INDEX(選手一覧!$D$5:$D$2736,$F870))</f>
        <v/>
      </c>
      <c r="H870" s="12" t="str">
        <f aca="false">IF(INDEX(選手一覧!$E$5:$E$2736,$F870)="","",INDEX(選手一覧!$E$5:$E$2736,$F870))</f>
        <v/>
      </c>
      <c r="I870" s="11" t="str">
        <f aca="false">IF(INDEX(選手一覧!$H$5:$H$2736,$F870)="","",INDEX(選手一覧!$H$5:$H$2736,$F870))</f>
        <v/>
      </c>
      <c r="J870" s="12" t="str">
        <f aca="false">IF(INDEX(選手一覧!$I$5:$I$2736,$F870)="","",INDEX(選手一覧!$I$5:$I$2736,$F870))</f>
        <v/>
      </c>
    </row>
    <row r="871" customFormat="false" ht="15" hidden="false" customHeight="false" outlineLevel="0" collapsed="false">
      <c r="A871" s="12" t="n">
        <v>868</v>
      </c>
      <c r="B871" s="8" t="s">
        <v>3124</v>
      </c>
      <c r="C871" s="8" t="s">
        <v>3125</v>
      </c>
      <c r="D871" s="11" t="n">
        <v>0.0074775462962963</v>
      </c>
      <c r="E871" s="39" t="n">
        <f aca="false">ROUND((D871-$D$5)*86400,2)</f>
        <v>107.04</v>
      </c>
      <c r="F871" s="12" t="n">
        <v>2022</v>
      </c>
      <c r="G871" s="11" t="str">
        <f aca="false">IF(INDEX(選手一覧!$D$5:$D$2736,$F871)="","",INDEX(選手一覧!$D$5:$D$2736,$F871))</f>
        <v/>
      </c>
      <c r="H871" s="12" t="str">
        <f aca="false">IF(INDEX(選手一覧!$E$5:$E$2736,$F871)="","",INDEX(選手一覧!$E$5:$E$2736,$F871))</f>
        <v/>
      </c>
      <c r="I871" s="11" t="str">
        <f aca="false">IF(INDEX(選手一覧!$H$5:$H$2736,$F871)="","",INDEX(選手一覧!$H$5:$H$2736,$F871))</f>
        <v/>
      </c>
      <c r="J871" s="12" t="str">
        <f aca="false">IF(INDEX(選手一覧!$I$5:$I$2736,$F871)="","",INDEX(選手一覧!$I$5:$I$2736,$F871))</f>
        <v/>
      </c>
    </row>
    <row r="872" customFormat="false" ht="15" hidden="false" customHeight="false" outlineLevel="0" collapsed="false">
      <c r="A872" s="12" t="n">
        <v>869</v>
      </c>
      <c r="B872" s="8" t="s">
        <v>621</v>
      </c>
      <c r="C872" s="8" t="s">
        <v>622</v>
      </c>
      <c r="D872" s="11" t="n">
        <v>0.00748032407407407</v>
      </c>
      <c r="E872" s="39" t="n">
        <f aca="false">ROUND((D872-$D$5)*86400,2)</f>
        <v>107.28</v>
      </c>
      <c r="F872" s="12" t="n">
        <v>339</v>
      </c>
      <c r="G872" s="11" t="n">
        <f aca="false">IF(INDEX(選手一覧!$D$5:$D$2736,$F872)="","",INDEX(選手一覧!$D$5:$D$2736,$F872))</f>
        <v>0.010499537037037</v>
      </c>
      <c r="H872" s="12" t="n">
        <f aca="false">IF(INDEX(選手一覧!$E$5:$E$2736,$F872)="","",INDEX(選手一覧!$E$5:$E$2736,$F872))</f>
        <v>340</v>
      </c>
      <c r="I872" s="11" t="n">
        <f aca="false">IF(INDEX(選手一覧!$H$5:$H$2736,$F872)="","",INDEX(選手一覧!$H$5:$H$2736,$F872))</f>
        <v>0.00282233796296296</v>
      </c>
      <c r="J872" s="12" t="n">
        <f aca="false">IF(INDEX(選手一覧!$I$5:$I$2736,$F872)="","",INDEX(選手一覧!$I$5:$I$2736,$F872))</f>
        <v>378</v>
      </c>
    </row>
    <row r="873" customFormat="false" ht="15" hidden="false" customHeight="false" outlineLevel="0" collapsed="false">
      <c r="A873" s="12" t="n">
        <v>870</v>
      </c>
      <c r="B873" s="8" t="s">
        <v>3128</v>
      </c>
      <c r="C873" s="8" t="s">
        <v>3129</v>
      </c>
      <c r="D873" s="11" t="n">
        <v>0.00748043981481481</v>
      </c>
      <c r="E873" s="39" t="n">
        <f aca="false">ROUND((D873-$D$5)*86400,2)</f>
        <v>107.29</v>
      </c>
      <c r="F873" s="12" t="n">
        <v>2024</v>
      </c>
      <c r="G873" s="11" t="str">
        <f aca="false">IF(INDEX(選手一覧!$D$5:$D$2736,$F873)="","",INDEX(選手一覧!$D$5:$D$2736,$F873))</f>
        <v/>
      </c>
      <c r="H873" s="12" t="str">
        <f aca="false">IF(INDEX(選手一覧!$E$5:$E$2736,$F873)="","",INDEX(選手一覧!$E$5:$E$2736,$F873))</f>
        <v/>
      </c>
      <c r="I873" s="11" t="str">
        <f aca="false">IF(INDEX(選手一覧!$H$5:$H$2736,$F873)="","",INDEX(選手一覧!$H$5:$H$2736,$F873))</f>
        <v/>
      </c>
      <c r="J873" s="12" t="str">
        <f aca="false">IF(INDEX(選手一覧!$I$5:$I$2736,$F873)="","",INDEX(選手一覧!$I$5:$I$2736,$F873))</f>
        <v/>
      </c>
    </row>
    <row r="874" customFormat="false" ht="15" hidden="false" customHeight="false" outlineLevel="0" collapsed="false">
      <c r="A874" s="12" t="n">
        <v>871</v>
      </c>
      <c r="B874" s="8" t="s">
        <v>3131</v>
      </c>
      <c r="C874" s="8" t="s">
        <v>3132</v>
      </c>
      <c r="D874" s="11" t="n">
        <v>0.00748101851851852</v>
      </c>
      <c r="E874" s="39" t="n">
        <f aca="false">ROUND((D874-$D$5)*86400,2)</f>
        <v>107.34</v>
      </c>
      <c r="F874" s="12" t="n">
        <v>2026</v>
      </c>
      <c r="G874" s="11" t="str">
        <f aca="false">IF(INDEX(選手一覧!$D$5:$D$2736,$F874)="","",INDEX(選手一覧!$D$5:$D$2736,$F874))</f>
        <v/>
      </c>
      <c r="H874" s="12" t="str">
        <f aca="false">IF(INDEX(選手一覧!$E$5:$E$2736,$F874)="","",INDEX(選手一覧!$E$5:$E$2736,$F874))</f>
        <v/>
      </c>
      <c r="I874" s="11" t="str">
        <f aca="false">IF(INDEX(選手一覧!$H$5:$H$2736,$F874)="","",INDEX(選手一覧!$H$5:$H$2736,$F874))</f>
        <v/>
      </c>
      <c r="J874" s="12" t="str">
        <f aca="false">IF(INDEX(選手一覧!$I$5:$I$2736,$F874)="","",INDEX(選手一覧!$I$5:$I$2736,$F874))</f>
        <v/>
      </c>
    </row>
    <row r="875" customFormat="false" ht="15" hidden="false" customHeight="false" outlineLevel="0" collapsed="false">
      <c r="A875" s="12" t="n">
        <v>872</v>
      </c>
      <c r="B875" s="8" t="s">
        <v>3133</v>
      </c>
      <c r="C875" s="8" t="s">
        <v>3134</v>
      </c>
      <c r="D875" s="11" t="n">
        <v>0.00748101851851852</v>
      </c>
      <c r="E875" s="39" t="n">
        <f aca="false">ROUND((D875-$D$5)*86400,2)</f>
        <v>107.34</v>
      </c>
      <c r="F875" s="12" t="n">
        <v>2027</v>
      </c>
      <c r="G875" s="11" t="str">
        <f aca="false">IF(INDEX(選手一覧!$D$5:$D$2736,$F875)="","",INDEX(選手一覧!$D$5:$D$2736,$F875))</f>
        <v/>
      </c>
      <c r="H875" s="12" t="str">
        <f aca="false">IF(INDEX(選手一覧!$E$5:$E$2736,$F875)="","",INDEX(選手一覧!$E$5:$E$2736,$F875))</f>
        <v/>
      </c>
      <c r="I875" s="11" t="str">
        <f aca="false">IF(INDEX(選手一覧!$H$5:$H$2736,$F875)="","",INDEX(選手一覧!$H$5:$H$2736,$F875))</f>
        <v/>
      </c>
      <c r="J875" s="12" t="str">
        <f aca="false">IF(INDEX(選手一覧!$I$5:$I$2736,$F875)="","",INDEX(選手一覧!$I$5:$I$2736,$F875))</f>
        <v/>
      </c>
    </row>
    <row r="876" customFormat="false" ht="15" hidden="false" customHeight="false" outlineLevel="0" collapsed="false">
      <c r="A876" s="12" t="n">
        <v>873</v>
      </c>
      <c r="B876" s="8" t="s">
        <v>3135</v>
      </c>
      <c r="C876" s="8" t="s">
        <v>3136</v>
      </c>
      <c r="D876" s="11" t="n">
        <v>0.0074818287037037</v>
      </c>
      <c r="E876" s="39" t="n">
        <f aca="false">ROUND((D876-$D$5)*86400,2)</f>
        <v>107.41</v>
      </c>
      <c r="F876" s="12" t="n">
        <v>2028</v>
      </c>
      <c r="G876" s="11" t="str">
        <f aca="false">IF(INDEX(選手一覧!$D$5:$D$2736,$F876)="","",INDEX(選手一覧!$D$5:$D$2736,$F876))</f>
        <v/>
      </c>
      <c r="H876" s="12" t="str">
        <f aca="false">IF(INDEX(選手一覧!$E$5:$E$2736,$F876)="","",INDEX(選手一覧!$E$5:$E$2736,$F876))</f>
        <v/>
      </c>
      <c r="I876" s="11" t="str">
        <f aca="false">IF(INDEX(選手一覧!$H$5:$H$2736,$F876)="","",INDEX(選手一覧!$H$5:$H$2736,$F876))</f>
        <v/>
      </c>
      <c r="J876" s="12" t="str">
        <f aca="false">IF(INDEX(選手一覧!$I$5:$I$2736,$F876)="","",INDEX(選手一覧!$I$5:$I$2736,$F876))</f>
        <v/>
      </c>
    </row>
    <row r="877" customFormat="false" ht="15" hidden="false" customHeight="false" outlineLevel="0" collapsed="false">
      <c r="A877" s="12" t="n">
        <v>874</v>
      </c>
      <c r="B877" s="8" t="s">
        <v>3139</v>
      </c>
      <c r="C877" s="8" t="s">
        <v>3140</v>
      </c>
      <c r="D877" s="11" t="n">
        <v>0.00748194444444445</v>
      </c>
      <c r="E877" s="39" t="n">
        <f aca="false">ROUND((D877-$D$5)*86400,2)</f>
        <v>107.42</v>
      </c>
      <c r="F877" s="12" t="n">
        <v>2030</v>
      </c>
      <c r="G877" s="11" t="str">
        <f aca="false">IF(INDEX(選手一覧!$D$5:$D$2736,$F877)="","",INDEX(選手一覧!$D$5:$D$2736,$F877))</f>
        <v/>
      </c>
      <c r="H877" s="12" t="str">
        <f aca="false">IF(INDEX(選手一覧!$E$5:$E$2736,$F877)="","",INDEX(選手一覧!$E$5:$E$2736,$F877))</f>
        <v/>
      </c>
      <c r="I877" s="11" t="str">
        <f aca="false">IF(INDEX(選手一覧!$H$5:$H$2736,$F877)="","",INDEX(選手一覧!$H$5:$H$2736,$F877))</f>
        <v/>
      </c>
      <c r="J877" s="12" t="str">
        <f aca="false">IF(INDEX(選手一覧!$I$5:$I$2736,$F877)="","",INDEX(選手一覧!$I$5:$I$2736,$F877))</f>
        <v/>
      </c>
    </row>
    <row r="878" customFormat="false" ht="15" hidden="false" customHeight="false" outlineLevel="0" collapsed="false">
      <c r="A878" s="12" t="n">
        <v>875</v>
      </c>
      <c r="B878" s="8" t="s">
        <v>3142</v>
      </c>
      <c r="C878" s="8" t="s">
        <v>3143</v>
      </c>
      <c r="D878" s="11" t="n">
        <v>0.00748391203703704</v>
      </c>
      <c r="E878" s="39" t="n">
        <f aca="false">ROUND((D878-$D$5)*86400,2)</f>
        <v>107.59</v>
      </c>
      <c r="F878" s="12" t="n">
        <v>2032</v>
      </c>
      <c r="G878" s="11" t="str">
        <f aca="false">IF(INDEX(選手一覧!$D$5:$D$2736,$F878)="","",INDEX(選手一覧!$D$5:$D$2736,$F878))</f>
        <v/>
      </c>
      <c r="H878" s="12" t="str">
        <f aca="false">IF(INDEX(選手一覧!$E$5:$E$2736,$F878)="","",INDEX(選手一覧!$E$5:$E$2736,$F878))</f>
        <v/>
      </c>
      <c r="I878" s="11" t="str">
        <f aca="false">IF(INDEX(選手一覧!$H$5:$H$2736,$F878)="","",INDEX(選手一覧!$H$5:$H$2736,$F878))</f>
        <v/>
      </c>
      <c r="J878" s="12" t="str">
        <f aca="false">IF(INDEX(選手一覧!$I$5:$I$2736,$F878)="","",INDEX(選手一覧!$I$5:$I$2736,$F878))</f>
        <v/>
      </c>
    </row>
    <row r="879" customFormat="false" ht="15" hidden="false" customHeight="false" outlineLevel="0" collapsed="false">
      <c r="A879" s="12" t="n">
        <v>876</v>
      </c>
      <c r="B879" s="8" t="s">
        <v>3145</v>
      </c>
      <c r="C879" s="8" t="s">
        <v>3146</v>
      </c>
      <c r="D879" s="11" t="n">
        <v>0.00748449074074074</v>
      </c>
      <c r="E879" s="39" t="n">
        <f aca="false">ROUND((D879-$D$5)*86400,2)</f>
        <v>107.64</v>
      </c>
      <c r="F879" s="12" t="n">
        <v>2033</v>
      </c>
      <c r="G879" s="11" t="str">
        <f aca="false">IF(INDEX(選手一覧!$D$5:$D$2736,$F879)="","",INDEX(選手一覧!$D$5:$D$2736,$F879))</f>
        <v/>
      </c>
      <c r="H879" s="12" t="str">
        <f aca="false">IF(INDEX(選手一覧!$E$5:$E$2736,$F879)="","",INDEX(選手一覧!$E$5:$E$2736,$F879))</f>
        <v/>
      </c>
      <c r="I879" s="11" t="str">
        <f aca="false">IF(INDEX(選手一覧!$H$5:$H$2736,$F879)="","",INDEX(選手一覧!$H$5:$H$2736,$F879))</f>
        <v/>
      </c>
      <c r="J879" s="12" t="str">
        <f aca="false">IF(INDEX(選手一覧!$I$5:$I$2736,$F879)="","",INDEX(選手一覧!$I$5:$I$2736,$F879))</f>
        <v/>
      </c>
    </row>
    <row r="880" customFormat="false" ht="15" hidden="false" customHeight="false" outlineLevel="0" collapsed="false">
      <c r="A880" s="12" t="n">
        <v>877</v>
      </c>
      <c r="B880" s="8" t="s">
        <v>3148</v>
      </c>
      <c r="C880" s="8" t="s">
        <v>3149</v>
      </c>
      <c r="D880" s="11" t="n">
        <v>0.00748564814814815</v>
      </c>
      <c r="E880" s="39" t="n">
        <f aca="false">ROUND((D880-$D$5)*86400,2)</f>
        <v>107.74</v>
      </c>
      <c r="F880" s="12" t="n">
        <v>2035</v>
      </c>
      <c r="G880" s="11" t="str">
        <f aca="false">IF(INDEX(選手一覧!$D$5:$D$2736,$F880)="","",INDEX(選手一覧!$D$5:$D$2736,$F880))</f>
        <v/>
      </c>
      <c r="H880" s="12" t="str">
        <f aca="false">IF(INDEX(選手一覧!$E$5:$E$2736,$F880)="","",INDEX(選手一覧!$E$5:$E$2736,$F880))</f>
        <v/>
      </c>
      <c r="I880" s="11" t="str">
        <f aca="false">IF(INDEX(選手一覧!$H$5:$H$2736,$F880)="","",INDEX(選手一覧!$H$5:$H$2736,$F880))</f>
        <v/>
      </c>
      <c r="J880" s="12" t="str">
        <f aca="false">IF(INDEX(選手一覧!$I$5:$I$2736,$F880)="","",INDEX(選手一覧!$I$5:$I$2736,$F880))</f>
        <v/>
      </c>
    </row>
    <row r="881" customFormat="false" ht="15" hidden="false" customHeight="false" outlineLevel="0" collapsed="false">
      <c r="A881" s="12" t="n">
        <v>878</v>
      </c>
      <c r="B881" s="8" t="s">
        <v>3152</v>
      </c>
      <c r="C881" s="8" t="s">
        <v>3153</v>
      </c>
      <c r="D881" s="11" t="n">
        <v>0.00748726851851852</v>
      </c>
      <c r="E881" s="39" t="n">
        <f aca="false">ROUND((D881-$D$5)*86400,2)</f>
        <v>107.88</v>
      </c>
      <c r="F881" s="12" t="n">
        <v>2037</v>
      </c>
      <c r="G881" s="11" t="str">
        <f aca="false">IF(INDEX(選手一覧!$D$5:$D$2736,$F881)="","",INDEX(選手一覧!$D$5:$D$2736,$F881))</f>
        <v/>
      </c>
      <c r="H881" s="12" t="str">
        <f aca="false">IF(INDEX(選手一覧!$E$5:$E$2736,$F881)="","",INDEX(選手一覧!$E$5:$E$2736,$F881))</f>
        <v/>
      </c>
      <c r="I881" s="11" t="str">
        <f aca="false">IF(INDEX(選手一覧!$H$5:$H$2736,$F881)="","",INDEX(選手一覧!$H$5:$H$2736,$F881))</f>
        <v/>
      </c>
      <c r="J881" s="12" t="str">
        <f aca="false">IF(INDEX(選手一覧!$I$5:$I$2736,$F881)="","",INDEX(選手一覧!$I$5:$I$2736,$F881))</f>
        <v/>
      </c>
    </row>
    <row r="882" customFormat="false" ht="15" hidden="false" customHeight="false" outlineLevel="0" collapsed="false">
      <c r="A882" s="12" t="n">
        <v>879</v>
      </c>
      <c r="B882" s="8" t="s">
        <v>3154</v>
      </c>
      <c r="C882" s="8" t="s">
        <v>2494</v>
      </c>
      <c r="D882" s="11" t="n">
        <v>0.00748738425925926</v>
      </c>
      <c r="E882" s="39" t="n">
        <f aca="false">ROUND((D882-$D$5)*86400,2)</f>
        <v>107.89</v>
      </c>
      <c r="F882" s="12" t="n">
        <v>2038</v>
      </c>
      <c r="G882" s="11" t="str">
        <f aca="false">IF(INDEX(選手一覧!$D$5:$D$2736,$F882)="","",INDEX(選手一覧!$D$5:$D$2736,$F882))</f>
        <v/>
      </c>
      <c r="H882" s="12" t="str">
        <f aca="false">IF(INDEX(選手一覧!$E$5:$E$2736,$F882)="","",INDEX(選手一覧!$E$5:$E$2736,$F882))</f>
        <v/>
      </c>
      <c r="I882" s="11" t="str">
        <f aca="false">IF(INDEX(選手一覧!$H$5:$H$2736,$F882)="","",INDEX(選手一覧!$H$5:$H$2736,$F882))</f>
        <v/>
      </c>
      <c r="J882" s="12" t="str">
        <f aca="false">IF(INDEX(選手一覧!$I$5:$I$2736,$F882)="","",INDEX(選手一覧!$I$5:$I$2736,$F882))</f>
        <v/>
      </c>
    </row>
    <row r="883" customFormat="false" ht="15" hidden="false" customHeight="false" outlineLevel="0" collapsed="false">
      <c r="A883" s="12" t="n">
        <v>880</v>
      </c>
      <c r="B883" s="8" t="s">
        <v>3155</v>
      </c>
      <c r="C883" s="8" t="s">
        <v>3156</v>
      </c>
      <c r="D883" s="11" t="n">
        <v>0.00749016203703704</v>
      </c>
      <c r="E883" s="39" t="n">
        <f aca="false">ROUND((D883-$D$5)*86400,2)</f>
        <v>108.13</v>
      </c>
      <c r="F883" s="12" t="n">
        <v>2039</v>
      </c>
      <c r="G883" s="11" t="str">
        <f aca="false">IF(INDEX(選手一覧!$D$5:$D$2736,$F883)="","",INDEX(選手一覧!$D$5:$D$2736,$F883))</f>
        <v/>
      </c>
      <c r="H883" s="12" t="str">
        <f aca="false">IF(INDEX(選手一覧!$E$5:$E$2736,$F883)="","",INDEX(選手一覧!$E$5:$E$2736,$F883))</f>
        <v/>
      </c>
      <c r="I883" s="11" t="str">
        <f aca="false">IF(INDEX(選手一覧!$H$5:$H$2736,$F883)="","",INDEX(選手一覧!$H$5:$H$2736,$F883))</f>
        <v/>
      </c>
      <c r="J883" s="12" t="str">
        <f aca="false">IF(INDEX(選手一覧!$I$5:$I$2736,$F883)="","",INDEX(選手一覧!$I$5:$I$2736,$F883))</f>
        <v/>
      </c>
    </row>
    <row r="884" customFormat="false" ht="15" hidden="false" customHeight="false" outlineLevel="0" collapsed="false">
      <c r="A884" s="12" t="n">
        <v>881</v>
      </c>
      <c r="B884" s="8" t="s">
        <v>3157</v>
      </c>
      <c r="C884" s="8" t="s">
        <v>2406</v>
      </c>
      <c r="D884" s="11" t="n">
        <v>0.00749016203703704</v>
      </c>
      <c r="E884" s="39" t="n">
        <f aca="false">ROUND((D884-$D$5)*86400,2)</f>
        <v>108.13</v>
      </c>
      <c r="F884" s="12" t="n">
        <v>2040</v>
      </c>
      <c r="G884" s="11" t="str">
        <f aca="false">IF(INDEX(選手一覧!$D$5:$D$2736,$F884)="","",INDEX(選手一覧!$D$5:$D$2736,$F884))</f>
        <v/>
      </c>
      <c r="H884" s="12" t="str">
        <f aca="false">IF(INDEX(選手一覧!$E$5:$E$2736,$F884)="","",INDEX(選手一覧!$E$5:$E$2736,$F884))</f>
        <v/>
      </c>
      <c r="I884" s="11" t="str">
        <f aca="false">IF(INDEX(選手一覧!$H$5:$H$2736,$F884)="","",INDEX(選手一覧!$H$5:$H$2736,$F884))</f>
        <v/>
      </c>
      <c r="J884" s="12" t="str">
        <f aca="false">IF(INDEX(選手一覧!$I$5:$I$2736,$F884)="","",INDEX(選手一覧!$I$5:$I$2736,$F884))</f>
        <v/>
      </c>
    </row>
    <row r="885" customFormat="false" ht="15" hidden="false" customHeight="false" outlineLevel="0" collapsed="false">
      <c r="A885" s="12" t="n">
        <v>882</v>
      </c>
      <c r="B885" s="8" t="s">
        <v>3158</v>
      </c>
      <c r="C885" s="8" t="s">
        <v>3159</v>
      </c>
      <c r="D885" s="11" t="n">
        <v>0.00749189814814815</v>
      </c>
      <c r="E885" s="39" t="n">
        <f aca="false">ROUND((D885-$D$5)*86400,2)</f>
        <v>108.28</v>
      </c>
      <c r="F885" s="12" t="n">
        <v>2041</v>
      </c>
      <c r="G885" s="11" t="str">
        <f aca="false">IF(INDEX(選手一覧!$D$5:$D$2736,$F885)="","",INDEX(選手一覧!$D$5:$D$2736,$F885))</f>
        <v/>
      </c>
      <c r="H885" s="12" t="str">
        <f aca="false">IF(INDEX(選手一覧!$E$5:$E$2736,$F885)="","",INDEX(選手一覧!$E$5:$E$2736,$F885))</f>
        <v/>
      </c>
      <c r="I885" s="11" t="str">
        <f aca="false">IF(INDEX(選手一覧!$H$5:$H$2736,$F885)="","",INDEX(選手一覧!$H$5:$H$2736,$F885))</f>
        <v/>
      </c>
      <c r="J885" s="12" t="str">
        <f aca="false">IF(INDEX(選手一覧!$I$5:$I$2736,$F885)="","",INDEX(選手一覧!$I$5:$I$2736,$F885))</f>
        <v/>
      </c>
    </row>
    <row r="886" customFormat="false" ht="15" hidden="false" customHeight="false" outlineLevel="0" collapsed="false">
      <c r="A886" s="12" t="n">
        <v>883</v>
      </c>
      <c r="B886" s="8" t="s">
        <v>3161</v>
      </c>
      <c r="C886" s="8" t="s">
        <v>3136</v>
      </c>
      <c r="D886" s="11" t="n">
        <v>0.00749212962962963</v>
      </c>
      <c r="E886" s="39" t="n">
        <f aca="false">ROUND((D886-$D$5)*86400,2)</f>
        <v>108.3</v>
      </c>
      <c r="F886" s="12" t="n">
        <v>2043</v>
      </c>
      <c r="G886" s="11" t="str">
        <f aca="false">IF(INDEX(選手一覧!$D$5:$D$2736,$F886)="","",INDEX(選手一覧!$D$5:$D$2736,$F886))</f>
        <v/>
      </c>
      <c r="H886" s="12" t="str">
        <f aca="false">IF(INDEX(選手一覧!$E$5:$E$2736,$F886)="","",INDEX(選手一覧!$E$5:$E$2736,$F886))</f>
        <v/>
      </c>
      <c r="I886" s="11" t="str">
        <f aca="false">IF(INDEX(選手一覧!$H$5:$H$2736,$F886)="","",INDEX(選手一覧!$H$5:$H$2736,$F886))</f>
        <v/>
      </c>
      <c r="J886" s="12" t="str">
        <f aca="false">IF(INDEX(選手一覧!$I$5:$I$2736,$F886)="","",INDEX(選手一覧!$I$5:$I$2736,$F886))</f>
        <v/>
      </c>
    </row>
    <row r="887" customFormat="false" ht="15" hidden="false" customHeight="false" outlineLevel="0" collapsed="false">
      <c r="A887" s="12" t="n">
        <v>884</v>
      </c>
      <c r="B887" s="8" t="s">
        <v>3162</v>
      </c>
      <c r="C887" s="8" t="s">
        <v>49</v>
      </c>
      <c r="D887" s="11" t="n">
        <v>0.00749490740740741</v>
      </c>
      <c r="E887" s="39" t="n">
        <f aca="false">ROUND((D887-$D$5)*86400,2)</f>
        <v>108.54</v>
      </c>
      <c r="F887" s="12" t="n">
        <v>2044</v>
      </c>
      <c r="G887" s="11" t="str">
        <f aca="false">IF(INDEX(選手一覧!$D$5:$D$2736,$F887)="","",INDEX(選手一覧!$D$5:$D$2736,$F887))</f>
        <v/>
      </c>
      <c r="H887" s="12" t="str">
        <f aca="false">IF(INDEX(選手一覧!$E$5:$E$2736,$F887)="","",INDEX(選手一覧!$E$5:$E$2736,$F887))</f>
        <v/>
      </c>
      <c r="I887" s="11" t="str">
        <f aca="false">IF(INDEX(選手一覧!$H$5:$H$2736,$F887)="","",INDEX(選手一覧!$H$5:$H$2736,$F887))</f>
        <v/>
      </c>
      <c r="J887" s="12" t="str">
        <f aca="false">IF(INDEX(選手一覧!$I$5:$I$2736,$F887)="","",INDEX(選手一覧!$I$5:$I$2736,$F887))</f>
        <v/>
      </c>
    </row>
    <row r="888" customFormat="false" ht="15" hidden="false" customHeight="false" outlineLevel="0" collapsed="false">
      <c r="A888" s="12" t="n">
        <v>885</v>
      </c>
      <c r="B888" s="8" t="s">
        <v>3163</v>
      </c>
      <c r="C888" s="8" t="s">
        <v>3164</v>
      </c>
      <c r="D888" s="11" t="n">
        <v>0.00749675925925926</v>
      </c>
      <c r="E888" s="39" t="n">
        <f aca="false">ROUND((D888-$D$5)*86400,2)</f>
        <v>108.7</v>
      </c>
      <c r="F888" s="12" t="n">
        <v>2045</v>
      </c>
      <c r="G888" s="11" t="str">
        <f aca="false">IF(INDEX(選手一覧!$D$5:$D$2736,$F888)="","",INDEX(選手一覧!$D$5:$D$2736,$F888))</f>
        <v/>
      </c>
      <c r="H888" s="12" t="str">
        <f aca="false">IF(INDEX(選手一覧!$E$5:$E$2736,$F888)="","",INDEX(選手一覧!$E$5:$E$2736,$F888))</f>
        <v/>
      </c>
      <c r="I888" s="11" t="str">
        <f aca="false">IF(INDEX(選手一覧!$H$5:$H$2736,$F888)="","",INDEX(選手一覧!$H$5:$H$2736,$F888))</f>
        <v/>
      </c>
      <c r="J888" s="12" t="str">
        <f aca="false">IF(INDEX(選手一覧!$I$5:$I$2736,$F888)="","",INDEX(選手一覧!$I$5:$I$2736,$F888))</f>
        <v/>
      </c>
    </row>
    <row r="889" customFormat="false" ht="15" hidden="false" customHeight="false" outlineLevel="0" collapsed="false">
      <c r="A889" s="12" t="n">
        <v>886</v>
      </c>
      <c r="B889" s="8" t="s">
        <v>3167</v>
      </c>
      <c r="C889" s="8" t="s">
        <v>2124</v>
      </c>
      <c r="D889" s="11" t="n">
        <v>0.00750069444444444</v>
      </c>
      <c r="E889" s="39" t="n">
        <f aca="false">ROUND((D889-$D$5)*86400,2)</f>
        <v>109.04</v>
      </c>
      <c r="F889" s="12" t="n">
        <v>2047</v>
      </c>
      <c r="G889" s="11" t="str">
        <f aca="false">IF(INDEX(選手一覧!$D$5:$D$2736,$F889)="","",INDEX(選手一覧!$D$5:$D$2736,$F889))</f>
        <v/>
      </c>
      <c r="H889" s="12" t="str">
        <f aca="false">IF(INDEX(選手一覧!$E$5:$E$2736,$F889)="","",INDEX(選手一覧!$E$5:$E$2736,$F889))</f>
        <v/>
      </c>
      <c r="I889" s="11" t="str">
        <f aca="false">IF(INDEX(選手一覧!$H$5:$H$2736,$F889)="","",INDEX(選手一覧!$H$5:$H$2736,$F889))</f>
        <v/>
      </c>
      <c r="J889" s="12" t="str">
        <f aca="false">IF(INDEX(選手一覧!$I$5:$I$2736,$F889)="","",INDEX(選手一覧!$I$5:$I$2736,$F889))</f>
        <v/>
      </c>
    </row>
    <row r="890" customFormat="false" ht="15" hidden="false" customHeight="false" outlineLevel="0" collapsed="false">
      <c r="A890" s="12" t="n">
        <v>887</v>
      </c>
      <c r="B890" s="8" t="s">
        <v>3168</v>
      </c>
      <c r="C890" s="8" t="s">
        <v>2373</v>
      </c>
      <c r="D890" s="11" t="n">
        <v>0.00750208333333333</v>
      </c>
      <c r="E890" s="39" t="n">
        <f aca="false">ROUND((D890-$D$5)*86400,2)</f>
        <v>109.16</v>
      </c>
      <c r="F890" s="12" t="n">
        <v>2048</v>
      </c>
      <c r="G890" s="11" t="str">
        <f aca="false">IF(INDEX(選手一覧!$D$5:$D$2736,$F890)="","",INDEX(選手一覧!$D$5:$D$2736,$F890))</f>
        <v/>
      </c>
      <c r="H890" s="12" t="str">
        <f aca="false">IF(INDEX(選手一覧!$E$5:$E$2736,$F890)="","",INDEX(選手一覧!$E$5:$E$2736,$F890))</f>
        <v/>
      </c>
      <c r="I890" s="11" t="str">
        <f aca="false">IF(INDEX(選手一覧!$H$5:$H$2736,$F890)="","",INDEX(選手一覧!$H$5:$H$2736,$F890))</f>
        <v/>
      </c>
      <c r="J890" s="12" t="str">
        <f aca="false">IF(INDEX(選手一覧!$I$5:$I$2736,$F890)="","",INDEX(選手一覧!$I$5:$I$2736,$F890))</f>
        <v/>
      </c>
    </row>
    <row r="891" customFormat="false" ht="15" hidden="false" customHeight="false" outlineLevel="0" collapsed="false">
      <c r="A891" s="12" t="n">
        <v>888</v>
      </c>
      <c r="B891" s="8" t="s">
        <v>3169</v>
      </c>
      <c r="C891" s="8" t="s">
        <v>2186</v>
      </c>
      <c r="D891" s="11" t="n">
        <v>0.00750451388888889</v>
      </c>
      <c r="E891" s="39" t="n">
        <f aca="false">ROUND((D891-$D$5)*86400,2)</f>
        <v>109.37</v>
      </c>
      <c r="F891" s="12" t="n">
        <v>2049</v>
      </c>
      <c r="G891" s="11" t="str">
        <f aca="false">IF(INDEX(選手一覧!$D$5:$D$2736,$F891)="","",INDEX(選手一覧!$D$5:$D$2736,$F891))</f>
        <v/>
      </c>
      <c r="H891" s="12" t="str">
        <f aca="false">IF(INDEX(選手一覧!$E$5:$E$2736,$F891)="","",INDEX(選手一覧!$E$5:$E$2736,$F891))</f>
        <v/>
      </c>
      <c r="I891" s="11" t="str">
        <f aca="false">IF(INDEX(選手一覧!$H$5:$H$2736,$F891)="","",INDEX(選手一覧!$H$5:$H$2736,$F891))</f>
        <v/>
      </c>
      <c r="J891" s="12" t="str">
        <f aca="false">IF(INDEX(選手一覧!$I$5:$I$2736,$F891)="","",INDEX(選手一覧!$I$5:$I$2736,$F891))</f>
        <v/>
      </c>
    </row>
    <row r="892" customFormat="false" ht="15" hidden="false" customHeight="false" outlineLevel="0" collapsed="false">
      <c r="A892" s="12" t="n">
        <v>889</v>
      </c>
      <c r="B892" s="8" t="s">
        <v>3171</v>
      </c>
      <c r="C892" s="8" t="s">
        <v>2765</v>
      </c>
      <c r="D892" s="11" t="n">
        <v>0.00750462962962963</v>
      </c>
      <c r="E892" s="39" t="n">
        <f aca="false">ROUND((D892-$D$5)*86400,2)</f>
        <v>109.38</v>
      </c>
      <c r="F892" s="12" t="n">
        <v>2051</v>
      </c>
      <c r="G892" s="11" t="str">
        <f aca="false">IF(INDEX(選手一覧!$D$5:$D$2736,$F892)="","",INDEX(選手一覧!$D$5:$D$2736,$F892))</f>
        <v/>
      </c>
      <c r="H892" s="12" t="str">
        <f aca="false">IF(INDEX(選手一覧!$E$5:$E$2736,$F892)="","",INDEX(選手一覧!$E$5:$E$2736,$F892))</f>
        <v/>
      </c>
      <c r="I892" s="11" t="str">
        <f aca="false">IF(INDEX(選手一覧!$H$5:$H$2736,$F892)="","",INDEX(選手一覧!$H$5:$H$2736,$F892))</f>
        <v/>
      </c>
      <c r="J892" s="12" t="str">
        <f aca="false">IF(INDEX(選手一覧!$I$5:$I$2736,$F892)="","",INDEX(選手一覧!$I$5:$I$2736,$F892))</f>
        <v/>
      </c>
    </row>
    <row r="893" customFormat="false" ht="15" hidden="false" customHeight="false" outlineLevel="0" collapsed="false">
      <c r="A893" s="12" t="n">
        <v>890</v>
      </c>
      <c r="B893" s="8" t="s">
        <v>3174</v>
      </c>
      <c r="C893" s="8" t="s">
        <v>3175</v>
      </c>
      <c r="D893" s="11" t="n">
        <v>0.00750520833333333</v>
      </c>
      <c r="E893" s="39" t="n">
        <f aca="false">ROUND((D893-$D$5)*86400,2)</f>
        <v>109.43</v>
      </c>
      <c r="F893" s="12" t="n">
        <v>2053</v>
      </c>
      <c r="G893" s="11" t="str">
        <f aca="false">IF(INDEX(選手一覧!$D$5:$D$2736,$F893)="","",INDEX(選手一覧!$D$5:$D$2736,$F893))</f>
        <v/>
      </c>
      <c r="H893" s="12" t="str">
        <f aca="false">IF(INDEX(選手一覧!$E$5:$E$2736,$F893)="","",INDEX(選手一覧!$E$5:$E$2736,$F893))</f>
        <v/>
      </c>
      <c r="I893" s="11" t="str">
        <f aca="false">IF(INDEX(選手一覧!$H$5:$H$2736,$F893)="","",INDEX(選手一覧!$H$5:$H$2736,$F893))</f>
        <v/>
      </c>
      <c r="J893" s="12" t="str">
        <f aca="false">IF(INDEX(選手一覧!$I$5:$I$2736,$F893)="","",INDEX(選手一覧!$I$5:$I$2736,$F893))</f>
        <v/>
      </c>
    </row>
    <row r="894" customFormat="false" ht="15" hidden="false" customHeight="false" outlineLevel="0" collapsed="false">
      <c r="A894" s="12" t="n">
        <v>891</v>
      </c>
      <c r="B894" s="8" t="s">
        <v>3176</v>
      </c>
      <c r="C894" s="8" t="s">
        <v>2153</v>
      </c>
      <c r="D894" s="11" t="n">
        <v>0.00750625</v>
      </c>
      <c r="E894" s="39" t="n">
        <f aca="false">ROUND((D894-$D$5)*86400,2)</f>
        <v>109.52</v>
      </c>
      <c r="F894" s="12" t="n">
        <v>2054</v>
      </c>
      <c r="G894" s="11" t="str">
        <f aca="false">IF(INDEX(選手一覧!$D$5:$D$2736,$F894)="","",INDEX(選手一覧!$D$5:$D$2736,$F894))</f>
        <v/>
      </c>
      <c r="H894" s="12" t="str">
        <f aca="false">IF(INDEX(選手一覧!$E$5:$E$2736,$F894)="","",INDEX(選手一覧!$E$5:$E$2736,$F894))</f>
        <v/>
      </c>
      <c r="I894" s="11" t="str">
        <f aca="false">IF(INDEX(選手一覧!$H$5:$H$2736,$F894)="","",INDEX(選手一覧!$H$5:$H$2736,$F894))</f>
        <v/>
      </c>
      <c r="J894" s="12" t="str">
        <f aca="false">IF(INDEX(選手一覧!$I$5:$I$2736,$F894)="","",INDEX(選手一覧!$I$5:$I$2736,$F894))</f>
        <v/>
      </c>
    </row>
    <row r="895" customFormat="false" ht="15" hidden="false" customHeight="false" outlineLevel="0" collapsed="false">
      <c r="A895" s="12" t="n">
        <v>892</v>
      </c>
      <c r="B895" s="8" t="s">
        <v>3177</v>
      </c>
      <c r="C895" s="8" t="s">
        <v>594</v>
      </c>
      <c r="D895" s="11" t="n">
        <v>0.00750636574074074</v>
      </c>
      <c r="E895" s="39" t="n">
        <f aca="false">ROUND((D895-$D$5)*86400,2)</f>
        <v>109.53</v>
      </c>
      <c r="F895" s="12" t="n">
        <v>2055</v>
      </c>
      <c r="G895" s="11" t="str">
        <f aca="false">IF(INDEX(選手一覧!$D$5:$D$2736,$F895)="","",INDEX(選手一覧!$D$5:$D$2736,$F895))</f>
        <v/>
      </c>
      <c r="H895" s="12" t="str">
        <f aca="false">IF(INDEX(選手一覧!$E$5:$E$2736,$F895)="","",INDEX(選手一覧!$E$5:$E$2736,$F895))</f>
        <v/>
      </c>
      <c r="I895" s="11" t="str">
        <f aca="false">IF(INDEX(選手一覧!$H$5:$H$2736,$F895)="","",INDEX(選手一覧!$H$5:$H$2736,$F895))</f>
        <v/>
      </c>
      <c r="J895" s="12" t="str">
        <f aca="false">IF(INDEX(選手一覧!$I$5:$I$2736,$F895)="","",INDEX(選手一覧!$I$5:$I$2736,$F895))</f>
        <v/>
      </c>
    </row>
    <row r="896" customFormat="false" ht="15" hidden="false" customHeight="false" outlineLevel="0" collapsed="false">
      <c r="A896" s="12" t="n">
        <v>893</v>
      </c>
      <c r="B896" s="8" t="s">
        <v>3178</v>
      </c>
      <c r="C896" s="8" t="s">
        <v>683</v>
      </c>
      <c r="D896" s="11" t="n">
        <v>0.00750729166666667</v>
      </c>
      <c r="E896" s="39" t="n">
        <f aca="false">ROUND((D896-$D$5)*86400,2)</f>
        <v>109.61</v>
      </c>
      <c r="F896" s="12" t="n">
        <v>2056</v>
      </c>
      <c r="G896" s="11" t="str">
        <f aca="false">IF(INDEX(選手一覧!$D$5:$D$2736,$F896)="","",INDEX(選手一覧!$D$5:$D$2736,$F896))</f>
        <v/>
      </c>
      <c r="H896" s="12" t="str">
        <f aca="false">IF(INDEX(選手一覧!$E$5:$E$2736,$F896)="","",INDEX(選手一覧!$E$5:$E$2736,$F896))</f>
        <v/>
      </c>
      <c r="I896" s="11" t="str">
        <f aca="false">IF(INDEX(選手一覧!$H$5:$H$2736,$F896)="","",INDEX(選手一覧!$H$5:$H$2736,$F896))</f>
        <v/>
      </c>
      <c r="J896" s="12" t="str">
        <f aca="false">IF(INDEX(選手一覧!$I$5:$I$2736,$F896)="","",INDEX(選手一覧!$I$5:$I$2736,$F896))</f>
        <v/>
      </c>
    </row>
    <row r="897" customFormat="false" ht="15" hidden="false" customHeight="false" outlineLevel="0" collapsed="false">
      <c r="A897" s="12" t="n">
        <v>894</v>
      </c>
      <c r="B897" s="8" t="s">
        <v>3179</v>
      </c>
      <c r="C897" s="8" t="s">
        <v>3180</v>
      </c>
      <c r="D897" s="11" t="n">
        <v>0.00750740740740741</v>
      </c>
      <c r="E897" s="39" t="n">
        <f aca="false">ROUND((D897-$D$5)*86400,2)</f>
        <v>109.62</v>
      </c>
      <c r="F897" s="12" t="n">
        <v>2057</v>
      </c>
      <c r="G897" s="11" t="str">
        <f aca="false">IF(INDEX(選手一覧!$D$5:$D$2736,$F897)="","",INDEX(選手一覧!$D$5:$D$2736,$F897))</f>
        <v/>
      </c>
      <c r="H897" s="12" t="str">
        <f aca="false">IF(INDEX(選手一覧!$E$5:$E$2736,$F897)="","",INDEX(選手一覧!$E$5:$E$2736,$F897))</f>
        <v/>
      </c>
      <c r="I897" s="11" t="str">
        <f aca="false">IF(INDEX(選手一覧!$H$5:$H$2736,$F897)="","",INDEX(選手一覧!$H$5:$H$2736,$F897))</f>
        <v/>
      </c>
      <c r="J897" s="12" t="str">
        <f aca="false">IF(INDEX(選手一覧!$I$5:$I$2736,$F897)="","",INDEX(選手一覧!$I$5:$I$2736,$F897))</f>
        <v/>
      </c>
    </row>
    <row r="898" customFormat="false" ht="15" hidden="false" customHeight="false" outlineLevel="0" collapsed="false">
      <c r="A898" s="12" t="n">
        <v>895</v>
      </c>
      <c r="B898" s="8" t="s">
        <v>3184</v>
      </c>
      <c r="C898" s="8" t="s">
        <v>3185</v>
      </c>
      <c r="D898" s="11" t="n">
        <v>0.00750763888888889</v>
      </c>
      <c r="E898" s="39" t="n">
        <f aca="false">ROUND((D898-$D$5)*86400,2)</f>
        <v>109.64</v>
      </c>
      <c r="F898" s="12" t="n">
        <v>2059</v>
      </c>
      <c r="G898" s="11" t="str">
        <f aca="false">IF(INDEX(選手一覧!$D$5:$D$2736,$F898)="","",INDEX(選手一覧!$D$5:$D$2736,$F898))</f>
        <v/>
      </c>
      <c r="H898" s="12" t="str">
        <f aca="false">IF(INDEX(選手一覧!$E$5:$E$2736,$F898)="","",INDEX(選手一覧!$E$5:$E$2736,$F898))</f>
        <v/>
      </c>
      <c r="I898" s="11" t="str">
        <f aca="false">IF(INDEX(選手一覧!$H$5:$H$2736,$F898)="","",INDEX(選手一覧!$H$5:$H$2736,$F898))</f>
        <v/>
      </c>
      <c r="J898" s="12" t="str">
        <f aca="false">IF(INDEX(選手一覧!$I$5:$I$2736,$F898)="","",INDEX(選手一覧!$I$5:$I$2736,$F898))</f>
        <v/>
      </c>
    </row>
    <row r="899" customFormat="false" ht="15" hidden="false" customHeight="false" outlineLevel="0" collapsed="false">
      <c r="A899" s="12" t="n">
        <v>896</v>
      </c>
      <c r="B899" s="8" t="s">
        <v>3186</v>
      </c>
      <c r="C899" s="8" t="s">
        <v>2127</v>
      </c>
      <c r="D899" s="11" t="n">
        <v>0.00750798611111111</v>
      </c>
      <c r="E899" s="39" t="n">
        <f aca="false">ROUND((D899-$D$5)*86400,2)</f>
        <v>109.67</v>
      </c>
      <c r="F899" s="12" t="n">
        <v>2060</v>
      </c>
      <c r="G899" s="11" t="str">
        <f aca="false">IF(INDEX(選手一覧!$D$5:$D$2736,$F899)="","",INDEX(選手一覧!$D$5:$D$2736,$F899))</f>
        <v/>
      </c>
      <c r="H899" s="12" t="str">
        <f aca="false">IF(INDEX(選手一覧!$E$5:$E$2736,$F899)="","",INDEX(選手一覧!$E$5:$E$2736,$F899))</f>
        <v/>
      </c>
      <c r="I899" s="11" t="str">
        <f aca="false">IF(INDEX(選手一覧!$H$5:$H$2736,$F899)="","",INDEX(選手一覧!$H$5:$H$2736,$F899))</f>
        <v/>
      </c>
      <c r="J899" s="12" t="str">
        <f aca="false">IF(INDEX(選手一覧!$I$5:$I$2736,$F899)="","",INDEX(選手一覧!$I$5:$I$2736,$F899))</f>
        <v/>
      </c>
    </row>
    <row r="900" customFormat="false" ht="15" hidden="false" customHeight="false" outlineLevel="0" collapsed="false">
      <c r="A900" s="12" t="n">
        <v>897</v>
      </c>
      <c r="B900" s="8" t="s">
        <v>1828</v>
      </c>
      <c r="C900" s="8" t="s">
        <v>691</v>
      </c>
      <c r="D900" s="11" t="n">
        <v>0.00750810185185185</v>
      </c>
      <c r="E900" s="39" t="n">
        <f aca="false">ROUND((D900-$D$5)*86400,2)</f>
        <v>109.68</v>
      </c>
      <c r="F900" s="12" t="n">
        <v>1139</v>
      </c>
      <c r="G900" s="11" t="n">
        <f aca="false">IF(INDEX(選手一覧!$D$5:$D$2736,$F900)="","",INDEX(選手一覧!$D$5:$D$2736,$F900))</f>
        <v>0.0110256944444444</v>
      </c>
      <c r="H900" s="12" t="n">
        <f aca="false">IF(INDEX(選手一覧!$E$5:$E$2736,$F900)="","",INDEX(選手一覧!$E$5:$E$2736,$F900))</f>
        <v>1140</v>
      </c>
      <c r="I900" s="11" t="n">
        <f aca="false">IF(INDEX(選手一覧!$H$5:$H$2736,$F900)="","",INDEX(選手一覧!$H$5:$H$2736,$F900))</f>
        <v>0.00280104166666667</v>
      </c>
      <c r="J900" s="12" t="n">
        <f aca="false">IF(INDEX(選手一覧!$I$5:$I$2736,$F900)="","",INDEX(選手一覧!$I$5:$I$2736,$F900))</f>
        <v>287</v>
      </c>
    </row>
    <row r="901" customFormat="false" ht="15" hidden="false" customHeight="false" outlineLevel="0" collapsed="false">
      <c r="A901" s="12" t="n">
        <v>898</v>
      </c>
      <c r="B901" s="8" t="s">
        <v>3190</v>
      </c>
      <c r="C901" s="8" t="s">
        <v>433</v>
      </c>
      <c r="D901" s="11" t="n">
        <v>0.00750821759259259</v>
      </c>
      <c r="E901" s="39" t="n">
        <f aca="false">ROUND((D901-$D$5)*86400,2)</f>
        <v>109.69</v>
      </c>
      <c r="F901" s="12" t="n">
        <v>2063</v>
      </c>
      <c r="G901" s="11" t="str">
        <f aca="false">IF(INDEX(選手一覧!$D$5:$D$2736,$F901)="","",INDEX(選手一覧!$D$5:$D$2736,$F901))</f>
        <v/>
      </c>
      <c r="H901" s="12" t="str">
        <f aca="false">IF(INDEX(選手一覧!$E$5:$E$2736,$F901)="","",INDEX(選手一覧!$E$5:$E$2736,$F901))</f>
        <v/>
      </c>
      <c r="I901" s="11" t="str">
        <f aca="false">IF(INDEX(選手一覧!$H$5:$H$2736,$F901)="","",INDEX(選手一覧!$H$5:$H$2736,$F901))</f>
        <v/>
      </c>
      <c r="J901" s="12" t="str">
        <f aca="false">IF(INDEX(選手一覧!$I$5:$I$2736,$F901)="","",INDEX(選手一覧!$I$5:$I$2736,$F901))</f>
        <v/>
      </c>
    </row>
    <row r="902" customFormat="false" ht="15" hidden="false" customHeight="false" outlineLevel="0" collapsed="false">
      <c r="A902" s="12" t="n">
        <v>899</v>
      </c>
      <c r="B902" s="8" t="s">
        <v>3191</v>
      </c>
      <c r="C902" s="8" t="s">
        <v>3192</v>
      </c>
      <c r="D902" s="11" t="n">
        <v>0.00750833333333333</v>
      </c>
      <c r="E902" s="39" t="n">
        <f aca="false">ROUND((D902-$D$5)*86400,2)</f>
        <v>109.7</v>
      </c>
      <c r="F902" s="12" t="n">
        <v>2064</v>
      </c>
      <c r="G902" s="11" t="str">
        <f aca="false">IF(INDEX(選手一覧!$D$5:$D$2736,$F902)="","",INDEX(選手一覧!$D$5:$D$2736,$F902))</f>
        <v/>
      </c>
      <c r="H902" s="12" t="str">
        <f aca="false">IF(INDEX(選手一覧!$E$5:$E$2736,$F902)="","",INDEX(選手一覧!$E$5:$E$2736,$F902))</f>
        <v/>
      </c>
      <c r="I902" s="11" t="str">
        <f aca="false">IF(INDEX(選手一覧!$H$5:$H$2736,$F902)="","",INDEX(選手一覧!$H$5:$H$2736,$F902))</f>
        <v/>
      </c>
      <c r="J902" s="12" t="str">
        <f aca="false">IF(INDEX(選手一覧!$I$5:$I$2736,$F902)="","",INDEX(選手一覧!$I$5:$I$2736,$F902))</f>
        <v/>
      </c>
    </row>
    <row r="903" customFormat="false" ht="15" hidden="false" customHeight="false" outlineLevel="0" collapsed="false">
      <c r="A903" s="12" t="n">
        <v>900</v>
      </c>
      <c r="B903" s="8" t="s">
        <v>3193</v>
      </c>
      <c r="C903" s="8" t="s">
        <v>3194</v>
      </c>
      <c r="D903" s="11" t="n">
        <v>0.0075099537037037</v>
      </c>
      <c r="E903" s="39" t="n">
        <f aca="false">ROUND((D903-$D$5)*86400,2)</f>
        <v>109.84</v>
      </c>
      <c r="F903" s="12" t="n">
        <v>2065</v>
      </c>
      <c r="G903" s="11" t="str">
        <f aca="false">IF(INDEX(選手一覧!$D$5:$D$2736,$F903)="","",INDEX(選手一覧!$D$5:$D$2736,$F903))</f>
        <v/>
      </c>
      <c r="H903" s="12" t="str">
        <f aca="false">IF(INDEX(選手一覧!$E$5:$E$2736,$F903)="","",INDEX(選手一覧!$E$5:$E$2736,$F903))</f>
        <v/>
      </c>
      <c r="I903" s="11" t="str">
        <f aca="false">IF(INDEX(選手一覧!$H$5:$H$2736,$F903)="","",INDEX(選手一覧!$H$5:$H$2736,$F903))</f>
        <v/>
      </c>
      <c r="J903" s="12" t="str">
        <f aca="false">IF(INDEX(選手一覧!$I$5:$I$2736,$F903)="","",INDEX(選手一覧!$I$5:$I$2736,$F903))</f>
        <v/>
      </c>
    </row>
    <row r="904" customFormat="false" ht="15" hidden="false" customHeight="false" outlineLevel="0" collapsed="false">
      <c r="A904" s="12" t="n">
        <v>901</v>
      </c>
      <c r="B904" s="8" t="s">
        <v>3197</v>
      </c>
      <c r="C904" s="8" t="s">
        <v>3198</v>
      </c>
      <c r="D904" s="11" t="n">
        <v>0.00751018518518519</v>
      </c>
      <c r="E904" s="39" t="n">
        <f aca="false">ROUND((D904-$D$5)*86400,2)</f>
        <v>109.86</v>
      </c>
      <c r="F904" s="12" t="n">
        <v>2067</v>
      </c>
      <c r="G904" s="11" t="str">
        <f aca="false">IF(INDEX(選手一覧!$D$5:$D$2736,$F904)="","",INDEX(選手一覧!$D$5:$D$2736,$F904))</f>
        <v/>
      </c>
      <c r="H904" s="12" t="str">
        <f aca="false">IF(INDEX(選手一覧!$E$5:$E$2736,$F904)="","",INDEX(選手一覧!$E$5:$E$2736,$F904))</f>
        <v/>
      </c>
      <c r="I904" s="11" t="str">
        <f aca="false">IF(INDEX(選手一覧!$H$5:$H$2736,$F904)="","",INDEX(選手一覧!$H$5:$H$2736,$F904))</f>
        <v/>
      </c>
      <c r="J904" s="12" t="str">
        <f aca="false">IF(INDEX(選手一覧!$I$5:$I$2736,$F904)="","",INDEX(選手一覧!$I$5:$I$2736,$F904))</f>
        <v/>
      </c>
    </row>
    <row r="905" customFormat="false" ht="15" hidden="false" customHeight="false" outlineLevel="0" collapsed="false">
      <c r="A905" s="12" t="n">
        <v>902</v>
      </c>
      <c r="B905" s="8" t="s">
        <v>3199</v>
      </c>
      <c r="C905" s="8" t="s">
        <v>3143</v>
      </c>
      <c r="D905" s="11" t="n">
        <v>0.00751053240740741</v>
      </c>
      <c r="E905" s="39" t="n">
        <f aca="false">ROUND((D905-$D$5)*86400,2)</f>
        <v>109.89</v>
      </c>
      <c r="F905" s="12" t="n">
        <v>2068</v>
      </c>
      <c r="G905" s="11" t="str">
        <f aca="false">IF(INDEX(選手一覧!$D$5:$D$2736,$F905)="","",INDEX(選手一覧!$D$5:$D$2736,$F905))</f>
        <v/>
      </c>
      <c r="H905" s="12" t="str">
        <f aca="false">IF(INDEX(選手一覧!$E$5:$E$2736,$F905)="","",INDEX(選手一覧!$E$5:$E$2736,$F905))</f>
        <v/>
      </c>
      <c r="I905" s="11" t="str">
        <f aca="false">IF(INDEX(選手一覧!$H$5:$H$2736,$F905)="","",INDEX(選手一覧!$H$5:$H$2736,$F905))</f>
        <v/>
      </c>
      <c r="J905" s="12" t="str">
        <f aca="false">IF(INDEX(選手一覧!$I$5:$I$2736,$F905)="","",INDEX(選手一覧!$I$5:$I$2736,$F905))</f>
        <v/>
      </c>
    </row>
    <row r="906" customFormat="false" ht="15" hidden="false" customHeight="false" outlineLevel="0" collapsed="false">
      <c r="A906" s="12" t="n">
        <v>903</v>
      </c>
      <c r="B906" s="8" t="s">
        <v>3203</v>
      </c>
      <c r="C906" s="8" t="s">
        <v>1592</v>
      </c>
      <c r="D906" s="11" t="n">
        <v>0.00751099537037037</v>
      </c>
      <c r="E906" s="39" t="n">
        <f aca="false">ROUND((D906-$D$5)*86400,2)</f>
        <v>109.93</v>
      </c>
      <c r="F906" s="12" t="n">
        <v>2070</v>
      </c>
      <c r="G906" s="11" t="str">
        <f aca="false">IF(INDEX(選手一覧!$D$5:$D$2736,$F906)="","",INDEX(選手一覧!$D$5:$D$2736,$F906))</f>
        <v/>
      </c>
      <c r="H906" s="12" t="str">
        <f aca="false">IF(INDEX(選手一覧!$E$5:$E$2736,$F906)="","",INDEX(選手一覧!$E$5:$E$2736,$F906))</f>
        <v/>
      </c>
      <c r="I906" s="11" t="str">
        <f aca="false">IF(INDEX(選手一覧!$H$5:$H$2736,$F906)="","",INDEX(選手一覧!$H$5:$H$2736,$F906))</f>
        <v/>
      </c>
      <c r="J906" s="12" t="str">
        <f aca="false">IF(INDEX(選手一覧!$I$5:$I$2736,$F906)="","",INDEX(選手一覧!$I$5:$I$2736,$F906))</f>
        <v/>
      </c>
    </row>
    <row r="907" customFormat="false" ht="15" hidden="false" customHeight="false" outlineLevel="0" collapsed="false">
      <c r="A907" s="12" t="n">
        <v>904</v>
      </c>
      <c r="B907" s="8" t="s">
        <v>3207</v>
      </c>
      <c r="C907" s="8" t="s">
        <v>3208</v>
      </c>
      <c r="D907" s="11" t="n">
        <v>0.00751215277777778</v>
      </c>
      <c r="E907" s="39" t="n">
        <f aca="false">ROUND((D907-$D$5)*86400,2)</f>
        <v>110.03</v>
      </c>
      <c r="F907" s="12" t="n">
        <v>2072</v>
      </c>
      <c r="G907" s="11" t="str">
        <f aca="false">IF(INDEX(選手一覧!$D$5:$D$2736,$F907)="","",INDEX(選手一覧!$D$5:$D$2736,$F907))</f>
        <v/>
      </c>
      <c r="H907" s="12" t="str">
        <f aca="false">IF(INDEX(選手一覧!$E$5:$E$2736,$F907)="","",INDEX(選手一覧!$E$5:$E$2736,$F907))</f>
        <v/>
      </c>
      <c r="I907" s="11" t="str">
        <f aca="false">IF(INDEX(選手一覧!$H$5:$H$2736,$F907)="","",INDEX(選手一覧!$H$5:$H$2736,$F907))</f>
        <v/>
      </c>
      <c r="J907" s="12" t="str">
        <f aca="false">IF(INDEX(選手一覧!$I$5:$I$2736,$F907)="","",INDEX(選手一覧!$I$5:$I$2736,$F907))</f>
        <v/>
      </c>
    </row>
    <row r="908" customFormat="false" ht="15" hidden="false" customHeight="false" outlineLevel="0" collapsed="false">
      <c r="A908" s="12" t="n">
        <v>905</v>
      </c>
      <c r="B908" s="8" t="s">
        <v>3209</v>
      </c>
      <c r="C908" s="8" t="s">
        <v>2249</v>
      </c>
      <c r="D908" s="11" t="n">
        <v>0.00751377314814815</v>
      </c>
      <c r="E908" s="39" t="n">
        <f aca="false">ROUND((D908-$D$5)*86400,2)</f>
        <v>110.17</v>
      </c>
      <c r="F908" s="12" t="n">
        <v>2073</v>
      </c>
      <c r="G908" s="11" t="str">
        <f aca="false">IF(INDEX(選手一覧!$D$5:$D$2736,$F908)="","",INDEX(選手一覧!$D$5:$D$2736,$F908))</f>
        <v/>
      </c>
      <c r="H908" s="12" t="str">
        <f aca="false">IF(INDEX(選手一覧!$E$5:$E$2736,$F908)="","",INDEX(選手一覧!$E$5:$E$2736,$F908))</f>
        <v/>
      </c>
      <c r="I908" s="11" t="str">
        <f aca="false">IF(INDEX(選手一覧!$H$5:$H$2736,$F908)="","",INDEX(選手一覧!$H$5:$H$2736,$F908))</f>
        <v/>
      </c>
      <c r="J908" s="12" t="str">
        <f aca="false">IF(INDEX(選手一覧!$I$5:$I$2736,$F908)="","",INDEX(選手一覧!$I$5:$I$2736,$F908))</f>
        <v/>
      </c>
    </row>
    <row r="909" customFormat="false" ht="15" hidden="false" customHeight="false" outlineLevel="0" collapsed="false">
      <c r="A909" s="12" t="n">
        <v>906</v>
      </c>
      <c r="B909" s="8" t="s">
        <v>3210</v>
      </c>
      <c r="C909" s="8" t="s">
        <v>500</v>
      </c>
      <c r="D909" s="11" t="n">
        <v>0.00751435185185185</v>
      </c>
      <c r="E909" s="39" t="n">
        <f aca="false">ROUND((D909-$D$5)*86400,2)</f>
        <v>110.22</v>
      </c>
      <c r="F909" s="12" t="n">
        <v>2074</v>
      </c>
      <c r="G909" s="11" t="str">
        <f aca="false">IF(INDEX(選手一覧!$D$5:$D$2736,$F909)="","",INDEX(選手一覧!$D$5:$D$2736,$F909))</f>
        <v/>
      </c>
      <c r="H909" s="12" t="str">
        <f aca="false">IF(INDEX(選手一覧!$E$5:$E$2736,$F909)="","",INDEX(選手一覧!$E$5:$E$2736,$F909))</f>
        <v/>
      </c>
      <c r="I909" s="11" t="str">
        <f aca="false">IF(INDEX(選手一覧!$H$5:$H$2736,$F909)="","",INDEX(選手一覧!$H$5:$H$2736,$F909))</f>
        <v/>
      </c>
      <c r="J909" s="12" t="str">
        <f aca="false">IF(INDEX(選手一覧!$I$5:$I$2736,$F909)="","",INDEX(選手一覧!$I$5:$I$2736,$F909))</f>
        <v/>
      </c>
    </row>
    <row r="910" customFormat="false" ht="15" hidden="false" customHeight="false" outlineLevel="0" collapsed="false">
      <c r="A910" s="12" t="n">
        <v>907</v>
      </c>
      <c r="B910" s="8" t="s">
        <v>3211</v>
      </c>
      <c r="C910" s="8" t="s">
        <v>3212</v>
      </c>
      <c r="D910" s="11" t="n">
        <v>0.00751481481481481</v>
      </c>
      <c r="E910" s="39" t="n">
        <f aca="false">ROUND((D910-$D$5)*86400,2)</f>
        <v>110.26</v>
      </c>
      <c r="F910" s="12" t="n">
        <v>2075</v>
      </c>
      <c r="G910" s="11" t="str">
        <f aca="false">IF(INDEX(選手一覧!$D$5:$D$2736,$F910)="","",INDEX(選手一覧!$D$5:$D$2736,$F910))</f>
        <v/>
      </c>
      <c r="H910" s="12" t="str">
        <f aca="false">IF(INDEX(選手一覧!$E$5:$E$2736,$F910)="","",INDEX(選手一覧!$E$5:$E$2736,$F910))</f>
        <v/>
      </c>
      <c r="I910" s="11" t="str">
        <f aca="false">IF(INDEX(選手一覧!$H$5:$H$2736,$F910)="","",INDEX(選手一覧!$H$5:$H$2736,$F910))</f>
        <v/>
      </c>
      <c r="J910" s="12" t="str">
        <f aca="false">IF(INDEX(選手一覧!$I$5:$I$2736,$F910)="","",INDEX(選手一覧!$I$5:$I$2736,$F910))</f>
        <v/>
      </c>
    </row>
    <row r="911" customFormat="false" ht="15" hidden="false" customHeight="false" outlineLevel="0" collapsed="false">
      <c r="A911" s="12" t="n">
        <v>908</v>
      </c>
      <c r="B911" s="8" t="s">
        <v>3215</v>
      </c>
      <c r="C911" s="8" t="s">
        <v>3216</v>
      </c>
      <c r="D911" s="11" t="n">
        <v>0.00751516203703704</v>
      </c>
      <c r="E911" s="39" t="n">
        <f aca="false">ROUND((D911-$D$5)*86400,2)</f>
        <v>110.29</v>
      </c>
      <c r="F911" s="12" t="n">
        <v>2077</v>
      </c>
      <c r="G911" s="11" t="str">
        <f aca="false">IF(INDEX(選手一覧!$D$5:$D$2736,$F911)="","",INDEX(選手一覧!$D$5:$D$2736,$F911))</f>
        <v/>
      </c>
      <c r="H911" s="12" t="str">
        <f aca="false">IF(INDEX(選手一覧!$E$5:$E$2736,$F911)="","",INDEX(選手一覧!$E$5:$E$2736,$F911))</f>
        <v/>
      </c>
      <c r="I911" s="11" t="str">
        <f aca="false">IF(INDEX(選手一覧!$H$5:$H$2736,$F911)="","",INDEX(選手一覧!$H$5:$H$2736,$F911))</f>
        <v/>
      </c>
      <c r="J911" s="12" t="str">
        <f aca="false">IF(INDEX(選手一覧!$I$5:$I$2736,$F911)="","",INDEX(選手一覧!$I$5:$I$2736,$F911))</f>
        <v/>
      </c>
    </row>
    <row r="912" customFormat="false" ht="15" hidden="false" customHeight="false" outlineLevel="0" collapsed="false">
      <c r="A912" s="12" t="n">
        <v>909</v>
      </c>
      <c r="B912" s="8" t="s">
        <v>3217</v>
      </c>
      <c r="C912" s="8" t="s">
        <v>3218</v>
      </c>
      <c r="D912" s="11" t="n">
        <v>0.00751527777777778</v>
      </c>
      <c r="E912" s="39" t="n">
        <f aca="false">ROUND((D912-$D$5)*86400,2)</f>
        <v>110.3</v>
      </c>
      <c r="F912" s="12" t="n">
        <v>2078</v>
      </c>
      <c r="G912" s="11" t="str">
        <f aca="false">IF(INDEX(選手一覧!$D$5:$D$2736,$F912)="","",INDEX(選手一覧!$D$5:$D$2736,$F912))</f>
        <v/>
      </c>
      <c r="H912" s="12" t="str">
        <f aca="false">IF(INDEX(選手一覧!$E$5:$E$2736,$F912)="","",INDEX(選手一覧!$E$5:$E$2736,$F912))</f>
        <v/>
      </c>
      <c r="I912" s="11" t="str">
        <f aca="false">IF(INDEX(選手一覧!$H$5:$H$2736,$F912)="","",INDEX(選手一覧!$H$5:$H$2736,$F912))</f>
        <v/>
      </c>
      <c r="J912" s="12" t="str">
        <f aca="false">IF(INDEX(選手一覧!$I$5:$I$2736,$F912)="","",INDEX(選手一覧!$I$5:$I$2736,$F912))</f>
        <v/>
      </c>
    </row>
    <row r="913" customFormat="false" ht="15" hidden="false" customHeight="false" outlineLevel="0" collapsed="false">
      <c r="A913" s="12" t="n">
        <v>910</v>
      </c>
      <c r="B913" s="8" t="s">
        <v>3220</v>
      </c>
      <c r="C913" s="8" t="s">
        <v>306</v>
      </c>
      <c r="D913" s="11" t="n">
        <v>0.007515625</v>
      </c>
      <c r="E913" s="39" t="n">
        <f aca="false">ROUND((D913-$D$5)*86400,2)</f>
        <v>110.33</v>
      </c>
      <c r="F913" s="12" t="n">
        <v>2080</v>
      </c>
      <c r="G913" s="11" t="str">
        <f aca="false">IF(INDEX(選手一覧!$D$5:$D$2736,$F913)="","",INDEX(選手一覧!$D$5:$D$2736,$F913))</f>
        <v/>
      </c>
      <c r="H913" s="12" t="str">
        <f aca="false">IF(INDEX(選手一覧!$E$5:$E$2736,$F913)="","",INDEX(選手一覧!$E$5:$E$2736,$F913))</f>
        <v/>
      </c>
      <c r="I913" s="11" t="str">
        <f aca="false">IF(INDEX(選手一覧!$H$5:$H$2736,$F913)="","",INDEX(選手一覧!$H$5:$H$2736,$F913))</f>
        <v/>
      </c>
      <c r="J913" s="12" t="str">
        <f aca="false">IF(INDEX(選手一覧!$I$5:$I$2736,$F913)="","",INDEX(選手一覧!$I$5:$I$2736,$F913))</f>
        <v/>
      </c>
    </row>
    <row r="914" customFormat="false" ht="15" hidden="false" customHeight="false" outlineLevel="0" collapsed="false">
      <c r="A914" s="12" t="n">
        <v>911</v>
      </c>
      <c r="B914" s="8" t="s">
        <v>3221</v>
      </c>
      <c r="C914" s="8" t="s">
        <v>3075</v>
      </c>
      <c r="D914" s="11" t="n">
        <v>0.00751585648148148</v>
      </c>
      <c r="E914" s="39" t="n">
        <f aca="false">ROUND((D914-$D$5)*86400,2)</f>
        <v>110.35</v>
      </c>
      <c r="F914" s="12" t="n">
        <v>2081</v>
      </c>
      <c r="G914" s="11" t="str">
        <f aca="false">IF(INDEX(選手一覧!$D$5:$D$2736,$F914)="","",INDEX(選手一覧!$D$5:$D$2736,$F914))</f>
        <v/>
      </c>
      <c r="H914" s="12" t="str">
        <f aca="false">IF(INDEX(選手一覧!$E$5:$E$2736,$F914)="","",INDEX(選手一覧!$E$5:$E$2736,$F914))</f>
        <v/>
      </c>
      <c r="I914" s="11" t="str">
        <f aca="false">IF(INDEX(選手一覧!$H$5:$H$2736,$F914)="","",INDEX(選手一覧!$H$5:$H$2736,$F914))</f>
        <v/>
      </c>
      <c r="J914" s="12" t="str">
        <f aca="false">IF(INDEX(選手一覧!$I$5:$I$2736,$F914)="","",INDEX(選手一覧!$I$5:$I$2736,$F914))</f>
        <v/>
      </c>
    </row>
    <row r="915" customFormat="false" ht="15" hidden="false" customHeight="false" outlineLevel="0" collapsed="false">
      <c r="A915" s="12" t="n">
        <v>912</v>
      </c>
      <c r="B915" s="8" t="s">
        <v>3223</v>
      </c>
      <c r="C915" s="8" t="s">
        <v>3224</v>
      </c>
      <c r="D915" s="11" t="n">
        <v>0.00751608796296296</v>
      </c>
      <c r="E915" s="39" t="n">
        <f aca="false">ROUND((D915-$D$5)*86400,2)</f>
        <v>110.37</v>
      </c>
      <c r="F915" s="12" t="n">
        <v>2083</v>
      </c>
      <c r="G915" s="11" t="str">
        <f aca="false">IF(INDEX(選手一覧!$D$5:$D$2736,$F915)="","",INDEX(選手一覧!$D$5:$D$2736,$F915))</f>
        <v/>
      </c>
      <c r="H915" s="12" t="str">
        <f aca="false">IF(INDEX(選手一覧!$E$5:$E$2736,$F915)="","",INDEX(選手一覧!$E$5:$E$2736,$F915))</f>
        <v/>
      </c>
      <c r="I915" s="11" t="str">
        <f aca="false">IF(INDEX(選手一覧!$H$5:$H$2736,$F915)="","",INDEX(選手一覧!$H$5:$H$2736,$F915))</f>
        <v/>
      </c>
      <c r="J915" s="12" t="str">
        <f aca="false">IF(INDEX(選手一覧!$I$5:$I$2736,$F915)="","",INDEX(選手一覧!$I$5:$I$2736,$F915))</f>
        <v/>
      </c>
    </row>
    <row r="916" customFormat="false" ht="15" hidden="false" customHeight="false" outlineLevel="0" collapsed="false">
      <c r="A916" s="12" t="n">
        <v>913</v>
      </c>
      <c r="B916" s="8" t="s">
        <v>3225</v>
      </c>
      <c r="C916" s="8" t="s">
        <v>3226</v>
      </c>
      <c r="D916" s="11" t="n">
        <v>0.00751631944444444</v>
      </c>
      <c r="E916" s="39" t="n">
        <f aca="false">ROUND((D916-$D$5)*86400,2)</f>
        <v>110.39</v>
      </c>
      <c r="F916" s="12" t="n">
        <v>2084</v>
      </c>
      <c r="G916" s="11" t="str">
        <f aca="false">IF(INDEX(選手一覧!$D$5:$D$2736,$F916)="","",INDEX(選手一覧!$D$5:$D$2736,$F916))</f>
        <v/>
      </c>
      <c r="H916" s="12" t="str">
        <f aca="false">IF(INDEX(選手一覧!$E$5:$E$2736,$F916)="","",INDEX(選手一覧!$E$5:$E$2736,$F916))</f>
        <v/>
      </c>
      <c r="I916" s="11" t="str">
        <f aca="false">IF(INDEX(選手一覧!$H$5:$H$2736,$F916)="","",INDEX(選手一覧!$H$5:$H$2736,$F916))</f>
        <v/>
      </c>
      <c r="J916" s="12" t="str">
        <f aca="false">IF(INDEX(選手一覧!$I$5:$I$2736,$F916)="","",INDEX(選手一覧!$I$5:$I$2736,$F916))</f>
        <v/>
      </c>
    </row>
    <row r="917" customFormat="false" ht="15" hidden="false" customHeight="false" outlineLevel="0" collapsed="false">
      <c r="A917" s="12" t="n">
        <v>914</v>
      </c>
      <c r="B917" s="8" t="s">
        <v>3227</v>
      </c>
      <c r="C917" s="8" t="s">
        <v>839</v>
      </c>
      <c r="D917" s="11" t="n">
        <v>0.00751689814814815</v>
      </c>
      <c r="E917" s="39" t="n">
        <f aca="false">ROUND((D917-$D$5)*86400,2)</f>
        <v>110.44</v>
      </c>
      <c r="F917" s="12" t="n">
        <v>2085</v>
      </c>
      <c r="G917" s="11" t="str">
        <f aca="false">IF(INDEX(選手一覧!$D$5:$D$2736,$F917)="","",INDEX(選手一覧!$D$5:$D$2736,$F917))</f>
        <v/>
      </c>
      <c r="H917" s="12" t="str">
        <f aca="false">IF(INDEX(選手一覧!$E$5:$E$2736,$F917)="","",INDEX(選手一覧!$E$5:$E$2736,$F917))</f>
        <v/>
      </c>
      <c r="I917" s="11" t="str">
        <f aca="false">IF(INDEX(選手一覧!$H$5:$H$2736,$F917)="","",INDEX(選手一覧!$H$5:$H$2736,$F917))</f>
        <v/>
      </c>
      <c r="J917" s="12" t="str">
        <f aca="false">IF(INDEX(選手一覧!$I$5:$I$2736,$F917)="","",INDEX(選手一覧!$I$5:$I$2736,$F917))</f>
        <v/>
      </c>
    </row>
    <row r="918" customFormat="false" ht="15" hidden="false" customHeight="false" outlineLevel="0" collapsed="false">
      <c r="A918" s="12" t="n">
        <v>915</v>
      </c>
      <c r="B918" s="8" t="s">
        <v>3229</v>
      </c>
      <c r="C918" s="8" t="s">
        <v>3230</v>
      </c>
      <c r="D918" s="11" t="n">
        <v>0.00751724537037037</v>
      </c>
      <c r="E918" s="39" t="n">
        <f aca="false">ROUND((D918-$D$5)*86400,2)</f>
        <v>110.47</v>
      </c>
      <c r="F918" s="12" t="n">
        <v>2087</v>
      </c>
      <c r="G918" s="11" t="str">
        <f aca="false">IF(INDEX(選手一覧!$D$5:$D$2736,$F918)="","",INDEX(選手一覧!$D$5:$D$2736,$F918))</f>
        <v/>
      </c>
      <c r="H918" s="12" t="str">
        <f aca="false">IF(INDEX(選手一覧!$E$5:$E$2736,$F918)="","",INDEX(選手一覧!$E$5:$E$2736,$F918))</f>
        <v/>
      </c>
      <c r="I918" s="11" t="str">
        <f aca="false">IF(INDEX(選手一覧!$H$5:$H$2736,$F918)="","",INDEX(選手一覧!$H$5:$H$2736,$F918))</f>
        <v/>
      </c>
      <c r="J918" s="12" t="str">
        <f aca="false">IF(INDEX(選手一覧!$I$5:$I$2736,$F918)="","",INDEX(選手一覧!$I$5:$I$2736,$F918))</f>
        <v/>
      </c>
    </row>
    <row r="919" customFormat="false" ht="15" hidden="false" customHeight="false" outlineLevel="0" collapsed="false">
      <c r="A919" s="12" t="n">
        <v>916</v>
      </c>
      <c r="B919" s="8" t="s">
        <v>3232</v>
      </c>
      <c r="C919" s="8" t="s">
        <v>3233</v>
      </c>
      <c r="D919" s="11" t="n">
        <v>0.00751782407407407</v>
      </c>
      <c r="E919" s="39" t="n">
        <f aca="false">ROUND((D919-$D$5)*86400,2)</f>
        <v>110.52</v>
      </c>
      <c r="F919" s="12" t="n">
        <v>2089</v>
      </c>
      <c r="G919" s="11" t="str">
        <f aca="false">IF(INDEX(選手一覧!$D$5:$D$2736,$F919)="","",INDEX(選手一覧!$D$5:$D$2736,$F919))</f>
        <v/>
      </c>
      <c r="H919" s="12" t="str">
        <f aca="false">IF(INDEX(選手一覧!$E$5:$E$2736,$F919)="","",INDEX(選手一覧!$E$5:$E$2736,$F919))</f>
        <v/>
      </c>
      <c r="I919" s="11" t="str">
        <f aca="false">IF(INDEX(選手一覧!$H$5:$H$2736,$F919)="","",INDEX(選手一覧!$H$5:$H$2736,$F919))</f>
        <v/>
      </c>
      <c r="J919" s="12" t="str">
        <f aca="false">IF(INDEX(選手一覧!$I$5:$I$2736,$F919)="","",INDEX(選手一覧!$I$5:$I$2736,$F919))</f>
        <v/>
      </c>
    </row>
    <row r="920" customFormat="false" ht="15" hidden="false" customHeight="false" outlineLevel="0" collapsed="false">
      <c r="A920" s="12" t="n">
        <v>917</v>
      </c>
      <c r="B920" s="8" t="s">
        <v>3234</v>
      </c>
      <c r="C920" s="8" t="s">
        <v>3235</v>
      </c>
      <c r="D920" s="11" t="n">
        <v>0.00751793981481481</v>
      </c>
      <c r="E920" s="39" t="n">
        <f aca="false">ROUND((D920-$D$5)*86400,2)</f>
        <v>110.53</v>
      </c>
      <c r="F920" s="12" t="n">
        <v>2090</v>
      </c>
      <c r="G920" s="11" t="str">
        <f aca="false">IF(INDEX(選手一覧!$D$5:$D$2736,$F920)="","",INDEX(選手一覧!$D$5:$D$2736,$F920))</f>
        <v/>
      </c>
      <c r="H920" s="12" t="str">
        <f aca="false">IF(INDEX(選手一覧!$E$5:$E$2736,$F920)="","",INDEX(選手一覧!$E$5:$E$2736,$F920))</f>
        <v/>
      </c>
      <c r="I920" s="11" t="str">
        <f aca="false">IF(INDEX(選手一覧!$H$5:$H$2736,$F920)="","",INDEX(選手一覧!$H$5:$H$2736,$F920))</f>
        <v/>
      </c>
      <c r="J920" s="12" t="str">
        <f aca="false">IF(INDEX(選手一覧!$I$5:$I$2736,$F920)="","",INDEX(選手一覧!$I$5:$I$2736,$F920))</f>
        <v/>
      </c>
    </row>
    <row r="921" customFormat="false" ht="15" hidden="false" customHeight="false" outlineLevel="0" collapsed="false">
      <c r="A921" s="12" t="n">
        <v>918</v>
      </c>
      <c r="B921" s="8" t="s">
        <v>3237</v>
      </c>
      <c r="C921" s="8" t="s">
        <v>1347</v>
      </c>
      <c r="D921" s="11" t="n">
        <v>0.00751805555555556</v>
      </c>
      <c r="E921" s="39" t="n">
        <f aca="false">ROUND((D921-$D$5)*86400,2)</f>
        <v>110.54</v>
      </c>
      <c r="F921" s="12" t="n">
        <v>2092</v>
      </c>
      <c r="G921" s="11" t="str">
        <f aca="false">IF(INDEX(選手一覧!$D$5:$D$2736,$F921)="","",INDEX(選手一覧!$D$5:$D$2736,$F921))</f>
        <v/>
      </c>
      <c r="H921" s="12" t="str">
        <f aca="false">IF(INDEX(選手一覧!$E$5:$E$2736,$F921)="","",INDEX(選手一覧!$E$5:$E$2736,$F921))</f>
        <v/>
      </c>
      <c r="I921" s="11" t="str">
        <f aca="false">IF(INDEX(選手一覧!$H$5:$H$2736,$F921)="","",INDEX(選手一覧!$H$5:$H$2736,$F921))</f>
        <v/>
      </c>
      <c r="J921" s="12" t="str">
        <f aca="false">IF(INDEX(選手一覧!$I$5:$I$2736,$F921)="","",INDEX(選手一覧!$I$5:$I$2736,$F921))</f>
        <v/>
      </c>
    </row>
    <row r="922" customFormat="false" ht="15" hidden="false" customHeight="false" outlineLevel="0" collapsed="false">
      <c r="A922" s="12" t="n">
        <v>919</v>
      </c>
      <c r="B922" s="8" t="s">
        <v>2505</v>
      </c>
      <c r="C922" s="8" t="s">
        <v>2506</v>
      </c>
      <c r="D922" s="11" t="n">
        <v>0.00752025462962963</v>
      </c>
      <c r="E922" s="39" t="n">
        <f aca="false">ROUND((D922-$D$5)*86400,2)</f>
        <v>110.73</v>
      </c>
      <c r="F922" s="12" t="n">
        <v>1603</v>
      </c>
      <c r="G922" s="11" t="str">
        <f aca="false">IF(INDEX(選手一覧!$D$5:$D$2736,$F922)="","",INDEX(選手一覧!$D$5:$D$2736,$F922))</f>
        <v/>
      </c>
      <c r="H922" s="12" t="str">
        <f aca="false">IF(INDEX(選手一覧!$E$5:$E$2736,$F922)="","",INDEX(選手一覧!$E$5:$E$2736,$F922))</f>
        <v/>
      </c>
      <c r="I922" s="11" t="n">
        <f aca="false">IF(INDEX(選手一覧!$H$5:$H$2736,$F922)="","",INDEX(選手一覧!$H$5:$H$2736,$F922))</f>
        <v>0.00284224537037037</v>
      </c>
      <c r="J922" s="12" t="n">
        <f aca="false">IF(INDEX(選手一覧!$I$5:$I$2736,$F922)="","",INDEX(選手一覧!$I$5:$I$2736,$F922))</f>
        <v>512</v>
      </c>
    </row>
    <row r="923" customFormat="false" ht="15" hidden="false" customHeight="false" outlineLevel="0" collapsed="false">
      <c r="A923" s="12" t="n">
        <v>920</v>
      </c>
      <c r="B923" s="8" t="s">
        <v>3240</v>
      </c>
      <c r="C923" s="8" t="s">
        <v>3241</v>
      </c>
      <c r="D923" s="11" t="n">
        <v>0.00752094907407407</v>
      </c>
      <c r="E923" s="39" t="n">
        <f aca="false">ROUND((D923-$D$5)*86400,2)</f>
        <v>110.79</v>
      </c>
      <c r="F923" s="12" t="n">
        <v>2095</v>
      </c>
      <c r="G923" s="11" t="str">
        <f aca="false">IF(INDEX(選手一覧!$D$5:$D$2736,$F923)="","",INDEX(選手一覧!$D$5:$D$2736,$F923))</f>
        <v/>
      </c>
      <c r="H923" s="12" t="str">
        <f aca="false">IF(INDEX(選手一覧!$E$5:$E$2736,$F923)="","",INDEX(選手一覧!$E$5:$E$2736,$F923))</f>
        <v/>
      </c>
      <c r="I923" s="11" t="str">
        <f aca="false">IF(INDEX(選手一覧!$H$5:$H$2736,$F923)="","",INDEX(選手一覧!$H$5:$H$2736,$F923))</f>
        <v/>
      </c>
      <c r="J923" s="12" t="str">
        <f aca="false">IF(INDEX(選手一覧!$I$5:$I$2736,$F923)="","",INDEX(選手一覧!$I$5:$I$2736,$F923))</f>
        <v/>
      </c>
    </row>
    <row r="924" customFormat="false" ht="15" hidden="false" customHeight="false" outlineLevel="0" collapsed="false">
      <c r="A924" s="12" t="n">
        <v>921</v>
      </c>
      <c r="B924" s="8" t="s">
        <v>3242</v>
      </c>
      <c r="C924" s="8" t="s">
        <v>3243</v>
      </c>
      <c r="D924" s="11" t="n">
        <v>0.00752164351851852</v>
      </c>
      <c r="E924" s="39" t="n">
        <f aca="false">ROUND((D924-$D$5)*86400,2)</f>
        <v>110.85</v>
      </c>
      <c r="F924" s="12" t="n">
        <v>2096</v>
      </c>
      <c r="G924" s="11" t="str">
        <f aca="false">IF(INDEX(選手一覧!$D$5:$D$2736,$F924)="","",INDEX(選手一覧!$D$5:$D$2736,$F924))</f>
        <v/>
      </c>
      <c r="H924" s="12" t="str">
        <f aca="false">IF(INDEX(選手一覧!$E$5:$E$2736,$F924)="","",INDEX(選手一覧!$E$5:$E$2736,$F924))</f>
        <v/>
      </c>
      <c r="I924" s="11" t="str">
        <f aca="false">IF(INDEX(選手一覧!$H$5:$H$2736,$F924)="","",INDEX(選手一覧!$H$5:$H$2736,$F924))</f>
        <v/>
      </c>
      <c r="J924" s="12" t="str">
        <f aca="false">IF(INDEX(選手一覧!$I$5:$I$2736,$F924)="","",INDEX(選手一覧!$I$5:$I$2736,$F924))</f>
        <v/>
      </c>
    </row>
    <row r="925" customFormat="false" ht="15" hidden="false" customHeight="false" outlineLevel="0" collapsed="false">
      <c r="A925" s="12" t="n">
        <v>922</v>
      </c>
      <c r="B925" s="8" t="s">
        <v>3244</v>
      </c>
      <c r="C925" s="8" t="s">
        <v>3245</v>
      </c>
      <c r="D925" s="11" t="n">
        <v>0.007521875</v>
      </c>
      <c r="E925" s="39" t="n">
        <f aca="false">ROUND((D925-$D$5)*86400,2)</f>
        <v>110.87</v>
      </c>
      <c r="F925" s="12" t="n">
        <v>2097</v>
      </c>
      <c r="G925" s="11" t="str">
        <f aca="false">IF(INDEX(選手一覧!$D$5:$D$2736,$F925)="","",INDEX(選手一覧!$D$5:$D$2736,$F925))</f>
        <v/>
      </c>
      <c r="H925" s="12" t="str">
        <f aca="false">IF(INDEX(選手一覧!$E$5:$E$2736,$F925)="","",INDEX(選手一覧!$E$5:$E$2736,$F925))</f>
        <v/>
      </c>
      <c r="I925" s="11" t="str">
        <f aca="false">IF(INDEX(選手一覧!$H$5:$H$2736,$F925)="","",INDEX(選手一覧!$H$5:$H$2736,$F925))</f>
        <v/>
      </c>
      <c r="J925" s="12" t="str">
        <f aca="false">IF(INDEX(選手一覧!$I$5:$I$2736,$F925)="","",INDEX(選手一覧!$I$5:$I$2736,$F925))</f>
        <v/>
      </c>
    </row>
    <row r="926" customFormat="false" ht="15" hidden="false" customHeight="false" outlineLevel="0" collapsed="false">
      <c r="A926" s="12" t="n">
        <v>923</v>
      </c>
      <c r="B926" s="8" t="s">
        <v>1491</v>
      </c>
      <c r="C926" s="8" t="s">
        <v>496</v>
      </c>
      <c r="D926" s="11" t="n">
        <v>0.007521875</v>
      </c>
      <c r="E926" s="39" t="n">
        <f aca="false">ROUND((D926-$D$5)*86400,2)</f>
        <v>110.87</v>
      </c>
      <c r="F926" s="12" t="n">
        <v>911</v>
      </c>
      <c r="G926" s="11" t="n">
        <f aca="false">IF(INDEX(選手一覧!$D$5:$D$2736,$F926)="","",INDEX(選手一覧!$D$5:$D$2736,$F926))</f>
        <v>0.0108951388888889</v>
      </c>
      <c r="H926" s="12" t="n">
        <f aca="false">IF(INDEX(選手一覧!$E$5:$E$2736,$F926)="","",INDEX(選手一覧!$E$5:$E$2736,$F926))</f>
        <v>912</v>
      </c>
      <c r="I926" s="11" t="str">
        <f aca="false">IF(INDEX(選手一覧!$H$5:$H$2736,$F926)="","",INDEX(選手一覧!$H$5:$H$2736,$F926))</f>
        <v/>
      </c>
      <c r="J926" s="12" t="str">
        <f aca="false">IF(INDEX(選手一覧!$I$5:$I$2736,$F926)="","",INDEX(選手一覧!$I$5:$I$2736,$F926))</f>
        <v/>
      </c>
    </row>
    <row r="927" customFormat="false" ht="15" hidden="false" customHeight="false" outlineLevel="0" collapsed="false">
      <c r="A927" s="12" t="n">
        <v>924</v>
      </c>
      <c r="B927" s="8" t="s">
        <v>3248</v>
      </c>
      <c r="C927" s="8" t="s">
        <v>3249</v>
      </c>
      <c r="D927" s="11" t="n">
        <v>0.00752222222222222</v>
      </c>
      <c r="E927" s="39" t="n">
        <f aca="false">ROUND((D927-$D$5)*86400,2)</f>
        <v>110.9</v>
      </c>
      <c r="F927" s="12" t="n">
        <v>2099</v>
      </c>
      <c r="G927" s="11" t="str">
        <f aca="false">IF(INDEX(選手一覧!$D$5:$D$2736,$F927)="","",INDEX(選手一覧!$D$5:$D$2736,$F927))</f>
        <v/>
      </c>
      <c r="H927" s="12" t="str">
        <f aca="false">IF(INDEX(選手一覧!$E$5:$E$2736,$F927)="","",INDEX(選手一覧!$E$5:$E$2736,$F927))</f>
        <v/>
      </c>
      <c r="I927" s="11" t="str">
        <f aca="false">IF(INDEX(選手一覧!$H$5:$H$2736,$F927)="","",INDEX(選手一覧!$H$5:$H$2736,$F927))</f>
        <v/>
      </c>
      <c r="J927" s="12" t="str">
        <f aca="false">IF(INDEX(選手一覧!$I$5:$I$2736,$F927)="","",INDEX(選手一覧!$I$5:$I$2736,$F927))</f>
        <v/>
      </c>
    </row>
    <row r="928" customFormat="false" ht="15" hidden="false" customHeight="false" outlineLevel="0" collapsed="false">
      <c r="A928" s="12" t="n">
        <v>925</v>
      </c>
      <c r="B928" s="8" t="s">
        <v>1912</v>
      </c>
      <c r="C928" s="8" t="s">
        <v>118</v>
      </c>
      <c r="D928" s="11" t="n">
        <v>0.00752384259259259</v>
      </c>
      <c r="E928" s="39" t="n">
        <f aca="false">ROUND((D928-$D$5)*86400,2)</f>
        <v>111.04</v>
      </c>
      <c r="F928" s="12" t="n">
        <v>1198</v>
      </c>
      <c r="G928" s="11" t="n">
        <f aca="false">IF(INDEX(選手一覧!$D$5:$D$2736,$F928)="","",INDEX(選手一覧!$D$5:$D$2736,$F928))</f>
        <v>0.0110515046296296</v>
      </c>
      <c r="H928" s="12" t="n">
        <f aca="false">IF(INDEX(選手一覧!$E$5:$E$2736,$F928)="","",INDEX(選手一覧!$E$5:$E$2736,$F928))</f>
        <v>1199</v>
      </c>
      <c r="I928" s="11" t="str">
        <f aca="false">IF(INDEX(選手一覧!$H$5:$H$2736,$F928)="","",INDEX(選手一覧!$H$5:$H$2736,$F928))</f>
        <v/>
      </c>
      <c r="J928" s="12" t="str">
        <f aca="false">IF(INDEX(選手一覧!$I$5:$I$2736,$F928)="","",INDEX(選手一覧!$I$5:$I$2736,$F928))</f>
        <v/>
      </c>
    </row>
    <row r="929" customFormat="false" ht="15" hidden="false" customHeight="false" outlineLevel="0" collapsed="false">
      <c r="A929" s="12" t="n">
        <v>926</v>
      </c>
      <c r="B929" s="8" t="s">
        <v>3252</v>
      </c>
      <c r="C929" s="8" t="s">
        <v>1411</v>
      </c>
      <c r="D929" s="11" t="n">
        <v>0.00752534722222222</v>
      </c>
      <c r="E929" s="39" t="n">
        <f aca="false">ROUND((D929-$D$5)*86400,2)</f>
        <v>111.17</v>
      </c>
      <c r="F929" s="12" t="n">
        <v>2102</v>
      </c>
      <c r="G929" s="11" t="str">
        <f aca="false">IF(INDEX(選手一覧!$D$5:$D$2736,$F929)="","",INDEX(選手一覧!$D$5:$D$2736,$F929))</f>
        <v/>
      </c>
      <c r="H929" s="12" t="str">
        <f aca="false">IF(INDEX(選手一覧!$E$5:$E$2736,$F929)="","",INDEX(選手一覧!$E$5:$E$2736,$F929))</f>
        <v/>
      </c>
      <c r="I929" s="11" t="str">
        <f aca="false">IF(INDEX(選手一覧!$H$5:$H$2736,$F929)="","",INDEX(選手一覧!$H$5:$H$2736,$F929))</f>
        <v/>
      </c>
      <c r="J929" s="12" t="str">
        <f aca="false">IF(INDEX(選手一覧!$I$5:$I$2736,$F929)="","",INDEX(選手一覧!$I$5:$I$2736,$F929))</f>
        <v/>
      </c>
    </row>
    <row r="930" customFormat="false" ht="15" hidden="false" customHeight="false" outlineLevel="0" collapsed="false">
      <c r="A930" s="12" t="n">
        <v>927</v>
      </c>
      <c r="B930" s="8" t="s">
        <v>3253</v>
      </c>
      <c r="C930" s="8" t="s">
        <v>3254</v>
      </c>
      <c r="D930" s="11" t="n">
        <v>0.0075275462962963</v>
      </c>
      <c r="E930" s="39" t="n">
        <f aca="false">ROUND((D930-$D$5)*86400,2)</f>
        <v>111.36</v>
      </c>
      <c r="F930" s="12" t="n">
        <v>2103</v>
      </c>
      <c r="G930" s="11" t="str">
        <f aca="false">IF(INDEX(選手一覧!$D$5:$D$2736,$F930)="","",INDEX(選手一覧!$D$5:$D$2736,$F930))</f>
        <v/>
      </c>
      <c r="H930" s="12" t="str">
        <f aca="false">IF(INDEX(選手一覧!$E$5:$E$2736,$F930)="","",INDEX(選手一覧!$E$5:$E$2736,$F930))</f>
        <v/>
      </c>
      <c r="I930" s="11" t="str">
        <f aca="false">IF(INDEX(選手一覧!$H$5:$H$2736,$F930)="","",INDEX(選手一覧!$H$5:$H$2736,$F930))</f>
        <v/>
      </c>
      <c r="J930" s="12" t="str">
        <f aca="false">IF(INDEX(選手一覧!$I$5:$I$2736,$F930)="","",INDEX(選手一覧!$I$5:$I$2736,$F930))</f>
        <v/>
      </c>
    </row>
    <row r="931" customFormat="false" ht="15" hidden="false" customHeight="false" outlineLevel="0" collapsed="false">
      <c r="A931" s="12" t="n">
        <v>928</v>
      </c>
      <c r="B931" s="8" t="s">
        <v>1049</v>
      </c>
      <c r="C931" s="8" t="s">
        <v>641</v>
      </c>
      <c r="D931" s="11" t="n">
        <v>0.00752777777777778</v>
      </c>
      <c r="E931" s="39" t="n">
        <f aca="false">ROUND((D931-$D$5)*86400,2)</f>
        <v>111.38</v>
      </c>
      <c r="F931" s="12" t="n">
        <v>617</v>
      </c>
      <c r="G931" s="11" t="n">
        <f aca="false">IF(INDEX(選手一覧!$D$5:$D$2736,$F931)="","",INDEX(選手一覧!$D$5:$D$2736,$F931))</f>
        <v>0.0107231481481482</v>
      </c>
      <c r="H931" s="12" t="n">
        <f aca="false">IF(INDEX(選手一覧!$E$5:$E$2736,$F931)="","",INDEX(選手一覧!$E$5:$E$2736,$F931))</f>
        <v>618</v>
      </c>
      <c r="I931" s="11" t="n">
        <f aca="false">IF(INDEX(選手一覧!$H$5:$H$2736,$F931)="","",INDEX(選手一覧!$H$5:$H$2736,$F931))</f>
        <v>0.0029162037037037</v>
      </c>
      <c r="J931" s="12" t="n">
        <f aca="false">IF(INDEX(選手一覧!$I$5:$I$2736,$F931)="","",INDEX(選手一覧!$I$5:$I$2736,$F931))</f>
        <v>1060</v>
      </c>
    </row>
    <row r="932" customFormat="false" ht="15" hidden="false" customHeight="false" outlineLevel="0" collapsed="false">
      <c r="A932" s="12" t="n">
        <v>929</v>
      </c>
      <c r="B932" s="8" t="s">
        <v>3255</v>
      </c>
      <c r="C932" s="8" t="s">
        <v>2533</v>
      </c>
      <c r="D932" s="11" t="n">
        <v>0.00752858796296296</v>
      </c>
      <c r="E932" s="39" t="n">
        <f aca="false">ROUND((D932-$D$5)*86400,2)</f>
        <v>111.45</v>
      </c>
      <c r="F932" s="12" t="n">
        <v>2104</v>
      </c>
      <c r="G932" s="11" t="str">
        <f aca="false">IF(INDEX(選手一覧!$D$5:$D$2736,$F932)="","",INDEX(選手一覧!$D$5:$D$2736,$F932))</f>
        <v/>
      </c>
      <c r="H932" s="12" t="str">
        <f aca="false">IF(INDEX(選手一覧!$E$5:$E$2736,$F932)="","",INDEX(選手一覧!$E$5:$E$2736,$F932))</f>
        <v/>
      </c>
      <c r="I932" s="11" t="str">
        <f aca="false">IF(INDEX(選手一覧!$H$5:$H$2736,$F932)="","",INDEX(選手一覧!$H$5:$H$2736,$F932))</f>
        <v/>
      </c>
      <c r="J932" s="12" t="str">
        <f aca="false">IF(INDEX(選手一覧!$I$5:$I$2736,$F932)="","",INDEX(選手一覧!$I$5:$I$2736,$F932))</f>
        <v/>
      </c>
    </row>
    <row r="933" customFormat="false" ht="15" hidden="false" customHeight="false" outlineLevel="0" collapsed="false">
      <c r="A933" s="12" t="n">
        <v>930</v>
      </c>
      <c r="B933" s="8" t="s">
        <v>3256</v>
      </c>
      <c r="C933" s="8" t="s">
        <v>3233</v>
      </c>
      <c r="D933" s="11" t="n">
        <v>0.00752974537037037</v>
      </c>
      <c r="E933" s="39" t="n">
        <f aca="false">ROUND((D933-$D$5)*86400,2)</f>
        <v>111.55</v>
      </c>
      <c r="F933" s="12" t="n">
        <v>2105</v>
      </c>
      <c r="G933" s="11" t="str">
        <f aca="false">IF(INDEX(選手一覧!$D$5:$D$2736,$F933)="","",INDEX(選手一覧!$D$5:$D$2736,$F933))</f>
        <v/>
      </c>
      <c r="H933" s="12" t="str">
        <f aca="false">IF(INDEX(選手一覧!$E$5:$E$2736,$F933)="","",INDEX(選手一覧!$E$5:$E$2736,$F933))</f>
        <v/>
      </c>
      <c r="I933" s="11" t="str">
        <f aca="false">IF(INDEX(選手一覧!$H$5:$H$2736,$F933)="","",INDEX(選手一覧!$H$5:$H$2736,$F933))</f>
        <v/>
      </c>
      <c r="J933" s="12" t="str">
        <f aca="false">IF(INDEX(選手一覧!$I$5:$I$2736,$F933)="","",INDEX(選手一覧!$I$5:$I$2736,$F933))</f>
        <v/>
      </c>
    </row>
    <row r="934" customFormat="false" ht="15" hidden="false" customHeight="false" outlineLevel="0" collapsed="false">
      <c r="A934" s="12" t="n">
        <v>931</v>
      </c>
      <c r="B934" s="8" t="s">
        <v>3259</v>
      </c>
      <c r="C934" s="8" t="s">
        <v>306</v>
      </c>
      <c r="D934" s="11" t="n">
        <v>0.0075306712962963</v>
      </c>
      <c r="E934" s="39" t="n">
        <f aca="false">ROUND((D934-$D$5)*86400,2)</f>
        <v>111.63</v>
      </c>
      <c r="F934" s="12" t="n">
        <v>2107</v>
      </c>
      <c r="G934" s="11" t="str">
        <f aca="false">IF(INDEX(選手一覧!$D$5:$D$2736,$F934)="","",INDEX(選手一覧!$D$5:$D$2736,$F934))</f>
        <v/>
      </c>
      <c r="H934" s="12" t="str">
        <f aca="false">IF(INDEX(選手一覧!$E$5:$E$2736,$F934)="","",INDEX(選手一覧!$E$5:$E$2736,$F934))</f>
        <v/>
      </c>
      <c r="I934" s="11" t="str">
        <f aca="false">IF(INDEX(選手一覧!$H$5:$H$2736,$F934)="","",INDEX(選手一覧!$H$5:$H$2736,$F934))</f>
        <v/>
      </c>
      <c r="J934" s="12" t="str">
        <f aca="false">IF(INDEX(選手一覧!$I$5:$I$2736,$F934)="","",INDEX(選手一覧!$I$5:$I$2736,$F934))</f>
        <v/>
      </c>
    </row>
    <row r="935" customFormat="false" ht="15" hidden="false" customHeight="false" outlineLevel="0" collapsed="false">
      <c r="A935" s="12" t="n">
        <v>932</v>
      </c>
      <c r="B935" s="8" t="s">
        <v>3260</v>
      </c>
      <c r="C935" s="8" t="s">
        <v>3261</v>
      </c>
      <c r="D935" s="11" t="n">
        <v>0.00753159722222222</v>
      </c>
      <c r="E935" s="39" t="n">
        <f aca="false">ROUND((D935-$D$5)*86400,2)</f>
        <v>111.71</v>
      </c>
      <c r="F935" s="12" t="n">
        <v>2108</v>
      </c>
      <c r="G935" s="11" t="str">
        <f aca="false">IF(INDEX(選手一覧!$D$5:$D$2736,$F935)="","",INDEX(選手一覧!$D$5:$D$2736,$F935))</f>
        <v/>
      </c>
      <c r="H935" s="12" t="str">
        <f aca="false">IF(INDEX(選手一覧!$E$5:$E$2736,$F935)="","",INDEX(選手一覧!$E$5:$E$2736,$F935))</f>
        <v/>
      </c>
      <c r="I935" s="11" t="str">
        <f aca="false">IF(INDEX(選手一覧!$H$5:$H$2736,$F935)="","",INDEX(選手一覧!$H$5:$H$2736,$F935))</f>
        <v/>
      </c>
      <c r="J935" s="12" t="str">
        <f aca="false">IF(INDEX(選手一覧!$I$5:$I$2736,$F935)="","",INDEX(選手一覧!$I$5:$I$2736,$F935))</f>
        <v/>
      </c>
    </row>
    <row r="936" customFormat="false" ht="15" hidden="false" customHeight="false" outlineLevel="0" collapsed="false">
      <c r="A936" s="12" t="n">
        <v>933</v>
      </c>
      <c r="B936" s="8" t="s">
        <v>3262</v>
      </c>
      <c r="C936" s="8" t="s">
        <v>3263</v>
      </c>
      <c r="D936" s="11" t="n">
        <v>0.00753298611111111</v>
      </c>
      <c r="E936" s="39" t="n">
        <f aca="false">ROUND((D936-$D$5)*86400,2)</f>
        <v>111.83</v>
      </c>
      <c r="F936" s="12" t="n">
        <v>2109</v>
      </c>
      <c r="G936" s="11" t="str">
        <f aca="false">IF(INDEX(選手一覧!$D$5:$D$2736,$F936)="","",INDEX(選手一覧!$D$5:$D$2736,$F936))</f>
        <v/>
      </c>
      <c r="H936" s="12" t="str">
        <f aca="false">IF(INDEX(選手一覧!$E$5:$E$2736,$F936)="","",INDEX(選手一覧!$E$5:$E$2736,$F936))</f>
        <v/>
      </c>
      <c r="I936" s="11" t="str">
        <f aca="false">IF(INDEX(選手一覧!$H$5:$H$2736,$F936)="","",INDEX(選手一覧!$H$5:$H$2736,$F936))</f>
        <v/>
      </c>
      <c r="J936" s="12" t="str">
        <f aca="false">IF(INDEX(選手一覧!$I$5:$I$2736,$F936)="","",INDEX(選手一覧!$I$5:$I$2736,$F936))</f>
        <v/>
      </c>
    </row>
    <row r="937" customFormat="false" ht="15" hidden="false" customHeight="false" outlineLevel="0" collapsed="false">
      <c r="A937" s="12" t="n">
        <v>934</v>
      </c>
      <c r="B937" s="8" t="s">
        <v>3266</v>
      </c>
      <c r="C937" s="8" t="s">
        <v>3267</v>
      </c>
      <c r="D937" s="11" t="n">
        <v>0.00753333333333333</v>
      </c>
      <c r="E937" s="39" t="n">
        <f aca="false">ROUND((D937-$D$5)*86400,2)</f>
        <v>111.86</v>
      </c>
      <c r="F937" s="12" t="n">
        <v>2111</v>
      </c>
      <c r="G937" s="11" t="str">
        <f aca="false">IF(INDEX(選手一覧!$D$5:$D$2736,$F937)="","",INDEX(選手一覧!$D$5:$D$2736,$F937))</f>
        <v/>
      </c>
      <c r="H937" s="12" t="str">
        <f aca="false">IF(INDEX(選手一覧!$E$5:$E$2736,$F937)="","",INDEX(選手一覧!$E$5:$E$2736,$F937))</f>
        <v/>
      </c>
      <c r="I937" s="11" t="str">
        <f aca="false">IF(INDEX(選手一覧!$H$5:$H$2736,$F937)="","",INDEX(選手一覧!$H$5:$H$2736,$F937))</f>
        <v/>
      </c>
      <c r="J937" s="12" t="str">
        <f aca="false">IF(INDEX(選手一覧!$I$5:$I$2736,$F937)="","",INDEX(選手一覧!$I$5:$I$2736,$F937))</f>
        <v/>
      </c>
    </row>
    <row r="938" customFormat="false" ht="15" hidden="false" customHeight="false" outlineLevel="0" collapsed="false">
      <c r="A938" s="12" t="n">
        <v>935</v>
      </c>
      <c r="B938" s="8" t="s">
        <v>3268</v>
      </c>
      <c r="C938" s="8" t="s">
        <v>3269</v>
      </c>
      <c r="D938" s="11" t="n">
        <v>0.00753356481481482</v>
      </c>
      <c r="E938" s="39" t="n">
        <f aca="false">ROUND((D938-$D$5)*86400,2)</f>
        <v>111.88</v>
      </c>
      <c r="F938" s="12" t="n">
        <v>2112</v>
      </c>
      <c r="G938" s="11" t="str">
        <f aca="false">IF(INDEX(選手一覧!$D$5:$D$2736,$F938)="","",INDEX(選手一覧!$D$5:$D$2736,$F938))</f>
        <v/>
      </c>
      <c r="H938" s="12" t="str">
        <f aca="false">IF(INDEX(選手一覧!$E$5:$E$2736,$F938)="","",INDEX(選手一覧!$E$5:$E$2736,$F938))</f>
        <v/>
      </c>
      <c r="I938" s="11" t="str">
        <f aca="false">IF(INDEX(選手一覧!$H$5:$H$2736,$F938)="","",INDEX(選手一覧!$H$5:$H$2736,$F938))</f>
        <v/>
      </c>
      <c r="J938" s="12" t="str">
        <f aca="false">IF(INDEX(選手一覧!$I$5:$I$2736,$F938)="","",INDEX(選手一覧!$I$5:$I$2736,$F938))</f>
        <v/>
      </c>
    </row>
    <row r="939" customFormat="false" ht="15" hidden="false" customHeight="false" outlineLevel="0" collapsed="false">
      <c r="A939" s="12" t="n">
        <v>936</v>
      </c>
      <c r="B939" s="8" t="s">
        <v>3270</v>
      </c>
      <c r="C939" s="8" t="s">
        <v>2279</v>
      </c>
      <c r="D939" s="11" t="n">
        <v>0.00753518518518519</v>
      </c>
      <c r="E939" s="39" t="n">
        <f aca="false">ROUND((D939-$D$5)*86400,2)</f>
        <v>112.02</v>
      </c>
      <c r="F939" s="12" t="n">
        <v>2113</v>
      </c>
      <c r="G939" s="11" t="str">
        <f aca="false">IF(INDEX(選手一覧!$D$5:$D$2736,$F939)="","",INDEX(選手一覧!$D$5:$D$2736,$F939))</f>
        <v/>
      </c>
      <c r="H939" s="12" t="str">
        <f aca="false">IF(INDEX(選手一覧!$E$5:$E$2736,$F939)="","",INDEX(選手一覧!$E$5:$E$2736,$F939))</f>
        <v/>
      </c>
      <c r="I939" s="11" t="str">
        <f aca="false">IF(INDEX(選手一覧!$H$5:$H$2736,$F939)="","",INDEX(選手一覧!$H$5:$H$2736,$F939))</f>
        <v/>
      </c>
      <c r="J939" s="12" t="str">
        <f aca="false">IF(INDEX(選手一覧!$I$5:$I$2736,$F939)="","",INDEX(選手一覧!$I$5:$I$2736,$F939))</f>
        <v/>
      </c>
    </row>
    <row r="940" customFormat="false" ht="15" hidden="false" customHeight="false" outlineLevel="0" collapsed="false">
      <c r="A940" s="12" t="n">
        <v>937</v>
      </c>
      <c r="B940" s="8" t="s">
        <v>3273</v>
      </c>
      <c r="C940" s="8" t="s">
        <v>1588</v>
      </c>
      <c r="D940" s="11" t="n">
        <v>0.00753541666666667</v>
      </c>
      <c r="E940" s="39" t="n">
        <f aca="false">ROUND((D940-$D$5)*86400,2)</f>
        <v>112.04</v>
      </c>
      <c r="F940" s="12" t="n">
        <v>2115</v>
      </c>
      <c r="G940" s="11" t="str">
        <f aca="false">IF(INDEX(選手一覧!$D$5:$D$2736,$F940)="","",INDEX(選手一覧!$D$5:$D$2736,$F940))</f>
        <v/>
      </c>
      <c r="H940" s="12" t="str">
        <f aca="false">IF(INDEX(選手一覧!$E$5:$E$2736,$F940)="","",INDEX(選手一覧!$E$5:$E$2736,$F940))</f>
        <v/>
      </c>
      <c r="I940" s="11" t="str">
        <f aca="false">IF(INDEX(選手一覧!$H$5:$H$2736,$F940)="","",INDEX(選手一覧!$H$5:$H$2736,$F940))</f>
        <v/>
      </c>
      <c r="J940" s="12" t="str">
        <f aca="false">IF(INDEX(選手一覧!$I$5:$I$2736,$F940)="","",INDEX(選手一覧!$I$5:$I$2736,$F940))</f>
        <v/>
      </c>
    </row>
    <row r="941" customFormat="false" ht="15" hidden="false" customHeight="false" outlineLevel="0" collapsed="false">
      <c r="A941" s="12" t="n">
        <v>938</v>
      </c>
      <c r="B941" s="8" t="s">
        <v>3275</v>
      </c>
      <c r="C941" s="8" t="s">
        <v>2808</v>
      </c>
      <c r="D941" s="11" t="n">
        <v>0.00753564814814815</v>
      </c>
      <c r="E941" s="39" t="n">
        <f aca="false">ROUND((D941-$D$5)*86400,2)</f>
        <v>112.06</v>
      </c>
      <c r="F941" s="12" t="n">
        <v>2117</v>
      </c>
      <c r="G941" s="11" t="str">
        <f aca="false">IF(INDEX(選手一覧!$D$5:$D$2736,$F941)="","",INDEX(選手一覧!$D$5:$D$2736,$F941))</f>
        <v/>
      </c>
      <c r="H941" s="12" t="str">
        <f aca="false">IF(INDEX(選手一覧!$E$5:$E$2736,$F941)="","",INDEX(選手一覧!$E$5:$E$2736,$F941))</f>
        <v/>
      </c>
      <c r="I941" s="11" t="str">
        <f aca="false">IF(INDEX(選手一覧!$H$5:$H$2736,$F941)="","",INDEX(選手一覧!$H$5:$H$2736,$F941))</f>
        <v/>
      </c>
      <c r="J941" s="12" t="str">
        <f aca="false">IF(INDEX(選手一覧!$I$5:$I$2736,$F941)="","",INDEX(選手一覧!$I$5:$I$2736,$F941))</f>
        <v/>
      </c>
    </row>
    <row r="942" customFormat="false" ht="15" hidden="false" customHeight="false" outlineLevel="0" collapsed="false">
      <c r="A942" s="12" t="n">
        <v>939</v>
      </c>
      <c r="B942" s="8" t="s">
        <v>3276</v>
      </c>
      <c r="C942" s="8" t="s">
        <v>3277</v>
      </c>
      <c r="D942" s="11" t="n">
        <v>0.00753599537037037</v>
      </c>
      <c r="E942" s="39" t="n">
        <f aca="false">ROUND((D942-$D$5)*86400,2)</f>
        <v>112.09</v>
      </c>
      <c r="F942" s="12" t="n">
        <v>2118</v>
      </c>
      <c r="G942" s="11" t="str">
        <f aca="false">IF(INDEX(選手一覧!$D$5:$D$2736,$F942)="","",INDEX(選手一覧!$D$5:$D$2736,$F942))</f>
        <v/>
      </c>
      <c r="H942" s="12" t="str">
        <f aca="false">IF(INDEX(選手一覧!$E$5:$E$2736,$F942)="","",INDEX(選手一覧!$E$5:$E$2736,$F942))</f>
        <v/>
      </c>
      <c r="I942" s="11" t="str">
        <f aca="false">IF(INDEX(選手一覧!$H$5:$H$2736,$F942)="","",INDEX(選手一覧!$H$5:$H$2736,$F942))</f>
        <v/>
      </c>
      <c r="J942" s="12" t="str">
        <f aca="false">IF(INDEX(選手一覧!$I$5:$I$2736,$F942)="","",INDEX(選手一覧!$I$5:$I$2736,$F942))</f>
        <v/>
      </c>
    </row>
    <row r="943" customFormat="false" ht="15" hidden="false" customHeight="false" outlineLevel="0" collapsed="false">
      <c r="A943" s="12" t="n">
        <v>940</v>
      </c>
      <c r="B943" s="8" t="s">
        <v>1693</v>
      </c>
      <c r="C943" s="8" t="s">
        <v>313</v>
      </c>
      <c r="D943" s="11" t="n">
        <v>0.00753622685185185</v>
      </c>
      <c r="E943" s="39" t="n">
        <f aca="false">ROUND((D943-$D$5)*86400,2)</f>
        <v>112.11</v>
      </c>
      <c r="F943" s="12" t="n">
        <v>1049</v>
      </c>
      <c r="G943" s="11" t="n">
        <f aca="false">IF(INDEX(選手一覧!$D$5:$D$2736,$F943)="","",INDEX(選手一覧!$D$5:$D$2736,$F943))</f>
        <v>0.0109751157407407</v>
      </c>
      <c r="H943" s="12" t="n">
        <f aca="false">IF(INDEX(選手一覧!$E$5:$E$2736,$F943)="","",INDEX(選手一覧!$E$5:$E$2736,$F943))</f>
        <v>1050</v>
      </c>
      <c r="I943" s="11" t="str">
        <f aca="false">IF(INDEX(選手一覧!$H$5:$H$2736,$F943)="","",INDEX(選手一覧!$H$5:$H$2736,$F943))</f>
        <v/>
      </c>
      <c r="J943" s="12" t="str">
        <f aca="false">IF(INDEX(選手一覧!$I$5:$I$2736,$F943)="","",INDEX(選手一覧!$I$5:$I$2736,$F943))</f>
        <v/>
      </c>
    </row>
    <row r="944" customFormat="false" ht="15" hidden="false" customHeight="false" outlineLevel="0" collapsed="false">
      <c r="A944" s="12" t="n">
        <v>941</v>
      </c>
      <c r="B944" s="8" t="s">
        <v>3279</v>
      </c>
      <c r="C944" s="8" t="s">
        <v>3280</v>
      </c>
      <c r="D944" s="11" t="n">
        <v>0.00753657407407407</v>
      </c>
      <c r="E944" s="39" t="n">
        <f aca="false">ROUND((D944-$D$5)*86400,2)</f>
        <v>112.14</v>
      </c>
      <c r="F944" s="12" t="n">
        <v>2120</v>
      </c>
      <c r="G944" s="11" t="str">
        <f aca="false">IF(INDEX(選手一覧!$D$5:$D$2736,$F944)="","",INDEX(選手一覧!$D$5:$D$2736,$F944))</f>
        <v/>
      </c>
      <c r="H944" s="12" t="str">
        <f aca="false">IF(INDEX(選手一覧!$E$5:$E$2736,$F944)="","",INDEX(選手一覧!$E$5:$E$2736,$F944))</f>
        <v/>
      </c>
      <c r="I944" s="11" t="str">
        <f aca="false">IF(INDEX(選手一覧!$H$5:$H$2736,$F944)="","",INDEX(選手一覧!$H$5:$H$2736,$F944))</f>
        <v/>
      </c>
      <c r="J944" s="12" t="str">
        <f aca="false">IF(INDEX(選手一覧!$I$5:$I$2736,$F944)="","",INDEX(選手一覧!$I$5:$I$2736,$F944))</f>
        <v/>
      </c>
    </row>
    <row r="945" customFormat="false" ht="15" hidden="false" customHeight="false" outlineLevel="0" collapsed="false">
      <c r="A945" s="12" t="n">
        <v>942</v>
      </c>
      <c r="B945" s="8" t="s">
        <v>3281</v>
      </c>
      <c r="C945" s="8" t="s">
        <v>4684</v>
      </c>
      <c r="D945" s="11" t="n">
        <v>0.00753773148148148</v>
      </c>
      <c r="E945" s="39" t="n">
        <f aca="false">ROUND((D945-$D$5)*86400,2)</f>
        <v>112.24</v>
      </c>
      <c r="F945" s="12" t="n">
        <v>2121</v>
      </c>
      <c r="G945" s="11" t="str">
        <f aca="false">IF(INDEX(選手一覧!$D$5:$D$2736,$F945)="","",INDEX(選手一覧!$D$5:$D$2736,$F945))</f>
        <v/>
      </c>
      <c r="H945" s="12" t="str">
        <f aca="false">IF(INDEX(選手一覧!$E$5:$E$2736,$F945)="","",INDEX(選手一覧!$E$5:$E$2736,$F945))</f>
        <v/>
      </c>
      <c r="I945" s="11" t="n">
        <f aca="false">IF(INDEX(選手一覧!$H$5:$H$2736,$F945)="","",INDEX(選手一覧!$H$5:$H$2736,$F945))</f>
        <v>0.00295590277777778</v>
      </c>
      <c r="J945" s="12" t="n">
        <f aca="false">IF(INDEX(選手一覧!$I$5:$I$2736,$F945)="","",INDEX(選手一覧!$I$5:$I$2736,$F945))</f>
        <v>1257</v>
      </c>
    </row>
    <row r="946" customFormat="false" ht="15" hidden="false" customHeight="false" outlineLevel="0" collapsed="false">
      <c r="A946" s="12" t="n">
        <v>943</v>
      </c>
      <c r="B946" s="8" t="s">
        <v>3284</v>
      </c>
      <c r="C946" s="8" t="s">
        <v>1767</v>
      </c>
      <c r="D946" s="11" t="n">
        <v>0.00753854166666667</v>
      </c>
      <c r="E946" s="39" t="n">
        <f aca="false">ROUND((D946-$D$5)*86400,2)</f>
        <v>112.31</v>
      </c>
      <c r="F946" s="12" t="n">
        <v>2122</v>
      </c>
      <c r="G946" s="11" t="str">
        <f aca="false">IF(INDEX(選手一覧!$D$5:$D$2736,$F946)="","",INDEX(選手一覧!$D$5:$D$2736,$F946))</f>
        <v/>
      </c>
      <c r="H946" s="12" t="str">
        <f aca="false">IF(INDEX(選手一覧!$E$5:$E$2736,$F946)="","",INDEX(選手一覧!$E$5:$E$2736,$F946))</f>
        <v/>
      </c>
      <c r="I946" s="11" t="str">
        <f aca="false">IF(INDEX(選手一覧!$H$5:$H$2736,$F946)="","",INDEX(選手一覧!$H$5:$H$2736,$F946))</f>
        <v/>
      </c>
      <c r="J946" s="12" t="str">
        <f aca="false">IF(INDEX(選手一覧!$I$5:$I$2736,$F946)="","",INDEX(選手一覧!$I$5:$I$2736,$F946))</f>
        <v/>
      </c>
    </row>
    <row r="947" customFormat="false" ht="15" hidden="false" customHeight="false" outlineLevel="0" collapsed="false">
      <c r="A947" s="12" t="n">
        <v>944</v>
      </c>
      <c r="B947" s="8" t="s">
        <v>3287</v>
      </c>
      <c r="C947" s="8" t="s">
        <v>3288</v>
      </c>
      <c r="D947" s="11" t="n">
        <v>0.00753946759259259</v>
      </c>
      <c r="E947" s="39" t="n">
        <f aca="false">ROUND((D947-$D$5)*86400,2)</f>
        <v>112.39</v>
      </c>
      <c r="F947" s="12" t="n">
        <v>2124</v>
      </c>
      <c r="G947" s="11" t="str">
        <f aca="false">IF(INDEX(選手一覧!$D$5:$D$2736,$F947)="","",INDEX(選手一覧!$D$5:$D$2736,$F947))</f>
        <v/>
      </c>
      <c r="H947" s="12" t="str">
        <f aca="false">IF(INDEX(選手一覧!$E$5:$E$2736,$F947)="","",INDEX(選手一覧!$E$5:$E$2736,$F947))</f>
        <v/>
      </c>
      <c r="I947" s="11" t="str">
        <f aca="false">IF(INDEX(選手一覧!$H$5:$H$2736,$F947)="","",INDEX(選手一覧!$H$5:$H$2736,$F947))</f>
        <v/>
      </c>
      <c r="J947" s="12" t="str">
        <f aca="false">IF(INDEX(選手一覧!$I$5:$I$2736,$F947)="","",INDEX(選手一覧!$I$5:$I$2736,$F947))</f>
        <v/>
      </c>
    </row>
    <row r="948" customFormat="false" ht="15" hidden="false" customHeight="false" outlineLevel="0" collapsed="false">
      <c r="A948" s="12" t="n">
        <v>945</v>
      </c>
      <c r="B948" s="8" t="s">
        <v>3289</v>
      </c>
      <c r="C948" s="8" t="s">
        <v>3290</v>
      </c>
      <c r="D948" s="11" t="n">
        <v>0.00753946759259259</v>
      </c>
      <c r="E948" s="39" t="n">
        <f aca="false">ROUND((D948-$D$5)*86400,2)</f>
        <v>112.39</v>
      </c>
      <c r="F948" s="12" t="n">
        <v>2125</v>
      </c>
      <c r="G948" s="11" t="str">
        <f aca="false">IF(INDEX(選手一覧!$D$5:$D$2736,$F948)="","",INDEX(選手一覧!$D$5:$D$2736,$F948))</f>
        <v/>
      </c>
      <c r="H948" s="12" t="str">
        <f aca="false">IF(INDEX(選手一覧!$E$5:$E$2736,$F948)="","",INDEX(選手一覧!$E$5:$E$2736,$F948))</f>
        <v/>
      </c>
      <c r="I948" s="11" t="str">
        <f aca="false">IF(INDEX(選手一覧!$H$5:$H$2736,$F948)="","",INDEX(選手一覧!$H$5:$H$2736,$F948))</f>
        <v/>
      </c>
      <c r="J948" s="12" t="str">
        <f aca="false">IF(INDEX(選手一覧!$I$5:$I$2736,$F948)="","",INDEX(選手一覧!$I$5:$I$2736,$F948))</f>
        <v/>
      </c>
    </row>
    <row r="949" customFormat="false" ht="15" hidden="false" customHeight="false" outlineLevel="0" collapsed="false">
      <c r="A949" s="12" t="n">
        <v>946</v>
      </c>
      <c r="B949" s="8" t="s">
        <v>3293</v>
      </c>
      <c r="C949" s="8" t="s">
        <v>608</v>
      </c>
      <c r="D949" s="11" t="n">
        <v>0.00754155092592593</v>
      </c>
      <c r="E949" s="39" t="n">
        <f aca="false">ROUND((D949-$D$5)*86400,2)</f>
        <v>112.57</v>
      </c>
      <c r="F949" s="12" t="n">
        <v>2127</v>
      </c>
      <c r="G949" s="11" t="str">
        <f aca="false">IF(INDEX(選手一覧!$D$5:$D$2736,$F949)="","",INDEX(選手一覧!$D$5:$D$2736,$F949))</f>
        <v/>
      </c>
      <c r="H949" s="12" t="str">
        <f aca="false">IF(INDEX(選手一覧!$E$5:$E$2736,$F949)="","",INDEX(選手一覧!$E$5:$E$2736,$F949))</f>
        <v/>
      </c>
      <c r="I949" s="11" t="str">
        <f aca="false">IF(INDEX(選手一覧!$H$5:$H$2736,$F949)="","",INDEX(選手一覧!$H$5:$H$2736,$F949))</f>
        <v/>
      </c>
      <c r="J949" s="12" t="str">
        <f aca="false">IF(INDEX(選手一覧!$I$5:$I$2736,$F949)="","",INDEX(選手一覧!$I$5:$I$2736,$F949))</f>
        <v/>
      </c>
    </row>
    <row r="950" customFormat="false" ht="15" hidden="false" customHeight="false" outlineLevel="0" collapsed="false">
      <c r="A950" s="12" t="n">
        <v>947</v>
      </c>
      <c r="B950" s="8" t="s">
        <v>3294</v>
      </c>
      <c r="C950" s="8" t="s">
        <v>3295</v>
      </c>
      <c r="D950" s="11" t="n">
        <v>0.00754236111111111</v>
      </c>
      <c r="E950" s="39" t="n">
        <f aca="false">ROUND((D950-$D$5)*86400,2)</f>
        <v>112.64</v>
      </c>
      <c r="F950" s="12" t="n">
        <v>2128</v>
      </c>
      <c r="G950" s="11" t="str">
        <f aca="false">IF(INDEX(選手一覧!$D$5:$D$2736,$F950)="","",INDEX(選手一覧!$D$5:$D$2736,$F950))</f>
        <v/>
      </c>
      <c r="H950" s="12" t="str">
        <f aca="false">IF(INDEX(選手一覧!$E$5:$E$2736,$F950)="","",INDEX(選手一覧!$E$5:$E$2736,$F950))</f>
        <v/>
      </c>
      <c r="I950" s="11" t="str">
        <f aca="false">IF(INDEX(選手一覧!$H$5:$H$2736,$F950)="","",INDEX(選手一覧!$H$5:$H$2736,$F950))</f>
        <v/>
      </c>
      <c r="J950" s="12" t="str">
        <f aca="false">IF(INDEX(選手一覧!$I$5:$I$2736,$F950)="","",INDEX(選手一覧!$I$5:$I$2736,$F950))</f>
        <v/>
      </c>
    </row>
    <row r="951" customFormat="false" ht="15" hidden="false" customHeight="false" outlineLevel="0" collapsed="false">
      <c r="A951" s="12" t="n">
        <v>948</v>
      </c>
      <c r="B951" s="8" t="s">
        <v>3296</v>
      </c>
      <c r="C951" s="8" t="s">
        <v>2445</v>
      </c>
      <c r="D951" s="11" t="n">
        <v>0.00754363425925926</v>
      </c>
      <c r="E951" s="39" t="n">
        <f aca="false">ROUND((D951-$D$5)*86400,2)</f>
        <v>112.75</v>
      </c>
      <c r="F951" s="12" t="n">
        <v>2129</v>
      </c>
      <c r="G951" s="11" t="str">
        <f aca="false">IF(INDEX(選手一覧!$D$5:$D$2736,$F951)="","",INDEX(選手一覧!$D$5:$D$2736,$F951))</f>
        <v/>
      </c>
      <c r="H951" s="12" t="str">
        <f aca="false">IF(INDEX(選手一覧!$E$5:$E$2736,$F951)="","",INDEX(選手一覧!$E$5:$E$2736,$F951))</f>
        <v/>
      </c>
      <c r="I951" s="11" t="str">
        <f aca="false">IF(INDEX(選手一覧!$H$5:$H$2736,$F951)="","",INDEX(選手一覧!$H$5:$H$2736,$F951))</f>
        <v/>
      </c>
      <c r="J951" s="12" t="str">
        <f aca="false">IF(INDEX(選手一覧!$I$5:$I$2736,$F951)="","",INDEX(選手一覧!$I$5:$I$2736,$F951))</f>
        <v/>
      </c>
    </row>
    <row r="952" customFormat="false" ht="15" hidden="false" customHeight="false" outlineLevel="0" collapsed="false">
      <c r="A952" s="12" t="n">
        <v>949</v>
      </c>
      <c r="B952" s="8" t="s">
        <v>3297</v>
      </c>
      <c r="C952" s="8" t="s">
        <v>3298</v>
      </c>
      <c r="D952" s="11" t="n">
        <v>0.00754421296296296</v>
      </c>
      <c r="E952" s="39" t="n">
        <f aca="false">ROUND((D952-$D$5)*86400,2)</f>
        <v>112.8</v>
      </c>
      <c r="F952" s="12" t="n">
        <v>2130</v>
      </c>
      <c r="G952" s="11" t="str">
        <f aca="false">IF(INDEX(選手一覧!$D$5:$D$2736,$F952)="","",INDEX(選手一覧!$D$5:$D$2736,$F952))</f>
        <v/>
      </c>
      <c r="H952" s="12" t="str">
        <f aca="false">IF(INDEX(選手一覧!$E$5:$E$2736,$F952)="","",INDEX(選手一覧!$E$5:$E$2736,$F952))</f>
        <v/>
      </c>
      <c r="I952" s="11" t="str">
        <f aca="false">IF(INDEX(選手一覧!$H$5:$H$2736,$F952)="","",INDEX(選手一覧!$H$5:$H$2736,$F952))</f>
        <v/>
      </c>
      <c r="J952" s="12" t="str">
        <f aca="false">IF(INDEX(選手一覧!$I$5:$I$2736,$F952)="","",INDEX(選手一覧!$I$5:$I$2736,$F952))</f>
        <v/>
      </c>
    </row>
    <row r="953" customFormat="false" ht="15" hidden="false" customHeight="false" outlineLevel="0" collapsed="false">
      <c r="A953" s="12" t="n">
        <v>950</v>
      </c>
      <c r="B953" s="8" t="s">
        <v>3300</v>
      </c>
      <c r="C953" s="8" t="s">
        <v>1389</v>
      </c>
      <c r="D953" s="11" t="n">
        <v>0.00754513888888889</v>
      </c>
      <c r="E953" s="39" t="n">
        <f aca="false">ROUND((D953-$D$5)*86400,2)</f>
        <v>112.88</v>
      </c>
      <c r="F953" s="12" t="n">
        <v>2132</v>
      </c>
      <c r="G953" s="11" t="str">
        <f aca="false">IF(INDEX(選手一覧!$D$5:$D$2736,$F953)="","",INDEX(選手一覧!$D$5:$D$2736,$F953))</f>
        <v/>
      </c>
      <c r="H953" s="12" t="str">
        <f aca="false">IF(INDEX(選手一覧!$E$5:$E$2736,$F953)="","",INDEX(選手一覧!$E$5:$E$2736,$F953))</f>
        <v/>
      </c>
      <c r="I953" s="11" t="str">
        <f aca="false">IF(INDEX(選手一覧!$H$5:$H$2736,$F953)="","",INDEX(選手一覧!$H$5:$H$2736,$F953))</f>
        <v/>
      </c>
      <c r="J953" s="12" t="str">
        <f aca="false">IF(INDEX(選手一覧!$I$5:$I$2736,$F953)="","",INDEX(選手一覧!$I$5:$I$2736,$F953))</f>
        <v/>
      </c>
    </row>
    <row r="954" customFormat="false" ht="15" hidden="false" customHeight="false" outlineLevel="0" collapsed="false">
      <c r="A954" s="12" t="n">
        <v>951</v>
      </c>
      <c r="B954" s="8" t="s">
        <v>3301</v>
      </c>
      <c r="C954" s="8" t="s">
        <v>2641</v>
      </c>
      <c r="D954" s="11" t="n">
        <v>0.00754537037037037</v>
      </c>
      <c r="E954" s="39" t="n">
        <f aca="false">ROUND((D954-$D$5)*86400,2)</f>
        <v>112.9</v>
      </c>
      <c r="F954" s="12" t="n">
        <v>2133</v>
      </c>
      <c r="G954" s="11" t="str">
        <f aca="false">IF(INDEX(選手一覧!$D$5:$D$2736,$F954)="","",INDEX(選手一覧!$D$5:$D$2736,$F954))</f>
        <v/>
      </c>
      <c r="H954" s="12" t="str">
        <f aca="false">IF(INDEX(選手一覧!$E$5:$E$2736,$F954)="","",INDEX(選手一覧!$E$5:$E$2736,$F954))</f>
        <v/>
      </c>
      <c r="I954" s="11" t="str">
        <f aca="false">IF(INDEX(選手一覧!$H$5:$H$2736,$F954)="","",INDEX(選手一覧!$H$5:$H$2736,$F954))</f>
        <v/>
      </c>
      <c r="J954" s="12" t="str">
        <f aca="false">IF(INDEX(選手一覧!$I$5:$I$2736,$F954)="","",INDEX(選手一覧!$I$5:$I$2736,$F954))</f>
        <v/>
      </c>
    </row>
    <row r="955" customFormat="false" ht="15" hidden="false" customHeight="false" outlineLevel="0" collapsed="false">
      <c r="A955" s="12" t="n">
        <v>952</v>
      </c>
      <c r="B955" s="8" t="s">
        <v>3302</v>
      </c>
      <c r="C955" s="8" t="s">
        <v>3303</v>
      </c>
      <c r="D955" s="11" t="n">
        <v>0.00754594907407408</v>
      </c>
      <c r="E955" s="39" t="n">
        <f aca="false">ROUND((D955-$D$5)*86400,2)</f>
        <v>112.95</v>
      </c>
      <c r="F955" s="12" t="n">
        <v>2134</v>
      </c>
      <c r="G955" s="11" t="str">
        <f aca="false">IF(INDEX(選手一覧!$D$5:$D$2736,$F955)="","",INDEX(選手一覧!$D$5:$D$2736,$F955))</f>
        <v/>
      </c>
      <c r="H955" s="12" t="str">
        <f aca="false">IF(INDEX(選手一覧!$E$5:$E$2736,$F955)="","",INDEX(選手一覧!$E$5:$E$2736,$F955))</f>
        <v/>
      </c>
      <c r="I955" s="11" t="str">
        <f aca="false">IF(INDEX(選手一覧!$H$5:$H$2736,$F955)="","",INDEX(選手一覧!$H$5:$H$2736,$F955))</f>
        <v/>
      </c>
      <c r="J955" s="12" t="str">
        <f aca="false">IF(INDEX(選手一覧!$I$5:$I$2736,$F955)="","",INDEX(選手一覧!$I$5:$I$2736,$F955))</f>
        <v/>
      </c>
    </row>
    <row r="956" customFormat="false" ht="15" hidden="false" customHeight="false" outlineLevel="0" collapsed="false">
      <c r="A956" s="12" t="n">
        <v>953</v>
      </c>
      <c r="B956" s="8" t="s">
        <v>3305</v>
      </c>
      <c r="C956" s="8" t="s">
        <v>2168</v>
      </c>
      <c r="D956" s="11" t="n">
        <v>0.00754768518518519</v>
      </c>
      <c r="E956" s="39" t="n">
        <f aca="false">ROUND((D956-$D$5)*86400,2)</f>
        <v>113.1</v>
      </c>
      <c r="F956" s="12" t="n">
        <v>2136</v>
      </c>
      <c r="G956" s="11" t="str">
        <f aca="false">IF(INDEX(選手一覧!$D$5:$D$2736,$F956)="","",INDEX(選手一覧!$D$5:$D$2736,$F956))</f>
        <v/>
      </c>
      <c r="H956" s="12" t="str">
        <f aca="false">IF(INDEX(選手一覧!$E$5:$E$2736,$F956)="","",INDEX(選手一覧!$E$5:$E$2736,$F956))</f>
        <v/>
      </c>
      <c r="I956" s="11" t="str">
        <f aca="false">IF(INDEX(選手一覧!$H$5:$H$2736,$F956)="","",INDEX(選手一覧!$H$5:$H$2736,$F956))</f>
        <v/>
      </c>
      <c r="J956" s="12" t="str">
        <f aca="false">IF(INDEX(選手一覧!$I$5:$I$2736,$F956)="","",INDEX(選手一覧!$I$5:$I$2736,$F956))</f>
        <v/>
      </c>
    </row>
    <row r="957" customFormat="false" ht="15" hidden="false" customHeight="false" outlineLevel="0" collapsed="false">
      <c r="A957" s="12" t="n">
        <v>954</v>
      </c>
      <c r="B957" s="8" t="s">
        <v>3306</v>
      </c>
      <c r="C957" s="8" t="s">
        <v>1408</v>
      </c>
      <c r="D957" s="11" t="n">
        <v>0.00754861111111111</v>
      </c>
      <c r="E957" s="39" t="n">
        <f aca="false">ROUND((D957-$D$5)*86400,2)</f>
        <v>113.18</v>
      </c>
      <c r="F957" s="12" t="n">
        <v>2137</v>
      </c>
      <c r="G957" s="11" t="str">
        <f aca="false">IF(INDEX(選手一覧!$D$5:$D$2736,$F957)="","",INDEX(選手一覧!$D$5:$D$2736,$F957))</f>
        <v/>
      </c>
      <c r="H957" s="12" t="str">
        <f aca="false">IF(INDEX(選手一覧!$E$5:$E$2736,$F957)="","",INDEX(選手一覧!$E$5:$E$2736,$F957))</f>
        <v/>
      </c>
      <c r="I957" s="11" t="str">
        <f aca="false">IF(INDEX(選手一覧!$H$5:$H$2736,$F957)="","",INDEX(選手一覧!$H$5:$H$2736,$F957))</f>
        <v/>
      </c>
      <c r="J957" s="12" t="str">
        <f aca="false">IF(INDEX(選手一覧!$I$5:$I$2736,$F957)="","",INDEX(選手一覧!$I$5:$I$2736,$F957))</f>
        <v/>
      </c>
    </row>
    <row r="958" customFormat="false" ht="15" hidden="false" customHeight="false" outlineLevel="0" collapsed="false">
      <c r="A958" s="12" t="n">
        <v>955</v>
      </c>
      <c r="B958" s="8" t="s">
        <v>3307</v>
      </c>
      <c r="C958" s="8" t="s">
        <v>989</v>
      </c>
      <c r="D958" s="11" t="n">
        <v>0.00754884259259259</v>
      </c>
      <c r="E958" s="39" t="n">
        <f aca="false">ROUND((D958-$D$5)*86400,2)</f>
        <v>113.2</v>
      </c>
      <c r="F958" s="12" t="n">
        <v>2138</v>
      </c>
      <c r="G958" s="11" t="str">
        <f aca="false">IF(INDEX(選手一覧!$D$5:$D$2736,$F958)="","",INDEX(選手一覧!$D$5:$D$2736,$F958))</f>
        <v/>
      </c>
      <c r="H958" s="12" t="str">
        <f aca="false">IF(INDEX(選手一覧!$E$5:$E$2736,$F958)="","",INDEX(選手一覧!$E$5:$E$2736,$F958))</f>
        <v/>
      </c>
      <c r="I958" s="11" t="str">
        <f aca="false">IF(INDEX(選手一覧!$H$5:$H$2736,$F958)="","",INDEX(選手一覧!$H$5:$H$2736,$F958))</f>
        <v/>
      </c>
      <c r="J958" s="12" t="str">
        <f aca="false">IF(INDEX(選手一覧!$I$5:$I$2736,$F958)="","",INDEX(選手一覧!$I$5:$I$2736,$F958))</f>
        <v/>
      </c>
    </row>
    <row r="959" customFormat="false" ht="15" hidden="false" customHeight="false" outlineLevel="0" collapsed="false">
      <c r="A959" s="12" t="n">
        <v>956</v>
      </c>
      <c r="B959" s="8" t="s">
        <v>3310</v>
      </c>
      <c r="C959" s="8" t="s">
        <v>172</v>
      </c>
      <c r="D959" s="11" t="n">
        <v>0.00754907407407407</v>
      </c>
      <c r="E959" s="39" t="n">
        <f aca="false">ROUND((D959-$D$5)*86400,2)</f>
        <v>113.22</v>
      </c>
      <c r="F959" s="12" t="n">
        <v>2140</v>
      </c>
      <c r="G959" s="11" t="str">
        <f aca="false">IF(INDEX(選手一覧!$D$5:$D$2736,$F959)="","",INDEX(選手一覧!$D$5:$D$2736,$F959))</f>
        <v/>
      </c>
      <c r="H959" s="12" t="str">
        <f aca="false">IF(INDEX(選手一覧!$E$5:$E$2736,$F959)="","",INDEX(選手一覧!$E$5:$E$2736,$F959))</f>
        <v/>
      </c>
      <c r="I959" s="11" t="str">
        <f aca="false">IF(INDEX(選手一覧!$H$5:$H$2736,$F959)="","",INDEX(選手一覧!$H$5:$H$2736,$F959))</f>
        <v/>
      </c>
      <c r="J959" s="12" t="str">
        <f aca="false">IF(INDEX(選手一覧!$I$5:$I$2736,$F959)="","",INDEX(選手一覧!$I$5:$I$2736,$F959))</f>
        <v/>
      </c>
    </row>
    <row r="960" customFormat="false" ht="15" hidden="false" customHeight="false" outlineLevel="0" collapsed="false">
      <c r="A960" s="12" t="n">
        <v>957</v>
      </c>
      <c r="B960" s="8" t="s">
        <v>1798</v>
      </c>
      <c r="C960" s="8" t="s">
        <v>1799</v>
      </c>
      <c r="D960" s="11" t="n">
        <v>0.00754918981481482</v>
      </c>
      <c r="E960" s="39" t="n">
        <f aca="false">ROUND((D960-$D$5)*86400,2)</f>
        <v>113.23</v>
      </c>
      <c r="F960" s="12" t="n">
        <v>1119</v>
      </c>
      <c r="G960" s="11" t="n">
        <f aca="false">IF(INDEX(選手一覧!$D$5:$D$2736,$F960)="","",INDEX(選手一覧!$D$5:$D$2736,$F960))</f>
        <v>0.0110162037037037</v>
      </c>
      <c r="H960" s="12" t="n">
        <f aca="false">IF(INDEX(選手一覧!$E$5:$E$2736,$F960)="","",INDEX(選手一覧!$E$5:$E$2736,$F960))</f>
        <v>1120</v>
      </c>
      <c r="I960" s="11" t="str">
        <f aca="false">IF(INDEX(選手一覧!$H$5:$H$2736,$F960)="","",INDEX(選手一覧!$H$5:$H$2736,$F960))</f>
        <v/>
      </c>
      <c r="J960" s="12" t="str">
        <f aca="false">IF(INDEX(選手一覧!$I$5:$I$2736,$F960)="","",INDEX(選手一覧!$I$5:$I$2736,$F960))</f>
        <v/>
      </c>
    </row>
    <row r="961" customFormat="false" ht="15" hidden="false" customHeight="false" outlineLevel="0" collapsed="false">
      <c r="A961" s="12" t="n">
        <v>958</v>
      </c>
      <c r="B961" s="8" t="s">
        <v>3313</v>
      </c>
      <c r="C961" s="8" t="s">
        <v>3314</v>
      </c>
      <c r="D961" s="11" t="n">
        <v>0.00755219907407407</v>
      </c>
      <c r="E961" s="39" t="n">
        <f aca="false">ROUND((D961-$D$5)*86400,2)</f>
        <v>113.49</v>
      </c>
      <c r="F961" s="12" t="n">
        <v>2142</v>
      </c>
      <c r="G961" s="11" t="str">
        <f aca="false">IF(INDEX(選手一覧!$D$5:$D$2736,$F961)="","",INDEX(選手一覧!$D$5:$D$2736,$F961))</f>
        <v/>
      </c>
      <c r="H961" s="12" t="str">
        <f aca="false">IF(INDEX(選手一覧!$E$5:$E$2736,$F961)="","",INDEX(選手一覧!$E$5:$E$2736,$F961))</f>
        <v/>
      </c>
      <c r="I961" s="11" t="str">
        <f aca="false">IF(INDEX(選手一覧!$H$5:$H$2736,$F961)="","",INDEX(選手一覧!$H$5:$H$2736,$F961))</f>
        <v/>
      </c>
      <c r="J961" s="12" t="str">
        <f aca="false">IF(INDEX(選手一覧!$I$5:$I$2736,$F961)="","",INDEX(選手一覧!$I$5:$I$2736,$F961))</f>
        <v/>
      </c>
    </row>
    <row r="962" customFormat="false" ht="15" hidden="false" customHeight="false" outlineLevel="0" collapsed="false">
      <c r="A962" s="12" t="n">
        <v>959</v>
      </c>
      <c r="B962" s="8" t="s">
        <v>3315</v>
      </c>
      <c r="C962" s="8" t="s">
        <v>1844</v>
      </c>
      <c r="D962" s="11" t="n">
        <v>0.00755289351851852</v>
      </c>
      <c r="E962" s="39" t="n">
        <f aca="false">ROUND((D962-$D$5)*86400,2)</f>
        <v>113.55</v>
      </c>
      <c r="F962" s="12" t="n">
        <v>2143</v>
      </c>
      <c r="G962" s="11" t="str">
        <f aca="false">IF(INDEX(選手一覧!$D$5:$D$2736,$F962)="","",INDEX(選手一覧!$D$5:$D$2736,$F962))</f>
        <v/>
      </c>
      <c r="H962" s="12" t="str">
        <f aca="false">IF(INDEX(選手一覧!$E$5:$E$2736,$F962)="","",INDEX(選手一覧!$E$5:$E$2736,$F962))</f>
        <v/>
      </c>
      <c r="I962" s="11" t="str">
        <f aca="false">IF(INDEX(選手一覧!$H$5:$H$2736,$F962)="","",INDEX(選手一覧!$H$5:$H$2736,$F962))</f>
        <v/>
      </c>
      <c r="J962" s="12" t="str">
        <f aca="false">IF(INDEX(選手一覧!$I$5:$I$2736,$F962)="","",INDEX(選手一覧!$I$5:$I$2736,$F962))</f>
        <v/>
      </c>
    </row>
    <row r="963" customFormat="false" ht="15" hidden="false" customHeight="false" outlineLevel="0" collapsed="false">
      <c r="A963" s="12" t="n">
        <v>960</v>
      </c>
      <c r="B963" s="8" t="s">
        <v>3317</v>
      </c>
      <c r="C963" s="8" t="s">
        <v>3318</v>
      </c>
      <c r="D963" s="11" t="n">
        <v>0.00755347222222222</v>
      </c>
      <c r="E963" s="39" t="n">
        <f aca="false">ROUND((D963-$D$5)*86400,2)</f>
        <v>113.6</v>
      </c>
      <c r="F963" s="12" t="n">
        <v>2145</v>
      </c>
      <c r="G963" s="11" t="str">
        <f aca="false">IF(INDEX(選手一覧!$D$5:$D$2736,$F963)="","",INDEX(選手一覧!$D$5:$D$2736,$F963))</f>
        <v/>
      </c>
      <c r="H963" s="12" t="str">
        <f aca="false">IF(INDEX(選手一覧!$E$5:$E$2736,$F963)="","",INDEX(選手一覧!$E$5:$E$2736,$F963))</f>
        <v/>
      </c>
      <c r="I963" s="11" t="str">
        <f aca="false">IF(INDEX(選手一覧!$H$5:$H$2736,$F963)="","",INDEX(選手一覧!$H$5:$H$2736,$F963))</f>
        <v/>
      </c>
      <c r="J963" s="12" t="str">
        <f aca="false">IF(INDEX(選手一覧!$I$5:$I$2736,$F963)="","",INDEX(選手一覧!$I$5:$I$2736,$F963))</f>
        <v/>
      </c>
    </row>
    <row r="964" customFormat="false" ht="15" hidden="false" customHeight="false" outlineLevel="0" collapsed="false">
      <c r="A964" s="12" t="n">
        <v>961</v>
      </c>
      <c r="B964" s="8" t="s">
        <v>3319</v>
      </c>
      <c r="C964" s="8" t="s">
        <v>2501</v>
      </c>
      <c r="D964" s="11" t="n">
        <v>0.00755636574074074</v>
      </c>
      <c r="E964" s="39" t="n">
        <f aca="false">ROUND((D964-$D$5)*86400,2)</f>
        <v>113.85</v>
      </c>
      <c r="F964" s="12" t="n">
        <v>2146</v>
      </c>
      <c r="G964" s="11" t="str">
        <f aca="false">IF(INDEX(選手一覧!$D$5:$D$2736,$F964)="","",INDEX(選手一覧!$D$5:$D$2736,$F964))</f>
        <v/>
      </c>
      <c r="H964" s="12" t="str">
        <f aca="false">IF(INDEX(選手一覧!$E$5:$E$2736,$F964)="","",INDEX(選手一覧!$E$5:$E$2736,$F964))</f>
        <v/>
      </c>
      <c r="I964" s="11" t="str">
        <f aca="false">IF(INDEX(選手一覧!$H$5:$H$2736,$F964)="","",INDEX(選手一覧!$H$5:$H$2736,$F964))</f>
        <v/>
      </c>
      <c r="J964" s="12" t="str">
        <f aca="false">IF(INDEX(選手一覧!$I$5:$I$2736,$F964)="","",INDEX(選手一覧!$I$5:$I$2736,$F964))</f>
        <v/>
      </c>
    </row>
    <row r="965" customFormat="false" ht="15" hidden="false" customHeight="false" outlineLevel="0" collapsed="false">
      <c r="A965" s="12" t="n">
        <v>962</v>
      </c>
      <c r="B965" s="8" t="s">
        <v>3320</v>
      </c>
      <c r="C965" s="8" t="s">
        <v>2056</v>
      </c>
      <c r="D965" s="11" t="n">
        <v>0.00755798611111111</v>
      </c>
      <c r="E965" s="39" t="n">
        <f aca="false">ROUND((D965-$D$5)*86400,2)</f>
        <v>113.99</v>
      </c>
      <c r="F965" s="12" t="n">
        <v>2147</v>
      </c>
      <c r="G965" s="11" t="str">
        <f aca="false">IF(INDEX(選手一覧!$D$5:$D$2736,$F965)="","",INDEX(選手一覧!$D$5:$D$2736,$F965))</f>
        <v/>
      </c>
      <c r="H965" s="12" t="str">
        <f aca="false">IF(INDEX(選手一覧!$E$5:$E$2736,$F965)="","",INDEX(選手一覧!$E$5:$E$2736,$F965))</f>
        <v/>
      </c>
      <c r="I965" s="11" t="str">
        <f aca="false">IF(INDEX(選手一覧!$H$5:$H$2736,$F965)="","",INDEX(選手一覧!$H$5:$H$2736,$F965))</f>
        <v/>
      </c>
      <c r="J965" s="12" t="str">
        <f aca="false">IF(INDEX(選手一覧!$I$5:$I$2736,$F965)="","",INDEX(選手一覧!$I$5:$I$2736,$F965))</f>
        <v/>
      </c>
    </row>
    <row r="966" customFormat="false" ht="15" hidden="false" customHeight="false" outlineLevel="0" collapsed="false">
      <c r="A966" s="12" t="n">
        <v>963</v>
      </c>
      <c r="B966" s="8" t="s">
        <v>3321</v>
      </c>
      <c r="C966" s="8" t="s">
        <v>3322</v>
      </c>
      <c r="D966" s="11" t="n">
        <v>0.007559375</v>
      </c>
      <c r="E966" s="39" t="n">
        <f aca="false">ROUND((D966-$D$5)*86400,2)</f>
        <v>114.11</v>
      </c>
      <c r="F966" s="12" t="n">
        <v>2148</v>
      </c>
      <c r="G966" s="11" t="str">
        <f aca="false">IF(INDEX(選手一覧!$D$5:$D$2736,$F966)="","",INDEX(選手一覧!$D$5:$D$2736,$F966))</f>
        <v/>
      </c>
      <c r="H966" s="12" t="str">
        <f aca="false">IF(INDEX(選手一覧!$E$5:$E$2736,$F966)="","",INDEX(選手一覧!$E$5:$E$2736,$F966))</f>
        <v/>
      </c>
      <c r="I966" s="11" t="str">
        <f aca="false">IF(INDEX(選手一覧!$H$5:$H$2736,$F966)="","",INDEX(選手一覧!$H$5:$H$2736,$F966))</f>
        <v/>
      </c>
      <c r="J966" s="12" t="str">
        <f aca="false">IF(INDEX(選手一覧!$I$5:$I$2736,$F966)="","",INDEX(選手一覧!$I$5:$I$2736,$F966))</f>
        <v/>
      </c>
    </row>
    <row r="967" customFormat="false" ht="15" hidden="false" customHeight="false" outlineLevel="0" collapsed="false">
      <c r="A967" s="12" t="n">
        <v>964</v>
      </c>
      <c r="B967" s="8" t="s">
        <v>3325</v>
      </c>
      <c r="C967" s="8" t="s">
        <v>3326</v>
      </c>
      <c r="D967" s="11" t="n">
        <v>0.00756030092592593</v>
      </c>
      <c r="E967" s="39" t="n">
        <f aca="false">ROUND((D967-$D$5)*86400,2)</f>
        <v>114.19</v>
      </c>
      <c r="F967" s="12" t="n">
        <v>2150</v>
      </c>
      <c r="G967" s="11" t="str">
        <f aca="false">IF(INDEX(選手一覧!$D$5:$D$2736,$F967)="","",INDEX(選手一覧!$D$5:$D$2736,$F967))</f>
        <v/>
      </c>
      <c r="H967" s="12" t="str">
        <f aca="false">IF(INDEX(選手一覧!$E$5:$E$2736,$F967)="","",INDEX(選手一覧!$E$5:$E$2736,$F967))</f>
        <v/>
      </c>
      <c r="I967" s="11" t="n">
        <f aca="false">IF(INDEX(選手一覧!$H$5:$H$2736,$F967)="","",INDEX(選手一覧!$H$5:$H$2736,$F967))</f>
        <v>0.00290856481481482</v>
      </c>
      <c r="J967" s="12" t="n">
        <f aca="false">IF(INDEX(選手一覧!$I$5:$I$2736,$F967)="","",INDEX(選手一覧!$I$5:$I$2736,$F967))</f>
        <v>1005</v>
      </c>
    </row>
    <row r="968" customFormat="false" ht="15" hidden="false" customHeight="false" outlineLevel="0" collapsed="false">
      <c r="A968" s="12" t="n">
        <v>965</v>
      </c>
      <c r="B968" s="8" t="s">
        <v>3327</v>
      </c>
      <c r="C968" s="8" t="s">
        <v>427</v>
      </c>
      <c r="D968" s="11" t="n">
        <v>0.00756261574074074</v>
      </c>
      <c r="E968" s="39" t="n">
        <f aca="false">ROUND((D968-$D$5)*86400,2)</f>
        <v>114.39</v>
      </c>
      <c r="F968" s="12" t="n">
        <v>2151</v>
      </c>
      <c r="G968" s="11" t="str">
        <f aca="false">IF(INDEX(選手一覧!$D$5:$D$2736,$F968)="","",INDEX(選手一覧!$D$5:$D$2736,$F968))</f>
        <v/>
      </c>
      <c r="H968" s="12" t="str">
        <f aca="false">IF(INDEX(選手一覧!$E$5:$E$2736,$F968)="","",INDEX(選手一覧!$E$5:$E$2736,$F968))</f>
        <v/>
      </c>
      <c r="I968" s="11" t="n">
        <f aca="false">IF(INDEX(選手一覧!$H$5:$H$2736,$F968)="","",INDEX(選手一覧!$H$5:$H$2736,$F968))</f>
        <v>0.00294131944444444</v>
      </c>
      <c r="J968" s="12" t="n">
        <f aca="false">IF(INDEX(選手一覧!$I$5:$I$2736,$F968)="","",INDEX(選手一覧!$I$5:$I$2736,$F968))</f>
        <v>1204</v>
      </c>
    </row>
    <row r="969" customFormat="false" ht="15" hidden="false" customHeight="false" outlineLevel="0" collapsed="false">
      <c r="A969" s="12" t="n">
        <v>966</v>
      </c>
      <c r="B969" s="8" t="s">
        <v>3328</v>
      </c>
      <c r="C969" s="8" t="s">
        <v>3329</v>
      </c>
      <c r="D969" s="11" t="n">
        <v>0.00756273148148148</v>
      </c>
      <c r="E969" s="39" t="n">
        <f aca="false">ROUND((D969-$D$5)*86400,2)</f>
        <v>114.4</v>
      </c>
      <c r="F969" s="12" t="n">
        <v>2152</v>
      </c>
      <c r="G969" s="11" t="str">
        <f aca="false">IF(INDEX(選手一覧!$D$5:$D$2736,$F969)="","",INDEX(選手一覧!$D$5:$D$2736,$F969))</f>
        <v/>
      </c>
      <c r="H969" s="12" t="str">
        <f aca="false">IF(INDEX(選手一覧!$E$5:$E$2736,$F969)="","",INDEX(選手一覧!$E$5:$E$2736,$F969))</f>
        <v/>
      </c>
      <c r="I969" s="11" t="str">
        <f aca="false">IF(INDEX(選手一覧!$H$5:$H$2736,$F969)="","",INDEX(選手一覧!$H$5:$H$2736,$F969))</f>
        <v/>
      </c>
      <c r="J969" s="12" t="str">
        <f aca="false">IF(INDEX(選手一覧!$I$5:$I$2736,$F969)="","",INDEX(選手一覧!$I$5:$I$2736,$F969))</f>
        <v/>
      </c>
    </row>
    <row r="970" customFormat="false" ht="15" hidden="false" customHeight="false" outlineLevel="0" collapsed="false">
      <c r="A970" s="12" t="n">
        <v>967</v>
      </c>
      <c r="B970" s="8" t="s">
        <v>3331</v>
      </c>
      <c r="C970" s="8" t="s">
        <v>3332</v>
      </c>
      <c r="D970" s="11" t="n">
        <v>0.00756342592592593</v>
      </c>
      <c r="E970" s="39" t="n">
        <f aca="false">ROUND((D970-$D$5)*86400,2)</f>
        <v>114.46</v>
      </c>
      <c r="F970" s="12" t="n">
        <v>2154</v>
      </c>
      <c r="G970" s="11" t="str">
        <f aca="false">IF(INDEX(選手一覧!$D$5:$D$2736,$F970)="","",INDEX(選手一覧!$D$5:$D$2736,$F970))</f>
        <v/>
      </c>
      <c r="H970" s="12" t="str">
        <f aca="false">IF(INDEX(選手一覧!$E$5:$E$2736,$F970)="","",INDEX(選手一覧!$E$5:$E$2736,$F970))</f>
        <v/>
      </c>
      <c r="I970" s="11" t="str">
        <f aca="false">IF(INDEX(選手一覧!$H$5:$H$2736,$F970)="","",INDEX(選手一覧!$H$5:$H$2736,$F970))</f>
        <v/>
      </c>
      <c r="J970" s="12" t="str">
        <f aca="false">IF(INDEX(選手一覧!$I$5:$I$2736,$F970)="","",INDEX(選手一覧!$I$5:$I$2736,$F970))</f>
        <v/>
      </c>
    </row>
    <row r="971" customFormat="false" ht="15" hidden="false" customHeight="false" outlineLevel="0" collapsed="false">
      <c r="A971" s="12" t="n">
        <v>968</v>
      </c>
      <c r="B971" s="8" t="s">
        <v>3333</v>
      </c>
      <c r="C971" s="8" t="s">
        <v>3334</v>
      </c>
      <c r="D971" s="11" t="n">
        <v>0.00756400462962963</v>
      </c>
      <c r="E971" s="39" t="n">
        <f aca="false">ROUND((D971-$D$5)*86400,2)</f>
        <v>114.51</v>
      </c>
      <c r="F971" s="12" t="n">
        <v>2155</v>
      </c>
      <c r="G971" s="11" t="str">
        <f aca="false">IF(INDEX(選手一覧!$D$5:$D$2736,$F971)="","",INDEX(選手一覧!$D$5:$D$2736,$F971))</f>
        <v/>
      </c>
      <c r="H971" s="12" t="str">
        <f aca="false">IF(INDEX(選手一覧!$E$5:$E$2736,$F971)="","",INDEX(選手一覧!$E$5:$E$2736,$F971))</f>
        <v/>
      </c>
      <c r="I971" s="11" t="str">
        <f aca="false">IF(INDEX(選手一覧!$H$5:$H$2736,$F971)="","",INDEX(選手一覧!$H$5:$H$2736,$F971))</f>
        <v/>
      </c>
      <c r="J971" s="12" t="str">
        <f aca="false">IF(INDEX(選手一覧!$I$5:$I$2736,$F971)="","",INDEX(選手一覧!$I$5:$I$2736,$F971))</f>
        <v/>
      </c>
    </row>
    <row r="972" customFormat="false" ht="15" hidden="false" customHeight="false" outlineLevel="0" collapsed="false">
      <c r="A972" s="12" t="n">
        <v>969</v>
      </c>
      <c r="B972" s="8" t="s">
        <v>3336</v>
      </c>
      <c r="C972" s="8" t="s">
        <v>3337</v>
      </c>
      <c r="D972" s="11" t="n">
        <v>0.00756423611111111</v>
      </c>
      <c r="E972" s="39" t="n">
        <f aca="false">ROUND((D972-$D$5)*86400,2)</f>
        <v>114.53</v>
      </c>
      <c r="F972" s="12" t="n">
        <v>2157</v>
      </c>
      <c r="G972" s="11" t="str">
        <f aca="false">IF(INDEX(選手一覧!$D$5:$D$2736,$F972)="","",INDEX(選手一覧!$D$5:$D$2736,$F972))</f>
        <v/>
      </c>
      <c r="H972" s="12" t="str">
        <f aca="false">IF(INDEX(選手一覧!$E$5:$E$2736,$F972)="","",INDEX(選手一覧!$E$5:$E$2736,$F972))</f>
        <v/>
      </c>
      <c r="I972" s="11" t="str">
        <f aca="false">IF(INDEX(選手一覧!$H$5:$H$2736,$F972)="","",INDEX(選手一覧!$H$5:$H$2736,$F972))</f>
        <v/>
      </c>
      <c r="J972" s="12" t="str">
        <f aca="false">IF(INDEX(選手一覧!$I$5:$I$2736,$F972)="","",INDEX(選手一覧!$I$5:$I$2736,$F972))</f>
        <v/>
      </c>
    </row>
    <row r="973" customFormat="false" ht="15" hidden="false" customHeight="false" outlineLevel="0" collapsed="false">
      <c r="A973" s="12" t="n">
        <v>970</v>
      </c>
      <c r="B973" s="8" t="s">
        <v>3340</v>
      </c>
      <c r="C973" s="8" t="s">
        <v>3341</v>
      </c>
      <c r="D973" s="11" t="n">
        <v>0.00756446759259259</v>
      </c>
      <c r="E973" s="39" t="n">
        <f aca="false">ROUND((D973-$D$5)*86400,2)</f>
        <v>114.55</v>
      </c>
      <c r="F973" s="12" t="n">
        <v>2159</v>
      </c>
      <c r="G973" s="11" t="str">
        <f aca="false">IF(INDEX(選手一覧!$D$5:$D$2736,$F973)="","",INDEX(選手一覧!$D$5:$D$2736,$F973))</f>
        <v/>
      </c>
      <c r="H973" s="12" t="str">
        <f aca="false">IF(INDEX(選手一覧!$E$5:$E$2736,$F973)="","",INDEX(選手一覧!$E$5:$E$2736,$F973))</f>
        <v/>
      </c>
      <c r="I973" s="11" t="str">
        <f aca="false">IF(INDEX(選手一覧!$H$5:$H$2736,$F973)="","",INDEX(選手一覧!$H$5:$H$2736,$F973))</f>
        <v/>
      </c>
      <c r="J973" s="12" t="str">
        <f aca="false">IF(INDEX(選手一覧!$I$5:$I$2736,$F973)="","",INDEX(選手一覧!$I$5:$I$2736,$F973))</f>
        <v/>
      </c>
    </row>
    <row r="974" customFormat="false" ht="15" hidden="false" customHeight="false" outlineLevel="0" collapsed="false">
      <c r="A974" s="12" t="n">
        <v>971</v>
      </c>
      <c r="B974" s="8" t="s">
        <v>1410</v>
      </c>
      <c r="C974" s="8" t="s">
        <v>1411</v>
      </c>
      <c r="D974" s="11" t="n">
        <v>0.00756539351851852</v>
      </c>
      <c r="E974" s="39" t="n">
        <f aca="false">ROUND((D974-$D$5)*86400,2)</f>
        <v>114.63</v>
      </c>
      <c r="F974" s="12" t="n">
        <v>858</v>
      </c>
      <c r="G974" s="11" t="n">
        <f aca="false">IF(INDEX(選手一覧!$D$5:$D$2736,$F974)="","",INDEX(選手一覧!$D$5:$D$2736,$F974))</f>
        <v>0.0108643518518519</v>
      </c>
      <c r="H974" s="12" t="n">
        <f aca="false">IF(INDEX(選手一覧!$E$5:$E$2736,$F974)="","",INDEX(選手一覧!$E$5:$E$2736,$F974))</f>
        <v>859</v>
      </c>
      <c r="I974" s="11" t="n">
        <f aca="false">IF(INDEX(選手一覧!$H$5:$H$2736,$F974)="","",INDEX(選手一覧!$H$5:$H$2736,$F974))</f>
        <v>0.0028556712962963</v>
      </c>
      <c r="J974" s="12" t="n">
        <f aca="false">IF(INDEX(選手一覧!$I$5:$I$2736,$F974)="","",INDEX(選手一覧!$I$5:$I$2736,$F974))</f>
        <v>603</v>
      </c>
    </row>
    <row r="975" customFormat="false" ht="15" hidden="false" customHeight="false" outlineLevel="0" collapsed="false">
      <c r="A975" s="12" t="n">
        <v>972</v>
      </c>
      <c r="B975" s="8" t="s">
        <v>3343</v>
      </c>
      <c r="C975" s="8" t="s">
        <v>2111</v>
      </c>
      <c r="D975" s="11" t="n">
        <v>0.00756678240740741</v>
      </c>
      <c r="E975" s="39" t="n">
        <f aca="false">ROUND((D975-$D$5)*86400,2)</f>
        <v>114.75</v>
      </c>
      <c r="F975" s="12" t="n">
        <v>2161</v>
      </c>
      <c r="G975" s="11" t="str">
        <f aca="false">IF(INDEX(選手一覧!$D$5:$D$2736,$F975)="","",INDEX(選手一覧!$D$5:$D$2736,$F975))</f>
        <v/>
      </c>
      <c r="H975" s="12" t="str">
        <f aca="false">IF(INDEX(選手一覧!$E$5:$E$2736,$F975)="","",INDEX(選手一覧!$E$5:$E$2736,$F975))</f>
        <v/>
      </c>
      <c r="I975" s="11" t="str">
        <f aca="false">IF(INDEX(選手一覧!$H$5:$H$2736,$F975)="","",INDEX(選手一覧!$H$5:$H$2736,$F975))</f>
        <v/>
      </c>
      <c r="J975" s="12" t="str">
        <f aca="false">IF(INDEX(選手一覧!$I$5:$I$2736,$F975)="","",INDEX(選手一覧!$I$5:$I$2736,$F975))</f>
        <v/>
      </c>
    </row>
    <row r="976" customFormat="false" ht="15" hidden="false" customHeight="false" outlineLevel="0" collapsed="false">
      <c r="A976" s="12" t="n">
        <v>973</v>
      </c>
      <c r="B976" s="8" t="s">
        <v>3345</v>
      </c>
      <c r="C976" s="8" t="s">
        <v>1942</v>
      </c>
      <c r="D976" s="11" t="n">
        <v>0.00757106481481481</v>
      </c>
      <c r="E976" s="39" t="n">
        <f aca="false">ROUND((D976-$D$5)*86400,2)</f>
        <v>115.12</v>
      </c>
      <c r="F976" s="12" t="n">
        <v>2163</v>
      </c>
      <c r="G976" s="11" t="str">
        <f aca="false">IF(INDEX(選手一覧!$D$5:$D$2736,$F976)="","",INDEX(選手一覧!$D$5:$D$2736,$F976))</f>
        <v/>
      </c>
      <c r="H976" s="12" t="str">
        <f aca="false">IF(INDEX(選手一覧!$E$5:$E$2736,$F976)="","",INDEX(選手一覧!$E$5:$E$2736,$F976))</f>
        <v/>
      </c>
      <c r="I976" s="11" t="str">
        <f aca="false">IF(INDEX(選手一覧!$H$5:$H$2736,$F976)="","",INDEX(選手一覧!$H$5:$H$2736,$F976))</f>
        <v/>
      </c>
      <c r="J976" s="12" t="str">
        <f aca="false">IF(INDEX(選手一覧!$I$5:$I$2736,$F976)="","",INDEX(選手一覧!$I$5:$I$2736,$F976))</f>
        <v/>
      </c>
    </row>
    <row r="977" customFormat="false" ht="15" hidden="false" customHeight="false" outlineLevel="0" collapsed="false">
      <c r="A977" s="12" t="n">
        <v>974</v>
      </c>
      <c r="B977" s="8" t="s">
        <v>3347</v>
      </c>
      <c r="C977" s="8" t="s">
        <v>1120</v>
      </c>
      <c r="D977" s="11" t="n">
        <v>0.00757141203703704</v>
      </c>
      <c r="E977" s="39" t="n">
        <f aca="false">ROUND((D977-$D$5)*86400,2)</f>
        <v>115.15</v>
      </c>
      <c r="F977" s="12" t="n">
        <v>2165</v>
      </c>
      <c r="G977" s="11" t="str">
        <f aca="false">IF(INDEX(選手一覧!$D$5:$D$2736,$F977)="","",INDEX(選手一覧!$D$5:$D$2736,$F977))</f>
        <v/>
      </c>
      <c r="H977" s="12" t="str">
        <f aca="false">IF(INDEX(選手一覧!$E$5:$E$2736,$F977)="","",INDEX(選手一覧!$E$5:$E$2736,$F977))</f>
        <v/>
      </c>
      <c r="I977" s="11" t="str">
        <f aca="false">IF(INDEX(選手一覧!$H$5:$H$2736,$F977)="","",INDEX(選手一覧!$H$5:$H$2736,$F977))</f>
        <v/>
      </c>
      <c r="J977" s="12" t="str">
        <f aca="false">IF(INDEX(選手一覧!$I$5:$I$2736,$F977)="","",INDEX(選手一覧!$I$5:$I$2736,$F977))</f>
        <v/>
      </c>
    </row>
    <row r="978" customFormat="false" ht="15" hidden="false" customHeight="false" outlineLevel="0" collapsed="false">
      <c r="A978" s="12" t="n">
        <v>975</v>
      </c>
      <c r="B978" s="8" t="s">
        <v>3350</v>
      </c>
      <c r="C978" s="8" t="s">
        <v>1177</v>
      </c>
      <c r="D978" s="11" t="n">
        <v>0.00757326388888889</v>
      </c>
      <c r="E978" s="39" t="n">
        <f aca="false">ROUND((D978-$D$5)*86400,2)</f>
        <v>115.31</v>
      </c>
      <c r="F978" s="12" t="n">
        <v>2167</v>
      </c>
      <c r="G978" s="11" t="str">
        <f aca="false">IF(INDEX(選手一覧!$D$5:$D$2736,$F978)="","",INDEX(選手一覧!$D$5:$D$2736,$F978))</f>
        <v/>
      </c>
      <c r="H978" s="12" t="str">
        <f aca="false">IF(INDEX(選手一覧!$E$5:$E$2736,$F978)="","",INDEX(選手一覧!$E$5:$E$2736,$F978))</f>
        <v/>
      </c>
      <c r="I978" s="11" t="str">
        <f aca="false">IF(INDEX(選手一覧!$H$5:$H$2736,$F978)="","",INDEX(選手一覧!$H$5:$H$2736,$F978))</f>
        <v/>
      </c>
      <c r="J978" s="12" t="str">
        <f aca="false">IF(INDEX(選手一覧!$I$5:$I$2736,$F978)="","",INDEX(選手一覧!$I$5:$I$2736,$F978))</f>
        <v/>
      </c>
    </row>
    <row r="979" customFormat="false" ht="15" hidden="false" customHeight="false" outlineLevel="0" collapsed="false">
      <c r="A979" s="12" t="n">
        <v>976</v>
      </c>
      <c r="B979" s="8" t="s">
        <v>3351</v>
      </c>
      <c r="C979" s="8" t="s">
        <v>433</v>
      </c>
      <c r="D979" s="11" t="n">
        <v>0.00757337962962963</v>
      </c>
      <c r="E979" s="39" t="n">
        <f aca="false">ROUND((D979-$D$5)*86400,2)</f>
        <v>115.32</v>
      </c>
      <c r="F979" s="12" t="n">
        <v>2168</v>
      </c>
      <c r="G979" s="11" t="str">
        <f aca="false">IF(INDEX(選手一覧!$D$5:$D$2736,$F979)="","",INDEX(選手一覧!$D$5:$D$2736,$F979))</f>
        <v/>
      </c>
      <c r="H979" s="12" t="str">
        <f aca="false">IF(INDEX(選手一覧!$E$5:$E$2736,$F979)="","",INDEX(選手一覧!$E$5:$E$2736,$F979))</f>
        <v/>
      </c>
      <c r="I979" s="11" t="str">
        <f aca="false">IF(INDEX(選手一覧!$H$5:$H$2736,$F979)="","",INDEX(選手一覧!$H$5:$H$2736,$F979))</f>
        <v/>
      </c>
      <c r="J979" s="12" t="str">
        <f aca="false">IF(INDEX(選手一覧!$I$5:$I$2736,$F979)="","",INDEX(選手一覧!$I$5:$I$2736,$F979))</f>
        <v/>
      </c>
    </row>
    <row r="980" customFormat="false" ht="15" hidden="false" customHeight="false" outlineLevel="0" collapsed="false">
      <c r="A980" s="12" t="n">
        <v>977</v>
      </c>
      <c r="B980" s="8" t="s">
        <v>3352</v>
      </c>
      <c r="C980" s="8" t="s">
        <v>192</v>
      </c>
      <c r="D980" s="11" t="n">
        <v>0.00757511574074074</v>
      </c>
      <c r="E980" s="39" t="n">
        <f aca="false">ROUND((D980-$D$5)*86400,2)</f>
        <v>115.47</v>
      </c>
      <c r="F980" s="12" t="n">
        <v>2169</v>
      </c>
      <c r="G980" s="11" t="str">
        <f aca="false">IF(INDEX(選手一覧!$D$5:$D$2736,$F980)="","",INDEX(選手一覧!$D$5:$D$2736,$F980))</f>
        <v/>
      </c>
      <c r="H980" s="12" t="str">
        <f aca="false">IF(INDEX(選手一覧!$E$5:$E$2736,$F980)="","",INDEX(選手一覧!$E$5:$E$2736,$F980))</f>
        <v/>
      </c>
      <c r="I980" s="11" t="str">
        <f aca="false">IF(INDEX(選手一覧!$H$5:$H$2736,$F980)="","",INDEX(選手一覧!$H$5:$H$2736,$F980))</f>
        <v/>
      </c>
      <c r="J980" s="12" t="str">
        <f aca="false">IF(INDEX(選手一覧!$I$5:$I$2736,$F980)="","",INDEX(選手一覧!$I$5:$I$2736,$F980))</f>
        <v/>
      </c>
    </row>
    <row r="981" customFormat="false" ht="15" hidden="false" customHeight="false" outlineLevel="0" collapsed="false">
      <c r="A981" s="12" t="n">
        <v>978</v>
      </c>
      <c r="B981" s="8" t="s">
        <v>3355</v>
      </c>
      <c r="C981" s="8" t="s">
        <v>1042</v>
      </c>
      <c r="D981" s="11" t="n">
        <v>0.00757627314814815</v>
      </c>
      <c r="E981" s="39" t="n">
        <f aca="false">ROUND((D981-$D$5)*86400,2)</f>
        <v>115.57</v>
      </c>
      <c r="F981" s="12" t="n">
        <v>2171</v>
      </c>
      <c r="G981" s="11" t="str">
        <f aca="false">IF(INDEX(選手一覧!$D$5:$D$2736,$F981)="","",INDEX(選手一覧!$D$5:$D$2736,$F981))</f>
        <v/>
      </c>
      <c r="H981" s="12" t="str">
        <f aca="false">IF(INDEX(選手一覧!$E$5:$E$2736,$F981)="","",INDEX(選手一覧!$E$5:$E$2736,$F981))</f>
        <v/>
      </c>
      <c r="I981" s="11" t="n">
        <f aca="false">IF(INDEX(選手一覧!$H$5:$H$2736,$F981)="","",INDEX(選手一覧!$H$5:$H$2736,$F981))</f>
        <v>0.00295902777777778</v>
      </c>
      <c r="J981" s="12" t="n">
        <f aca="false">IF(INDEX(選手一覧!$I$5:$I$2736,$F981)="","",INDEX(選手一覧!$I$5:$I$2736,$F981))</f>
        <v>1264</v>
      </c>
    </row>
    <row r="982" customFormat="false" ht="15" hidden="false" customHeight="false" outlineLevel="0" collapsed="false">
      <c r="A982" s="12" t="n">
        <v>979</v>
      </c>
      <c r="B982" s="8" t="s">
        <v>3357</v>
      </c>
      <c r="C982" s="8" t="s">
        <v>3358</v>
      </c>
      <c r="D982" s="11" t="n">
        <v>0.00757916666666667</v>
      </c>
      <c r="E982" s="39" t="n">
        <f aca="false">ROUND((D982-$D$5)*86400,2)</f>
        <v>115.82</v>
      </c>
      <c r="F982" s="12" t="n">
        <v>2173</v>
      </c>
      <c r="G982" s="11" t="str">
        <f aca="false">IF(INDEX(選手一覧!$D$5:$D$2736,$F982)="","",INDEX(選手一覧!$D$5:$D$2736,$F982))</f>
        <v/>
      </c>
      <c r="H982" s="12" t="str">
        <f aca="false">IF(INDEX(選手一覧!$E$5:$E$2736,$F982)="","",INDEX(選手一覧!$E$5:$E$2736,$F982))</f>
        <v/>
      </c>
      <c r="I982" s="11" t="str">
        <f aca="false">IF(INDEX(選手一覧!$H$5:$H$2736,$F982)="","",INDEX(選手一覧!$H$5:$H$2736,$F982))</f>
        <v/>
      </c>
      <c r="J982" s="12" t="str">
        <f aca="false">IF(INDEX(選手一覧!$I$5:$I$2736,$F982)="","",INDEX(選手一覧!$I$5:$I$2736,$F982))</f>
        <v/>
      </c>
    </row>
    <row r="983" customFormat="false" ht="15" hidden="false" customHeight="false" outlineLevel="0" collapsed="false">
      <c r="A983" s="12" t="n">
        <v>980</v>
      </c>
      <c r="B983" s="8" t="s">
        <v>3360</v>
      </c>
      <c r="C983" s="8" t="s">
        <v>1699</v>
      </c>
      <c r="D983" s="11" t="n">
        <v>0.00757939814814815</v>
      </c>
      <c r="E983" s="39" t="n">
        <f aca="false">ROUND((D983-$D$5)*86400,2)</f>
        <v>115.84</v>
      </c>
      <c r="F983" s="12" t="n">
        <v>2175</v>
      </c>
      <c r="G983" s="11" t="str">
        <f aca="false">IF(INDEX(選手一覧!$D$5:$D$2736,$F983)="","",INDEX(選手一覧!$D$5:$D$2736,$F983))</f>
        <v/>
      </c>
      <c r="H983" s="12" t="str">
        <f aca="false">IF(INDEX(選手一覧!$E$5:$E$2736,$F983)="","",INDEX(選手一覧!$E$5:$E$2736,$F983))</f>
        <v/>
      </c>
      <c r="I983" s="11" t="str">
        <f aca="false">IF(INDEX(選手一覧!$H$5:$H$2736,$F983)="","",INDEX(選手一覧!$H$5:$H$2736,$F983))</f>
        <v/>
      </c>
      <c r="J983" s="12" t="str">
        <f aca="false">IF(INDEX(選手一覧!$I$5:$I$2736,$F983)="","",INDEX(選手一覧!$I$5:$I$2736,$F983))</f>
        <v/>
      </c>
    </row>
    <row r="984" customFormat="false" ht="15" hidden="false" customHeight="false" outlineLevel="0" collapsed="false">
      <c r="A984" s="12" t="n">
        <v>981</v>
      </c>
      <c r="B984" s="8" t="s">
        <v>1976</v>
      </c>
      <c r="C984" s="8" t="s">
        <v>1977</v>
      </c>
      <c r="D984" s="11" t="n">
        <v>0.00757974537037037</v>
      </c>
      <c r="E984" s="39" t="n">
        <f aca="false">ROUND((D984-$D$5)*86400,2)</f>
        <v>115.87</v>
      </c>
      <c r="F984" s="12" t="n">
        <v>1245</v>
      </c>
      <c r="G984" s="11" t="n">
        <f aca="false">IF(INDEX(選手一覧!$D$5:$D$2736,$F984)="","",INDEX(選手一覧!$D$5:$D$2736,$F984))</f>
        <v>0.011078125</v>
      </c>
      <c r="H984" s="12" t="n">
        <f aca="false">IF(INDEX(選手一覧!$E$5:$E$2736,$F984)="","",INDEX(選手一覧!$E$5:$E$2736,$F984))</f>
        <v>1246</v>
      </c>
      <c r="I984" s="11" t="str">
        <f aca="false">IF(INDEX(選手一覧!$H$5:$H$2736,$F984)="","",INDEX(選手一覧!$H$5:$H$2736,$F984))</f>
        <v/>
      </c>
      <c r="J984" s="12" t="str">
        <f aca="false">IF(INDEX(選手一覧!$I$5:$I$2736,$F984)="","",INDEX(選手一覧!$I$5:$I$2736,$F984))</f>
        <v/>
      </c>
    </row>
    <row r="985" customFormat="false" ht="15" hidden="false" customHeight="false" outlineLevel="0" collapsed="false">
      <c r="A985" s="12" t="n">
        <v>982</v>
      </c>
      <c r="B985" s="8" t="s">
        <v>3361</v>
      </c>
      <c r="C985" s="8" t="s">
        <v>3096</v>
      </c>
      <c r="D985" s="11" t="n">
        <v>0.00757997685185185</v>
      </c>
      <c r="E985" s="39" t="n">
        <f aca="false">ROUND((D985-$D$5)*86400,2)</f>
        <v>115.89</v>
      </c>
      <c r="F985" s="12" t="n">
        <v>2176</v>
      </c>
      <c r="G985" s="11" t="str">
        <f aca="false">IF(INDEX(選手一覧!$D$5:$D$2736,$F985)="","",INDEX(選手一覧!$D$5:$D$2736,$F985))</f>
        <v/>
      </c>
      <c r="H985" s="12" t="str">
        <f aca="false">IF(INDEX(選手一覧!$E$5:$E$2736,$F985)="","",INDEX(選手一覧!$E$5:$E$2736,$F985))</f>
        <v/>
      </c>
      <c r="I985" s="11" t="str">
        <f aca="false">IF(INDEX(選手一覧!$H$5:$H$2736,$F985)="","",INDEX(選手一覧!$H$5:$H$2736,$F985))</f>
        <v/>
      </c>
      <c r="J985" s="12" t="str">
        <f aca="false">IF(INDEX(選手一覧!$I$5:$I$2736,$F985)="","",INDEX(選手一覧!$I$5:$I$2736,$F985))</f>
        <v/>
      </c>
    </row>
    <row r="986" customFormat="false" ht="15" hidden="false" customHeight="false" outlineLevel="0" collapsed="false">
      <c r="A986" s="12" t="n">
        <v>983</v>
      </c>
      <c r="B986" s="8" t="s">
        <v>3362</v>
      </c>
      <c r="C986" s="8" t="s">
        <v>2659</v>
      </c>
      <c r="D986" s="11" t="n">
        <v>0.00758136574074074</v>
      </c>
      <c r="E986" s="39" t="n">
        <f aca="false">ROUND((D986-$D$5)*86400,2)</f>
        <v>116.01</v>
      </c>
      <c r="F986" s="12" t="n">
        <v>2177</v>
      </c>
      <c r="G986" s="11" t="str">
        <f aca="false">IF(INDEX(選手一覧!$D$5:$D$2736,$F986)="","",INDEX(選手一覧!$D$5:$D$2736,$F986))</f>
        <v/>
      </c>
      <c r="H986" s="12" t="str">
        <f aca="false">IF(INDEX(選手一覧!$E$5:$E$2736,$F986)="","",INDEX(選手一覧!$E$5:$E$2736,$F986))</f>
        <v/>
      </c>
      <c r="I986" s="11" t="str">
        <f aca="false">IF(INDEX(選手一覧!$H$5:$H$2736,$F986)="","",INDEX(選手一覧!$H$5:$H$2736,$F986))</f>
        <v/>
      </c>
      <c r="J986" s="12" t="str">
        <f aca="false">IF(INDEX(選手一覧!$I$5:$I$2736,$F986)="","",INDEX(選手一覧!$I$5:$I$2736,$F986))</f>
        <v/>
      </c>
    </row>
    <row r="987" customFormat="false" ht="15" hidden="false" customHeight="false" outlineLevel="0" collapsed="false">
      <c r="A987" s="12" t="n">
        <v>984</v>
      </c>
      <c r="B987" s="8" t="s">
        <v>3363</v>
      </c>
      <c r="C987" s="8" t="s">
        <v>3364</v>
      </c>
      <c r="D987" s="11" t="n">
        <v>0.00758541666666667</v>
      </c>
      <c r="E987" s="39" t="n">
        <f aca="false">ROUND((D987-$D$5)*86400,2)</f>
        <v>116.36</v>
      </c>
      <c r="F987" s="12" t="n">
        <v>2178</v>
      </c>
      <c r="G987" s="11" t="str">
        <f aca="false">IF(INDEX(選手一覧!$D$5:$D$2736,$F987)="","",INDEX(選手一覧!$D$5:$D$2736,$F987))</f>
        <v/>
      </c>
      <c r="H987" s="12" t="str">
        <f aca="false">IF(INDEX(選手一覧!$E$5:$E$2736,$F987)="","",INDEX(選手一覧!$E$5:$E$2736,$F987))</f>
        <v/>
      </c>
      <c r="I987" s="11" t="str">
        <f aca="false">IF(INDEX(選手一覧!$H$5:$H$2736,$F987)="","",INDEX(選手一覧!$H$5:$H$2736,$F987))</f>
        <v/>
      </c>
      <c r="J987" s="12" t="str">
        <f aca="false">IF(INDEX(選手一覧!$I$5:$I$2736,$F987)="","",INDEX(選手一覧!$I$5:$I$2736,$F987))</f>
        <v/>
      </c>
    </row>
    <row r="988" customFormat="false" ht="15" hidden="false" customHeight="false" outlineLevel="0" collapsed="false">
      <c r="A988" s="12" t="n">
        <v>985</v>
      </c>
      <c r="B988" s="8" t="s">
        <v>3365</v>
      </c>
      <c r="C988" s="8" t="s">
        <v>2538</v>
      </c>
      <c r="D988" s="11" t="n">
        <v>0.00758645833333333</v>
      </c>
      <c r="E988" s="39" t="n">
        <f aca="false">ROUND((D988-$D$5)*86400,2)</f>
        <v>116.45</v>
      </c>
      <c r="F988" s="12" t="n">
        <v>2179</v>
      </c>
      <c r="G988" s="11" t="str">
        <f aca="false">IF(INDEX(選手一覧!$D$5:$D$2736,$F988)="","",INDEX(選手一覧!$D$5:$D$2736,$F988))</f>
        <v/>
      </c>
      <c r="H988" s="12" t="str">
        <f aca="false">IF(INDEX(選手一覧!$E$5:$E$2736,$F988)="","",INDEX(選手一覧!$E$5:$E$2736,$F988))</f>
        <v/>
      </c>
      <c r="I988" s="11" t="str">
        <f aca="false">IF(INDEX(選手一覧!$H$5:$H$2736,$F988)="","",INDEX(選手一覧!$H$5:$H$2736,$F988))</f>
        <v/>
      </c>
      <c r="J988" s="12" t="str">
        <f aca="false">IF(INDEX(選手一覧!$I$5:$I$2736,$F988)="","",INDEX(選手一覧!$I$5:$I$2736,$F988))</f>
        <v/>
      </c>
    </row>
    <row r="989" customFormat="false" ht="15" hidden="false" customHeight="false" outlineLevel="0" collapsed="false">
      <c r="A989" s="12" t="n">
        <v>986</v>
      </c>
      <c r="B989" s="8" t="s">
        <v>3366</v>
      </c>
      <c r="C989" s="8" t="s">
        <v>700</v>
      </c>
      <c r="D989" s="11" t="n">
        <v>0.00758900462962963</v>
      </c>
      <c r="E989" s="39" t="n">
        <f aca="false">ROUND((D989-$D$5)*86400,2)</f>
        <v>116.67</v>
      </c>
      <c r="F989" s="12" t="n">
        <v>2180</v>
      </c>
      <c r="G989" s="11" t="str">
        <f aca="false">IF(INDEX(選手一覧!$D$5:$D$2736,$F989)="","",INDEX(選手一覧!$D$5:$D$2736,$F989))</f>
        <v/>
      </c>
      <c r="H989" s="12" t="str">
        <f aca="false">IF(INDEX(選手一覧!$E$5:$E$2736,$F989)="","",INDEX(選手一覧!$E$5:$E$2736,$F989))</f>
        <v/>
      </c>
      <c r="I989" s="11" t="str">
        <f aca="false">IF(INDEX(選手一覧!$H$5:$H$2736,$F989)="","",INDEX(選手一覧!$H$5:$H$2736,$F989))</f>
        <v/>
      </c>
      <c r="J989" s="12" t="str">
        <f aca="false">IF(INDEX(選手一覧!$I$5:$I$2736,$F989)="","",INDEX(選手一覧!$I$5:$I$2736,$F989))</f>
        <v/>
      </c>
    </row>
    <row r="990" customFormat="false" ht="15" hidden="false" customHeight="false" outlineLevel="0" collapsed="false">
      <c r="A990" s="12" t="n">
        <v>987</v>
      </c>
      <c r="B990" s="8" t="s">
        <v>3367</v>
      </c>
      <c r="C990" s="8" t="s">
        <v>1356</v>
      </c>
      <c r="D990" s="11" t="n">
        <v>0.00759097222222222</v>
      </c>
      <c r="E990" s="39" t="n">
        <f aca="false">ROUND((D990-$D$5)*86400,2)</f>
        <v>116.84</v>
      </c>
      <c r="F990" s="12" t="n">
        <v>2181</v>
      </c>
      <c r="G990" s="11" t="str">
        <f aca="false">IF(INDEX(選手一覧!$D$5:$D$2736,$F990)="","",INDEX(選手一覧!$D$5:$D$2736,$F990))</f>
        <v/>
      </c>
      <c r="H990" s="12" t="str">
        <f aca="false">IF(INDEX(選手一覧!$E$5:$E$2736,$F990)="","",INDEX(選手一覧!$E$5:$E$2736,$F990))</f>
        <v/>
      </c>
      <c r="I990" s="11" t="str">
        <f aca="false">IF(INDEX(選手一覧!$H$5:$H$2736,$F990)="","",INDEX(選手一覧!$H$5:$H$2736,$F990))</f>
        <v/>
      </c>
      <c r="J990" s="12" t="str">
        <f aca="false">IF(INDEX(選手一覧!$I$5:$I$2736,$F990)="","",INDEX(選手一覧!$I$5:$I$2736,$F990))</f>
        <v/>
      </c>
    </row>
    <row r="991" customFormat="false" ht="15" hidden="false" customHeight="false" outlineLevel="0" collapsed="false">
      <c r="A991" s="12" t="n">
        <v>988</v>
      </c>
      <c r="B991" s="8" t="s">
        <v>3370</v>
      </c>
      <c r="C991" s="8" t="s">
        <v>3371</v>
      </c>
      <c r="D991" s="11" t="n">
        <v>0.00759189814814815</v>
      </c>
      <c r="E991" s="39" t="n">
        <f aca="false">ROUND((D991-$D$5)*86400,2)</f>
        <v>116.92</v>
      </c>
      <c r="F991" s="12" t="n">
        <v>2183</v>
      </c>
      <c r="G991" s="11" t="str">
        <f aca="false">IF(INDEX(選手一覧!$D$5:$D$2736,$F991)="","",INDEX(選手一覧!$D$5:$D$2736,$F991))</f>
        <v/>
      </c>
      <c r="H991" s="12" t="str">
        <f aca="false">IF(INDEX(選手一覧!$E$5:$E$2736,$F991)="","",INDEX(選手一覧!$E$5:$E$2736,$F991))</f>
        <v/>
      </c>
      <c r="I991" s="11" t="str">
        <f aca="false">IF(INDEX(選手一覧!$H$5:$H$2736,$F991)="","",INDEX(選手一覧!$H$5:$H$2736,$F991))</f>
        <v/>
      </c>
      <c r="J991" s="12" t="str">
        <f aca="false">IF(INDEX(選手一覧!$I$5:$I$2736,$F991)="","",INDEX(選手一覧!$I$5:$I$2736,$F991))</f>
        <v/>
      </c>
    </row>
    <row r="992" customFormat="false" ht="15" hidden="false" customHeight="false" outlineLevel="0" collapsed="false">
      <c r="A992" s="12" t="n">
        <v>989</v>
      </c>
      <c r="B992" s="8" t="s">
        <v>3372</v>
      </c>
      <c r="C992" s="8" t="s">
        <v>3373</v>
      </c>
      <c r="D992" s="11" t="n">
        <v>0.00759305555555556</v>
      </c>
      <c r="E992" s="39" t="n">
        <f aca="false">ROUND((D992-$D$5)*86400,2)</f>
        <v>117.02</v>
      </c>
      <c r="F992" s="12" t="n">
        <v>2184</v>
      </c>
      <c r="G992" s="11" t="str">
        <f aca="false">IF(INDEX(選手一覧!$D$5:$D$2736,$F992)="","",INDEX(選手一覧!$D$5:$D$2736,$F992))</f>
        <v/>
      </c>
      <c r="H992" s="12" t="str">
        <f aca="false">IF(INDEX(選手一覧!$E$5:$E$2736,$F992)="","",INDEX(選手一覧!$E$5:$E$2736,$F992))</f>
        <v/>
      </c>
      <c r="I992" s="11" t="str">
        <f aca="false">IF(INDEX(選手一覧!$H$5:$H$2736,$F992)="","",INDEX(選手一覧!$H$5:$H$2736,$F992))</f>
        <v/>
      </c>
      <c r="J992" s="12" t="str">
        <f aca="false">IF(INDEX(選手一覧!$I$5:$I$2736,$F992)="","",INDEX(選手一覧!$I$5:$I$2736,$F992))</f>
        <v/>
      </c>
    </row>
    <row r="993" customFormat="false" ht="15" hidden="false" customHeight="false" outlineLevel="0" collapsed="false">
      <c r="A993" s="12" t="n">
        <v>990</v>
      </c>
      <c r="B993" s="8" t="s">
        <v>3376</v>
      </c>
      <c r="C993" s="8" t="s">
        <v>3377</v>
      </c>
      <c r="D993" s="11" t="n">
        <v>0.0075931712962963</v>
      </c>
      <c r="E993" s="39" t="n">
        <f aca="false">ROUND((D993-$D$5)*86400,2)</f>
        <v>117.03</v>
      </c>
      <c r="F993" s="12" t="n">
        <v>2186</v>
      </c>
      <c r="G993" s="11" t="str">
        <f aca="false">IF(INDEX(選手一覧!$D$5:$D$2736,$F993)="","",INDEX(選手一覧!$D$5:$D$2736,$F993))</f>
        <v/>
      </c>
      <c r="H993" s="12" t="str">
        <f aca="false">IF(INDEX(選手一覧!$E$5:$E$2736,$F993)="","",INDEX(選手一覧!$E$5:$E$2736,$F993))</f>
        <v/>
      </c>
      <c r="I993" s="11" t="str">
        <f aca="false">IF(INDEX(選手一覧!$H$5:$H$2736,$F993)="","",INDEX(選手一覧!$H$5:$H$2736,$F993))</f>
        <v/>
      </c>
      <c r="J993" s="12" t="str">
        <f aca="false">IF(INDEX(選手一覧!$I$5:$I$2736,$F993)="","",INDEX(選手一覧!$I$5:$I$2736,$F993))</f>
        <v/>
      </c>
    </row>
    <row r="994" customFormat="false" ht="15" hidden="false" customHeight="false" outlineLevel="0" collapsed="false">
      <c r="A994" s="12" t="n">
        <v>991</v>
      </c>
      <c r="B994" s="8" t="s">
        <v>3378</v>
      </c>
      <c r="C994" s="8" t="s">
        <v>3379</v>
      </c>
      <c r="D994" s="11" t="n">
        <v>0.00759328703703704</v>
      </c>
      <c r="E994" s="39" t="n">
        <f aca="false">ROUND((D994-$D$5)*86400,2)</f>
        <v>117.04</v>
      </c>
      <c r="F994" s="12" t="n">
        <v>2187</v>
      </c>
      <c r="G994" s="11" t="str">
        <f aca="false">IF(INDEX(選手一覧!$D$5:$D$2736,$F994)="","",INDEX(選手一覧!$D$5:$D$2736,$F994))</f>
        <v/>
      </c>
      <c r="H994" s="12" t="str">
        <f aca="false">IF(INDEX(選手一覧!$E$5:$E$2736,$F994)="","",INDEX(選手一覧!$E$5:$E$2736,$F994))</f>
        <v/>
      </c>
      <c r="I994" s="11" t="str">
        <f aca="false">IF(INDEX(選手一覧!$H$5:$H$2736,$F994)="","",INDEX(選手一覧!$H$5:$H$2736,$F994))</f>
        <v/>
      </c>
      <c r="J994" s="12" t="str">
        <f aca="false">IF(INDEX(選手一覧!$I$5:$I$2736,$F994)="","",INDEX(選手一覧!$I$5:$I$2736,$F994))</f>
        <v/>
      </c>
    </row>
    <row r="995" customFormat="false" ht="15" hidden="false" customHeight="false" outlineLevel="0" collapsed="false">
      <c r="A995" s="12" t="n">
        <v>992</v>
      </c>
      <c r="B995" s="8" t="s">
        <v>3380</v>
      </c>
      <c r="C995" s="8" t="s">
        <v>3381</v>
      </c>
      <c r="D995" s="11" t="n">
        <v>0.00759328703703704</v>
      </c>
      <c r="E995" s="39" t="n">
        <f aca="false">ROUND((D995-$D$5)*86400,2)</f>
        <v>117.04</v>
      </c>
      <c r="F995" s="12" t="n">
        <v>2188</v>
      </c>
      <c r="G995" s="11" t="str">
        <f aca="false">IF(INDEX(選手一覧!$D$5:$D$2736,$F995)="","",INDEX(選手一覧!$D$5:$D$2736,$F995))</f>
        <v/>
      </c>
      <c r="H995" s="12" t="str">
        <f aca="false">IF(INDEX(選手一覧!$E$5:$E$2736,$F995)="","",INDEX(選手一覧!$E$5:$E$2736,$F995))</f>
        <v/>
      </c>
      <c r="I995" s="11" t="str">
        <f aca="false">IF(INDEX(選手一覧!$H$5:$H$2736,$F995)="","",INDEX(選手一覧!$H$5:$H$2736,$F995))</f>
        <v/>
      </c>
      <c r="J995" s="12" t="str">
        <f aca="false">IF(INDEX(選手一覧!$I$5:$I$2736,$F995)="","",INDEX(選手一覧!$I$5:$I$2736,$F995))</f>
        <v/>
      </c>
    </row>
    <row r="996" customFormat="false" ht="15" hidden="false" customHeight="false" outlineLevel="0" collapsed="false">
      <c r="A996" s="12" t="n">
        <v>993</v>
      </c>
      <c r="B996" s="8" t="s">
        <v>3382</v>
      </c>
      <c r="C996" s="8" t="s">
        <v>3383</v>
      </c>
      <c r="D996" s="11" t="n">
        <v>0.00759479166666667</v>
      </c>
      <c r="E996" s="39" t="n">
        <f aca="false">ROUND((D996-$D$5)*86400,2)</f>
        <v>117.17</v>
      </c>
      <c r="F996" s="12" t="n">
        <v>2189</v>
      </c>
      <c r="G996" s="11" t="str">
        <f aca="false">IF(INDEX(選手一覧!$D$5:$D$2736,$F996)="","",INDEX(選手一覧!$D$5:$D$2736,$F996))</f>
        <v/>
      </c>
      <c r="H996" s="12" t="str">
        <f aca="false">IF(INDEX(選手一覧!$E$5:$E$2736,$F996)="","",INDEX(選手一覧!$E$5:$E$2736,$F996))</f>
        <v/>
      </c>
      <c r="I996" s="11" t="str">
        <f aca="false">IF(INDEX(選手一覧!$H$5:$H$2736,$F996)="","",INDEX(選手一覧!$H$5:$H$2736,$F996))</f>
        <v/>
      </c>
      <c r="J996" s="12" t="str">
        <f aca="false">IF(INDEX(選手一覧!$I$5:$I$2736,$F996)="","",INDEX(選手一覧!$I$5:$I$2736,$F996))</f>
        <v/>
      </c>
    </row>
    <row r="997" customFormat="false" ht="15" hidden="false" customHeight="false" outlineLevel="0" collapsed="false">
      <c r="A997" s="12" t="n">
        <v>994</v>
      </c>
      <c r="B997" s="8" t="s">
        <v>3384</v>
      </c>
      <c r="C997" s="8" t="s">
        <v>3385</v>
      </c>
      <c r="D997" s="11" t="n">
        <v>0.00759895833333333</v>
      </c>
      <c r="E997" s="39" t="n">
        <f aca="false">ROUND((D997-$D$5)*86400,2)</f>
        <v>117.53</v>
      </c>
      <c r="F997" s="12" t="n">
        <v>2190</v>
      </c>
      <c r="G997" s="11" t="str">
        <f aca="false">IF(INDEX(選手一覧!$D$5:$D$2736,$F997)="","",INDEX(選手一覧!$D$5:$D$2736,$F997))</f>
        <v/>
      </c>
      <c r="H997" s="12" t="str">
        <f aca="false">IF(INDEX(選手一覧!$E$5:$E$2736,$F997)="","",INDEX(選手一覧!$E$5:$E$2736,$F997))</f>
        <v/>
      </c>
      <c r="I997" s="11" t="str">
        <f aca="false">IF(INDEX(選手一覧!$H$5:$H$2736,$F997)="","",INDEX(選手一覧!$H$5:$H$2736,$F997))</f>
        <v/>
      </c>
      <c r="J997" s="12" t="str">
        <f aca="false">IF(INDEX(選手一覧!$I$5:$I$2736,$F997)="","",INDEX(選手一覧!$I$5:$I$2736,$F997))</f>
        <v/>
      </c>
    </row>
    <row r="998" customFormat="false" ht="15" hidden="false" customHeight="false" outlineLevel="0" collapsed="false">
      <c r="A998" s="12" t="n">
        <v>995</v>
      </c>
      <c r="B998" s="8" t="s">
        <v>3388</v>
      </c>
      <c r="C998" s="8" t="s">
        <v>3389</v>
      </c>
      <c r="D998" s="11" t="n">
        <v>0.00759953703703704</v>
      </c>
      <c r="E998" s="39" t="n">
        <f aca="false">ROUND((D998-$D$5)*86400,2)</f>
        <v>117.58</v>
      </c>
      <c r="F998" s="12" t="n">
        <v>2192</v>
      </c>
      <c r="G998" s="11" t="str">
        <f aca="false">IF(INDEX(選手一覧!$D$5:$D$2736,$F998)="","",INDEX(選手一覧!$D$5:$D$2736,$F998))</f>
        <v/>
      </c>
      <c r="H998" s="12" t="str">
        <f aca="false">IF(INDEX(選手一覧!$E$5:$E$2736,$F998)="","",INDEX(選手一覧!$E$5:$E$2736,$F998))</f>
        <v/>
      </c>
      <c r="I998" s="11" t="str">
        <f aca="false">IF(INDEX(選手一覧!$H$5:$H$2736,$F998)="","",INDEX(選手一覧!$H$5:$H$2736,$F998))</f>
        <v/>
      </c>
      <c r="J998" s="12" t="str">
        <f aca="false">IF(INDEX(選手一覧!$I$5:$I$2736,$F998)="","",INDEX(選手一覧!$I$5:$I$2736,$F998))</f>
        <v/>
      </c>
    </row>
    <row r="999" customFormat="false" ht="15" hidden="false" customHeight="false" outlineLevel="0" collapsed="false">
      <c r="A999" s="12" t="n">
        <v>996</v>
      </c>
      <c r="B999" s="8" t="s">
        <v>3390</v>
      </c>
      <c r="C999" s="8" t="s">
        <v>2930</v>
      </c>
      <c r="D999" s="11" t="n">
        <v>0.00760289351851852</v>
      </c>
      <c r="E999" s="39" t="n">
        <f aca="false">ROUND((D999-$D$5)*86400,2)</f>
        <v>117.87</v>
      </c>
      <c r="F999" s="12" t="n">
        <v>2193</v>
      </c>
      <c r="G999" s="11" t="str">
        <f aca="false">IF(INDEX(選手一覧!$D$5:$D$2736,$F999)="","",INDEX(選手一覧!$D$5:$D$2736,$F999))</f>
        <v/>
      </c>
      <c r="H999" s="12" t="str">
        <f aca="false">IF(INDEX(選手一覧!$E$5:$E$2736,$F999)="","",INDEX(選手一覧!$E$5:$E$2736,$F999))</f>
        <v/>
      </c>
      <c r="I999" s="11" t="str">
        <f aca="false">IF(INDEX(選手一覧!$H$5:$H$2736,$F999)="","",INDEX(選手一覧!$H$5:$H$2736,$F999))</f>
        <v/>
      </c>
      <c r="J999" s="12" t="str">
        <f aca="false">IF(INDEX(選手一覧!$I$5:$I$2736,$F999)="","",INDEX(選手一覧!$I$5:$I$2736,$F999))</f>
        <v/>
      </c>
    </row>
    <row r="1000" customFormat="false" ht="15" hidden="false" customHeight="false" outlineLevel="0" collapsed="false">
      <c r="A1000" s="12" t="n">
        <v>997</v>
      </c>
      <c r="B1000" s="8" t="s">
        <v>3391</v>
      </c>
      <c r="C1000" s="8" t="s">
        <v>1456</v>
      </c>
      <c r="D1000" s="11" t="n">
        <v>0.00760613425925926</v>
      </c>
      <c r="E1000" s="39" t="n">
        <f aca="false">ROUND((D1000-$D$5)*86400,2)</f>
        <v>118.15</v>
      </c>
      <c r="F1000" s="12" t="n">
        <v>2194</v>
      </c>
      <c r="G1000" s="11" t="str">
        <f aca="false">IF(INDEX(選手一覧!$D$5:$D$2736,$F1000)="","",INDEX(選手一覧!$D$5:$D$2736,$F1000))</f>
        <v/>
      </c>
      <c r="H1000" s="12" t="str">
        <f aca="false">IF(INDEX(選手一覧!$E$5:$E$2736,$F1000)="","",INDEX(選手一覧!$E$5:$E$2736,$F1000))</f>
        <v/>
      </c>
      <c r="I1000" s="11" t="str">
        <f aca="false">IF(INDEX(選手一覧!$H$5:$H$2736,$F1000)="","",INDEX(選手一覧!$H$5:$H$2736,$F1000))</f>
        <v/>
      </c>
      <c r="J1000" s="12" t="str">
        <f aca="false">IF(INDEX(選手一覧!$I$5:$I$2736,$F1000)="","",INDEX(選手一覧!$I$5:$I$2736,$F1000))</f>
        <v/>
      </c>
    </row>
    <row r="1001" customFormat="false" ht="15" hidden="false" customHeight="false" outlineLevel="0" collapsed="false">
      <c r="A1001" s="12" t="n">
        <v>998</v>
      </c>
      <c r="B1001" s="8" t="s">
        <v>3392</v>
      </c>
      <c r="C1001" s="8" t="s">
        <v>1192</v>
      </c>
      <c r="D1001" s="11" t="n">
        <v>0.0076068287037037</v>
      </c>
      <c r="E1001" s="39" t="n">
        <f aca="false">ROUND((D1001-$D$5)*86400,2)</f>
        <v>118.21</v>
      </c>
      <c r="F1001" s="12" t="n">
        <v>2195</v>
      </c>
      <c r="G1001" s="11" t="str">
        <f aca="false">IF(INDEX(選手一覧!$D$5:$D$2736,$F1001)="","",INDEX(選手一覧!$D$5:$D$2736,$F1001))</f>
        <v/>
      </c>
      <c r="H1001" s="12" t="str">
        <f aca="false">IF(INDEX(選手一覧!$E$5:$E$2736,$F1001)="","",INDEX(選手一覧!$E$5:$E$2736,$F1001))</f>
        <v/>
      </c>
      <c r="I1001" s="11" t="str">
        <f aca="false">IF(INDEX(選手一覧!$H$5:$H$2736,$F1001)="","",INDEX(選手一覧!$H$5:$H$2736,$F1001))</f>
        <v/>
      </c>
      <c r="J1001" s="12" t="str">
        <f aca="false">IF(INDEX(選手一覧!$I$5:$I$2736,$F1001)="","",INDEX(選手一覧!$I$5:$I$2736,$F1001))</f>
        <v/>
      </c>
    </row>
    <row r="1002" customFormat="false" ht="15" hidden="false" customHeight="false" outlineLevel="0" collapsed="false">
      <c r="A1002" s="12" t="n">
        <v>999</v>
      </c>
      <c r="B1002" s="8" t="s">
        <v>3393</v>
      </c>
      <c r="C1002" s="8" t="s">
        <v>2387</v>
      </c>
      <c r="D1002" s="11" t="n">
        <v>0.00760740740740741</v>
      </c>
      <c r="E1002" s="39" t="n">
        <f aca="false">ROUND((D1002-$D$5)*86400,2)</f>
        <v>118.26</v>
      </c>
      <c r="F1002" s="12" t="n">
        <v>2196</v>
      </c>
      <c r="G1002" s="11" t="str">
        <f aca="false">IF(INDEX(選手一覧!$D$5:$D$2736,$F1002)="","",INDEX(選手一覧!$D$5:$D$2736,$F1002))</f>
        <v/>
      </c>
      <c r="H1002" s="12" t="str">
        <f aca="false">IF(INDEX(選手一覧!$E$5:$E$2736,$F1002)="","",INDEX(選手一覧!$E$5:$E$2736,$F1002))</f>
        <v/>
      </c>
      <c r="I1002" s="11" t="str">
        <f aca="false">IF(INDEX(選手一覧!$H$5:$H$2736,$F1002)="","",INDEX(選手一覧!$H$5:$H$2736,$F1002))</f>
        <v/>
      </c>
      <c r="J1002" s="12" t="str">
        <f aca="false">IF(INDEX(選手一覧!$I$5:$I$2736,$F1002)="","",INDEX(選手一覧!$I$5:$I$2736,$F1002))</f>
        <v/>
      </c>
    </row>
    <row r="1003" customFormat="false" ht="15" hidden="false" customHeight="false" outlineLevel="0" collapsed="false">
      <c r="A1003" s="12" t="n">
        <v>1000</v>
      </c>
      <c r="B1003" s="8" t="s">
        <v>3394</v>
      </c>
      <c r="C1003" s="8" t="s">
        <v>172</v>
      </c>
      <c r="D1003" s="11" t="n">
        <v>0.00760763888888889</v>
      </c>
      <c r="E1003" s="39" t="n">
        <f aca="false">ROUND((D1003-$D$5)*86400,2)</f>
        <v>118.28</v>
      </c>
      <c r="F1003" s="12" t="n">
        <v>2197</v>
      </c>
      <c r="G1003" s="11" t="str">
        <f aca="false">IF(INDEX(選手一覧!$D$5:$D$2736,$F1003)="","",INDEX(選手一覧!$D$5:$D$2736,$F1003))</f>
        <v/>
      </c>
      <c r="H1003" s="12" t="str">
        <f aca="false">IF(INDEX(選手一覧!$E$5:$E$2736,$F1003)="","",INDEX(選手一覧!$E$5:$E$2736,$F1003))</f>
        <v/>
      </c>
      <c r="I1003" s="11" t="str">
        <f aca="false">IF(INDEX(選手一覧!$H$5:$H$2736,$F1003)="","",INDEX(選手一覧!$H$5:$H$2736,$F1003))</f>
        <v/>
      </c>
      <c r="J1003" s="12" t="str">
        <f aca="false">IF(INDEX(選手一覧!$I$5:$I$2736,$F1003)="","",INDEX(選手一覧!$I$5:$I$2736,$F1003))</f>
        <v/>
      </c>
    </row>
    <row r="1004" customFormat="false" ht="15" hidden="false" customHeight="false" outlineLevel="0" collapsed="false">
      <c r="A1004" s="12" t="n">
        <v>1001</v>
      </c>
      <c r="B1004" s="8" t="s">
        <v>3395</v>
      </c>
      <c r="C1004" s="8" t="s">
        <v>192</v>
      </c>
      <c r="D1004" s="11" t="n">
        <v>0.00760798611111111</v>
      </c>
      <c r="E1004" s="39" t="n">
        <f aca="false">ROUND((D1004-$D$5)*86400,2)</f>
        <v>118.31</v>
      </c>
      <c r="F1004" s="12" t="n">
        <v>2198</v>
      </c>
      <c r="G1004" s="11" t="str">
        <f aca="false">IF(INDEX(選手一覧!$D$5:$D$2736,$F1004)="","",INDEX(選手一覧!$D$5:$D$2736,$F1004))</f>
        <v/>
      </c>
      <c r="H1004" s="12" t="str">
        <f aca="false">IF(INDEX(選手一覧!$E$5:$E$2736,$F1004)="","",INDEX(選手一覧!$E$5:$E$2736,$F1004))</f>
        <v/>
      </c>
      <c r="I1004" s="11" t="str">
        <f aca="false">IF(INDEX(選手一覧!$H$5:$H$2736,$F1004)="","",INDEX(選手一覧!$H$5:$H$2736,$F1004))</f>
        <v/>
      </c>
      <c r="J1004" s="12" t="str">
        <f aca="false">IF(INDEX(選手一覧!$I$5:$I$2736,$F1004)="","",INDEX(選手一覧!$I$5:$I$2736,$F1004))</f>
        <v/>
      </c>
    </row>
    <row r="1005" customFormat="false" ht="15" hidden="false" customHeight="false" outlineLevel="0" collapsed="false">
      <c r="A1005" s="12" t="n">
        <v>1002</v>
      </c>
      <c r="B1005" s="8" t="s">
        <v>3398</v>
      </c>
      <c r="C1005" s="8" t="s">
        <v>1901</v>
      </c>
      <c r="D1005" s="11" t="n">
        <v>0.00760821759259259</v>
      </c>
      <c r="E1005" s="39" t="n">
        <f aca="false">ROUND((D1005-$D$5)*86400,2)</f>
        <v>118.33</v>
      </c>
      <c r="F1005" s="12" t="n">
        <v>2200</v>
      </c>
      <c r="G1005" s="11" t="str">
        <f aca="false">IF(INDEX(選手一覧!$D$5:$D$2736,$F1005)="","",INDEX(選手一覧!$D$5:$D$2736,$F1005))</f>
        <v/>
      </c>
      <c r="H1005" s="12" t="str">
        <f aca="false">IF(INDEX(選手一覧!$E$5:$E$2736,$F1005)="","",INDEX(選手一覧!$E$5:$E$2736,$F1005))</f>
        <v/>
      </c>
      <c r="I1005" s="11" t="str">
        <f aca="false">IF(INDEX(選手一覧!$H$5:$H$2736,$F1005)="","",INDEX(選手一覧!$H$5:$H$2736,$F1005))</f>
        <v/>
      </c>
      <c r="J1005" s="12" t="str">
        <f aca="false">IF(INDEX(選手一覧!$I$5:$I$2736,$F1005)="","",INDEX(選手一覧!$I$5:$I$2736,$F1005))</f>
        <v/>
      </c>
    </row>
    <row r="1006" customFormat="false" ht="15" hidden="false" customHeight="false" outlineLevel="0" collapsed="false">
      <c r="A1006" s="12" t="n">
        <v>1003</v>
      </c>
      <c r="B1006" s="8" t="s">
        <v>3401</v>
      </c>
      <c r="C1006" s="8" t="s">
        <v>2867</v>
      </c>
      <c r="D1006" s="11" t="n">
        <v>0.00761168981481481</v>
      </c>
      <c r="E1006" s="39" t="n">
        <f aca="false">ROUND((D1006-$D$5)*86400,2)</f>
        <v>118.63</v>
      </c>
      <c r="F1006" s="12" t="n">
        <v>2202</v>
      </c>
      <c r="G1006" s="11" t="str">
        <f aca="false">IF(INDEX(選手一覧!$D$5:$D$2736,$F1006)="","",INDEX(選手一覧!$D$5:$D$2736,$F1006))</f>
        <v/>
      </c>
      <c r="H1006" s="12" t="str">
        <f aca="false">IF(INDEX(選手一覧!$E$5:$E$2736,$F1006)="","",INDEX(選手一覧!$E$5:$E$2736,$F1006))</f>
        <v/>
      </c>
      <c r="I1006" s="11" t="str">
        <f aca="false">IF(INDEX(選手一覧!$H$5:$H$2736,$F1006)="","",INDEX(選手一覧!$H$5:$H$2736,$F1006))</f>
        <v/>
      </c>
      <c r="J1006" s="12" t="str">
        <f aca="false">IF(INDEX(選手一覧!$I$5:$I$2736,$F1006)="","",INDEX(選手一覧!$I$5:$I$2736,$F1006))</f>
        <v/>
      </c>
    </row>
    <row r="1007" customFormat="false" ht="15" hidden="false" customHeight="false" outlineLevel="0" collapsed="false">
      <c r="A1007" s="12" t="n">
        <v>1004</v>
      </c>
      <c r="B1007" s="8" t="s">
        <v>3402</v>
      </c>
      <c r="C1007" s="8" t="s">
        <v>3403</v>
      </c>
      <c r="D1007" s="11" t="n">
        <v>0.00761354166666667</v>
      </c>
      <c r="E1007" s="39" t="n">
        <f aca="false">ROUND((D1007-$D$5)*86400,2)</f>
        <v>118.79</v>
      </c>
      <c r="F1007" s="12" t="n">
        <v>2203</v>
      </c>
      <c r="G1007" s="11" t="str">
        <f aca="false">IF(INDEX(選手一覧!$D$5:$D$2736,$F1007)="","",INDEX(選手一覧!$D$5:$D$2736,$F1007))</f>
        <v/>
      </c>
      <c r="H1007" s="12" t="str">
        <f aca="false">IF(INDEX(選手一覧!$E$5:$E$2736,$F1007)="","",INDEX(選手一覧!$E$5:$E$2736,$F1007))</f>
        <v/>
      </c>
      <c r="I1007" s="11" t="str">
        <f aca="false">IF(INDEX(選手一覧!$H$5:$H$2736,$F1007)="","",INDEX(選手一覧!$H$5:$H$2736,$F1007))</f>
        <v/>
      </c>
      <c r="J1007" s="12" t="str">
        <f aca="false">IF(INDEX(選手一覧!$I$5:$I$2736,$F1007)="","",INDEX(選手一覧!$I$5:$I$2736,$F1007))</f>
        <v/>
      </c>
    </row>
    <row r="1008" customFormat="false" ht="15" hidden="false" customHeight="false" outlineLevel="0" collapsed="false">
      <c r="A1008" s="12" t="n">
        <v>1005</v>
      </c>
      <c r="B1008" s="8" t="s">
        <v>3406</v>
      </c>
      <c r="C1008" s="8" t="s">
        <v>2586</v>
      </c>
      <c r="D1008" s="11" t="n">
        <v>0.00761446759259259</v>
      </c>
      <c r="E1008" s="39" t="n">
        <f aca="false">ROUND((D1008-$D$5)*86400,2)</f>
        <v>118.87</v>
      </c>
      <c r="F1008" s="12" t="n">
        <v>2205</v>
      </c>
      <c r="G1008" s="11" t="str">
        <f aca="false">IF(INDEX(選手一覧!$D$5:$D$2736,$F1008)="","",INDEX(選手一覧!$D$5:$D$2736,$F1008))</f>
        <v/>
      </c>
      <c r="H1008" s="12" t="str">
        <f aca="false">IF(INDEX(選手一覧!$E$5:$E$2736,$F1008)="","",INDEX(選手一覧!$E$5:$E$2736,$F1008))</f>
        <v/>
      </c>
      <c r="I1008" s="11" t="str">
        <f aca="false">IF(INDEX(選手一覧!$H$5:$H$2736,$F1008)="","",INDEX(選手一覧!$H$5:$H$2736,$F1008))</f>
        <v/>
      </c>
      <c r="J1008" s="12" t="str">
        <f aca="false">IF(INDEX(選手一覧!$I$5:$I$2736,$F1008)="","",INDEX(選手一覧!$I$5:$I$2736,$F1008))</f>
        <v/>
      </c>
    </row>
    <row r="1009" customFormat="false" ht="15" hidden="false" customHeight="false" outlineLevel="0" collapsed="false">
      <c r="A1009" s="12" t="n">
        <v>1006</v>
      </c>
      <c r="B1009" s="8" t="s">
        <v>3407</v>
      </c>
      <c r="C1009" s="8" t="s">
        <v>1224</v>
      </c>
      <c r="D1009" s="11" t="n">
        <v>0.00761481481481482</v>
      </c>
      <c r="E1009" s="39" t="n">
        <f aca="false">ROUND((D1009-$D$5)*86400,2)</f>
        <v>118.9</v>
      </c>
      <c r="F1009" s="12" t="n">
        <v>2206</v>
      </c>
      <c r="G1009" s="11" t="str">
        <f aca="false">IF(INDEX(選手一覧!$D$5:$D$2736,$F1009)="","",INDEX(選手一覧!$D$5:$D$2736,$F1009))</f>
        <v/>
      </c>
      <c r="H1009" s="12" t="str">
        <f aca="false">IF(INDEX(選手一覧!$E$5:$E$2736,$F1009)="","",INDEX(選手一覧!$E$5:$E$2736,$F1009))</f>
        <v/>
      </c>
      <c r="I1009" s="11" t="str">
        <f aca="false">IF(INDEX(選手一覧!$H$5:$H$2736,$F1009)="","",INDEX(選手一覧!$H$5:$H$2736,$F1009))</f>
        <v/>
      </c>
      <c r="J1009" s="12" t="str">
        <f aca="false">IF(INDEX(選手一覧!$I$5:$I$2736,$F1009)="","",INDEX(選手一覧!$I$5:$I$2736,$F1009))</f>
        <v/>
      </c>
    </row>
    <row r="1010" customFormat="false" ht="15" hidden="false" customHeight="false" outlineLevel="0" collapsed="false">
      <c r="A1010" s="12" t="n">
        <v>1007</v>
      </c>
      <c r="B1010" s="8" t="s">
        <v>3409</v>
      </c>
      <c r="C1010" s="8" t="s">
        <v>2262</v>
      </c>
      <c r="D1010" s="11" t="n">
        <v>0.00761678240740741</v>
      </c>
      <c r="E1010" s="39" t="n">
        <f aca="false">ROUND((D1010-$D$5)*86400,2)</f>
        <v>119.07</v>
      </c>
      <c r="F1010" s="12" t="n">
        <v>2208</v>
      </c>
      <c r="G1010" s="11" t="str">
        <f aca="false">IF(INDEX(選手一覧!$D$5:$D$2736,$F1010)="","",INDEX(選手一覧!$D$5:$D$2736,$F1010))</f>
        <v/>
      </c>
      <c r="H1010" s="12" t="str">
        <f aca="false">IF(INDEX(選手一覧!$E$5:$E$2736,$F1010)="","",INDEX(選手一覧!$E$5:$E$2736,$F1010))</f>
        <v/>
      </c>
      <c r="I1010" s="11" t="str">
        <f aca="false">IF(INDEX(選手一覧!$H$5:$H$2736,$F1010)="","",INDEX(選手一覧!$H$5:$H$2736,$F1010))</f>
        <v/>
      </c>
      <c r="J1010" s="12" t="str">
        <f aca="false">IF(INDEX(選手一覧!$I$5:$I$2736,$F1010)="","",INDEX(選手一覧!$I$5:$I$2736,$F1010))</f>
        <v/>
      </c>
    </row>
    <row r="1011" customFormat="false" ht="15" hidden="false" customHeight="false" outlineLevel="0" collapsed="false">
      <c r="A1011" s="12" t="n">
        <v>1008</v>
      </c>
      <c r="B1011" s="8" t="s">
        <v>3411</v>
      </c>
      <c r="C1011" s="8" t="s">
        <v>2757</v>
      </c>
      <c r="D1011" s="11" t="n">
        <v>0.00761759259259259</v>
      </c>
      <c r="E1011" s="39" t="n">
        <f aca="false">ROUND((D1011-$D$5)*86400,2)</f>
        <v>119.14</v>
      </c>
      <c r="F1011" s="12" t="n">
        <v>2210</v>
      </c>
      <c r="G1011" s="11" t="str">
        <f aca="false">IF(INDEX(選手一覧!$D$5:$D$2736,$F1011)="","",INDEX(選手一覧!$D$5:$D$2736,$F1011))</f>
        <v/>
      </c>
      <c r="H1011" s="12" t="str">
        <f aca="false">IF(INDEX(選手一覧!$E$5:$E$2736,$F1011)="","",INDEX(選手一覧!$E$5:$E$2736,$F1011))</f>
        <v/>
      </c>
      <c r="I1011" s="11" t="str">
        <f aca="false">IF(INDEX(選手一覧!$H$5:$H$2736,$F1011)="","",INDEX(選手一覧!$H$5:$H$2736,$F1011))</f>
        <v/>
      </c>
      <c r="J1011" s="12" t="str">
        <f aca="false">IF(INDEX(選手一覧!$I$5:$I$2736,$F1011)="","",INDEX(選手一覧!$I$5:$I$2736,$F1011))</f>
        <v/>
      </c>
    </row>
    <row r="1012" customFormat="false" ht="15" hidden="false" customHeight="false" outlineLevel="0" collapsed="false">
      <c r="A1012" s="12" t="n">
        <v>1009</v>
      </c>
      <c r="B1012" s="8" t="s">
        <v>3413</v>
      </c>
      <c r="C1012" s="8" t="s">
        <v>427</v>
      </c>
      <c r="D1012" s="11" t="n">
        <v>0.00761956018518519</v>
      </c>
      <c r="E1012" s="39" t="n">
        <f aca="false">ROUND((D1012-$D$5)*86400,2)</f>
        <v>119.31</v>
      </c>
      <c r="F1012" s="12" t="n">
        <v>2212</v>
      </c>
      <c r="G1012" s="11" t="str">
        <f aca="false">IF(INDEX(選手一覧!$D$5:$D$2736,$F1012)="","",INDEX(選手一覧!$D$5:$D$2736,$F1012))</f>
        <v/>
      </c>
      <c r="H1012" s="12" t="str">
        <f aca="false">IF(INDEX(選手一覧!$E$5:$E$2736,$F1012)="","",INDEX(選手一覧!$E$5:$E$2736,$F1012))</f>
        <v/>
      </c>
      <c r="I1012" s="11" t="str">
        <f aca="false">IF(INDEX(選手一覧!$H$5:$H$2736,$F1012)="","",INDEX(選手一覧!$H$5:$H$2736,$F1012))</f>
        <v/>
      </c>
      <c r="J1012" s="12" t="str">
        <f aca="false">IF(INDEX(選手一覧!$I$5:$I$2736,$F1012)="","",INDEX(選手一覧!$I$5:$I$2736,$F1012))</f>
        <v/>
      </c>
    </row>
    <row r="1013" customFormat="false" ht="15" hidden="false" customHeight="false" outlineLevel="0" collapsed="false">
      <c r="A1013" s="12" t="n">
        <v>1010</v>
      </c>
      <c r="B1013" s="8" t="s">
        <v>3414</v>
      </c>
      <c r="C1013" s="8" t="s">
        <v>3415</v>
      </c>
      <c r="D1013" s="11" t="n">
        <v>0.00762222222222222</v>
      </c>
      <c r="E1013" s="39" t="n">
        <f aca="false">ROUND((D1013-$D$5)*86400,2)</f>
        <v>119.54</v>
      </c>
      <c r="F1013" s="12" t="n">
        <v>2213</v>
      </c>
      <c r="G1013" s="11" t="str">
        <f aca="false">IF(INDEX(選手一覧!$D$5:$D$2736,$F1013)="","",INDEX(選手一覧!$D$5:$D$2736,$F1013))</f>
        <v/>
      </c>
      <c r="H1013" s="12" t="str">
        <f aca="false">IF(INDEX(選手一覧!$E$5:$E$2736,$F1013)="","",INDEX(選手一覧!$E$5:$E$2736,$F1013))</f>
        <v/>
      </c>
      <c r="I1013" s="11" t="str">
        <f aca="false">IF(INDEX(選手一覧!$H$5:$H$2736,$F1013)="","",INDEX(選手一覧!$H$5:$H$2736,$F1013))</f>
        <v/>
      </c>
      <c r="J1013" s="12" t="str">
        <f aca="false">IF(INDEX(選手一覧!$I$5:$I$2736,$F1013)="","",INDEX(選手一覧!$I$5:$I$2736,$F1013))</f>
        <v/>
      </c>
    </row>
    <row r="1014" customFormat="false" ht="15" hidden="false" customHeight="false" outlineLevel="0" collapsed="false">
      <c r="A1014" s="12" t="n">
        <v>1011</v>
      </c>
      <c r="B1014" s="8" t="s">
        <v>3417</v>
      </c>
      <c r="C1014" s="8" t="s">
        <v>3418</v>
      </c>
      <c r="D1014" s="11" t="n">
        <v>0.00762233796296296</v>
      </c>
      <c r="E1014" s="39" t="n">
        <f aca="false">ROUND((D1014-$D$5)*86400,2)</f>
        <v>119.55</v>
      </c>
      <c r="F1014" s="12" t="n">
        <v>2215</v>
      </c>
      <c r="G1014" s="11" t="str">
        <f aca="false">IF(INDEX(選手一覧!$D$5:$D$2736,$F1014)="","",INDEX(選手一覧!$D$5:$D$2736,$F1014))</f>
        <v/>
      </c>
      <c r="H1014" s="12" t="str">
        <f aca="false">IF(INDEX(選手一覧!$E$5:$E$2736,$F1014)="","",INDEX(選手一覧!$E$5:$E$2736,$F1014))</f>
        <v/>
      </c>
      <c r="I1014" s="11" t="str">
        <f aca="false">IF(INDEX(選手一覧!$H$5:$H$2736,$F1014)="","",INDEX(選手一覧!$H$5:$H$2736,$F1014))</f>
        <v/>
      </c>
      <c r="J1014" s="12" t="str">
        <f aca="false">IF(INDEX(選手一覧!$I$5:$I$2736,$F1014)="","",INDEX(選手一覧!$I$5:$I$2736,$F1014))</f>
        <v/>
      </c>
    </row>
    <row r="1015" customFormat="false" ht="15" hidden="false" customHeight="false" outlineLevel="0" collapsed="false">
      <c r="A1015" s="12" t="n">
        <v>1012</v>
      </c>
      <c r="B1015" s="8" t="s">
        <v>3420</v>
      </c>
      <c r="C1015" s="8" t="s">
        <v>1248</v>
      </c>
      <c r="D1015" s="11" t="n">
        <v>0.00762511574074074</v>
      </c>
      <c r="E1015" s="39" t="n">
        <f aca="false">ROUND((D1015-$D$5)*86400,2)</f>
        <v>119.79</v>
      </c>
      <c r="F1015" s="12" t="n">
        <v>2217</v>
      </c>
      <c r="G1015" s="11" t="str">
        <f aca="false">IF(INDEX(選手一覧!$D$5:$D$2736,$F1015)="","",INDEX(選手一覧!$D$5:$D$2736,$F1015))</f>
        <v/>
      </c>
      <c r="H1015" s="12" t="str">
        <f aca="false">IF(INDEX(選手一覧!$E$5:$E$2736,$F1015)="","",INDEX(選手一覧!$E$5:$E$2736,$F1015))</f>
        <v/>
      </c>
      <c r="I1015" s="11" t="str">
        <f aca="false">IF(INDEX(選手一覧!$H$5:$H$2736,$F1015)="","",INDEX(選手一覧!$H$5:$H$2736,$F1015))</f>
        <v/>
      </c>
      <c r="J1015" s="12" t="str">
        <f aca="false">IF(INDEX(選手一覧!$I$5:$I$2736,$F1015)="","",INDEX(選手一覧!$I$5:$I$2736,$F1015))</f>
        <v/>
      </c>
    </row>
    <row r="1016" customFormat="false" ht="15" hidden="false" customHeight="false" outlineLevel="0" collapsed="false">
      <c r="A1016" s="12" t="n">
        <v>1013</v>
      </c>
      <c r="B1016" s="8" t="s">
        <v>3421</v>
      </c>
      <c r="C1016" s="8" t="s">
        <v>2814</v>
      </c>
      <c r="D1016" s="11" t="n">
        <v>0.00762534722222222</v>
      </c>
      <c r="E1016" s="39" t="n">
        <f aca="false">ROUND((D1016-$D$5)*86400,2)</f>
        <v>119.81</v>
      </c>
      <c r="F1016" s="12" t="n">
        <v>2218</v>
      </c>
      <c r="G1016" s="11" t="str">
        <f aca="false">IF(INDEX(選手一覧!$D$5:$D$2736,$F1016)="","",INDEX(選手一覧!$D$5:$D$2736,$F1016))</f>
        <v/>
      </c>
      <c r="H1016" s="12" t="str">
        <f aca="false">IF(INDEX(選手一覧!$E$5:$E$2736,$F1016)="","",INDEX(選手一覧!$E$5:$E$2736,$F1016))</f>
        <v/>
      </c>
      <c r="I1016" s="11" t="str">
        <f aca="false">IF(INDEX(選手一覧!$H$5:$H$2736,$F1016)="","",INDEX(選手一覧!$H$5:$H$2736,$F1016))</f>
        <v/>
      </c>
      <c r="J1016" s="12" t="str">
        <f aca="false">IF(INDEX(選手一覧!$I$5:$I$2736,$F1016)="","",INDEX(選手一覧!$I$5:$I$2736,$F1016))</f>
        <v/>
      </c>
    </row>
    <row r="1017" customFormat="false" ht="15" hidden="false" customHeight="false" outlineLevel="0" collapsed="false">
      <c r="A1017" s="12" t="n">
        <v>1014</v>
      </c>
      <c r="B1017" s="8" t="s">
        <v>3422</v>
      </c>
      <c r="C1017" s="8" t="s">
        <v>399</v>
      </c>
      <c r="D1017" s="11" t="n">
        <v>0.00762673611111111</v>
      </c>
      <c r="E1017" s="39" t="n">
        <f aca="false">ROUND((D1017-$D$5)*86400,2)</f>
        <v>119.93</v>
      </c>
      <c r="F1017" s="12" t="n">
        <v>2219</v>
      </c>
      <c r="G1017" s="11" t="str">
        <f aca="false">IF(INDEX(選手一覧!$D$5:$D$2736,$F1017)="","",INDEX(選手一覧!$D$5:$D$2736,$F1017))</f>
        <v/>
      </c>
      <c r="H1017" s="12" t="str">
        <f aca="false">IF(INDEX(選手一覧!$E$5:$E$2736,$F1017)="","",INDEX(選手一覧!$E$5:$E$2736,$F1017))</f>
        <v/>
      </c>
      <c r="I1017" s="11" t="str">
        <f aca="false">IF(INDEX(選手一覧!$H$5:$H$2736,$F1017)="","",INDEX(選手一覧!$H$5:$H$2736,$F1017))</f>
        <v/>
      </c>
      <c r="J1017" s="12" t="str">
        <f aca="false">IF(INDEX(選手一覧!$I$5:$I$2736,$F1017)="","",INDEX(選手一覧!$I$5:$I$2736,$F1017))</f>
        <v/>
      </c>
    </row>
    <row r="1018" customFormat="false" ht="15" hidden="false" customHeight="false" outlineLevel="0" collapsed="false">
      <c r="A1018" s="12" t="n">
        <v>1015</v>
      </c>
      <c r="B1018" s="8" t="s">
        <v>3425</v>
      </c>
      <c r="C1018" s="8" t="s">
        <v>2799</v>
      </c>
      <c r="D1018" s="11" t="n">
        <v>0.00762766203703704</v>
      </c>
      <c r="E1018" s="39" t="n">
        <f aca="false">ROUND((D1018-$D$5)*86400,2)</f>
        <v>120.01</v>
      </c>
      <c r="F1018" s="12" t="n">
        <v>2221</v>
      </c>
      <c r="G1018" s="11" t="str">
        <f aca="false">IF(INDEX(選手一覧!$D$5:$D$2736,$F1018)="","",INDEX(選手一覧!$D$5:$D$2736,$F1018))</f>
        <v/>
      </c>
      <c r="H1018" s="12" t="str">
        <f aca="false">IF(INDEX(選手一覧!$E$5:$E$2736,$F1018)="","",INDEX(選手一覧!$E$5:$E$2736,$F1018))</f>
        <v/>
      </c>
      <c r="I1018" s="11" t="str">
        <f aca="false">IF(INDEX(選手一覧!$H$5:$H$2736,$F1018)="","",INDEX(選手一覧!$H$5:$H$2736,$F1018))</f>
        <v/>
      </c>
      <c r="J1018" s="12" t="str">
        <f aca="false">IF(INDEX(選手一覧!$I$5:$I$2736,$F1018)="","",INDEX(選手一覧!$I$5:$I$2736,$F1018))</f>
        <v/>
      </c>
    </row>
    <row r="1019" customFormat="false" ht="15" hidden="false" customHeight="false" outlineLevel="0" collapsed="false">
      <c r="A1019" s="12" t="n">
        <v>1016</v>
      </c>
      <c r="B1019" s="8" t="s">
        <v>3426</v>
      </c>
      <c r="C1019" s="8" t="s">
        <v>3427</v>
      </c>
      <c r="D1019" s="11" t="n">
        <v>0.00762777777777778</v>
      </c>
      <c r="E1019" s="39" t="n">
        <f aca="false">ROUND((D1019-$D$5)*86400,2)</f>
        <v>120.02</v>
      </c>
      <c r="F1019" s="12" t="n">
        <v>2222</v>
      </c>
      <c r="G1019" s="11" t="str">
        <f aca="false">IF(INDEX(選手一覧!$D$5:$D$2736,$F1019)="","",INDEX(選手一覧!$D$5:$D$2736,$F1019))</f>
        <v/>
      </c>
      <c r="H1019" s="12" t="str">
        <f aca="false">IF(INDEX(選手一覧!$E$5:$E$2736,$F1019)="","",INDEX(選手一覧!$E$5:$E$2736,$F1019))</f>
        <v/>
      </c>
      <c r="I1019" s="11" t="str">
        <f aca="false">IF(INDEX(選手一覧!$H$5:$H$2736,$F1019)="","",INDEX(選手一覧!$H$5:$H$2736,$F1019))</f>
        <v/>
      </c>
      <c r="J1019" s="12" t="str">
        <f aca="false">IF(INDEX(選手一覧!$I$5:$I$2736,$F1019)="","",INDEX(選手一覧!$I$5:$I$2736,$F1019))</f>
        <v/>
      </c>
    </row>
    <row r="1020" customFormat="false" ht="15" hidden="false" customHeight="false" outlineLevel="0" collapsed="false">
      <c r="A1020" s="12" t="n">
        <v>1017</v>
      </c>
      <c r="B1020" s="8" t="s">
        <v>3430</v>
      </c>
      <c r="C1020" s="8" t="s">
        <v>3431</v>
      </c>
      <c r="D1020" s="11" t="n">
        <v>0.00762905092592593</v>
      </c>
      <c r="E1020" s="39" t="n">
        <f aca="false">ROUND((D1020-$D$5)*86400,2)</f>
        <v>120.13</v>
      </c>
      <c r="F1020" s="12" t="n">
        <v>2224</v>
      </c>
      <c r="G1020" s="11" t="str">
        <f aca="false">IF(INDEX(選手一覧!$D$5:$D$2736,$F1020)="","",INDEX(選手一覧!$D$5:$D$2736,$F1020))</f>
        <v/>
      </c>
      <c r="H1020" s="12" t="str">
        <f aca="false">IF(INDEX(選手一覧!$E$5:$E$2736,$F1020)="","",INDEX(選手一覧!$E$5:$E$2736,$F1020))</f>
        <v/>
      </c>
      <c r="I1020" s="11" t="str">
        <f aca="false">IF(INDEX(選手一覧!$H$5:$H$2736,$F1020)="","",INDEX(選手一覧!$H$5:$H$2736,$F1020))</f>
        <v/>
      </c>
      <c r="J1020" s="12" t="str">
        <f aca="false">IF(INDEX(選手一覧!$I$5:$I$2736,$F1020)="","",INDEX(選手一覧!$I$5:$I$2736,$F1020))</f>
        <v/>
      </c>
    </row>
    <row r="1021" customFormat="false" ht="15" hidden="false" customHeight="false" outlineLevel="0" collapsed="false">
      <c r="A1021" s="12" t="n">
        <v>1018</v>
      </c>
      <c r="B1021" s="8" t="s">
        <v>3433</v>
      </c>
      <c r="C1021" s="8" t="s">
        <v>3434</v>
      </c>
      <c r="D1021" s="11" t="n">
        <v>0.00762939814814815</v>
      </c>
      <c r="E1021" s="39" t="n">
        <f aca="false">ROUND((D1021-$D$5)*86400,2)</f>
        <v>120.16</v>
      </c>
      <c r="F1021" s="12" t="n">
        <v>2226</v>
      </c>
      <c r="G1021" s="11" t="str">
        <f aca="false">IF(INDEX(選手一覧!$D$5:$D$2736,$F1021)="","",INDEX(選手一覧!$D$5:$D$2736,$F1021))</f>
        <v/>
      </c>
      <c r="H1021" s="12" t="str">
        <f aca="false">IF(INDEX(選手一覧!$E$5:$E$2736,$F1021)="","",INDEX(選手一覧!$E$5:$E$2736,$F1021))</f>
        <v/>
      </c>
      <c r="I1021" s="11" t="str">
        <f aca="false">IF(INDEX(選手一覧!$H$5:$H$2736,$F1021)="","",INDEX(選手一覧!$H$5:$H$2736,$F1021))</f>
        <v/>
      </c>
      <c r="J1021" s="12" t="str">
        <f aca="false">IF(INDEX(選手一覧!$I$5:$I$2736,$F1021)="","",INDEX(選手一覧!$I$5:$I$2736,$F1021))</f>
        <v/>
      </c>
    </row>
    <row r="1022" customFormat="false" ht="15" hidden="false" customHeight="false" outlineLevel="0" collapsed="false">
      <c r="A1022" s="12" t="n">
        <v>1019</v>
      </c>
      <c r="B1022" s="8" t="s">
        <v>3435</v>
      </c>
      <c r="C1022" s="8" t="s">
        <v>3436</v>
      </c>
      <c r="D1022" s="11" t="n">
        <v>0.00762962962962963</v>
      </c>
      <c r="E1022" s="39" t="n">
        <f aca="false">ROUND((D1022-$D$5)*86400,2)</f>
        <v>120.18</v>
      </c>
      <c r="F1022" s="12" t="n">
        <v>2227</v>
      </c>
      <c r="G1022" s="11" t="str">
        <f aca="false">IF(INDEX(選手一覧!$D$5:$D$2736,$F1022)="","",INDEX(選手一覧!$D$5:$D$2736,$F1022))</f>
        <v/>
      </c>
      <c r="H1022" s="12" t="str">
        <f aca="false">IF(INDEX(選手一覧!$E$5:$E$2736,$F1022)="","",INDEX(選手一覧!$E$5:$E$2736,$F1022))</f>
        <v/>
      </c>
      <c r="I1022" s="11" t="str">
        <f aca="false">IF(INDEX(選手一覧!$H$5:$H$2736,$F1022)="","",INDEX(選手一覧!$H$5:$H$2736,$F1022))</f>
        <v/>
      </c>
      <c r="J1022" s="12" t="str">
        <f aca="false">IF(INDEX(選手一覧!$I$5:$I$2736,$F1022)="","",INDEX(選手一覧!$I$5:$I$2736,$F1022))</f>
        <v/>
      </c>
    </row>
    <row r="1023" customFormat="false" ht="15" hidden="false" customHeight="false" outlineLevel="0" collapsed="false">
      <c r="A1023" s="12" t="n">
        <v>1020</v>
      </c>
      <c r="B1023" s="8" t="s">
        <v>3437</v>
      </c>
      <c r="C1023" s="8" t="s">
        <v>3438</v>
      </c>
      <c r="D1023" s="11" t="n">
        <v>0.00763043981481482</v>
      </c>
      <c r="E1023" s="39" t="n">
        <f aca="false">ROUND((D1023-$D$5)*86400,2)</f>
        <v>120.25</v>
      </c>
      <c r="F1023" s="12" t="n">
        <v>2228</v>
      </c>
      <c r="G1023" s="11" t="str">
        <f aca="false">IF(INDEX(選手一覧!$D$5:$D$2736,$F1023)="","",INDEX(選手一覧!$D$5:$D$2736,$F1023))</f>
        <v/>
      </c>
      <c r="H1023" s="12" t="str">
        <f aca="false">IF(INDEX(選手一覧!$E$5:$E$2736,$F1023)="","",INDEX(選手一覧!$E$5:$E$2736,$F1023))</f>
        <v/>
      </c>
      <c r="I1023" s="11" t="str">
        <f aca="false">IF(INDEX(選手一覧!$H$5:$H$2736,$F1023)="","",INDEX(選手一覧!$H$5:$H$2736,$F1023))</f>
        <v/>
      </c>
      <c r="J1023" s="12" t="str">
        <f aca="false">IF(INDEX(選手一覧!$I$5:$I$2736,$F1023)="","",INDEX(選手一覧!$I$5:$I$2736,$F1023))</f>
        <v/>
      </c>
    </row>
    <row r="1024" customFormat="false" ht="15" hidden="false" customHeight="false" outlineLevel="0" collapsed="false">
      <c r="A1024" s="12" t="n">
        <v>1021</v>
      </c>
      <c r="B1024" s="8" t="s">
        <v>3440</v>
      </c>
      <c r="C1024" s="8" t="s">
        <v>783</v>
      </c>
      <c r="D1024" s="11" t="n">
        <v>0.00763333333333333</v>
      </c>
      <c r="E1024" s="39" t="n">
        <f aca="false">ROUND((D1024-$D$5)*86400,2)</f>
        <v>120.5</v>
      </c>
      <c r="F1024" s="12" t="n">
        <v>2230</v>
      </c>
      <c r="G1024" s="11" t="str">
        <f aca="false">IF(INDEX(選手一覧!$D$5:$D$2736,$F1024)="","",INDEX(選手一覧!$D$5:$D$2736,$F1024))</f>
        <v/>
      </c>
      <c r="H1024" s="12" t="str">
        <f aca="false">IF(INDEX(選手一覧!$E$5:$E$2736,$F1024)="","",INDEX(選手一覧!$E$5:$E$2736,$F1024))</f>
        <v/>
      </c>
      <c r="I1024" s="11" t="str">
        <f aca="false">IF(INDEX(選手一覧!$H$5:$H$2736,$F1024)="","",INDEX(選手一覧!$H$5:$H$2736,$F1024))</f>
        <v/>
      </c>
      <c r="J1024" s="12" t="str">
        <f aca="false">IF(INDEX(選手一覧!$I$5:$I$2736,$F1024)="","",INDEX(選手一覧!$I$5:$I$2736,$F1024))</f>
        <v/>
      </c>
    </row>
    <row r="1025" customFormat="false" ht="15" hidden="false" customHeight="false" outlineLevel="0" collapsed="false">
      <c r="A1025" s="12" t="n">
        <v>1022</v>
      </c>
      <c r="B1025" s="8" t="s">
        <v>3443</v>
      </c>
      <c r="C1025" s="8" t="s">
        <v>3444</v>
      </c>
      <c r="D1025" s="11" t="n">
        <v>0.00763344907407407</v>
      </c>
      <c r="E1025" s="39" t="n">
        <f aca="false">ROUND((D1025-$D$5)*86400,2)</f>
        <v>120.51</v>
      </c>
      <c r="F1025" s="12" t="n">
        <v>2232</v>
      </c>
      <c r="G1025" s="11" t="str">
        <f aca="false">IF(INDEX(選手一覧!$D$5:$D$2736,$F1025)="","",INDEX(選手一覧!$D$5:$D$2736,$F1025))</f>
        <v/>
      </c>
      <c r="H1025" s="12" t="str">
        <f aca="false">IF(INDEX(選手一覧!$E$5:$E$2736,$F1025)="","",INDEX(選手一覧!$E$5:$E$2736,$F1025))</f>
        <v/>
      </c>
      <c r="I1025" s="11" t="str">
        <f aca="false">IF(INDEX(選手一覧!$H$5:$H$2736,$F1025)="","",INDEX(選手一覧!$H$5:$H$2736,$F1025))</f>
        <v/>
      </c>
      <c r="J1025" s="12" t="str">
        <f aca="false">IF(INDEX(選手一覧!$I$5:$I$2736,$F1025)="","",INDEX(選手一覧!$I$5:$I$2736,$F1025))</f>
        <v/>
      </c>
    </row>
    <row r="1026" customFormat="false" ht="15" hidden="false" customHeight="false" outlineLevel="0" collapsed="false">
      <c r="A1026" s="12" t="n">
        <v>1023</v>
      </c>
      <c r="B1026" s="8" t="s">
        <v>3446</v>
      </c>
      <c r="C1026" s="8" t="s">
        <v>3447</v>
      </c>
      <c r="D1026" s="11" t="n">
        <v>0.00763449074074074</v>
      </c>
      <c r="E1026" s="39" t="n">
        <f aca="false">ROUND((D1026-$D$5)*86400,2)</f>
        <v>120.6</v>
      </c>
      <c r="F1026" s="12" t="n">
        <v>2234</v>
      </c>
      <c r="G1026" s="11" t="str">
        <f aca="false">IF(INDEX(選手一覧!$D$5:$D$2736,$F1026)="","",INDEX(選手一覧!$D$5:$D$2736,$F1026))</f>
        <v/>
      </c>
      <c r="H1026" s="12" t="str">
        <f aca="false">IF(INDEX(選手一覧!$E$5:$E$2736,$F1026)="","",INDEX(選手一覧!$E$5:$E$2736,$F1026))</f>
        <v/>
      </c>
      <c r="I1026" s="11" t="str">
        <f aca="false">IF(INDEX(選手一覧!$H$5:$H$2736,$F1026)="","",INDEX(選手一覧!$H$5:$H$2736,$F1026))</f>
        <v/>
      </c>
      <c r="J1026" s="12" t="str">
        <f aca="false">IF(INDEX(選手一覧!$I$5:$I$2736,$F1026)="","",INDEX(選手一覧!$I$5:$I$2736,$F1026))</f>
        <v/>
      </c>
    </row>
    <row r="1027" customFormat="false" ht="15" hidden="false" customHeight="false" outlineLevel="0" collapsed="false">
      <c r="A1027" s="12" t="n">
        <v>1024</v>
      </c>
      <c r="B1027" s="8" t="s">
        <v>3450</v>
      </c>
      <c r="C1027" s="8" t="s">
        <v>3451</v>
      </c>
      <c r="D1027" s="11" t="n">
        <v>0.00763564814814815</v>
      </c>
      <c r="E1027" s="39" t="n">
        <f aca="false">ROUND((D1027-$D$5)*86400,2)</f>
        <v>120.7</v>
      </c>
      <c r="F1027" s="12" t="n">
        <v>2236</v>
      </c>
      <c r="G1027" s="11" t="str">
        <f aca="false">IF(INDEX(選手一覧!$D$5:$D$2736,$F1027)="","",INDEX(選手一覧!$D$5:$D$2736,$F1027))</f>
        <v/>
      </c>
      <c r="H1027" s="12" t="str">
        <f aca="false">IF(INDEX(選手一覧!$E$5:$E$2736,$F1027)="","",INDEX(選手一覧!$E$5:$E$2736,$F1027))</f>
        <v/>
      </c>
      <c r="I1027" s="11" t="str">
        <f aca="false">IF(INDEX(選手一覧!$H$5:$H$2736,$F1027)="","",INDEX(選手一覧!$H$5:$H$2736,$F1027))</f>
        <v/>
      </c>
      <c r="J1027" s="12" t="str">
        <f aca="false">IF(INDEX(選手一覧!$I$5:$I$2736,$F1027)="","",INDEX(選手一覧!$I$5:$I$2736,$F1027))</f>
        <v/>
      </c>
    </row>
    <row r="1028" customFormat="false" ht="15" hidden="false" customHeight="false" outlineLevel="0" collapsed="false">
      <c r="A1028" s="12" t="n">
        <v>1025</v>
      </c>
      <c r="B1028" s="8" t="s">
        <v>3452</v>
      </c>
      <c r="C1028" s="8" t="s">
        <v>1551</v>
      </c>
      <c r="D1028" s="11" t="n">
        <v>0.00763576388888889</v>
      </c>
      <c r="E1028" s="39" t="n">
        <f aca="false">ROUND((D1028-$D$5)*86400,2)</f>
        <v>120.71</v>
      </c>
      <c r="F1028" s="12" t="n">
        <v>2237</v>
      </c>
      <c r="G1028" s="11" t="str">
        <f aca="false">IF(INDEX(選手一覧!$D$5:$D$2736,$F1028)="","",INDEX(選手一覧!$D$5:$D$2736,$F1028))</f>
        <v/>
      </c>
      <c r="H1028" s="12" t="str">
        <f aca="false">IF(INDEX(選手一覧!$E$5:$E$2736,$F1028)="","",INDEX(選手一覧!$E$5:$E$2736,$F1028))</f>
        <v/>
      </c>
      <c r="I1028" s="11" t="str">
        <f aca="false">IF(INDEX(選手一覧!$H$5:$H$2736,$F1028)="","",INDEX(選手一覧!$H$5:$H$2736,$F1028))</f>
        <v/>
      </c>
      <c r="J1028" s="12" t="str">
        <f aca="false">IF(INDEX(選手一覧!$I$5:$I$2736,$F1028)="","",INDEX(選手一覧!$I$5:$I$2736,$F1028))</f>
        <v/>
      </c>
    </row>
    <row r="1029" customFormat="false" ht="15" hidden="false" customHeight="false" outlineLevel="0" collapsed="false">
      <c r="A1029" s="12" t="n">
        <v>1026</v>
      </c>
      <c r="B1029" s="8" t="s">
        <v>3453</v>
      </c>
      <c r="C1029" s="8" t="s">
        <v>3454</v>
      </c>
      <c r="D1029" s="11" t="n">
        <v>0.00763831018518519</v>
      </c>
      <c r="E1029" s="39" t="n">
        <f aca="false">ROUND((D1029-$D$5)*86400,2)</f>
        <v>120.93</v>
      </c>
      <c r="F1029" s="12" t="n">
        <v>2238</v>
      </c>
      <c r="G1029" s="11" t="str">
        <f aca="false">IF(INDEX(選手一覧!$D$5:$D$2736,$F1029)="","",INDEX(選手一覧!$D$5:$D$2736,$F1029))</f>
        <v/>
      </c>
      <c r="H1029" s="12" t="str">
        <f aca="false">IF(INDEX(選手一覧!$E$5:$E$2736,$F1029)="","",INDEX(選手一覧!$E$5:$E$2736,$F1029))</f>
        <v/>
      </c>
      <c r="I1029" s="11" t="str">
        <f aca="false">IF(INDEX(選手一覧!$H$5:$H$2736,$F1029)="","",INDEX(選手一覧!$H$5:$H$2736,$F1029))</f>
        <v/>
      </c>
      <c r="J1029" s="12" t="str">
        <f aca="false">IF(INDEX(選手一覧!$I$5:$I$2736,$F1029)="","",INDEX(選手一覧!$I$5:$I$2736,$F1029))</f>
        <v/>
      </c>
    </row>
    <row r="1030" customFormat="false" ht="15" hidden="false" customHeight="false" outlineLevel="0" collapsed="false">
      <c r="A1030" s="12" t="n">
        <v>1027</v>
      </c>
      <c r="B1030" s="8" t="s">
        <v>3455</v>
      </c>
      <c r="C1030" s="8" t="s">
        <v>3456</v>
      </c>
      <c r="D1030" s="11" t="n">
        <v>0.00764224537037037</v>
      </c>
      <c r="E1030" s="39" t="n">
        <f aca="false">ROUND((D1030-$D$5)*86400,2)</f>
        <v>121.27</v>
      </c>
      <c r="F1030" s="12" t="n">
        <v>2239</v>
      </c>
      <c r="G1030" s="11" t="str">
        <f aca="false">IF(INDEX(選手一覧!$D$5:$D$2736,$F1030)="","",INDEX(選手一覧!$D$5:$D$2736,$F1030))</f>
        <v/>
      </c>
      <c r="H1030" s="12" t="str">
        <f aca="false">IF(INDEX(選手一覧!$E$5:$E$2736,$F1030)="","",INDEX(選手一覧!$E$5:$E$2736,$F1030))</f>
        <v/>
      </c>
      <c r="I1030" s="11" t="str">
        <f aca="false">IF(INDEX(選手一覧!$H$5:$H$2736,$F1030)="","",INDEX(選手一覧!$H$5:$H$2736,$F1030))</f>
        <v/>
      </c>
      <c r="J1030" s="12" t="str">
        <f aca="false">IF(INDEX(選手一覧!$I$5:$I$2736,$F1030)="","",INDEX(選手一覧!$I$5:$I$2736,$F1030))</f>
        <v/>
      </c>
    </row>
    <row r="1031" customFormat="false" ht="15" hidden="false" customHeight="false" outlineLevel="0" collapsed="false">
      <c r="A1031" s="12" t="n">
        <v>1028</v>
      </c>
      <c r="B1031" s="8" t="s">
        <v>3457</v>
      </c>
      <c r="C1031" s="8" t="s">
        <v>1028</v>
      </c>
      <c r="D1031" s="11" t="n">
        <v>0.00764247685185185</v>
      </c>
      <c r="E1031" s="39" t="n">
        <f aca="false">ROUND((D1031-$D$5)*86400,2)</f>
        <v>121.29</v>
      </c>
      <c r="F1031" s="12" t="n">
        <v>2240</v>
      </c>
      <c r="G1031" s="11" t="str">
        <f aca="false">IF(INDEX(選手一覧!$D$5:$D$2736,$F1031)="","",INDEX(選手一覧!$D$5:$D$2736,$F1031))</f>
        <v/>
      </c>
      <c r="H1031" s="12" t="str">
        <f aca="false">IF(INDEX(選手一覧!$E$5:$E$2736,$F1031)="","",INDEX(選手一覧!$E$5:$E$2736,$F1031))</f>
        <v/>
      </c>
      <c r="I1031" s="11" t="str">
        <f aca="false">IF(INDEX(選手一覧!$H$5:$H$2736,$F1031)="","",INDEX(選手一覧!$H$5:$H$2736,$F1031))</f>
        <v/>
      </c>
      <c r="J1031" s="12" t="str">
        <f aca="false">IF(INDEX(選手一覧!$I$5:$I$2736,$F1031)="","",INDEX(選手一覧!$I$5:$I$2736,$F1031))</f>
        <v/>
      </c>
    </row>
    <row r="1032" customFormat="false" ht="15" hidden="false" customHeight="false" outlineLevel="0" collapsed="false">
      <c r="A1032" s="12" t="n">
        <v>1029</v>
      </c>
      <c r="B1032" s="8" t="s">
        <v>3458</v>
      </c>
      <c r="C1032" s="8" t="s">
        <v>3459</v>
      </c>
      <c r="D1032" s="11" t="n">
        <v>0.00764270833333333</v>
      </c>
      <c r="E1032" s="39" t="n">
        <f aca="false">ROUND((D1032-$D$5)*86400,2)</f>
        <v>121.31</v>
      </c>
      <c r="F1032" s="12" t="n">
        <v>2241</v>
      </c>
      <c r="G1032" s="11" t="str">
        <f aca="false">IF(INDEX(選手一覧!$D$5:$D$2736,$F1032)="","",INDEX(選手一覧!$D$5:$D$2736,$F1032))</f>
        <v/>
      </c>
      <c r="H1032" s="12" t="str">
        <f aca="false">IF(INDEX(選手一覧!$E$5:$E$2736,$F1032)="","",INDEX(選手一覧!$E$5:$E$2736,$F1032))</f>
        <v/>
      </c>
      <c r="I1032" s="11" t="str">
        <f aca="false">IF(INDEX(選手一覧!$H$5:$H$2736,$F1032)="","",INDEX(選手一覧!$H$5:$H$2736,$F1032))</f>
        <v/>
      </c>
      <c r="J1032" s="12" t="str">
        <f aca="false">IF(INDEX(選手一覧!$I$5:$I$2736,$F1032)="","",INDEX(選手一覧!$I$5:$I$2736,$F1032))</f>
        <v/>
      </c>
    </row>
    <row r="1033" customFormat="false" ht="15" hidden="false" customHeight="false" outlineLevel="0" collapsed="false">
      <c r="A1033" s="12" t="n">
        <v>1030</v>
      </c>
      <c r="B1033" s="8" t="s">
        <v>3460</v>
      </c>
      <c r="C1033" s="8" t="s">
        <v>3461</v>
      </c>
      <c r="D1033" s="11" t="n">
        <v>0.0076443287037037</v>
      </c>
      <c r="E1033" s="39" t="n">
        <f aca="false">ROUND((D1033-$D$5)*86400,2)</f>
        <v>121.45</v>
      </c>
      <c r="F1033" s="12" t="n">
        <v>2242</v>
      </c>
      <c r="G1033" s="11" t="str">
        <f aca="false">IF(INDEX(選手一覧!$D$5:$D$2736,$F1033)="","",INDEX(選手一覧!$D$5:$D$2736,$F1033))</f>
        <v/>
      </c>
      <c r="H1033" s="12" t="str">
        <f aca="false">IF(INDEX(選手一覧!$E$5:$E$2736,$F1033)="","",INDEX(選手一覧!$E$5:$E$2736,$F1033))</f>
        <v/>
      </c>
      <c r="I1033" s="11" t="str">
        <f aca="false">IF(INDEX(選手一覧!$H$5:$H$2736,$F1033)="","",INDEX(選手一覧!$H$5:$H$2736,$F1033))</f>
        <v/>
      </c>
      <c r="J1033" s="12" t="str">
        <f aca="false">IF(INDEX(選手一覧!$I$5:$I$2736,$F1033)="","",INDEX(選手一覧!$I$5:$I$2736,$F1033))</f>
        <v/>
      </c>
    </row>
    <row r="1034" customFormat="false" ht="15" hidden="false" customHeight="false" outlineLevel="0" collapsed="false">
      <c r="A1034" s="12" t="n">
        <v>1031</v>
      </c>
      <c r="B1034" s="8" t="s">
        <v>3462</v>
      </c>
      <c r="C1034" s="8" t="s">
        <v>3463</v>
      </c>
      <c r="D1034" s="11" t="n">
        <v>0.00764456018518519</v>
      </c>
      <c r="E1034" s="39" t="n">
        <f aca="false">ROUND((D1034-$D$5)*86400,2)</f>
        <v>121.47</v>
      </c>
      <c r="F1034" s="12" t="n">
        <v>2243</v>
      </c>
      <c r="G1034" s="11" t="str">
        <f aca="false">IF(INDEX(選手一覧!$D$5:$D$2736,$F1034)="","",INDEX(選手一覧!$D$5:$D$2736,$F1034))</f>
        <v/>
      </c>
      <c r="H1034" s="12" t="str">
        <f aca="false">IF(INDEX(選手一覧!$E$5:$E$2736,$F1034)="","",INDEX(選手一覧!$E$5:$E$2736,$F1034))</f>
        <v/>
      </c>
      <c r="I1034" s="11" t="str">
        <f aca="false">IF(INDEX(選手一覧!$H$5:$H$2736,$F1034)="","",INDEX(選手一覧!$H$5:$H$2736,$F1034))</f>
        <v/>
      </c>
      <c r="J1034" s="12" t="str">
        <f aca="false">IF(INDEX(選手一覧!$I$5:$I$2736,$F1034)="","",INDEX(選手一覧!$I$5:$I$2736,$F1034))</f>
        <v/>
      </c>
    </row>
    <row r="1035" customFormat="false" ht="15" hidden="false" customHeight="false" outlineLevel="0" collapsed="false">
      <c r="A1035" s="12" t="n">
        <v>1032</v>
      </c>
      <c r="B1035" s="8" t="s">
        <v>3466</v>
      </c>
      <c r="C1035" s="8" t="s">
        <v>3467</v>
      </c>
      <c r="D1035" s="11" t="n">
        <v>0.00764571759259259</v>
      </c>
      <c r="E1035" s="39" t="n">
        <f aca="false">ROUND((D1035-$D$5)*86400,2)</f>
        <v>121.57</v>
      </c>
      <c r="F1035" s="12" t="n">
        <v>2245</v>
      </c>
      <c r="G1035" s="11" t="str">
        <f aca="false">IF(INDEX(選手一覧!$D$5:$D$2736,$F1035)="","",INDEX(選手一覧!$D$5:$D$2736,$F1035))</f>
        <v/>
      </c>
      <c r="H1035" s="12" t="str">
        <f aca="false">IF(INDEX(選手一覧!$E$5:$E$2736,$F1035)="","",INDEX(選手一覧!$E$5:$E$2736,$F1035))</f>
        <v/>
      </c>
      <c r="I1035" s="11" t="str">
        <f aca="false">IF(INDEX(選手一覧!$H$5:$H$2736,$F1035)="","",INDEX(選手一覧!$H$5:$H$2736,$F1035))</f>
        <v/>
      </c>
      <c r="J1035" s="12" t="str">
        <f aca="false">IF(INDEX(選手一覧!$I$5:$I$2736,$F1035)="","",INDEX(選手一覧!$I$5:$I$2736,$F1035))</f>
        <v/>
      </c>
    </row>
    <row r="1036" customFormat="false" ht="15" hidden="false" customHeight="false" outlineLevel="0" collapsed="false">
      <c r="A1036" s="12" t="n">
        <v>1033</v>
      </c>
      <c r="B1036" s="8" t="s">
        <v>3468</v>
      </c>
      <c r="C1036" s="8" t="s">
        <v>802</v>
      </c>
      <c r="D1036" s="11" t="n">
        <v>0.00764710648148148</v>
      </c>
      <c r="E1036" s="39" t="n">
        <f aca="false">ROUND((D1036-$D$5)*86400,2)</f>
        <v>121.69</v>
      </c>
      <c r="F1036" s="12" t="n">
        <v>2246</v>
      </c>
      <c r="G1036" s="11" t="str">
        <f aca="false">IF(INDEX(選手一覧!$D$5:$D$2736,$F1036)="","",INDEX(選手一覧!$D$5:$D$2736,$F1036))</f>
        <v/>
      </c>
      <c r="H1036" s="12" t="str">
        <f aca="false">IF(INDEX(選手一覧!$E$5:$E$2736,$F1036)="","",INDEX(選手一覧!$E$5:$E$2736,$F1036))</f>
        <v/>
      </c>
      <c r="I1036" s="11" t="str">
        <f aca="false">IF(INDEX(選手一覧!$H$5:$H$2736,$F1036)="","",INDEX(選手一覧!$H$5:$H$2736,$F1036))</f>
        <v/>
      </c>
      <c r="J1036" s="12" t="str">
        <f aca="false">IF(INDEX(選手一覧!$I$5:$I$2736,$F1036)="","",INDEX(選手一覧!$I$5:$I$2736,$F1036))</f>
        <v/>
      </c>
    </row>
    <row r="1037" customFormat="false" ht="15" hidden="false" customHeight="false" outlineLevel="0" collapsed="false">
      <c r="A1037" s="12" t="n">
        <v>1034</v>
      </c>
      <c r="B1037" s="8" t="s">
        <v>3469</v>
      </c>
      <c r="C1037" s="8" t="s">
        <v>3470</v>
      </c>
      <c r="D1037" s="11" t="n">
        <v>0.00764814814814815</v>
      </c>
      <c r="E1037" s="39" t="n">
        <f aca="false">ROUND((D1037-$D$5)*86400,2)</f>
        <v>121.78</v>
      </c>
      <c r="F1037" s="12" t="n">
        <v>2247</v>
      </c>
      <c r="G1037" s="11" t="str">
        <f aca="false">IF(INDEX(選手一覧!$D$5:$D$2736,$F1037)="","",INDEX(選手一覧!$D$5:$D$2736,$F1037))</f>
        <v/>
      </c>
      <c r="H1037" s="12" t="str">
        <f aca="false">IF(INDEX(選手一覧!$E$5:$E$2736,$F1037)="","",INDEX(選手一覧!$E$5:$E$2736,$F1037))</f>
        <v/>
      </c>
      <c r="I1037" s="11" t="str">
        <f aca="false">IF(INDEX(選手一覧!$H$5:$H$2736,$F1037)="","",INDEX(選手一覧!$H$5:$H$2736,$F1037))</f>
        <v/>
      </c>
      <c r="J1037" s="12" t="str">
        <f aca="false">IF(INDEX(選手一覧!$I$5:$I$2736,$F1037)="","",INDEX(選手一覧!$I$5:$I$2736,$F1037))</f>
        <v/>
      </c>
    </row>
    <row r="1038" customFormat="false" ht="15" hidden="false" customHeight="false" outlineLevel="0" collapsed="false">
      <c r="A1038" s="12" t="n">
        <v>1035</v>
      </c>
      <c r="B1038" s="8" t="s">
        <v>3473</v>
      </c>
      <c r="C1038" s="8" t="s">
        <v>2575</v>
      </c>
      <c r="D1038" s="11" t="n">
        <v>0.00764988425925926</v>
      </c>
      <c r="E1038" s="39" t="n">
        <f aca="false">ROUND((D1038-$D$5)*86400,2)</f>
        <v>121.93</v>
      </c>
      <c r="F1038" s="12" t="n">
        <v>2249</v>
      </c>
      <c r="G1038" s="11" t="str">
        <f aca="false">IF(INDEX(選手一覧!$D$5:$D$2736,$F1038)="","",INDEX(選手一覧!$D$5:$D$2736,$F1038))</f>
        <v/>
      </c>
      <c r="H1038" s="12" t="str">
        <f aca="false">IF(INDEX(選手一覧!$E$5:$E$2736,$F1038)="","",INDEX(選手一覧!$E$5:$E$2736,$F1038))</f>
        <v/>
      </c>
      <c r="I1038" s="11" t="str">
        <f aca="false">IF(INDEX(選手一覧!$H$5:$H$2736,$F1038)="","",INDEX(選手一覧!$H$5:$H$2736,$F1038))</f>
        <v/>
      </c>
      <c r="J1038" s="12" t="str">
        <f aca="false">IF(INDEX(選手一覧!$I$5:$I$2736,$F1038)="","",INDEX(選手一覧!$I$5:$I$2736,$F1038))</f>
        <v/>
      </c>
    </row>
    <row r="1039" customFormat="false" ht="15" hidden="false" customHeight="false" outlineLevel="0" collapsed="false">
      <c r="A1039" s="12" t="n">
        <v>1036</v>
      </c>
      <c r="B1039" s="8" t="s">
        <v>3475</v>
      </c>
      <c r="C1039" s="8" t="s">
        <v>2410</v>
      </c>
      <c r="D1039" s="11" t="n">
        <v>0.00765138888888889</v>
      </c>
      <c r="E1039" s="39" t="n">
        <f aca="false">ROUND((D1039-$D$5)*86400,2)</f>
        <v>122.06</v>
      </c>
      <c r="F1039" s="12" t="n">
        <v>2251</v>
      </c>
      <c r="G1039" s="11" t="str">
        <f aca="false">IF(INDEX(選手一覧!$D$5:$D$2736,$F1039)="","",INDEX(選手一覧!$D$5:$D$2736,$F1039))</f>
        <v/>
      </c>
      <c r="H1039" s="12" t="str">
        <f aca="false">IF(INDEX(選手一覧!$E$5:$E$2736,$F1039)="","",INDEX(選手一覧!$E$5:$E$2736,$F1039))</f>
        <v/>
      </c>
      <c r="I1039" s="11" t="str">
        <f aca="false">IF(INDEX(選手一覧!$H$5:$H$2736,$F1039)="","",INDEX(選手一覧!$H$5:$H$2736,$F1039))</f>
        <v/>
      </c>
      <c r="J1039" s="12" t="str">
        <f aca="false">IF(INDEX(選手一覧!$I$5:$I$2736,$F1039)="","",INDEX(選手一覧!$I$5:$I$2736,$F1039))</f>
        <v/>
      </c>
    </row>
    <row r="1040" customFormat="false" ht="15" hidden="false" customHeight="false" outlineLevel="0" collapsed="false">
      <c r="A1040" s="12" t="n">
        <v>1037</v>
      </c>
      <c r="B1040" s="8" t="s">
        <v>3478</v>
      </c>
      <c r="C1040" s="8" t="s">
        <v>370</v>
      </c>
      <c r="D1040" s="11" t="n">
        <v>0.00765416666666667</v>
      </c>
      <c r="E1040" s="39" t="n">
        <f aca="false">ROUND((D1040-$D$5)*86400,2)</f>
        <v>122.3</v>
      </c>
      <c r="F1040" s="12" t="n">
        <v>2253</v>
      </c>
      <c r="G1040" s="11" t="str">
        <f aca="false">IF(INDEX(選手一覧!$D$5:$D$2736,$F1040)="","",INDEX(選手一覧!$D$5:$D$2736,$F1040))</f>
        <v/>
      </c>
      <c r="H1040" s="12" t="str">
        <f aca="false">IF(INDEX(選手一覧!$E$5:$E$2736,$F1040)="","",INDEX(選手一覧!$E$5:$E$2736,$F1040))</f>
        <v/>
      </c>
      <c r="I1040" s="11" t="str">
        <f aca="false">IF(INDEX(選手一覧!$H$5:$H$2736,$F1040)="","",INDEX(選手一覧!$H$5:$H$2736,$F1040))</f>
        <v/>
      </c>
      <c r="J1040" s="12" t="str">
        <f aca="false">IF(INDEX(選手一覧!$I$5:$I$2736,$F1040)="","",INDEX(選手一覧!$I$5:$I$2736,$F1040))</f>
        <v/>
      </c>
    </row>
    <row r="1041" customFormat="false" ht="15" hidden="false" customHeight="false" outlineLevel="0" collapsed="false">
      <c r="A1041" s="12" t="n">
        <v>1038</v>
      </c>
      <c r="B1041" s="8" t="s">
        <v>3480</v>
      </c>
      <c r="C1041" s="8" t="s">
        <v>2859</v>
      </c>
      <c r="D1041" s="11" t="n">
        <v>0.00765451388888889</v>
      </c>
      <c r="E1041" s="39" t="n">
        <f aca="false">ROUND((D1041-$D$5)*86400,2)</f>
        <v>122.33</v>
      </c>
      <c r="F1041" s="12" t="n">
        <v>2255</v>
      </c>
      <c r="G1041" s="11" t="str">
        <f aca="false">IF(INDEX(選手一覧!$D$5:$D$2736,$F1041)="","",INDEX(選手一覧!$D$5:$D$2736,$F1041))</f>
        <v/>
      </c>
      <c r="H1041" s="12" t="str">
        <f aca="false">IF(INDEX(選手一覧!$E$5:$E$2736,$F1041)="","",INDEX(選手一覧!$E$5:$E$2736,$F1041))</f>
        <v/>
      </c>
      <c r="I1041" s="11" t="str">
        <f aca="false">IF(INDEX(選手一覧!$H$5:$H$2736,$F1041)="","",INDEX(選手一覧!$H$5:$H$2736,$F1041))</f>
        <v/>
      </c>
      <c r="J1041" s="12" t="str">
        <f aca="false">IF(INDEX(選手一覧!$I$5:$I$2736,$F1041)="","",INDEX(選手一覧!$I$5:$I$2736,$F1041))</f>
        <v/>
      </c>
    </row>
    <row r="1042" customFormat="false" ht="15" hidden="false" customHeight="false" outlineLevel="0" collapsed="false">
      <c r="A1042" s="12" t="n">
        <v>1039</v>
      </c>
      <c r="B1042" s="8" t="s">
        <v>3481</v>
      </c>
      <c r="C1042" s="8" t="s">
        <v>2579</v>
      </c>
      <c r="D1042" s="11" t="n">
        <v>0.00765810185185185</v>
      </c>
      <c r="E1042" s="39" t="n">
        <f aca="false">ROUND((D1042-$D$5)*86400,2)</f>
        <v>122.64</v>
      </c>
      <c r="F1042" s="12" t="n">
        <v>2256</v>
      </c>
      <c r="G1042" s="11" t="str">
        <f aca="false">IF(INDEX(選手一覧!$D$5:$D$2736,$F1042)="","",INDEX(選手一覧!$D$5:$D$2736,$F1042))</f>
        <v/>
      </c>
      <c r="H1042" s="12" t="str">
        <f aca="false">IF(INDEX(選手一覧!$E$5:$E$2736,$F1042)="","",INDEX(選手一覧!$E$5:$E$2736,$F1042))</f>
        <v/>
      </c>
      <c r="I1042" s="11" t="str">
        <f aca="false">IF(INDEX(選手一覧!$H$5:$H$2736,$F1042)="","",INDEX(選手一覧!$H$5:$H$2736,$F1042))</f>
        <v/>
      </c>
      <c r="J1042" s="12" t="str">
        <f aca="false">IF(INDEX(選手一覧!$I$5:$I$2736,$F1042)="","",INDEX(選手一覧!$I$5:$I$2736,$F1042))</f>
        <v/>
      </c>
    </row>
    <row r="1043" customFormat="false" ht="15" hidden="false" customHeight="false" outlineLevel="0" collapsed="false">
      <c r="A1043" s="12" t="n">
        <v>1040</v>
      </c>
      <c r="B1043" s="8" t="s">
        <v>3484</v>
      </c>
      <c r="C1043" s="8" t="s">
        <v>3485</v>
      </c>
      <c r="D1043" s="11" t="n">
        <v>0.00765856481481482</v>
      </c>
      <c r="E1043" s="39" t="n">
        <f aca="false">ROUND((D1043-$D$5)*86400,2)</f>
        <v>122.68</v>
      </c>
      <c r="F1043" s="12" t="n">
        <v>2258</v>
      </c>
      <c r="G1043" s="11" t="str">
        <f aca="false">IF(INDEX(選手一覧!$D$5:$D$2736,$F1043)="","",INDEX(選手一覧!$D$5:$D$2736,$F1043))</f>
        <v/>
      </c>
      <c r="H1043" s="12" t="str">
        <f aca="false">IF(INDEX(選手一覧!$E$5:$E$2736,$F1043)="","",INDEX(選手一覧!$E$5:$E$2736,$F1043))</f>
        <v/>
      </c>
      <c r="I1043" s="11" t="str">
        <f aca="false">IF(INDEX(選手一覧!$H$5:$H$2736,$F1043)="","",INDEX(選手一覧!$H$5:$H$2736,$F1043))</f>
        <v/>
      </c>
      <c r="J1043" s="12" t="str">
        <f aca="false">IF(INDEX(選手一覧!$I$5:$I$2736,$F1043)="","",INDEX(選手一覧!$I$5:$I$2736,$F1043))</f>
        <v/>
      </c>
    </row>
    <row r="1044" customFormat="false" ht="15" hidden="false" customHeight="false" outlineLevel="0" collapsed="false">
      <c r="A1044" s="12" t="n">
        <v>1041</v>
      </c>
      <c r="B1044" s="8" t="s">
        <v>3486</v>
      </c>
      <c r="C1044" s="8" t="s">
        <v>3303</v>
      </c>
      <c r="D1044" s="11" t="n">
        <v>0.00766550925925926</v>
      </c>
      <c r="E1044" s="39" t="n">
        <f aca="false">ROUND((D1044-$D$5)*86400,2)</f>
        <v>123.28</v>
      </c>
      <c r="F1044" s="12" t="n">
        <v>2259</v>
      </c>
      <c r="G1044" s="11" t="str">
        <f aca="false">IF(INDEX(選手一覧!$D$5:$D$2736,$F1044)="","",INDEX(選手一覧!$D$5:$D$2736,$F1044))</f>
        <v/>
      </c>
      <c r="H1044" s="12" t="str">
        <f aca="false">IF(INDEX(選手一覧!$E$5:$E$2736,$F1044)="","",INDEX(選手一覧!$E$5:$E$2736,$F1044))</f>
        <v/>
      </c>
      <c r="I1044" s="11" t="str">
        <f aca="false">IF(INDEX(選手一覧!$H$5:$H$2736,$F1044)="","",INDEX(選手一覧!$H$5:$H$2736,$F1044))</f>
        <v/>
      </c>
      <c r="J1044" s="12" t="str">
        <f aca="false">IF(INDEX(選手一覧!$I$5:$I$2736,$F1044)="","",INDEX(選手一覧!$I$5:$I$2736,$F1044))</f>
        <v/>
      </c>
    </row>
    <row r="1045" customFormat="false" ht="15" hidden="false" customHeight="false" outlineLevel="0" collapsed="false">
      <c r="A1045" s="12" t="n">
        <v>1042</v>
      </c>
      <c r="B1045" s="8" t="s">
        <v>3488</v>
      </c>
      <c r="C1045" s="8" t="s">
        <v>3489</v>
      </c>
      <c r="D1045" s="11" t="n">
        <v>0.00766608796296296</v>
      </c>
      <c r="E1045" s="39" t="n">
        <f aca="false">ROUND((D1045-$D$5)*86400,2)</f>
        <v>123.33</v>
      </c>
      <c r="F1045" s="12" t="n">
        <v>2261</v>
      </c>
      <c r="G1045" s="11" t="str">
        <f aca="false">IF(INDEX(選手一覧!$D$5:$D$2736,$F1045)="","",INDEX(選手一覧!$D$5:$D$2736,$F1045))</f>
        <v/>
      </c>
      <c r="H1045" s="12" t="str">
        <f aca="false">IF(INDEX(選手一覧!$E$5:$E$2736,$F1045)="","",INDEX(選手一覧!$E$5:$E$2736,$F1045))</f>
        <v/>
      </c>
      <c r="I1045" s="11" t="str">
        <f aca="false">IF(INDEX(選手一覧!$H$5:$H$2736,$F1045)="","",INDEX(選手一覧!$H$5:$H$2736,$F1045))</f>
        <v/>
      </c>
      <c r="J1045" s="12" t="str">
        <f aca="false">IF(INDEX(選手一覧!$I$5:$I$2736,$F1045)="","",INDEX(選手一覧!$I$5:$I$2736,$F1045))</f>
        <v/>
      </c>
    </row>
    <row r="1046" customFormat="false" ht="15" hidden="false" customHeight="false" outlineLevel="0" collapsed="false">
      <c r="A1046" s="12" t="n">
        <v>1043</v>
      </c>
      <c r="B1046" s="8" t="s">
        <v>3490</v>
      </c>
      <c r="C1046" s="8" t="s">
        <v>1869</v>
      </c>
      <c r="D1046" s="11" t="n">
        <v>0.00766689814814815</v>
      </c>
      <c r="E1046" s="39" t="n">
        <f aca="false">ROUND((D1046-$D$5)*86400,2)</f>
        <v>123.4</v>
      </c>
      <c r="F1046" s="12" t="n">
        <v>2262</v>
      </c>
      <c r="G1046" s="11" t="str">
        <f aca="false">IF(INDEX(選手一覧!$D$5:$D$2736,$F1046)="","",INDEX(選手一覧!$D$5:$D$2736,$F1046))</f>
        <v/>
      </c>
      <c r="H1046" s="12" t="str">
        <f aca="false">IF(INDEX(選手一覧!$E$5:$E$2736,$F1046)="","",INDEX(選手一覧!$E$5:$E$2736,$F1046))</f>
        <v/>
      </c>
      <c r="I1046" s="11" t="str">
        <f aca="false">IF(INDEX(選手一覧!$H$5:$H$2736,$F1046)="","",INDEX(選手一覧!$H$5:$H$2736,$F1046))</f>
        <v/>
      </c>
      <c r="J1046" s="12" t="str">
        <f aca="false">IF(INDEX(選手一覧!$I$5:$I$2736,$F1046)="","",INDEX(選手一覧!$I$5:$I$2736,$F1046))</f>
        <v/>
      </c>
    </row>
    <row r="1047" customFormat="false" ht="15" hidden="false" customHeight="false" outlineLevel="0" collapsed="false">
      <c r="A1047" s="12" t="n">
        <v>1044</v>
      </c>
      <c r="B1047" s="8" t="s">
        <v>3491</v>
      </c>
      <c r="C1047" s="8" t="s">
        <v>735</v>
      </c>
      <c r="D1047" s="11" t="n">
        <v>0.0076681712962963</v>
      </c>
      <c r="E1047" s="39" t="n">
        <f aca="false">ROUND((D1047-$D$5)*86400,2)</f>
        <v>123.51</v>
      </c>
      <c r="F1047" s="12" t="n">
        <v>2263</v>
      </c>
      <c r="G1047" s="11" t="str">
        <f aca="false">IF(INDEX(選手一覧!$D$5:$D$2736,$F1047)="","",INDEX(選手一覧!$D$5:$D$2736,$F1047))</f>
        <v/>
      </c>
      <c r="H1047" s="12" t="str">
        <f aca="false">IF(INDEX(選手一覧!$E$5:$E$2736,$F1047)="","",INDEX(選手一覧!$E$5:$E$2736,$F1047))</f>
        <v/>
      </c>
      <c r="I1047" s="11" t="str">
        <f aca="false">IF(INDEX(選手一覧!$H$5:$H$2736,$F1047)="","",INDEX(選手一覧!$H$5:$H$2736,$F1047))</f>
        <v/>
      </c>
      <c r="J1047" s="12" t="str">
        <f aca="false">IF(INDEX(選手一覧!$I$5:$I$2736,$F1047)="","",INDEX(選手一覧!$I$5:$I$2736,$F1047))</f>
        <v/>
      </c>
    </row>
    <row r="1048" customFormat="false" ht="15" hidden="false" customHeight="false" outlineLevel="0" collapsed="false">
      <c r="A1048" s="12" t="n">
        <v>1045</v>
      </c>
      <c r="B1048" s="8" t="s">
        <v>3493</v>
      </c>
      <c r="C1048" s="8" t="s">
        <v>3088</v>
      </c>
      <c r="D1048" s="11" t="n">
        <v>0.00767013888888889</v>
      </c>
      <c r="E1048" s="39" t="n">
        <f aca="false">ROUND((D1048-$D$5)*86400,2)</f>
        <v>123.68</v>
      </c>
      <c r="F1048" s="12" t="n">
        <v>2265</v>
      </c>
      <c r="G1048" s="11" t="str">
        <f aca="false">IF(INDEX(選手一覧!$D$5:$D$2736,$F1048)="","",INDEX(選手一覧!$D$5:$D$2736,$F1048))</f>
        <v/>
      </c>
      <c r="H1048" s="12" t="str">
        <f aca="false">IF(INDEX(選手一覧!$E$5:$E$2736,$F1048)="","",INDEX(選手一覧!$E$5:$E$2736,$F1048))</f>
        <v/>
      </c>
      <c r="I1048" s="11" t="str">
        <f aca="false">IF(INDEX(選手一覧!$H$5:$H$2736,$F1048)="","",INDEX(選手一覧!$H$5:$H$2736,$F1048))</f>
        <v/>
      </c>
      <c r="J1048" s="12" t="str">
        <f aca="false">IF(INDEX(選手一覧!$I$5:$I$2736,$F1048)="","",INDEX(選手一覧!$I$5:$I$2736,$F1048))</f>
        <v/>
      </c>
    </row>
    <row r="1049" customFormat="false" ht="15" hidden="false" customHeight="false" outlineLevel="0" collapsed="false">
      <c r="A1049" s="12" t="n">
        <v>1046</v>
      </c>
      <c r="B1049" s="8" t="s">
        <v>3495</v>
      </c>
      <c r="C1049" s="8" t="s">
        <v>3496</v>
      </c>
      <c r="D1049" s="11" t="n">
        <v>0.00767106481481482</v>
      </c>
      <c r="E1049" s="39" t="n">
        <f aca="false">ROUND((D1049-$D$5)*86400,2)</f>
        <v>123.76</v>
      </c>
      <c r="F1049" s="12" t="n">
        <v>2267</v>
      </c>
      <c r="G1049" s="11" t="str">
        <f aca="false">IF(INDEX(選手一覧!$D$5:$D$2736,$F1049)="","",INDEX(選手一覧!$D$5:$D$2736,$F1049))</f>
        <v/>
      </c>
      <c r="H1049" s="12" t="str">
        <f aca="false">IF(INDEX(選手一覧!$E$5:$E$2736,$F1049)="","",INDEX(選手一覧!$E$5:$E$2736,$F1049))</f>
        <v/>
      </c>
      <c r="I1049" s="11" t="str">
        <f aca="false">IF(INDEX(選手一覧!$H$5:$H$2736,$F1049)="","",INDEX(選手一覧!$H$5:$H$2736,$F1049))</f>
        <v/>
      </c>
      <c r="J1049" s="12" t="str">
        <f aca="false">IF(INDEX(選手一覧!$I$5:$I$2736,$F1049)="","",INDEX(選手一覧!$I$5:$I$2736,$F1049))</f>
        <v/>
      </c>
    </row>
    <row r="1050" customFormat="false" ht="15" hidden="false" customHeight="false" outlineLevel="0" collapsed="false">
      <c r="A1050" s="12" t="n">
        <v>1047</v>
      </c>
      <c r="B1050" s="8" t="s">
        <v>3497</v>
      </c>
      <c r="C1050" s="8" t="s">
        <v>3498</v>
      </c>
      <c r="D1050" s="11" t="n">
        <v>0.00767118055555556</v>
      </c>
      <c r="E1050" s="39" t="n">
        <f aca="false">ROUND((D1050-$D$5)*86400,2)</f>
        <v>123.77</v>
      </c>
      <c r="F1050" s="12" t="n">
        <v>2268</v>
      </c>
      <c r="G1050" s="11" t="str">
        <f aca="false">IF(INDEX(選手一覧!$D$5:$D$2736,$F1050)="","",INDEX(選手一覧!$D$5:$D$2736,$F1050))</f>
        <v/>
      </c>
      <c r="H1050" s="12" t="str">
        <f aca="false">IF(INDEX(選手一覧!$E$5:$E$2736,$F1050)="","",INDEX(選手一覧!$E$5:$E$2736,$F1050))</f>
        <v/>
      </c>
      <c r="I1050" s="11" t="str">
        <f aca="false">IF(INDEX(選手一覧!$H$5:$H$2736,$F1050)="","",INDEX(選手一覧!$H$5:$H$2736,$F1050))</f>
        <v/>
      </c>
      <c r="J1050" s="12" t="str">
        <f aca="false">IF(INDEX(選手一覧!$I$5:$I$2736,$F1050)="","",INDEX(選手一覧!$I$5:$I$2736,$F1050))</f>
        <v/>
      </c>
    </row>
    <row r="1051" customFormat="false" ht="15" hidden="false" customHeight="false" outlineLevel="0" collapsed="false">
      <c r="A1051" s="12" t="n">
        <v>1048</v>
      </c>
      <c r="B1051" s="8" t="s">
        <v>3500</v>
      </c>
      <c r="C1051" s="8" t="s">
        <v>447</v>
      </c>
      <c r="D1051" s="11" t="n">
        <v>0.00767199074074074</v>
      </c>
      <c r="E1051" s="39" t="n">
        <f aca="false">ROUND((D1051-$D$5)*86400,2)</f>
        <v>123.84</v>
      </c>
      <c r="F1051" s="12" t="n">
        <v>2270</v>
      </c>
      <c r="G1051" s="11" t="str">
        <f aca="false">IF(INDEX(選手一覧!$D$5:$D$2736,$F1051)="","",INDEX(選手一覧!$D$5:$D$2736,$F1051))</f>
        <v/>
      </c>
      <c r="H1051" s="12" t="str">
        <f aca="false">IF(INDEX(選手一覧!$E$5:$E$2736,$F1051)="","",INDEX(選手一覧!$E$5:$E$2736,$F1051))</f>
        <v/>
      </c>
      <c r="I1051" s="11" t="str">
        <f aca="false">IF(INDEX(選手一覧!$H$5:$H$2736,$F1051)="","",INDEX(選手一覧!$H$5:$H$2736,$F1051))</f>
        <v/>
      </c>
      <c r="J1051" s="12" t="str">
        <f aca="false">IF(INDEX(選手一覧!$I$5:$I$2736,$F1051)="","",INDEX(選手一覧!$I$5:$I$2736,$F1051))</f>
        <v/>
      </c>
    </row>
    <row r="1052" customFormat="false" ht="15" hidden="false" customHeight="false" outlineLevel="0" collapsed="false">
      <c r="A1052" s="12" t="n">
        <v>1049</v>
      </c>
      <c r="B1052" s="8" t="s">
        <v>3501</v>
      </c>
      <c r="C1052" s="8" t="s">
        <v>3502</v>
      </c>
      <c r="D1052" s="11" t="n">
        <v>0.00767210648148148</v>
      </c>
      <c r="E1052" s="39" t="n">
        <f aca="false">ROUND((D1052-$D$5)*86400,2)</f>
        <v>123.85</v>
      </c>
      <c r="F1052" s="12" t="n">
        <v>2271</v>
      </c>
      <c r="G1052" s="11" t="str">
        <f aca="false">IF(INDEX(選手一覧!$D$5:$D$2736,$F1052)="","",INDEX(選手一覧!$D$5:$D$2736,$F1052))</f>
        <v/>
      </c>
      <c r="H1052" s="12" t="str">
        <f aca="false">IF(INDEX(選手一覧!$E$5:$E$2736,$F1052)="","",INDEX(選手一覧!$E$5:$E$2736,$F1052))</f>
        <v/>
      </c>
      <c r="I1052" s="11" t="str">
        <f aca="false">IF(INDEX(選手一覧!$H$5:$H$2736,$F1052)="","",INDEX(選手一覧!$H$5:$H$2736,$F1052))</f>
        <v/>
      </c>
      <c r="J1052" s="12" t="str">
        <f aca="false">IF(INDEX(選手一覧!$I$5:$I$2736,$F1052)="","",INDEX(選手一覧!$I$5:$I$2736,$F1052))</f>
        <v/>
      </c>
    </row>
    <row r="1053" customFormat="false" ht="15" hidden="false" customHeight="false" outlineLevel="0" collapsed="false">
      <c r="A1053" s="12" t="n">
        <v>1050</v>
      </c>
      <c r="B1053" s="8" t="s">
        <v>3503</v>
      </c>
      <c r="C1053" s="8" t="s">
        <v>212</v>
      </c>
      <c r="D1053" s="11" t="n">
        <v>0.00767291666666667</v>
      </c>
      <c r="E1053" s="39" t="n">
        <f aca="false">ROUND((D1053-$D$5)*86400,2)</f>
        <v>123.92</v>
      </c>
      <c r="F1053" s="12" t="n">
        <v>2272</v>
      </c>
      <c r="G1053" s="11" t="str">
        <f aca="false">IF(INDEX(選手一覧!$D$5:$D$2736,$F1053)="","",INDEX(選手一覧!$D$5:$D$2736,$F1053))</f>
        <v/>
      </c>
      <c r="H1053" s="12" t="str">
        <f aca="false">IF(INDEX(選手一覧!$E$5:$E$2736,$F1053)="","",INDEX(選手一覧!$E$5:$E$2736,$F1053))</f>
        <v/>
      </c>
      <c r="I1053" s="11" t="str">
        <f aca="false">IF(INDEX(選手一覧!$H$5:$H$2736,$F1053)="","",INDEX(選手一覧!$H$5:$H$2736,$F1053))</f>
        <v/>
      </c>
      <c r="J1053" s="12" t="str">
        <f aca="false">IF(INDEX(選手一覧!$I$5:$I$2736,$F1053)="","",INDEX(選手一覧!$I$5:$I$2736,$F1053))</f>
        <v/>
      </c>
    </row>
    <row r="1054" customFormat="false" ht="15" hidden="false" customHeight="false" outlineLevel="0" collapsed="false">
      <c r="A1054" s="12" t="n">
        <v>1051</v>
      </c>
      <c r="B1054" s="8" t="s">
        <v>3504</v>
      </c>
      <c r="C1054" s="8" t="s">
        <v>3505</v>
      </c>
      <c r="D1054" s="11" t="n">
        <v>0.00767326388888889</v>
      </c>
      <c r="E1054" s="39" t="n">
        <f aca="false">ROUND((D1054-$D$5)*86400,2)</f>
        <v>123.95</v>
      </c>
      <c r="F1054" s="12" t="n">
        <v>2273</v>
      </c>
      <c r="G1054" s="11" t="str">
        <f aca="false">IF(INDEX(選手一覧!$D$5:$D$2736,$F1054)="","",INDEX(選手一覧!$D$5:$D$2736,$F1054))</f>
        <v/>
      </c>
      <c r="H1054" s="12" t="str">
        <f aca="false">IF(INDEX(選手一覧!$E$5:$E$2736,$F1054)="","",INDEX(選手一覧!$E$5:$E$2736,$F1054))</f>
        <v/>
      </c>
      <c r="I1054" s="11" t="str">
        <f aca="false">IF(INDEX(選手一覧!$H$5:$H$2736,$F1054)="","",INDEX(選手一覧!$H$5:$H$2736,$F1054))</f>
        <v/>
      </c>
      <c r="J1054" s="12" t="str">
        <f aca="false">IF(INDEX(選手一覧!$I$5:$I$2736,$F1054)="","",INDEX(選手一覧!$I$5:$I$2736,$F1054))</f>
        <v/>
      </c>
    </row>
    <row r="1055" customFormat="false" ht="15" hidden="false" customHeight="false" outlineLevel="0" collapsed="false">
      <c r="A1055" s="12" t="n">
        <v>1052</v>
      </c>
      <c r="B1055" s="8" t="s">
        <v>3506</v>
      </c>
      <c r="C1055" s="8" t="s">
        <v>3507</v>
      </c>
      <c r="D1055" s="11" t="n">
        <v>0.00767407407407407</v>
      </c>
      <c r="E1055" s="39" t="n">
        <f aca="false">ROUND((D1055-$D$5)*86400,2)</f>
        <v>124.02</v>
      </c>
      <c r="F1055" s="12" t="n">
        <v>2274</v>
      </c>
      <c r="G1055" s="11" t="str">
        <f aca="false">IF(INDEX(選手一覧!$D$5:$D$2736,$F1055)="","",INDEX(選手一覧!$D$5:$D$2736,$F1055))</f>
        <v/>
      </c>
      <c r="H1055" s="12" t="str">
        <f aca="false">IF(INDEX(選手一覧!$E$5:$E$2736,$F1055)="","",INDEX(選手一覧!$E$5:$E$2736,$F1055))</f>
        <v/>
      </c>
      <c r="I1055" s="11" t="str">
        <f aca="false">IF(INDEX(選手一覧!$H$5:$H$2736,$F1055)="","",INDEX(選手一覧!$H$5:$H$2736,$F1055))</f>
        <v/>
      </c>
      <c r="J1055" s="12" t="str">
        <f aca="false">IF(INDEX(選手一覧!$I$5:$I$2736,$F1055)="","",INDEX(選手一覧!$I$5:$I$2736,$F1055))</f>
        <v/>
      </c>
    </row>
    <row r="1056" customFormat="false" ht="15" hidden="false" customHeight="false" outlineLevel="0" collapsed="false">
      <c r="A1056" s="12" t="n">
        <v>1053</v>
      </c>
      <c r="B1056" s="8" t="s">
        <v>3510</v>
      </c>
      <c r="C1056" s="8" t="s">
        <v>582</v>
      </c>
      <c r="D1056" s="11" t="n">
        <v>0.00767488425925926</v>
      </c>
      <c r="E1056" s="39" t="n">
        <f aca="false">ROUND((D1056-$D$5)*86400,2)</f>
        <v>124.09</v>
      </c>
      <c r="F1056" s="12" t="n">
        <v>2276</v>
      </c>
      <c r="G1056" s="11" t="str">
        <f aca="false">IF(INDEX(選手一覧!$D$5:$D$2736,$F1056)="","",INDEX(選手一覧!$D$5:$D$2736,$F1056))</f>
        <v/>
      </c>
      <c r="H1056" s="12" t="str">
        <f aca="false">IF(INDEX(選手一覧!$E$5:$E$2736,$F1056)="","",INDEX(選手一覧!$E$5:$E$2736,$F1056))</f>
        <v/>
      </c>
      <c r="I1056" s="11" t="str">
        <f aca="false">IF(INDEX(選手一覧!$H$5:$H$2736,$F1056)="","",INDEX(選手一覧!$H$5:$H$2736,$F1056))</f>
        <v/>
      </c>
      <c r="J1056" s="12" t="str">
        <f aca="false">IF(INDEX(選手一覧!$I$5:$I$2736,$F1056)="","",INDEX(選手一覧!$I$5:$I$2736,$F1056))</f>
        <v/>
      </c>
    </row>
    <row r="1057" customFormat="false" ht="15" hidden="false" customHeight="false" outlineLevel="0" collapsed="false">
      <c r="A1057" s="12" t="n">
        <v>1054</v>
      </c>
      <c r="B1057" s="8" t="s">
        <v>3511</v>
      </c>
      <c r="C1057" s="8" t="s">
        <v>3140</v>
      </c>
      <c r="D1057" s="11" t="n">
        <v>0.00767534722222222</v>
      </c>
      <c r="E1057" s="39" t="n">
        <f aca="false">ROUND((D1057-$D$5)*86400,2)</f>
        <v>124.13</v>
      </c>
      <c r="F1057" s="12" t="n">
        <v>2277</v>
      </c>
      <c r="G1057" s="11" t="str">
        <f aca="false">IF(INDEX(選手一覧!$D$5:$D$2736,$F1057)="","",INDEX(選手一覧!$D$5:$D$2736,$F1057))</f>
        <v/>
      </c>
      <c r="H1057" s="12" t="str">
        <f aca="false">IF(INDEX(選手一覧!$E$5:$E$2736,$F1057)="","",INDEX(選手一覧!$E$5:$E$2736,$F1057))</f>
        <v/>
      </c>
      <c r="I1057" s="11" t="str">
        <f aca="false">IF(INDEX(選手一覧!$H$5:$H$2736,$F1057)="","",INDEX(選手一覧!$H$5:$H$2736,$F1057))</f>
        <v/>
      </c>
      <c r="J1057" s="12" t="str">
        <f aca="false">IF(INDEX(選手一覧!$I$5:$I$2736,$F1057)="","",INDEX(選手一覧!$I$5:$I$2736,$F1057))</f>
        <v/>
      </c>
    </row>
    <row r="1058" customFormat="false" ht="15" hidden="false" customHeight="false" outlineLevel="0" collapsed="false">
      <c r="A1058" s="12" t="n">
        <v>1055</v>
      </c>
      <c r="B1058" s="8" t="s">
        <v>3513</v>
      </c>
      <c r="C1058" s="8" t="s">
        <v>3146</v>
      </c>
      <c r="D1058" s="11" t="n">
        <v>0.00767627314814815</v>
      </c>
      <c r="E1058" s="39" t="n">
        <f aca="false">ROUND((D1058-$D$5)*86400,2)</f>
        <v>124.21</v>
      </c>
      <c r="F1058" s="12" t="n">
        <v>2279</v>
      </c>
      <c r="G1058" s="11" t="str">
        <f aca="false">IF(INDEX(選手一覧!$D$5:$D$2736,$F1058)="","",INDEX(選手一覧!$D$5:$D$2736,$F1058))</f>
        <v/>
      </c>
      <c r="H1058" s="12" t="str">
        <f aca="false">IF(INDEX(選手一覧!$E$5:$E$2736,$F1058)="","",INDEX(選手一覧!$E$5:$E$2736,$F1058))</f>
        <v/>
      </c>
      <c r="I1058" s="11" t="str">
        <f aca="false">IF(INDEX(選手一覧!$H$5:$H$2736,$F1058)="","",INDEX(選手一覧!$H$5:$H$2736,$F1058))</f>
        <v/>
      </c>
      <c r="J1058" s="12" t="str">
        <f aca="false">IF(INDEX(選手一覧!$I$5:$I$2736,$F1058)="","",INDEX(選手一覧!$I$5:$I$2736,$F1058))</f>
        <v/>
      </c>
    </row>
    <row r="1059" customFormat="false" ht="15" hidden="false" customHeight="false" outlineLevel="0" collapsed="false">
      <c r="A1059" s="12" t="n">
        <v>1056</v>
      </c>
      <c r="B1059" s="8" t="s">
        <v>1523</v>
      </c>
      <c r="C1059" s="8" t="s">
        <v>1104</v>
      </c>
      <c r="D1059" s="11" t="n">
        <v>0.0076775462962963</v>
      </c>
      <c r="E1059" s="39" t="n">
        <f aca="false">ROUND((D1059-$D$5)*86400,2)</f>
        <v>124.32</v>
      </c>
      <c r="F1059" s="12" t="n">
        <v>931</v>
      </c>
      <c r="G1059" s="11" t="n">
        <f aca="false">IF(INDEX(選手一覧!$D$5:$D$2736,$F1059)="","",INDEX(選手一覧!$D$5:$D$2736,$F1059))</f>
        <v>0.0109074074074074</v>
      </c>
      <c r="H1059" s="12" t="n">
        <f aca="false">IF(INDEX(選手一覧!$E$5:$E$2736,$F1059)="","",INDEX(選手一覧!$E$5:$E$2736,$F1059))</f>
        <v>932</v>
      </c>
      <c r="I1059" s="11" t="n">
        <f aca="false">IF(INDEX(選手一覧!$H$5:$H$2736,$F1059)="","",INDEX(選手一覧!$H$5:$H$2736,$F1059))</f>
        <v>0.00297268518518519</v>
      </c>
      <c r="J1059" s="12" t="n">
        <f aca="false">IF(INDEX(選手一覧!$I$5:$I$2736,$F1059)="","",INDEX(選手一覧!$I$5:$I$2736,$F1059))</f>
        <v>1320</v>
      </c>
    </row>
    <row r="1060" customFormat="false" ht="15" hidden="false" customHeight="false" outlineLevel="0" collapsed="false">
      <c r="A1060" s="12" t="n">
        <v>1057</v>
      </c>
      <c r="B1060" s="8" t="s">
        <v>3514</v>
      </c>
      <c r="C1060" s="8" t="s">
        <v>602</v>
      </c>
      <c r="D1060" s="11" t="n">
        <v>0.00767847222222222</v>
      </c>
      <c r="E1060" s="39" t="n">
        <f aca="false">ROUND((D1060-$D$5)*86400,2)</f>
        <v>124.4</v>
      </c>
      <c r="F1060" s="12" t="n">
        <v>2280</v>
      </c>
      <c r="G1060" s="11" t="str">
        <f aca="false">IF(INDEX(選手一覧!$D$5:$D$2736,$F1060)="","",INDEX(選手一覧!$D$5:$D$2736,$F1060))</f>
        <v/>
      </c>
      <c r="H1060" s="12" t="str">
        <f aca="false">IF(INDEX(選手一覧!$E$5:$E$2736,$F1060)="","",INDEX(選手一覧!$E$5:$E$2736,$F1060))</f>
        <v/>
      </c>
      <c r="I1060" s="11" t="str">
        <f aca="false">IF(INDEX(選手一覧!$H$5:$H$2736,$F1060)="","",INDEX(選手一覧!$H$5:$H$2736,$F1060))</f>
        <v/>
      </c>
      <c r="J1060" s="12" t="str">
        <f aca="false">IF(INDEX(選手一覧!$I$5:$I$2736,$F1060)="","",INDEX(選手一覧!$I$5:$I$2736,$F1060))</f>
        <v/>
      </c>
    </row>
    <row r="1061" customFormat="false" ht="15" hidden="false" customHeight="false" outlineLevel="0" collapsed="false">
      <c r="A1061" s="12" t="n">
        <v>1058</v>
      </c>
      <c r="B1061" s="8" t="s">
        <v>3515</v>
      </c>
      <c r="C1061" s="8" t="s">
        <v>1141</v>
      </c>
      <c r="D1061" s="11" t="n">
        <v>0.00767951388888889</v>
      </c>
      <c r="E1061" s="39" t="n">
        <f aca="false">ROUND((D1061-$D$5)*86400,2)</f>
        <v>124.49</v>
      </c>
      <c r="F1061" s="12" t="n">
        <v>2281</v>
      </c>
      <c r="G1061" s="11" t="str">
        <f aca="false">IF(INDEX(選手一覧!$D$5:$D$2736,$F1061)="","",INDEX(選手一覧!$D$5:$D$2736,$F1061))</f>
        <v/>
      </c>
      <c r="H1061" s="12" t="str">
        <f aca="false">IF(INDEX(選手一覧!$E$5:$E$2736,$F1061)="","",INDEX(選手一覧!$E$5:$E$2736,$F1061))</f>
        <v/>
      </c>
      <c r="I1061" s="11" t="str">
        <f aca="false">IF(INDEX(選手一覧!$H$5:$H$2736,$F1061)="","",INDEX(選手一覧!$H$5:$H$2736,$F1061))</f>
        <v/>
      </c>
      <c r="J1061" s="12" t="str">
        <f aca="false">IF(INDEX(選手一覧!$I$5:$I$2736,$F1061)="","",INDEX(選手一覧!$I$5:$I$2736,$F1061))</f>
        <v/>
      </c>
    </row>
    <row r="1062" customFormat="false" ht="15" hidden="false" customHeight="false" outlineLevel="0" collapsed="false">
      <c r="A1062" s="12" t="n">
        <v>1059</v>
      </c>
      <c r="B1062" s="8" t="s">
        <v>3517</v>
      </c>
      <c r="C1062" s="8" t="s">
        <v>1341</v>
      </c>
      <c r="D1062" s="11" t="n">
        <v>0.00768252314814815</v>
      </c>
      <c r="E1062" s="39" t="n">
        <f aca="false">ROUND((D1062-$D$5)*86400,2)</f>
        <v>124.75</v>
      </c>
      <c r="F1062" s="12" t="n">
        <v>2283</v>
      </c>
      <c r="G1062" s="11" t="str">
        <f aca="false">IF(INDEX(選手一覧!$D$5:$D$2736,$F1062)="","",INDEX(選手一覧!$D$5:$D$2736,$F1062))</f>
        <v/>
      </c>
      <c r="H1062" s="12" t="str">
        <f aca="false">IF(INDEX(選手一覧!$E$5:$E$2736,$F1062)="","",INDEX(選手一覧!$E$5:$E$2736,$F1062))</f>
        <v/>
      </c>
      <c r="I1062" s="11" t="str">
        <f aca="false">IF(INDEX(選手一覧!$H$5:$H$2736,$F1062)="","",INDEX(選手一覧!$H$5:$H$2736,$F1062))</f>
        <v/>
      </c>
      <c r="J1062" s="12" t="str">
        <f aca="false">IF(INDEX(選手一覧!$I$5:$I$2736,$F1062)="","",INDEX(選手一覧!$I$5:$I$2736,$F1062))</f>
        <v/>
      </c>
    </row>
    <row r="1063" customFormat="false" ht="15" hidden="false" customHeight="false" outlineLevel="0" collapsed="false">
      <c r="A1063" s="12" t="n">
        <v>1060</v>
      </c>
      <c r="B1063" s="8" t="s">
        <v>3518</v>
      </c>
      <c r="C1063" s="8" t="s">
        <v>3519</v>
      </c>
      <c r="D1063" s="11" t="n">
        <v>0.00768344907407407</v>
      </c>
      <c r="E1063" s="39" t="n">
        <f aca="false">ROUND((D1063-$D$5)*86400,2)</f>
        <v>124.83</v>
      </c>
      <c r="F1063" s="12" t="n">
        <v>2284</v>
      </c>
      <c r="G1063" s="11" t="str">
        <f aca="false">IF(INDEX(選手一覧!$D$5:$D$2736,$F1063)="","",INDEX(選手一覧!$D$5:$D$2736,$F1063))</f>
        <v/>
      </c>
      <c r="H1063" s="12" t="str">
        <f aca="false">IF(INDEX(選手一覧!$E$5:$E$2736,$F1063)="","",INDEX(選手一覧!$E$5:$E$2736,$F1063))</f>
        <v/>
      </c>
      <c r="I1063" s="11" t="str">
        <f aca="false">IF(INDEX(選手一覧!$H$5:$H$2736,$F1063)="","",INDEX(選手一覧!$H$5:$H$2736,$F1063))</f>
        <v/>
      </c>
      <c r="J1063" s="12" t="str">
        <f aca="false">IF(INDEX(選手一覧!$I$5:$I$2736,$F1063)="","",INDEX(選手一覧!$I$5:$I$2736,$F1063))</f>
        <v/>
      </c>
    </row>
    <row r="1064" customFormat="false" ht="15" hidden="false" customHeight="false" outlineLevel="0" collapsed="false">
      <c r="A1064" s="12" t="n">
        <v>1061</v>
      </c>
      <c r="B1064" s="8" t="s">
        <v>3520</v>
      </c>
      <c r="C1064" s="8" t="s">
        <v>2901</v>
      </c>
      <c r="D1064" s="11" t="n">
        <v>0.00768622685185185</v>
      </c>
      <c r="E1064" s="39" t="n">
        <f aca="false">ROUND((D1064-$D$5)*86400,2)</f>
        <v>125.07</v>
      </c>
      <c r="F1064" s="12" t="n">
        <v>2285</v>
      </c>
      <c r="G1064" s="11" t="str">
        <f aca="false">IF(INDEX(選手一覧!$D$5:$D$2736,$F1064)="","",INDEX(選手一覧!$D$5:$D$2736,$F1064))</f>
        <v/>
      </c>
      <c r="H1064" s="12" t="str">
        <f aca="false">IF(INDEX(選手一覧!$E$5:$E$2736,$F1064)="","",INDEX(選手一覧!$E$5:$E$2736,$F1064))</f>
        <v/>
      </c>
      <c r="I1064" s="11" t="str">
        <f aca="false">IF(INDEX(選手一覧!$H$5:$H$2736,$F1064)="","",INDEX(選手一覧!$H$5:$H$2736,$F1064))</f>
        <v/>
      </c>
      <c r="J1064" s="12" t="str">
        <f aca="false">IF(INDEX(選手一覧!$I$5:$I$2736,$F1064)="","",INDEX(選手一覧!$I$5:$I$2736,$F1064))</f>
        <v/>
      </c>
    </row>
    <row r="1065" customFormat="false" ht="15" hidden="false" customHeight="false" outlineLevel="0" collapsed="false">
      <c r="A1065" s="12" t="n">
        <v>1062</v>
      </c>
      <c r="B1065" s="8" t="s">
        <v>3523</v>
      </c>
      <c r="C1065" s="8" t="s">
        <v>1222</v>
      </c>
      <c r="D1065" s="11" t="n">
        <v>0.00769212962962963</v>
      </c>
      <c r="E1065" s="39" t="n">
        <f aca="false">ROUND((D1065-$D$5)*86400,2)</f>
        <v>125.58</v>
      </c>
      <c r="F1065" s="12" t="n">
        <v>2287</v>
      </c>
      <c r="G1065" s="11" t="str">
        <f aca="false">IF(INDEX(選手一覧!$D$5:$D$2736,$F1065)="","",INDEX(選手一覧!$D$5:$D$2736,$F1065))</f>
        <v/>
      </c>
      <c r="H1065" s="12" t="str">
        <f aca="false">IF(INDEX(選手一覧!$E$5:$E$2736,$F1065)="","",INDEX(選手一覧!$E$5:$E$2736,$F1065))</f>
        <v/>
      </c>
      <c r="I1065" s="11" t="str">
        <f aca="false">IF(INDEX(選手一覧!$H$5:$H$2736,$F1065)="","",INDEX(選手一覧!$H$5:$H$2736,$F1065))</f>
        <v/>
      </c>
      <c r="J1065" s="12" t="str">
        <f aca="false">IF(INDEX(選手一覧!$I$5:$I$2736,$F1065)="","",INDEX(選手一覧!$I$5:$I$2736,$F1065))</f>
        <v/>
      </c>
    </row>
    <row r="1066" customFormat="false" ht="15" hidden="false" customHeight="false" outlineLevel="0" collapsed="false">
      <c r="A1066" s="12" t="n">
        <v>1063</v>
      </c>
      <c r="B1066" s="8" t="s">
        <v>3525</v>
      </c>
      <c r="C1066" s="8" t="s">
        <v>3526</v>
      </c>
      <c r="D1066" s="11" t="n">
        <v>0.00769328703703704</v>
      </c>
      <c r="E1066" s="39" t="n">
        <f aca="false">ROUND((D1066-$D$5)*86400,2)</f>
        <v>125.68</v>
      </c>
      <c r="F1066" s="12" t="n">
        <v>2289</v>
      </c>
      <c r="G1066" s="11" t="str">
        <f aca="false">IF(INDEX(選手一覧!$D$5:$D$2736,$F1066)="","",INDEX(選手一覧!$D$5:$D$2736,$F1066))</f>
        <v/>
      </c>
      <c r="H1066" s="12" t="str">
        <f aca="false">IF(INDEX(選手一覧!$E$5:$E$2736,$F1066)="","",INDEX(選手一覧!$E$5:$E$2736,$F1066))</f>
        <v/>
      </c>
      <c r="I1066" s="11" t="str">
        <f aca="false">IF(INDEX(選手一覧!$H$5:$H$2736,$F1066)="","",INDEX(選手一覧!$H$5:$H$2736,$F1066))</f>
        <v/>
      </c>
      <c r="J1066" s="12" t="str">
        <f aca="false">IF(INDEX(選手一覧!$I$5:$I$2736,$F1066)="","",INDEX(選手一覧!$I$5:$I$2736,$F1066))</f>
        <v/>
      </c>
    </row>
    <row r="1067" customFormat="false" ht="15" hidden="false" customHeight="false" outlineLevel="0" collapsed="false">
      <c r="A1067" s="12" t="n">
        <v>1064</v>
      </c>
      <c r="B1067" s="8" t="s">
        <v>1687</v>
      </c>
      <c r="C1067" s="8" t="s">
        <v>311</v>
      </c>
      <c r="D1067" s="11" t="n">
        <v>0.00769664351851852</v>
      </c>
      <c r="E1067" s="39" t="n">
        <f aca="false">ROUND((D1067-$D$5)*86400,2)</f>
        <v>125.97</v>
      </c>
      <c r="F1067" s="12" t="n">
        <v>1045</v>
      </c>
      <c r="G1067" s="11" t="n">
        <f aca="false">IF(INDEX(選手一覧!$D$5:$D$2736,$F1067)="","",INDEX(選手一覧!$D$5:$D$2736,$F1067))</f>
        <v>0.0109732638888889</v>
      </c>
      <c r="H1067" s="12" t="n">
        <f aca="false">IF(INDEX(選手一覧!$E$5:$E$2736,$F1067)="","",INDEX(選手一覧!$E$5:$E$2736,$F1067))</f>
        <v>1046</v>
      </c>
      <c r="I1067" s="11" t="str">
        <f aca="false">IF(INDEX(選手一覧!$H$5:$H$2736,$F1067)="","",INDEX(選手一覧!$H$5:$H$2736,$F1067))</f>
        <v/>
      </c>
      <c r="J1067" s="12" t="str">
        <f aca="false">IF(INDEX(選手一覧!$I$5:$I$2736,$F1067)="","",INDEX(選手一覧!$I$5:$I$2736,$F1067))</f>
        <v/>
      </c>
    </row>
    <row r="1068" customFormat="false" ht="15" hidden="false" customHeight="false" outlineLevel="0" collapsed="false">
      <c r="A1068" s="12" t="n">
        <v>1065</v>
      </c>
      <c r="B1068" s="8" t="s">
        <v>3527</v>
      </c>
      <c r="C1068" s="8" t="s">
        <v>971</v>
      </c>
      <c r="D1068" s="11" t="n">
        <v>0.00769953703703704</v>
      </c>
      <c r="E1068" s="39" t="n">
        <f aca="false">ROUND((D1068-$D$5)*86400,2)</f>
        <v>126.22</v>
      </c>
      <c r="F1068" s="12" t="n">
        <v>2290</v>
      </c>
      <c r="G1068" s="11" t="str">
        <f aca="false">IF(INDEX(選手一覧!$D$5:$D$2736,$F1068)="","",INDEX(選手一覧!$D$5:$D$2736,$F1068))</f>
        <v/>
      </c>
      <c r="H1068" s="12" t="str">
        <f aca="false">IF(INDEX(選手一覧!$E$5:$E$2736,$F1068)="","",INDEX(選手一覧!$E$5:$E$2736,$F1068))</f>
        <v/>
      </c>
      <c r="I1068" s="11" t="str">
        <f aca="false">IF(INDEX(選手一覧!$H$5:$H$2736,$F1068)="","",INDEX(選手一覧!$H$5:$H$2736,$F1068))</f>
        <v/>
      </c>
      <c r="J1068" s="12" t="str">
        <f aca="false">IF(INDEX(選手一覧!$I$5:$I$2736,$F1068)="","",INDEX(選手一覧!$I$5:$I$2736,$F1068))</f>
        <v/>
      </c>
    </row>
    <row r="1069" customFormat="false" ht="15" hidden="false" customHeight="false" outlineLevel="0" collapsed="false">
      <c r="A1069" s="12" t="n">
        <v>1066</v>
      </c>
      <c r="B1069" s="8" t="s">
        <v>3529</v>
      </c>
      <c r="C1069" s="8" t="s">
        <v>1583</v>
      </c>
      <c r="D1069" s="11" t="n">
        <v>0.0077005787037037</v>
      </c>
      <c r="E1069" s="39" t="n">
        <f aca="false">ROUND((D1069-$D$5)*86400,2)</f>
        <v>126.31</v>
      </c>
      <c r="F1069" s="12" t="n">
        <v>2292</v>
      </c>
      <c r="G1069" s="11" t="str">
        <f aca="false">IF(INDEX(選手一覧!$D$5:$D$2736,$F1069)="","",INDEX(選手一覧!$D$5:$D$2736,$F1069))</f>
        <v/>
      </c>
      <c r="H1069" s="12" t="str">
        <f aca="false">IF(INDEX(選手一覧!$E$5:$E$2736,$F1069)="","",INDEX(選手一覧!$E$5:$E$2736,$F1069))</f>
        <v/>
      </c>
      <c r="I1069" s="11" t="str">
        <f aca="false">IF(INDEX(選手一覧!$H$5:$H$2736,$F1069)="","",INDEX(選手一覧!$H$5:$H$2736,$F1069))</f>
        <v/>
      </c>
      <c r="J1069" s="12" t="str">
        <f aca="false">IF(INDEX(選手一覧!$I$5:$I$2736,$F1069)="","",INDEX(選手一覧!$I$5:$I$2736,$F1069))</f>
        <v/>
      </c>
    </row>
    <row r="1070" customFormat="false" ht="15" hidden="false" customHeight="false" outlineLevel="0" collapsed="false">
      <c r="A1070" s="12" t="n">
        <v>1067</v>
      </c>
      <c r="B1070" s="8" t="s">
        <v>3531</v>
      </c>
      <c r="C1070" s="8" t="s">
        <v>3532</v>
      </c>
      <c r="D1070" s="11" t="n">
        <v>0.00770081018518519</v>
      </c>
      <c r="E1070" s="39" t="n">
        <f aca="false">ROUND((D1070-$D$5)*86400,2)</f>
        <v>126.33</v>
      </c>
      <c r="F1070" s="12" t="n">
        <v>2293</v>
      </c>
      <c r="G1070" s="11" t="str">
        <f aca="false">IF(INDEX(選手一覧!$D$5:$D$2736,$F1070)="","",INDEX(選手一覧!$D$5:$D$2736,$F1070))</f>
        <v/>
      </c>
      <c r="H1070" s="12" t="str">
        <f aca="false">IF(INDEX(選手一覧!$E$5:$E$2736,$F1070)="","",INDEX(選手一覧!$E$5:$E$2736,$F1070))</f>
        <v/>
      </c>
      <c r="I1070" s="11" t="str">
        <f aca="false">IF(INDEX(選手一覧!$H$5:$H$2736,$F1070)="","",INDEX(選手一覧!$H$5:$H$2736,$F1070))</f>
        <v/>
      </c>
      <c r="J1070" s="12" t="str">
        <f aca="false">IF(INDEX(選手一覧!$I$5:$I$2736,$F1070)="","",INDEX(選手一覧!$I$5:$I$2736,$F1070))</f>
        <v/>
      </c>
    </row>
    <row r="1071" customFormat="false" ht="15" hidden="false" customHeight="false" outlineLevel="0" collapsed="false">
      <c r="A1071" s="12" t="n">
        <v>1068</v>
      </c>
      <c r="B1071" s="8" t="s">
        <v>1709</v>
      </c>
      <c r="C1071" s="8" t="s">
        <v>233</v>
      </c>
      <c r="D1071" s="11" t="n">
        <v>0.00770127314814815</v>
      </c>
      <c r="E1071" s="39" t="n">
        <f aca="false">ROUND((D1071-$D$5)*86400,2)</f>
        <v>126.37</v>
      </c>
      <c r="F1071" s="12" t="n">
        <v>1060</v>
      </c>
      <c r="G1071" s="11" t="n">
        <f aca="false">IF(INDEX(選手一覧!$D$5:$D$2736,$F1071)="","",INDEX(選手一覧!$D$5:$D$2736,$F1071))</f>
        <v>0.0109813657407407</v>
      </c>
      <c r="H1071" s="12" t="n">
        <f aca="false">IF(INDEX(選手一覧!$E$5:$E$2736,$F1071)="","",INDEX(選手一覧!$E$5:$E$2736,$F1071))</f>
        <v>1061</v>
      </c>
      <c r="I1071" s="11" t="n">
        <f aca="false">IF(INDEX(選手一覧!$H$5:$H$2736,$F1071)="","",INDEX(選手一覧!$H$5:$H$2736,$F1071))</f>
        <v>0.00293321759259259</v>
      </c>
      <c r="J1071" s="12" t="n">
        <f aca="false">IF(INDEX(選手一覧!$I$5:$I$2736,$F1071)="","",INDEX(選手一覧!$I$5:$I$2736,$F1071))</f>
        <v>1181</v>
      </c>
    </row>
    <row r="1072" customFormat="false" ht="15" hidden="false" customHeight="false" outlineLevel="0" collapsed="false">
      <c r="A1072" s="12" t="n">
        <v>1069</v>
      </c>
      <c r="B1072" s="8" t="s">
        <v>3533</v>
      </c>
      <c r="C1072" s="8" t="s">
        <v>3534</v>
      </c>
      <c r="D1072" s="11" t="n">
        <v>0.0077037037037037</v>
      </c>
      <c r="E1072" s="39" t="n">
        <f aca="false">ROUND((D1072-$D$5)*86400,2)</f>
        <v>126.58</v>
      </c>
      <c r="F1072" s="12" t="n">
        <v>2294</v>
      </c>
      <c r="G1072" s="11" t="str">
        <f aca="false">IF(INDEX(選手一覧!$D$5:$D$2736,$F1072)="","",INDEX(選手一覧!$D$5:$D$2736,$F1072))</f>
        <v/>
      </c>
      <c r="H1072" s="12" t="str">
        <f aca="false">IF(INDEX(選手一覧!$E$5:$E$2736,$F1072)="","",INDEX(選手一覧!$E$5:$E$2736,$F1072))</f>
        <v/>
      </c>
      <c r="I1072" s="11" t="str">
        <f aca="false">IF(INDEX(選手一覧!$H$5:$H$2736,$F1072)="","",INDEX(選手一覧!$H$5:$H$2736,$F1072))</f>
        <v/>
      </c>
      <c r="J1072" s="12" t="str">
        <f aca="false">IF(INDEX(選手一覧!$I$5:$I$2736,$F1072)="","",INDEX(選手一覧!$I$5:$I$2736,$F1072))</f>
        <v/>
      </c>
    </row>
    <row r="1073" customFormat="false" ht="15" hidden="false" customHeight="false" outlineLevel="0" collapsed="false">
      <c r="A1073" s="12" t="n">
        <v>1070</v>
      </c>
      <c r="B1073" s="8" t="s">
        <v>3537</v>
      </c>
      <c r="C1073" s="8" t="s">
        <v>1042</v>
      </c>
      <c r="D1073" s="11" t="n">
        <v>0.00770405092592593</v>
      </c>
      <c r="E1073" s="39" t="n">
        <f aca="false">ROUND((D1073-$D$5)*86400,2)</f>
        <v>126.61</v>
      </c>
      <c r="F1073" s="12" t="n">
        <v>2296</v>
      </c>
      <c r="G1073" s="11" t="str">
        <f aca="false">IF(INDEX(選手一覧!$D$5:$D$2736,$F1073)="","",INDEX(選手一覧!$D$5:$D$2736,$F1073))</f>
        <v/>
      </c>
      <c r="H1073" s="12" t="str">
        <f aca="false">IF(INDEX(選手一覧!$E$5:$E$2736,$F1073)="","",INDEX(選手一覧!$E$5:$E$2736,$F1073))</f>
        <v/>
      </c>
      <c r="I1073" s="11" t="str">
        <f aca="false">IF(INDEX(選手一覧!$H$5:$H$2736,$F1073)="","",INDEX(選手一覧!$H$5:$H$2736,$F1073))</f>
        <v/>
      </c>
      <c r="J1073" s="12" t="str">
        <f aca="false">IF(INDEX(選手一覧!$I$5:$I$2736,$F1073)="","",INDEX(選手一覧!$I$5:$I$2736,$F1073))</f>
        <v/>
      </c>
    </row>
    <row r="1074" customFormat="false" ht="15" hidden="false" customHeight="false" outlineLevel="0" collapsed="false">
      <c r="A1074" s="12" t="n">
        <v>1071</v>
      </c>
      <c r="B1074" s="8" t="s">
        <v>3538</v>
      </c>
      <c r="C1074" s="8" t="s">
        <v>3539</v>
      </c>
      <c r="D1074" s="11" t="n">
        <v>0.00770486111111111</v>
      </c>
      <c r="E1074" s="39" t="n">
        <f aca="false">ROUND((D1074-$D$5)*86400,2)</f>
        <v>126.68</v>
      </c>
      <c r="F1074" s="12" t="n">
        <v>2297</v>
      </c>
      <c r="G1074" s="11" t="str">
        <f aca="false">IF(INDEX(選手一覧!$D$5:$D$2736,$F1074)="","",INDEX(選手一覧!$D$5:$D$2736,$F1074))</f>
        <v/>
      </c>
      <c r="H1074" s="12" t="str">
        <f aca="false">IF(INDEX(選手一覧!$E$5:$E$2736,$F1074)="","",INDEX(選手一覧!$E$5:$E$2736,$F1074))</f>
        <v/>
      </c>
      <c r="I1074" s="11" t="str">
        <f aca="false">IF(INDEX(選手一覧!$H$5:$H$2736,$F1074)="","",INDEX(選手一覧!$H$5:$H$2736,$F1074))</f>
        <v/>
      </c>
      <c r="J1074" s="12" t="str">
        <f aca="false">IF(INDEX(選手一覧!$I$5:$I$2736,$F1074)="","",INDEX(選手一覧!$I$5:$I$2736,$F1074))</f>
        <v/>
      </c>
    </row>
    <row r="1075" customFormat="false" ht="15" hidden="false" customHeight="false" outlineLevel="0" collapsed="false">
      <c r="A1075" s="12" t="n">
        <v>1072</v>
      </c>
      <c r="B1075" s="8" t="s">
        <v>3540</v>
      </c>
      <c r="C1075" s="8" t="s">
        <v>3541</v>
      </c>
      <c r="D1075" s="11" t="n">
        <v>0.00770509259259259</v>
      </c>
      <c r="E1075" s="39" t="n">
        <f aca="false">ROUND((D1075-$D$5)*86400,2)</f>
        <v>126.7</v>
      </c>
      <c r="F1075" s="12" t="n">
        <v>2298</v>
      </c>
      <c r="G1075" s="11" t="str">
        <f aca="false">IF(INDEX(選手一覧!$D$5:$D$2736,$F1075)="","",INDEX(選手一覧!$D$5:$D$2736,$F1075))</f>
        <v/>
      </c>
      <c r="H1075" s="12" t="str">
        <f aca="false">IF(INDEX(選手一覧!$E$5:$E$2736,$F1075)="","",INDEX(選手一覧!$E$5:$E$2736,$F1075))</f>
        <v/>
      </c>
      <c r="I1075" s="11" t="str">
        <f aca="false">IF(INDEX(選手一覧!$H$5:$H$2736,$F1075)="","",INDEX(選手一覧!$H$5:$H$2736,$F1075))</f>
        <v/>
      </c>
      <c r="J1075" s="12" t="str">
        <f aca="false">IF(INDEX(選手一覧!$I$5:$I$2736,$F1075)="","",INDEX(選手一覧!$I$5:$I$2736,$F1075))</f>
        <v/>
      </c>
    </row>
    <row r="1076" customFormat="false" ht="15" hidden="false" customHeight="false" outlineLevel="0" collapsed="false">
      <c r="A1076" s="12" t="n">
        <v>1073</v>
      </c>
      <c r="B1076" s="8" t="s">
        <v>3543</v>
      </c>
      <c r="C1076" s="8" t="s">
        <v>2613</v>
      </c>
      <c r="D1076" s="11" t="n">
        <v>0.00770601851851852</v>
      </c>
      <c r="E1076" s="39" t="n">
        <f aca="false">ROUND((D1076-$D$5)*86400,2)</f>
        <v>126.78</v>
      </c>
      <c r="F1076" s="12" t="n">
        <v>2300</v>
      </c>
      <c r="G1076" s="11" t="str">
        <f aca="false">IF(INDEX(選手一覧!$D$5:$D$2736,$F1076)="","",INDEX(選手一覧!$D$5:$D$2736,$F1076))</f>
        <v/>
      </c>
      <c r="H1076" s="12" t="str">
        <f aca="false">IF(INDEX(選手一覧!$E$5:$E$2736,$F1076)="","",INDEX(選手一覧!$E$5:$E$2736,$F1076))</f>
        <v/>
      </c>
      <c r="I1076" s="11" t="str">
        <f aca="false">IF(INDEX(選手一覧!$H$5:$H$2736,$F1076)="","",INDEX(選手一覧!$H$5:$H$2736,$F1076))</f>
        <v/>
      </c>
      <c r="J1076" s="12" t="str">
        <f aca="false">IF(INDEX(選手一覧!$I$5:$I$2736,$F1076)="","",INDEX(選手一覧!$I$5:$I$2736,$F1076))</f>
        <v/>
      </c>
    </row>
    <row r="1077" customFormat="false" ht="15" hidden="false" customHeight="false" outlineLevel="0" collapsed="false">
      <c r="A1077" s="12" t="n">
        <v>1074</v>
      </c>
      <c r="B1077" s="8" t="s">
        <v>3545</v>
      </c>
      <c r="C1077" s="8" t="s">
        <v>3546</v>
      </c>
      <c r="D1077" s="11" t="n">
        <v>0.00770613425925926</v>
      </c>
      <c r="E1077" s="39" t="n">
        <f aca="false">ROUND((D1077-$D$5)*86400,2)</f>
        <v>126.79</v>
      </c>
      <c r="F1077" s="12" t="n">
        <v>2302</v>
      </c>
      <c r="G1077" s="11" t="str">
        <f aca="false">IF(INDEX(選手一覧!$D$5:$D$2736,$F1077)="","",INDEX(選手一覧!$D$5:$D$2736,$F1077))</f>
        <v/>
      </c>
      <c r="H1077" s="12" t="str">
        <f aca="false">IF(INDEX(選手一覧!$E$5:$E$2736,$F1077)="","",INDEX(選手一覧!$E$5:$E$2736,$F1077))</f>
        <v/>
      </c>
      <c r="I1077" s="11" t="str">
        <f aca="false">IF(INDEX(選手一覧!$H$5:$H$2736,$F1077)="","",INDEX(選手一覧!$H$5:$H$2736,$F1077))</f>
        <v/>
      </c>
      <c r="J1077" s="12" t="str">
        <f aca="false">IF(INDEX(選手一覧!$I$5:$I$2736,$F1077)="","",INDEX(選手一覧!$I$5:$I$2736,$F1077))</f>
        <v/>
      </c>
    </row>
    <row r="1078" customFormat="false" ht="15" hidden="false" customHeight="false" outlineLevel="0" collapsed="false">
      <c r="A1078" s="12" t="n">
        <v>1075</v>
      </c>
      <c r="B1078" s="8" t="s">
        <v>3548</v>
      </c>
      <c r="C1078" s="8" t="s">
        <v>3549</v>
      </c>
      <c r="D1078" s="11" t="n">
        <v>0.00770740740740741</v>
      </c>
      <c r="E1078" s="39" t="n">
        <f aca="false">ROUND((D1078-$D$5)*86400,2)</f>
        <v>126.9</v>
      </c>
      <c r="F1078" s="12" t="n">
        <v>2304</v>
      </c>
      <c r="G1078" s="11" t="str">
        <f aca="false">IF(INDEX(選手一覧!$D$5:$D$2736,$F1078)="","",INDEX(選手一覧!$D$5:$D$2736,$F1078))</f>
        <v/>
      </c>
      <c r="H1078" s="12" t="str">
        <f aca="false">IF(INDEX(選手一覧!$E$5:$E$2736,$F1078)="","",INDEX(選手一覧!$E$5:$E$2736,$F1078))</f>
        <v/>
      </c>
      <c r="I1078" s="11" t="str">
        <f aca="false">IF(INDEX(選手一覧!$H$5:$H$2736,$F1078)="","",INDEX(選手一覧!$H$5:$H$2736,$F1078))</f>
        <v/>
      </c>
      <c r="J1078" s="12" t="str">
        <f aca="false">IF(INDEX(選手一覧!$I$5:$I$2736,$F1078)="","",INDEX(選手一覧!$I$5:$I$2736,$F1078))</f>
        <v/>
      </c>
    </row>
    <row r="1079" customFormat="false" ht="15" hidden="false" customHeight="false" outlineLevel="0" collapsed="false">
      <c r="A1079" s="12" t="n">
        <v>1076</v>
      </c>
      <c r="B1079" s="8" t="s">
        <v>3552</v>
      </c>
      <c r="C1079" s="8" t="s">
        <v>3014</v>
      </c>
      <c r="D1079" s="11" t="n">
        <v>0.00770775462962963</v>
      </c>
      <c r="E1079" s="39" t="n">
        <f aca="false">ROUND((D1079-$D$5)*86400,2)</f>
        <v>126.93</v>
      </c>
      <c r="F1079" s="12" t="n">
        <v>2306</v>
      </c>
      <c r="G1079" s="11" t="str">
        <f aca="false">IF(INDEX(選手一覧!$D$5:$D$2736,$F1079)="","",INDEX(選手一覧!$D$5:$D$2736,$F1079))</f>
        <v/>
      </c>
      <c r="H1079" s="12" t="str">
        <f aca="false">IF(INDEX(選手一覧!$E$5:$E$2736,$F1079)="","",INDEX(選手一覧!$E$5:$E$2736,$F1079))</f>
        <v/>
      </c>
      <c r="I1079" s="11" t="str">
        <f aca="false">IF(INDEX(選手一覧!$H$5:$H$2736,$F1079)="","",INDEX(選手一覧!$H$5:$H$2736,$F1079))</f>
        <v/>
      </c>
      <c r="J1079" s="12" t="str">
        <f aca="false">IF(INDEX(選手一覧!$I$5:$I$2736,$F1079)="","",INDEX(選手一覧!$I$5:$I$2736,$F1079))</f>
        <v/>
      </c>
    </row>
    <row r="1080" customFormat="false" ht="15" hidden="false" customHeight="false" outlineLevel="0" collapsed="false">
      <c r="A1080" s="12" t="n">
        <v>1077</v>
      </c>
      <c r="B1080" s="8" t="s">
        <v>3553</v>
      </c>
      <c r="C1080" s="8" t="s">
        <v>306</v>
      </c>
      <c r="D1080" s="11" t="n">
        <v>0.00770810185185185</v>
      </c>
      <c r="E1080" s="39" t="n">
        <f aca="false">ROUND((D1080-$D$5)*86400,2)</f>
        <v>126.96</v>
      </c>
      <c r="F1080" s="12" t="n">
        <v>2307</v>
      </c>
      <c r="G1080" s="11" t="str">
        <f aca="false">IF(INDEX(選手一覧!$D$5:$D$2736,$F1080)="","",INDEX(選手一覧!$D$5:$D$2736,$F1080))</f>
        <v/>
      </c>
      <c r="H1080" s="12" t="str">
        <f aca="false">IF(INDEX(選手一覧!$E$5:$E$2736,$F1080)="","",INDEX(選手一覧!$E$5:$E$2736,$F1080))</f>
        <v/>
      </c>
      <c r="I1080" s="11" t="str">
        <f aca="false">IF(INDEX(選手一覧!$H$5:$H$2736,$F1080)="","",INDEX(選手一覧!$H$5:$H$2736,$F1080))</f>
        <v/>
      </c>
      <c r="J1080" s="12" t="str">
        <f aca="false">IF(INDEX(選手一覧!$I$5:$I$2736,$F1080)="","",INDEX(選手一覧!$I$5:$I$2736,$F1080))</f>
        <v/>
      </c>
    </row>
    <row r="1081" customFormat="false" ht="15" hidden="false" customHeight="false" outlineLevel="0" collapsed="false">
      <c r="A1081" s="12" t="n">
        <v>1078</v>
      </c>
      <c r="B1081" s="8" t="s">
        <v>3555</v>
      </c>
      <c r="C1081" s="8" t="s">
        <v>3556</v>
      </c>
      <c r="D1081" s="11" t="n">
        <v>0.00770821759259259</v>
      </c>
      <c r="E1081" s="39" t="n">
        <f aca="false">ROUND((D1081-$D$5)*86400,2)</f>
        <v>126.97</v>
      </c>
      <c r="F1081" s="12" t="n">
        <v>2309</v>
      </c>
      <c r="G1081" s="11" t="str">
        <f aca="false">IF(INDEX(選手一覧!$D$5:$D$2736,$F1081)="","",INDEX(選手一覧!$D$5:$D$2736,$F1081))</f>
        <v/>
      </c>
      <c r="H1081" s="12" t="str">
        <f aca="false">IF(INDEX(選手一覧!$E$5:$E$2736,$F1081)="","",INDEX(選手一覧!$E$5:$E$2736,$F1081))</f>
        <v/>
      </c>
      <c r="I1081" s="11" t="str">
        <f aca="false">IF(INDEX(選手一覧!$H$5:$H$2736,$F1081)="","",INDEX(選手一覧!$H$5:$H$2736,$F1081))</f>
        <v/>
      </c>
      <c r="J1081" s="12" t="str">
        <f aca="false">IF(INDEX(選手一覧!$I$5:$I$2736,$F1081)="","",INDEX(選手一覧!$I$5:$I$2736,$F1081))</f>
        <v/>
      </c>
    </row>
    <row r="1082" customFormat="false" ht="15" hidden="false" customHeight="false" outlineLevel="0" collapsed="false">
      <c r="A1082" s="12" t="n">
        <v>1079</v>
      </c>
      <c r="B1082" s="8" t="s">
        <v>3557</v>
      </c>
      <c r="C1082" s="8" t="s">
        <v>152</v>
      </c>
      <c r="D1082" s="11" t="n">
        <v>0.00771157407407407</v>
      </c>
      <c r="E1082" s="39" t="n">
        <f aca="false">ROUND((D1082-$D$5)*86400,2)</f>
        <v>127.26</v>
      </c>
      <c r="F1082" s="12" t="n">
        <v>2310</v>
      </c>
      <c r="G1082" s="11" t="str">
        <f aca="false">IF(INDEX(選手一覧!$D$5:$D$2736,$F1082)="","",INDEX(選手一覧!$D$5:$D$2736,$F1082))</f>
        <v/>
      </c>
      <c r="H1082" s="12" t="str">
        <f aca="false">IF(INDEX(選手一覧!$E$5:$E$2736,$F1082)="","",INDEX(選手一覧!$E$5:$E$2736,$F1082))</f>
        <v/>
      </c>
      <c r="I1082" s="11" t="str">
        <f aca="false">IF(INDEX(選手一覧!$H$5:$H$2736,$F1082)="","",INDEX(選手一覧!$H$5:$H$2736,$F1082))</f>
        <v/>
      </c>
      <c r="J1082" s="12" t="str">
        <f aca="false">IF(INDEX(選手一覧!$I$5:$I$2736,$F1082)="","",INDEX(選手一覧!$I$5:$I$2736,$F1082))</f>
        <v/>
      </c>
    </row>
    <row r="1083" customFormat="false" ht="15" hidden="false" customHeight="false" outlineLevel="0" collapsed="false">
      <c r="A1083" s="12" t="n">
        <v>1080</v>
      </c>
      <c r="B1083" s="8" t="s">
        <v>3559</v>
      </c>
      <c r="C1083" s="8" t="s">
        <v>3560</v>
      </c>
      <c r="D1083" s="11" t="n">
        <v>0.00771215277777778</v>
      </c>
      <c r="E1083" s="39" t="n">
        <f aca="false">ROUND((D1083-$D$5)*86400,2)</f>
        <v>127.31</v>
      </c>
      <c r="F1083" s="12" t="n">
        <v>2312</v>
      </c>
      <c r="G1083" s="11" t="str">
        <f aca="false">IF(INDEX(選手一覧!$D$5:$D$2736,$F1083)="","",INDEX(選手一覧!$D$5:$D$2736,$F1083))</f>
        <v/>
      </c>
      <c r="H1083" s="12" t="str">
        <f aca="false">IF(INDEX(選手一覧!$E$5:$E$2736,$F1083)="","",INDEX(選手一覧!$E$5:$E$2736,$F1083))</f>
        <v/>
      </c>
      <c r="I1083" s="11" t="str">
        <f aca="false">IF(INDEX(選手一覧!$H$5:$H$2736,$F1083)="","",INDEX(選手一覧!$H$5:$H$2736,$F1083))</f>
        <v/>
      </c>
      <c r="J1083" s="12" t="str">
        <f aca="false">IF(INDEX(選手一覧!$I$5:$I$2736,$F1083)="","",INDEX(選手一覧!$I$5:$I$2736,$F1083))</f>
        <v/>
      </c>
    </row>
    <row r="1084" customFormat="false" ht="15" hidden="false" customHeight="false" outlineLevel="0" collapsed="false">
      <c r="A1084" s="12" t="n">
        <v>1081</v>
      </c>
      <c r="B1084" s="8" t="s">
        <v>3561</v>
      </c>
      <c r="C1084" s="8" t="s">
        <v>2129</v>
      </c>
      <c r="D1084" s="11" t="n">
        <v>0.00771261574074074</v>
      </c>
      <c r="E1084" s="39" t="n">
        <f aca="false">ROUND((D1084-$D$5)*86400,2)</f>
        <v>127.35</v>
      </c>
      <c r="F1084" s="12" t="n">
        <v>2313</v>
      </c>
      <c r="G1084" s="11" t="str">
        <f aca="false">IF(INDEX(選手一覧!$D$5:$D$2736,$F1084)="","",INDEX(選手一覧!$D$5:$D$2736,$F1084))</f>
        <v/>
      </c>
      <c r="H1084" s="12" t="str">
        <f aca="false">IF(INDEX(選手一覧!$E$5:$E$2736,$F1084)="","",INDEX(選手一覧!$E$5:$E$2736,$F1084))</f>
        <v/>
      </c>
      <c r="I1084" s="11" t="str">
        <f aca="false">IF(INDEX(選手一覧!$H$5:$H$2736,$F1084)="","",INDEX(選手一覧!$H$5:$H$2736,$F1084))</f>
        <v/>
      </c>
      <c r="J1084" s="12" t="str">
        <f aca="false">IF(INDEX(選手一覧!$I$5:$I$2736,$F1084)="","",INDEX(選手一覧!$I$5:$I$2736,$F1084))</f>
        <v/>
      </c>
    </row>
    <row r="1085" customFormat="false" ht="15" hidden="false" customHeight="false" outlineLevel="0" collapsed="false">
      <c r="A1085" s="12" t="n">
        <v>1082</v>
      </c>
      <c r="B1085" s="8" t="s">
        <v>3562</v>
      </c>
      <c r="C1085" s="8" t="s">
        <v>2959</v>
      </c>
      <c r="D1085" s="11" t="n">
        <v>0.00771331018518519</v>
      </c>
      <c r="E1085" s="39" t="n">
        <f aca="false">ROUND((D1085-$D$5)*86400,2)</f>
        <v>127.41</v>
      </c>
      <c r="F1085" s="12" t="n">
        <v>2314</v>
      </c>
      <c r="G1085" s="11" t="str">
        <f aca="false">IF(INDEX(選手一覧!$D$5:$D$2736,$F1085)="","",INDEX(選手一覧!$D$5:$D$2736,$F1085))</f>
        <v/>
      </c>
      <c r="H1085" s="12" t="str">
        <f aca="false">IF(INDEX(選手一覧!$E$5:$E$2736,$F1085)="","",INDEX(選手一覧!$E$5:$E$2736,$F1085))</f>
        <v/>
      </c>
      <c r="I1085" s="11" t="str">
        <f aca="false">IF(INDEX(選手一覧!$H$5:$H$2736,$F1085)="","",INDEX(選手一覧!$H$5:$H$2736,$F1085))</f>
        <v/>
      </c>
      <c r="J1085" s="12" t="str">
        <f aca="false">IF(INDEX(選手一覧!$I$5:$I$2736,$F1085)="","",INDEX(選手一覧!$I$5:$I$2736,$F1085))</f>
        <v/>
      </c>
    </row>
    <row r="1086" customFormat="false" ht="15" hidden="false" customHeight="false" outlineLevel="0" collapsed="false">
      <c r="A1086" s="12" t="n">
        <v>1083</v>
      </c>
      <c r="B1086" s="8" t="s">
        <v>3563</v>
      </c>
      <c r="C1086" s="8" t="s">
        <v>481</v>
      </c>
      <c r="D1086" s="11" t="n">
        <v>0.00771377314814815</v>
      </c>
      <c r="E1086" s="39" t="n">
        <f aca="false">ROUND((D1086-$D$5)*86400,2)</f>
        <v>127.45</v>
      </c>
      <c r="F1086" s="12" t="n">
        <v>2315</v>
      </c>
      <c r="G1086" s="11" t="str">
        <f aca="false">IF(INDEX(選手一覧!$D$5:$D$2736,$F1086)="","",INDEX(選手一覧!$D$5:$D$2736,$F1086))</f>
        <v/>
      </c>
      <c r="H1086" s="12" t="str">
        <f aca="false">IF(INDEX(選手一覧!$E$5:$E$2736,$F1086)="","",INDEX(選手一覧!$E$5:$E$2736,$F1086))</f>
        <v/>
      </c>
      <c r="I1086" s="11" t="str">
        <f aca="false">IF(INDEX(選手一覧!$H$5:$H$2736,$F1086)="","",INDEX(選手一覧!$H$5:$H$2736,$F1086))</f>
        <v/>
      </c>
      <c r="J1086" s="12" t="str">
        <f aca="false">IF(INDEX(選手一覧!$I$5:$I$2736,$F1086)="","",INDEX(選手一覧!$I$5:$I$2736,$F1086))</f>
        <v/>
      </c>
    </row>
    <row r="1087" customFormat="false" ht="15" hidden="false" customHeight="false" outlineLevel="0" collapsed="false">
      <c r="A1087" s="12" t="n">
        <v>1084</v>
      </c>
      <c r="B1087" s="8" t="s">
        <v>2070</v>
      </c>
      <c r="C1087" s="8" t="s">
        <v>612</v>
      </c>
      <c r="D1087" s="11" t="n">
        <v>0.00771712962962963</v>
      </c>
      <c r="E1087" s="39" t="n">
        <f aca="false">ROUND((D1087-$D$5)*86400,2)</f>
        <v>127.74</v>
      </c>
      <c r="F1087" s="12" t="n">
        <v>1317</v>
      </c>
      <c r="G1087" s="11" t="str">
        <f aca="false">IF(INDEX(選手一覧!$D$5:$D$2736,$F1087)="","",INDEX(選手一覧!$D$5:$D$2736,$F1087))</f>
        <v/>
      </c>
      <c r="H1087" s="12" t="str">
        <f aca="false">IF(INDEX(選手一覧!$E$5:$E$2736,$F1087)="","",INDEX(選手一覧!$E$5:$E$2736,$F1087))</f>
        <v/>
      </c>
      <c r="I1087" s="11" t="n">
        <f aca="false">IF(INDEX(選手一覧!$H$5:$H$2736,$F1087)="","",INDEX(選手一覧!$H$5:$H$2736,$F1087))</f>
        <v>0.00276412037037037</v>
      </c>
      <c r="J1087" s="12" t="n">
        <f aca="false">IF(INDEX(選手一覧!$I$5:$I$2736,$F1087)="","",INDEX(選手一覧!$I$5:$I$2736,$F1087))</f>
        <v>145</v>
      </c>
    </row>
    <row r="1088" customFormat="false" ht="15" hidden="false" customHeight="false" outlineLevel="0" collapsed="false">
      <c r="A1088" s="12" t="n">
        <v>1085</v>
      </c>
      <c r="B1088" s="8" t="s">
        <v>3565</v>
      </c>
      <c r="C1088" s="8" t="s">
        <v>2166</v>
      </c>
      <c r="D1088" s="11" t="n">
        <v>0.0077193287037037</v>
      </c>
      <c r="E1088" s="39" t="n">
        <f aca="false">ROUND((D1088-$D$5)*86400,2)</f>
        <v>127.93</v>
      </c>
      <c r="F1088" s="12" t="n">
        <v>2317</v>
      </c>
      <c r="G1088" s="11" t="str">
        <f aca="false">IF(INDEX(選手一覧!$D$5:$D$2736,$F1088)="","",INDEX(選手一覧!$D$5:$D$2736,$F1088))</f>
        <v/>
      </c>
      <c r="H1088" s="12" t="str">
        <f aca="false">IF(INDEX(選手一覧!$E$5:$E$2736,$F1088)="","",INDEX(選手一覧!$E$5:$E$2736,$F1088))</f>
        <v/>
      </c>
      <c r="I1088" s="11" t="n">
        <f aca="false">IF(INDEX(選手一覧!$H$5:$H$2736,$F1088)="","",INDEX(選手一覧!$H$5:$H$2736,$F1088))</f>
        <v>0.00292418981481482</v>
      </c>
      <c r="J1088" s="12" t="n">
        <f aca="false">IF(INDEX(選手一覧!$I$5:$I$2736,$F1088)="","",INDEX(選手一覧!$I$5:$I$2736,$F1088))</f>
        <v>1139</v>
      </c>
    </row>
    <row r="1089" customFormat="false" ht="15" hidden="false" customHeight="false" outlineLevel="0" collapsed="false">
      <c r="A1089" s="12" t="n">
        <v>1086</v>
      </c>
      <c r="B1089" s="8" t="s">
        <v>3566</v>
      </c>
      <c r="C1089" s="8" t="s">
        <v>2875</v>
      </c>
      <c r="D1089" s="11" t="n">
        <v>0.00771944444444445</v>
      </c>
      <c r="E1089" s="39" t="n">
        <f aca="false">ROUND((D1089-$D$5)*86400,2)</f>
        <v>127.94</v>
      </c>
      <c r="F1089" s="12" t="n">
        <v>2318</v>
      </c>
      <c r="G1089" s="11" t="str">
        <f aca="false">IF(INDEX(選手一覧!$D$5:$D$2736,$F1089)="","",INDEX(選手一覧!$D$5:$D$2736,$F1089))</f>
        <v/>
      </c>
      <c r="H1089" s="12" t="str">
        <f aca="false">IF(INDEX(選手一覧!$E$5:$E$2736,$F1089)="","",INDEX(選手一覧!$E$5:$E$2736,$F1089))</f>
        <v/>
      </c>
      <c r="I1089" s="11" t="str">
        <f aca="false">IF(INDEX(選手一覧!$H$5:$H$2736,$F1089)="","",INDEX(選手一覧!$H$5:$H$2736,$F1089))</f>
        <v/>
      </c>
      <c r="J1089" s="12" t="str">
        <f aca="false">IF(INDEX(選手一覧!$I$5:$I$2736,$F1089)="","",INDEX(選手一覧!$I$5:$I$2736,$F1089))</f>
        <v/>
      </c>
    </row>
    <row r="1090" customFormat="false" ht="15" hidden="false" customHeight="false" outlineLevel="0" collapsed="false">
      <c r="A1090" s="12" t="n">
        <v>1087</v>
      </c>
      <c r="B1090" s="8" t="s">
        <v>3569</v>
      </c>
      <c r="C1090" s="8" t="s">
        <v>3570</v>
      </c>
      <c r="D1090" s="11" t="n">
        <v>0.00772106481481482</v>
      </c>
      <c r="E1090" s="39" t="n">
        <f aca="false">ROUND((D1090-$D$5)*86400,2)</f>
        <v>128.08</v>
      </c>
      <c r="F1090" s="12" t="n">
        <v>2320</v>
      </c>
      <c r="G1090" s="11" t="str">
        <f aca="false">IF(INDEX(選手一覧!$D$5:$D$2736,$F1090)="","",INDEX(選手一覧!$D$5:$D$2736,$F1090))</f>
        <v/>
      </c>
      <c r="H1090" s="12" t="str">
        <f aca="false">IF(INDEX(選手一覧!$E$5:$E$2736,$F1090)="","",INDEX(選手一覧!$E$5:$E$2736,$F1090))</f>
        <v/>
      </c>
      <c r="I1090" s="11" t="str">
        <f aca="false">IF(INDEX(選手一覧!$H$5:$H$2736,$F1090)="","",INDEX(選手一覧!$H$5:$H$2736,$F1090))</f>
        <v/>
      </c>
      <c r="J1090" s="12" t="str">
        <f aca="false">IF(INDEX(選手一覧!$I$5:$I$2736,$F1090)="","",INDEX(選手一覧!$I$5:$I$2736,$F1090))</f>
        <v/>
      </c>
    </row>
    <row r="1091" customFormat="false" ht="15" hidden="false" customHeight="false" outlineLevel="0" collapsed="false">
      <c r="A1091" s="12" t="n">
        <v>1088</v>
      </c>
      <c r="B1091" s="8" t="s">
        <v>3572</v>
      </c>
      <c r="C1091" s="8" t="s">
        <v>1313</v>
      </c>
      <c r="D1091" s="11" t="n">
        <v>0.00772233796296296</v>
      </c>
      <c r="E1091" s="39" t="n">
        <f aca="false">ROUND((D1091-$D$5)*86400,2)</f>
        <v>128.19</v>
      </c>
      <c r="F1091" s="12" t="n">
        <v>2322</v>
      </c>
      <c r="G1091" s="11" t="str">
        <f aca="false">IF(INDEX(選手一覧!$D$5:$D$2736,$F1091)="","",INDEX(選手一覧!$D$5:$D$2736,$F1091))</f>
        <v/>
      </c>
      <c r="H1091" s="12" t="str">
        <f aca="false">IF(INDEX(選手一覧!$E$5:$E$2736,$F1091)="","",INDEX(選手一覧!$E$5:$E$2736,$F1091))</f>
        <v/>
      </c>
      <c r="I1091" s="11" t="str">
        <f aca="false">IF(INDEX(選手一覧!$H$5:$H$2736,$F1091)="","",INDEX(選手一覧!$H$5:$H$2736,$F1091))</f>
        <v/>
      </c>
      <c r="J1091" s="12" t="str">
        <f aca="false">IF(INDEX(選手一覧!$I$5:$I$2736,$F1091)="","",INDEX(選手一覧!$I$5:$I$2736,$F1091))</f>
        <v/>
      </c>
    </row>
    <row r="1092" customFormat="false" ht="15" hidden="false" customHeight="false" outlineLevel="0" collapsed="false">
      <c r="A1092" s="12" t="n">
        <v>1089</v>
      </c>
      <c r="B1092" s="8" t="s">
        <v>3573</v>
      </c>
      <c r="C1092" s="8" t="s">
        <v>3574</v>
      </c>
      <c r="D1092" s="11" t="n">
        <v>0.00772291666666667</v>
      </c>
      <c r="E1092" s="39" t="n">
        <f aca="false">ROUND((D1092-$D$5)*86400,2)</f>
        <v>128.24</v>
      </c>
      <c r="F1092" s="12" t="n">
        <v>2323</v>
      </c>
      <c r="G1092" s="11" t="str">
        <f aca="false">IF(INDEX(選手一覧!$D$5:$D$2736,$F1092)="","",INDEX(選手一覧!$D$5:$D$2736,$F1092))</f>
        <v/>
      </c>
      <c r="H1092" s="12" t="str">
        <f aca="false">IF(INDEX(選手一覧!$E$5:$E$2736,$F1092)="","",INDEX(選手一覧!$E$5:$E$2736,$F1092))</f>
        <v/>
      </c>
      <c r="I1092" s="11" t="str">
        <f aca="false">IF(INDEX(選手一覧!$H$5:$H$2736,$F1092)="","",INDEX(選手一覧!$H$5:$H$2736,$F1092))</f>
        <v/>
      </c>
      <c r="J1092" s="12" t="str">
        <f aca="false">IF(INDEX(選手一覧!$I$5:$I$2736,$F1092)="","",INDEX(選手一覧!$I$5:$I$2736,$F1092))</f>
        <v/>
      </c>
    </row>
    <row r="1093" customFormat="false" ht="15" hidden="false" customHeight="false" outlineLevel="0" collapsed="false">
      <c r="A1093" s="12" t="n">
        <v>1090</v>
      </c>
      <c r="B1093" s="8" t="s">
        <v>3577</v>
      </c>
      <c r="C1093" s="8" t="s">
        <v>3578</v>
      </c>
      <c r="D1093" s="11" t="n">
        <v>0.00772534722222222</v>
      </c>
      <c r="E1093" s="39" t="n">
        <f aca="false">ROUND((D1093-$D$5)*86400,2)</f>
        <v>128.45</v>
      </c>
      <c r="F1093" s="12" t="n">
        <v>2325</v>
      </c>
      <c r="G1093" s="11" t="str">
        <f aca="false">IF(INDEX(選手一覧!$D$5:$D$2736,$F1093)="","",INDEX(選手一覧!$D$5:$D$2736,$F1093))</f>
        <v/>
      </c>
      <c r="H1093" s="12" t="str">
        <f aca="false">IF(INDEX(選手一覧!$E$5:$E$2736,$F1093)="","",INDEX(選手一覧!$E$5:$E$2736,$F1093))</f>
        <v/>
      </c>
      <c r="I1093" s="11" t="str">
        <f aca="false">IF(INDEX(選手一覧!$H$5:$H$2736,$F1093)="","",INDEX(選手一覧!$H$5:$H$2736,$F1093))</f>
        <v/>
      </c>
      <c r="J1093" s="12" t="str">
        <f aca="false">IF(INDEX(選手一覧!$I$5:$I$2736,$F1093)="","",INDEX(選手一覧!$I$5:$I$2736,$F1093))</f>
        <v/>
      </c>
    </row>
    <row r="1094" customFormat="false" ht="15" hidden="false" customHeight="false" outlineLevel="0" collapsed="false">
      <c r="A1094" s="12" t="n">
        <v>1091</v>
      </c>
      <c r="B1094" s="8" t="s">
        <v>1934</v>
      </c>
      <c r="C1094" s="8" t="s">
        <v>1724</v>
      </c>
      <c r="D1094" s="11" t="n">
        <v>0.00772546296296296</v>
      </c>
      <c r="E1094" s="39" t="n">
        <f aca="false">ROUND((D1094-$D$5)*86400,2)</f>
        <v>128.46</v>
      </c>
      <c r="F1094" s="12" t="n">
        <v>1214</v>
      </c>
      <c r="G1094" s="11" t="n">
        <f aca="false">IF(INDEX(選手一覧!$D$5:$D$2736,$F1094)="","",INDEX(選手一覧!$D$5:$D$2736,$F1094))</f>
        <v>0.0110605324074074</v>
      </c>
      <c r="H1094" s="12" t="n">
        <f aca="false">IF(INDEX(選手一覧!$E$5:$E$2736,$F1094)="","",INDEX(選手一覧!$E$5:$E$2736,$F1094))</f>
        <v>1215</v>
      </c>
      <c r="I1094" s="11" t="str">
        <f aca="false">IF(INDEX(選手一覧!$H$5:$H$2736,$F1094)="","",INDEX(選手一覧!$H$5:$H$2736,$F1094))</f>
        <v/>
      </c>
      <c r="J1094" s="12" t="str">
        <f aca="false">IF(INDEX(選手一覧!$I$5:$I$2736,$F1094)="","",INDEX(選手一覧!$I$5:$I$2736,$F1094))</f>
        <v/>
      </c>
    </row>
    <row r="1095" customFormat="false" ht="15" hidden="false" customHeight="false" outlineLevel="0" collapsed="false">
      <c r="A1095" s="12" t="n">
        <v>1092</v>
      </c>
      <c r="B1095" s="8" t="s">
        <v>3579</v>
      </c>
      <c r="C1095" s="8" t="s">
        <v>1949</v>
      </c>
      <c r="D1095" s="11" t="n">
        <v>0.00772569444444445</v>
      </c>
      <c r="E1095" s="39" t="n">
        <f aca="false">ROUND((D1095-$D$5)*86400,2)</f>
        <v>128.48</v>
      </c>
      <c r="F1095" s="12" t="n">
        <v>2326</v>
      </c>
      <c r="G1095" s="11" t="str">
        <f aca="false">IF(INDEX(選手一覧!$D$5:$D$2736,$F1095)="","",INDEX(選手一覧!$D$5:$D$2736,$F1095))</f>
        <v/>
      </c>
      <c r="H1095" s="12" t="str">
        <f aca="false">IF(INDEX(選手一覧!$E$5:$E$2736,$F1095)="","",INDEX(選手一覧!$E$5:$E$2736,$F1095))</f>
        <v/>
      </c>
      <c r="I1095" s="11" t="str">
        <f aca="false">IF(INDEX(選手一覧!$H$5:$H$2736,$F1095)="","",INDEX(選手一覧!$H$5:$H$2736,$F1095))</f>
        <v/>
      </c>
      <c r="J1095" s="12" t="str">
        <f aca="false">IF(INDEX(選手一覧!$I$5:$I$2736,$F1095)="","",INDEX(選手一覧!$I$5:$I$2736,$F1095))</f>
        <v/>
      </c>
    </row>
    <row r="1096" customFormat="false" ht="15" hidden="false" customHeight="false" outlineLevel="0" collapsed="false">
      <c r="A1096" s="12" t="n">
        <v>1093</v>
      </c>
      <c r="B1096" s="8" t="s">
        <v>3581</v>
      </c>
      <c r="C1096" s="8" t="s">
        <v>3582</v>
      </c>
      <c r="D1096" s="11" t="n">
        <v>0.00772627314814815</v>
      </c>
      <c r="E1096" s="39" t="n">
        <f aca="false">ROUND((D1096-$D$5)*86400,2)</f>
        <v>128.53</v>
      </c>
      <c r="F1096" s="12" t="n">
        <v>2328</v>
      </c>
      <c r="G1096" s="11" t="str">
        <f aca="false">IF(INDEX(選手一覧!$D$5:$D$2736,$F1096)="","",INDEX(選手一覧!$D$5:$D$2736,$F1096))</f>
        <v/>
      </c>
      <c r="H1096" s="12" t="str">
        <f aca="false">IF(INDEX(選手一覧!$E$5:$E$2736,$F1096)="","",INDEX(選手一覧!$E$5:$E$2736,$F1096))</f>
        <v/>
      </c>
      <c r="I1096" s="11" t="str">
        <f aca="false">IF(INDEX(選手一覧!$H$5:$H$2736,$F1096)="","",INDEX(選手一覧!$H$5:$H$2736,$F1096))</f>
        <v/>
      </c>
      <c r="J1096" s="12" t="str">
        <f aca="false">IF(INDEX(選手一覧!$I$5:$I$2736,$F1096)="","",INDEX(選手一覧!$I$5:$I$2736,$F1096))</f>
        <v/>
      </c>
    </row>
    <row r="1097" customFormat="false" ht="15" hidden="false" customHeight="false" outlineLevel="0" collapsed="false">
      <c r="A1097" s="12" t="n">
        <v>1094</v>
      </c>
      <c r="B1097" s="8" t="s">
        <v>559</v>
      </c>
      <c r="C1097" s="8" t="s">
        <v>278</v>
      </c>
      <c r="D1097" s="11" t="n">
        <v>0.00772731481481481</v>
      </c>
      <c r="E1097" s="39" t="n">
        <f aca="false">ROUND((D1097-$D$5)*86400,2)</f>
        <v>128.62</v>
      </c>
      <c r="F1097" s="12" t="n">
        <v>302</v>
      </c>
      <c r="G1097" s="11" t="n">
        <f aca="false">IF(INDEX(選手一覧!$D$5:$D$2736,$F1097)="","",INDEX(選手一覧!$D$5:$D$2736,$F1097))</f>
        <v>0.0104486111111111</v>
      </c>
      <c r="H1097" s="12" t="n">
        <f aca="false">IF(INDEX(選手一覧!$E$5:$E$2736,$F1097)="","",INDEX(選手一覧!$E$5:$E$2736,$F1097))</f>
        <v>303</v>
      </c>
      <c r="I1097" s="11" t="n">
        <f aca="false">IF(INDEX(選手一覧!$H$5:$H$2736,$F1097)="","",INDEX(選手一覧!$H$5:$H$2736,$F1097))</f>
        <v>0.00287083333333333</v>
      </c>
      <c r="J1097" s="12" t="n">
        <f aca="false">IF(INDEX(選手一覧!$I$5:$I$2736,$F1097)="","",INDEX(選手一覧!$I$5:$I$2736,$F1097))</f>
        <v>703</v>
      </c>
    </row>
    <row r="1098" customFormat="false" ht="15" hidden="false" customHeight="false" outlineLevel="0" collapsed="false">
      <c r="A1098" s="12" t="n">
        <v>1095</v>
      </c>
      <c r="B1098" s="8" t="s">
        <v>3586</v>
      </c>
      <c r="C1098" s="8" t="s">
        <v>3587</v>
      </c>
      <c r="D1098" s="11" t="n">
        <v>0.0077275462962963</v>
      </c>
      <c r="E1098" s="39" t="n">
        <f aca="false">ROUND((D1098-$D$5)*86400,2)</f>
        <v>128.64</v>
      </c>
      <c r="F1098" s="12" t="n">
        <v>2331</v>
      </c>
      <c r="G1098" s="11" t="str">
        <f aca="false">IF(INDEX(選手一覧!$D$5:$D$2736,$F1098)="","",INDEX(選手一覧!$D$5:$D$2736,$F1098))</f>
        <v/>
      </c>
      <c r="H1098" s="12" t="str">
        <f aca="false">IF(INDEX(選手一覧!$E$5:$E$2736,$F1098)="","",INDEX(選手一覧!$E$5:$E$2736,$F1098))</f>
        <v/>
      </c>
      <c r="I1098" s="11" t="str">
        <f aca="false">IF(INDEX(選手一覧!$H$5:$H$2736,$F1098)="","",INDEX(選手一覧!$H$5:$H$2736,$F1098))</f>
        <v/>
      </c>
      <c r="J1098" s="12" t="str">
        <f aca="false">IF(INDEX(選手一覧!$I$5:$I$2736,$F1098)="","",INDEX(選手一覧!$I$5:$I$2736,$F1098))</f>
        <v/>
      </c>
    </row>
    <row r="1099" customFormat="false" ht="15" hidden="false" customHeight="false" outlineLevel="0" collapsed="false">
      <c r="A1099" s="12" t="n">
        <v>1096</v>
      </c>
      <c r="B1099" s="8" t="s">
        <v>3588</v>
      </c>
      <c r="C1099" s="8" t="s">
        <v>2377</v>
      </c>
      <c r="D1099" s="11" t="n">
        <v>0.00772939814814815</v>
      </c>
      <c r="E1099" s="39" t="n">
        <f aca="false">ROUND((D1099-$D$5)*86400,2)</f>
        <v>128.8</v>
      </c>
      <c r="F1099" s="12" t="n">
        <v>2332</v>
      </c>
      <c r="G1099" s="11" t="str">
        <f aca="false">IF(INDEX(選手一覧!$D$5:$D$2736,$F1099)="","",INDEX(選手一覧!$D$5:$D$2736,$F1099))</f>
        <v/>
      </c>
      <c r="H1099" s="12" t="str">
        <f aca="false">IF(INDEX(選手一覧!$E$5:$E$2736,$F1099)="","",INDEX(選手一覧!$E$5:$E$2736,$F1099))</f>
        <v/>
      </c>
      <c r="I1099" s="11" t="str">
        <f aca="false">IF(INDEX(選手一覧!$H$5:$H$2736,$F1099)="","",INDEX(選手一覧!$H$5:$H$2736,$F1099))</f>
        <v/>
      </c>
      <c r="J1099" s="12" t="str">
        <f aca="false">IF(INDEX(選手一覧!$I$5:$I$2736,$F1099)="","",INDEX(選手一覧!$I$5:$I$2736,$F1099))</f>
        <v/>
      </c>
    </row>
    <row r="1100" customFormat="false" ht="15" hidden="false" customHeight="false" outlineLevel="0" collapsed="false">
      <c r="A1100" s="12" t="n">
        <v>1097</v>
      </c>
      <c r="B1100" s="8" t="s">
        <v>3591</v>
      </c>
      <c r="C1100" s="8" t="s">
        <v>3592</v>
      </c>
      <c r="D1100" s="11" t="n">
        <v>0.00773078703703704</v>
      </c>
      <c r="E1100" s="39" t="n">
        <f aca="false">ROUND((D1100-$D$5)*86400,2)</f>
        <v>128.92</v>
      </c>
      <c r="F1100" s="12" t="n">
        <v>2334</v>
      </c>
      <c r="G1100" s="11" t="str">
        <f aca="false">IF(INDEX(選手一覧!$D$5:$D$2736,$F1100)="","",INDEX(選手一覧!$D$5:$D$2736,$F1100))</f>
        <v/>
      </c>
      <c r="H1100" s="12" t="str">
        <f aca="false">IF(INDEX(選手一覧!$E$5:$E$2736,$F1100)="","",INDEX(選手一覧!$E$5:$E$2736,$F1100))</f>
        <v/>
      </c>
      <c r="I1100" s="11" t="str">
        <f aca="false">IF(INDEX(選手一覧!$H$5:$H$2736,$F1100)="","",INDEX(選手一覧!$H$5:$H$2736,$F1100))</f>
        <v/>
      </c>
      <c r="J1100" s="12" t="str">
        <f aca="false">IF(INDEX(選手一覧!$I$5:$I$2736,$F1100)="","",INDEX(選手一覧!$I$5:$I$2736,$F1100))</f>
        <v/>
      </c>
    </row>
    <row r="1101" customFormat="false" ht="15" hidden="false" customHeight="false" outlineLevel="0" collapsed="false">
      <c r="A1101" s="12" t="n">
        <v>1098</v>
      </c>
      <c r="B1101" s="8" t="s">
        <v>3594</v>
      </c>
      <c r="C1101" s="8" t="s">
        <v>3595</v>
      </c>
      <c r="D1101" s="11" t="n">
        <v>0.00773078703703704</v>
      </c>
      <c r="E1101" s="39" t="n">
        <f aca="false">ROUND((D1101-$D$5)*86400,2)</f>
        <v>128.92</v>
      </c>
      <c r="F1101" s="12" t="n">
        <v>2336</v>
      </c>
      <c r="G1101" s="11" t="str">
        <f aca="false">IF(INDEX(選手一覧!$D$5:$D$2736,$F1101)="","",INDEX(選手一覧!$D$5:$D$2736,$F1101))</f>
        <v/>
      </c>
      <c r="H1101" s="12" t="str">
        <f aca="false">IF(INDEX(選手一覧!$E$5:$E$2736,$F1101)="","",INDEX(選手一覧!$E$5:$E$2736,$F1101))</f>
        <v/>
      </c>
      <c r="I1101" s="11" t="str">
        <f aca="false">IF(INDEX(選手一覧!$H$5:$H$2736,$F1101)="","",INDEX(選手一覧!$H$5:$H$2736,$F1101))</f>
        <v/>
      </c>
      <c r="J1101" s="12" t="str">
        <f aca="false">IF(INDEX(選手一覧!$I$5:$I$2736,$F1101)="","",INDEX(選手一覧!$I$5:$I$2736,$F1101))</f>
        <v/>
      </c>
    </row>
    <row r="1102" customFormat="false" ht="15" hidden="false" customHeight="false" outlineLevel="0" collapsed="false">
      <c r="A1102" s="12" t="n">
        <v>1099</v>
      </c>
      <c r="B1102" s="8" t="s">
        <v>3596</v>
      </c>
      <c r="C1102" s="8" t="s">
        <v>2180</v>
      </c>
      <c r="D1102" s="11" t="n">
        <v>0.00773078703703704</v>
      </c>
      <c r="E1102" s="39" t="n">
        <f aca="false">ROUND((D1102-$D$5)*86400,2)</f>
        <v>128.92</v>
      </c>
      <c r="F1102" s="12" t="n">
        <v>2337</v>
      </c>
      <c r="G1102" s="11" t="str">
        <f aca="false">IF(INDEX(選手一覧!$D$5:$D$2736,$F1102)="","",INDEX(選手一覧!$D$5:$D$2736,$F1102))</f>
        <v/>
      </c>
      <c r="H1102" s="12" t="str">
        <f aca="false">IF(INDEX(選手一覧!$E$5:$E$2736,$F1102)="","",INDEX(選手一覧!$E$5:$E$2736,$F1102))</f>
        <v/>
      </c>
      <c r="I1102" s="11" t="str">
        <f aca="false">IF(INDEX(選手一覧!$H$5:$H$2736,$F1102)="","",INDEX(選手一覧!$H$5:$H$2736,$F1102))</f>
        <v/>
      </c>
      <c r="J1102" s="12" t="str">
        <f aca="false">IF(INDEX(選手一覧!$I$5:$I$2736,$F1102)="","",INDEX(選手一覧!$I$5:$I$2736,$F1102))</f>
        <v/>
      </c>
    </row>
    <row r="1103" customFormat="false" ht="15" hidden="false" customHeight="false" outlineLevel="0" collapsed="false">
      <c r="A1103" s="12" t="n">
        <v>1100</v>
      </c>
      <c r="B1103" s="8" t="s">
        <v>3598</v>
      </c>
      <c r="C1103" s="8" t="s">
        <v>2913</v>
      </c>
      <c r="D1103" s="11" t="n">
        <v>0.0077318287037037</v>
      </c>
      <c r="E1103" s="39" t="n">
        <f aca="false">ROUND((D1103-$D$5)*86400,2)</f>
        <v>129.01</v>
      </c>
      <c r="F1103" s="12" t="n">
        <v>2339</v>
      </c>
      <c r="G1103" s="11" t="str">
        <f aca="false">IF(INDEX(選手一覧!$D$5:$D$2736,$F1103)="","",INDEX(選手一覧!$D$5:$D$2736,$F1103))</f>
        <v/>
      </c>
      <c r="H1103" s="12" t="str">
        <f aca="false">IF(INDEX(選手一覧!$E$5:$E$2736,$F1103)="","",INDEX(選手一覧!$E$5:$E$2736,$F1103))</f>
        <v/>
      </c>
      <c r="I1103" s="11" t="str">
        <f aca="false">IF(INDEX(選手一覧!$H$5:$H$2736,$F1103)="","",INDEX(選手一覧!$H$5:$H$2736,$F1103))</f>
        <v/>
      </c>
      <c r="J1103" s="12" t="str">
        <f aca="false">IF(INDEX(選手一覧!$I$5:$I$2736,$F1103)="","",INDEX(選手一覧!$I$5:$I$2736,$F1103))</f>
        <v/>
      </c>
    </row>
    <row r="1104" customFormat="false" ht="15" hidden="false" customHeight="false" outlineLevel="0" collapsed="false">
      <c r="A1104" s="12" t="n">
        <v>1101</v>
      </c>
      <c r="B1104" s="8" t="s">
        <v>3599</v>
      </c>
      <c r="C1104" s="8" t="s">
        <v>1963</v>
      </c>
      <c r="D1104" s="11" t="n">
        <v>0.00773206018518519</v>
      </c>
      <c r="E1104" s="39" t="n">
        <f aca="false">ROUND((D1104-$D$5)*86400,2)</f>
        <v>129.03</v>
      </c>
      <c r="F1104" s="12" t="n">
        <v>2340</v>
      </c>
      <c r="G1104" s="11" t="str">
        <f aca="false">IF(INDEX(選手一覧!$D$5:$D$2736,$F1104)="","",INDEX(選手一覧!$D$5:$D$2736,$F1104))</f>
        <v/>
      </c>
      <c r="H1104" s="12" t="str">
        <f aca="false">IF(INDEX(選手一覧!$E$5:$E$2736,$F1104)="","",INDEX(選手一覧!$E$5:$E$2736,$F1104))</f>
        <v/>
      </c>
      <c r="I1104" s="11" t="str">
        <f aca="false">IF(INDEX(選手一覧!$H$5:$H$2736,$F1104)="","",INDEX(選手一覧!$H$5:$H$2736,$F1104))</f>
        <v/>
      </c>
      <c r="J1104" s="12" t="str">
        <f aca="false">IF(INDEX(選手一覧!$I$5:$I$2736,$F1104)="","",INDEX(選手一覧!$I$5:$I$2736,$F1104))</f>
        <v/>
      </c>
    </row>
    <row r="1105" customFormat="false" ht="15" hidden="false" customHeight="false" outlineLevel="0" collapsed="false">
      <c r="A1105" s="12" t="n">
        <v>1102</v>
      </c>
      <c r="B1105" s="8" t="s">
        <v>3601</v>
      </c>
      <c r="C1105" s="8" t="s">
        <v>3602</v>
      </c>
      <c r="D1105" s="11" t="n">
        <v>0.00773298611111111</v>
      </c>
      <c r="E1105" s="39" t="n">
        <f aca="false">ROUND((D1105-$D$5)*86400,2)</f>
        <v>129.11</v>
      </c>
      <c r="F1105" s="12" t="n">
        <v>2342</v>
      </c>
      <c r="G1105" s="11" t="str">
        <f aca="false">IF(INDEX(選手一覧!$D$5:$D$2736,$F1105)="","",INDEX(選手一覧!$D$5:$D$2736,$F1105))</f>
        <v/>
      </c>
      <c r="H1105" s="12" t="str">
        <f aca="false">IF(INDEX(選手一覧!$E$5:$E$2736,$F1105)="","",INDEX(選手一覧!$E$5:$E$2736,$F1105))</f>
        <v/>
      </c>
      <c r="I1105" s="11" t="str">
        <f aca="false">IF(INDEX(選手一覧!$H$5:$H$2736,$F1105)="","",INDEX(選手一覧!$H$5:$H$2736,$F1105))</f>
        <v/>
      </c>
      <c r="J1105" s="12" t="str">
        <f aca="false">IF(INDEX(選手一覧!$I$5:$I$2736,$F1105)="","",INDEX(選手一覧!$I$5:$I$2736,$F1105))</f>
        <v/>
      </c>
    </row>
    <row r="1106" customFormat="false" ht="15" hidden="false" customHeight="false" outlineLevel="0" collapsed="false">
      <c r="A1106" s="12" t="n">
        <v>1103</v>
      </c>
      <c r="B1106" s="8" t="s">
        <v>3603</v>
      </c>
      <c r="C1106" s="8" t="s">
        <v>2299</v>
      </c>
      <c r="D1106" s="11" t="n">
        <v>0.00773622685185185</v>
      </c>
      <c r="E1106" s="39" t="n">
        <f aca="false">ROUND((D1106-$D$5)*86400,2)</f>
        <v>129.39</v>
      </c>
      <c r="F1106" s="12" t="n">
        <v>2343</v>
      </c>
      <c r="G1106" s="11" t="str">
        <f aca="false">IF(INDEX(選手一覧!$D$5:$D$2736,$F1106)="","",INDEX(選手一覧!$D$5:$D$2736,$F1106))</f>
        <v/>
      </c>
      <c r="H1106" s="12" t="str">
        <f aca="false">IF(INDEX(選手一覧!$E$5:$E$2736,$F1106)="","",INDEX(選手一覧!$E$5:$E$2736,$F1106))</f>
        <v/>
      </c>
      <c r="I1106" s="11" t="str">
        <f aca="false">IF(INDEX(選手一覧!$H$5:$H$2736,$F1106)="","",INDEX(選手一覧!$H$5:$H$2736,$F1106))</f>
        <v/>
      </c>
      <c r="J1106" s="12" t="str">
        <f aca="false">IF(INDEX(選手一覧!$I$5:$I$2736,$F1106)="","",INDEX(選手一覧!$I$5:$I$2736,$F1106))</f>
        <v/>
      </c>
    </row>
    <row r="1107" customFormat="false" ht="15" hidden="false" customHeight="false" outlineLevel="0" collapsed="false">
      <c r="A1107" s="12" t="n">
        <v>1104</v>
      </c>
      <c r="B1107" s="8" t="s">
        <v>3605</v>
      </c>
      <c r="C1107" s="8" t="s">
        <v>3606</v>
      </c>
      <c r="D1107" s="11" t="n">
        <v>0.00773912037037037</v>
      </c>
      <c r="E1107" s="39" t="n">
        <f aca="false">ROUND((D1107-$D$5)*86400,2)</f>
        <v>129.64</v>
      </c>
      <c r="F1107" s="12" t="n">
        <v>2345</v>
      </c>
      <c r="G1107" s="11" t="str">
        <f aca="false">IF(INDEX(選手一覧!$D$5:$D$2736,$F1107)="","",INDEX(選手一覧!$D$5:$D$2736,$F1107))</f>
        <v/>
      </c>
      <c r="H1107" s="12" t="str">
        <f aca="false">IF(INDEX(選手一覧!$E$5:$E$2736,$F1107)="","",INDEX(選手一覧!$E$5:$E$2736,$F1107))</f>
        <v/>
      </c>
      <c r="I1107" s="11" t="str">
        <f aca="false">IF(INDEX(選手一覧!$H$5:$H$2736,$F1107)="","",INDEX(選手一覧!$H$5:$H$2736,$F1107))</f>
        <v/>
      </c>
      <c r="J1107" s="12" t="str">
        <f aca="false">IF(INDEX(選手一覧!$I$5:$I$2736,$F1107)="","",INDEX(選手一覧!$I$5:$I$2736,$F1107))</f>
        <v/>
      </c>
    </row>
    <row r="1108" customFormat="false" ht="15" hidden="false" customHeight="false" outlineLevel="0" collapsed="false">
      <c r="A1108" s="12" t="n">
        <v>1105</v>
      </c>
      <c r="B1108" s="8" t="s">
        <v>3608</v>
      </c>
      <c r="C1108" s="8" t="s">
        <v>2124</v>
      </c>
      <c r="D1108" s="11" t="n">
        <v>0.00774155092592593</v>
      </c>
      <c r="E1108" s="39" t="n">
        <f aca="false">ROUND((D1108-$D$5)*86400,2)</f>
        <v>129.85</v>
      </c>
      <c r="F1108" s="12" t="n">
        <v>2347</v>
      </c>
      <c r="G1108" s="11" t="str">
        <f aca="false">IF(INDEX(選手一覧!$D$5:$D$2736,$F1108)="","",INDEX(選手一覧!$D$5:$D$2736,$F1108))</f>
        <v/>
      </c>
      <c r="H1108" s="12" t="str">
        <f aca="false">IF(INDEX(選手一覧!$E$5:$E$2736,$F1108)="","",INDEX(選手一覧!$E$5:$E$2736,$F1108))</f>
        <v/>
      </c>
      <c r="I1108" s="11" t="str">
        <f aca="false">IF(INDEX(選手一覧!$H$5:$H$2736,$F1108)="","",INDEX(選手一覧!$H$5:$H$2736,$F1108))</f>
        <v/>
      </c>
      <c r="J1108" s="12" t="str">
        <f aca="false">IF(INDEX(選手一覧!$I$5:$I$2736,$F1108)="","",INDEX(選手一覧!$I$5:$I$2736,$F1108))</f>
        <v/>
      </c>
    </row>
    <row r="1109" customFormat="false" ht="15" hidden="false" customHeight="false" outlineLevel="0" collapsed="false">
      <c r="A1109" s="12" t="n">
        <v>1106</v>
      </c>
      <c r="B1109" s="8" t="s">
        <v>3609</v>
      </c>
      <c r="C1109" s="8" t="s">
        <v>1056</v>
      </c>
      <c r="D1109" s="11" t="n">
        <v>0.00774282407407408</v>
      </c>
      <c r="E1109" s="39" t="n">
        <f aca="false">ROUND((D1109-$D$5)*86400,2)</f>
        <v>129.96</v>
      </c>
      <c r="F1109" s="12" t="n">
        <v>2348</v>
      </c>
      <c r="G1109" s="11" t="str">
        <f aca="false">IF(INDEX(選手一覧!$D$5:$D$2736,$F1109)="","",INDEX(選手一覧!$D$5:$D$2736,$F1109))</f>
        <v/>
      </c>
      <c r="H1109" s="12" t="str">
        <f aca="false">IF(INDEX(選手一覧!$E$5:$E$2736,$F1109)="","",INDEX(選手一覧!$E$5:$E$2736,$F1109))</f>
        <v/>
      </c>
      <c r="I1109" s="11" t="str">
        <f aca="false">IF(INDEX(選手一覧!$H$5:$H$2736,$F1109)="","",INDEX(選手一覧!$H$5:$H$2736,$F1109))</f>
        <v/>
      </c>
      <c r="J1109" s="12" t="str">
        <f aca="false">IF(INDEX(選手一覧!$I$5:$I$2736,$F1109)="","",INDEX(選手一覧!$I$5:$I$2736,$F1109))</f>
        <v/>
      </c>
    </row>
    <row r="1110" customFormat="false" ht="15" hidden="false" customHeight="false" outlineLevel="0" collapsed="false">
      <c r="A1110" s="12" t="n">
        <v>1107</v>
      </c>
      <c r="B1110" s="8" t="s">
        <v>3610</v>
      </c>
      <c r="C1110" s="8" t="s">
        <v>3611</v>
      </c>
      <c r="D1110" s="11" t="n">
        <v>0.00774375</v>
      </c>
      <c r="E1110" s="39" t="n">
        <f aca="false">ROUND((D1110-$D$5)*86400,2)</f>
        <v>130.04</v>
      </c>
      <c r="F1110" s="12" t="n">
        <v>2349</v>
      </c>
      <c r="G1110" s="11" t="str">
        <f aca="false">IF(INDEX(選手一覧!$D$5:$D$2736,$F1110)="","",INDEX(選手一覧!$D$5:$D$2736,$F1110))</f>
        <v/>
      </c>
      <c r="H1110" s="12" t="str">
        <f aca="false">IF(INDEX(選手一覧!$E$5:$E$2736,$F1110)="","",INDEX(選手一覧!$E$5:$E$2736,$F1110))</f>
        <v/>
      </c>
      <c r="I1110" s="11" t="str">
        <f aca="false">IF(INDEX(選手一覧!$H$5:$H$2736,$F1110)="","",INDEX(選手一覧!$H$5:$H$2736,$F1110))</f>
        <v/>
      </c>
      <c r="J1110" s="12" t="str">
        <f aca="false">IF(INDEX(選手一覧!$I$5:$I$2736,$F1110)="","",INDEX(選手一覧!$I$5:$I$2736,$F1110))</f>
        <v/>
      </c>
    </row>
    <row r="1111" customFormat="false" ht="15" hidden="false" customHeight="false" outlineLevel="0" collapsed="false">
      <c r="A1111" s="12" t="n">
        <v>1108</v>
      </c>
      <c r="B1111" s="8" t="s">
        <v>3612</v>
      </c>
      <c r="C1111" s="8" t="s">
        <v>3613</v>
      </c>
      <c r="D1111" s="11" t="n">
        <v>0.00774398148148148</v>
      </c>
      <c r="E1111" s="39" t="n">
        <f aca="false">ROUND((D1111-$D$5)*86400,2)</f>
        <v>130.06</v>
      </c>
      <c r="F1111" s="12" t="n">
        <v>2350</v>
      </c>
      <c r="G1111" s="11" t="str">
        <f aca="false">IF(INDEX(選手一覧!$D$5:$D$2736,$F1111)="","",INDEX(選手一覧!$D$5:$D$2736,$F1111))</f>
        <v/>
      </c>
      <c r="H1111" s="12" t="str">
        <f aca="false">IF(INDEX(選手一覧!$E$5:$E$2736,$F1111)="","",INDEX(選手一覧!$E$5:$E$2736,$F1111))</f>
        <v/>
      </c>
      <c r="I1111" s="11" t="str">
        <f aca="false">IF(INDEX(選手一覧!$H$5:$H$2736,$F1111)="","",INDEX(選手一覧!$H$5:$H$2736,$F1111))</f>
        <v/>
      </c>
      <c r="J1111" s="12" t="str">
        <f aca="false">IF(INDEX(選手一覧!$I$5:$I$2736,$F1111)="","",INDEX(選手一覧!$I$5:$I$2736,$F1111))</f>
        <v/>
      </c>
    </row>
    <row r="1112" customFormat="false" ht="15" hidden="false" customHeight="false" outlineLevel="0" collapsed="false">
      <c r="A1112" s="12" t="n">
        <v>1109</v>
      </c>
      <c r="B1112" s="8" t="s">
        <v>3616</v>
      </c>
      <c r="C1112" s="8" t="s">
        <v>281</v>
      </c>
      <c r="D1112" s="11" t="n">
        <v>0.00774525462962963</v>
      </c>
      <c r="E1112" s="39" t="n">
        <f aca="false">ROUND((D1112-$D$5)*86400,2)</f>
        <v>130.17</v>
      </c>
      <c r="F1112" s="12" t="n">
        <v>2352</v>
      </c>
      <c r="G1112" s="11" t="str">
        <f aca="false">IF(INDEX(選手一覧!$D$5:$D$2736,$F1112)="","",INDEX(選手一覧!$D$5:$D$2736,$F1112))</f>
        <v/>
      </c>
      <c r="H1112" s="12" t="str">
        <f aca="false">IF(INDEX(選手一覧!$E$5:$E$2736,$F1112)="","",INDEX(選手一覧!$E$5:$E$2736,$F1112))</f>
        <v/>
      </c>
      <c r="I1112" s="11" t="str">
        <f aca="false">IF(INDEX(選手一覧!$H$5:$H$2736,$F1112)="","",INDEX(選手一覧!$H$5:$H$2736,$F1112))</f>
        <v/>
      </c>
      <c r="J1112" s="12" t="str">
        <f aca="false">IF(INDEX(選手一覧!$I$5:$I$2736,$F1112)="","",INDEX(選手一覧!$I$5:$I$2736,$F1112))</f>
        <v/>
      </c>
    </row>
    <row r="1113" customFormat="false" ht="15" hidden="false" customHeight="false" outlineLevel="0" collapsed="false">
      <c r="A1113" s="12" t="n">
        <v>1110</v>
      </c>
      <c r="B1113" s="8" t="s">
        <v>3619</v>
      </c>
      <c r="C1113" s="8" t="s">
        <v>1821</v>
      </c>
      <c r="D1113" s="11" t="n">
        <v>0.00774525462962963</v>
      </c>
      <c r="E1113" s="39" t="n">
        <f aca="false">ROUND((D1113-$D$5)*86400,2)</f>
        <v>130.17</v>
      </c>
      <c r="F1113" s="12" t="n">
        <v>2354</v>
      </c>
      <c r="G1113" s="11" t="str">
        <f aca="false">IF(INDEX(選手一覧!$D$5:$D$2736,$F1113)="","",INDEX(選手一覧!$D$5:$D$2736,$F1113))</f>
        <v/>
      </c>
      <c r="H1113" s="12" t="str">
        <f aca="false">IF(INDEX(選手一覧!$E$5:$E$2736,$F1113)="","",INDEX(選手一覧!$E$5:$E$2736,$F1113))</f>
        <v/>
      </c>
      <c r="I1113" s="11" t="str">
        <f aca="false">IF(INDEX(選手一覧!$H$5:$H$2736,$F1113)="","",INDEX(選手一覧!$H$5:$H$2736,$F1113))</f>
        <v/>
      </c>
      <c r="J1113" s="12" t="str">
        <f aca="false">IF(INDEX(選手一覧!$I$5:$I$2736,$F1113)="","",INDEX(選手一覧!$I$5:$I$2736,$F1113))</f>
        <v/>
      </c>
    </row>
    <row r="1114" customFormat="false" ht="15" hidden="false" customHeight="false" outlineLevel="0" collapsed="false">
      <c r="A1114" s="12" t="n">
        <v>1111</v>
      </c>
      <c r="B1114" s="8" t="s">
        <v>3622</v>
      </c>
      <c r="C1114" s="8" t="s">
        <v>154</v>
      </c>
      <c r="D1114" s="11" t="n">
        <v>0.00774652777777778</v>
      </c>
      <c r="E1114" s="39" t="n">
        <f aca="false">ROUND((D1114-$D$5)*86400,2)</f>
        <v>130.28</v>
      </c>
      <c r="F1114" s="12" t="n">
        <v>2356</v>
      </c>
      <c r="G1114" s="11" t="str">
        <f aca="false">IF(INDEX(選手一覧!$D$5:$D$2736,$F1114)="","",INDEX(選手一覧!$D$5:$D$2736,$F1114))</f>
        <v/>
      </c>
      <c r="H1114" s="12" t="str">
        <f aca="false">IF(INDEX(選手一覧!$E$5:$E$2736,$F1114)="","",INDEX(選手一覧!$E$5:$E$2736,$F1114))</f>
        <v/>
      </c>
      <c r="I1114" s="11" t="str">
        <f aca="false">IF(INDEX(選手一覧!$H$5:$H$2736,$F1114)="","",INDEX(選手一覧!$H$5:$H$2736,$F1114))</f>
        <v/>
      </c>
      <c r="J1114" s="12" t="str">
        <f aca="false">IF(INDEX(選手一覧!$I$5:$I$2736,$F1114)="","",INDEX(選手一覧!$I$5:$I$2736,$F1114))</f>
        <v/>
      </c>
    </row>
    <row r="1115" customFormat="false" ht="15" hidden="false" customHeight="false" outlineLevel="0" collapsed="false">
      <c r="A1115" s="12" t="n">
        <v>1112</v>
      </c>
      <c r="B1115" s="8" t="s">
        <v>3623</v>
      </c>
      <c r="C1115" s="8" t="s">
        <v>688</v>
      </c>
      <c r="D1115" s="11" t="n">
        <v>0.00774930555555556</v>
      </c>
      <c r="E1115" s="39" t="n">
        <f aca="false">ROUND((D1115-$D$5)*86400,2)</f>
        <v>130.52</v>
      </c>
      <c r="F1115" s="12" t="n">
        <v>2357</v>
      </c>
      <c r="G1115" s="11" t="str">
        <f aca="false">IF(INDEX(選手一覧!$D$5:$D$2736,$F1115)="","",INDEX(選手一覧!$D$5:$D$2736,$F1115))</f>
        <v/>
      </c>
      <c r="H1115" s="12" t="str">
        <f aca="false">IF(INDEX(選手一覧!$E$5:$E$2736,$F1115)="","",INDEX(選手一覧!$E$5:$E$2736,$F1115))</f>
        <v/>
      </c>
      <c r="I1115" s="11" t="str">
        <f aca="false">IF(INDEX(選手一覧!$H$5:$H$2736,$F1115)="","",INDEX(選手一覧!$H$5:$H$2736,$F1115))</f>
        <v/>
      </c>
      <c r="J1115" s="12" t="str">
        <f aca="false">IF(INDEX(選手一覧!$I$5:$I$2736,$F1115)="","",INDEX(選手一覧!$I$5:$I$2736,$F1115))</f>
        <v/>
      </c>
    </row>
    <row r="1116" customFormat="false" ht="15" hidden="false" customHeight="false" outlineLevel="0" collapsed="false">
      <c r="A1116" s="12" t="n">
        <v>1113</v>
      </c>
      <c r="B1116" s="8" t="s">
        <v>3624</v>
      </c>
      <c r="C1116" s="8" t="s">
        <v>87</v>
      </c>
      <c r="D1116" s="11" t="n">
        <v>0.00775173611111111</v>
      </c>
      <c r="E1116" s="39" t="n">
        <f aca="false">ROUND((D1116-$D$5)*86400,2)</f>
        <v>130.73</v>
      </c>
      <c r="F1116" s="12" t="n">
        <v>2358</v>
      </c>
      <c r="G1116" s="11" t="str">
        <f aca="false">IF(INDEX(選手一覧!$D$5:$D$2736,$F1116)="","",INDEX(選手一覧!$D$5:$D$2736,$F1116))</f>
        <v/>
      </c>
      <c r="H1116" s="12" t="str">
        <f aca="false">IF(INDEX(選手一覧!$E$5:$E$2736,$F1116)="","",INDEX(選手一覧!$E$5:$E$2736,$F1116))</f>
        <v/>
      </c>
      <c r="I1116" s="11" t="str">
        <f aca="false">IF(INDEX(選手一覧!$H$5:$H$2736,$F1116)="","",INDEX(選手一覧!$H$5:$H$2736,$F1116))</f>
        <v/>
      </c>
      <c r="J1116" s="12" t="str">
        <f aca="false">IF(INDEX(選手一覧!$I$5:$I$2736,$F1116)="","",INDEX(選手一覧!$I$5:$I$2736,$F1116))</f>
        <v/>
      </c>
    </row>
    <row r="1117" customFormat="false" ht="15" hidden="false" customHeight="false" outlineLevel="0" collapsed="false">
      <c r="A1117" s="12" t="n">
        <v>1114</v>
      </c>
      <c r="B1117" s="8" t="s">
        <v>3625</v>
      </c>
      <c r="C1117" s="8" t="s">
        <v>2310</v>
      </c>
      <c r="D1117" s="11" t="n">
        <v>0.00775231481481481</v>
      </c>
      <c r="E1117" s="39" t="n">
        <f aca="false">ROUND((D1117-$D$5)*86400,2)</f>
        <v>130.78</v>
      </c>
      <c r="F1117" s="12" t="n">
        <v>2359</v>
      </c>
      <c r="G1117" s="11" t="str">
        <f aca="false">IF(INDEX(選手一覧!$D$5:$D$2736,$F1117)="","",INDEX(選手一覧!$D$5:$D$2736,$F1117))</f>
        <v/>
      </c>
      <c r="H1117" s="12" t="str">
        <f aca="false">IF(INDEX(選手一覧!$E$5:$E$2736,$F1117)="","",INDEX(選手一覧!$E$5:$E$2736,$F1117))</f>
        <v/>
      </c>
      <c r="I1117" s="11" t="str">
        <f aca="false">IF(INDEX(選手一覧!$H$5:$H$2736,$F1117)="","",INDEX(選手一覧!$H$5:$H$2736,$F1117))</f>
        <v/>
      </c>
      <c r="J1117" s="12" t="str">
        <f aca="false">IF(INDEX(選手一覧!$I$5:$I$2736,$F1117)="","",INDEX(選手一覧!$I$5:$I$2736,$F1117))</f>
        <v/>
      </c>
    </row>
    <row r="1118" customFormat="false" ht="15" hidden="false" customHeight="false" outlineLevel="0" collapsed="false">
      <c r="A1118" s="12" t="n">
        <v>1115</v>
      </c>
      <c r="B1118" s="8" t="s">
        <v>3627</v>
      </c>
      <c r="C1118" s="8" t="s">
        <v>3628</v>
      </c>
      <c r="D1118" s="11" t="n">
        <v>0.00775266203703704</v>
      </c>
      <c r="E1118" s="39" t="n">
        <f aca="false">ROUND((D1118-$D$5)*86400,2)</f>
        <v>130.81</v>
      </c>
      <c r="F1118" s="12" t="n">
        <v>2360</v>
      </c>
      <c r="G1118" s="11" t="str">
        <f aca="false">IF(INDEX(選手一覧!$D$5:$D$2736,$F1118)="","",INDEX(選手一覧!$D$5:$D$2736,$F1118))</f>
        <v/>
      </c>
      <c r="H1118" s="12" t="str">
        <f aca="false">IF(INDEX(選手一覧!$E$5:$E$2736,$F1118)="","",INDEX(選手一覧!$E$5:$E$2736,$F1118))</f>
        <v/>
      </c>
      <c r="I1118" s="11" t="str">
        <f aca="false">IF(INDEX(選手一覧!$H$5:$H$2736,$F1118)="","",INDEX(選手一覧!$H$5:$H$2736,$F1118))</f>
        <v/>
      </c>
      <c r="J1118" s="12" t="str">
        <f aca="false">IF(INDEX(選手一覧!$I$5:$I$2736,$F1118)="","",INDEX(選手一覧!$I$5:$I$2736,$F1118))</f>
        <v/>
      </c>
    </row>
    <row r="1119" customFormat="false" ht="15" hidden="false" customHeight="false" outlineLevel="0" collapsed="false">
      <c r="A1119" s="12" t="n">
        <v>1116</v>
      </c>
      <c r="B1119" s="8" t="s">
        <v>3629</v>
      </c>
      <c r="C1119" s="8" t="s">
        <v>2712</v>
      </c>
      <c r="D1119" s="11" t="n">
        <v>0.00775324074074074</v>
      </c>
      <c r="E1119" s="39" t="n">
        <f aca="false">ROUND((D1119-$D$5)*86400,2)</f>
        <v>130.86</v>
      </c>
      <c r="F1119" s="12" t="n">
        <v>2361</v>
      </c>
      <c r="G1119" s="11" t="str">
        <f aca="false">IF(INDEX(選手一覧!$D$5:$D$2736,$F1119)="","",INDEX(選手一覧!$D$5:$D$2736,$F1119))</f>
        <v/>
      </c>
      <c r="H1119" s="12" t="str">
        <f aca="false">IF(INDEX(選手一覧!$E$5:$E$2736,$F1119)="","",INDEX(選手一覧!$E$5:$E$2736,$F1119))</f>
        <v/>
      </c>
      <c r="I1119" s="11" t="str">
        <f aca="false">IF(INDEX(選手一覧!$H$5:$H$2736,$F1119)="","",INDEX(選手一覧!$H$5:$H$2736,$F1119))</f>
        <v/>
      </c>
      <c r="J1119" s="12" t="str">
        <f aca="false">IF(INDEX(選手一覧!$I$5:$I$2736,$F1119)="","",INDEX(選手一覧!$I$5:$I$2736,$F1119))</f>
        <v/>
      </c>
    </row>
    <row r="1120" customFormat="false" ht="15" hidden="false" customHeight="false" outlineLevel="0" collapsed="false">
      <c r="A1120" s="12" t="n">
        <v>1117</v>
      </c>
      <c r="B1120" s="8" t="s">
        <v>3630</v>
      </c>
      <c r="C1120" s="8" t="s">
        <v>479</v>
      </c>
      <c r="D1120" s="11" t="n">
        <v>0.00775659722222222</v>
      </c>
      <c r="E1120" s="39" t="n">
        <f aca="false">ROUND((D1120-$D$5)*86400,2)</f>
        <v>131.15</v>
      </c>
      <c r="F1120" s="12" t="n">
        <v>2362</v>
      </c>
      <c r="G1120" s="11" t="str">
        <f aca="false">IF(INDEX(選手一覧!$D$5:$D$2736,$F1120)="","",INDEX(選手一覧!$D$5:$D$2736,$F1120))</f>
        <v/>
      </c>
      <c r="H1120" s="12" t="str">
        <f aca="false">IF(INDEX(選手一覧!$E$5:$E$2736,$F1120)="","",INDEX(選手一覧!$E$5:$E$2736,$F1120))</f>
        <v/>
      </c>
      <c r="I1120" s="11" t="str">
        <f aca="false">IF(INDEX(選手一覧!$H$5:$H$2736,$F1120)="","",INDEX(選手一覧!$H$5:$H$2736,$F1120))</f>
        <v/>
      </c>
      <c r="J1120" s="12" t="str">
        <f aca="false">IF(INDEX(選手一覧!$I$5:$I$2736,$F1120)="","",INDEX(選手一覧!$I$5:$I$2736,$F1120))</f>
        <v/>
      </c>
    </row>
    <row r="1121" customFormat="false" ht="15" hidden="false" customHeight="false" outlineLevel="0" collapsed="false">
      <c r="A1121" s="12" t="n">
        <v>1118</v>
      </c>
      <c r="B1121" s="8" t="s">
        <v>3632</v>
      </c>
      <c r="C1121" s="8" t="s">
        <v>341</v>
      </c>
      <c r="D1121" s="11" t="n">
        <v>0.00775763888888889</v>
      </c>
      <c r="E1121" s="39" t="n">
        <f aca="false">ROUND((D1121-$D$5)*86400,2)</f>
        <v>131.24</v>
      </c>
      <c r="F1121" s="12" t="n">
        <v>2364</v>
      </c>
      <c r="G1121" s="11" t="str">
        <f aca="false">IF(INDEX(選手一覧!$D$5:$D$2736,$F1121)="","",INDEX(選手一覧!$D$5:$D$2736,$F1121))</f>
        <v/>
      </c>
      <c r="H1121" s="12" t="str">
        <f aca="false">IF(INDEX(選手一覧!$E$5:$E$2736,$F1121)="","",INDEX(選手一覧!$E$5:$E$2736,$F1121))</f>
        <v/>
      </c>
      <c r="I1121" s="11" t="str">
        <f aca="false">IF(INDEX(選手一覧!$H$5:$H$2736,$F1121)="","",INDEX(選手一覧!$H$5:$H$2736,$F1121))</f>
        <v/>
      </c>
      <c r="J1121" s="12" t="str">
        <f aca="false">IF(INDEX(選手一覧!$I$5:$I$2736,$F1121)="","",INDEX(選手一覧!$I$5:$I$2736,$F1121))</f>
        <v/>
      </c>
    </row>
    <row r="1122" customFormat="false" ht="15" hidden="false" customHeight="false" outlineLevel="0" collapsed="false">
      <c r="A1122" s="12" t="n">
        <v>1119</v>
      </c>
      <c r="B1122" s="8" t="s">
        <v>3635</v>
      </c>
      <c r="C1122" s="8" t="s">
        <v>3636</v>
      </c>
      <c r="D1122" s="11" t="n">
        <v>0.00775833333333333</v>
      </c>
      <c r="E1122" s="39" t="n">
        <f aca="false">ROUND((D1122-$D$5)*86400,2)</f>
        <v>131.3</v>
      </c>
      <c r="F1122" s="12" t="n">
        <v>2366</v>
      </c>
      <c r="G1122" s="11" t="str">
        <f aca="false">IF(INDEX(選手一覧!$D$5:$D$2736,$F1122)="","",INDEX(選手一覧!$D$5:$D$2736,$F1122))</f>
        <v/>
      </c>
      <c r="H1122" s="12" t="str">
        <f aca="false">IF(INDEX(選手一覧!$E$5:$E$2736,$F1122)="","",INDEX(選手一覧!$E$5:$E$2736,$F1122))</f>
        <v/>
      </c>
      <c r="I1122" s="11" t="str">
        <f aca="false">IF(INDEX(選手一覧!$H$5:$H$2736,$F1122)="","",INDEX(選手一覧!$H$5:$H$2736,$F1122))</f>
        <v/>
      </c>
      <c r="J1122" s="12" t="str">
        <f aca="false">IF(INDEX(選手一覧!$I$5:$I$2736,$F1122)="","",INDEX(選手一覧!$I$5:$I$2736,$F1122))</f>
        <v/>
      </c>
    </row>
    <row r="1123" customFormat="false" ht="15" hidden="false" customHeight="false" outlineLevel="0" collapsed="false">
      <c r="A1123" s="12" t="n">
        <v>1120</v>
      </c>
      <c r="B1123" s="8" t="s">
        <v>3637</v>
      </c>
      <c r="C1123" s="8" t="s">
        <v>3638</v>
      </c>
      <c r="D1123" s="11" t="n">
        <v>0.00776018518518519</v>
      </c>
      <c r="E1123" s="39" t="n">
        <f aca="false">ROUND((D1123-$D$5)*86400,2)</f>
        <v>131.46</v>
      </c>
      <c r="F1123" s="12" t="n">
        <v>2367</v>
      </c>
      <c r="G1123" s="11" t="str">
        <f aca="false">IF(INDEX(選手一覧!$D$5:$D$2736,$F1123)="","",INDEX(選手一覧!$D$5:$D$2736,$F1123))</f>
        <v/>
      </c>
      <c r="H1123" s="12" t="str">
        <f aca="false">IF(INDEX(選手一覧!$E$5:$E$2736,$F1123)="","",INDEX(選手一覧!$E$5:$E$2736,$F1123))</f>
        <v/>
      </c>
      <c r="I1123" s="11" t="str">
        <f aca="false">IF(INDEX(選手一覧!$H$5:$H$2736,$F1123)="","",INDEX(選手一覧!$H$5:$H$2736,$F1123))</f>
        <v/>
      </c>
      <c r="J1123" s="12" t="str">
        <f aca="false">IF(INDEX(選手一覧!$I$5:$I$2736,$F1123)="","",INDEX(選手一覧!$I$5:$I$2736,$F1123))</f>
        <v/>
      </c>
    </row>
    <row r="1124" customFormat="false" ht="15" hidden="false" customHeight="false" outlineLevel="0" collapsed="false">
      <c r="A1124" s="12" t="n">
        <v>1121</v>
      </c>
      <c r="B1124" s="8" t="s">
        <v>3641</v>
      </c>
      <c r="C1124" s="8" t="s">
        <v>3642</v>
      </c>
      <c r="D1124" s="11" t="n">
        <v>0.00776076388888889</v>
      </c>
      <c r="E1124" s="39" t="n">
        <f aca="false">ROUND((D1124-$D$5)*86400,2)</f>
        <v>131.51</v>
      </c>
      <c r="F1124" s="12" t="n">
        <v>2369</v>
      </c>
      <c r="G1124" s="11" t="str">
        <f aca="false">IF(INDEX(選手一覧!$D$5:$D$2736,$F1124)="","",INDEX(選手一覧!$D$5:$D$2736,$F1124))</f>
        <v/>
      </c>
      <c r="H1124" s="12" t="str">
        <f aca="false">IF(INDEX(選手一覧!$E$5:$E$2736,$F1124)="","",INDEX(選手一覧!$E$5:$E$2736,$F1124))</f>
        <v/>
      </c>
      <c r="I1124" s="11" t="str">
        <f aca="false">IF(INDEX(選手一覧!$H$5:$H$2736,$F1124)="","",INDEX(選手一覧!$H$5:$H$2736,$F1124))</f>
        <v/>
      </c>
      <c r="J1124" s="12" t="str">
        <f aca="false">IF(INDEX(選手一覧!$I$5:$I$2736,$F1124)="","",INDEX(選手一覧!$I$5:$I$2736,$F1124))</f>
        <v/>
      </c>
    </row>
    <row r="1125" customFormat="false" ht="15" hidden="false" customHeight="false" outlineLevel="0" collapsed="false">
      <c r="A1125" s="12" t="n">
        <v>1122</v>
      </c>
      <c r="B1125" s="8" t="s">
        <v>3645</v>
      </c>
      <c r="C1125" s="8" t="s">
        <v>2718</v>
      </c>
      <c r="D1125" s="11" t="n">
        <v>0.00776111111111111</v>
      </c>
      <c r="E1125" s="39" t="n">
        <f aca="false">ROUND((D1125-$D$5)*86400,2)</f>
        <v>131.54</v>
      </c>
      <c r="F1125" s="12" t="n">
        <v>2371</v>
      </c>
      <c r="G1125" s="11" t="str">
        <f aca="false">IF(INDEX(選手一覧!$D$5:$D$2736,$F1125)="","",INDEX(選手一覧!$D$5:$D$2736,$F1125))</f>
        <v/>
      </c>
      <c r="H1125" s="12" t="str">
        <f aca="false">IF(INDEX(選手一覧!$E$5:$E$2736,$F1125)="","",INDEX(選手一覧!$E$5:$E$2736,$F1125))</f>
        <v/>
      </c>
      <c r="I1125" s="11" t="str">
        <f aca="false">IF(INDEX(選手一覧!$H$5:$H$2736,$F1125)="","",INDEX(選手一覧!$H$5:$H$2736,$F1125))</f>
        <v/>
      </c>
      <c r="J1125" s="12" t="str">
        <f aca="false">IF(INDEX(選手一覧!$I$5:$I$2736,$F1125)="","",INDEX(選手一覧!$I$5:$I$2736,$F1125))</f>
        <v/>
      </c>
    </row>
    <row r="1126" customFormat="false" ht="15" hidden="false" customHeight="false" outlineLevel="0" collapsed="false">
      <c r="A1126" s="12" t="n">
        <v>1123</v>
      </c>
      <c r="B1126" s="8" t="s">
        <v>3648</v>
      </c>
      <c r="C1126" s="8" t="s">
        <v>3649</v>
      </c>
      <c r="D1126" s="11" t="n">
        <v>0.00776539351851852</v>
      </c>
      <c r="E1126" s="39" t="n">
        <f aca="false">ROUND((D1126-$D$5)*86400,2)</f>
        <v>131.91</v>
      </c>
      <c r="F1126" s="12" t="n">
        <v>2373</v>
      </c>
      <c r="G1126" s="11" t="str">
        <f aca="false">IF(INDEX(選手一覧!$D$5:$D$2736,$F1126)="","",INDEX(選手一覧!$D$5:$D$2736,$F1126))</f>
        <v/>
      </c>
      <c r="H1126" s="12" t="str">
        <f aca="false">IF(INDEX(選手一覧!$E$5:$E$2736,$F1126)="","",INDEX(選手一覧!$E$5:$E$2736,$F1126))</f>
        <v/>
      </c>
      <c r="I1126" s="11" t="str">
        <f aca="false">IF(INDEX(選手一覧!$H$5:$H$2736,$F1126)="","",INDEX(選手一覧!$H$5:$H$2736,$F1126))</f>
        <v/>
      </c>
      <c r="J1126" s="12" t="str">
        <f aca="false">IF(INDEX(選手一覧!$I$5:$I$2736,$F1126)="","",INDEX(選手一覧!$I$5:$I$2736,$F1126))</f>
        <v/>
      </c>
    </row>
    <row r="1127" customFormat="false" ht="15" hidden="false" customHeight="false" outlineLevel="0" collapsed="false">
      <c r="A1127" s="12" t="n">
        <v>1124</v>
      </c>
      <c r="B1127" s="8" t="s">
        <v>3650</v>
      </c>
      <c r="C1127" s="8" t="s">
        <v>3651</v>
      </c>
      <c r="D1127" s="11" t="n">
        <v>0.00776585648148148</v>
      </c>
      <c r="E1127" s="39" t="n">
        <f aca="false">ROUND((D1127-$D$5)*86400,2)</f>
        <v>131.95</v>
      </c>
      <c r="F1127" s="12" t="n">
        <v>2374</v>
      </c>
      <c r="G1127" s="11" t="str">
        <f aca="false">IF(INDEX(選手一覧!$D$5:$D$2736,$F1127)="","",INDEX(選手一覧!$D$5:$D$2736,$F1127))</f>
        <v/>
      </c>
      <c r="H1127" s="12" t="str">
        <f aca="false">IF(INDEX(選手一覧!$E$5:$E$2736,$F1127)="","",INDEX(選手一覧!$E$5:$E$2736,$F1127))</f>
        <v/>
      </c>
      <c r="I1127" s="11" t="str">
        <f aca="false">IF(INDEX(選手一覧!$H$5:$H$2736,$F1127)="","",INDEX(選手一覧!$H$5:$H$2736,$F1127))</f>
        <v/>
      </c>
      <c r="J1127" s="12" t="str">
        <f aca="false">IF(INDEX(選手一覧!$I$5:$I$2736,$F1127)="","",INDEX(選手一覧!$I$5:$I$2736,$F1127))</f>
        <v/>
      </c>
    </row>
    <row r="1128" customFormat="false" ht="15" hidden="false" customHeight="false" outlineLevel="0" collapsed="false">
      <c r="A1128" s="12" t="n">
        <v>1125</v>
      </c>
      <c r="B1128" s="8" t="s">
        <v>3652</v>
      </c>
      <c r="C1128" s="8" t="s">
        <v>3653</v>
      </c>
      <c r="D1128" s="11" t="n">
        <v>0.00776747685185185</v>
      </c>
      <c r="E1128" s="39" t="n">
        <f aca="false">ROUND((D1128-$D$5)*86400,2)</f>
        <v>132.09</v>
      </c>
      <c r="F1128" s="12" t="n">
        <v>2375</v>
      </c>
      <c r="G1128" s="11" t="str">
        <f aca="false">IF(INDEX(選手一覧!$D$5:$D$2736,$F1128)="","",INDEX(選手一覧!$D$5:$D$2736,$F1128))</f>
        <v/>
      </c>
      <c r="H1128" s="12" t="str">
        <f aca="false">IF(INDEX(選手一覧!$E$5:$E$2736,$F1128)="","",INDEX(選手一覧!$E$5:$E$2736,$F1128))</f>
        <v/>
      </c>
      <c r="I1128" s="11" t="str">
        <f aca="false">IF(INDEX(選手一覧!$H$5:$H$2736,$F1128)="","",INDEX(選手一覧!$H$5:$H$2736,$F1128))</f>
        <v/>
      </c>
      <c r="J1128" s="12" t="str">
        <f aca="false">IF(INDEX(選手一覧!$I$5:$I$2736,$F1128)="","",INDEX(選手一覧!$I$5:$I$2736,$F1128))</f>
        <v/>
      </c>
    </row>
    <row r="1129" customFormat="false" ht="15" hidden="false" customHeight="false" outlineLevel="0" collapsed="false">
      <c r="A1129" s="12" t="n">
        <v>1126</v>
      </c>
      <c r="B1129" s="8" t="s">
        <v>3655</v>
      </c>
      <c r="C1129" s="8" t="s">
        <v>3224</v>
      </c>
      <c r="D1129" s="11" t="n">
        <v>0.00776770833333333</v>
      </c>
      <c r="E1129" s="39" t="n">
        <f aca="false">ROUND((D1129-$D$5)*86400,2)</f>
        <v>132.11</v>
      </c>
      <c r="F1129" s="12" t="n">
        <v>2377</v>
      </c>
      <c r="G1129" s="11" t="str">
        <f aca="false">IF(INDEX(選手一覧!$D$5:$D$2736,$F1129)="","",INDEX(選手一覧!$D$5:$D$2736,$F1129))</f>
        <v/>
      </c>
      <c r="H1129" s="12" t="str">
        <f aca="false">IF(INDEX(選手一覧!$E$5:$E$2736,$F1129)="","",INDEX(選手一覧!$E$5:$E$2736,$F1129))</f>
        <v/>
      </c>
      <c r="I1129" s="11" t="str">
        <f aca="false">IF(INDEX(選手一覧!$H$5:$H$2736,$F1129)="","",INDEX(選手一覧!$H$5:$H$2736,$F1129))</f>
        <v/>
      </c>
      <c r="J1129" s="12" t="str">
        <f aca="false">IF(INDEX(選手一覧!$I$5:$I$2736,$F1129)="","",INDEX(選手一覧!$I$5:$I$2736,$F1129))</f>
        <v/>
      </c>
    </row>
    <row r="1130" customFormat="false" ht="15" hidden="false" customHeight="false" outlineLevel="0" collapsed="false">
      <c r="A1130" s="12" t="n">
        <v>1127</v>
      </c>
      <c r="B1130" s="8" t="s">
        <v>1191</v>
      </c>
      <c r="C1130" s="8" t="s">
        <v>1192</v>
      </c>
      <c r="D1130" s="11" t="n">
        <v>0.007771875</v>
      </c>
      <c r="E1130" s="39" t="n">
        <f aca="false">ROUND((D1130-$D$5)*86400,2)</f>
        <v>132.47</v>
      </c>
      <c r="F1130" s="12" t="n">
        <v>712</v>
      </c>
      <c r="G1130" s="11" t="n">
        <f aca="false">IF(INDEX(選手一覧!$D$5:$D$2736,$F1130)="","",INDEX(選手一覧!$D$5:$D$2736,$F1130))</f>
        <v>0.0107855324074074</v>
      </c>
      <c r="H1130" s="12" t="n">
        <f aca="false">IF(INDEX(選手一覧!$E$5:$E$2736,$F1130)="","",INDEX(選手一覧!$E$5:$E$2736,$F1130))</f>
        <v>713</v>
      </c>
      <c r="I1130" s="11" t="str">
        <f aca="false">IF(INDEX(選手一覧!$H$5:$H$2736,$F1130)="","",INDEX(選手一覧!$H$5:$H$2736,$F1130))</f>
        <v/>
      </c>
      <c r="J1130" s="12" t="str">
        <f aca="false">IF(INDEX(選手一覧!$I$5:$I$2736,$F1130)="","",INDEX(選手一覧!$I$5:$I$2736,$F1130))</f>
        <v/>
      </c>
    </row>
    <row r="1131" customFormat="false" ht="15" hidden="false" customHeight="false" outlineLevel="0" collapsed="false">
      <c r="A1131" s="12" t="n">
        <v>1128</v>
      </c>
      <c r="B1131" s="8" t="s">
        <v>3657</v>
      </c>
      <c r="C1131" s="8" t="s">
        <v>2915</v>
      </c>
      <c r="D1131" s="11" t="n">
        <v>0.00777604166666667</v>
      </c>
      <c r="E1131" s="39" t="n">
        <f aca="false">ROUND((D1131-$D$5)*86400,2)</f>
        <v>132.83</v>
      </c>
      <c r="F1131" s="12" t="n">
        <v>2379</v>
      </c>
      <c r="G1131" s="11" t="str">
        <f aca="false">IF(INDEX(選手一覧!$D$5:$D$2736,$F1131)="","",INDEX(選手一覧!$D$5:$D$2736,$F1131))</f>
        <v/>
      </c>
      <c r="H1131" s="12" t="str">
        <f aca="false">IF(INDEX(選手一覧!$E$5:$E$2736,$F1131)="","",INDEX(選手一覧!$E$5:$E$2736,$F1131))</f>
        <v/>
      </c>
      <c r="I1131" s="11" t="str">
        <f aca="false">IF(INDEX(選手一覧!$H$5:$H$2736,$F1131)="","",INDEX(選手一覧!$H$5:$H$2736,$F1131))</f>
        <v/>
      </c>
      <c r="J1131" s="12" t="str">
        <f aca="false">IF(INDEX(選手一覧!$I$5:$I$2736,$F1131)="","",INDEX(選手一覧!$I$5:$I$2736,$F1131))</f>
        <v/>
      </c>
    </row>
    <row r="1132" customFormat="false" ht="15" hidden="false" customHeight="false" outlineLevel="0" collapsed="false">
      <c r="A1132" s="12" t="n">
        <v>1129</v>
      </c>
      <c r="B1132" s="8" t="s">
        <v>3659</v>
      </c>
      <c r="C1132" s="8" t="s">
        <v>3660</v>
      </c>
      <c r="D1132" s="11" t="n">
        <v>0.00777962962962963</v>
      </c>
      <c r="E1132" s="39" t="n">
        <f aca="false">ROUND((D1132-$D$5)*86400,2)</f>
        <v>133.14</v>
      </c>
      <c r="F1132" s="12" t="n">
        <v>2381</v>
      </c>
      <c r="G1132" s="11" t="str">
        <f aca="false">IF(INDEX(選手一覧!$D$5:$D$2736,$F1132)="","",INDEX(選手一覧!$D$5:$D$2736,$F1132))</f>
        <v/>
      </c>
      <c r="H1132" s="12" t="str">
        <f aca="false">IF(INDEX(選手一覧!$E$5:$E$2736,$F1132)="","",INDEX(選手一覧!$E$5:$E$2736,$F1132))</f>
        <v/>
      </c>
      <c r="I1132" s="11" t="str">
        <f aca="false">IF(INDEX(選手一覧!$H$5:$H$2736,$F1132)="","",INDEX(選手一覧!$H$5:$H$2736,$F1132))</f>
        <v/>
      </c>
      <c r="J1132" s="12" t="str">
        <f aca="false">IF(INDEX(選手一覧!$I$5:$I$2736,$F1132)="","",INDEX(選手一覧!$I$5:$I$2736,$F1132))</f>
        <v/>
      </c>
    </row>
    <row r="1133" customFormat="false" ht="15" hidden="false" customHeight="false" outlineLevel="0" collapsed="false">
      <c r="A1133" s="12" t="n">
        <v>1130</v>
      </c>
      <c r="B1133" s="8" t="s">
        <v>3661</v>
      </c>
      <c r="C1133" s="8" t="s">
        <v>3662</v>
      </c>
      <c r="D1133" s="11" t="n">
        <v>0.00778981481481482</v>
      </c>
      <c r="E1133" s="39" t="n">
        <f aca="false">ROUND((D1133-$D$5)*86400,2)</f>
        <v>134.02</v>
      </c>
      <c r="F1133" s="12" t="n">
        <v>2382</v>
      </c>
      <c r="G1133" s="11" t="str">
        <f aca="false">IF(INDEX(選手一覧!$D$5:$D$2736,$F1133)="","",INDEX(選手一覧!$D$5:$D$2736,$F1133))</f>
        <v/>
      </c>
      <c r="H1133" s="12" t="str">
        <f aca="false">IF(INDEX(選手一覧!$E$5:$E$2736,$F1133)="","",INDEX(選手一覧!$E$5:$E$2736,$F1133))</f>
        <v/>
      </c>
      <c r="I1133" s="11" t="str">
        <f aca="false">IF(INDEX(選手一覧!$H$5:$H$2736,$F1133)="","",INDEX(選手一覧!$H$5:$H$2736,$F1133))</f>
        <v/>
      </c>
      <c r="J1133" s="12" t="str">
        <f aca="false">IF(INDEX(選手一覧!$I$5:$I$2736,$F1133)="","",INDEX(選手一覧!$I$5:$I$2736,$F1133))</f>
        <v/>
      </c>
    </row>
    <row r="1134" customFormat="false" ht="15" hidden="false" customHeight="false" outlineLevel="0" collapsed="false">
      <c r="A1134" s="12" t="n">
        <v>1131</v>
      </c>
      <c r="B1134" s="8" t="s">
        <v>3665</v>
      </c>
      <c r="C1134" s="8" t="s">
        <v>3280</v>
      </c>
      <c r="D1134" s="11" t="n">
        <v>0.00779340277777778</v>
      </c>
      <c r="E1134" s="39" t="n">
        <f aca="false">ROUND((D1134-$D$5)*86400,2)</f>
        <v>134.33</v>
      </c>
      <c r="F1134" s="12" t="n">
        <v>2384</v>
      </c>
      <c r="G1134" s="11" t="str">
        <f aca="false">IF(INDEX(選手一覧!$D$5:$D$2736,$F1134)="","",INDEX(選手一覧!$D$5:$D$2736,$F1134))</f>
        <v/>
      </c>
      <c r="H1134" s="12" t="str">
        <f aca="false">IF(INDEX(選手一覧!$E$5:$E$2736,$F1134)="","",INDEX(選手一覧!$E$5:$E$2736,$F1134))</f>
        <v/>
      </c>
      <c r="I1134" s="11" t="str">
        <f aca="false">IF(INDEX(選手一覧!$H$5:$H$2736,$F1134)="","",INDEX(選手一覧!$H$5:$H$2736,$F1134))</f>
        <v/>
      </c>
      <c r="J1134" s="12" t="str">
        <f aca="false">IF(INDEX(選手一覧!$I$5:$I$2736,$F1134)="","",INDEX(選手一覧!$I$5:$I$2736,$F1134))</f>
        <v/>
      </c>
    </row>
    <row r="1135" customFormat="false" ht="15" hidden="false" customHeight="false" outlineLevel="0" collapsed="false">
      <c r="A1135" s="12" t="n">
        <v>1132</v>
      </c>
      <c r="B1135" s="8" t="s">
        <v>3669</v>
      </c>
      <c r="C1135" s="8" t="s">
        <v>2579</v>
      </c>
      <c r="D1135" s="11" t="n">
        <v>0.00779363425925926</v>
      </c>
      <c r="E1135" s="39" t="n">
        <f aca="false">ROUND((D1135-$D$5)*86400,2)</f>
        <v>134.35</v>
      </c>
      <c r="F1135" s="12" t="n">
        <v>2386</v>
      </c>
      <c r="G1135" s="11" t="str">
        <f aca="false">IF(INDEX(選手一覧!$D$5:$D$2736,$F1135)="","",INDEX(選手一覧!$D$5:$D$2736,$F1135))</f>
        <v/>
      </c>
      <c r="H1135" s="12" t="str">
        <f aca="false">IF(INDEX(選手一覧!$E$5:$E$2736,$F1135)="","",INDEX(選手一覧!$E$5:$E$2736,$F1135))</f>
        <v/>
      </c>
      <c r="I1135" s="11" t="str">
        <f aca="false">IF(INDEX(選手一覧!$H$5:$H$2736,$F1135)="","",INDEX(選手一覧!$H$5:$H$2736,$F1135))</f>
        <v/>
      </c>
      <c r="J1135" s="12" t="str">
        <f aca="false">IF(INDEX(選手一覧!$I$5:$I$2736,$F1135)="","",INDEX(選手一覧!$I$5:$I$2736,$F1135))</f>
        <v/>
      </c>
    </row>
    <row r="1136" customFormat="false" ht="15" hidden="false" customHeight="false" outlineLevel="0" collapsed="false">
      <c r="A1136" s="12" t="n">
        <v>1133</v>
      </c>
      <c r="B1136" s="8" t="s">
        <v>3671</v>
      </c>
      <c r="C1136" s="8" t="s">
        <v>3672</v>
      </c>
      <c r="D1136" s="11" t="n">
        <v>0.00779756944444445</v>
      </c>
      <c r="E1136" s="39" t="n">
        <f aca="false">ROUND((D1136-$D$5)*86400,2)</f>
        <v>134.69</v>
      </c>
      <c r="F1136" s="12" t="n">
        <v>2388</v>
      </c>
      <c r="G1136" s="11" t="str">
        <f aca="false">IF(INDEX(選手一覧!$D$5:$D$2736,$F1136)="","",INDEX(選手一覧!$D$5:$D$2736,$F1136))</f>
        <v/>
      </c>
      <c r="H1136" s="12" t="str">
        <f aca="false">IF(INDEX(選手一覧!$E$5:$E$2736,$F1136)="","",INDEX(選手一覧!$E$5:$E$2736,$F1136))</f>
        <v/>
      </c>
      <c r="I1136" s="11" t="str">
        <f aca="false">IF(INDEX(選手一覧!$H$5:$H$2736,$F1136)="","",INDEX(選手一覧!$H$5:$H$2736,$F1136))</f>
        <v/>
      </c>
      <c r="J1136" s="12" t="str">
        <f aca="false">IF(INDEX(選手一覧!$I$5:$I$2736,$F1136)="","",INDEX(選手一覧!$I$5:$I$2736,$F1136))</f>
        <v/>
      </c>
    </row>
    <row r="1137" customFormat="false" ht="15" hidden="false" customHeight="false" outlineLevel="0" collapsed="false">
      <c r="A1137" s="12" t="n">
        <v>1134</v>
      </c>
      <c r="B1137" s="8" t="s">
        <v>3673</v>
      </c>
      <c r="C1137" s="8" t="s">
        <v>3674</v>
      </c>
      <c r="D1137" s="11" t="n">
        <v>0.00779803240740741</v>
      </c>
      <c r="E1137" s="39" t="n">
        <f aca="false">ROUND((D1137-$D$5)*86400,2)</f>
        <v>134.73</v>
      </c>
      <c r="F1137" s="12" t="n">
        <v>2389</v>
      </c>
      <c r="G1137" s="11" t="str">
        <f aca="false">IF(INDEX(選手一覧!$D$5:$D$2736,$F1137)="","",INDEX(選手一覧!$D$5:$D$2736,$F1137))</f>
        <v/>
      </c>
      <c r="H1137" s="12" t="str">
        <f aca="false">IF(INDEX(選手一覧!$E$5:$E$2736,$F1137)="","",INDEX(選手一覧!$E$5:$E$2736,$F1137))</f>
        <v/>
      </c>
      <c r="I1137" s="11" t="str">
        <f aca="false">IF(INDEX(選手一覧!$H$5:$H$2736,$F1137)="","",INDEX(選手一覧!$H$5:$H$2736,$F1137))</f>
        <v/>
      </c>
      <c r="J1137" s="12" t="str">
        <f aca="false">IF(INDEX(選手一覧!$I$5:$I$2736,$F1137)="","",INDEX(選手一覧!$I$5:$I$2736,$F1137))</f>
        <v/>
      </c>
    </row>
    <row r="1138" customFormat="false" ht="15" hidden="false" customHeight="false" outlineLevel="0" collapsed="false">
      <c r="A1138" s="12" t="n">
        <v>1135</v>
      </c>
      <c r="B1138" s="8" t="s">
        <v>3675</v>
      </c>
      <c r="C1138" s="8" t="s">
        <v>1940</v>
      </c>
      <c r="D1138" s="11" t="n">
        <v>0.00779976851851852</v>
      </c>
      <c r="E1138" s="39" t="n">
        <f aca="false">ROUND((D1138-$D$5)*86400,2)</f>
        <v>134.88</v>
      </c>
      <c r="F1138" s="12" t="n">
        <v>2390</v>
      </c>
      <c r="G1138" s="11" t="str">
        <f aca="false">IF(INDEX(選手一覧!$D$5:$D$2736,$F1138)="","",INDEX(選手一覧!$D$5:$D$2736,$F1138))</f>
        <v/>
      </c>
      <c r="H1138" s="12" t="str">
        <f aca="false">IF(INDEX(選手一覧!$E$5:$E$2736,$F1138)="","",INDEX(選手一覧!$E$5:$E$2736,$F1138))</f>
        <v/>
      </c>
      <c r="I1138" s="11" t="str">
        <f aca="false">IF(INDEX(選手一覧!$H$5:$H$2736,$F1138)="","",INDEX(選手一覧!$H$5:$H$2736,$F1138))</f>
        <v/>
      </c>
      <c r="J1138" s="12" t="str">
        <f aca="false">IF(INDEX(選手一覧!$I$5:$I$2736,$F1138)="","",INDEX(選手一覧!$I$5:$I$2736,$F1138))</f>
        <v/>
      </c>
    </row>
    <row r="1139" customFormat="false" ht="15" hidden="false" customHeight="false" outlineLevel="0" collapsed="false">
      <c r="A1139" s="12" t="n">
        <v>1136</v>
      </c>
      <c r="B1139" s="8" t="s">
        <v>603</v>
      </c>
      <c r="C1139" s="8" t="s">
        <v>136</v>
      </c>
      <c r="D1139" s="11" t="n">
        <v>0.00780393518518519</v>
      </c>
      <c r="E1139" s="39" t="n">
        <f aca="false">ROUND((D1139-$D$5)*86400,2)</f>
        <v>135.24</v>
      </c>
      <c r="F1139" s="12" t="n">
        <v>328</v>
      </c>
      <c r="G1139" s="11" t="n">
        <f aca="false">IF(INDEX(選手一覧!$D$5:$D$2736,$F1139)="","",INDEX(選手一覧!$D$5:$D$2736,$F1139))</f>
        <v>0.0104857638888889</v>
      </c>
      <c r="H1139" s="12" t="n">
        <f aca="false">IF(INDEX(選手一覧!$E$5:$E$2736,$F1139)="","",INDEX(選手一覧!$E$5:$E$2736,$F1139))</f>
        <v>329</v>
      </c>
      <c r="I1139" s="11" t="str">
        <f aca="false">IF(INDEX(選手一覧!$H$5:$H$2736,$F1139)="","",INDEX(選手一覧!$H$5:$H$2736,$F1139))</f>
        <v/>
      </c>
      <c r="J1139" s="12" t="str">
        <f aca="false">IF(INDEX(選手一覧!$I$5:$I$2736,$F1139)="","",INDEX(選手一覧!$I$5:$I$2736,$F1139))</f>
        <v/>
      </c>
    </row>
    <row r="1140" customFormat="false" ht="15" hidden="false" customHeight="false" outlineLevel="0" collapsed="false">
      <c r="A1140" s="12" t="n">
        <v>1137</v>
      </c>
      <c r="B1140" s="8" t="s">
        <v>3678</v>
      </c>
      <c r="C1140" s="8" t="s">
        <v>3679</v>
      </c>
      <c r="D1140" s="11" t="n">
        <v>0.00781087962962963</v>
      </c>
      <c r="E1140" s="39" t="n">
        <f aca="false">ROUND((D1140-$D$5)*86400,2)</f>
        <v>135.84</v>
      </c>
      <c r="F1140" s="12" t="n">
        <v>2392</v>
      </c>
      <c r="G1140" s="11" t="str">
        <f aca="false">IF(INDEX(選手一覧!$D$5:$D$2736,$F1140)="","",INDEX(選手一覧!$D$5:$D$2736,$F1140))</f>
        <v/>
      </c>
      <c r="H1140" s="12" t="str">
        <f aca="false">IF(INDEX(選手一覧!$E$5:$E$2736,$F1140)="","",INDEX(選手一覧!$E$5:$E$2736,$F1140))</f>
        <v/>
      </c>
      <c r="I1140" s="11" t="str">
        <f aca="false">IF(INDEX(選手一覧!$H$5:$H$2736,$F1140)="","",INDEX(選手一覧!$H$5:$H$2736,$F1140))</f>
        <v/>
      </c>
      <c r="J1140" s="12" t="str">
        <f aca="false">IF(INDEX(選手一覧!$I$5:$I$2736,$F1140)="","",INDEX(選手一覧!$I$5:$I$2736,$F1140))</f>
        <v/>
      </c>
    </row>
    <row r="1141" customFormat="false" ht="15" hidden="false" customHeight="false" outlineLevel="0" collapsed="false">
      <c r="A1141" s="12" t="n">
        <v>1138</v>
      </c>
      <c r="B1141" s="8" t="s">
        <v>3682</v>
      </c>
      <c r="C1141" s="8" t="s">
        <v>3683</v>
      </c>
      <c r="D1141" s="11" t="n">
        <v>0.00781099537037037</v>
      </c>
      <c r="E1141" s="39" t="n">
        <f aca="false">ROUND((D1141-$D$5)*86400,2)</f>
        <v>135.85</v>
      </c>
      <c r="F1141" s="12" t="n">
        <v>2394</v>
      </c>
      <c r="G1141" s="11" t="str">
        <f aca="false">IF(INDEX(選手一覧!$D$5:$D$2736,$F1141)="","",INDEX(選手一覧!$D$5:$D$2736,$F1141))</f>
        <v/>
      </c>
      <c r="H1141" s="12" t="str">
        <f aca="false">IF(INDEX(選手一覧!$E$5:$E$2736,$F1141)="","",INDEX(選手一覧!$E$5:$E$2736,$F1141))</f>
        <v/>
      </c>
      <c r="I1141" s="11" t="str">
        <f aca="false">IF(INDEX(選手一覧!$H$5:$H$2736,$F1141)="","",INDEX(選手一覧!$H$5:$H$2736,$F1141))</f>
        <v/>
      </c>
      <c r="J1141" s="12" t="str">
        <f aca="false">IF(INDEX(選手一覧!$I$5:$I$2736,$F1141)="","",INDEX(選手一覧!$I$5:$I$2736,$F1141))</f>
        <v/>
      </c>
    </row>
    <row r="1142" customFormat="false" ht="15" hidden="false" customHeight="false" outlineLevel="0" collapsed="false">
      <c r="A1142" s="12" t="n">
        <v>1139</v>
      </c>
      <c r="B1142" s="8" t="s">
        <v>3684</v>
      </c>
      <c r="C1142" s="8" t="s">
        <v>96</v>
      </c>
      <c r="D1142" s="11" t="n">
        <v>0.00781585648148148</v>
      </c>
      <c r="E1142" s="39" t="n">
        <f aca="false">ROUND((D1142-$D$5)*86400,2)</f>
        <v>136.27</v>
      </c>
      <c r="F1142" s="12" t="n">
        <v>2395</v>
      </c>
      <c r="G1142" s="11" t="str">
        <f aca="false">IF(INDEX(選手一覧!$D$5:$D$2736,$F1142)="","",INDEX(選手一覧!$D$5:$D$2736,$F1142))</f>
        <v/>
      </c>
      <c r="H1142" s="12" t="str">
        <f aca="false">IF(INDEX(選手一覧!$E$5:$E$2736,$F1142)="","",INDEX(選手一覧!$E$5:$E$2736,$F1142))</f>
        <v/>
      </c>
      <c r="I1142" s="11" t="str">
        <f aca="false">IF(INDEX(選手一覧!$H$5:$H$2736,$F1142)="","",INDEX(選手一覧!$H$5:$H$2736,$F1142))</f>
        <v/>
      </c>
      <c r="J1142" s="12" t="str">
        <f aca="false">IF(INDEX(選手一覧!$I$5:$I$2736,$F1142)="","",INDEX(選手一覧!$I$5:$I$2736,$F1142))</f>
        <v/>
      </c>
    </row>
    <row r="1143" customFormat="false" ht="15" hidden="false" customHeight="false" outlineLevel="0" collapsed="false">
      <c r="A1143" s="12" t="n">
        <v>1140</v>
      </c>
      <c r="B1143" s="8" t="s">
        <v>3685</v>
      </c>
      <c r="C1143" s="8" t="s">
        <v>2790</v>
      </c>
      <c r="D1143" s="11" t="n">
        <v>0.00781585648148148</v>
      </c>
      <c r="E1143" s="39" t="n">
        <f aca="false">ROUND((D1143-$D$5)*86400,2)</f>
        <v>136.27</v>
      </c>
      <c r="F1143" s="12" t="n">
        <v>2396</v>
      </c>
      <c r="G1143" s="11" t="str">
        <f aca="false">IF(INDEX(選手一覧!$D$5:$D$2736,$F1143)="","",INDEX(選手一覧!$D$5:$D$2736,$F1143))</f>
        <v/>
      </c>
      <c r="H1143" s="12" t="str">
        <f aca="false">IF(INDEX(選手一覧!$E$5:$E$2736,$F1143)="","",INDEX(選手一覧!$E$5:$E$2736,$F1143))</f>
        <v/>
      </c>
      <c r="I1143" s="11" t="str">
        <f aca="false">IF(INDEX(選手一覧!$H$5:$H$2736,$F1143)="","",INDEX(選手一覧!$H$5:$H$2736,$F1143))</f>
        <v/>
      </c>
      <c r="J1143" s="12" t="str">
        <f aca="false">IF(INDEX(選手一覧!$I$5:$I$2736,$F1143)="","",INDEX(選手一覧!$I$5:$I$2736,$F1143))</f>
        <v/>
      </c>
    </row>
    <row r="1144" customFormat="false" ht="15" hidden="false" customHeight="false" outlineLevel="0" collapsed="false">
      <c r="A1144" s="12" t="n">
        <v>1141</v>
      </c>
      <c r="B1144" s="8" t="s">
        <v>3686</v>
      </c>
      <c r="C1144" s="8" t="s">
        <v>3653</v>
      </c>
      <c r="D1144" s="11" t="n">
        <v>0.00781666666666667</v>
      </c>
      <c r="E1144" s="39" t="n">
        <f aca="false">ROUND((D1144-$D$5)*86400,2)</f>
        <v>136.34</v>
      </c>
      <c r="F1144" s="12" t="n">
        <v>2397</v>
      </c>
      <c r="G1144" s="11" t="str">
        <f aca="false">IF(INDEX(選手一覧!$D$5:$D$2736,$F1144)="","",INDEX(選手一覧!$D$5:$D$2736,$F1144))</f>
        <v/>
      </c>
      <c r="H1144" s="12" t="str">
        <f aca="false">IF(INDEX(選手一覧!$E$5:$E$2736,$F1144)="","",INDEX(選手一覧!$E$5:$E$2736,$F1144))</f>
        <v/>
      </c>
      <c r="I1144" s="11" t="str">
        <f aca="false">IF(INDEX(選手一覧!$H$5:$H$2736,$F1144)="","",INDEX(選手一覧!$H$5:$H$2736,$F1144))</f>
        <v/>
      </c>
      <c r="J1144" s="12" t="str">
        <f aca="false">IF(INDEX(選手一覧!$I$5:$I$2736,$F1144)="","",INDEX(選手一覧!$I$5:$I$2736,$F1144))</f>
        <v/>
      </c>
    </row>
    <row r="1145" customFormat="false" ht="15" hidden="false" customHeight="false" outlineLevel="0" collapsed="false">
      <c r="A1145" s="12" t="n">
        <v>1142</v>
      </c>
      <c r="B1145" s="8" t="s">
        <v>3689</v>
      </c>
      <c r="C1145" s="8" t="s">
        <v>2269</v>
      </c>
      <c r="D1145" s="11" t="n">
        <v>0.00781979166666667</v>
      </c>
      <c r="E1145" s="39" t="n">
        <f aca="false">ROUND((D1145-$D$5)*86400,2)</f>
        <v>136.61</v>
      </c>
      <c r="F1145" s="12" t="n">
        <v>2399</v>
      </c>
      <c r="G1145" s="11" t="str">
        <f aca="false">IF(INDEX(選手一覧!$D$5:$D$2736,$F1145)="","",INDEX(選手一覧!$D$5:$D$2736,$F1145))</f>
        <v/>
      </c>
      <c r="H1145" s="12" t="str">
        <f aca="false">IF(INDEX(選手一覧!$E$5:$E$2736,$F1145)="","",INDEX(選手一覧!$E$5:$E$2736,$F1145))</f>
        <v/>
      </c>
      <c r="I1145" s="11" t="str">
        <f aca="false">IF(INDEX(選手一覧!$H$5:$H$2736,$F1145)="","",INDEX(選手一覧!$H$5:$H$2736,$F1145))</f>
        <v/>
      </c>
      <c r="J1145" s="12" t="str">
        <f aca="false">IF(INDEX(選手一覧!$I$5:$I$2736,$F1145)="","",INDEX(選手一覧!$I$5:$I$2736,$F1145))</f>
        <v/>
      </c>
    </row>
    <row r="1146" customFormat="false" ht="15" hidden="false" customHeight="false" outlineLevel="0" collapsed="false">
      <c r="A1146" s="12" t="n">
        <v>1143</v>
      </c>
      <c r="B1146" s="8" t="s">
        <v>3690</v>
      </c>
      <c r="C1146" s="8" t="s">
        <v>3691</v>
      </c>
      <c r="D1146" s="11" t="n">
        <v>0.00782314814814815</v>
      </c>
      <c r="E1146" s="39" t="n">
        <f aca="false">ROUND((D1146-$D$5)*86400,2)</f>
        <v>136.9</v>
      </c>
      <c r="F1146" s="12" t="n">
        <v>2400</v>
      </c>
      <c r="G1146" s="11" t="str">
        <f aca="false">IF(INDEX(選手一覧!$D$5:$D$2736,$F1146)="","",INDEX(選手一覧!$D$5:$D$2736,$F1146))</f>
        <v/>
      </c>
      <c r="H1146" s="12" t="str">
        <f aca="false">IF(INDEX(選手一覧!$E$5:$E$2736,$F1146)="","",INDEX(選手一覧!$E$5:$E$2736,$F1146))</f>
        <v/>
      </c>
      <c r="I1146" s="11" t="str">
        <f aca="false">IF(INDEX(選手一覧!$H$5:$H$2736,$F1146)="","",INDEX(選手一覧!$H$5:$H$2736,$F1146))</f>
        <v/>
      </c>
      <c r="J1146" s="12" t="str">
        <f aca="false">IF(INDEX(選手一覧!$I$5:$I$2736,$F1146)="","",INDEX(選手一覧!$I$5:$I$2736,$F1146))</f>
        <v/>
      </c>
    </row>
    <row r="1147" customFormat="false" ht="15" hidden="false" customHeight="false" outlineLevel="0" collapsed="false">
      <c r="A1147" s="12" t="n">
        <v>1144</v>
      </c>
      <c r="B1147" s="8" t="s">
        <v>3692</v>
      </c>
      <c r="C1147" s="8" t="s">
        <v>2984</v>
      </c>
      <c r="D1147" s="11" t="n">
        <v>0.00782361111111111</v>
      </c>
      <c r="E1147" s="39" t="n">
        <f aca="false">ROUND((D1147-$D$5)*86400,2)</f>
        <v>136.94</v>
      </c>
      <c r="F1147" s="12" t="n">
        <v>2401</v>
      </c>
      <c r="G1147" s="11" t="str">
        <f aca="false">IF(INDEX(選手一覧!$D$5:$D$2736,$F1147)="","",INDEX(選手一覧!$D$5:$D$2736,$F1147))</f>
        <v/>
      </c>
      <c r="H1147" s="12" t="str">
        <f aca="false">IF(INDEX(選手一覧!$E$5:$E$2736,$F1147)="","",INDEX(選手一覧!$E$5:$E$2736,$F1147))</f>
        <v/>
      </c>
      <c r="I1147" s="11" t="str">
        <f aca="false">IF(INDEX(選手一覧!$H$5:$H$2736,$F1147)="","",INDEX(選手一覧!$H$5:$H$2736,$F1147))</f>
        <v/>
      </c>
      <c r="J1147" s="12" t="str">
        <f aca="false">IF(INDEX(選手一覧!$I$5:$I$2736,$F1147)="","",INDEX(選手一覧!$I$5:$I$2736,$F1147))</f>
        <v/>
      </c>
    </row>
    <row r="1148" customFormat="false" ht="15" hidden="false" customHeight="false" outlineLevel="0" collapsed="false">
      <c r="A1148" s="12" t="n">
        <v>1145</v>
      </c>
      <c r="B1148" s="8" t="s">
        <v>3693</v>
      </c>
      <c r="C1148" s="8" t="s">
        <v>3694</v>
      </c>
      <c r="D1148" s="11" t="n">
        <v>0.00782465277777778</v>
      </c>
      <c r="E1148" s="39" t="n">
        <f aca="false">ROUND((D1148-$D$5)*86400,2)</f>
        <v>137.03</v>
      </c>
      <c r="F1148" s="12" t="n">
        <v>2402</v>
      </c>
      <c r="G1148" s="11" t="str">
        <f aca="false">IF(INDEX(選手一覧!$D$5:$D$2736,$F1148)="","",INDEX(選手一覧!$D$5:$D$2736,$F1148))</f>
        <v/>
      </c>
      <c r="H1148" s="12" t="str">
        <f aca="false">IF(INDEX(選手一覧!$E$5:$E$2736,$F1148)="","",INDEX(選手一覧!$E$5:$E$2736,$F1148))</f>
        <v/>
      </c>
      <c r="I1148" s="11" t="str">
        <f aca="false">IF(INDEX(選手一覧!$H$5:$H$2736,$F1148)="","",INDEX(選手一覧!$H$5:$H$2736,$F1148))</f>
        <v/>
      </c>
      <c r="J1148" s="12" t="str">
        <f aca="false">IF(INDEX(選手一覧!$I$5:$I$2736,$F1148)="","",INDEX(選手一覧!$I$5:$I$2736,$F1148))</f>
        <v/>
      </c>
    </row>
    <row r="1149" customFormat="false" ht="15" hidden="false" customHeight="false" outlineLevel="0" collapsed="false">
      <c r="A1149" s="12" t="n">
        <v>1146</v>
      </c>
      <c r="B1149" s="8" t="s">
        <v>3695</v>
      </c>
      <c r="C1149" s="8" t="s">
        <v>3696</v>
      </c>
      <c r="D1149" s="11" t="n">
        <v>0.00782708333333333</v>
      </c>
      <c r="E1149" s="39" t="n">
        <f aca="false">ROUND((D1149-$D$5)*86400,2)</f>
        <v>137.24</v>
      </c>
      <c r="F1149" s="12" t="n">
        <v>2403</v>
      </c>
      <c r="G1149" s="11" t="str">
        <f aca="false">IF(INDEX(選手一覧!$D$5:$D$2736,$F1149)="","",INDEX(選手一覧!$D$5:$D$2736,$F1149))</f>
        <v/>
      </c>
      <c r="H1149" s="12" t="str">
        <f aca="false">IF(INDEX(選手一覧!$E$5:$E$2736,$F1149)="","",INDEX(選手一覧!$E$5:$E$2736,$F1149))</f>
        <v/>
      </c>
      <c r="I1149" s="11" t="str">
        <f aca="false">IF(INDEX(選手一覧!$H$5:$H$2736,$F1149)="","",INDEX(選手一覧!$H$5:$H$2736,$F1149))</f>
        <v/>
      </c>
      <c r="J1149" s="12" t="str">
        <f aca="false">IF(INDEX(選手一覧!$I$5:$I$2736,$F1149)="","",INDEX(選手一覧!$I$5:$I$2736,$F1149))</f>
        <v/>
      </c>
    </row>
    <row r="1150" customFormat="false" ht="15" hidden="false" customHeight="false" outlineLevel="0" collapsed="false">
      <c r="A1150" s="12" t="n">
        <v>1147</v>
      </c>
      <c r="B1150" s="8" t="s">
        <v>3697</v>
      </c>
      <c r="C1150" s="8" t="s">
        <v>3698</v>
      </c>
      <c r="D1150" s="11" t="n">
        <v>0.00783923611111111</v>
      </c>
      <c r="E1150" s="39" t="n">
        <f aca="false">ROUND((D1150-$D$5)*86400,2)</f>
        <v>138.29</v>
      </c>
      <c r="F1150" s="12" t="n">
        <v>2404</v>
      </c>
      <c r="G1150" s="11" t="str">
        <f aca="false">IF(INDEX(選手一覧!$D$5:$D$2736,$F1150)="","",INDEX(選手一覧!$D$5:$D$2736,$F1150))</f>
        <v/>
      </c>
      <c r="H1150" s="12" t="str">
        <f aca="false">IF(INDEX(選手一覧!$E$5:$E$2736,$F1150)="","",INDEX(選手一覧!$E$5:$E$2736,$F1150))</f>
        <v/>
      </c>
      <c r="I1150" s="11" t="str">
        <f aca="false">IF(INDEX(選手一覧!$H$5:$H$2736,$F1150)="","",INDEX(選手一覧!$H$5:$H$2736,$F1150))</f>
        <v/>
      </c>
      <c r="J1150" s="12" t="str">
        <f aca="false">IF(INDEX(選手一覧!$I$5:$I$2736,$F1150)="","",INDEX(選手一覧!$I$5:$I$2736,$F1150))</f>
        <v/>
      </c>
    </row>
    <row r="1151" customFormat="false" ht="15" hidden="false" customHeight="false" outlineLevel="0" collapsed="false">
      <c r="A1151" s="12" t="n">
        <v>1148</v>
      </c>
      <c r="B1151" s="8" t="s">
        <v>3699</v>
      </c>
      <c r="C1151" s="8" t="s">
        <v>3700</v>
      </c>
      <c r="D1151" s="11" t="n">
        <v>0.00784537037037037</v>
      </c>
      <c r="E1151" s="39" t="n">
        <f aca="false">ROUND((D1151-$D$5)*86400,2)</f>
        <v>138.82</v>
      </c>
      <c r="F1151" s="12" t="n">
        <v>2405</v>
      </c>
      <c r="G1151" s="11" t="str">
        <f aca="false">IF(INDEX(選手一覧!$D$5:$D$2736,$F1151)="","",INDEX(選手一覧!$D$5:$D$2736,$F1151))</f>
        <v/>
      </c>
      <c r="H1151" s="12" t="str">
        <f aca="false">IF(INDEX(選手一覧!$E$5:$E$2736,$F1151)="","",INDEX(選手一覧!$E$5:$E$2736,$F1151))</f>
        <v/>
      </c>
      <c r="I1151" s="11" t="str">
        <f aca="false">IF(INDEX(選手一覧!$H$5:$H$2736,$F1151)="","",INDEX(選手一覧!$H$5:$H$2736,$F1151))</f>
        <v/>
      </c>
      <c r="J1151" s="12" t="str">
        <f aca="false">IF(INDEX(選手一覧!$I$5:$I$2736,$F1151)="","",INDEX(選手一覧!$I$5:$I$2736,$F1151))</f>
        <v/>
      </c>
    </row>
    <row r="1152" customFormat="false" ht="15" hidden="false" customHeight="false" outlineLevel="0" collapsed="false">
      <c r="A1152" s="12" t="n">
        <v>1149</v>
      </c>
      <c r="B1152" s="8" t="s">
        <v>3702</v>
      </c>
      <c r="C1152" s="8" t="s">
        <v>2246</v>
      </c>
      <c r="D1152" s="11" t="n">
        <v>0.00784780092592593</v>
      </c>
      <c r="E1152" s="39" t="n">
        <f aca="false">ROUND((D1152-$D$5)*86400,2)</f>
        <v>139.03</v>
      </c>
      <c r="F1152" s="12" t="n">
        <v>2407</v>
      </c>
      <c r="G1152" s="11" t="str">
        <f aca="false">IF(INDEX(選手一覧!$D$5:$D$2736,$F1152)="","",INDEX(選手一覧!$D$5:$D$2736,$F1152))</f>
        <v/>
      </c>
      <c r="H1152" s="12" t="str">
        <f aca="false">IF(INDEX(選手一覧!$E$5:$E$2736,$F1152)="","",INDEX(選手一覧!$E$5:$E$2736,$F1152))</f>
        <v/>
      </c>
      <c r="I1152" s="11" t="str">
        <f aca="false">IF(INDEX(選手一覧!$H$5:$H$2736,$F1152)="","",INDEX(選手一覧!$H$5:$H$2736,$F1152))</f>
        <v/>
      </c>
      <c r="J1152" s="12" t="str">
        <f aca="false">IF(INDEX(選手一覧!$I$5:$I$2736,$F1152)="","",INDEX(選手一覧!$I$5:$I$2736,$F1152))</f>
        <v/>
      </c>
    </row>
    <row r="1153" customFormat="false" ht="15" hidden="false" customHeight="false" outlineLevel="0" collapsed="false">
      <c r="A1153" s="12" t="n">
        <v>1150</v>
      </c>
      <c r="B1153" s="8" t="s">
        <v>3704</v>
      </c>
      <c r="C1153" s="8" t="s">
        <v>1339</v>
      </c>
      <c r="D1153" s="11" t="n">
        <v>0.00786180555555556</v>
      </c>
      <c r="E1153" s="39" t="n">
        <f aca="false">ROUND((D1153-$D$5)*86400,2)</f>
        <v>140.24</v>
      </c>
      <c r="F1153" s="12" t="n">
        <v>2408</v>
      </c>
      <c r="G1153" s="11" t="str">
        <f aca="false">IF(INDEX(選手一覧!$D$5:$D$2736,$F1153)="","",INDEX(選手一覧!$D$5:$D$2736,$F1153))</f>
        <v/>
      </c>
      <c r="H1153" s="12" t="str">
        <f aca="false">IF(INDEX(選手一覧!$E$5:$E$2736,$F1153)="","",INDEX(選手一覧!$E$5:$E$2736,$F1153))</f>
        <v/>
      </c>
      <c r="I1153" s="11" t="str">
        <f aca="false">IF(INDEX(選手一覧!$H$5:$H$2736,$F1153)="","",INDEX(選手一覧!$H$5:$H$2736,$F1153))</f>
        <v/>
      </c>
      <c r="J1153" s="12" t="str">
        <f aca="false">IF(INDEX(選手一覧!$I$5:$I$2736,$F1153)="","",INDEX(選手一覧!$I$5:$I$2736,$F1153))</f>
        <v/>
      </c>
    </row>
    <row r="1154" customFormat="false" ht="15" hidden="false" customHeight="false" outlineLevel="0" collapsed="false">
      <c r="A1154" s="12" t="n">
        <v>1151</v>
      </c>
      <c r="B1154" s="8" t="s">
        <v>3707</v>
      </c>
      <c r="C1154" s="8" t="s">
        <v>772</v>
      </c>
      <c r="D1154" s="11" t="n">
        <v>0.00786412037037037</v>
      </c>
      <c r="E1154" s="39" t="n">
        <f aca="false">ROUND((D1154-$D$5)*86400,2)</f>
        <v>140.44</v>
      </c>
      <c r="F1154" s="12" t="n">
        <v>2410</v>
      </c>
      <c r="G1154" s="11" t="str">
        <f aca="false">IF(INDEX(選手一覧!$D$5:$D$2736,$F1154)="","",INDEX(選手一覧!$D$5:$D$2736,$F1154))</f>
        <v/>
      </c>
      <c r="H1154" s="12" t="str">
        <f aca="false">IF(INDEX(選手一覧!$E$5:$E$2736,$F1154)="","",INDEX(選手一覧!$E$5:$E$2736,$F1154))</f>
        <v/>
      </c>
      <c r="I1154" s="11" t="str">
        <f aca="false">IF(INDEX(選手一覧!$H$5:$H$2736,$F1154)="","",INDEX(選手一覧!$H$5:$H$2736,$F1154))</f>
        <v/>
      </c>
      <c r="J1154" s="12" t="str">
        <f aca="false">IF(INDEX(選手一覧!$I$5:$I$2736,$F1154)="","",INDEX(選手一覧!$I$5:$I$2736,$F1154))</f>
        <v/>
      </c>
    </row>
    <row r="1155" customFormat="false" ht="15" hidden="false" customHeight="false" outlineLevel="0" collapsed="false">
      <c r="A1155" s="12" t="n">
        <v>1152</v>
      </c>
      <c r="B1155" s="8" t="s">
        <v>3709</v>
      </c>
      <c r="C1155" s="8" t="s">
        <v>479</v>
      </c>
      <c r="D1155" s="11" t="n">
        <v>0.00786550925925926</v>
      </c>
      <c r="E1155" s="39" t="n">
        <f aca="false">ROUND((D1155-$D$5)*86400,2)</f>
        <v>140.56</v>
      </c>
      <c r="F1155" s="12" t="n">
        <v>2412</v>
      </c>
      <c r="G1155" s="11" t="str">
        <f aca="false">IF(INDEX(選手一覧!$D$5:$D$2736,$F1155)="","",INDEX(選手一覧!$D$5:$D$2736,$F1155))</f>
        <v/>
      </c>
      <c r="H1155" s="12" t="str">
        <f aca="false">IF(INDEX(選手一覧!$E$5:$E$2736,$F1155)="","",INDEX(選手一覧!$E$5:$E$2736,$F1155))</f>
        <v/>
      </c>
      <c r="I1155" s="11" t="str">
        <f aca="false">IF(INDEX(選手一覧!$H$5:$H$2736,$F1155)="","",INDEX(選手一覧!$H$5:$H$2736,$F1155))</f>
        <v/>
      </c>
      <c r="J1155" s="12" t="str">
        <f aca="false">IF(INDEX(選手一覧!$I$5:$I$2736,$F1155)="","",INDEX(選手一覧!$I$5:$I$2736,$F1155))</f>
        <v/>
      </c>
    </row>
    <row r="1156" customFormat="false" ht="15" hidden="false" customHeight="false" outlineLevel="0" collapsed="false">
      <c r="A1156" s="12" t="n">
        <v>1153</v>
      </c>
      <c r="B1156" s="8" t="s">
        <v>3710</v>
      </c>
      <c r="C1156" s="8" t="s">
        <v>3711</v>
      </c>
      <c r="D1156" s="11" t="n">
        <v>0.00787210648148148</v>
      </c>
      <c r="E1156" s="39" t="n">
        <f aca="false">ROUND((D1156-$D$5)*86400,2)</f>
        <v>141.13</v>
      </c>
      <c r="F1156" s="12" t="n">
        <v>2413</v>
      </c>
      <c r="G1156" s="11" t="str">
        <f aca="false">IF(INDEX(選手一覧!$D$5:$D$2736,$F1156)="","",INDEX(選手一覧!$D$5:$D$2736,$F1156))</f>
        <v/>
      </c>
      <c r="H1156" s="12" t="str">
        <f aca="false">IF(INDEX(選手一覧!$E$5:$E$2736,$F1156)="","",INDEX(選手一覧!$E$5:$E$2736,$F1156))</f>
        <v/>
      </c>
      <c r="I1156" s="11" t="str">
        <f aca="false">IF(INDEX(選手一覧!$H$5:$H$2736,$F1156)="","",INDEX(選手一覧!$H$5:$H$2736,$F1156))</f>
        <v/>
      </c>
      <c r="J1156" s="12" t="str">
        <f aca="false">IF(INDEX(選手一覧!$I$5:$I$2736,$F1156)="","",INDEX(選手一覧!$I$5:$I$2736,$F1156))</f>
        <v/>
      </c>
    </row>
    <row r="1157" customFormat="false" ht="15" hidden="false" customHeight="false" outlineLevel="0" collapsed="false">
      <c r="A1157" s="12" t="n">
        <v>1154</v>
      </c>
      <c r="B1157" s="8" t="s">
        <v>3712</v>
      </c>
      <c r="C1157" s="8" t="s">
        <v>3713</v>
      </c>
      <c r="D1157" s="11" t="n">
        <v>0.00787372685185185</v>
      </c>
      <c r="E1157" s="39" t="n">
        <f aca="false">ROUND((D1157-$D$5)*86400,2)</f>
        <v>141.27</v>
      </c>
      <c r="F1157" s="12" t="n">
        <v>2414</v>
      </c>
      <c r="G1157" s="11" t="str">
        <f aca="false">IF(INDEX(選手一覧!$D$5:$D$2736,$F1157)="","",INDEX(選手一覧!$D$5:$D$2736,$F1157))</f>
        <v/>
      </c>
      <c r="H1157" s="12" t="str">
        <f aca="false">IF(INDEX(選手一覧!$E$5:$E$2736,$F1157)="","",INDEX(選手一覧!$E$5:$E$2736,$F1157))</f>
        <v/>
      </c>
      <c r="I1157" s="11" t="str">
        <f aca="false">IF(INDEX(選手一覧!$H$5:$H$2736,$F1157)="","",INDEX(選手一覧!$H$5:$H$2736,$F1157))</f>
        <v/>
      </c>
      <c r="J1157" s="12" t="str">
        <f aca="false">IF(INDEX(選手一覧!$I$5:$I$2736,$F1157)="","",INDEX(選手一覧!$I$5:$I$2736,$F1157))</f>
        <v/>
      </c>
    </row>
    <row r="1158" customFormat="false" ht="15" hidden="false" customHeight="false" outlineLevel="0" collapsed="false">
      <c r="A1158" s="12" t="n">
        <v>1155</v>
      </c>
      <c r="B1158" s="8" t="s">
        <v>3715</v>
      </c>
      <c r="C1158" s="8" t="s">
        <v>3700</v>
      </c>
      <c r="D1158" s="11" t="n">
        <v>0.00787581018518519</v>
      </c>
      <c r="E1158" s="39" t="n">
        <f aca="false">ROUND((D1158-$D$5)*86400,2)</f>
        <v>141.45</v>
      </c>
      <c r="F1158" s="12" t="n">
        <v>2416</v>
      </c>
      <c r="G1158" s="11" t="str">
        <f aca="false">IF(INDEX(選手一覧!$D$5:$D$2736,$F1158)="","",INDEX(選手一覧!$D$5:$D$2736,$F1158))</f>
        <v/>
      </c>
      <c r="H1158" s="12" t="str">
        <f aca="false">IF(INDEX(選手一覧!$E$5:$E$2736,$F1158)="","",INDEX(選手一覧!$E$5:$E$2736,$F1158))</f>
        <v/>
      </c>
      <c r="I1158" s="11" t="str">
        <f aca="false">IF(INDEX(選手一覧!$H$5:$H$2736,$F1158)="","",INDEX(選手一覧!$H$5:$H$2736,$F1158))</f>
        <v/>
      </c>
      <c r="J1158" s="12" t="str">
        <f aca="false">IF(INDEX(選手一覧!$I$5:$I$2736,$F1158)="","",INDEX(選手一覧!$I$5:$I$2736,$F1158))</f>
        <v/>
      </c>
    </row>
    <row r="1159" customFormat="false" ht="15" hidden="false" customHeight="false" outlineLevel="0" collapsed="false">
      <c r="A1159" s="12" t="n">
        <v>1156</v>
      </c>
      <c r="B1159" s="8" t="s">
        <v>3716</v>
      </c>
      <c r="C1159" s="8" t="s">
        <v>3717</v>
      </c>
      <c r="D1159" s="11" t="n">
        <v>0.00787800925925926</v>
      </c>
      <c r="E1159" s="39" t="n">
        <f aca="false">ROUND((D1159-$D$5)*86400,2)</f>
        <v>141.64</v>
      </c>
      <c r="F1159" s="12" t="n">
        <v>2417</v>
      </c>
      <c r="G1159" s="11" t="str">
        <f aca="false">IF(INDEX(選手一覧!$D$5:$D$2736,$F1159)="","",INDEX(選手一覧!$D$5:$D$2736,$F1159))</f>
        <v/>
      </c>
      <c r="H1159" s="12" t="str">
        <f aca="false">IF(INDEX(選手一覧!$E$5:$E$2736,$F1159)="","",INDEX(選手一覧!$E$5:$E$2736,$F1159))</f>
        <v/>
      </c>
      <c r="I1159" s="11" t="str">
        <f aca="false">IF(INDEX(選手一覧!$H$5:$H$2736,$F1159)="","",INDEX(選手一覧!$H$5:$H$2736,$F1159))</f>
        <v/>
      </c>
      <c r="J1159" s="12" t="str">
        <f aca="false">IF(INDEX(選手一覧!$I$5:$I$2736,$F1159)="","",INDEX(選手一覧!$I$5:$I$2736,$F1159))</f>
        <v/>
      </c>
    </row>
    <row r="1160" customFormat="false" ht="15" hidden="false" customHeight="false" outlineLevel="0" collapsed="false">
      <c r="A1160" s="12" t="n">
        <v>1157</v>
      </c>
      <c r="B1160" s="8" t="s">
        <v>3718</v>
      </c>
      <c r="C1160" s="8" t="s">
        <v>802</v>
      </c>
      <c r="D1160" s="11" t="n">
        <v>0.0078787037037037</v>
      </c>
      <c r="E1160" s="39" t="n">
        <f aca="false">ROUND((D1160-$D$5)*86400,2)</f>
        <v>141.7</v>
      </c>
      <c r="F1160" s="12" t="n">
        <v>2418</v>
      </c>
      <c r="G1160" s="11" t="str">
        <f aca="false">IF(INDEX(選手一覧!$D$5:$D$2736,$F1160)="","",INDEX(選手一覧!$D$5:$D$2736,$F1160))</f>
        <v/>
      </c>
      <c r="H1160" s="12" t="str">
        <f aca="false">IF(INDEX(選手一覧!$E$5:$E$2736,$F1160)="","",INDEX(選手一覧!$E$5:$E$2736,$F1160))</f>
        <v/>
      </c>
      <c r="I1160" s="11" t="str">
        <f aca="false">IF(INDEX(選手一覧!$H$5:$H$2736,$F1160)="","",INDEX(選手一覧!$H$5:$H$2736,$F1160))</f>
        <v/>
      </c>
      <c r="J1160" s="12" t="str">
        <f aca="false">IF(INDEX(選手一覧!$I$5:$I$2736,$F1160)="","",INDEX(選手一覧!$I$5:$I$2736,$F1160))</f>
        <v/>
      </c>
    </row>
    <row r="1161" customFormat="false" ht="15" hidden="false" customHeight="false" outlineLevel="0" collapsed="false">
      <c r="A1161" s="12" t="n">
        <v>1158</v>
      </c>
      <c r="B1161" s="8" t="s">
        <v>3721</v>
      </c>
      <c r="C1161" s="8" t="s">
        <v>3722</v>
      </c>
      <c r="D1161" s="11" t="n">
        <v>0.00788101851851852</v>
      </c>
      <c r="E1161" s="39" t="n">
        <f aca="false">ROUND((D1161-$D$5)*86400,2)</f>
        <v>141.9</v>
      </c>
      <c r="F1161" s="12" t="n">
        <v>2420</v>
      </c>
      <c r="G1161" s="11" t="str">
        <f aca="false">IF(INDEX(選手一覧!$D$5:$D$2736,$F1161)="","",INDEX(選手一覧!$D$5:$D$2736,$F1161))</f>
        <v/>
      </c>
      <c r="H1161" s="12" t="str">
        <f aca="false">IF(INDEX(選手一覧!$E$5:$E$2736,$F1161)="","",INDEX(選手一覧!$E$5:$E$2736,$F1161))</f>
        <v/>
      </c>
      <c r="I1161" s="11" t="str">
        <f aca="false">IF(INDEX(選手一覧!$H$5:$H$2736,$F1161)="","",INDEX(選手一覧!$H$5:$H$2736,$F1161))</f>
        <v/>
      </c>
      <c r="J1161" s="12" t="str">
        <f aca="false">IF(INDEX(選手一覧!$I$5:$I$2736,$F1161)="","",INDEX(選手一覧!$I$5:$I$2736,$F1161))</f>
        <v/>
      </c>
    </row>
    <row r="1162" customFormat="false" ht="15" hidden="false" customHeight="false" outlineLevel="0" collapsed="false">
      <c r="A1162" s="12" t="n">
        <v>1159</v>
      </c>
      <c r="B1162" s="8" t="s">
        <v>3723</v>
      </c>
      <c r="C1162" s="8" t="s">
        <v>481</v>
      </c>
      <c r="D1162" s="11" t="n">
        <v>0.00788472222222222</v>
      </c>
      <c r="E1162" s="39" t="n">
        <f aca="false">ROUND((D1162-$D$5)*86400,2)</f>
        <v>142.22</v>
      </c>
      <c r="F1162" s="12" t="n">
        <v>2421</v>
      </c>
      <c r="G1162" s="11" t="str">
        <f aca="false">IF(INDEX(選手一覧!$D$5:$D$2736,$F1162)="","",INDEX(選手一覧!$D$5:$D$2736,$F1162))</f>
        <v/>
      </c>
      <c r="H1162" s="12" t="str">
        <f aca="false">IF(INDEX(選手一覧!$E$5:$E$2736,$F1162)="","",INDEX(選手一覧!$E$5:$E$2736,$F1162))</f>
        <v/>
      </c>
      <c r="I1162" s="11" t="str">
        <f aca="false">IF(INDEX(選手一覧!$H$5:$H$2736,$F1162)="","",INDEX(選手一覧!$H$5:$H$2736,$F1162))</f>
        <v/>
      </c>
      <c r="J1162" s="12" t="str">
        <f aca="false">IF(INDEX(選手一覧!$I$5:$I$2736,$F1162)="","",INDEX(選手一覧!$I$5:$I$2736,$F1162))</f>
        <v/>
      </c>
    </row>
    <row r="1163" customFormat="false" ht="15" hidden="false" customHeight="false" outlineLevel="0" collapsed="false">
      <c r="A1163" s="12" t="n">
        <v>1160</v>
      </c>
      <c r="B1163" s="8" t="s">
        <v>3726</v>
      </c>
      <c r="C1163" s="8" t="s">
        <v>1531</v>
      </c>
      <c r="D1163" s="11" t="n">
        <v>0.00788622685185185</v>
      </c>
      <c r="E1163" s="39" t="n">
        <f aca="false">ROUND((D1163-$D$5)*86400,2)</f>
        <v>142.35</v>
      </c>
      <c r="F1163" s="12" t="n">
        <v>2423</v>
      </c>
      <c r="G1163" s="11" t="str">
        <f aca="false">IF(INDEX(選手一覧!$D$5:$D$2736,$F1163)="","",INDEX(選手一覧!$D$5:$D$2736,$F1163))</f>
        <v/>
      </c>
      <c r="H1163" s="12" t="str">
        <f aca="false">IF(INDEX(選手一覧!$E$5:$E$2736,$F1163)="","",INDEX(選手一覧!$E$5:$E$2736,$F1163))</f>
        <v/>
      </c>
      <c r="I1163" s="11" t="str">
        <f aca="false">IF(INDEX(選手一覧!$H$5:$H$2736,$F1163)="","",INDEX(選手一覧!$H$5:$H$2736,$F1163))</f>
        <v/>
      </c>
      <c r="J1163" s="12" t="str">
        <f aca="false">IF(INDEX(選手一覧!$I$5:$I$2736,$F1163)="","",INDEX(選手一覧!$I$5:$I$2736,$F1163))</f>
        <v/>
      </c>
    </row>
    <row r="1164" customFormat="false" ht="15" hidden="false" customHeight="false" outlineLevel="0" collapsed="false">
      <c r="A1164" s="12" t="n">
        <v>1161</v>
      </c>
      <c r="B1164" s="8" t="s">
        <v>3729</v>
      </c>
      <c r="C1164" s="8" t="s">
        <v>2141</v>
      </c>
      <c r="D1164" s="11" t="n">
        <v>0.00788865740740741</v>
      </c>
      <c r="E1164" s="39" t="n">
        <f aca="false">ROUND((D1164-$D$5)*86400,2)</f>
        <v>142.56</v>
      </c>
      <c r="F1164" s="12" t="n">
        <v>2425</v>
      </c>
      <c r="G1164" s="11" t="str">
        <f aca="false">IF(INDEX(選手一覧!$D$5:$D$2736,$F1164)="","",INDEX(選手一覧!$D$5:$D$2736,$F1164))</f>
        <v/>
      </c>
      <c r="H1164" s="12" t="str">
        <f aca="false">IF(INDEX(選手一覧!$E$5:$E$2736,$F1164)="","",INDEX(選手一覧!$E$5:$E$2736,$F1164))</f>
        <v/>
      </c>
      <c r="I1164" s="11" t="str">
        <f aca="false">IF(INDEX(選手一覧!$H$5:$H$2736,$F1164)="","",INDEX(選手一覧!$H$5:$H$2736,$F1164))</f>
        <v/>
      </c>
      <c r="J1164" s="12" t="str">
        <f aca="false">IF(INDEX(選手一覧!$I$5:$I$2736,$F1164)="","",INDEX(選手一覧!$I$5:$I$2736,$F1164))</f>
        <v/>
      </c>
    </row>
    <row r="1165" customFormat="false" ht="15" hidden="false" customHeight="false" outlineLevel="0" collapsed="false">
      <c r="A1165" s="12" t="n">
        <v>1162</v>
      </c>
      <c r="B1165" s="8" t="s">
        <v>1930</v>
      </c>
      <c r="C1165" s="8" t="s">
        <v>1931</v>
      </c>
      <c r="D1165" s="11" t="n">
        <v>0.007896875</v>
      </c>
      <c r="E1165" s="39" t="n">
        <f aca="false">ROUND((D1165-$D$5)*86400,2)</f>
        <v>143.27</v>
      </c>
      <c r="F1165" s="12" t="n">
        <v>1211</v>
      </c>
      <c r="G1165" s="11" t="n">
        <f aca="false">IF(INDEX(選手一覧!$D$5:$D$2736,$F1165)="","",INDEX(選手一覧!$D$5:$D$2736,$F1165))</f>
        <v>0.0110578703703704</v>
      </c>
      <c r="H1165" s="12" t="n">
        <f aca="false">IF(INDEX(選手一覧!$E$5:$E$2736,$F1165)="","",INDEX(選手一覧!$E$5:$E$2736,$F1165))</f>
        <v>1212</v>
      </c>
      <c r="I1165" s="11" t="str">
        <f aca="false">IF(INDEX(選手一覧!$H$5:$H$2736,$F1165)="","",INDEX(選手一覧!$H$5:$H$2736,$F1165))</f>
        <v/>
      </c>
      <c r="J1165" s="12" t="str">
        <f aca="false">IF(INDEX(選手一覧!$I$5:$I$2736,$F1165)="","",INDEX(選手一覧!$I$5:$I$2736,$F1165))</f>
        <v/>
      </c>
    </row>
    <row r="1166" customFormat="false" ht="15" hidden="false" customHeight="false" outlineLevel="0" collapsed="false">
      <c r="A1166" s="12" t="n">
        <v>1163</v>
      </c>
      <c r="B1166" s="8" t="s">
        <v>3732</v>
      </c>
      <c r="C1166" s="8" t="s">
        <v>3664</v>
      </c>
      <c r="D1166" s="11" t="n">
        <v>0.00789837962962963</v>
      </c>
      <c r="E1166" s="39" t="n">
        <f aca="false">ROUND((D1166-$D$5)*86400,2)</f>
        <v>143.4</v>
      </c>
      <c r="F1166" s="12" t="n">
        <v>2427</v>
      </c>
      <c r="G1166" s="11" t="str">
        <f aca="false">IF(INDEX(選手一覧!$D$5:$D$2736,$F1166)="","",INDEX(選手一覧!$D$5:$D$2736,$F1166))</f>
        <v/>
      </c>
      <c r="H1166" s="12" t="str">
        <f aca="false">IF(INDEX(選手一覧!$E$5:$E$2736,$F1166)="","",INDEX(選手一覧!$E$5:$E$2736,$F1166))</f>
        <v/>
      </c>
      <c r="I1166" s="11" t="str">
        <f aca="false">IF(INDEX(選手一覧!$H$5:$H$2736,$F1166)="","",INDEX(選手一覧!$H$5:$H$2736,$F1166))</f>
        <v/>
      </c>
      <c r="J1166" s="12" t="str">
        <f aca="false">IF(INDEX(選手一覧!$I$5:$I$2736,$F1166)="","",INDEX(選手一覧!$I$5:$I$2736,$F1166))</f>
        <v/>
      </c>
    </row>
    <row r="1167" customFormat="false" ht="15" hidden="false" customHeight="false" outlineLevel="0" collapsed="false">
      <c r="A1167" s="12" t="n">
        <v>1164</v>
      </c>
      <c r="B1167" s="8" t="s">
        <v>3735</v>
      </c>
      <c r="C1167" s="8" t="s">
        <v>1262</v>
      </c>
      <c r="D1167" s="11" t="n">
        <v>0.00790162037037037</v>
      </c>
      <c r="E1167" s="39" t="n">
        <f aca="false">ROUND((D1167-$D$5)*86400,2)</f>
        <v>143.68</v>
      </c>
      <c r="F1167" s="12" t="n">
        <v>2429</v>
      </c>
      <c r="G1167" s="11" t="str">
        <f aca="false">IF(INDEX(選手一覧!$D$5:$D$2736,$F1167)="","",INDEX(選手一覧!$D$5:$D$2736,$F1167))</f>
        <v/>
      </c>
      <c r="H1167" s="12" t="str">
        <f aca="false">IF(INDEX(選手一覧!$E$5:$E$2736,$F1167)="","",INDEX(選手一覧!$E$5:$E$2736,$F1167))</f>
        <v/>
      </c>
      <c r="I1167" s="11" t="str">
        <f aca="false">IF(INDEX(選手一覧!$H$5:$H$2736,$F1167)="","",INDEX(選手一覧!$H$5:$H$2736,$F1167))</f>
        <v/>
      </c>
      <c r="J1167" s="12" t="str">
        <f aca="false">IF(INDEX(選手一覧!$I$5:$I$2736,$F1167)="","",INDEX(選手一覧!$I$5:$I$2736,$F1167))</f>
        <v/>
      </c>
    </row>
    <row r="1168" customFormat="false" ht="15" hidden="false" customHeight="false" outlineLevel="0" collapsed="false">
      <c r="A1168" s="12" t="n">
        <v>1165</v>
      </c>
      <c r="B1168" s="8" t="s">
        <v>3737</v>
      </c>
      <c r="C1168" s="8" t="s">
        <v>1921</v>
      </c>
      <c r="D1168" s="11" t="n">
        <v>0.007903125</v>
      </c>
      <c r="E1168" s="39" t="n">
        <f aca="false">ROUND((D1168-$D$5)*86400,2)</f>
        <v>143.81</v>
      </c>
      <c r="F1168" s="12" t="n">
        <v>2431</v>
      </c>
      <c r="G1168" s="11" t="str">
        <f aca="false">IF(INDEX(選手一覧!$D$5:$D$2736,$F1168)="","",INDEX(選手一覧!$D$5:$D$2736,$F1168))</f>
        <v/>
      </c>
      <c r="H1168" s="12" t="str">
        <f aca="false">IF(INDEX(選手一覧!$E$5:$E$2736,$F1168)="","",INDEX(選手一覧!$E$5:$E$2736,$F1168))</f>
        <v/>
      </c>
      <c r="I1168" s="11" t="str">
        <f aca="false">IF(INDEX(選手一覧!$H$5:$H$2736,$F1168)="","",INDEX(選手一覧!$H$5:$H$2736,$F1168))</f>
        <v/>
      </c>
      <c r="J1168" s="12" t="str">
        <f aca="false">IF(INDEX(選手一覧!$I$5:$I$2736,$F1168)="","",INDEX(選手一覧!$I$5:$I$2736,$F1168))</f>
        <v/>
      </c>
    </row>
    <row r="1169" customFormat="false" ht="15" hidden="false" customHeight="false" outlineLevel="0" collapsed="false">
      <c r="A1169" s="12" t="n">
        <v>1166</v>
      </c>
      <c r="B1169" s="8" t="s">
        <v>3740</v>
      </c>
      <c r="C1169" s="8" t="s">
        <v>1205</v>
      </c>
      <c r="D1169" s="11" t="n">
        <v>0.00790949074074074</v>
      </c>
      <c r="E1169" s="39" t="n">
        <f aca="false">ROUND((D1169-$D$5)*86400,2)</f>
        <v>144.36</v>
      </c>
      <c r="F1169" s="12" t="n">
        <v>2433</v>
      </c>
      <c r="G1169" s="11" t="str">
        <f aca="false">IF(INDEX(選手一覧!$D$5:$D$2736,$F1169)="","",INDEX(選手一覧!$D$5:$D$2736,$F1169))</f>
        <v/>
      </c>
      <c r="H1169" s="12" t="str">
        <f aca="false">IF(INDEX(選手一覧!$E$5:$E$2736,$F1169)="","",INDEX(選手一覧!$E$5:$E$2736,$F1169))</f>
        <v/>
      </c>
      <c r="I1169" s="11" t="str">
        <f aca="false">IF(INDEX(選手一覧!$H$5:$H$2736,$F1169)="","",INDEX(選手一覧!$H$5:$H$2736,$F1169))</f>
        <v/>
      </c>
      <c r="J1169" s="12" t="str">
        <f aca="false">IF(INDEX(選手一覧!$I$5:$I$2736,$F1169)="","",INDEX(選手一覧!$I$5:$I$2736,$F1169))</f>
        <v/>
      </c>
    </row>
    <row r="1170" customFormat="false" ht="15" hidden="false" customHeight="false" outlineLevel="0" collapsed="false">
      <c r="A1170" s="12" t="n">
        <v>1167</v>
      </c>
      <c r="B1170" s="8" t="s">
        <v>3741</v>
      </c>
      <c r="C1170" s="8" t="s">
        <v>3742</v>
      </c>
      <c r="D1170" s="11" t="n">
        <v>0.00791446759259259</v>
      </c>
      <c r="E1170" s="39" t="n">
        <f aca="false">ROUND((D1170-$D$5)*86400,2)</f>
        <v>144.79</v>
      </c>
      <c r="F1170" s="12" t="n">
        <v>2434</v>
      </c>
      <c r="G1170" s="11" t="str">
        <f aca="false">IF(INDEX(選手一覧!$D$5:$D$2736,$F1170)="","",INDEX(選手一覧!$D$5:$D$2736,$F1170))</f>
        <v/>
      </c>
      <c r="H1170" s="12" t="str">
        <f aca="false">IF(INDEX(選手一覧!$E$5:$E$2736,$F1170)="","",INDEX(選手一覧!$E$5:$E$2736,$F1170))</f>
        <v/>
      </c>
      <c r="I1170" s="11" t="str">
        <f aca="false">IF(INDEX(選手一覧!$H$5:$H$2736,$F1170)="","",INDEX(選手一覧!$H$5:$H$2736,$F1170))</f>
        <v/>
      </c>
      <c r="J1170" s="12" t="str">
        <f aca="false">IF(INDEX(選手一覧!$I$5:$I$2736,$F1170)="","",INDEX(選手一覧!$I$5:$I$2736,$F1170))</f>
        <v/>
      </c>
    </row>
    <row r="1171" customFormat="false" ht="15" hidden="false" customHeight="false" outlineLevel="0" collapsed="false">
      <c r="A1171" s="12" t="n">
        <v>1168</v>
      </c>
      <c r="B1171" s="8" t="s">
        <v>3745</v>
      </c>
      <c r="C1171" s="8" t="s">
        <v>3746</v>
      </c>
      <c r="D1171" s="11" t="n">
        <v>0.0079193287037037</v>
      </c>
      <c r="E1171" s="39" t="n">
        <f aca="false">ROUND((D1171-$D$5)*86400,2)</f>
        <v>145.21</v>
      </c>
      <c r="F1171" s="12" t="n">
        <v>2436</v>
      </c>
      <c r="G1171" s="11" t="str">
        <f aca="false">IF(INDEX(選手一覧!$D$5:$D$2736,$F1171)="","",INDEX(選手一覧!$D$5:$D$2736,$F1171))</f>
        <v/>
      </c>
      <c r="H1171" s="12" t="str">
        <f aca="false">IF(INDEX(選手一覧!$E$5:$E$2736,$F1171)="","",INDEX(選手一覧!$E$5:$E$2736,$F1171))</f>
        <v/>
      </c>
      <c r="I1171" s="11" t="str">
        <f aca="false">IF(INDEX(選手一覧!$H$5:$H$2736,$F1171)="","",INDEX(選手一覧!$H$5:$H$2736,$F1171))</f>
        <v/>
      </c>
      <c r="J1171" s="12" t="str">
        <f aca="false">IF(INDEX(選手一覧!$I$5:$I$2736,$F1171)="","",INDEX(選手一覧!$I$5:$I$2736,$F1171))</f>
        <v/>
      </c>
    </row>
    <row r="1172" customFormat="false" ht="15" hidden="false" customHeight="false" outlineLevel="0" collapsed="false">
      <c r="A1172" s="12" t="n">
        <v>1169</v>
      </c>
      <c r="B1172" s="8" t="s">
        <v>3747</v>
      </c>
      <c r="C1172" s="8" t="s">
        <v>3748</v>
      </c>
      <c r="D1172" s="11" t="n">
        <v>0.00792094907407407</v>
      </c>
      <c r="E1172" s="39" t="n">
        <f aca="false">ROUND((D1172-$D$5)*86400,2)</f>
        <v>145.35</v>
      </c>
      <c r="F1172" s="12" t="n">
        <v>2437</v>
      </c>
      <c r="G1172" s="11" t="str">
        <f aca="false">IF(INDEX(選手一覧!$D$5:$D$2736,$F1172)="","",INDEX(選手一覧!$D$5:$D$2736,$F1172))</f>
        <v/>
      </c>
      <c r="H1172" s="12" t="str">
        <f aca="false">IF(INDEX(選手一覧!$E$5:$E$2736,$F1172)="","",INDEX(選手一覧!$E$5:$E$2736,$F1172))</f>
        <v/>
      </c>
      <c r="I1172" s="11" t="str">
        <f aca="false">IF(INDEX(選手一覧!$H$5:$H$2736,$F1172)="","",INDEX(選手一覧!$H$5:$H$2736,$F1172))</f>
        <v/>
      </c>
      <c r="J1172" s="12" t="str">
        <f aca="false">IF(INDEX(選手一覧!$I$5:$I$2736,$F1172)="","",INDEX(選手一覧!$I$5:$I$2736,$F1172))</f>
        <v/>
      </c>
    </row>
    <row r="1173" customFormat="false" ht="15" hidden="false" customHeight="false" outlineLevel="0" collapsed="false">
      <c r="A1173" s="12" t="n">
        <v>1170</v>
      </c>
      <c r="B1173" s="8" t="s">
        <v>3750</v>
      </c>
      <c r="C1173" s="8" t="s">
        <v>2516</v>
      </c>
      <c r="D1173" s="11" t="n">
        <v>0.00792314814814815</v>
      </c>
      <c r="E1173" s="39" t="n">
        <f aca="false">ROUND((D1173-$D$5)*86400,2)</f>
        <v>145.54</v>
      </c>
      <c r="F1173" s="12" t="n">
        <v>2439</v>
      </c>
      <c r="G1173" s="11" t="str">
        <f aca="false">IF(INDEX(選手一覧!$D$5:$D$2736,$F1173)="","",INDEX(選手一覧!$D$5:$D$2736,$F1173))</f>
        <v/>
      </c>
      <c r="H1173" s="12" t="str">
        <f aca="false">IF(INDEX(選手一覧!$E$5:$E$2736,$F1173)="","",INDEX(選手一覧!$E$5:$E$2736,$F1173))</f>
        <v/>
      </c>
      <c r="I1173" s="11" t="str">
        <f aca="false">IF(INDEX(選手一覧!$H$5:$H$2736,$F1173)="","",INDEX(選手一覧!$H$5:$H$2736,$F1173))</f>
        <v/>
      </c>
      <c r="J1173" s="12" t="str">
        <f aca="false">IF(INDEX(選手一覧!$I$5:$I$2736,$F1173)="","",INDEX(選手一覧!$I$5:$I$2736,$F1173))</f>
        <v/>
      </c>
    </row>
    <row r="1174" customFormat="false" ht="15" hidden="false" customHeight="false" outlineLevel="0" collapsed="false">
      <c r="A1174" s="12" t="n">
        <v>1171</v>
      </c>
      <c r="B1174" s="8" t="s">
        <v>3751</v>
      </c>
      <c r="C1174" s="8" t="s">
        <v>3752</v>
      </c>
      <c r="D1174" s="11" t="n">
        <v>0.00792511574074074</v>
      </c>
      <c r="E1174" s="39" t="n">
        <f aca="false">ROUND((D1174-$D$5)*86400,2)</f>
        <v>145.71</v>
      </c>
      <c r="F1174" s="12" t="n">
        <v>2440</v>
      </c>
      <c r="G1174" s="11" t="str">
        <f aca="false">IF(INDEX(選手一覧!$D$5:$D$2736,$F1174)="","",INDEX(選手一覧!$D$5:$D$2736,$F1174))</f>
        <v/>
      </c>
      <c r="H1174" s="12" t="str">
        <f aca="false">IF(INDEX(選手一覧!$E$5:$E$2736,$F1174)="","",INDEX(選手一覧!$E$5:$E$2736,$F1174))</f>
        <v/>
      </c>
      <c r="I1174" s="11" t="str">
        <f aca="false">IF(INDEX(選手一覧!$H$5:$H$2736,$F1174)="","",INDEX(選手一覧!$H$5:$H$2736,$F1174))</f>
        <v/>
      </c>
      <c r="J1174" s="12" t="str">
        <f aca="false">IF(INDEX(選手一覧!$I$5:$I$2736,$F1174)="","",INDEX(選手一覧!$I$5:$I$2736,$F1174))</f>
        <v/>
      </c>
    </row>
    <row r="1175" customFormat="false" ht="15" hidden="false" customHeight="false" outlineLevel="0" collapsed="false">
      <c r="A1175" s="12" t="n">
        <v>1172</v>
      </c>
      <c r="B1175" s="8" t="s">
        <v>3753</v>
      </c>
      <c r="C1175" s="8" t="s">
        <v>96</v>
      </c>
      <c r="D1175" s="11" t="n">
        <v>0.00793101851851852</v>
      </c>
      <c r="E1175" s="39" t="n">
        <f aca="false">ROUND((D1175-$D$5)*86400,2)</f>
        <v>146.22</v>
      </c>
      <c r="F1175" s="12" t="n">
        <v>2441</v>
      </c>
      <c r="G1175" s="11" t="str">
        <f aca="false">IF(INDEX(選手一覧!$D$5:$D$2736,$F1175)="","",INDEX(選手一覧!$D$5:$D$2736,$F1175))</f>
        <v/>
      </c>
      <c r="H1175" s="12" t="str">
        <f aca="false">IF(INDEX(選手一覧!$E$5:$E$2736,$F1175)="","",INDEX(選手一覧!$E$5:$E$2736,$F1175))</f>
        <v/>
      </c>
      <c r="I1175" s="11" t="str">
        <f aca="false">IF(INDEX(選手一覧!$H$5:$H$2736,$F1175)="","",INDEX(選手一覧!$H$5:$H$2736,$F1175))</f>
        <v/>
      </c>
      <c r="J1175" s="12" t="str">
        <f aca="false">IF(INDEX(選手一覧!$I$5:$I$2736,$F1175)="","",INDEX(選手一覧!$I$5:$I$2736,$F1175))</f>
        <v/>
      </c>
    </row>
    <row r="1176" customFormat="false" ht="15" hidden="false" customHeight="false" outlineLevel="0" collapsed="false">
      <c r="A1176" s="12" t="n">
        <v>1173</v>
      </c>
      <c r="B1176" s="8" t="s">
        <v>3755</v>
      </c>
      <c r="C1176" s="8" t="s">
        <v>1211</v>
      </c>
      <c r="D1176" s="11" t="n">
        <v>0.00793321759259259</v>
      </c>
      <c r="E1176" s="39" t="n">
        <f aca="false">ROUND((D1176-$D$5)*86400,2)</f>
        <v>146.41</v>
      </c>
      <c r="F1176" s="12" t="n">
        <v>2443</v>
      </c>
      <c r="G1176" s="11" t="str">
        <f aca="false">IF(INDEX(選手一覧!$D$5:$D$2736,$F1176)="","",INDEX(選手一覧!$D$5:$D$2736,$F1176))</f>
        <v/>
      </c>
      <c r="H1176" s="12" t="str">
        <f aca="false">IF(INDEX(選手一覧!$E$5:$E$2736,$F1176)="","",INDEX(選手一覧!$E$5:$E$2736,$F1176))</f>
        <v/>
      </c>
      <c r="I1176" s="11" t="str">
        <f aca="false">IF(INDEX(選手一覧!$H$5:$H$2736,$F1176)="","",INDEX(選手一覧!$H$5:$H$2736,$F1176))</f>
        <v/>
      </c>
      <c r="J1176" s="12" t="str">
        <f aca="false">IF(INDEX(選手一覧!$I$5:$I$2736,$F1176)="","",INDEX(選手一覧!$I$5:$I$2736,$F1176))</f>
        <v/>
      </c>
    </row>
    <row r="1177" customFormat="false" ht="15" hidden="false" customHeight="false" outlineLevel="0" collapsed="false">
      <c r="A1177" s="12" t="n">
        <v>1174</v>
      </c>
      <c r="B1177" s="8" t="s">
        <v>2862</v>
      </c>
      <c r="C1177" s="8" t="s">
        <v>2863</v>
      </c>
      <c r="D1177" s="11" t="n">
        <v>0.00793425925925926</v>
      </c>
      <c r="E1177" s="39" t="n">
        <f aca="false">ROUND((D1177-$D$5)*86400,2)</f>
        <v>146.5</v>
      </c>
      <c r="F1177" s="12" t="n">
        <v>1840</v>
      </c>
      <c r="G1177" s="11" t="str">
        <f aca="false">IF(INDEX(選手一覧!$D$5:$D$2736,$F1177)="","",INDEX(選手一覧!$D$5:$D$2736,$F1177))</f>
        <v/>
      </c>
      <c r="H1177" s="12" t="str">
        <f aca="false">IF(INDEX(選手一覧!$E$5:$E$2736,$F1177)="","",INDEX(選手一覧!$E$5:$E$2736,$F1177))</f>
        <v/>
      </c>
      <c r="I1177" s="11" t="n">
        <f aca="false">IF(INDEX(選手一覧!$H$5:$H$2736,$F1177)="","",INDEX(選手一覧!$H$5:$H$2736,$F1177))</f>
        <v>0.00287453703703704</v>
      </c>
      <c r="J1177" s="12" t="n">
        <f aca="false">IF(INDEX(選手一覧!$I$5:$I$2736,$F1177)="","",INDEX(選手一覧!$I$5:$I$2736,$F1177))</f>
        <v>730</v>
      </c>
    </row>
    <row r="1178" customFormat="false" ht="15" hidden="false" customHeight="false" outlineLevel="0" collapsed="false">
      <c r="A1178" s="12" t="n">
        <v>1175</v>
      </c>
      <c r="B1178" s="8" t="s">
        <v>3756</v>
      </c>
      <c r="C1178" s="8" t="s">
        <v>3757</v>
      </c>
      <c r="D1178" s="11" t="n">
        <v>0.00793981481481481</v>
      </c>
      <c r="E1178" s="39" t="n">
        <f aca="false">ROUND((D1178-$D$5)*86400,2)</f>
        <v>146.98</v>
      </c>
      <c r="F1178" s="12" t="n">
        <v>2444</v>
      </c>
      <c r="G1178" s="11" t="str">
        <f aca="false">IF(INDEX(選手一覧!$D$5:$D$2736,$F1178)="","",INDEX(選手一覧!$D$5:$D$2736,$F1178))</f>
        <v/>
      </c>
      <c r="H1178" s="12" t="str">
        <f aca="false">IF(INDEX(選手一覧!$E$5:$E$2736,$F1178)="","",INDEX(選手一覧!$E$5:$E$2736,$F1178))</f>
        <v/>
      </c>
      <c r="I1178" s="11" t="str">
        <f aca="false">IF(INDEX(選手一覧!$H$5:$H$2736,$F1178)="","",INDEX(選手一覧!$H$5:$H$2736,$F1178))</f>
        <v/>
      </c>
      <c r="J1178" s="12" t="str">
        <f aca="false">IF(INDEX(選手一覧!$I$5:$I$2736,$F1178)="","",INDEX(選手一覧!$I$5:$I$2736,$F1178))</f>
        <v/>
      </c>
    </row>
    <row r="1179" customFormat="false" ht="15" hidden="false" customHeight="false" outlineLevel="0" collapsed="false">
      <c r="A1179" s="12" t="n">
        <v>1176</v>
      </c>
      <c r="B1179" s="8" t="s">
        <v>3759</v>
      </c>
      <c r="C1179" s="8" t="s">
        <v>1327</v>
      </c>
      <c r="D1179" s="11" t="n">
        <v>0.00794212962962963</v>
      </c>
      <c r="E1179" s="39" t="n">
        <f aca="false">ROUND((D1179-$D$5)*86400,2)</f>
        <v>147.18</v>
      </c>
      <c r="F1179" s="12" t="n">
        <v>2446</v>
      </c>
      <c r="G1179" s="11" t="str">
        <f aca="false">IF(INDEX(選手一覧!$D$5:$D$2736,$F1179)="","",INDEX(選手一覧!$D$5:$D$2736,$F1179))</f>
        <v/>
      </c>
      <c r="H1179" s="12" t="str">
        <f aca="false">IF(INDEX(選手一覧!$E$5:$E$2736,$F1179)="","",INDEX(選手一覧!$E$5:$E$2736,$F1179))</f>
        <v/>
      </c>
      <c r="I1179" s="11" t="str">
        <f aca="false">IF(INDEX(選手一覧!$H$5:$H$2736,$F1179)="","",INDEX(選手一覧!$H$5:$H$2736,$F1179))</f>
        <v/>
      </c>
      <c r="J1179" s="12" t="str">
        <f aca="false">IF(INDEX(選手一覧!$I$5:$I$2736,$F1179)="","",INDEX(選手一覧!$I$5:$I$2736,$F1179))</f>
        <v/>
      </c>
    </row>
    <row r="1180" customFormat="false" ht="15" hidden="false" customHeight="false" outlineLevel="0" collapsed="false">
      <c r="A1180" s="12" t="n">
        <v>1177</v>
      </c>
      <c r="B1180" s="8" t="s">
        <v>3761</v>
      </c>
      <c r="C1180" s="8" t="s">
        <v>2901</v>
      </c>
      <c r="D1180" s="11" t="n">
        <v>0.00794224537037037</v>
      </c>
      <c r="E1180" s="39" t="n">
        <f aca="false">ROUND((D1180-$D$5)*86400,2)</f>
        <v>147.19</v>
      </c>
      <c r="F1180" s="12" t="n">
        <v>2448</v>
      </c>
      <c r="G1180" s="11" t="str">
        <f aca="false">IF(INDEX(選手一覧!$D$5:$D$2736,$F1180)="","",INDEX(選手一覧!$D$5:$D$2736,$F1180))</f>
        <v/>
      </c>
      <c r="H1180" s="12" t="str">
        <f aca="false">IF(INDEX(選手一覧!$E$5:$E$2736,$F1180)="","",INDEX(選手一覧!$E$5:$E$2736,$F1180))</f>
        <v/>
      </c>
      <c r="I1180" s="11" t="str">
        <f aca="false">IF(INDEX(選手一覧!$H$5:$H$2736,$F1180)="","",INDEX(選手一覧!$H$5:$H$2736,$F1180))</f>
        <v/>
      </c>
      <c r="J1180" s="12" t="str">
        <f aca="false">IF(INDEX(選手一覧!$I$5:$I$2736,$F1180)="","",INDEX(選手一覧!$I$5:$I$2736,$F1180))</f>
        <v/>
      </c>
    </row>
    <row r="1181" customFormat="false" ht="15" hidden="false" customHeight="false" outlineLevel="0" collapsed="false">
      <c r="A1181" s="12" t="n">
        <v>1178</v>
      </c>
      <c r="B1181" s="8" t="s">
        <v>2381</v>
      </c>
      <c r="C1181" s="8" t="s">
        <v>202</v>
      </c>
      <c r="D1181" s="11" t="n">
        <v>0.00794456018518519</v>
      </c>
      <c r="E1181" s="39" t="n">
        <f aca="false">ROUND((D1181-$D$5)*86400,2)</f>
        <v>147.39</v>
      </c>
      <c r="F1181" s="12" t="n">
        <v>1521</v>
      </c>
      <c r="G1181" s="11" t="str">
        <f aca="false">IF(INDEX(選手一覧!$D$5:$D$2736,$F1181)="","",INDEX(選手一覧!$D$5:$D$2736,$F1181))</f>
        <v/>
      </c>
      <c r="H1181" s="12" t="str">
        <f aca="false">IF(INDEX(選手一覧!$E$5:$E$2736,$F1181)="","",INDEX(選手一覧!$E$5:$E$2736,$F1181))</f>
        <v/>
      </c>
      <c r="I1181" s="11" t="n">
        <f aca="false">IF(INDEX(選手一覧!$H$5:$H$2736,$F1181)="","",INDEX(選手一覧!$H$5:$H$2736,$F1181))</f>
        <v>0.00282939814814815</v>
      </c>
      <c r="J1181" s="12" t="n">
        <f aca="false">IF(INDEX(選手一覧!$I$5:$I$2736,$F1181)="","",INDEX(選手一覧!$I$5:$I$2736,$F1181))</f>
        <v>423</v>
      </c>
    </row>
    <row r="1182" customFormat="false" ht="15" hidden="false" customHeight="false" outlineLevel="0" collapsed="false">
      <c r="A1182" s="12" t="n">
        <v>1179</v>
      </c>
      <c r="B1182" s="8" t="s">
        <v>3762</v>
      </c>
      <c r="C1182" s="8" t="s">
        <v>1853</v>
      </c>
      <c r="D1182" s="11" t="n">
        <v>0.0079599537037037</v>
      </c>
      <c r="E1182" s="39" t="n">
        <f aca="false">ROUND((D1182-$D$5)*86400,2)</f>
        <v>148.72</v>
      </c>
      <c r="F1182" s="12" t="n">
        <v>2449</v>
      </c>
      <c r="G1182" s="11" t="str">
        <f aca="false">IF(INDEX(選手一覧!$D$5:$D$2736,$F1182)="","",INDEX(選手一覧!$D$5:$D$2736,$F1182))</f>
        <v/>
      </c>
      <c r="H1182" s="12" t="str">
        <f aca="false">IF(INDEX(選手一覧!$E$5:$E$2736,$F1182)="","",INDEX(選手一覧!$E$5:$E$2736,$F1182))</f>
        <v/>
      </c>
      <c r="I1182" s="11" t="str">
        <f aca="false">IF(INDEX(選手一覧!$H$5:$H$2736,$F1182)="","",INDEX(選手一覧!$H$5:$H$2736,$F1182))</f>
        <v/>
      </c>
      <c r="J1182" s="12" t="str">
        <f aca="false">IF(INDEX(選手一覧!$I$5:$I$2736,$F1182)="","",INDEX(選手一覧!$I$5:$I$2736,$F1182))</f>
        <v/>
      </c>
    </row>
    <row r="1183" customFormat="false" ht="15" hidden="false" customHeight="false" outlineLevel="0" collapsed="false">
      <c r="A1183" s="12" t="n">
        <v>1180</v>
      </c>
      <c r="B1183" s="8" t="s">
        <v>3764</v>
      </c>
      <c r="C1183" s="8" t="s">
        <v>3765</v>
      </c>
      <c r="D1183" s="11" t="n">
        <v>0.00796296296296296</v>
      </c>
      <c r="E1183" s="39" t="n">
        <f aca="false">ROUND((D1183-$D$5)*86400,2)</f>
        <v>148.98</v>
      </c>
      <c r="F1183" s="12" t="n">
        <v>2451</v>
      </c>
      <c r="G1183" s="11" t="str">
        <f aca="false">IF(INDEX(選手一覧!$D$5:$D$2736,$F1183)="","",INDEX(選手一覧!$D$5:$D$2736,$F1183))</f>
        <v/>
      </c>
      <c r="H1183" s="12" t="str">
        <f aca="false">IF(INDEX(選手一覧!$E$5:$E$2736,$F1183)="","",INDEX(選手一覧!$E$5:$E$2736,$F1183))</f>
        <v/>
      </c>
      <c r="I1183" s="11" t="str">
        <f aca="false">IF(INDEX(選手一覧!$H$5:$H$2736,$F1183)="","",INDEX(選手一覧!$H$5:$H$2736,$F1183))</f>
        <v/>
      </c>
      <c r="J1183" s="12" t="str">
        <f aca="false">IF(INDEX(選手一覧!$I$5:$I$2736,$F1183)="","",INDEX(選手一覧!$I$5:$I$2736,$F1183))</f>
        <v/>
      </c>
    </row>
    <row r="1184" customFormat="false" ht="15" hidden="false" customHeight="false" outlineLevel="0" collapsed="false">
      <c r="A1184" s="12" t="n">
        <v>1181</v>
      </c>
      <c r="B1184" s="8" t="s">
        <v>3766</v>
      </c>
      <c r="C1184" s="8" t="s">
        <v>3767</v>
      </c>
      <c r="D1184" s="11" t="n">
        <v>0.00797002314814815</v>
      </c>
      <c r="E1184" s="39" t="n">
        <f aca="false">ROUND((D1184-$D$5)*86400,2)</f>
        <v>149.59</v>
      </c>
      <c r="F1184" s="12" t="n">
        <v>2452</v>
      </c>
      <c r="G1184" s="11" t="str">
        <f aca="false">IF(INDEX(選手一覧!$D$5:$D$2736,$F1184)="","",INDEX(選手一覧!$D$5:$D$2736,$F1184))</f>
        <v/>
      </c>
      <c r="H1184" s="12" t="str">
        <f aca="false">IF(INDEX(選手一覧!$E$5:$E$2736,$F1184)="","",INDEX(選手一覧!$E$5:$E$2736,$F1184))</f>
        <v/>
      </c>
      <c r="I1184" s="11" t="str">
        <f aca="false">IF(INDEX(選手一覧!$H$5:$H$2736,$F1184)="","",INDEX(選手一覧!$H$5:$H$2736,$F1184))</f>
        <v/>
      </c>
      <c r="J1184" s="12" t="str">
        <f aca="false">IF(INDEX(選手一覧!$I$5:$I$2736,$F1184)="","",INDEX(選手一覧!$I$5:$I$2736,$F1184))</f>
        <v/>
      </c>
    </row>
    <row r="1185" customFormat="false" ht="15" hidden="false" customHeight="false" outlineLevel="0" collapsed="false">
      <c r="A1185" s="12" t="n">
        <v>1182</v>
      </c>
      <c r="B1185" s="8" t="s">
        <v>3768</v>
      </c>
      <c r="C1185" s="8" t="s">
        <v>3769</v>
      </c>
      <c r="D1185" s="11" t="n">
        <v>0.00797002314814815</v>
      </c>
      <c r="E1185" s="39" t="n">
        <f aca="false">ROUND((D1185-$D$5)*86400,2)</f>
        <v>149.59</v>
      </c>
      <c r="F1185" s="12" t="n">
        <v>2453</v>
      </c>
      <c r="G1185" s="11" t="str">
        <f aca="false">IF(INDEX(選手一覧!$D$5:$D$2736,$F1185)="","",INDEX(選手一覧!$D$5:$D$2736,$F1185))</f>
        <v/>
      </c>
      <c r="H1185" s="12" t="str">
        <f aca="false">IF(INDEX(選手一覧!$E$5:$E$2736,$F1185)="","",INDEX(選手一覧!$E$5:$E$2736,$F1185))</f>
        <v/>
      </c>
      <c r="I1185" s="11" t="str">
        <f aca="false">IF(INDEX(選手一覧!$H$5:$H$2736,$F1185)="","",INDEX(選手一覧!$H$5:$H$2736,$F1185))</f>
        <v/>
      </c>
      <c r="J1185" s="12" t="str">
        <f aca="false">IF(INDEX(選手一覧!$I$5:$I$2736,$F1185)="","",INDEX(選手一覧!$I$5:$I$2736,$F1185))</f>
        <v/>
      </c>
    </row>
    <row r="1186" customFormat="false" ht="15" hidden="false" customHeight="false" outlineLevel="0" collapsed="false">
      <c r="A1186" s="12" t="n">
        <v>1183</v>
      </c>
      <c r="B1186" s="8" t="s">
        <v>3770</v>
      </c>
      <c r="C1186" s="8" t="s">
        <v>3771</v>
      </c>
      <c r="D1186" s="11" t="n">
        <v>0.0079755787037037</v>
      </c>
      <c r="E1186" s="39" t="n">
        <f aca="false">ROUND((D1186-$D$5)*86400,2)</f>
        <v>150.07</v>
      </c>
      <c r="F1186" s="12" t="n">
        <v>2454</v>
      </c>
      <c r="G1186" s="11" t="str">
        <f aca="false">IF(INDEX(選手一覧!$D$5:$D$2736,$F1186)="","",INDEX(選手一覧!$D$5:$D$2736,$F1186))</f>
        <v/>
      </c>
      <c r="H1186" s="12" t="str">
        <f aca="false">IF(INDEX(選手一覧!$E$5:$E$2736,$F1186)="","",INDEX(選手一覧!$E$5:$E$2736,$F1186))</f>
        <v/>
      </c>
      <c r="I1186" s="11" t="str">
        <f aca="false">IF(INDEX(選手一覧!$H$5:$H$2736,$F1186)="","",INDEX(選手一覧!$H$5:$H$2736,$F1186))</f>
        <v/>
      </c>
      <c r="J1186" s="12" t="str">
        <f aca="false">IF(INDEX(選手一覧!$I$5:$I$2736,$F1186)="","",INDEX(選手一覧!$I$5:$I$2736,$F1186))</f>
        <v/>
      </c>
    </row>
    <row r="1187" customFormat="false" ht="15" hidden="false" customHeight="false" outlineLevel="0" collapsed="false">
      <c r="A1187" s="12" t="n">
        <v>1184</v>
      </c>
      <c r="B1187" s="8" t="s">
        <v>3772</v>
      </c>
      <c r="C1187" s="8" t="s">
        <v>370</v>
      </c>
      <c r="D1187" s="11" t="n">
        <v>0.00797835648148148</v>
      </c>
      <c r="E1187" s="39" t="n">
        <f aca="false">ROUND((D1187-$D$5)*86400,2)</f>
        <v>150.31</v>
      </c>
      <c r="F1187" s="12" t="n">
        <v>2455</v>
      </c>
      <c r="G1187" s="11" t="str">
        <f aca="false">IF(INDEX(選手一覧!$D$5:$D$2736,$F1187)="","",INDEX(選手一覧!$D$5:$D$2736,$F1187))</f>
        <v/>
      </c>
      <c r="H1187" s="12" t="str">
        <f aca="false">IF(INDEX(選手一覧!$E$5:$E$2736,$F1187)="","",INDEX(選手一覧!$E$5:$E$2736,$F1187))</f>
        <v/>
      </c>
      <c r="I1187" s="11" t="str">
        <f aca="false">IF(INDEX(選手一覧!$H$5:$H$2736,$F1187)="","",INDEX(選手一覧!$H$5:$H$2736,$F1187))</f>
        <v/>
      </c>
      <c r="J1187" s="12" t="str">
        <f aca="false">IF(INDEX(選手一覧!$I$5:$I$2736,$F1187)="","",INDEX(選手一覧!$I$5:$I$2736,$F1187))</f>
        <v/>
      </c>
    </row>
    <row r="1188" customFormat="false" ht="15" hidden="false" customHeight="false" outlineLevel="0" collapsed="false">
      <c r="A1188" s="12" t="n">
        <v>1185</v>
      </c>
      <c r="B1188" s="8" t="s">
        <v>3774</v>
      </c>
      <c r="C1188" s="8" t="s">
        <v>2477</v>
      </c>
      <c r="D1188" s="11" t="n">
        <v>0.00798865740740741</v>
      </c>
      <c r="E1188" s="39" t="n">
        <f aca="false">ROUND((D1188-$D$5)*86400,2)</f>
        <v>151.2</v>
      </c>
      <c r="F1188" s="12" t="n">
        <v>2457</v>
      </c>
      <c r="G1188" s="11" t="str">
        <f aca="false">IF(INDEX(選手一覧!$D$5:$D$2736,$F1188)="","",INDEX(選手一覧!$D$5:$D$2736,$F1188))</f>
        <v/>
      </c>
      <c r="H1188" s="12" t="str">
        <f aca="false">IF(INDEX(選手一覧!$E$5:$E$2736,$F1188)="","",INDEX(選手一覧!$E$5:$E$2736,$F1188))</f>
        <v/>
      </c>
      <c r="I1188" s="11" t="str">
        <f aca="false">IF(INDEX(選手一覧!$H$5:$H$2736,$F1188)="","",INDEX(選手一覧!$H$5:$H$2736,$F1188))</f>
        <v/>
      </c>
      <c r="J1188" s="12" t="str">
        <f aca="false">IF(INDEX(選手一覧!$I$5:$I$2736,$F1188)="","",INDEX(選手一覧!$I$5:$I$2736,$F1188))</f>
        <v/>
      </c>
    </row>
    <row r="1189" customFormat="false" ht="15" hidden="false" customHeight="false" outlineLevel="0" collapsed="false">
      <c r="A1189" s="12" t="n">
        <v>1186</v>
      </c>
      <c r="B1189" s="8" t="s">
        <v>3775</v>
      </c>
      <c r="C1189" s="8" t="s">
        <v>544</v>
      </c>
      <c r="D1189" s="11" t="n">
        <v>0.00799097222222222</v>
      </c>
      <c r="E1189" s="39" t="n">
        <f aca="false">ROUND((D1189-$D$5)*86400,2)</f>
        <v>151.4</v>
      </c>
      <c r="F1189" s="12" t="n">
        <v>2458</v>
      </c>
      <c r="G1189" s="11" t="str">
        <f aca="false">IF(INDEX(選手一覧!$D$5:$D$2736,$F1189)="","",INDEX(選手一覧!$D$5:$D$2736,$F1189))</f>
        <v/>
      </c>
      <c r="H1189" s="12" t="str">
        <f aca="false">IF(INDEX(選手一覧!$E$5:$E$2736,$F1189)="","",INDEX(選手一覧!$E$5:$E$2736,$F1189))</f>
        <v/>
      </c>
      <c r="I1189" s="11" t="str">
        <f aca="false">IF(INDEX(選手一覧!$H$5:$H$2736,$F1189)="","",INDEX(選手一覧!$H$5:$H$2736,$F1189))</f>
        <v/>
      </c>
      <c r="J1189" s="12" t="str">
        <f aca="false">IF(INDEX(選手一覧!$I$5:$I$2736,$F1189)="","",INDEX(選手一覧!$I$5:$I$2736,$F1189))</f>
        <v/>
      </c>
    </row>
    <row r="1190" customFormat="false" ht="15" hidden="false" customHeight="false" outlineLevel="0" collapsed="false">
      <c r="A1190" s="12" t="n">
        <v>1187</v>
      </c>
      <c r="B1190" s="8" t="s">
        <v>3777</v>
      </c>
      <c r="C1190" s="8" t="s">
        <v>3778</v>
      </c>
      <c r="D1190" s="11" t="n">
        <v>0.00799293981481482</v>
      </c>
      <c r="E1190" s="39" t="n">
        <f aca="false">ROUND((D1190-$D$5)*86400,2)</f>
        <v>151.57</v>
      </c>
      <c r="F1190" s="12" t="n">
        <v>2460</v>
      </c>
      <c r="G1190" s="11" t="str">
        <f aca="false">IF(INDEX(選手一覧!$D$5:$D$2736,$F1190)="","",INDEX(選手一覧!$D$5:$D$2736,$F1190))</f>
        <v/>
      </c>
      <c r="H1190" s="12" t="str">
        <f aca="false">IF(INDEX(選手一覧!$E$5:$E$2736,$F1190)="","",INDEX(選手一覧!$E$5:$E$2736,$F1190))</f>
        <v/>
      </c>
      <c r="I1190" s="11" t="str">
        <f aca="false">IF(INDEX(選手一覧!$H$5:$H$2736,$F1190)="","",INDEX(選手一覧!$H$5:$H$2736,$F1190))</f>
        <v/>
      </c>
      <c r="J1190" s="12" t="str">
        <f aca="false">IF(INDEX(選手一覧!$I$5:$I$2736,$F1190)="","",INDEX(選手一覧!$I$5:$I$2736,$F1190))</f>
        <v/>
      </c>
    </row>
    <row r="1191" customFormat="false" ht="15" hidden="false" customHeight="false" outlineLevel="0" collapsed="false">
      <c r="A1191" s="12" t="n">
        <v>1188</v>
      </c>
      <c r="B1191" s="8" t="s">
        <v>3781</v>
      </c>
      <c r="C1191" s="8" t="s">
        <v>3782</v>
      </c>
      <c r="D1191" s="11" t="n">
        <v>0.00799710648148148</v>
      </c>
      <c r="E1191" s="39" t="n">
        <f aca="false">ROUND((D1191-$D$5)*86400,2)</f>
        <v>151.93</v>
      </c>
      <c r="F1191" s="12" t="n">
        <v>2462</v>
      </c>
      <c r="G1191" s="11" t="str">
        <f aca="false">IF(INDEX(選手一覧!$D$5:$D$2736,$F1191)="","",INDEX(選手一覧!$D$5:$D$2736,$F1191))</f>
        <v/>
      </c>
      <c r="H1191" s="12" t="str">
        <f aca="false">IF(INDEX(選手一覧!$E$5:$E$2736,$F1191)="","",INDEX(選手一覧!$E$5:$E$2736,$F1191))</f>
        <v/>
      </c>
      <c r="I1191" s="11" t="str">
        <f aca="false">IF(INDEX(選手一覧!$H$5:$H$2736,$F1191)="","",INDEX(選手一覧!$H$5:$H$2736,$F1191))</f>
        <v/>
      </c>
      <c r="J1191" s="12" t="str">
        <f aca="false">IF(INDEX(選手一覧!$I$5:$I$2736,$F1191)="","",INDEX(選手一覧!$I$5:$I$2736,$F1191))</f>
        <v/>
      </c>
    </row>
    <row r="1192" customFormat="false" ht="15" hidden="false" customHeight="false" outlineLevel="0" collapsed="false">
      <c r="A1192" s="12" t="n">
        <v>1189</v>
      </c>
      <c r="B1192" s="8" t="s">
        <v>3785</v>
      </c>
      <c r="C1192" s="8" t="s">
        <v>2426</v>
      </c>
      <c r="D1192" s="11" t="n">
        <v>0.00800046296296296</v>
      </c>
      <c r="E1192" s="39" t="n">
        <f aca="false">ROUND((D1192-$D$5)*86400,2)</f>
        <v>152.22</v>
      </c>
      <c r="F1192" s="12" t="n">
        <v>2464</v>
      </c>
      <c r="G1192" s="11" t="str">
        <f aca="false">IF(INDEX(選手一覧!$D$5:$D$2736,$F1192)="","",INDEX(選手一覧!$D$5:$D$2736,$F1192))</f>
        <v/>
      </c>
      <c r="H1192" s="12" t="str">
        <f aca="false">IF(INDEX(選手一覧!$E$5:$E$2736,$F1192)="","",INDEX(選手一覧!$E$5:$E$2736,$F1192))</f>
        <v/>
      </c>
      <c r="I1192" s="11" t="str">
        <f aca="false">IF(INDEX(選手一覧!$H$5:$H$2736,$F1192)="","",INDEX(選手一覧!$H$5:$H$2736,$F1192))</f>
        <v/>
      </c>
      <c r="J1192" s="12" t="str">
        <f aca="false">IF(INDEX(選手一覧!$I$5:$I$2736,$F1192)="","",INDEX(選手一覧!$I$5:$I$2736,$F1192))</f>
        <v/>
      </c>
    </row>
    <row r="1193" customFormat="false" ht="15" hidden="false" customHeight="false" outlineLevel="0" collapsed="false">
      <c r="A1193" s="12" t="n">
        <v>1190</v>
      </c>
      <c r="B1193" s="8" t="s">
        <v>3787</v>
      </c>
      <c r="C1193" s="8" t="s">
        <v>2844</v>
      </c>
      <c r="D1193" s="11" t="n">
        <v>0.00800439814814815</v>
      </c>
      <c r="E1193" s="39" t="n">
        <f aca="false">ROUND((D1193-$D$5)*86400,2)</f>
        <v>152.56</v>
      </c>
      <c r="F1193" s="12" t="n">
        <v>2466</v>
      </c>
      <c r="G1193" s="11" t="str">
        <f aca="false">IF(INDEX(選手一覧!$D$5:$D$2736,$F1193)="","",INDEX(選手一覧!$D$5:$D$2736,$F1193))</f>
        <v/>
      </c>
      <c r="H1193" s="12" t="str">
        <f aca="false">IF(INDEX(選手一覧!$E$5:$E$2736,$F1193)="","",INDEX(選手一覧!$E$5:$E$2736,$F1193))</f>
        <v/>
      </c>
      <c r="I1193" s="11" t="str">
        <f aca="false">IF(INDEX(選手一覧!$H$5:$H$2736,$F1193)="","",INDEX(選手一覧!$H$5:$H$2736,$F1193))</f>
        <v/>
      </c>
      <c r="J1193" s="12" t="str">
        <f aca="false">IF(INDEX(選手一覧!$I$5:$I$2736,$F1193)="","",INDEX(選手一覧!$I$5:$I$2736,$F1193))</f>
        <v/>
      </c>
    </row>
    <row r="1194" customFormat="false" ht="15" hidden="false" customHeight="false" outlineLevel="0" collapsed="false">
      <c r="A1194" s="12" t="n">
        <v>1191</v>
      </c>
      <c r="B1194" s="8" t="s">
        <v>3790</v>
      </c>
      <c r="C1194" s="8" t="s">
        <v>2459</v>
      </c>
      <c r="D1194" s="11" t="n">
        <v>0.0080068287037037</v>
      </c>
      <c r="E1194" s="39" t="n">
        <f aca="false">ROUND((D1194-$D$5)*86400,2)</f>
        <v>152.77</v>
      </c>
      <c r="F1194" s="12" t="n">
        <v>2468</v>
      </c>
      <c r="G1194" s="11" t="str">
        <f aca="false">IF(INDEX(選手一覧!$D$5:$D$2736,$F1194)="","",INDEX(選手一覧!$D$5:$D$2736,$F1194))</f>
        <v/>
      </c>
      <c r="H1194" s="12" t="str">
        <f aca="false">IF(INDEX(選手一覧!$E$5:$E$2736,$F1194)="","",INDEX(選手一覧!$E$5:$E$2736,$F1194))</f>
        <v/>
      </c>
      <c r="I1194" s="11" t="str">
        <f aca="false">IF(INDEX(選手一覧!$H$5:$H$2736,$F1194)="","",INDEX(選手一覧!$H$5:$H$2736,$F1194))</f>
        <v/>
      </c>
      <c r="J1194" s="12" t="str">
        <f aca="false">IF(INDEX(選手一覧!$I$5:$I$2736,$F1194)="","",INDEX(選手一覧!$I$5:$I$2736,$F1194))</f>
        <v/>
      </c>
    </row>
    <row r="1195" customFormat="false" ht="15" hidden="false" customHeight="false" outlineLevel="0" collapsed="false">
      <c r="A1195" s="12" t="n">
        <v>1192</v>
      </c>
      <c r="B1195" s="8" t="s">
        <v>3792</v>
      </c>
      <c r="C1195" s="8" t="s">
        <v>3793</v>
      </c>
      <c r="D1195" s="11" t="n">
        <v>0.00801030092592593</v>
      </c>
      <c r="E1195" s="39" t="n">
        <f aca="false">ROUND((D1195-$D$5)*86400,2)</f>
        <v>153.07</v>
      </c>
      <c r="F1195" s="12" t="n">
        <v>2470</v>
      </c>
      <c r="G1195" s="11" t="str">
        <f aca="false">IF(INDEX(選手一覧!$D$5:$D$2736,$F1195)="","",INDEX(選手一覧!$D$5:$D$2736,$F1195))</f>
        <v/>
      </c>
      <c r="H1195" s="12" t="str">
        <f aca="false">IF(INDEX(選手一覧!$E$5:$E$2736,$F1195)="","",INDEX(選手一覧!$E$5:$E$2736,$F1195))</f>
        <v/>
      </c>
      <c r="I1195" s="11" t="str">
        <f aca="false">IF(INDEX(選手一覧!$H$5:$H$2736,$F1195)="","",INDEX(選手一覧!$H$5:$H$2736,$F1195))</f>
        <v/>
      </c>
      <c r="J1195" s="12" t="str">
        <f aca="false">IF(INDEX(選手一覧!$I$5:$I$2736,$F1195)="","",INDEX(選手一覧!$I$5:$I$2736,$F1195))</f>
        <v/>
      </c>
    </row>
    <row r="1196" customFormat="false" ht="15" hidden="false" customHeight="false" outlineLevel="0" collapsed="false">
      <c r="A1196" s="12" t="n">
        <v>1193</v>
      </c>
      <c r="B1196" s="8" t="s">
        <v>3795</v>
      </c>
      <c r="C1196" s="8" t="s">
        <v>3796</v>
      </c>
      <c r="D1196" s="11" t="n">
        <v>0.00801215277777778</v>
      </c>
      <c r="E1196" s="39" t="n">
        <f aca="false">ROUND((D1196-$D$5)*86400,2)</f>
        <v>153.23</v>
      </c>
      <c r="F1196" s="12" t="n">
        <v>2472</v>
      </c>
      <c r="G1196" s="11" t="str">
        <f aca="false">IF(INDEX(選手一覧!$D$5:$D$2736,$F1196)="","",INDEX(選手一覧!$D$5:$D$2736,$F1196))</f>
        <v/>
      </c>
      <c r="H1196" s="12" t="str">
        <f aca="false">IF(INDEX(選手一覧!$E$5:$E$2736,$F1196)="","",INDEX(選手一覧!$E$5:$E$2736,$F1196))</f>
        <v/>
      </c>
      <c r="I1196" s="11" t="str">
        <f aca="false">IF(INDEX(選手一覧!$H$5:$H$2736,$F1196)="","",INDEX(選手一覧!$H$5:$H$2736,$F1196))</f>
        <v/>
      </c>
      <c r="J1196" s="12" t="str">
        <f aca="false">IF(INDEX(選手一覧!$I$5:$I$2736,$F1196)="","",INDEX(選手一覧!$I$5:$I$2736,$F1196))</f>
        <v/>
      </c>
    </row>
    <row r="1197" customFormat="false" ht="15" hidden="false" customHeight="false" outlineLevel="0" collapsed="false">
      <c r="A1197" s="12" t="n">
        <v>1194</v>
      </c>
      <c r="B1197" s="8" t="s">
        <v>3798</v>
      </c>
      <c r="C1197" s="8" t="s">
        <v>2423</v>
      </c>
      <c r="D1197" s="11" t="n">
        <v>0.00801863425925926</v>
      </c>
      <c r="E1197" s="39" t="n">
        <f aca="false">ROUND((D1197-$D$5)*86400,2)</f>
        <v>153.79</v>
      </c>
      <c r="F1197" s="12" t="n">
        <v>2474</v>
      </c>
      <c r="G1197" s="11" t="str">
        <f aca="false">IF(INDEX(選手一覧!$D$5:$D$2736,$F1197)="","",INDEX(選手一覧!$D$5:$D$2736,$F1197))</f>
        <v/>
      </c>
      <c r="H1197" s="12" t="str">
        <f aca="false">IF(INDEX(選手一覧!$E$5:$E$2736,$F1197)="","",INDEX(選手一覧!$E$5:$E$2736,$F1197))</f>
        <v/>
      </c>
      <c r="I1197" s="11" t="str">
        <f aca="false">IF(INDEX(選手一覧!$H$5:$H$2736,$F1197)="","",INDEX(選手一覧!$H$5:$H$2736,$F1197))</f>
        <v/>
      </c>
      <c r="J1197" s="12" t="str">
        <f aca="false">IF(INDEX(選手一覧!$I$5:$I$2736,$F1197)="","",INDEX(選手一覧!$I$5:$I$2736,$F1197))</f>
        <v/>
      </c>
    </row>
    <row r="1198" customFormat="false" ht="15" hidden="false" customHeight="false" outlineLevel="0" collapsed="false">
      <c r="A1198" s="12" t="n">
        <v>1195</v>
      </c>
      <c r="B1198" s="8" t="s">
        <v>2138</v>
      </c>
      <c r="C1198" s="8" t="s">
        <v>1042</v>
      </c>
      <c r="D1198" s="11" t="n">
        <v>0.00802141203703704</v>
      </c>
      <c r="E1198" s="39" t="n">
        <f aca="false">ROUND((D1198-$D$5)*86400,2)</f>
        <v>154.03</v>
      </c>
      <c r="F1198" s="12" t="n">
        <v>1362</v>
      </c>
      <c r="G1198" s="11" t="str">
        <f aca="false">IF(INDEX(選手一覧!$D$5:$D$2736,$F1198)="","",INDEX(選手一覧!$D$5:$D$2736,$F1198))</f>
        <v/>
      </c>
      <c r="H1198" s="12" t="str">
        <f aca="false">IF(INDEX(選手一覧!$E$5:$E$2736,$F1198)="","",INDEX(選手一覧!$E$5:$E$2736,$F1198))</f>
        <v/>
      </c>
      <c r="I1198" s="11" t="n">
        <f aca="false">IF(INDEX(選手一覧!$H$5:$H$2736,$F1198)="","",INDEX(選手一覧!$H$5:$H$2736,$F1198))</f>
        <v>0.00278668981481482</v>
      </c>
      <c r="J1198" s="12" t="n">
        <f aca="false">IF(INDEX(選手一覧!$I$5:$I$2736,$F1198)="","",INDEX(選手一覧!$I$5:$I$2736,$F1198))</f>
        <v>225</v>
      </c>
    </row>
    <row r="1199" customFormat="false" ht="15" hidden="false" customHeight="false" outlineLevel="0" collapsed="false">
      <c r="A1199" s="12" t="n">
        <v>1196</v>
      </c>
      <c r="B1199" s="8" t="s">
        <v>3801</v>
      </c>
      <c r="C1199" s="8" t="s">
        <v>3802</v>
      </c>
      <c r="D1199" s="11" t="n">
        <v>0.00802847222222222</v>
      </c>
      <c r="E1199" s="39" t="n">
        <f aca="false">ROUND((D1199-$D$5)*86400,2)</f>
        <v>154.64</v>
      </c>
      <c r="F1199" s="12" t="n">
        <v>2476</v>
      </c>
      <c r="G1199" s="11" t="str">
        <f aca="false">IF(INDEX(選手一覧!$D$5:$D$2736,$F1199)="","",INDEX(選手一覧!$D$5:$D$2736,$F1199))</f>
        <v/>
      </c>
      <c r="H1199" s="12" t="str">
        <f aca="false">IF(INDEX(選手一覧!$E$5:$E$2736,$F1199)="","",INDEX(選手一覧!$E$5:$E$2736,$F1199))</f>
        <v/>
      </c>
      <c r="I1199" s="11" t="str">
        <f aca="false">IF(INDEX(選手一覧!$H$5:$H$2736,$F1199)="","",INDEX(選手一覧!$H$5:$H$2736,$F1199))</f>
        <v/>
      </c>
      <c r="J1199" s="12" t="str">
        <f aca="false">IF(INDEX(選手一覧!$I$5:$I$2736,$F1199)="","",INDEX(選手一覧!$I$5:$I$2736,$F1199))</f>
        <v/>
      </c>
    </row>
    <row r="1200" customFormat="false" ht="15" hidden="false" customHeight="false" outlineLevel="0" collapsed="false">
      <c r="A1200" s="12" t="n">
        <v>1197</v>
      </c>
      <c r="B1200" s="8" t="s">
        <v>3805</v>
      </c>
      <c r="C1200" s="8" t="s">
        <v>2599</v>
      </c>
      <c r="D1200" s="11" t="n">
        <v>0.00802893518518519</v>
      </c>
      <c r="E1200" s="39" t="n">
        <f aca="false">ROUND((D1200-$D$5)*86400,2)</f>
        <v>154.68</v>
      </c>
      <c r="F1200" s="12" t="n">
        <v>2478</v>
      </c>
      <c r="G1200" s="11" t="str">
        <f aca="false">IF(INDEX(選手一覧!$D$5:$D$2736,$F1200)="","",INDEX(選手一覧!$D$5:$D$2736,$F1200))</f>
        <v/>
      </c>
      <c r="H1200" s="12" t="str">
        <f aca="false">IF(INDEX(選手一覧!$E$5:$E$2736,$F1200)="","",INDEX(選手一覧!$E$5:$E$2736,$F1200))</f>
        <v/>
      </c>
      <c r="I1200" s="11" t="str">
        <f aca="false">IF(INDEX(選手一覧!$H$5:$H$2736,$F1200)="","",INDEX(選手一覧!$H$5:$H$2736,$F1200))</f>
        <v/>
      </c>
      <c r="J1200" s="12" t="str">
        <f aca="false">IF(INDEX(選手一覧!$I$5:$I$2736,$F1200)="","",INDEX(選手一覧!$I$5:$I$2736,$F1200))</f>
        <v/>
      </c>
    </row>
    <row r="1201" customFormat="false" ht="15" hidden="false" customHeight="false" outlineLevel="0" collapsed="false">
      <c r="A1201" s="12" t="n">
        <v>1198</v>
      </c>
      <c r="B1201" s="8" t="s">
        <v>3806</v>
      </c>
      <c r="C1201" s="8" t="s">
        <v>1595</v>
      </c>
      <c r="D1201" s="11" t="n">
        <v>0.00803425925925926</v>
      </c>
      <c r="E1201" s="39" t="n">
        <f aca="false">ROUND((D1201-$D$5)*86400,2)</f>
        <v>155.14</v>
      </c>
      <c r="F1201" s="12" t="n">
        <v>2479</v>
      </c>
      <c r="G1201" s="11" t="str">
        <f aca="false">IF(INDEX(選手一覧!$D$5:$D$2736,$F1201)="","",INDEX(選手一覧!$D$5:$D$2736,$F1201))</f>
        <v/>
      </c>
      <c r="H1201" s="12" t="str">
        <f aca="false">IF(INDEX(選手一覧!$E$5:$E$2736,$F1201)="","",INDEX(選手一覧!$E$5:$E$2736,$F1201))</f>
        <v/>
      </c>
      <c r="I1201" s="11" t="str">
        <f aca="false">IF(INDEX(選手一覧!$H$5:$H$2736,$F1201)="","",INDEX(選手一覧!$H$5:$H$2736,$F1201))</f>
        <v/>
      </c>
      <c r="J1201" s="12" t="str">
        <f aca="false">IF(INDEX(選手一覧!$I$5:$I$2736,$F1201)="","",INDEX(選手一覧!$I$5:$I$2736,$F1201))</f>
        <v/>
      </c>
    </row>
    <row r="1202" customFormat="false" ht="15" hidden="false" customHeight="false" outlineLevel="0" collapsed="false">
      <c r="A1202" s="12" t="n">
        <v>1199</v>
      </c>
      <c r="B1202" s="8" t="s">
        <v>258</v>
      </c>
      <c r="C1202" s="8" t="s">
        <v>259</v>
      </c>
      <c r="D1202" s="11" t="n">
        <v>0.00804594907407407</v>
      </c>
      <c r="E1202" s="39" t="n">
        <f aca="false">ROUND((D1202-$D$5)*86400,2)</f>
        <v>156.15</v>
      </c>
      <c r="F1202" s="12" t="n">
        <v>125</v>
      </c>
      <c r="G1202" s="11" t="n">
        <f aca="false">IF(INDEX(選手一覧!$D$5:$D$2736,$F1202)="","",INDEX(選手一覧!$D$5:$D$2736,$F1202))</f>
        <v>0.0102458333333333</v>
      </c>
      <c r="H1202" s="12" t="n">
        <f aca="false">IF(INDEX(選手一覧!$E$5:$E$2736,$F1202)="","",INDEX(選手一覧!$E$5:$E$2736,$F1202))</f>
        <v>126</v>
      </c>
      <c r="I1202" s="11" t="n">
        <f aca="false">IF(INDEX(選手一覧!$H$5:$H$2736,$F1202)="","",INDEX(選手一覧!$H$5:$H$2736,$F1202))</f>
        <v>0.00271724537037037</v>
      </c>
      <c r="J1202" s="12" t="n">
        <f aca="false">IF(INDEX(選手一覧!$I$5:$I$2736,$F1202)="","",INDEX(選手一覧!$I$5:$I$2736,$F1202))</f>
        <v>44</v>
      </c>
    </row>
    <row r="1203" customFormat="false" ht="15" hidden="false" customHeight="false" outlineLevel="0" collapsed="false">
      <c r="A1203" s="12" t="n">
        <v>1200</v>
      </c>
      <c r="B1203" s="8" t="s">
        <v>3808</v>
      </c>
      <c r="C1203" s="8" t="s">
        <v>2901</v>
      </c>
      <c r="D1203" s="11" t="n">
        <v>0.00805300925925926</v>
      </c>
      <c r="E1203" s="39" t="n">
        <f aca="false">ROUND((D1203-$D$5)*86400,2)</f>
        <v>156.76</v>
      </c>
      <c r="F1203" s="12" t="n">
        <v>2481</v>
      </c>
      <c r="G1203" s="11" t="str">
        <f aca="false">IF(INDEX(選手一覧!$D$5:$D$2736,$F1203)="","",INDEX(選手一覧!$D$5:$D$2736,$F1203))</f>
        <v/>
      </c>
      <c r="H1203" s="12" t="str">
        <f aca="false">IF(INDEX(選手一覧!$E$5:$E$2736,$F1203)="","",INDEX(選手一覧!$E$5:$E$2736,$F1203))</f>
        <v/>
      </c>
      <c r="I1203" s="11" t="str">
        <f aca="false">IF(INDEX(選手一覧!$H$5:$H$2736,$F1203)="","",INDEX(選手一覧!$H$5:$H$2736,$F1203))</f>
        <v/>
      </c>
      <c r="J1203" s="12" t="str">
        <f aca="false">IF(INDEX(選手一覧!$I$5:$I$2736,$F1203)="","",INDEX(選手一覧!$I$5:$I$2736,$F1203))</f>
        <v/>
      </c>
    </row>
    <row r="1204" customFormat="false" ht="15" hidden="false" customHeight="false" outlineLevel="0" collapsed="false">
      <c r="A1204" s="12" t="n">
        <v>1201</v>
      </c>
      <c r="B1204" s="8" t="s">
        <v>3809</v>
      </c>
      <c r="C1204" s="8" t="s">
        <v>2533</v>
      </c>
      <c r="D1204" s="11" t="n">
        <v>0.008059375</v>
      </c>
      <c r="E1204" s="39" t="n">
        <f aca="false">ROUND((D1204-$D$5)*86400,2)</f>
        <v>157.31</v>
      </c>
      <c r="F1204" s="12" t="n">
        <v>2482</v>
      </c>
      <c r="G1204" s="11" t="str">
        <f aca="false">IF(INDEX(選手一覧!$D$5:$D$2736,$F1204)="","",INDEX(選手一覧!$D$5:$D$2736,$F1204))</f>
        <v/>
      </c>
      <c r="H1204" s="12" t="str">
        <f aca="false">IF(INDEX(選手一覧!$E$5:$E$2736,$F1204)="","",INDEX(選手一覧!$E$5:$E$2736,$F1204))</f>
        <v/>
      </c>
      <c r="I1204" s="11" t="str">
        <f aca="false">IF(INDEX(選手一覧!$H$5:$H$2736,$F1204)="","",INDEX(選手一覧!$H$5:$H$2736,$F1204))</f>
        <v/>
      </c>
      <c r="J1204" s="12" t="str">
        <f aca="false">IF(INDEX(選手一覧!$I$5:$I$2736,$F1204)="","",INDEX(選手一覧!$I$5:$I$2736,$F1204))</f>
        <v/>
      </c>
    </row>
    <row r="1205" customFormat="false" ht="15" hidden="false" customHeight="false" outlineLevel="0" collapsed="false">
      <c r="A1205" s="12" t="n">
        <v>1202</v>
      </c>
      <c r="B1205" s="8" t="s">
        <v>3810</v>
      </c>
      <c r="C1205" s="8" t="s">
        <v>2680</v>
      </c>
      <c r="D1205" s="11" t="n">
        <v>0.00806342592592593</v>
      </c>
      <c r="E1205" s="39" t="n">
        <f aca="false">ROUND((D1205-$D$5)*86400,2)</f>
        <v>157.66</v>
      </c>
      <c r="F1205" s="12" t="n">
        <v>2483</v>
      </c>
      <c r="G1205" s="11" t="str">
        <f aca="false">IF(INDEX(選手一覧!$D$5:$D$2736,$F1205)="","",INDEX(選手一覧!$D$5:$D$2736,$F1205))</f>
        <v/>
      </c>
      <c r="H1205" s="12" t="str">
        <f aca="false">IF(INDEX(選手一覧!$E$5:$E$2736,$F1205)="","",INDEX(選手一覧!$E$5:$E$2736,$F1205))</f>
        <v/>
      </c>
      <c r="I1205" s="11" t="str">
        <f aca="false">IF(INDEX(選手一覧!$H$5:$H$2736,$F1205)="","",INDEX(選手一覧!$H$5:$H$2736,$F1205))</f>
        <v/>
      </c>
      <c r="J1205" s="12" t="str">
        <f aca="false">IF(INDEX(選手一覧!$I$5:$I$2736,$F1205)="","",INDEX(選手一覧!$I$5:$I$2736,$F1205))</f>
        <v/>
      </c>
    </row>
    <row r="1206" customFormat="false" ht="15" hidden="false" customHeight="false" outlineLevel="0" collapsed="false">
      <c r="A1206" s="12" t="n">
        <v>1203</v>
      </c>
      <c r="B1206" s="8" t="s">
        <v>3812</v>
      </c>
      <c r="C1206" s="8" t="s">
        <v>2774</v>
      </c>
      <c r="D1206" s="11" t="n">
        <v>0.00806574074074074</v>
      </c>
      <c r="E1206" s="39" t="n">
        <f aca="false">ROUND((D1206-$D$5)*86400,2)</f>
        <v>157.86</v>
      </c>
      <c r="F1206" s="12" t="n">
        <v>2485</v>
      </c>
      <c r="G1206" s="11" t="str">
        <f aca="false">IF(INDEX(選手一覧!$D$5:$D$2736,$F1206)="","",INDEX(選手一覧!$D$5:$D$2736,$F1206))</f>
        <v/>
      </c>
      <c r="H1206" s="12" t="str">
        <f aca="false">IF(INDEX(選手一覧!$E$5:$E$2736,$F1206)="","",INDEX(選手一覧!$E$5:$E$2736,$F1206))</f>
        <v/>
      </c>
      <c r="I1206" s="11" t="str">
        <f aca="false">IF(INDEX(選手一覧!$H$5:$H$2736,$F1206)="","",INDEX(選手一覧!$H$5:$H$2736,$F1206))</f>
        <v/>
      </c>
      <c r="J1206" s="12" t="str">
        <f aca="false">IF(INDEX(選手一覧!$I$5:$I$2736,$F1206)="","",INDEX(選手一覧!$I$5:$I$2736,$F1206))</f>
        <v/>
      </c>
    </row>
    <row r="1207" customFormat="false" ht="15" hidden="false" customHeight="false" outlineLevel="0" collapsed="false">
      <c r="A1207" s="12" t="n">
        <v>1204</v>
      </c>
      <c r="B1207" s="8" t="s">
        <v>3813</v>
      </c>
      <c r="C1207" s="8" t="s">
        <v>3814</v>
      </c>
      <c r="D1207" s="11" t="n">
        <v>0.00806655092592593</v>
      </c>
      <c r="E1207" s="39" t="n">
        <f aca="false">ROUND((D1207-$D$5)*86400,2)</f>
        <v>157.93</v>
      </c>
      <c r="F1207" s="12" t="n">
        <v>2486</v>
      </c>
      <c r="G1207" s="11" t="str">
        <f aca="false">IF(INDEX(選手一覧!$D$5:$D$2736,$F1207)="","",INDEX(選手一覧!$D$5:$D$2736,$F1207))</f>
        <v/>
      </c>
      <c r="H1207" s="12" t="str">
        <f aca="false">IF(INDEX(選手一覧!$E$5:$E$2736,$F1207)="","",INDEX(選手一覧!$E$5:$E$2736,$F1207))</f>
        <v/>
      </c>
      <c r="I1207" s="11" t="str">
        <f aca="false">IF(INDEX(選手一覧!$H$5:$H$2736,$F1207)="","",INDEX(選手一覧!$H$5:$H$2736,$F1207))</f>
        <v/>
      </c>
      <c r="J1207" s="12" t="str">
        <f aca="false">IF(INDEX(選手一覧!$I$5:$I$2736,$F1207)="","",INDEX(選手一覧!$I$5:$I$2736,$F1207))</f>
        <v/>
      </c>
    </row>
    <row r="1208" customFormat="false" ht="15" hidden="false" customHeight="false" outlineLevel="0" collapsed="false">
      <c r="A1208" s="12" t="n">
        <v>1205</v>
      </c>
      <c r="B1208" s="8" t="s">
        <v>3815</v>
      </c>
      <c r="C1208" s="8" t="s">
        <v>3816</v>
      </c>
      <c r="D1208" s="11" t="n">
        <v>0.00806747685185185</v>
      </c>
      <c r="E1208" s="39" t="n">
        <f aca="false">ROUND((D1208-$D$5)*86400,2)</f>
        <v>158.01</v>
      </c>
      <c r="F1208" s="12" t="n">
        <v>2487</v>
      </c>
      <c r="G1208" s="11" t="str">
        <f aca="false">IF(INDEX(選手一覧!$D$5:$D$2736,$F1208)="","",INDEX(選手一覧!$D$5:$D$2736,$F1208))</f>
        <v/>
      </c>
      <c r="H1208" s="12" t="str">
        <f aca="false">IF(INDEX(選手一覧!$E$5:$E$2736,$F1208)="","",INDEX(選手一覧!$E$5:$E$2736,$F1208))</f>
        <v/>
      </c>
      <c r="I1208" s="11" t="str">
        <f aca="false">IF(INDEX(選手一覧!$H$5:$H$2736,$F1208)="","",INDEX(選手一覧!$H$5:$H$2736,$F1208))</f>
        <v/>
      </c>
      <c r="J1208" s="12" t="str">
        <f aca="false">IF(INDEX(選手一覧!$I$5:$I$2736,$F1208)="","",INDEX(選手一覧!$I$5:$I$2736,$F1208))</f>
        <v/>
      </c>
    </row>
    <row r="1209" customFormat="false" ht="15" hidden="false" customHeight="false" outlineLevel="0" collapsed="false">
      <c r="A1209" s="12" t="n">
        <v>1206</v>
      </c>
      <c r="B1209" s="8" t="s">
        <v>3819</v>
      </c>
      <c r="C1209" s="8" t="s">
        <v>3556</v>
      </c>
      <c r="D1209" s="11" t="n">
        <v>0.00806979166666667</v>
      </c>
      <c r="E1209" s="39" t="n">
        <f aca="false">ROUND((D1209-$D$5)*86400,2)</f>
        <v>158.21</v>
      </c>
      <c r="F1209" s="12" t="n">
        <v>2489</v>
      </c>
      <c r="G1209" s="11" t="str">
        <f aca="false">IF(INDEX(選手一覧!$D$5:$D$2736,$F1209)="","",INDEX(選手一覧!$D$5:$D$2736,$F1209))</f>
        <v/>
      </c>
      <c r="H1209" s="12" t="str">
        <f aca="false">IF(INDEX(選手一覧!$E$5:$E$2736,$F1209)="","",INDEX(選手一覧!$E$5:$E$2736,$F1209))</f>
        <v/>
      </c>
      <c r="I1209" s="11" t="str">
        <f aca="false">IF(INDEX(選手一覧!$H$5:$H$2736,$F1209)="","",INDEX(選手一覧!$H$5:$H$2736,$F1209))</f>
        <v/>
      </c>
      <c r="J1209" s="12" t="str">
        <f aca="false">IF(INDEX(選手一覧!$I$5:$I$2736,$F1209)="","",INDEX(選手一覧!$I$5:$I$2736,$F1209))</f>
        <v/>
      </c>
    </row>
    <row r="1210" customFormat="false" ht="15" hidden="false" customHeight="false" outlineLevel="0" collapsed="false">
      <c r="A1210" s="12" t="n">
        <v>1207</v>
      </c>
      <c r="B1210" s="8" t="s">
        <v>3820</v>
      </c>
      <c r="C1210" s="8" t="s">
        <v>3821</v>
      </c>
      <c r="D1210" s="11" t="n">
        <v>0.00807349537037037</v>
      </c>
      <c r="E1210" s="39" t="n">
        <f aca="false">ROUND((D1210-$D$5)*86400,2)</f>
        <v>158.53</v>
      </c>
      <c r="F1210" s="12" t="n">
        <v>2490</v>
      </c>
      <c r="G1210" s="11" t="str">
        <f aca="false">IF(INDEX(選手一覧!$D$5:$D$2736,$F1210)="","",INDEX(選手一覧!$D$5:$D$2736,$F1210))</f>
        <v/>
      </c>
      <c r="H1210" s="12" t="str">
        <f aca="false">IF(INDEX(選手一覧!$E$5:$E$2736,$F1210)="","",INDEX(選手一覧!$E$5:$E$2736,$F1210))</f>
        <v/>
      </c>
      <c r="I1210" s="11" t="str">
        <f aca="false">IF(INDEX(選手一覧!$H$5:$H$2736,$F1210)="","",INDEX(選手一覧!$H$5:$H$2736,$F1210))</f>
        <v/>
      </c>
      <c r="J1210" s="12" t="str">
        <f aca="false">IF(INDEX(選手一覧!$I$5:$I$2736,$F1210)="","",INDEX(選手一覧!$I$5:$I$2736,$F1210))</f>
        <v/>
      </c>
    </row>
    <row r="1211" customFormat="false" ht="15" hidden="false" customHeight="false" outlineLevel="0" collapsed="false">
      <c r="A1211" s="12" t="n">
        <v>1208</v>
      </c>
      <c r="B1211" s="8" t="s">
        <v>3822</v>
      </c>
      <c r="C1211" s="8" t="s">
        <v>3823</v>
      </c>
      <c r="D1211" s="11" t="n">
        <v>0.00807662037037037</v>
      </c>
      <c r="E1211" s="39" t="n">
        <f aca="false">ROUND((D1211-$D$5)*86400,2)</f>
        <v>158.8</v>
      </c>
      <c r="F1211" s="12" t="n">
        <v>2491</v>
      </c>
      <c r="G1211" s="11" t="str">
        <f aca="false">IF(INDEX(選手一覧!$D$5:$D$2736,$F1211)="","",INDEX(選手一覧!$D$5:$D$2736,$F1211))</f>
        <v/>
      </c>
      <c r="H1211" s="12" t="str">
        <f aca="false">IF(INDEX(選手一覧!$E$5:$E$2736,$F1211)="","",INDEX(選手一覧!$E$5:$E$2736,$F1211))</f>
        <v/>
      </c>
      <c r="I1211" s="11" t="str">
        <f aca="false">IF(INDEX(選手一覧!$H$5:$H$2736,$F1211)="","",INDEX(選手一覧!$H$5:$H$2736,$F1211))</f>
        <v/>
      </c>
      <c r="J1211" s="12" t="str">
        <f aca="false">IF(INDEX(選手一覧!$I$5:$I$2736,$F1211)="","",INDEX(選手一覧!$I$5:$I$2736,$F1211))</f>
        <v/>
      </c>
    </row>
    <row r="1212" customFormat="false" ht="15" hidden="false" customHeight="false" outlineLevel="0" collapsed="false">
      <c r="A1212" s="12" t="n">
        <v>1209</v>
      </c>
      <c r="B1212" s="8" t="s">
        <v>3825</v>
      </c>
      <c r="C1212" s="8" t="s">
        <v>817</v>
      </c>
      <c r="D1212" s="11" t="n">
        <v>0.00808657407407407</v>
      </c>
      <c r="E1212" s="39" t="n">
        <f aca="false">ROUND((D1212-$D$5)*86400,2)</f>
        <v>159.66</v>
      </c>
      <c r="F1212" s="12" t="n">
        <v>2493</v>
      </c>
      <c r="G1212" s="11" t="str">
        <f aca="false">IF(INDEX(選手一覧!$D$5:$D$2736,$F1212)="","",INDEX(選手一覧!$D$5:$D$2736,$F1212))</f>
        <v/>
      </c>
      <c r="H1212" s="12" t="str">
        <f aca="false">IF(INDEX(選手一覧!$E$5:$E$2736,$F1212)="","",INDEX(選手一覧!$E$5:$E$2736,$F1212))</f>
        <v/>
      </c>
      <c r="I1212" s="11" t="str">
        <f aca="false">IF(INDEX(選手一覧!$H$5:$H$2736,$F1212)="","",INDEX(選手一覧!$H$5:$H$2736,$F1212))</f>
        <v/>
      </c>
      <c r="J1212" s="12" t="str">
        <f aca="false">IF(INDEX(選手一覧!$I$5:$I$2736,$F1212)="","",INDEX(選手一覧!$I$5:$I$2736,$F1212))</f>
        <v/>
      </c>
    </row>
    <row r="1213" customFormat="false" ht="15" hidden="false" customHeight="false" outlineLevel="0" collapsed="false">
      <c r="A1213" s="12" t="n">
        <v>1210</v>
      </c>
      <c r="B1213" s="8" t="s">
        <v>3827</v>
      </c>
      <c r="C1213" s="8" t="s">
        <v>2423</v>
      </c>
      <c r="D1213" s="11" t="n">
        <v>0.00809756944444444</v>
      </c>
      <c r="E1213" s="39" t="n">
        <f aca="false">ROUND((D1213-$D$5)*86400,2)</f>
        <v>160.61</v>
      </c>
      <c r="F1213" s="12" t="n">
        <v>2495</v>
      </c>
      <c r="G1213" s="11" t="str">
        <f aca="false">IF(INDEX(選手一覧!$D$5:$D$2736,$F1213)="","",INDEX(選手一覧!$D$5:$D$2736,$F1213))</f>
        <v/>
      </c>
      <c r="H1213" s="12" t="str">
        <f aca="false">IF(INDEX(選手一覧!$E$5:$E$2736,$F1213)="","",INDEX(選手一覧!$E$5:$E$2736,$F1213))</f>
        <v/>
      </c>
      <c r="I1213" s="11" t="str">
        <f aca="false">IF(INDEX(選手一覧!$H$5:$H$2736,$F1213)="","",INDEX(選手一覧!$H$5:$H$2736,$F1213))</f>
        <v/>
      </c>
      <c r="J1213" s="12" t="str">
        <f aca="false">IF(INDEX(選手一覧!$I$5:$I$2736,$F1213)="","",INDEX(選手一覧!$I$5:$I$2736,$F1213))</f>
        <v/>
      </c>
    </row>
    <row r="1214" customFormat="false" ht="15" hidden="false" customHeight="false" outlineLevel="0" collapsed="false">
      <c r="A1214" s="12" t="n">
        <v>1211</v>
      </c>
      <c r="B1214" s="8" t="s">
        <v>3828</v>
      </c>
      <c r="C1214" s="8" t="s">
        <v>3829</v>
      </c>
      <c r="D1214" s="11" t="n">
        <v>0.00809965277777778</v>
      </c>
      <c r="E1214" s="39" t="n">
        <f aca="false">ROUND((D1214-$D$5)*86400,2)</f>
        <v>160.79</v>
      </c>
      <c r="F1214" s="12" t="n">
        <v>2496</v>
      </c>
      <c r="G1214" s="11" t="str">
        <f aca="false">IF(INDEX(選手一覧!$D$5:$D$2736,$F1214)="","",INDEX(選手一覧!$D$5:$D$2736,$F1214))</f>
        <v/>
      </c>
      <c r="H1214" s="12" t="str">
        <f aca="false">IF(INDEX(選手一覧!$E$5:$E$2736,$F1214)="","",INDEX(選手一覧!$E$5:$E$2736,$F1214))</f>
        <v/>
      </c>
      <c r="I1214" s="11" t="str">
        <f aca="false">IF(INDEX(選手一覧!$H$5:$H$2736,$F1214)="","",INDEX(選手一覧!$H$5:$H$2736,$F1214))</f>
        <v/>
      </c>
      <c r="J1214" s="12" t="str">
        <f aca="false">IF(INDEX(選手一覧!$I$5:$I$2736,$F1214)="","",INDEX(選手一覧!$I$5:$I$2736,$F1214))</f>
        <v/>
      </c>
    </row>
    <row r="1215" customFormat="false" ht="15" hidden="false" customHeight="false" outlineLevel="0" collapsed="false">
      <c r="A1215" s="12" t="n">
        <v>1212</v>
      </c>
      <c r="B1215" s="8" t="s">
        <v>3831</v>
      </c>
      <c r="C1215" s="8" t="s">
        <v>1621</v>
      </c>
      <c r="D1215" s="11" t="n">
        <v>0.00810752314814815</v>
      </c>
      <c r="E1215" s="39" t="n">
        <f aca="false">ROUND((D1215-$D$5)*86400,2)</f>
        <v>161.47</v>
      </c>
      <c r="F1215" s="12" t="n">
        <v>2498</v>
      </c>
      <c r="G1215" s="11" t="str">
        <f aca="false">IF(INDEX(選手一覧!$D$5:$D$2736,$F1215)="","",INDEX(選手一覧!$D$5:$D$2736,$F1215))</f>
        <v/>
      </c>
      <c r="H1215" s="12" t="str">
        <f aca="false">IF(INDEX(選手一覧!$E$5:$E$2736,$F1215)="","",INDEX(選手一覧!$E$5:$E$2736,$F1215))</f>
        <v/>
      </c>
      <c r="I1215" s="11" t="str">
        <f aca="false">IF(INDEX(選手一覧!$H$5:$H$2736,$F1215)="","",INDEX(選手一覧!$H$5:$H$2736,$F1215))</f>
        <v/>
      </c>
      <c r="J1215" s="12" t="str">
        <f aca="false">IF(INDEX(選手一覧!$I$5:$I$2736,$F1215)="","",INDEX(選手一覧!$I$5:$I$2736,$F1215))</f>
        <v/>
      </c>
    </row>
    <row r="1216" customFormat="false" ht="15" hidden="false" customHeight="false" outlineLevel="0" collapsed="false">
      <c r="A1216" s="12" t="n">
        <v>1213</v>
      </c>
      <c r="B1216" s="8" t="s">
        <v>3833</v>
      </c>
      <c r="C1216" s="8" t="s">
        <v>1089</v>
      </c>
      <c r="D1216" s="11" t="n">
        <v>0.00812233796296296</v>
      </c>
      <c r="E1216" s="39" t="n">
        <f aca="false">ROUND((D1216-$D$5)*86400,2)</f>
        <v>162.75</v>
      </c>
      <c r="F1216" s="12" t="n">
        <v>2500</v>
      </c>
      <c r="G1216" s="11" t="str">
        <f aca="false">IF(INDEX(選手一覧!$D$5:$D$2736,$F1216)="","",INDEX(選手一覧!$D$5:$D$2736,$F1216))</f>
        <v/>
      </c>
      <c r="H1216" s="12" t="str">
        <f aca="false">IF(INDEX(選手一覧!$E$5:$E$2736,$F1216)="","",INDEX(選手一覧!$E$5:$E$2736,$F1216))</f>
        <v/>
      </c>
      <c r="I1216" s="11" t="str">
        <f aca="false">IF(INDEX(選手一覧!$H$5:$H$2736,$F1216)="","",INDEX(選手一覧!$H$5:$H$2736,$F1216))</f>
        <v/>
      </c>
      <c r="J1216" s="12" t="str">
        <f aca="false">IF(INDEX(選手一覧!$I$5:$I$2736,$F1216)="","",INDEX(選手一覧!$I$5:$I$2736,$F1216))</f>
        <v/>
      </c>
    </row>
    <row r="1217" customFormat="false" ht="15" hidden="false" customHeight="false" outlineLevel="0" collapsed="false">
      <c r="A1217" s="12" t="n">
        <v>1214</v>
      </c>
      <c r="B1217" s="8" t="s">
        <v>3834</v>
      </c>
      <c r="C1217" s="8" t="s">
        <v>2913</v>
      </c>
      <c r="D1217" s="11" t="n">
        <v>0.00812962962962963</v>
      </c>
      <c r="E1217" s="39" t="n">
        <f aca="false">ROUND((D1217-$D$5)*86400,2)</f>
        <v>163.38</v>
      </c>
      <c r="F1217" s="12" t="n">
        <v>2501</v>
      </c>
      <c r="G1217" s="11" t="str">
        <f aca="false">IF(INDEX(選手一覧!$D$5:$D$2736,$F1217)="","",INDEX(選手一覧!$D$5:$D$2736,$F1217))</f>
        <v/>
      </c>
      <c r="H1217" s="12" t="str">
        <f aca="false">IF(INDEX(選手一覧!$E$5:$E$2736,$F1217)="","",INDEX(選手一覧!$E$5:$E$2736,$F1217))</f>
        <v/>
      </c>
      <c r="I1217" s="11" t="str">
        <f aca="false">IF(INDEX(選手一覧!$H$5:$H$2736,$F1217)="","",INDEX(選手一覧!$H$5:$H$2736,$F1217))</f>
        <v/>
      </c>
      <c r="J1217" s="12" t="str">
        <f aca="false">IF(INDEX(選手一覧!$I$5:$I$2736,$F1217)="","",INDEX(選手一覧!$I$5:$I$2736,$F1217))</f>
        <v/>
      </c>
    </row>
    <row r="1218" customFormat="false" ht="15" hidden="false" customHeight="false" outlineLevel="0" collapsed="false">
      <c r="A1218" s="12" t="n">
        <v>1215</v>
      </c>
      <c r="B1218" s="8" t="s">
        <v>3835</v>
      </c>
      <c r="C1218" s="8" t="s">
        <v>3836</v>
      </c>
      <c r="D1218" s="11" t="n">
        <v>0.00813506944444445</v>
      </c>
      <c r="E1218" s="39" t="n">
        <f aca="false">ROUND((D1218-$D$5)*86400,2)</f>
        <v>163.85</v>
      </c>
      <c r="F1218" s="12" t="n">
        <v>2502</v>
      </c>
      <c r="G1218" s="11" t="str">
        <f aca="false">IF(INDEX(選手一覧!$D$5:$D$2736,$F1218)="","",INDEX(選手一覧!$D$5:$D$2736,$F1218))</f>
        <v/>
      </c>
      <c r="H1218" s="12" t="str">
        <f aca="false">IF(INDEX(選手一覧!$E$5:$E$2736,$F1218)="","",INDEX(選手一覧!$E$5:$E$2736,$F1218))</f>
        <v/>
      </c>
      <c r="I1218" s="11" t="str">
        <f aca="false">IF(INDEX(選手一覧!$H$5:$H$2736,$F1218)="","",INDEX(選手一覧!$H$5:$H$2736,$F1218))</f>
        <v/>
      </c>
      <c r="J1218" s="12" t="str">
        <f aca="false">IF(INDEX(選手一覧!$I$5:$I$2736,$F1218)="","",INDEX(選手一覧!$I$5:$I$2736,$F1218))</f>
        <v/>
      </c>
    </row>
    <row r="1219" customFormat="false" ht="15" hidden="false" customHeight="false" outlineLevel="0" collapsed="false">
      <c r="A1219" s="12" t="n">
        <v>1216</v>
      </c>
      <c r="B1219" s="8" t="s">
        <v>3838</v>
      </c>
      <c r="C1219" s="8" t="s">
        <v>2611</v>
      </c>
      <c r="D1219" s="11" t="n">
        <v>0.00813831018518518</v>
      </c>
      <c r="E1219" s="39" t="n">
        <f aca="false">ROUND((D1219-$D$5)*86400,2)</f>
        <v>164.13</v>
      </c>
      <c r="F1219" s="12" t="n">
        <v>2504</v>
      </c>
      <c r="G1219" s="11" t="str">
        <f aca="false">IF(INDEX(選手一覧!$D$5:$D$2736,$F1219)="","",INDEX(選手一覧!$D$5:$D$2736,$F1219))</f>
        <v/>
      </c>
      <c r="H1219" s="12" t="str">
        <f aca="false">IF(INDEX(選手一覧!$E$5:$E$2736,$F1219)="","",INDEX(選手一覧!$E$5:$E$2736,$F1219))</f>
        <v/>
      </c>
      <c r="I1219" s="11" t="str">
        <f aca="false">IF(INDEX(選手一覧!$H$5:$H$2736,$F1219)="","",INDEX(選手一覧!$H$5:$H$2736,$F1219))</f>
        <v/>
      </c>
      <c r="J1219" s="12" t="str">
        <f aca="false">IF(INDEX(選手一覧!$I$5:$I$2736,$F1219)="","",INDEX(選手一覧!$I$5:$I$2736,$F1219))</f>
        <v/>
      </c>
    </row>
    <row r="1220" customFormat="false" ht="15" hidden="false" customHeight="false" outlineLevel="0" collapsed="false">
      <c r="A1220" s="12" t="n">
        <v>1217</v>
      </c>
      <c r="B1220" s="8" t="s">
        <v>3839</v>
      </c>
      <c r="C1220" s="8" t="s">
        <v>1378</v>
      </c>
      <c r="D1220" s="11" t="n">
        <v>0.00813854166666667</v>
      </c>
      <c r="E1220" s="39" t="n">
        <f aca="false">ROUND((D1220-$D$5)*86400,2)</f>
        <v>164.15</v>
      </c>
      <c r="F1220" s="12" t="n">
        <v>2505</v>
      </c>
      <c r="G1220" s="11" t="str">
        <f aca="false">IF(INDEX(選手一覧!$D$5:$D$2736,$F1220)="","",INDEX(選手一覧!$D$5:$D$2736,$F1220))</f>
        <v/>
      </c>
      <c r="H1220" s="12" t="str">
        <f aca="false">IF(INDEX(選手一覧!$E$5:$E$2736,$F1220)="","",INDEX(選手一覧!$E$5:$E$2736,$F1220))</f>
        <v/>
      </c>
      <c r="I1220" s="11" t="str">
        <f aca="false">IF(INDEX(選手一覧!$H$5:$H$2736,$F1220)="","",INDEX(選手一覧!$H$5:$H$2736,$F1220))</f>
        <v/>
      </c>
      <c r="J1220" s="12" t="str">
        <f aca="false">IF(INDEX(選手一覧!$I$5:$I$2736,$F1220)="","",INDEX(選手一覧!$I$5:$I$2736,$F1220))</f>
        <v/>
      </c>
    </row>
    <row r="1221" customFormat="false" ht="15" hidden="false" customHeight="false" outlineLevel="0" collapsed="false">
      <c r="A1221" s="12" t="n">
        <v>1218</v>
      </c>
      <c r="B1221" s="8" t="s">
        <v>3841</v>
      </c>
      <c r="C1221" s="8" t="s">
        <v>3010</v>
      </c>
      <c r="D1221" s="11" t="n">
        <v>0.00814953703703704</v>
      </c>
      <c r="E1221" s="39" t="n">
        <f aca="false">ROUND((D1221-$D$5)*86400,2)</f>
        <v>165.1</v>
      </c>
      <c r="F1221" s="12" t="n">
        <v>2507</v>
      </c>
      <c r="G1221" s="11" t="str">
        <f aca="false">IF(INDEX(選手一覧!$D$5:$D$2736,$F1221)="","",INDEX(選手一覧!$D$5:$D$2736,$F1221))</f>
        <v/>
      </c>
      <c r="H1221" s="12" t="str">
        <f aca="false">IF(INDEX(選手一覧!$E$5:$E$2736,$F1221)="","",INDEX(選手一覧!$E$5:$E$2736,$F1221))</f>
        <v/>
      </c>
      <c r="I1221" s="11" t="str">
        <f aca="false">IF(INDEX(選手一覧!$H$5:$H$2736,$F1221)="","",INDEX(選手一覧!$H$5:$H$2736,$F1221))</f>
        <v/>
      </c>
      <c r="J1221" s="12" t="str">
        <f aca="false">IF(INDEX(選手一覧!$I$5:$I$2736,$F1221)="","",INDEX(選手一覧!$I$5:$I$2736,$F1221))</f>
        <v/>
      </c>
    </row>
    <row r="1222" customFormat="false" ht="15" hidden="false" customHeight="false" outlineLevel="0" collapsed="false">
      <c r="A1222" s="12" t="n">
        <v>1219</v>
      </c>
      <c r="B1222" s="8" t="s">
        <v>1982</v>
      </c>
      <c r="C1222" s="8" t="s">
        <v>541</v>
      </c>
      <c r="D1222" s="11" t="n">
        <v>0.00815219907407407</v>
      </c>
      <c r="E1222" s="39" t="n">
        <f aca="false">ROUND((D1222-$D$5)*86400,2)</f>
        <v>165.33</v>
      </c>
      <c r="F1222" s="12" t="n">
        <v>1249</v>
      </c>
      <c r="G1222" s="11" t="n">
        <f aca="false">IF(INDEX(選手一覧!$D$5:$D$2736,$F1222)="","",INDEX(選手一覧!$D$5:$D$2736,$F1222))</f>
        <v>0.0110797453703704</v>
      </c>
      <c r="H1222" s="12" t="n">
        <f aca="false">IF(INDEX(選手一覧!$E$5:$E$2736,$F1222)="","",INDEX(選手一覧!$E$5:$E$2736,$F1222))</f>
        <v>1250</v>
      </c>
      <c r="I1222" s="11" t="str">
        <f aca="false">IF(INDEX(選手一覧!$H$5:$H$2736,$F1222)="","",INDEX(選手一覧!$H$5:$H$2736,$F1222))</f>
        <v/>
      </c>
      <c r="J1222" s="12" t="str">
        <f aca="false">IF(INDEX(選手一覧!$I$5:$I$2736,$F1222)="","",INDEX(選手一覧!$I$5:$I$2736,$F1222))</f>
        <v/>
      </c>
    </row>
    <row r="1223" customFormat="false" ht="15" hidden="false" customHeight="false" outlineLevel="0" collapsed="false">
      <c r="A1223" s="12" t="n">
        <v>1220</v>
      </c>
      <c r="B1223" s="8" t="s">
        <v>3842</v>
      </c>
      <c r="C1223" s="8" t="s">
        <v>2486</v>
      </c>
      <c r="D1223" s="11" t="n">
        <v>0.00815462962962963</v>
      </c>
      <c r="E1223" s="39" t="n">
        <f aca="false">ROUND((D1223-$D$5)*86400,2)</f>
        <v>165.54</v>
      </c>
      <c r="F1223" s="12" t="n">
        <v>2508</v>
      </c>
      <c r="G1223" s="11" t="str">
        <f aca="false">IF(INDEX(選手一覧!$D$5:$D$2736,$F1223)="","",INDEX(選手一覧!$D$5:$D$2736,$F1223))</f>
        <v/>
      </c>
      <c r="H1223" s="12" t="str">
        <f aca="false">IF(INDEX(選手一覧!$E$5:$E$2736,$F1223)="","",INDEX(選手一覧!$E$5:$E$2736,$F1223))</f>
        <v/>
      </c>
      <c r="I1223" s="11" t="str">
        <f aca="false">IF(INDEX(選手一覧!$H$5:$H$2736,$F1223)="","",INDEX(選手一覧!$H$5:$H$2736,$F1223))</f>
        <v/>
      </c>
      <c r="J1223" s="12" t="str">
        <f aca="false">IF(INDEX(選手一覧!$I$5:$I$2736,$F1223)="","",INDEX(選手一覧!$I$5:$I$2736,$F1223))</f>
        <v/>
      </c>
    </row>
    <row r="1224" customFormat="false" ht="15" hidden="false" customHeight="false" outlineLevel="0" collapsed="false">
      <c r="A1224" s="12" t="n">
        <v>1221</v>
      </c>
      <c r="B1224" s="8" t="s">
        <v>3845</v>
      </c>
      <c r="C1224" s="8" t="s">
        <v>1332</v>
      </c>
      <c r="D1224" s="11" t="n">
        <v>0.00815543981481482</v>
      </c>
      <c r="E1224" s="39" t="n">
        <f aca="false">ROUND((D1224-$D$5)*86400,2)</f>
        <v>165.61</v>
      </c>
      <c r="F1224" s="12" t="n">
        <v>2510</v>
      </c>
      <c r="G1224" s="11" t="str">
        <f aca="false">IF(INDEX(選手一覧!$D$5:$D$2736,$F1224)="","",INDEX(選手一覧!$D$5:$D$2736,$F1224))</f>
        <v/>
      </c>
      <c r="H1224" s="12" t="str">
        <f aca="false">IF(INDEX(選手一覧!$E$5:$E$2736,$F1224)="","",INDEX(選手一覧!$E$5:$E$2736,$F1224))</f>
        <v/>
      </c>
      <c r="I1224" s="11" t="str">
        <f aca="false">IF(INDEX(選手一覧!$H$5:$H$2736,$F1224)="","",INDEX(選手一覧!$H$5:$H$2736,$F1224))</f>
        <v/>
      </c>
      <c r="J1224" s="12" t="str">
        <f aca="false">IF(INDEX(選手一覧!$I$5:$I$2736,$F1224)="","",INDEX(選手一覧!$I$5:$I$2736,$F1224))</f>
        <v/>
      </c>
    </row>
    <row r="1225" customFormat="false" ht="15" hidden="false" customHeight="false" outlineLevel="0" collapsed="false">
      <c r="A1225" s="12" t="n">
        <v>1222</v>
      </c>
      <c r="B1225" s="8" t="s">
        <v>3847</v>
      </c>
      <c r="C1225" s="8" t="s">
        <v>3848</v>
      </c>
      <c r="D1225" s="11" t="n">
        <v>0.00815555555555556</v>
      </c>
      <c r="E1225" s="39" t="n">
        <f aca="false">ROUND((D1225-$D$5)*86400,2)</f>
        <v>165.62</v>
      </c>
      <c r="F1225" s="12" t="n">
        <v>2512</v>
      </c>
      <c r="G1225" s="11" t="str">
        <f aca="false">IF(INDEX(選手一覧!$D$5:$D$2736,$F1225)="","",INDEX(選手一覧!$D$5:$D$2736,$F1225))</f>
        <v/>
      </c>
      <c r="H1225" s="12" t="str">
        <f aca="false">IF(INDEX(選手一覧!$E$5:$E$2736,$F1225)="","",INDEX(選手一覧!$E$5:$E$2736,$F1225))</f>
        <v/>
      </c>
      <c r="I1225" s="11" t="str">
        <f aca="false">IF(INDEX(選手一覧!$H$5:$H$2736,$F1225)="","",INDEX(選手一覧!$H$5:$H$2736,$F1225))</f>
        <v/>
      </c>
      <c r="J1225" s="12" t="str">
        <f aca="false">IF(INDEX(選手一覧!$I$5:$I$2736,$F1225)="","",INDEX(選手一覧!$I$5:$I$2736,$F1225))</f>
        <v/>
      </c>
    </row>
    <row r="1226" customFormat="false" ht="15" hidden="false" customHeight="false" outlineLevel="0" collapsed="false">
      <c r="A1226" s="12" t="n">
        <v>1223</v>
      </c>
      <c r="B1226" s="8" t="s">
        <v>1165</v>
      </c>
      <c r="C1226" s="8" t="s">
        <v>508</v>
      </c>
      <c r="D1226" s="11" t="n">
        <v>0.008159375</v>
      </c>
      <c r="E1226" s="39" t="n">
        <f aca="false">ROUND((D1226-$D$5)*86400,2)</f>
        <v>165.95</v>
      </c>
      <c r="F1226" s="12" t="n">
        <v>695</v>
      </c>
      <c r="G1226" s="11" t="n">
        <f aca="false">IF(INDEX(選手一覧!$D$5:$D$2736,$F1226)="","",INDEX(選手一覧!$D$5:$D$2736,$F1226))</f>
        <v>0.0107704861111111</v>
      </c>
      <c r="H1226" s="12" t="n">
        <f aca="false">IF(INDEX(選手一覧!$E$5:$E$2736,$F1226)="","",INDEX(選手一覧!$E$5:$E$2736,$F1226))</f>
        <v>696</v>
      </c>
      <c r="I1226" s="11" t="n">
        <f aca="false">IF(INDEX(選手一覧!$H$5:$H$2736,$F1226)="","",INDEX(選手一覧!$H$5:$H$2736,$F1226))</f>
        <v>0.00288263888888889</v>
      </c>
      <c r="J1226" s="12" t="n">
        <f aca="false">IF(INDEX(選手一覧!$I$5:$I$2736,$F1226)="","",INDEX(選手一覧!$I$5:$I$2736,$F1226))</f>
        <v>797</v>
      </c>
    </row>
    <row r="1227" customFormat="false" ht="15" hidden="false" customHeight="false" outlineLevel="0" collapsed="false">
      <c r="A1227" s="12" t="n">
        <v>1224</v>
      </c>
      <c r="B1227" s="8" t="s">
        <v>3850</v>
      </c>
      <c r="C1227" s="8" t="s">
        <v>1252</v>
      </c>
      <c r="D1227" s="11" t="n">
        <v>0.0081625</v>
      </c>
      <c r="E1227" s="39" t="n">
        <f aca="false">ROUND((D1227-$D$5)*86400,2)</f>
        <v>166.22</v>
      </c>
      <c r="F1227" s="12" t="n">
        <v>2514</v>
      </c>
      <c r="G1227" s="11" t="str">
        <f aca="false">IF(INDEX(選手一覧!$D$5:$D$2736,$F1227)="","",INDEX(選手一覧!$D$5:$D$2736,$F1227))</f>
        <v/>
      </c>
      <c r="H1227" s="12" t="str">
        <f aca="false">IF(INDEX(選手一覧!$E$5:$E$2736,$F1227)="","",INDEX(選手一覧!$E$5:$E$2736,$F1227))</f>
        <v/>
      </c>
      <c r="I1227" s="11" t="str">
        <f aca="false">IF(INDEX(選手一覧!$H$5:$H$2736,$F1227)="","",INDEX(選手一覧!$H$5:$H$2736,$F1227))</f>
        <v/>
      </c>
      <c r="J1227" s="12" t="str">
        <f aca="false">IF(INDEX(選手一覧!$I$5:$I$2736,$F1227)="","",INDEX(選手一覧!$I$5:$I$2736,$F1227))</f>
        <v/>
      </c>
    </row>
    <row r="1228" customFormat="false" ht="15" hidden="false" customHeight="false" outlineLevel="0" collapsed="false">
      <c r="A1228" s="12" t="n">
        <v>1225</v>
      </c>
      <c r="B1228" s="8" t="s">
        <v>3851</v>
      </c>
      <c r="C1228" s="8" t="s">
        <v>1484</v>
      </c>
      <c r="D1228" s="11" t="n">
        <v>0.00816331018518519</v>
      </c>
      <c r="E1228" s="39" t="n">
        <f aca="false">ROUND((D1228-$D$5)*86400,2)</f>
        <v>166.29</v>
      </c>
      <c r="F1228" s="12" t="n">
        <v>2515</v>
      </c>
      <c r="G1228" s="11" t="str">
        <f aca="false">IF(INDEX(選手一覧!$D$5:$D$2736,$F1228)="","",INDEX(選手一覧!$D$5:$D$2736,$F1228))</f>
        <v/>
      </c>
      <c r="H1228" s="12" t="str">
        <f aca="false">IF(INDEX(選手一覧!$E$5:$E$2736,$F1228)="","",INDEX(選手一覧!$E$5:$E$2736,$F1228))</f>
        <v/>
      </c>
      <c r="I1228" s="11" t="str">
        <f aca="false">IF(INDEX(選手一覧!$H$5:$H$2736,$F1228)="","",INDEX(選手一覧!$H$5:$H$2736,$F1228))</f>
        <v/>
      </c>
      <c r="J1228" s="12" t="str">
        <f aca="false">IF(INDEX(選手一覧!$I$5:$I$2736,$F1228)="","",INDEX(選手一覧!$I$5:$I$2736,$F1228))</f>
        <v/>
      </c>
    </row>
    <row r="1229" customFormat="false" ht="15" hidden="false" customHeight="false" outlineLevel="0" collapsed="false">
      <c r="A1229" s="12" t="n">
        <v>1226</v>
      </c>
      <c r="B1229" s="8" t="s">
        <v>3852</v>
      </c>
      <c r="C1229" s="8" t="s">
        <v>2777</v>
      </c>
      <c r="D1229" s="11" t="n">
        <v>0.00816354166666667</v>
      </c>
      <c r="E1229" s="39" t="n">
        <f aca="false">ROUND((D1229-$D$5)*86400,2)</f>
        <v>166.31</v>
      </c>
      <c r="F1229" s="12" t="n">
        <v>2516</v>
      </c>
      <c r="G1229" s="11" t="str">
        <f aca="false">IF(INDEX(選手一覧!$D$5:$D$2736,$F1229)="","",INDEX(選手一覧!$D$5:$D$2736,$F1229))</f>
        <v/>
      </c>
      <c r="H1229" s="12" t="str">
        <f aca="false">IF(INDEX(選手一覧!$E$5:$E$2736,$F1229)="","",INDEX(選手一覧!$E$5:$E$2736,$F1229))</f>
        <v/>
      </c>
      <c r="I1229" s="11" t="str">
        <f aca="false">IF(INDEX(選手一覧!$H$5:$H$2736,$F1229)="","",INDEX(選手一覧!$H$5:$H$2736,$F1229))</f>
        <v/>
      </c>
      <c r="J1229" s="12" t="str">
        <f aca="false">IF(INDEX(選手一覧!$I$5:$I$2736,$F1229)="","",INDEX(選手一覧!$I$5:$I$2736,$F1229))</f>
        <v/>
      </c>
    </row>
    <row r="1230" customFormat="false" ht="15" hidden="false" customHeight="false" outlineLevel="0" collapsed="false">
      <c r="A1230" s="12" t="n">
        <v>1227</v>
      </c>
      <c r="B1230" s="8" t="s">
        <v>3854</v>
      </c>
      <c r="C1230" s="8" t="s">
        <v>2104</v>
      </c>
      <c r="D1230" s="11" t="n">
        <v>0.00816655092592593</v>
      </c>
      <c r="E1230" s="39" t="n">
        <f aca="false">ROUND((D1230-$D$5)*86400,2)</f>
        <v>166.57</v>
      </c>
      <c r="F1230" s="12" t="n">
        <v>2518</v>
      </c>
      <c r="G1230" s="11" t="str">
        <f aca="false">IF(INDEX(選手一覧!$D$5:$D$2736,$F1230)="","",INDEX(選手一覧!$D$5:$D$2736,$F1230))</f>
        <v/>
      </c>
      <c r="H1230" s="12" t="str">
        <f aca="false">IF(INDEX(選手一覧!$E$5:$E$2736,$F1230)="","",INDEX(選手一覧!$E$5:$E$2736,$F1230))</f>
        <v/>
      </c>
      <c r="I1230" s="11" t="str">
        <f aca="false">IF(INDEX(選手一覧!$H$5:$H$2736,$F1230)="","",INDEX(選手一覧!$H$5:$H$2736,$F1230))</f>
        <v/>
      </c>
      <c r="J1230" s="12" t="str">
        <f aca="false">IF(INDEX(選手一覧!$I$5:$I$2736,$F1230)="","",INDEX(選手一覧!$I$5:$I$2736,$F1230))</f>
        <v/>
      </c>
    </row>
    <row r="1231" customFormat="false" ht="15" hidden="false" customHeight="false" outlineLevel="0" collapsed="false">
      <c r="A1231" s="12" t="n">
        <v>1228</v>
      </c>
      <c r="B1231" s="8" t="s">
        <v>3857</v>
      </c>
      <c r="C1231" s="8" t="s">
        <v>3079</v>
      </c>
      <c r="D1231" s="11" t="n">
        <v>0.00817581018518519</v>
      </c>
      <c r="E1231" s="39" t="n">
        <f aca="false">ROUND((D1231-$D$5)*86400,2)</f>
        <v>167.37</v>
      </c>
      <c r="F1231" s="12" t="n">
        <v>2520</v>
      </c>
      <c r="G1231" s="11" t="str">
        <f aca="false">IF(INDEX(選手一覧!$D$5:$D$2736,$F1231)="","",INDEX(選手一覧!$D$5:$D$2736,$F1231))</f>
        <v/>
      </c>
      <c r="H1231" s="12" t="str">
        <f aca="false">IF(INDEX(選手一覧!$E$5:$E$2736,$F1231)="","",INDEX(選手一覧!$E$5:$E$2736,$F1231))</f>
        <v/>
      </c>
      <c r="I1231" s="11" t="str">
        <f aca="false">IF(INDEX(選手一覧!$H$5:$H$2736,$F1231)="","",INDEX(選手一覧!$H$5:$H$2736,$F1231))</f>
        <v/>
      </c>
      <c r="J1231" s="12" t="str">
        <f aca="false">IF(INDEX(選手一覧!$I$5:$I$2736,$F1231)="","",INDEX(選手一覧!$I$5:$I$2736,$F1231))</f>
        <v/>
      </c>
    </row>
    <row r="1232" customFormat="false" ht="15" hidden="false" customHeight="false" outlineLevel="0" collapsed="false">
      <c r="A1232" s="12" t="n">
        <v>1229</v>
      </c>
      <c r="B1232" s="8" t="s">
        <v>3858</v>
      </c>
      <c r="C1232" s="8" t="s">
        <v>3859</v>
      </c>
      <c r="D1232" s="11" t="n">
        <v>0.00817731481481481</v>
      </c>
      <c r="E1232" s="39" t="n">
        <f aca="false">ROUND((D1232-$D$5)*86400,2)</f>
        <v>167.5</v>
      </c>
      <c r="F1232" s="12" t="n">
        <v>2521</v>
      </c>
      <c r="G1232" s="11" t="str">
        <f aca="false">IF(INDEX(選手一覧!$D$5:$D$2736,$F1232)="","",INDEX(選手一覧!$D$5:$D$2736,$F1232))</f>
        <v/>
      </c>
      <c r="H1232" s="12" t="str">
        <f aca="false">IF(INDEX(選手一覧!$E$5:$E$2736,$F1232)="","",INDEX(選手一覧!$E$5:$E$2736,$F1232))</f>
        <v/>
      </c>
      <c r="I1232" s="11" t="str">
        <f aca="false">IF(INDEX(選手一覧!$H$5:$H$2736,$F1232)="","",INDEX(選手一覧!$H$5:$H$2736,$F1232))</f>
        <v/>
      </c>
      <c r="J1232" s="12" t="str">
        <f aca="false">IF(INDEX(選手一覧!$I$5:$I$2736,$F1232)="","",INDEX(選手一覧!$I$5:$I$2736,$F1232))</f>
        <v/>
      </c>
    </row>
    <row r="1233" customFormat="false" ht="15" hidden="false" customHeight="false" outlineLevel="0" collapsed="false">
      <c r="A1233" s="12" t="n">
        <v>1230</v>
      </c>
      <c r="B1233" s="8" t="s">
        <v>3862</v>
      </c>
      <c r="C1233" s="8" t="s">
        <v>2818</v>
      </c>
      <c r="D1233" s="11" t="n">
        <v>0.00817974537037037</v>
      </c>
      <c r="E1233" s="39" t="n">
        <f aca="false">ROUND((D1233-$D$5)*86400,2)</f>
        <v>167.71</v>
      </c>
      <c r="F1233" s="12" t="n">
        <v>2523</v>
      </c>
      <c r="G1233" s="11" t="str">
        <f aca="false">IF(INDEX(選手一覧!$D$5:$D$2736,$F1233)="","",INDEX(選手一覧!$D$5:$D$2736,$F1233))</f>
        <v/>
      </c>
      <c r="H1233" s="12" t="str">
        <f aca="false">IF(INDEX(選手一覧!$E$5:$E$2736,$F1233)="","",INDEX(選手一覧!$E$5:$E$2736,$F1233))</f>
        <v/>
      </c>
      <c r="I1233" s="11" t="str">
        <f aca="false">IF(INDEX(選手一覧!$H$5:$H$2736,$F1233)="","",INDEX(選手一覧!$H$5:$H$2736,$F1233))</f>
        <v/>
      </c>
      <c r="J1233" s="12" t="str">
        <f aca="false">IF(INDEX(選手一覧!$I$5:$I$2736,$F1233)="","",INDEX(選手一覧!$I$5:$I$2736,$F1233))</f>
        <v/>
      </c>
    </row>
    <row r="1234" customFormat="false" ht="15" hidden="false" customHeight="false" outlineLevel="0" collapsed="false">
      <c r="A1234" s="12" t="n">
        <v>1231</v>
      </c>
      <c r="B1234" s="8" t="s">
        <v>3864</v>
      </c>
      <c r="C1234" s="8" t="s">
        <v>3865</v>
      </c>
      <c r="D1234" s="11" t="n">
        <v>0.00819131944444445</v>
      </c>
      <c r="E1234" s="39" t="n">
        <f aca="false">ROUND((D1234-$D$5)*86400,2)</f>
        <v>168.71</v>
      </c>
      <c r="F1234" s="12" t="n">
        <v>2525</v>
      </c>
      <c r="G1234" s="11" t="str">
        <f aca="false">IF(INDEX(選手一覧!$D$5:$D$2736,$F1234)="","",INDEX(選手一覧!$D$5:$D$2736,$F1234))</f>
        <v/>
      </c>
      <c r="H1234" s="12" t="str">
        <f aca="false">IF(INDEX(選手一覧!$E$5:$E$2736,$F1234)="","",INDEX(選手一覧!$E$5:$E$2736,$F1234))</f>
        <v/>
      </c>
      <c r="I1234" s="11" t="str">
        <f aca="false">IF(INDEX(選手一覧!$H$5:$H$2736,$F1234)="","",INDEX(選手一覧!$H$5:$H$2736,$F1234))</f>
        <v/>
      </c>
      <c r="J1234" s="12" t="str">
        <f aca="false">IF(INDEX(選手一覧!$I$5:$I$2736,$F1234)="","",INDEX(選手一覧!$I$5:$I$2736,$F1234))</f>
        <v/>
      </c>
    </row>
    <row r="1235" customFormat="false" ht="15" hidden="false" customHeight="false" outlineLevel="0" collapsed="false">
      <c r="A1235" s="12" t="n">
        <v>1232</v>
      </c>
      <c r="B1235" s="8" t="s">
        <v>3867</v>
      </c>
      <c r="C1235" s="8" t="s">
        <v>3868</v>
      </c>
      <c r="D1235" s="11" t="n">
        <v>0.00819965277777778</v>
      </c>
      <c r="E1235" s="39" t="n">
        <f aca="false">ROUND((D1235-$D$5)*86400,2)</f>
        <v>169.43</v>
      </c>
      <c r="F1235" s="12" t="n">
        <v>2527</v>
      </c>
      <c r="G1235" s="11" t="str">
        <f aca="false">IF(INDEX(選手一覧!$D$5:$D$2736,$F1235)="","",INDEX(選手一覧!$D$5:$D$2736,$F1235))</f>
        <v/>
      </c>
      <c r="H1235" s="12" t="str">
        <f aca="false">IF(INDEX(選手一覧!$E$5:$E$2736,$F1235)="","",INDEX(選手一覧!$E$5:$E$2736,$F1235))</f>
        <v/>
      </c>
      <c r="I1235" s="11" t="str">
        <f aca="false">IF(INDEX(選手一覧!$H$5:$H$2736,$F1235)="","",INDEX(選手一覧!$H$5:$H$2736,$F1235))</f>
        <v/>
      </c>
      <c r="J1235" s="12" t="str">
        <f aca="false">IF(INDEX(選手一覧!$I$5:$I$2736,$F1235)="","",INDEX(選手一覧!$I$5:$I$2736,$F1235))</f>
        <v/>
      </c>
    </row>
    <row r="1236" customFormat="false" ht="15" hidden="false" customHeight="false" outlineLevel="0" collapsed="false">
      <c r="A1236" s="12" t="n">
        <v>1233</v>
      </c>
      <c r="B1236" s="8" t="s">
        <v>3870</v>
      </c>
      <c r="C1236" s="8" t="s">
        <v>2754</v>
      </c>
      <c r="D1236" s="11" t="n">
        <v>0.00820150462962963</v>
      </c>
      <c r="E1236" s="39" t="n">
        <f aca="false">ROUND((D1236-$D$5)*86400,2)</f>
        <v>169.59</v>
      </c>
      <c r="F1236" s="12" t="n">
        <v>2529</v>
      </c>
      <c r="G1236" s="11" t="str">
        <f aca="false">IF(INDEX(選手一覧!$D$5:$D$2736,$F1236)="","",INDEX(選手一覧!$D$5:$D$2736,$F1236))</f>
        <v/>
      </c>
      <c r="H1236" s="12" t="str">
        <f aca="false">IF(INDEX(選手一覧!$E$5:$E$2736,$F1236)="","",INDEX(選手一覧!$E$5:$E$2736,$F1236))</f>
        <v/>
      </c>
      <c r="I1236" s="11" t="str">
        <f aca="false">IF(INDEX(選手一覧!$H$5:$H$2736,$F1236)="","",INDEX(選手一覧!$H$5:$H$2736,$F1236))</f>
        <v/>
      </c>
      <c r="J1236" s="12" t="str">
        <f aca="false">IF(INDEX(選手一覧!$I$5:$I$2736,$F1236)="","",INDEX(選手一覧!$I$5:$I$2736,$F1236))</f>
        <v/>
      </c>
    </row>
    <row r="1237" customFormat="false" ht="15" hidden="false" customHeight="false" outlineLevel="0" collapsed="false">
      <c r="A1237" s="12" t="n">
        <v>1234</v>
      </c>
      <c r="B1237" s="8" t="s">
        <v>3873</v>
      </c>
      <c r="C1237" s="8" t="s">
        <v>3874</v>
      </c>
      <c r="D1237" s="11" t="n">
        <v>0.00820150462962963</v>
      </c>
      <c r="E1237" s="39" t="n">
        <f aca="false">ROUND((D1237-$D$5)*86400,2)</f>
        <v>169.59</v>
      </c>
      <c r="F1237" s="12" t="n">
        <v>2531</v>
      </c>
      <c r="G1237" s="11" t="str">
        <f aca="false">IF(INDEX(選手一覧!$D$5:$D$2736,$F1237)="","",INDEX(選手一覧!$D$5:$D$2736,$F1237))</f>
        <v/>
      </c>
      <c r="H1237" s="12" t="str">
        <f aca="false">IF(INDEX(選手一覧!$E$5:$E$2736,$F1237)="","",INDEX(選手一覧!$E$5:$E$2736,$F1237))</f>
        <v/>
      </c>
      <c r="I1237" s="11" t="str">
        <f aca="false">IF(INDEX(選手一覧!$H$5:$H$2736,$F1237)="","",INDEX(選手一覧!$H$5:$H$2736,$F1237))</f>
        <v/>
      </c>
      <c r="J1237" s="12" t="str">
        <f aca="false">IF(INDEX(選手一覧!$I$5:$I$2736,$F1237)="","",INDEX(選手一覧!$I$5:$I$2736,$F1237))</f>
        <v/>
      </c>
    </row>
    <row r="1238" customFormat="false" ht="15" hidden="false" customHeight="false" outlineLevel="0" collapsed="false">
      <c r="A1238" s="12" t="n">
        <v>1235</v>
      </c>
      <c r="B1238" s="8" t="s">
        <v>3875</v>
      </c>
      <c r="C1238" s="8" t="s">
        <v>1462</v>
      </c>
      <c r="D1238" s="11" t="n">
        <v>0.00820231481481482</v>
      </c>
      <c r="E1238" s="39" t="n">
        <f aca="false">ROUND((D1238-$D$5)*86400,2)</f>
        <v>169.66</v>
      </c>
      <c r="F1238" s="12" t="n">
        <v>2532</v>
      </c>
      <c r="G1238" s="11" t="str">
        <f aca="false">IF(INDEX(選手一覧!$D$5:$D$2736,$F1238)="","",INDEX(選手一覧!$D$5:$D$2736,$F1238))</f>
        <v/>
      </c>
      <c r="H1238" s="12" t="str">
        <f aca="false">IF(INDEX(選手一覧!$E$5:$E$2736,$F1238)="","",INDEX(選手一覧!$E$5:$E$2736,$F1238))</f>
        <v/>
      </c>
      <c r="I1238" s="11" t="str">
        <f aca="false">IF(INDEX(選手一覧!$H$5:$H$2736,$F1238)="","",INDEX(選手一覧!$H$5:$H$2736,$F1238))</f>
        <v/>
      </c>
      <c r="J1238" s="12" t="str">
        <f aca="false">IF(INDEX(選手一覧!$I$5:$I$2736,$F1238)="","",INDEX(選手一覧!$I$5:$I$2736,$F1238))</f>
        <v/>
      </c>
    </row>
    <row r="1239" customFormat="false" ht="15" hidden="false" customHeight="false" outlineLevel="0" collapsed="false">
      <c r="A1239" s="12" t="n">
        <v>1236</v>
      </c>
      <c r="B1239" s="8" t="s">
        <v>3878</v>
      </c>
      <c r="C1239" s="8" t="s">
        <v>3879</v>
      </c>
      <c r="D1239" s="11" t="n">
        <v>0.00820717592592593</v>
      </c>
      <c r="E1239" s="39" t="n">
        <f aca="false">ROUND((D1239-$D$5)*86400,2)</f>
        <v>170.08</v>
      </c>
      <c r="F1239" s="12" t="n">
        <v>2534</v>
      </c>
      <c r="G1239" s="11" t="str">
        <f aca="false">IF(INDEX(選手一覧!$D$5:$D$2736,$F1239)="","",INDEX(選手一覧!$D$5:$D$2736,$F1239))</f>
        <v/>
      </c>
      <c r="H1239" s="12" t="str">
        <f aca="false">IF(INDEX(選手一覧!$E$5:$E$2736,$F1239)="","",INDEX(選手一覧!$E$5:$E$2736,$F1239))</f>
        <v/>
      </c>
      <c r="I1239" s="11" t="str">
        <f aca="false">IF(INDEX(選手一覧!$H$5:$H$2736,$F1239)="","",INDEX(選手一覧!$H$5:$H$2736,$F1239))</f>
        <v/>
      </c>
      <c r="J1239" s="12" t="str">
        <f aca="false">IF(INDEX(選手一覧!$I$5:$I$2736,$F1239)="","",INDEX(選手一覧!$I$5:$I$2736,$F1239))</f>
        <v/>
      </c>
    </row>
    <row r="1240" customFormat="false" ht="15" hidden="false" customHeight="false" outlineLevel="0" collapsed="false">
      <c r="A1240" s="12" t="n">
        <v>1237</v>
      </c>
      <c r="B1240" s="8" t="s">
        <v>3882</v>
      </c>
      <c r="C1240" s="8" t="s">
        <v>2586</v>
      </c>
      <c r="D1240" s="11" t="n">
        <v>0.00821180555555556</v>
      </c>
      <c r="E1240" s="39" t="n">
        <f aca="false">ROUND((D1240-$D$5)*86400,2)</f>
        <v>170.48</v>
      </c>
      <c r="F1240" s="12" t="n">
        <v>2536</v>
      </c>
      <c r="G1240" s="11" t="str">
        <f aca="false">IF(INDEX(選手一覧!$D$5:$D$2736,$F1240)="","",INDEX(選手一覧!$D$5:$D$2736,$F1240))</f>
        <v/>
      </c>
      <c r="H1240" s="12" t="str">
        <f aca="false">IF(INDEX(選手一覧!$E$5:$E$2736,$F1240)="","",INDEX(選手一覧!$E$5:$E$2736,$F1240))</f>
        <v/>
      </c>
      <c r="I1240" s="11" t="str">
        <f aca="false">IF(INDEX(選手一覧!$H$5:$H$2736,$F1240)="","",INDEX(選手一覧!$H$5:$H$2736,$F1240))</f>
        <v/>
      </c>
      <c r="J1240" s="12" t="str">
        <f aca="false">IF(INDEX(選手一覧!$I$5:$I$2736,$F1240)="","",INDEX(選手一覧!$I$5:$I$2736,$F1240))</f>
        <v/>
      </c>
    </row>
    <row r="1241" customFormat="false" ht="15" hidden="false" customHeight="false" outlineLevel="0" collapsed="false">
      <c r="A1241" s="12" t="n">
        <v>1238</v>
      </c>
      <c r="B1241" s="8" t="s">
        <v>3883</v>
      </c>
      <c r="C1241" s="8" t="s">
        <v>3884</v>
      </c>
      <c r="D1241" s="11" t="n">
        <v>0.0082125</v>
      </c>
      <c r="E1241" s="39" t="n">
        <f aca="false">ROUND((D1241-$D$5)*86400,2)</f>
        <v>170.54</v>
      </c>
      <c r="F1241" s="12" t="n">
        <v>2537</v>
      </c>
      <c r="G1241" s="11" t="str">
        <f aca="false">IF(INDEX(選手一覧!$D$5:$D$2736,$F1241)="","",INDEX(選手一覧!$D$5:$D$2736,$F1241))</f>
        <v/>
      </c>
      <c r="H1241" s="12" t="str">
        <f aca="false">IF(INDEX(選手一覧!$E$5:$E$2736,$F1241)="","",INDEX(選手一覧!$E$5:$E$2736,$F1241))</f>
        <v/>
      </c>
      <c r="I1241" s="11" t="str">
        <f aca="false">IF(INDEX(選手一覧!$H$5:$H$2736,$F1241)="","",INDEX(選手一覧!$H$5:$H$2736,$F1241))</f>
        <v/>
      </c>
      <c r="J1241" s="12" t="str">
        <f aca="false">IF(INDEX(選手一覧!$I$5:$I$2736,$F1241)="","",INDEX(選手一覧!$I$5:$I$2736,$F1241))</f>
        <v/>
      </c>
    </row>
    <row r="1242" customFormat="false" ht="15" hidden="false" customHeight="false" outlineLevel="0" collapsed="false">
      <c r="A1242" s="12" t="n">
        <v>1239</v>
      </c>
      <c r="B1242" s="8" t="s">
        <v>3886</v>
      </c>
      <c r="C1242" s="8" t="s">
        <v>3887</v>
      </c>
      <c r="D1242" s="11" t="n">
        <v>0.00821261574074074</v>
      </c>
      <c r="E1242" s="39" t="n">
        <f aca="false">ROUND((D1242-$D$5)*86400,2)</f>
        <v>170.55</v>
      </c>
      <c r="F1242" s="12" t="n">
        <v>2539</v>
      </c>
      <c r="G1242" s="11" t="str">
        <f aca="false">IF(INDEX(選手一覧!$D$5:$D$2736,$F1242)="","",INDEX(選手一覧!$D$5:$D$2736,$F1242))</f>
        <v/>
      </c>
      <c r="H1242" s="12" t="str">
        <f aca="false">IF(INDEX(選手一覧!$E$5:$E$2736,$F1242)="","",INDEX(選手一覧!$E$5:$E$2736,$F1242))</f>
        <v/>
      </c>
      <c r="I1242" s="11" t="str">
        <f aca="false">IF(INDEX(選手一覧!$H$5:$H$2736,$F1242)="","",INDEX(選手一覧!$H$5:$H$2736,$F1242))</f>
        <v/>
      </c>
      <c r="J1242" s="12" t="str">
        <f aca="false">IF(INDEX(選手一覧!$I$5:$I$2736,$F1242)="","",INDEX(選手一覧!$I$5:$I$2736,$F1242))</f>
        <v/>
      </c>
    </row>
    <row r="1243" customFormat="false" ht="15" hidden="false" customHeight="false" outlineLevel="0" collapsed="false">
      <c r="A1243" s="12" t="n">
        <v>1240</v>
      </c>
      <c r="B1243" s="8" t="s">
        <v>3888</v>
      </c>
      <c r="C1243" s="8" t="s">
        <v>3889</v>
      </c>
      <c r="D1243" s="11" t="n">
        <v>0.00821331018518519</v>
      </c>
      <c r="E1243" s="39" t="n">
        <f aca="false">ROUND((D1243-$D$5)*86400,2)</f>
        <v>170.61</v>
      </c>
      <c r="F1243" s="12" t="n">
        <v>2540</v>
      </c>
      <c r="G1243" s="11" t="str">
        <f aca="false">IF(INDEX(選手一覧!$D$5:$D$2736,$F1243)="","",INDEX(選手一覧!$D$5:$D$2736,$F1243))</f>
        <v/>
      </c>
      <c r="H1243" s="12" t="str">
        <f aca="false">IF(INDEX(選手一覧!$E$5:$E$2736,$F1243)="","",INDEX(選手一覧!$E$5:$E$2736,$F1243))</f>
        <v/>
      </c>
      <c r="I1243" s="11" t="str">
        <f aca="false">IF(INDEX(選手一覧!$H$5:$H$2736,$F1243)="","",INDEX(選手一覧!$H$5:$H$2736,$F1243))</f>
        <v/>
      </c>
      <c r="J1243" s="12" t="str">
        <f aca="false">IF(INDEX(選手一覧!$I$5:$I$2736,$F1243)="","",INDEX(選手一覧!$I$5:$I$2736,$F1243))</f>
        <v/>
      </c>
    </row>
    <row r="1244" customFormat="false" ht="15" hidden="false" customHeight="false" outlineLevel="0" collapsed="false">
      <c r="A1244" s="12" t="n">
        <v>1241</v>
      </c>
      <c r="B1244" s="8" t="s">
        <v>3891</v>
      </c>
      <c r="C1244" s="8" t="s">
        <v>3892</v>
      </c>
      <c r="D1244" s="11" t="n">
        <v>0.00821377314814815</v>
      </c>
      <c r="E1244" s="39" t="n">
        <f aca="false">ROUND((D1244-$D$5)*86400,2)</f>
        <v>170.65</v>
      </c>
      <c r="F1244" s="12" t="n">
        <v>2542</v>
      </c>
      <c r="G1244" s="11" t="str">
        <f aca="false">IF(INDEX(選手一覧!$D$5:$D$2736,$F1244)="","",INDEX(選手一覧!$D$5:$D$2736,$F1244))</f>
        <v/>
      </c>
      <c r="H1244" s="12" t="str">
        <f aca="false">IF(INDEX(選手一覧!$E$5:$E$2736,$F1244)="","",INDEX(選手一覧!$E$5:$E$2736,$F1244))</f>
        <v/>
      </c>
      <c r="I1244" s="11" t="str">
        <f aca="false">IF(INDEX(選手一覧!$H$5:$H$2736,$F1244)="","",INDEX(選手一覧!$H$5:$H$2736,$F1244))</f>
        <v/>
      </c>
      <c r="J1244" s="12" t="str">
        <f aca="false">IF(INDEX(選手一覧!$I$5:$I$2736,$F1244)="","",INDEX(選手一覧!$I$5:$I$2736,$F1244))</f>
        <v/>
      </c>
    </row>
    <row r="1245" customFormat="false" ht="15" hidden="false" customHeight="false" outlineLevel="0" collapsed="false">
      <c r="A1245" s="12" t="n">
        <v>1242</v>
      </c>
      <c r="B1245" s="8" t="s">
        <v>3894</v>
      </c>
      <c r="C1245" s="8" t="s">
        <v>2516</v>
      </c>
      <c r="D1245" s="11" t="n">
        <v>0.00822893518518519</v>
      </c>
      <c r="E1245" s="39" t="n">
        <f aca="false">ROUND((D1245-$D$5)*86400,2)</f>
        <v>171.96</v>
      </c>
      <c r="F1245" s="12" t="n">
        <v>2544</v>
      </c>
      <c r="G1245" s="11" t="str">
        <f aca="false">IF(INDEX(選手一覧!$D$5:$D$2736,$F1245)="","",INDEX(選手一覧!$D$5:$D$2736,$F1245))</f>
        <v/>
      </c>
      <c r="H1245" s="12" t="str">
        <f aca="false">IF(INDEX(選手一覧!$E$5:$E$2736,$F1245)="","",INDEX(選手一覧!$E$5:$E$2736,$F1245))</f>
        <v/>
      </c>
      <c r="I1245" s="11" t="str">
        <f aca="false">IF(INDEX(選手一覧!$H$5:$H$2736,$F1245)="","",INDEX(選手一覧!$H$5:$H$2736,$F1245))</f>
        <v/>
      </c>
      <c r="J1245" s="12" t="str">
        <f aca="false">IF(INDEX(選手一覧!$I$5:$I$2736,$F1245)="","",INDEX(選手一覧!$I$5:$I$2736,$F1245))</f>
        <v/>
      </c>
    </row>
    <row r="1246" customFormat="false" ht="15" hidden="false" customHeight="false" outlineLevel="0" collapsed="false">
      <c r="A1246" s="12" t="n">
        <v>1243</v>
      </c>
      <c r="B1246" s="8" t="s">
        <v>3897</v>
      </c>
      <c r="C1246" s="8" t="s">
        <v>3748</v>
      </c>
      <c r="D1246" s="11" t="n">
        <v>0.00823472222222222</v>
      </c>
      <c r="E1246" s="39" t="n">
        <f aca="false">ROUND((D1246-$D$5)*86400,2)</f>
        <v>172.46</v>
      </c>
      <c r="F1246" s="12" t="n">
        <v>2546</v>
      </c>
      <c r="G1246" s="11" t="str">
        <f aca="false">IF(INDEX(選手一覧!$D$5:$D$2736,$F1246)="","",INDEX(選手一覧!$D$5:$D$2736,$F1246))</f>
        <v/>
      </c>
      <c r="H1246" s="12" t="str">
        <f aca="false">IF(INDEX(選手一覧!$E$5:$E$2736,$F1246)="","",INDEX(選手一覧!$E$5:$E$2736,$F1246))</f>
        <v/>
      </c>
      <c r="I1246" s="11" t="str">
        <f aca="false">IF(INDEX(選手一覧!$H$5:$H$2736,$F1246)="","",INDEX(選手一覧!$H$5:$H$2736,$F1246))</f>
        <v/>
      </c>
      <c r="J1246" s="12" t="str">
        <f aca="false">IF(INDEX(選手一覧!$I$5:$I$2736,$F1246)="","",INDEX(選手一覧!$I$5:$I$2736,$F1246))</f>
        <v/>
      </c>
    </row>
    <row r="1247" customFormat="false" ht="15" hidden="false" customHeight="false" outlineLevel="0" collapsed="false">
      <c r="A1247" s="12" t="n">
        <v>1244</v>
      </c>
      <c r="B1247" s="8" t="s">
        <v>3045</v>
      </c>
      <c r="C1247" s="8" t="s">
        <v>2106</v>
      </c>
      <c r="D1247" s="11" t="n">
        <v>0.00825486111111111</v>
      </c>
      <c r="E1247" s="39" t="n">
        <f aca="false">ROUND((D1247-$D$5)*86400,2)</f>
        <v>174.2</v>
      </c>
      <c r="F1247" s="12" t="n">
        <v>1967</v>
      </c>
      <c r="G1247" s="11" t="str">
        <f aca="false">IF(INDEX(選手一覧!$D$5:$D$2736,$F1247)="","",INDEX(選手一覧!$D$5:$D$2736,$F1247))</f>
        <v/>
      </c>
      <c r="H1247" s="12" t="str">
        <f aca="false">IF(INDEX(選手一覧!$E$5:$E$2736,$F1247)="","",INDEX(選手一覧!$E$5:$E$2736,$F1247))</f>
        <v/>
      </c>
      <c r="I1247" s="11" t="n">
        <f aca="false">IF(INDEX(選手一覧!$H$5:$H$2736,$F1247)="","",INDEX(選手一覧!$H$5:$H$2736,$F1247))</f>
        <v>0.00288657407407407</v>
      </c>
      <c r="J1247" s="12" t="n">
        <f aca="false">IF(INDEX(選手一覧!$I$5:$I$2736,$F1247)="","",INDEX(選手一覧!$I$5:$I$2736,$F1247))</f>
        <v>827</v>
      </c>
    </row>
    <row r="1248" customFormat="false" ht="15" hidden="false" customHeight="false" outlineLevel="0" collapsed="false">
      <c r="A1248" s="12" t="n">
        <v>1245</v>
      </c>
      <c r="B1248" s="8" t="s">
        <v>3898</v>
      </c>
      <c r="C1248" s="8" t="s">
        <v>1144</v>
      </c>
      <c r="D1248" s="11" t="n">
        <v>0.00826087962962963</v>
      </c>
      <c r="E1248" s="39" t="n">
        <f aca="false">ROUND((D1248-$D$5)*86400,2)</f>
        <v>174.72</v>
      </c>
      <c r="F1248" s="12" t="n">
        <v>2547</v>
      </c>
      <c r="G1248" s="11" t="str">
        <f aca="false">IF(INDEX(選手一覧!$D$5:$D$2736,$F1248)="","",INDEX(選手一覧!$D$5:$D$2736,$F1248))</f>
        <v/>
      </c>
      <c r="H1248" s="12" t="str">
        <f aca="false">IF(INDEX(選手一覧!$E$5:$E$2736,$F1248)="","",INDEX(選手一覧!$E$5:$E$2736,$F1248))</f>
        <v/>
      </c>
      <c r="I1248" s="11" t="str">
        <f aca="false">IF(INDEX(選手一覧!$H$5:$H$2736,$F1248)="","",INDEX(選手一覧!$H$5:$H$2736,$F1248))</f>
        <v/>
      </c>
      <c r="J1248" s="12" t="str">
        <f aca="false">IF(INDEX(選手一覧!$I$5:$I$2736,$F1248)="","",INDEX(選手一覧!$I$5:$I$2736,$F1248))</f>
        <v/>
      </c>
    </row>
    <row r="1249" customFormat="false" ht="15" hidden="false" customHeight="false" outlineLevel="0" collapsed="false">
      <c r="A1249" s="12" t="n">
        <v>1246</v>
      </c>
      <c r="B1249" s="8" t="s">
        <v>3901</v>
      </c>
      <c r="C1249" s="8" t="s">
        <v>1144</v>
      </c>
      <c r="D1249" s="11" t="n">
        <v>0.00826087962962963</v>
      </c>
      <c r="E1249" s="39" t="n">
        <f aca="false">ROUND((D1249-$D$5)*86400,2)</f>
        <v>174.72</v>
      </c>
      <c r="F1249" s="12" t="n">
        <v>2549</v>
      </c>
      <c r="G1249" s="11" t="str">
        <f aca="false">IF(INDEX(選手一覧!$D$5:$D$2736,$F1249)="","",INDEX(選手一覧!$D$5:$D$2736,$F1249))</f>
        <v/>
      </c>
      <c r="H1249" s="12" t="str">
        <f aca="false">IF(INDEX(選手一覧!$E$5:$E$2736,$F1249)="","",INDEX(選手一覧!$E$5:$E$2736,$F1249))</f>
        <v/>
      </c>
      <c r="I1249" s="11" t="str">
        <f aca="false">IF(INDEX(選手一覧!$H$5:$H$2736,$F1249)="","",INDEX(選手一覧!$H$5:$H$2736,$F1249))</f>
        <v/>
      </c>
      <c r="J1249" s="12" t="str">
        <f aca="false">IF(INDEX(選手一覧!$I$5:$I$2736,$F1249)="","",INDEX(選手一覧!$I$5:$I$2736,$F1249))</f>
        <v/>
      </c>
    </row>
    <row r="1250" customFormat="false" ht="15" hidden="false" customHeight="false" outlineLevel="0" collapsed="false">
      <c r="A1250" s="12" t="n">
        <v>1247</v>
      </c>
      <c r="B1250" s="8" t="s">
        <v>3903</v>
      </c>
      <c r="C1250" s="8" t="s">
        <v>3904</v>
      </c>
      <c r="D1250" s="11" t="n">
        <v>0.00826678240740741</v>
      </c>
      <c r="E1250" s="39" t="n">
        <f aca="false">ROUND((D1250-$D$5)*86400,2)</f>
        <v>175.23</v>
      </c>
      <c r="F1250" s="12" t="n">
        <v>2551</v>
      </c>
      <c r="G1250" s="11" t="str">
        <f aca="false">IF(INDEX(選手一覧!$D$5:$D$2736,$F1250)="","",INDEX(選手一覧!$D$5:$D$2736,$F1250))</f>
        <v/>
      </c>
      <c r="H1250" s="12" t="str">
        <f aca="false">IF(INDEX(選手一覧!$E$5:$E$2736,$F1250)="","",INDEX(選手一覧!$E$5:$E$2736,$F1250))</f>
        <v/>
      </c>
      <c r="I1250" s="11" t="str">
        <f aca="false">IF(INDEX(選手一覧!$H$5:$H$2736,$F1250)="","",INDEX(選手一覧!$H$5:$H$2736,$F1250))</f>
        <v/>
      </c>
      <c r="J1250" s="12" t="str">
        <f aca="false">IF(INDEX(選手一覧!$I$5:$I$2736,$F1250)="","",INDEX(選手一覧!$I$5:$I$2736,$F1250))</f>
        <v/>
      </c>
    </row>
    <row r="1251" customFormat="false" ht="15" hidden="false" customHeight="false" outlineLevel="0" collapsed="false">
      <c r="A1251" s="12" t="n">
        <v>1248</v>
      </c>
      <c r="B1251" s="8" t="s">
        <v>3906</v>
      </c>
      <c r="C1251" s="8" t="s">
        <v>2937</v>
      </c>
      <c r="D1251" s="11" t="n">
        <v>0.00828194444444444</v>
      </c>
      <c r="E1251" s="39" t="n">
        <f aca="false">ROUND((D1251-$D$5)*86400,2)</f>
        <v>176.54</v>
      </c>
      <c r="F1251" s="12" t="n">
        <v>2553</v>
      </c>
      <c r="G1251" s="11" t="str">
        <f aca="false">IF(INDEX(選手一覧!$D$5:$D$2736,$F1251)="","",INDEX(選手一覧!$D$5:$D$2736,$F1251))</f>
        <v/>
      </c>
      <c r="H1251" s="12" t="str">
        <f aca="false">IF(INDEX(選手一覧!$E$5:$E$2736,$F1251)="","",INDEX(選手一覧!$E$5:$E$2736,$F1251))</f>
        <v/>
      </c>
      <c r="I1251" s="11" t="str">
        <f aca="false">IF(INDEX(選手一覧!$H$5:$H$2736,$F1251)="","",INDEX(選手一覧!$H$5:$H$2736,$F1251))</f>
        <v/>
      </c>
      <c r="J1251" s="12" t="str">
        <f aca="false">IF(INDEX(選手一覧!$I$5:$I$2736,$F1251)="","",INDEX(選手一覧!$I$5:$I$2736,$F1251))</f>
        <v/>
      </c>
    </row>
    <row r="1252" customFormat="false" ht="15" hidden="false" customHeight="false" outlineLevel="0" collapsed="false">
      <c r="A1252" s="12" t="n">
        <v>1249</v>
      </c>
      <c r="B1252" s="8" t="s">
        <v>3907</v>
      </c>
      <c r="C1252" s="8" t="s">
        <v>3010</v>
      </c>
      <c r="D1252" s="11" t="n">
        <v>0.00828912037037037</v>
      </c>
      <c r="E1252" s="39" t="n">
        <f aca="false">ROUND((D1252-$D$5)*86400,2)</f>
        <v>177.16</v>
      </c>
      <c r="F1252" s="12" t="n">
        <v>2554</v>
      </c>
      <c r="G1252" s="11" t="str">
        <f aca="false">IF(INDEX(選手一覧!$D$5:$D$2736,$F1252)="","",INDEX(選手一覧!$D$5:$D$2736,$F1252))</f>
        <v/>
      </c>
      <c r="H1252" s="12" t="str">
        <f aca="false">IF(INDEX(選手一覧!$E$5:$E$2736,$F1252)="","",INDEX(選手一覧!$E$5:$E$2736,$F1252))</f>
        <v/>
      </c>
      <c r="I1252" s="11" t="str">
        <f aca="false">IF(INDEX(選手一覧!$H$5:$H$2736,$F1252)="","",INDEX(選手一覧!$H$5:$H$2736,$F1252))</f>
        <v/>
      </c>
      <c r="J1252" s="12" t="str">
        <f aca="false">IF(INDEX(選手一覧!$I$5:$I$2736,$F1252)="","",INDEX(選手一覧!$I$5:$I$2736,$F1252))</f>
        <v/>
      </c>
    </row>
    <row r="1253" customFormat="false" ht="15" hidden="false" customHeight="false" outlineLevel="0" collapsed="false">
      <c r="A1253" s="12" t="n">
        <v>1250</v>
      </c>
      <c r="B1253" s="8" t="s">
        <v>3909</v>
      </c>
      <c r="C1253" s="8" t="s">
        <v>3910</v>
      </c>
      <c r="D1253" s="11" t="n">
        <v>0.00829201388888889</v>
      </c>
      <c r="E1253" s="39" t="n">
        <f aca="false">ROUND((D1253-$D$5)*86400,2)</f>
        <v>177.41</v>
      </c>
      <c r="F1253" s="12" t="n">
        <v>2556</v>
      </c>
      <c r="G1253" s="11" t="str">
        <f aca="false">IF(INDEX(選手一覧!$D$5:$D$2736,$F1253)="","",INDEX(選手一覧!$D$5:$D$2736,$F1253))</f>
        <v/>
      </c>
      <c r="H1253" s="12" t="str">
        <f aca="false">IF(INDEX(選手一覧!$E$5:$E$2736,$F1253)="","",INDEX(選手一覧!$E$5:$E$2736,$F1253))</f>
        <v/>
      </c>
      <c r="I1253" s="11" t="str">
        <f aca="false">IF(INDEX(選手一覧!$H$5:$H$2736,$F1253)="","",INDEX(選手一覧!$H$5:$H$2736,$F1253))</f>
        <v/>
      </c>
      <c r="J1253" s="12" t="str">
        <f aca="false">IF(INDEX(選手一覧!$I$5:$I$2736,$F1253)="","",INDEX(選手一覧!$I$5:$I$2736,$F1253))</f>
        <v/>
      </c>
    </row>
    <row r="1254" customFormat="false" ht="15" hidden="false" customHeight="false" outlineLevel="0" collapsed="false">
      <c r="A1254" s="12" t="n">
        <v>1251</v>
      </c>
      <c r="B1254" s="8" t="s">
        <v>3912</v>
      </c>
      <c r="C1254" s="8" t="s">
        <v>3913</v>
      </c>
      <c r="D1254" s="11" t="n">
        <v>0.00829212962962963</v>
      </c>
      <c r="E1254" s="39" t="n">
        <f aca="false">ROUND((D1254-$D$5)*86400,2)</f>
        <v>177.42</v>
      </c>
      <c r="F1254" s="12" t="n">
        <v>2558</v>
      </c>
      <c r="G1254" s="11" t="str">
        <f aca="false">IF(INDEX(選手一覧!$D$5:$D$2736,$F1254)="","",INDEX(選手一覧!$D$5:$D$2736,$F1254))</f>
        <v/>
      </c>
      <c r="H1254" s="12" t="str">
        <f aca="false">IF(INDEX(選手一覧!$E$5:$E$2736,$F1254)="","",INDEX(選手一覧!$E$5:$E$2736,$F1254))</f>
        <v/>
      </c>
      <c r="I1254" s="11" t="str">
        <f aca="false">IF(INDEX(選手一覧!$H$5:$H$2736,$F1254)="","",INDEX(選手一覧!$H$5:$H$2736,$F1254))</f>
        <v/>
      </c>
      <c r="J1254" s="12" t="str">
        <f aca="false">IF(INDEX(選手一覧!$I$5:$I$2736,$F1254)="","",INDEX(選手一覧!$I$5:$I$2736,$F1254))</f>
        <v/>
      </c>
    </row>
    <row r="1255" customFormat="false" ht="15" hidden="false" customHeight="false" outlineLevel="0" collapsed="false">
      <c r="A1255" s="12" t="n">
        <v>1252</v>
      </c>
      <c r="B1255" s="8" t="s">
        <v>3914</v>
      </c>
      <c r="C1255" s="8" t="s">
        <v>3915</v>
      </c>
      <c r="D1255" s="11" t="n">
        <v>0.00829351851851852</v>
      </c>
      <c r="E1255" s="39" t="n">
        <f aca="false">ROUND((D1255-$D$5)*86400,2)</f>
        <v>177.54</v>
      </c>
      <c r="F1255" s="12" t="n">
        <v>2559</v>
      </c>
      <c r="G1255" s="11" t="str">
        <f aca="false">IF(INDEX(選手一覧!$D$5:$D$2736,$F1255)="","",INDEX(選手一覧!$D$5:$D$2736,$F1255))</f>
        <v/>
      </c>
      <c r="H1255" s="12" t="str">
        <f aca="false">IF(INDEX(選手一覧!$E$5:$E$2736,$F1255)="","",INDEX(選手一覧!$E$5:$E$2736,$F1255))</f>
        <v/>
      </c>
      <c r="I1255" s="11" t="str">
        <f aca="false">IF(INDEX(選手一覧!$H$5:$H$2736,$F1255)="","",INDEX(選手一覧!$H$5:$H$2736,$F1255))</f>
        <v/>
      </c>
      <c r="J1255" s="12" t="str">
        <f aca="false">IF(INDEX(選手一覧!$I$5:$I$2736,$F1255)="","",INDEX(選手一覧!$I$5:$I$2736,$F1255))</f>
        <v/>
      </c>
    </row>
    <row r="1256" customFormat="false" ht="15" hidden="false" customHeight="false" outlineLevel="0" collapsed="false">
      <c r="A1256" s="12" t="n">
        <v>1253</v>
      </c>
      <c r="B1256" s="8" t="s">
        <v>3916</v>
      </c>
      <c r="C1256" s="8" t="s">
        <v>229</v>
      </c>
      <c r="D1256" s="11" t="n">
        <v>0.00829710648148148</v>
      </c>
      <c r="E1256" s="39" t="n">
        <f aca="false">ROUND((D1256-$D$5)*86400,2)</f>
        <v>177.85</v>
      </c>
      <c r="F1256" s="12" t="n">
        <v>2560</v>
      </c>
      <c r="G1256" s="11" t="str">
        <f aca="false">IF(INDEX(選手一覧!$D$5:$D$2736,$F1256)="","",INDEX(選手一覧!$D$5:$D$2736,$F1256))</f>
        <v/>
      </c>
      <c r="H1256" s="12" t="str">
        <f aca="false">IF(INDEX(選手一覧!$E$5:$E$2736,$F1256)="","",INDEX(選手一覧!$E$5:$E$2736,$F1256))</f>
        <v/>
      </c>
      <c r="I1256" s="11" t="str">
        <f aca="false">IF(INDEX(選手一覧!$H$5:$H$2736,$F1256)="","",INDEX(選手一覧!$H$5:$H$2736,$F1256))</f>
        <v/>
      </c>
      <c r="J1256" s="12" t="str">
        <f aca="false">IF(INDEX(選手一覧!$I$5:$I$2736,$F1256)="","",INDEX(選手一覧!$I$5:$I$2736,$F1256))</f>
        <v/>
      </c>
    </row>
    <row r="1257" customFormat="false" ht="15" hidden="false" customHeight="false" outlineLevel="0" collapsed="false">
      <c r="A1257" s="12" t="n">
        <v>1254</v>
      </c>
      <c r="B1257" s="8" t="s">
        <v>3919</v>
      </c>
      <c r="C1257" s="8" t="s">
        <v>2696</v>
      </c>
      <c r="D1257" s="11" t="n">
        <v>0.00830578703703704</v>
      </c>
      <c r="E1257" s="39" t="n">
        <f aca="false">ROUND((D1257-$D$5)*86400,2)</f>
        <v>178.6</v>
      </c>
      <c r="F1257" s="12" t="n">
        <v>2562</v>
      </c>
      <c r="G1257" s="11" t="str">
        <f aca="false">IF(INDEX(選手一覧!$D$5:$D$2736,$F1257)="","",INDEX(選手一覧!$D$5:$D$2736,$F1257))</f>
        <v/>
      </c>
      <c r="H1257" s="12" t="str">
        <f aca="false">IF(INDEX(選手一覧!$E$5:$E$2736,$F1257)="","",INDEX(選手一覧!$E$5:$E$2736,$F1257))</f>
        <v/>
      </c>
      <c r="I1257" s="11" t="str">
        <f aca="false">IF(INDEX(選手一覧!$H$5:$H$2736,$F1257)="","",INDEX(選手一覧!$H$5:$H$2736,$F1257))</f>
        <v/>
      </c>
      <c r="J1257" s="12" t="str">
        <f aca="false">IF(INDEX(選手一覧!$I$5:$I$2736,$F1257)="","",INDEX(選手一覧!$I$5:$I$2736,$F1257))</f>
        <v/>
      </c>
    </row>
    <row r="1258" customFormat="false" ht="15" hidden="false" customHeight="false" outlineLevel="0" collapsed="false">
      <c r="A1258" s="12" t="n">
        <v>1255</v>
      </c>
      <c r="B1258" s="8" t="s">
        <v>3920</v>
      </c>
      <c r="C1258" s="8" t="s">
        <v>3921</v>
      </c>
      <c r="D1258" s="11" t="n">
        <v>0.00830706018518519</v>
      </c>
      <c r="E1258" s="39" t="n">
        <f aca="false">ROUND((D1258-$D$5)*86400,2)</f>
        <v>178.71</v>
      </c>
      <c r="F1258" s="12" t="n">
        <v>2563</v>
      </c>
      <c r="G1258" s="11" t="str">
        <f aca="false">IF(INDEX(選手一覧!$D$5:$D$2736,$F1258)="","",INDEX(選手一覧!$D$5:$D$2736,$F1258))</f>
        <v/>
      </c>
      <c r="H1258" s="12" t="str">
        <f aca="false">IF(INDEX(選手一覧!$E$5:$E$2736,$F1258)="","",INDEX(選手一覧!$E$5:$E$2736,$F1258))</f>
        <v/>
      </c>
      <c r="I1258" s="11" t="str">
        <f aca="false">IF(INDEX(選手一覧!$H$5:$H$2736,$F1258)="","",INDEX(選手一覧!$H$5:$H$2736,$F1258))</f>
        <v/>
      </c>
      <c r="J1258" s="12" t="str">
        <f aca="false">IF(INDEX(選手一覧!$I$5:$I$2736,$F1258)="","",INDEX(選手一覧!$I$5:$I$2736,$F1258))</f>
        <v/>
      </c>
    </row>
    <row r="1259" customFormat="false" ht="15" hidden="false" customHeight="false" outlineLevel="0" collapsed="false">
      <c r="A1259" s="12" t="n">
        <v>1256</v>
      </c>
      <c r="B1259" s="8" t="s">
        <v>3923</v>
      </c>
      <c r="C1259" s="8" t="s">
        <v>154</v>
      </c>
      <c r="D1259" s="11" t="n">
        <v>0.00830821759259259</v>
      </c>
      <c r="E1259" s="39" t="n">
        <f aca="false">ROUND((D1259-$D$5)*86400,2)</f>
        <v>178.81</v>
      </c>
      <c r="F1259" s="12" t="n">
        <v>2565</v>
      </c>
      <c r="G1259" s="11" t="str">
        <f aca="false">IF(INDEX(選手一覧!$D$5:$D$2736,$F1259)="","",INDEX(選手一覧!$D$5:$D$2736,$F1259))</f>
        <v/>
      </c>
      <c r="H1259" s="12" t="str">
        <f aca="false">IF(INDEX(選手一覧!$E$5:$E$2736,$F1259)="","",INDEX(選手一覧!$E$5:$E$2736,$F1259))</f>
        <v/>
      </c>
      <c r="I1259" s="11" t="str">
        <f aca="false">IF(INDEX(選手一覧!$H$5:$H$2736,$F1259)="","",INDEX(選手一覧!$H$5:$H$2736,$F1259))</f>
        <v/>
      </c>
      <c r="J1259" s="12" t="str">
        <f aca="false">IF(INDEX(選手一覧!$I$5:$I$2736,$F1259)="","",INDEX(選手一覧!$I$5:$I$2736,$F1259))</f>
        <v/>
      </c>
    </row>
    <row r="1260" customFormat="false" ht="15" hidden="false" customHeight="false" outlineLevel="0" collapsed="false">
      <c r="A1260" s="12" t="n">
        <v>1257</v>
      </c>
      <c r="B1260" s="8" t="s">
        <v>3925</v>
      </c>
      <c r="C1260" s="8" t="s">
        <v>1120</v>
      </c>
      <c r="D1260" s="11" t="n">
        <v>0.00832083333333333</v>
      </c>
      <c r="E1260" s="39" t="n">
        <f aca="false">ROUND((D1260-$D$5)*86400,2)</f>
        <v>179.9</v>
      </c>
      <c r="F1260" s="12" t="n">
        <v>2567</v>
      </c>
      <c r="G1260" s="11" t="str">
        <f aca="false">IF(INDEX(選手一覧!$D$5:$D$2736,$F1260)="","",INDEX(選手一覧!$D$5:$D$2736,$F1260))</f>
        <v/>
      </c>
      <c r="H1260" s="12" t="str">
        <f aca="false">IF(INDEX(選手一覧!$E$5:$E$2736,$F1260)="","",INDEX(選手一覧!$E$5:$E$2736,$F1260))</f>
        <v/>
      </c>
      <c r="I1260" s="11" t="str">
        <f aca="false">IF(INDEX(選手一覧!$H$5:$H$2736,$F1260)="","",INDEX(選手一覧!$H$5:$H$2736,$F1260))</f>
        <v/>
      </c>
      <c r="J1260" s="12" t="str">
        <f aca="false">IF(INDEX(選手一覧!$I$5:$I$2736,$F1260)="","",INDEX(選手一覧!$I$5:$I$2736,$F1260))</f>
        <v/>
      </c>
    </row>
    <row r="1261" customFormat="false" ht="15" hidden="false" customHeight="false" outlineLevel="0" collapsed="false">
      <c r="A1261" s="12" t="n">
        <v>1258</v>
      </c>
      <c r="B1261" s="8" t="s">
        <v>3926</v>
      </c>
      <c r="C1261" s="8" t="s">
        <v>3927</v>
      </c>
      <c r="D1261" s="11" t="n">
        <v>0.00832164351851852</v>
      </c>
      <c r="E1261" s="39" t="n">
        <f aca="false">ROUND((D1261-$D$5)*86400,2)</f>
        <v>179.97</v>
      </c>
      <c r="F1261" s="12" t="n">
        <v>2568</v>
      </c>
      <c r="G1261" s="11" t="str">
        <f aca="false">IF(INDEX(選手一覧!$D$5:$D$2736,$F1261)="","",INDEX(選手一覧!$D$5:$D$2736,$F1261))</f>
        <v/>
      </c>
      <c r="H1261" s="12" t="str">
        <f aca="false">IF(INDEX(選手一覧!$E$5:$E$2736,$F1261)="","",INDEX(選手一覧!$E$5:$E$2736,$F1261))</f>
        <v/>
      </c>
      <c r="I1261" s="11" t="str">
        <f aca="false">IF(INDEX(選手一覧!$H$5:$H$2736,$F1261)="","",INDEX(選手一覧!$H$5:$H$2736,$F1261))</f>
        <v/>
      </c>
      <c r="J1261" s="12" t="str">
        <f aca="false">IF(INDEX(選手一覧!$I$5:$I$2736,$F1261)="","",INDEX(選手一覧!$I$5:$I$2736,$F1261))</f>
        <v/>
      </c>
    </row>
    <row r="1262" customFormat="false" ht="15" hidden="false" customHeight="false" outlineLevel="0" collapsed="false">
      <c r="A1262" s="12" t="n">
        <v>1259</v>
      </c>
      <c r="B1262" s="8" t="s">
        <v>3928</v>
      </c>
      <c r="C1262" s="8" t="s">
        <v>3874</v>
      </c>
      <c r="D1262" s="11" t="n">
        <v>0.00832314814814815</v>
      </c>
      <c r="E1262" s="39" t="n">
        <f aca="false">ROUND((D1262-$D$5)*86400,2)</f>
        <v>180.1</v>
      </c>
      <c r="F1262" s="12" t="n">
        <v>2569</v>
      </c>
      <c r="G1262" s="11" t="str">
        <f aca="false">IF(INDEX(選手一覧!$D$5:$D$2736,$F1262)="","",INDEX(選手一覧!$D$5:$D$2736,$F1262))</f>
        <v/>
      </c>
      <c r="H1262" s="12" t="str">
        <f aca="false">IF(INDEX(選手一覧!$E$5:$E$2736,$F1262)="","",INDEX(選手一覧!$E$5:$E$2736,$F1262))</f>
        <v/>
      </c>
      <c r="I1262" s="11" t="str">
        <f aca="false">IF(INDEX(選手一覧!$H$5:$H$2736,$F1262)="","",INDEX(選手一覧!$H$5:$H$2736,$F1262))</f>
        <v/>
      </c>
      <c r="J1262" s="12" t="str">
        <f aca="false">IF(INDEX(選手一覧!$I$5:$I$2736,$F1262)="","",INDEX(選手一覧!$I$5:$I$2736,$F1262))</f>
        <v/>
      </c>
    </row>
    <row r="1263" customFormat="false" ht="15" hidden="false" customHeight="false" outlineLevel="0" collapsed="false">
      <c r="A1263" s="12" t="n">
        <v>1260</v>
      </c>
      <c r="B1263" s="8" t="s">
        <v>3929</v>
      </c>
      <c r="C1263" s="8" t="s">
        <v>1533</v>
      </c>
      <c r="D1263" s="11" t="n">
        <v>0.00833148148148148</v>
      </c>
      <c r="E1263" s="39" t="n">
        <f aca="false">ROUND((D1263-$D$5)*86400,2)</f>
        <v>180.82</v>
      </c>
      <c r="F1263" s="12" t="n">
        <v>2570</v>
      </c>
      <c r="G1263" s="11" t="str">
        <f aca="false">IF(INDEX(選手一覧!$D$5:$D$2736,$F1263)="","",INDEX(選手一覧!$D$5:$D$2736,$F1263))</f>
        <v/>
      </c>
      <c r="H1263" s="12" t="str">
        <f aca="false">IF(INDEX(選手一覧!$E$5:$E$2736,$F1263)="","",INDEX(選手一覧!$E$5:$E$2736,$F1263))</f>
        <v/>
      </c>
      <c r="I1263" s="11" t="str">
        <f aca="false">IF(INDEX(選手一覧!$H$5:$H$2736,$F1263)="","",INDEX(選手一覧!$H$5:$H$2736,$F1263))</f>
        <v/>
      </c>
      <c r="J1263" s="12" t="str">
        <f aca="false">IF(INDEX(選手一覧!$I$5:$I$2736,$F1263)="","",INDEX(選手一覧!$I$5:$I$2736,$F1263))</f>
        <v/>
      </c>
    </row>
    <row r="1264" customFormat="false" ht="15" hidden="false" customHeight="false" outlineLevel="0" collapsed="false">
      <c r="A1264" s="12" t="n">
        <v>1261</v>
      </c>
      <c r="B1264" s="8" t="s">
        <v>3931</v>
      </c>
      <c r="C1264" s="8" t="s">
        <v>1487</v>
      </c>
      <c r="D1264" s="11" t="n">
        <v>0.00833194444444444</v>
      </c>
      <c r="E1264" s="39" t="n">
        <f aca="false">ROUND((D1264-$D$5)*86400,2)</f>
        <v>180.86</v>
      </c>
      <c r="F1264" s="12" t="n">
        <v>2572</v>
      </c>
      <c r="G1264" s="11" t="str">
        <f aca="false">IF(INDEX(選手一覧!$D$5:$D$2736,$F1264)="","",INDEX(選手一覧!$D$5:$D$2736,$F1264))</f>
        <v/>
      </c>
      <c r="H1264" s="12" t="str">
        <f aca="false">IF(INDEX(選手一覧!$E$5:$E$2736,$F1264)="","",INDEX(選手一覧!$E$5:$E$2736,$F1264))</f>
        <v/>
      </c>
      <c r="I1264" s="11" t="str">
        <f aca="false">IF(INDEX(選手一覧!$H$5:$H$2736,$F1264)="","",INDEX(選手一覧!$H$5:$H$2736,$F1264))</f>
        <v/>
      </c>
      <c r="J1264" s="12" t="str">
        <f aca="false">IF(INDEX(選手一覧!$I$5:$I$2736,$F1264)="","",INDEX(選手一覧!$I$5:$I$2736,$F1264))</f>
        <v/>
      </c>
    </row>
    <row r="1265" customFormat="false" ht="15" hidden="false" customHeight="false" outlineLevel="0" collapsed="false">
      <c r="A1265" s="12" t="n">
        <v>1262</v>
      </c>
      <c r="B1265" s="8" t="s">
        <v>3933</v>
      </c>
      <c r="C1265" s="8" t="s">
        <v>3934</v>
      </c>
      <c r="D1265" s="11" t="n">
        <v>0.00833576388888889</v>
      </c>
      <c r="E1265" s="39" t="n">
        <f aca="false">ROUND((D1265-$D$5)*86400,2)</f>
        <v>181.19</v>
      </c>
      <c r="F1265" s="12" t="n">
        <v>2574</v>
      </c>
      <c r="G1265" s="11" t="str">
        <f aca="false">IF(INDEX(選手一覧!$D$5:$D$2736,$F1265)="","",INDEX(選手一覧!$D$5:$D$2736,$F1265))</f>
        <v/>
      </c>
      <c r="H1265" s="12" t="str">
        <f aca="false">IF(INDEX(選手一覧!$E$5:$E$2736,$F1265)="","",INDEX(選手一覧!$E$5:$E$2736,$F1265))</f>
        <v/>
      </c>
      <c r="I1265" s="11" t="str">
        <f aca="false">IF(INDEX(選手一覧!$H$5:$H$2736,$F1265)="","",INDEX(選手一覧!$H$5:$H$2736,$F1265))</f>
        <v/>
      </c>
      <c r="J1265" s="12" t="str">
        <f aca="false">IF(INDEX(選手一覧!$I$5:$I$2736,$F1265)="","",INDEX(選手一覧!$I$5:$I$2736,$F1265))</f>
        <v/>
      </c>
    </row>
    <row r="1266" customFormat="false" ht="15" hidden="false" customHeight="false" outlineLevel="0" collapsed="false">
      <c r="A1266" s="12" t="n">
        <v>1263</v>
      </c>
      <c r="B1266" s="8" t="s">
        <v>3935</v>
      </c>
      <c r="C1266" s="8" t="s">
        <v>3936</v>
      </c>
      <c r="D1266" s="11" t="n">
        <v>0.00833946759259259</v>
      </c>
      <c r="E1266" s="39" t="n">
        <f aca="false">ROUND((D1266-$D$5)*86400,2)</f>
        <v>181.51</v>
      </c>
      <c r="F1266" s="12" t="n">
        <v>2575</v>
      </c>
      <c r="G1266" s="11" t="str">
        <f aca="false">IF(INDEX(選手一覧!$D$5:$D$2736,$F1266)="","",INDEX(選手一覧!$D$5:$D$2736,$F1266))</f>
        <v/>
      </c>
      <c r="H1266" s="12" t="str">
        <f aca="false">IF(INDEX(選手一覧!$E$5:$E$2736,$F1266)="","",INDEX(選手一覧!$E$5:$E$2736,$F1266))</f>
        <v/>
      </c>
      <c r="I1266" s="11" t="str">
        <f aca="false">IF(INDEX(選手一覧!$H$5:$H$2736,$F1266)="","",INDEX(選手一覧!$H$5:$H$2736,$F1266))</f>
        <v/>
      </c>
      <c r="J1266" s="12" t="str">
        <f aca="false">IF(INDEX(選手一覧!$I$5:$I$2736,$F1266)="","",INDEX(選手一覧!$I$5:$I$2736,$F1266))</f>
        <v/>
      </c>
    </row>
    <row r="1267" customFormat="false" ht="15" hidden="false" customHeight="false" outlineLevel="0" collapsed="false">
      <c r="A1267" s="12" t="n">
        <v>1264</v>
      </c>
      <c r="B1267" s="8" t="s">
        <v>3937</v>
      </c>
      <c r="C1267" s="8" t="s">
        <v>1120</v>
      </c>
      <c r="D1267" s="11" t="n">
        <v>0.0083431712962963</v>
      </c>
      <c r="E1267" s="39" t="n">
        <f aca="false">ROUND((D1267-$D$5)*86400,2)</f>
        <v>181.83</v>
      </c>
      <c r="F1267" s="12" t="n">
        <v>2576</v>
      </c>
      <c r="G1267" s="11" t="str">
        <f aca="false">IF(INDEX(選手一覧!$D$5:$D$2736,$F1267)="","",INDEX(選手一覧!$D$5:$D$2736,$F1267))</f>
        <v/>
      </c>
      <c r="H1267" s="12" t="str">
        <f aca="false">IF(INDEX(選手一覧!$E$5:$E$2736,$F1267)="","",INDEX(選手一覧!$E$5:$E$2736,$F1267))</f>
        <v/>
      </c>
      <c r="I1267" s="11" t="str">
        <f aca="false">IF(INDEX(選手一覧!$H$5:$H$2736,$F1267)="","",INDEX(選手一覧!$H$5:$H$2736,$F1267))</f>
        <v/>
      </c>
      <c r="J1267" s="12" t="str">
        <f aca="false">IF(INDEX(選手一覧!$I$5:$I$2736,$F1267)="","",INDEX(選手一覧!$I$5:$I$2736,$F1267))</f>
        <v/>
      </c>
    </row>
    <row r="1268" customFormat="false" ht="15" hidden="false" customHeight="false" outlineLevel="0" collapsed="false">
      <c r="A1268" s="12" t="n">
        <v>1265</v>
      </c>
      <c r="B1268" s="8" t="s">
        <v>3938</v>
      </c>
      <c r="C1268" s="8" t="s">
        <v>3887</v>
      </c>
      <c r="D1268" s="11" t="n">
        <v>0.0083494212962963</v>
      </c>
      <c r="E1268" s="39" t="n">
        <f aca="false">ROUND((D1268-$D$5)*86400,2)</f>
        <v>182.37</v>
      </c>
      <c r="F1268" s="12" t="n">
        <v>2577</v>
      </c>
      <c r="G1268" s="11" t="str">
        <f aca="false">IF(INDEX(選手一覧!$D$5:$D$2736,$F1268)="","",INDEX(選手一覧!$D$5:$D$2736,$F1268))</f>
        <v/>
      </c>
      <c r="H1268" s="12" t="str">
        <f aca="false">IF(INDEX(選手一覧!$E$5:$E$2736,$F1268)="","",INDEX(選手一覧!$E$5:$E$2736,$F1268))</f>
        <v/>
      </c>
      <c r="I1268" s="11" t="str">
        <f aca="false">IF(INDEX(選手一覧!$H$5:$H$2736,$F1268)="","",INDEX(選手一覧!$H$5:$H$2736,$F1268))</f>
        <v/>
      </c>
      <c r="J1268" s="12" t="str">
        <f aca="false">IF(INDEX(選手一覧!$I$5:$I$2736,$F1268)="","",INDEX(選手一覧!$I$5:$I$2736,$F1268))</f>
        <v/>
      </c>
    </row>
    <row r="1269" customFormat="false" ht="15" hidden="false" customHeight="false" outlineLevel="0" collapsed="false">
      <c r="A1269" s="12" t="n">
        <v>1266</v>
      </c>
      <c r="B1269" s="8" t="s">
        <v>3940</v>
      </c>
      <c r="C1269" s="8" t="s">
        <v>3941</v>
      </c>
      <c r="D1269" s="11" t="n">
        <v>0.00835069444444445</v>
      </c>
      <c r="E1269" s="39" t="n">
        <f aca="false">ROUND((D1269-$D$5)*86400,2)</f>
        <v>182.48</v>
      </c>
      <c r="F1269" s="12" t="n">
        <v>2579</v>
      </c>
      <c r="G1269" s="11" t="str">
        <f aca="false">IF(INDEX(選手一覧!$D$5:$D$2736,$F1269)="","",INDEX(選手一覧!$D$5:$D$2736,$F1269))</f>
        <v/>
      </c>
      <c r="H1269" s="12" t="str">
        <f aca="false">IF(INDEX(選手一覧!$E$5:$E$2736,$F1269)="","",INDEX(選手一覧!$E$5:$E$2736,$F1269))</f>
        <v/>
      </c>
      <c r="I1269" s="11" t="str">
        <f aca="false">IF(INDEX(選手一覧!$H$5:$H$2736,$F1269)="","",INDEX(選手一覧!$H$5:$H$2736,$F1269))</f>
        <v/>
      </c>
      <c r="J1269" s="12" t="str">
        <f aca="false">IF(INDEX(選手一覧!$I$5:$I$2736,$F1269)="","",INDEX(選手一覧!$I$5:$I$2736,$F1269))</f>
        <v/>
      </c>
    </row>
    <row r="1270" customFormat="false" ht="15" hidden="false" customHeight="false" outlineLevel="0" collapsed="false">
      <c r="A1270" s="12" t="n">
        <v>1267</v>
      </c>
      <c r="B1270" s="8" t="s">
        <v>3942</v>
      </c>
      <c r="C1270" s="8" t="s">
        <v>3943</v>
      </c>
      <c r="D1270" s="11" t="n">
        <v>0.00835092592592593</v>
      </c>
      <c r="E1270" s="39" t="n">
        <f aca="false">ROUND((D1270-$D$5)*86400,2)</f>
        <v>182.5</v>
      </c>
      <c r="F1270" s="12" t="n">
        <v>2580</v>
      </c>
      <c r="G1270" s="11" t="str">
        <f aca="false">IF(INDEX(選手一覧!$D$5:$D$2736,$F1270)="","",INDEX(選手一覧!$D$5:$D$2736,$F1270))</f>
        <v/>
      </c>
      <c r="H1270" s="12" t="str">
        <f aca="false">IF(INDEX(選手一覧!$E$5:$E$2736,$F1270)="","",INDEX(選手一覧!$E$5:$E$2736,$F1270))</f>
        <v/>
      </c>
      <c r="I1270" s="11" t="str">
        <f aca="false">IF(INDEX(選手一覧!$H$5:$H$2736,$F1270)="","",INDEX(選手一覧!$H$5:$H$2736,$F1270))</f>
        <v/>
      </c>
      <c r="J1270" s="12" t="str">
        <f aca="false">IF(INDEX(選手一覧!$I$5:$I$2736,$F1270)="","",INDEX(選手一覧!$I$5:$I$2736,$F1270))</f>
        <v/>
      </c>
    </row>
    <row r="1271" customFormat="false" ht="15" hidden="false" customHeight="false" outlineLevel="0" collapsed="false">
      <c r="A1271" s="12" t="n">
        <v>1268</v>
      </c>
      <c r="B1271" s="8" t="s">
        <v>3945</v>
      </c>
      <c r="C1271" s="8" t="s">
        <v>3746</v>
      </c>
      <c r="D1271" s="11" t="n">
        <v>0.00835196759259259</v>
      </c>
      <c r="E1271" s="39" t="n">
        <f aca="false">ROUND((D1271-$D$5)*86400,2)</f>
        <v>182.59</v>
      </c>
      <c r="F1271" s="12" t="n">
        <v>2582</v>
      </c>
      <c r="G1271" s="11" t="str">
        <f aca="false">IF(INDEX(選手一覧!$D$5:$D$2736,$F1271)="","",INDEX(選手一覧!$D$5:$D$2736,$F1271))</f>
        <v/>
      </c>
      <c r="H1271" s="12" t="str">
        <f aca="false">IF(INDEX(選手一覧!$E$5:$E$2736,$F1271)="","",INDEX(選手一覧!$E$5:$E$2736,$F1271))</f>
        <v/>
      </c>
      <c r="I1271" s="11" t="str">
        <f aca="false">IF(INDEX(選手一覧!$H$5:$H$2736,$F1271)="","",INDEX(選手一覧!$H$5:$H$2736,$F1271))</f>
        <v/>
      </c>
      <c r="J1271" s="12" t="str">
        <f aca="false">IF(INDEX(選手一覧!$I$5:$I$2736,$F1271)="","",INDEX(選手一覧!$I$5:$I$2736,$F1271))</f>
        <v/>
      </c>
    </row>
    <row r="1272" customFormat="false" ht="15" hidden="false" customHeight="false" outlineLevel="0" collapsed="false">
      <c r="A1272" s="12" t="n">
        <v>1269</v>
      </c>
      <c r="B1272" s="8" t="s">
        <v>3948</v>
      </c>
      <c r="C1272" s="8" t="s">
        <v>2106</v>
      </c>
      <c r="D1272" s="11" t="n">
        <v>0.00835763888888889</v>
      </c>
      <c r="E1272" s="39" t="n">
        <f aca="false">ROUND((D1272-$D$5)*86400,2)</f>
        <v>183.08</v>
      </c>
      <c r="F1272" s="12" t="n">
        <v>2584</v>
      </c>
      <c r="G1272" s="11" t="str">
        <f aca="false">IF(INDEX(選手一覧!$D$5:$D$2736,$F1272)="","",INDEX(選手一覧!$D$5:$D$2736,$F1272))</f>
        <v/>
      </c>
      <c r="H1272" s="12" t="str">
        <f aca="false">IF(INDEX(選手一覧!$E$5:$E$2736,$F1272)="","",INDEX(選手一覧!$E$5:$E$2736,$F1272))</f>
        <v/>
      </c>
      <c r="I1272" s="11" t="str">
        <f aca="false">IF(INDEX(選手一覧!$H$5:$H$2736,$F1272)="","",INDEX(選手一覧!$H$5:$H$2736,$F1272))</f>
        <v/>
      </c>
      <c r="J1272" s="12" t="str">
        <f aca="false">IF(INDEX(選手一覧!$I$5:$I$2736,$F1272)="","",INDEX(選手一覧!$I$5:$I$2736,$F1272))</f>
        <v/>
      </c>
    </row>
    <row r="1273" customFormat="false" ht="15" hidden="false" customHeight="false" outlineLevel="0" collapsed="false">
      <c r="A1273" s="12" t="n">
        <v>1270</v>
      </c>
      <c r="B1273" s="8" t="s">
        <v>3950</v>
      </c>
      <c r="C1273" s="8" t="s">
        <v>866</v>
      </c>
      <c r="D1273" s="11" t="n">
        <v>0.00836458333333333</v>
      </c>
      <c r="E1273" s="39" t="n">
        <f aca="false">ROUND((D1273-$D$5)*86400,2)</f>
        <v>183.68</v>
      </c>
      <c r="F1273" s="12" t="n">
        <v>2586</v>
      </c>
      <c r="G1273" s="11" t="str">
        <f aca="false">IF(INDEX(選手一覧!$D$5:$D$2736,$F1273)="","",INDEX(選手一覧!$D$5:$D$2736,$F1273))</f>
        <v/>
      </c>
      <c r="H1273" s="12" t="str">
        <f aca="false">IF(INDEX(選手一覧!$E$5:$E$2736,$F1273)="","",INDEX(選手一覧!$E$5:$E$2736,$F1273))</f>
        <v/>
      </c>
      <c r="I1273" s="11" t="str">
        <f aca="false">IF(INDEX(選手一覧!$H$5:$H$2736,$F1273)="","",INDEX(選手一覧!$H$5:$H$2736,$F1273))</f>
        <v/>
      </c>
      <c r="J1273" s="12" t="str">
        <f aca="false">IF(INDEX(選手一覧!$I$5:$I$2736,$F1273)="","",INDEX(選手一覧!$I$5:$I$2736,$F1273))</f>
        <v/>
      </c>
    </row>
    <row r="1274" customFormat="false" ht="15" hidden="false" customHeight="false" outlineLevel="0" collapsed="false">
      <c r="A1274" s="12" t="n">
        <v>1271</v>
      </c>
      <c r="B1274" s="8" t="s">
        <v>3951</v>
      </c>
      <c r="C1274" s="8" t="s">
        <v>3026</v>
      </c>
      <c r="D1274" s="11" t="n">
        <v>0.00836678240740741</v>
      </c>
      <c r="E1274" s="39" t="n">
        <f aca="false">ROUND((D1274-$D$5)*86400,2)</f>
        <v>183.87</v>
      </c>
      <c r="F1274" s="12" t="n">
        <v>2587</v>
      </c>
      <c r="G1274" s="11" t="str">
        <f aca="false">IF(INDEX(選手一覧!$D$5:$D$2736,$F1274)="","",INDEX(選手一覧!$D$5:$D$2736,$F1274))</f>
        <v/>
      </c>
      <c r="H1274" s="12" t="str">
        <f aca="false">IF(INDEX(選手一覧!$E$5:$E$2736,$F1274)="","",INDEX(選手一覧!$E$5:$E$2736,$F1274))</f>
        <v/>
      </c>
      <c r="I1274" s="11" t="str">
        <f aca="false">IF(INDEX(選手一覧!$H$5:$H$2736,$F1274)="","",INDEX(選手一覧!$H$5:$H$2736,$F1274))</f>
        <v/>
      </c>
      <c r="J1274" s="12" t="str">
        <f aca="false">IF(INDEX(選手一覧!$I$5:$I$2736,$F1274)="","",INDEX(選手一覧!$I$5:$I$2736,$F1274))</f>
        <v/>
      </c>
    </row>
    <row r="1275" customFormat="false" ht="15" hidden="false" customHeight="false" outlineLevel="0" collapsed="false">
      <c r="A1275" s="12" t="n">
        <v>1272</v>
      </c>
      <c r="B1275" s="8" t="s">
        <v>3952</v>
      </c>
      <c r="C1275" s="8" t="s">
        <v>3953</v>
      </c>
      <c r="D1275" s="11" t="n">
        <v>0.00837384259259259</v>
      </c>
      <c r="E1275" s="39" t="n">
        <f aca="false">ROUND((D1275-$D$5)*86400,2)</f>
        <v>184.48</v>
      </c>
      <c r="F1275" s="12" t="n">
        <v>2588</v>
      </c>
      <c r="G1275" s="11" t="str">
        <f aca="false">IF(INDEX(選手一覧!$D$5:$D$2736,$F1275)="","",INDEX(選手一覧!$D$5:$D$2736,$F1275))</f>
        <v/>
      </c>
      <c r="H1275" s="12" t="str">
        <f aca="false">IF(INDEX(選手一覧!$E$5:$E$2736,$F1275)="","",INDEX(選手一覧!$E$5:$E$2736,$F1275))</f>
        <v/>
      </c>
      <c r="I1275" s="11" t="str">
        <f aca="false">IF(INDEX(選手一覧!$H$5:$H$2736,$F1275)="","",INDEX(選手一覧!$H$5:$H$2736,$F1275))</f>
        <v/>
      </c>
      <c r="J1275" s="12" t="str">
        <f aca="false">IF(INDEX(選手一覧!$I$5:$I$2736,$F1275)="","",INDEX(選手一覧!$I$5:$I$2736,$F1275))</f>
        <v/>
      </c>
    </row>
    <row r="1276" customFormat="false" ht="15" hidden="false" customHeight="false" outlineLevel="0" collapsed="false">
      <c r="A1276" s="12" t="n">
        <v>1273</v>
      </c>
      <c r="B1276" s="8" t="s">
        <v>3955</v>
      </c>
      <c r="C1276" s="8" t="s">
        <v>3595</v>
      </c>
      <c r="D1276" s="11" t="n">
        <v>0.00837731481481482</v>
      </c>
      <c r="E1276" s="39" t="n">
        <f aca="false">ROUND((D1276-$D$5)*86400,2)</f>
        <v>184.78</v>
      </c>
      <c r="F1276" s="12" t="n">
        <v>2590</v>
      </c>
      <c r="G1276" s="11" t="str">
        <f aca="false">IF(INDEX(選手一覧!$D$5:$D$2736,$F1276)="","",INDEX(選手一覧!$D$5:$D$2736,$F1276))</f>
        <v/>
      </c>
      <c r="H1276" s="12" t="str">
        <f aca="false">IF(INDEX(選手一覧!$E$5:$E$2736,$F1276)="","",INDEX(選手一覧!$E$5:$E$2736,$F1276))</f>
        <v/>
      </c>
      <c r="I1276" s="11" t="str">
        <f aca="false">IF(INDEX(選手一覧!$H$5:$H$2736,$F1276)="","",INDEX(選手一覧!$H$5:$H$2736,$F1276))</f>
        <v/>
      </c>
      <c r="J1276" s="12" t="str">
        <f aca="false">IF(INDEX(選手一覧!$I$5:$I$2736,$F1276)="","",INDEX(選手一覧!$I$5:$I$2736,$F1276))</f>
        <v/>
      </c>
    </row>
    <row r="1277" customFormat="false" ht="15" hidden="false" customHeight="false" outlineLevel="0" collapsed="false">
      <c r="A1277" s="12" t="n">
        <v>1274</v>
      </c>
      <c r="B1277" s="8" t="s">
        <v>3956</v>
      </c>
      <c r="C1277" s="8" t="s">
        <v>3957</v>
      </c>
      <c r="D1277" s="11" t="n">
        <v>0.00838032407407407</v>
      </c>
      <c r="E1277" s="39" t="n">
        <f aca="false">ROUND((D1277-$D$5)*86400,2)</f>
        <v>185.04</v>
      </c>
      <c r="F1277" s="12" t="n">
        <v>2591</v>
      </c>
      <c r="G1277" s="11" t="str">
        <f aca="false">IF(INDEX(選手一覧!$D$5:$D$2736,$F1277)="","",INDEX(選手一覧!$D$5:$D$2736,$F1277))</f>
        <v/>
      </c>
      <c r="H1277" s="12" t="str">
        <f aca="false">IF(INDEX(選手一覧!$E$5:$E$2736,$F1277)="","",INDEX(選手一覧!$E$5:$E$2736,$F1277))</f>
        <v/>
      </c>
      <c r="I1277" s="11" t="str">
        <f aca="false">IF(INDEX(選手一覧!$H$5:$H$2736,$F1277)="","",INDEX(選手一覧!$H$5:$H$2736,$F1277))</f>
        <v/>
      </c>
      <c r="J1277" s="12" t="str">
        <f aca="false">IF(INDEX(選手一覧!$I$5:$I$2736,$F1277)="","",INDEX(選手一覧!$I$5:$I$2736,$F1277))</f>
        <v/>
      </c>
    </row>
    <row r="1278" customFormat="false" ht="15" hidden="false" customHeight="false" outlineLevel="0" collapsed="false">
      <c r="A1278" s="12" t="n">
        <v>1275</v>
      </c>
      <c r="B1278" s="8" t="s">
        <v>3958</v>
      </c>
      <c r="C1278" s="8" t="s">
        <v>3959</v>
      </c>
      <c r="D1278" s="11" t="n">
        <v>0.00838055555555556</v>
      </c>
      <c r="E1278" s="39" t="n">
        <f aca="false">ROUND((D1278-$D$5)*86400,2)</f>
        <v>185.06</v>
      </c>
      <c r="F1278" s="12" t="n">
        <v>2592</v>
      </c>
      <c r="G1278" s="11" t="str">
        <f aca="false">IF(INDEX(選手一覧!$D$5:$D$2736,$F1278)="","",INDEX(選手一覧!$D$5:$D$2736,$F1278))</f>
        <v/>
      </c>
      <c r="H1278" s="12" t="str">
        <f aca="false">IF(INDEX(選手一覧!$E$5:$E$2736,$F1278)="","",INDEX(選手一覧!$E$5:$E$2736,$F1278))</f>
        <v/>
      </c>
      <c r="I1278" s="11" t="str">
        <f aca="false">IF(INDEX(選手一覧!$H$5:$H$2736,$F1278)="","",INDEX(選手一覧!$H$5:$H$2736,$F1278))</f>
        <v/>
      </c>
      <c r="J1278" s="12" t="str">
        <f aca="false">IF(INDEX(選手一覧!$I$5:$I$2736,$F1278)="","",INDEX(選手一覧!$I$5:$I$2736,$F1278))</f>
        <v/>
      </c>
    </row>
    <row r="1279" customFormat="false" ht="15" hidden="false" customHeight="false" outlineLevel="0" collapsed="false">
      <c r="A1279" s="12" t="n">
        <v>1276</v>
      </c>
      <c r="B1279" s="8" t="s">
        <v>3961</v>
      </c>
      <c r="C1279" s="8" t="s">
        <v>1089</v>
      </c>
      <c r="D1279" s="11" t="n">
        <v>0.00838773148148148</v>
      </c>
      <c r="E1279" s="39" t="n">
        <f aca="false">ROUND((D1279-$D$5)*86400,2)</f>
        <v>185.68</v>
      </c>
      <c r="F1279" s="12" t="n">
        <v>2594</v>
      </c>
      <c r="G1279" s="11" t="str">
        <f aca="false">IF(INDEX(選手一覧!$D$5:$D$2736,$F1279)="","",INDEX(選手一覧!$D$5:$D$2736,$F1279))</f>
        <v/>
      </c>
      <c r="H1279" s="12" t="str">
        <f aca="false">IF(INDEX(選手一覧!$E$5:$E$2736,$F1279)="","",INDEX(選手一覧!$E$5:$E$2736,$F1279))</f>
        <v/>
      </c>
      <c r="I1279" s="11" t="str">
        <f aca="false">IF(INDEX(選手一覧!$H$5:$H$2736,$F1279)="","",INDEX(選手一覧!$H$5:$H$2736,$F1279))</f>
        <v/>
      </c>
      <c r="J1279" s="12" t="str">
        <f aca="false">IF(INDEX(選手一覧!$I$5:$I$2736,$F1279)="","",INDEX(選手一覧!$I$5:$I$2736,$F1279))</f>
        <v/>
      </c>
    </row>
    <row r="1280" customFormat="false" ht="15" hidden="false" customHeight="false" outlineLevel="0" collapsed="false">
      <c r="A1280" s="12" t="n">
        <v>1277</v>
      </c>
      <c r="B1280" s="8" t="s">
        <v>3963</v>
      </c>
      <c r="C1280" s="8" t="s">
        <v>3964</v>
      </c>
      <c r="D1280" s="11" t="n">
        <v>0.00838796296296296</v>
      </c>
      <c r="E1280" s="39" t="n">
        <f aca="false">ROUND((D1280-$D$5)*86400,2)</f>
        <v>185.7</v>
      </c>
      <c r="F1280" s="12" t="n">
        <v>2596</v>
      </c>
      <c r="G1280" s="11" t="str">
        <f aca="false">IF(INDEX(選手一覧!$D$5:$D$2736,$F1280)="","",INDEX(選手一覧!$D$5:$D$2736,$F1280))</f>
        <v/>
      </c>
      <c r="H1280" s="12" t="str">
        <f aca="false">IF(INDEX(選手一覧!$E$5:$E$2736,$F1280)="","",INDEX(選手一覧!$E$5:$E$2736,$F1280))</f>
        <v/>
      </c>
      <c r="I1280" s="11" t="str">
        <f aca="false">IF(INDEX(選手一覧!$H$5:$H$2736,$F1280)="","",INDEX(選手一覧!$H$5:$H$2736,$F1280))</f>
        <v/>
      </c>
      <c r="J1280" s="12" t="str">
        <f aca="false">IF(INDEX(選手一覧!$I$5:$I$2736,$F1280)="","",INDEX(選手一覧!$I$5:$I$2736,$F1280))</f>
        <v/>
      </c>
    </row>
    <row r="1281" customFormat="false" ht="15" hidden="false" customHeight="false" outlineLevel="0" collapsed="false">
      <c r="A1281" s="12" t="n">
        <v>1278</v>
      </c>
      <c r="B1281" s="8" t="s">
        <v>3965</v>
      </c>
      <c r="C1281" s="8" t="s">
        <v>3381</v>
      </c>
      <c r="D1281" s="11" t="n">
        <v>0.00839259259259259</v>
      </c>
      <c r="E1281" s="39" t="n">
        <f aca="false">ROUND((D1281-$D$5)*86400,2)</f>
        <v>186.1</v>
      </c>
      <c r="F1281" s="12" t="n">
        <v>2597</v>
      </c>
      <c r="G1281" s="11" t="str">
        <f aca="false">IF(INDEX(選手一覧!$D$5:$D$2736,$F1281)="","",INDEX(選手一覧!$D$5:$D$2736,$F1281))</f>
        <v/>
      </c>
      <c r="H1281" s="12" t="str">
        <f aca="false">IF(INDEX(選手一覧!$E$5:$E$2736,$F1281)="","",INDEX(選手一覧!$E$5:$E$2736,$F1281))</f>
        <v/>
      </c>
      <c r="I1281" s="11" t="str">
        <f aca="false">IF(INDEX(選手一覧!$H$5:$H$2736,$F1281)="","",INDEX(選手一覧!$H$5:$H$2736,$F1281))</f>
        <v/>
      </c>
      <c r="J1281" s="12" t="str">
        <f aca="false">IF(INDEX(選手一覧!$I$5:$I$2736,$F1281)="","",INDEX(選手一覧!$I$5:$I$2736,$F1281))</f>
        <v/>
      </c>
    </row>
    <row r="1282" customFormat="false" ht="15" hidden="false" customHeight="false" outlineLevel="0" collapsed="false">
      <c r="A1282" s="12" t="n">
        <v>1279</v>
      </c>
      <c r="B1282" s="8" t="s">
        <v>3966</v>
      </c>
      <c r="C1282" s="8" t="s">
        <v>3967</v>
      </c>
      <c r="D1282" s="11" t="n">
        <v>0.00840277777777778</v>
      </c>
      <c r="E1282" s="39" t="n">
        <f aca="false">ROUND((D1282-$D$5)*86400,2)</f>
        <v>186.98</v>
      </c>
      <c r="F1282" s="12" t="n">
        <v>2598</v>
      </c>
      <c r="G1282" s="11" t="str">
        <f aca="false">IF(INDEX(選手一覧!$D$5:$D$2736,$F1282)="","",INDEX(選手一覧!$D$5:$D$2736,$F1282))</f>
        <v/>
      </c>
      <c r="H1282" s="12" t="str">
        <f aca="false">IF(INDEX(選手一覧!$E$5:$E$2736,$F1282)="","",INDEX(選手一覧!$E$5:$E$2736,$F1282))</f>
        <v/>
      </c>
      <c r="I1282" s="11" t="str">
        <f aca="false">IF(INDEX(選手一覧!$H$5:$H$2736,$F1282)="","",INDEX(選手一覧!$H$5:$H$2736,$F1282))</f>
        <v/>
      </c>
      <c r="J1282" s="12" t="str">
        <f aca="false">IF(INDEX(選手一覧!$I$5:$I$2736,$F1282)="","",INDEX(選手一覧!$I$5:$I$2736,$F1282))</f>
        <v/>
      </c>
    </row>
    <row r="1283" customFormat="false" ht="15" hidden="false" customHeight="false" outlineLevel="0" collapsed="false">
      <c r="A1283" s="12" t="n">
        <v>1280</v>
      </c>
      <c r="B1283" s="8" t="s">
        <v>3969</v>
      </c>
      <c r="C1283" s="8" t="s">
        <v>3970</v>
      </c>
      <c r="D1283" s="11" t="n">
        <v>0.00840300925925926</v>
      </c>
      <c r="E1283" s="39" t="n">
        <f aca="false">ROUND((D1283-$D$5)*86400,2)</f>
        <v>187</v>
      </c>
      <c r="F1283" s="12" t="n">
        <v>2600</v>
      </c>
      <c r="G1283" s="11" t="str">
        <f aca="false">IF(INDEX(選手一覧!$D$5:$D$2736,$F1283)="","",INDEX(選手一覧!$D$5:$D$2736,$F1283))</f>
        <v/>
      </c>
      <c r="H1283" s="12" t="str">
        <f aca="false">IF(INDEX(選手一覧!$E$5:$E$2736,$F1283)="","",INDEX(選手一覧!$E$5:$E$2736,$F1283))</f>
        <v/>
      </c>
      <c r="I1283" s="11" t="str">
        <f aca="false">IF(INDEX(選手一覧!$H$5:$H$2736,$F1283)="","",INDEX(選手一覧!$H$5:$H$2736,$F1283))</f>
        <v/>
      </c>
      <c r="J1283" s="12" t="str">
        <f aca="false">IF(INDEX(選手一覧!$I$5:$I$2736,$F1283)="","",INDEX(選手一覧!$I$5:$I$2736,$F1283))</f>
        <v/>
      </c>
    </row>
    <row r="1284" customFormat="false" ht="15" hidden="false" customHeight="false" outlineLevel="0" collapsed="false">
      <c r="A1284" s="12" t="n">
        <v>1281</v>
      </c>
      <c r="B1284" s="8" t="s">
        <v>3971</v>
      </c>
      <c r="C1284" s="8" t="s">
        <v>3972</v>
      </c>
      <c r="D1284" s="11" t="n">
        <v>0.00840636574074074</v>
      </c>
      <c r="E1284" s="39" t="n">
        <f aca="false">ROUND((D1284-$D$5)*86400,2)</f>
        <v>187.29</v>
      </c>
      <c r="F1284" s="12" t="n">
        <v>2601</v>
      </c>
      <c r="G1284" s="11" t="str">
        <f aca="false">IF(INDEX(選手一覧!$D$5:$D$2736,$F1284)="","",INDEX(選手一覧!$D$5:$D$2736,$F1284))</f>
        <v/>
      </c>
      <c r="H1284" s="12" t="str">
        <f aca="false">IF(INDEX(選手一覧!$E$5:$E$2736,$F1284)="","",INDEX(選手一覧!$E$5:$E$2736,$F1284))</f>
        <v/>
      </c>
      <c r="I1284" s="11" t="str">
        <f aca="false">IF(INDEX(選手一覧!$H$5:$H$2736,$F1284)="","",INDEX(選手一覧!$H$5:$H$2736,$F1284))</f>
        <v/>
      </c>
      <c r="J1284" s="12" t="str">
        <f aca="false">IF(INDEX(選手一覧!$I$5:$I$2736,$F1284)="","",INDEX(選手一覧!$I$5:$I$2736,$F1284))</f>
        <v/>
      </c>
    </row>
    <row r="1285" customFormat="false" ht="15" hidden="false" customHeight="false" outlineLevel="0" collapsed="false">
      <c r="A1285" s="12" t="n">
        <v>1282</v>
      </c>
      <c r="B1285" s="8" t="s">
        <v>1664</v>
      </c>
      <c r="C1285" s="8" t="s">
        <v>1120</v>
      </c>
      <c r="D1285" s="11" t="n">
        <v>0.00840659722222222</v>
      </c>
      <c r="E1285" s="39" t="n">
        <f aca="false">ROUND((D1285-$D$5)*86400,2)</f>
        <v>187.31</v>
      </c>
      <c r="F1285" s="12" t="n">
        <v>1030</v>
      </c>
      <c r="G1285" s="11" t="n">
        <f aca="false">IF(INDEX(選手一覧!$D$5:$D$2736,$F1285)="","",INDEX(選手一覧!$D$5:$D$2736,$F1285))</f>
        <v>0.0109677083333333</v>
      </c>
      <c r="H1285" s="12" t="n">
        <f aca="false">IF(INDEX(選手一覧!$E$5:$E$2736,$F1285)="","",INDEX(選手一覧!$E$5:$E$2736,$F1285))</f>
        <v>1031</v>
      </c>
      <c r="I1285" s="11" t="str">
        <f aca="false">IF(INDEX(選手一覧!$H$5:$H$2736,$F1285)="","",INDEX(選手一覧!$H$5:$H$2736,$F1285))</f>
        <v/>
      </c>
      <c r="J1285" s="12" t="str">
        <f aca="false">IF(INDEX(選手一覧!$I$5:$I$2736,$F1285)="","",INDEX(選手一覧!$I$5:$I$2736,$F1285))</f>
        <v/>
      </c>
    </row>
    <row r="1286" customFormat="false" ht="15" hidden="false" customHeight="false" outlineLevel="0" collapsed="false">
      <c r="A1286" s="12" t="n">
        <v>1283</v>
      </c>
      <c r="B1286" s="8" t="s">
        <v>3974</v>
      </c>
      <c r="C1286" s="8" t="s">
        <v>1220</v>
      </c>
      <c r="D1286" s="11" t="n">
        <v>0.00840972222222222</v>
      </c>
      <c r="E1286" s="39" t="n">
        <f aca="false">ROUND((D1286-$D$5)*86400,2)</f>
        <v>187.58</v>
      </c>
      <c r="F1286" s="12" t="n">
        <v>2603</v>
      </c>
      <c r="G1286" s="11" t="str">
        <f aca="false">IF(INDEX(選手一覧!$D$5:$D$2736,$F1286)="","",INDEX(選手一覧!$D$5:$D$2736,$F1286))</f>
        <v/>
      </c>
      <c r="H1286" s="12" t="str">
        <f aca="false">IF(INDEX(選手一覧!$E$5:$E$2736,$F1286)="","",INDEX(選手一覧!$E$5:$E$2736,$F1286))</f>
        <v/>
      </c>
      <c r="I1286" s="11" t="str">
        <f aca="false">IF(INDEX(選手一覧!$H$5:$H$2736,$F1286)="","",INDEX(選手一覧!$H$5:$H$2736,$F1286))</f>
        <v/>
      </c>
      <c r="J1286" s="12" t="str">
        <f aca="false">IF(INDEX(選手一覧!$I$5:$I$2736,$F1286)="","",INDEX(選手一覧!$I$5:$I$2736,$F1286))</f>
        <v/>
      </c>
    </row>
    <row r="1287" customFormat="false" ht="15" hidden="false" customHeight="false" outlineLevel="0" collapsed="false">
      <c r="A1287" s="12" t="n">
        <v>1284</v>
      </c>
      <c r="B1287" s="8" t="s">
        <v>3975</v>
      </c>
      <c r="C1287" s="8" t="s">
        <v>1563</v>
      </c>
      <c r="D1287" s="11" t="n">
        <v>0.00841435185185185</v>
      </c>
      <c r="E1287" s="39" t="n">
        <f aca="false">ROUND((D1287-$D$5)*86400,2)</f>
        <v>187.98</v>
      </c>
      <c r="F1287" s="12" t="n">
        <v>2604</v>
      </c>
      <c r="G1287" s="11" t="str">
        <f aca="false">IF(INDEX(選手一覧!$D$5:$D$2736,$F1287)="","",INDEX(選手一覧!$D$5:$D$2736,$F1287))</f>
        <v/>
      </c>
      <c r="H1287" s="12" t="str">
        <f aca="false">IF(INDEX(選手一覧!$E$5:$E$2736,$F1287)="","",INDEX(選手一覧!$E$5:$E$2736,$F1287))</f>
        <v/>
      </c>
      <c r="I1287" s="11" t="str">
        <f aca="false">IF(INDEX(選手一覧!$H$5:$H$2736,$F1287)="","",INDEX(選手一覧!$H$5:$H$2736,$F1287))</f>
        <v/>
      </c>
      <c r="J1287" s="12" t="str">
        <f aca="false">IF(INDEX(選手一覧!$I$5:$I$2736,$F1287)="","",INDEX(選手一覧!$I$5:$I$2736,$F1287))</f>
        <v/>
      </c>
    </row>
    <row r="1288" customFormat="false" ht="15" hidden="false" customHeight="false" outlineLevel="0" collapsed="false">
      <c r="A1288" s="12" t="n">
        <v>1285</v>
      </c>
      <c r="B1288" s="8" t="s">
        <v>3976</v>
      </c>
      <c r="C1288" s="8" t="s">
        <v>3802</v>
      </c>
      <c r="D1288" s="11" t="n">
        <v>0.00842025462962963</v>
      </c>
      <c r="E1288" s="39" t="n">
        <f aca="false">ROUND((D1288-$D$5)*86400,2)</f>
        <v>188.49</v>
      </c>
      <c r="F1288" s="12" t="n">
        <v>2605</v>
      </c>
      <c r="G1288" s="11" t="str">
        <f aca="false">IF(INDEX(選手一覧!$D$5:$D$2736,$F1288)="","",INDEX(選手一覧!$D$5:$D$2736,$F1288))</f>
        <v/>
      </c>
      <c r="H1288" s="12" t="str">
        <f aca="false">IF(INDEX(選手一覧!$E$5:$E$2736,$F1288)="","",INDEX(選手一覧!$E$5:$E$2736,$F1288))</f>
        <v/>
      </c>
      <c r="I1288" s="11" t="str">
        <f aca="false">IF(INDEX(選手一覧!$H$5:$H$2736,$F1288)="","",INDEX(選手一覧!$H$5:$H$2736,$F1288))</f>
        <v/>
      </c>
      <c r="J1288" s="12" t="str">
        <f aca="false">IF(INDEX(選手一覧!$I$5:$I$2736,$F1288)="","",INDEX(選手一覧!$I$5:$I$2736,$F1288))</f>
        <v/>
      </c>
    </row>
    <row r="1289" customFormat="false" ht="15" hidden="false" customHeight="false" outlineLevel="0" collapsed="false">
      <c r="A1289" s="12" t="n">
        <v>1286</v>
      </c>
      <c r="B1289" s="8" t="s">
        <v>3978</v>
      </c>
      <c r="C1289" s="8" t="s">
        <v>3979</v>
      </c>
      <c r="D1289" s="11" t="n">
        <v>0.00843078703703704</v>
      </c>
      <c r="E1289" s="39" t="n">
        <f aca="false">ROUND((D1289-$D$5)*86400,2)</f>
        <v>189.4</v>
      </c>
      <c r="F1289" s="12" t="n">
        <v>2607</v>
      </c>
      <c r="G1289" s="11" t="str">
        <f aca="false">IF(INDEX(選手一覧!$D$5:$D$2736,$F1289)="","",INDEX(選手一覧!$D$5:$D$2736,$F1289))</f>
        <v/>
      </c>
      <c r="H1289" s="12" t="str">
        <f aca="false">IF(INDEX(選手一覧!$E$5:$E$2736,$F1289)="","",INDEX(選手一覧!$E$5:$E$2736,$F1289))</f>
        <v/>
      </c>
      <c r="I1289" s="11" t="str">
        <f aca="false">IF(INDEX(選手一覧!$H$5:$H$2736,$F1289)="","",INDEX(選手一覧!$H$5:$H$2736,$F1289))</f>
        <v/>
      </c>
      <c r="J1289" s="12" t="str">
        <f aca="false">IF(INDEX(選手一覧!$I$5:$I$2736,$F1289)="","",INDEX(選手一覧!$I$5:$I$2736,$F1289))</f>
        <v/>
      </c>
    </row>
    <row r="1290" customFormat="false" ht="15" hidden="false" customHeight="false" outlineLevel="0" collapsed="false">
      <c r="A1290" s="12" t="n">
        <v>1287</v>
      </c>
      <c r="B1290" s="8" t="s">
        <v>3980</v>
      </c>
      <c r="C1290" s="8" t="s">
        <v>2383</v>
      </c>
      <c r="D1290" s="11" t="n">
        <v>0.00843171296296296</v>
      </c>
      <c r="E1290" s="39" t="n">
        <f aca="false">ROUND((D1290-$D$5)*86400,2)</f>
        <v>189.48</v>
      </c>
      <c r="F1290" s="12" t="n">
        <v>2608</v>
      </c>
      <c r="G1290" s="11" t="str">
        <f aca="false">IF(INDEX(選手一覧!$D$5:$D$2736,$F1290)="","",INDEX(選手一覧!$D$5:$D$2736,$F1290))</f>
        <v/>
      </c>
      <c r="H1290" s="12" t="str">
        <f aca="false">IF(INDEX(選手一覧!$E$5:$E$2736,$F1290)="","",INDEX(選手一覧!$E$5:$E$2736,$F1290))</f>
        <v/>
      </c>
      <c r="I1290" s="11" t="str">
        <f aca="false">IF(INDEX(選手一覧!$H$5:$H$2736,$F1290)="","",INDEX(選手一覧!$H$5:$H$2736,$F1290))</f>
        <v/>
      </c>
      <c r="J1290" s="12" t="str">
        <f aca="false">IF(INDEX(選手一覧!$I$5:$I$2736,$F1290)="","",INDEX(選手一覧!$I$5:$I$2736,$F1290))</f>
        <v/>
      </c>
    </row>
    <row r="1291" customFormat="false" ht="15" hidden="false" customHeight="false" outlineLevel="0" collapsed="false">
      <c r="A1291" s="12" t="n">
        <v>1288</v>
      </c>
      <c r="B1291" s="8" t="s">
        <v>3983</v>
      </c>
      <c r="C1291" s="8" t="s">
        <v>3984</v>
      </c>
      <c r="D1291" s="11" t="n">
        <v>0.00843275462962963</v>
      </c>
      <c r="E1291" s="39" t="n">
        <f aca="false">ROUND((D1291-$D$5)*86400,2)</f>
        <v>189.57</v>
      </c>
      <c r="F1291" s="12" t="n">
        <v>2610</v>
      </c>
      <c r="G1291" s="11" t="str">
        <f aca="false">IF(INDEX(選手一覧!$D$5:$D$2736,$F1291)="","",INDEX(選手一覧!$D$5:$D$2736,$F1291))</f>
        <v/>
      </c>
      <c r="H1291" s="12" t="str">
        <f aca="false">IF(INDEX(選手一覧!$E$5:$E$2736,$F1291)="","",INDEX(選手一覧!$E$5:$E$2736,$F1291))</f>
        <v/>
      </c>
      <c r="I1291" s="11" t="str">
        <f aca="false">IF(INDEX(選手一覧!$H$5:$H$2736,$F1291)="","",INDEX(選手一覧!$H$5:$H$2736,$F1291))</f>
        <v/>
      </c>
      <c r="J1291" s="12" t="str">
        <f aca="false">IF(INDEX(選手一覧!$I$5:$I$2736,$F1291)="","",INDEX(選手一覧!$I$5:$I$2736,$F1291))</f>
        <v/>
      </c>
    </row>
    <row r="1292" customFormat="false" ht="15" hidden="false" customHeight="false" outlineLevel="0" collapsed="false">
      <c r="A1292" s="12" t="n">
        <v>1289</v>
      </c>
      <c r="B1292" s="8" t="s">
        <v>3986</v>
      </c>
      <c r="C1292" s="8" t="s">
        <v>2998</v>
      </c>
      <c r="D1292" s="11" t="n">
        <v>0.00843541666666667</v>
      </c>
      <c r="E1292" s="39" t="n">
        <f aca="false">ROUND((D1292-$D$5)*86400,2)</f>
        <v>189.8</v>
      </c>
      <c r="F1292" s="12" t="n">
        <v>2612</v>
      </c>
      <c r="G1292" s="11" t="str">
        <f aca="false">IF(INDEX(選手一覧!$D$5:$D$2736,$F1292)="","",INDEX(選手一覧!$D$5:$D$2736,$F1292))</f>
        <v/>
      </c>
      <c r="H1292" s="12" t="str">
        <f aca="false">IF(INDEX(選手一覧!$E$5:$E$2736,$F1292)="","",INDEX(選手一覧!$E$5:$E$2736,$F1292))</f>
        <v/>
      </c>
      <c r="I1292" s="11" t="str">
        <f aca="false">IF(INDEX(選手一覧!$H$5:$H$2736,$F1292)="","",INDEX(選手一覧!$H$5:$H$2736,$F1292))</f>
        <v/>
      </c>
      <c r="J1292" s="12" t="str">
        <f aca="false">IF(INDEX(選手一覧!$I$5:$I$2736,$F1292)="","",INDEX(選手一覧!$I$5:$I$2736,$F1292))</f>
        <v/>
      </c>
    </row>
    <row r="1293" customFormat="false" ht="15" hidden="false" customHeight="false" outlineLevel="0" collapsed="false">
      <c r="A1293" s="12" t="n">
        <v>1290</v>
      </c>
      <c r="B1293" s="8" t="s">
        <v>3987</v>
      </c>
      <c r="C1293" s="8" t="s">
        <v>2218</v>
      </c>
      <c r="D1293" s="11" t="n">
        <v>0.00844826388888889</v>
      </c>
      <c r="E1293" s="39" t="n">
        <f aca="false">ROUND((D1293-$D$5)*86400,2)</f>
        <v>190.91</v>
      </c>
      <c r="F1293" s="12" t="n">
        <v>2613</v>
      </c>
      <c r="G1293" s="11" t="str">
        <f aca="false">IF(INDEX(選手一覧!$D$5:$D$2736,$F1293)="","",INDEX(選手一覧!$D$5:$D$2736,$F1293))</f>
        <v/>
      </c>
      <c r="H1293" s="12" t="str">
        <f aca="false">IF(INDEX(選手一覧!$E$5:$E$2736,$F1293)="","",INDEX(選手一覧!$E$5:$E$2736,$F1293))</f>
        <v/>
      </c>
      <c r="I1293" s="11" t="str">
        <f aca="false">IF(INDEX(選手一覧!$H$5:$H$2736,$F1293)="","",INDEX(選手一覧!$H$5:$H$2736,$F1293))</f>
        <v/>
      </c>
      <c r="J1293" s="12" t="str">
        <f aca="false">IF(INDEX(選手一覧!$I$5:$I$2736,$F1293)="","",INDEX(選手一覧!$I$5:$I$2736,$F1293))</f>
        <v/>
      </c>
    </row>
    <row r="1294" customFormat="false" ht="15" hidden="false" customHeight="false" outlineLevel="0" collapsed="false">
      <c r="A1294" s="12" t="n">
        <v>1291</v>
      </c>
      <c r="B1294" s="8" t="s">
        <v>3988</v>
      </c>
      <c r="C1294" s="8" t="s">
        <v>3989</v>
      </c>
      <c r="D1294" s="11" t="n">
        <v>0.00844872685185185</v>
      </c>
      <c r="E1294" s="39" t="n">
        <f aca="false">ROUND((D1294-$D$5)*86400,2)</f>
        <v>190.95</v>
      </c>
      <c r="F1294" s="12" t="n">
        <v>2614</v>
      </c>
      <c r="G1294" s="11" t="str">
        <f aca="false">IF(INDEX(選手一覧!$D$5:$D$2736,$F1294)="","",INDEX(選手一覧!$D$5:$D$2736,$F1294))</f>
        <v/>
      </c>
      <c r="H1294" s="12" t="str">
        <f aca="false">IF(INDEX(選手一覧!$E$5:$E$2736,$F1294)="","",INDEX(選手一覧!$E$5:$E$2736,$F1294))</f>
        <v/>
      </c>
      <c r="I1294" s="11" t="str">
        <f aca="false">IF(INDEX(選手一覧!$H$5:$H$2736,$F1294)="","",INDEX(選手一覧!$H$5:$H$2736,$F1294))</f>
        <v/>
      </c>
      <c r="J1294" s="12" t="str">
        <f aca="false">IF(INDEX(選手一覧!$I$5:$I$2736,$F1294)="","",INDEX(選手一覧!$I$5:$I$2736,$F1294))</f>
        <v/>
      </c>
    </row>
    <row r="1295" customFormat="false" ht="15" hidden="false" customHeight="false" outlineLevel="0" collapsed="false">
      <c r="A1295" s="12" t="n">
        <v>1292</v>
      </c>
      <c r="B1295" s="8" t="s">
        <v>3991</v>
      </c>
      <c r="C1295" s="8" t="s">
        <v>3992</v>
      </c>
      <c r="D1295" s="11" t="n">
        <v>0.00845428240740741</v>
      </c>
      <c r="E1295" s="39" t="n">
        <f aca="false">ROUND((D1295-$D$5)*86400,2)</f>
        <v>191.43</v>
      </c>
      <c r="F1295" s="12" t="n">
        <v>2616</v>
      </c>
      <c r="G1295" s="11" t="str">
        <f aca="false">IF(INDEX(選手一覧!$D$5:$D$2736,$F1295)="","",INDEX(選手一覧!$D$5:$D$2736,$F1295))</f>
        <v/>
      </c>
      <c r="H1295" s="12" t="str">
        <f aca="false">IF(INDEX(選手一覧!$E$5:$E$2736,$F1295)="","",INDEX(選手一覧!$E$5:$E$2736,$F1295))</f>
        <v/>
      </c>
      <c r="I1295" s="11" t="str">
        <f aca="false">IF(INDEX(選手一覧!$H$5:$H$2736,$F1295)="","",INDEX(選手一覧!$H$5:$H$2736,$F1295))</f>
        <v/>
      </c>
      <c r="J1295" s="12" t="str">
        <f aca="false">IF(INDEX(選手一覧!$I$5:$I$2736,$F1295)="","",INDEX(選手一覧!$I$5:$I$2736,$F1295))</f>
        <v/>
      </c>
    </row>
    <row r="1296" customFormat="false" ht="15" hidden="false" customHeight="false" outlineLevel="0" collapsed="false">
      <c r="A1296" s="12" t="n">
        <v>1293</v>
      </c>
      <c r="B1296" s="8" t="s">
        <v>3994</v>
      </c>
      <c r="C1296" s="8" t="s">
        <v>2052</v>
      </c>
      <c r="D1296" s="11" t="n">
        <v>0.00846331018518519</v>
      </c>
      <c r="E1296" s="39" t="n">
        <f aca="false">ROUND((D1296-$D$5)*86400,2)</f>
        <v>192.21</v>
      </c>
      <c r="F1296" s="12" t="n">
        <v>2618</v>
      </c>
      <c r="G1296" s="11" t="str">
        <f aca="false">IF(INDEX(選手一覧!$D$5:$D$2736,$F1296)="","",INDEX(選手一覧!$D$5:$D$2736,$F1296))</f>
        <v/>
      </c>
      <c r="H1296" s="12" t="str">
        <f aca="false">IF(INDEX(選手一覧!$E$5:$E$2736,$F1296)="","",INDEX(選手一覧!$E$5:$E$2736,$F1296))</f>
        <v/>
      </c>
      <c r="I1296" s="11" t="str">
        <f aca="false">IF(INDEX(選手一覧!$H$5:$H$2736,$F1296)="","",INDEX(選手一覧!$H$5:$H$2736,$F1296))</f>
        <v/>
      </c>
      <c r="J1296" s="12" t="str">
        <f aca="false">IF(INDEX(選手一覧!$I$5:$I$2736,$F1296)="","",INDEX(選手一覧!$I$5:$I$2736,$F1296))</f>
        <v/>
      </c>
    </row>
    <row r="1297" customFormat="false" ht="15" hidden="false" customHeight="false" outlineLevel="0" collapsed="false">
      <c r="A1297" s="12" t="n">
        <v>1294</v>
      </c>
      <c r="B1297" s="8" t="s">
        <v>3996</v>
      </c>
      <c r="C1297" s="8" t="s">
        <v>2104</v>
      </c>
      <c r="D1297" s="11" t="n">
        <v>0.00846493055555556</v>
      </c>
      <c r="E1297" s="39" t="n">
        <f aca="false">ROUND((D1297-$D$5)*86400,2)</f>
        <v>192.35</v>
      </c>
      <c r="F1297" s="12" t="n">
        <v>2620</v>
      </c>
      <c r="G1297" s="11" t="str">
        <f aca="false">IF(INDEX(選手一覧!$D$5:$D$2736,$F1297)="","",INDEX(選手一覧!$D$5:$D$2736,$F1297))</f>
        <v/>
      </c>
      <c r="H1297" s="12" t="str">
        <f aca="false">IF(INDEX(選手一覧!$E$5:$E$2736,$F1297)="","",INDEX(選手一覧!$E$5:$E$2736,$F1297))</f>
        <v/>
      </c>
      <c r="I1297" s="11" t="str">
        <f aca="false">IF(INDEX(選手一覧!$H$5:$H$2736,$F1297)="","",INDEX(選手一覧!$H$5:$H$2736,$F1297))</f>
        <v/>
      </c>
      <c r="J1297" s="12" t="str">
        <f aca="false">IF(INDEX(選手一覧!$I$5:$I$2736,$F1297)="","",INDEX(選手一覧!$I$5:$I$2736,$F1297))</f>
        <v/>
      </c>
    </row>
    <row r="1298" customFormat="false" ht="15" hidden="false" customHeight="false" outlineLevel="0" collapsed="false">
      <c r="A1298" s="12" t="n">
        <v>1295</v>
      </c>
      <c r="B1298" s="8" t="s">
        <v>3997</v>
      </c>
      <c r="C1298" s="8" t="s">
        <v>1252</v>
      </c>
      <c r="D1298" s="11" t="n">
        <v>0.00847916666666667</v>
      </c>
      <c r="E1298" s="39" t="n">
        <f aca="false">ROUND((D1298-$D$5)*86400,2)</f>
        <v>193.58</v>
      </c>
      <c r="F1298" s="12" t="n">
        <v>2621</v>
      </c>
      <c r="G1298" s="11" t="str">
        <f aca="false">IF(INDEX(選手一覧!$D$5:$D$2736,$F1298)="","",INDEX(選手一覧!$D$5:$D$2736,$F1298))</f>
        <v/>
      </c>
      <c r="H1298" s="12" t="str">
        <f aca="false">IF(INDEX(選手一覧!$E$5:$E$2736,$F1298)="","",INDEX(選手一覧!$E$5:$E$2736,$F1298))</f>
        <v/>
      </c>
      <c r="I1298" s="11" t="str">
        <f aca="false">IF(INDEX(選手一覧!$H$5:$H$2736,$F1298)="","",INDEX(選手一覧!$H$5:$H$2736,$F1298))</f>
        <v/>
      </c>
      <c r="J1298" s="12" t="str">
        <f aca="false">IF(INDEX(選手一覧!$I$5:$I$2736,$F1298)="","",INDEX(選手一覧!$I$5:$I$2736,$F1298))</f>
        <v/>
      </c>
    </row>
    <row r="1299" customFormat="false" ht="15" hidden="false" customHeight="false" outlineLevel="0" collapsed="false">
      <c r="A1299" s="12" t="n">
        <v>1296</v>
      </c>
      <c r="B1299" s="8" t="s">
        <v>3998</v>
      </c>
      <c r="C1299" s="8" t="s">
        <v>3020</v>
      </c>
      <c r="D1299" s="11" t="n">
        <v>0.0084880787037037</v>
      </c>
      <c r="E1299" s="39" t="n">
        <f aca="false">ROUND((D1299-$D$5)*86400,2)</f>
        <v>194.35</v>
      </c>
      <c r="F1299" s="12" t="n">
        <v>2622</v>
      </c>
      <c r="G1299" s="11" t="str">
        <f aca="false">IF(INDEX(選手一覧!$D$5:$D$2736,$F1299)="","",INDEX(選手一覧!$D$5:$D$2736,$F1299))</f>
        <v/>
      </c>
      <c r="H1299" s="12" t="str">
        <f aca="false">IF(INDEX(選手一覧!$E$5:$E$2736,$F1299)="","",INDEX(選手一覧!$E$5:$E$2736,$F1299))</f>
        <v/>
      </c>
      <c r="I1299" s="11" t="str">
        <f aca="false">IF(INDEX(選手一覧!$H$5:$H$2736,$F1299)="","",INDEX(選手一覧!$H$5:$H$2736,$F1299))</f>
        <v/>
      </c>
      <c r="J1299" s="12" t="str">
        <f aca="false">IF(INDEX(選手一覧!$I$5:$I$2736,$F1299)="","",INDEX(選手一覧!$I$5:$I$2736,$F1299))</f>
        <v/>
      </c>
    </row>
    <row r="1300" customFormat="false" ht="15" hidden="false" customHeight="false" outlineLevel="0" collapsed="false">
      <c r="A1300" s="12" t="n">
        <v>1297</v>
      </c>
      <c r="B1300" s="8" t="s">
        <v>3999</v>
      </c>
      <c r="C1300" s="8" t="s">
        <v>3972</v>
      </c>
      <c r="D1300" s="11" t="n">
        <v>0.0084880787037037</v>
      </c>
      <c r="E1300" s="39" t="n">
        <f aca="false">ROUND((D1300-$D$5)*86400,2)</f>
        <v>194.35</v>
      </c>
      <c r="F1300" s="12" t="n">
        <v>2623</v>
      </c>
      <c r="G1300" s="11" t="str">
        <f aca="false">IF(INDEX(選手一覧!$D$5:$D$2736,$F1300)="","",INDEX(選手一覧!$D$5:$D$2736,$F1300))</f>
        <v/>
      </c>
      <c r="H1300" s="12" t="str">
        <f aca="false">IF(INDEX(選手一覧!$E$5:$E$2736,$F1300)="","",INDEX(選手一覧!$E$5:$E$2736,$F1300))</f>
        <v/>
      </c>
      <c r="I1300" s="11" t="str">
        <f aca="false">IF(INDEX(選手一覧!$H$5:$H$2736,$F1300)="","",INDEX(選手一覧!$H$5:$H$2736,$F1300))</f>
        <v/>
      </c>
      <c r="J1300" s="12" t="str">
        <f aca="false">IF(INDEX(選手一覧!$I$5:$I$2736,$F1300)="","",INDEX(選手一覧!$I$5:$I$2736,$F1300))</f>
        <v/>
      </c>
    </row>
    <row r="1301" customFormat="false" ht="15" hidden="false" customHeight="false" outlineLevel="0" collapsed="false">
      <c r="A1301" s="12" t="n">
        <v>1298</v>
      </c>
      <c r="B1301" s="8" t="s">
        <v>4000</v>
      </c>
      <c r="C1301" s="8" t="s">
        <v>4001</v>
      </c>
      <c r="D1301" s="11" t="n">
        <v>0.0084931712962963</v>
      </c>
      <c r="E1301" s="39" t="n">
        <f aca="false">ROUND((D1301-$D$5)*86400,2)</f>
        <v>194.79</v>
      </c>
      <c r="F1301" s="12" t="n">
        <v>2624</v>
      </c>
      <c r="G1301" s="11" t="str">
        <f aca="false">IF(INDEX(選手一覧!$D$5:$D$2736,$F1301)="","",INDEX(選手一覧!$D$5:$D$2736,$F1301))</f>
        <v/>
      </c>
      <c r="H1301" s="12" t="str">
        <f aca="false">IF(INDEX(選手一覧!$E$5:$E$2736,$F1301)="","",INDEX(選手一覧!$E$5:$E$2736,$F1301))</f>
        <v/>
      </c>
      <c r="I1301" s="11" t="str">
        <f aca="false">IF(INDEX(選手一覧!$H$5:$H$2736,$F1301)="","",INDEX(選手一覧!$H$5:$H$2736,$F1301))</f>
        <v/>
      </c>
      <c r="J1301" s="12" t="str">
        <f aca="false">IF(INDEX(選手一覧!$I$5:$I$2736,$F1301)="","",INDEX(選手一覧!$I$5:$I$2736,$F1301))</f>
        <v/>
      </c>
    </row>
    <row r="1302" customFormat="false" ht="15" hidden="false" customHeight="false" outlineLevel="0" collapsed="false">
      <c r="A1302" s="12" t="n">
        <v>1299</v>
      </c>
      <c r="B1302" s="8" t="s">
        <v>4002</v>
      </c>
      <c r="C1302" s="8" t="s">
        <v>817</v>
      </c>
      <c r="D1302" s="11" t="n">
        <v>0.00849803240740741</v>
      </c>
      <c r="E1302" s="39" t="n">
        <f aca="false">ROUND((D1302-$D$5)*86400,2)</f>
        <v>195.21</v>
      </c>
      <c r="F1302" s="12" t="n">
        <v>2625</v>
      </c>
      <c r="G1302" s="11" t="str">
        <f aca="false">IF(INDEX(選手一覧!$D$5:$D$2736,$F1302)="","",INDEX(選手一覧!$D$5:$D$2736,$F1302))</f>
        <v/>
      </c>
      <c r="H1302" s="12" t="str">
        <f aca="false">IF(INDEX(選手一覧!$E$5:$E$2736,$F1302)="","",INDEX(選手一覧!$E$5:$E$2736,$F1302))</f>
        <v/>
      </c>
      <c r="I1302" s="11" t="str">
        <f aca="false">IF(INDEX(選手一覧!$H$5:$H$2736,$F1302)="","",INDEX(選手一覧!$H$5:$H$2736,$F1302))</f>
        <v/>
      </c>
      <c r="J1302" s="12" t="str">
        <f aca="false">IF(INDEX(選手一覧!$I$5:$I$2736,$F1302)="","",INDEX(選手一覧!$I$5:$I$2736,$F1302))</f>
        <v/>
      </c>
    </row>
    <row r="1303" customFormat="false" ht="15" hidden="false" customHeight="false" outlineLevel="0" collapsed="false">
      <c r="A1303" s="12" t="n">
        <v>1300</v>
      </c>
      <c r="B1303" s="8" t="s">
        <v>4004</v>
      </c>
      <c r="C1303" s="8" t="s">
        <v>4005</v>
      </c>
      <c r="D1303" s="11" t="n">
        <v>0.00849953703703704</v>
      </c>
      <c r="E1303" s="39" t="n">
        <f aca="false">ROUND((D1303-$D$5)*86400,2)</f>
        <v>195.34</v>
      </c>
      <c r="F1303" s="12" t="n">
        <v>2627</v>
      </c>
      <c r="G1303" s="11" t="str">
        <f aca="false">IF(INDEX(選手一覧!$D$5:$D$2736,$F1303)="","",INDEX(選手一覧!$D$5:$D$2736,$F1303))</f>
        <v/>
      </c>
      <c r="H1303" s="12" t="str">
        <f aca="false">IF(INDEX(選手一覧!$E$5:$E$2736,$F1303)="","",INDEX(選手一覧!$E$5:$E$2736,$F1303))</f>
        <v/>
      </c>
      <c r="I1303" s="11" t="str">
        <f aca="false">IF(INDEX(選手一覧!$H$5:$H$2736,$F1303)="","",INDEX(選手一覧!$H$5:$H$2736,$F1303))</f>
        <v/>
      </c>
      <c r="J1303" s="12" t="str">
        <f aca="false">IF(INDEX(選手一覧!$I$5:$I$2736,$F1303)="","",INDEX(選手一覧!$I$5:$I$2736,$F1303))</f>
        <v/>
      </c>
    </row>
    <row r="1304" customFormat="false" ht="15" hidden="false" customHeight="false" outlineLevel="0" collapsed="false">
      <c r="A1304" s="12" t="n">
        <v>1301</v>
      </c>
      <c r="B1304" s="8" t="s">
        <v>4006</v>
      </c>
      <c r="C1304" s="8" t="s">
        <v>4007</v>
      </c>
      <c r="D1304" s="11" t="n">
        <v>0.00851365740740741</v>
      </c>
      <c r="E1304" s="39" t="n">
        <f aca="false">ROUND((D1304-$D$5)*86400,2)</f>
        <v>196.56</v>
      </c>
      <c r="F1304" s="12" t="n">
        <v>2628</v>
      </c>
      <c r="G1304" s="11" t="str">
        <f aca="false">IF(INDEX(選手一覧!$D$5:$D$2736,$F1304)="","",INDEX(選手一覧!$D$5:$D$2736,$F1304))</f>
        <v/>
      </c>
      <c r="H1304" s="12" t="str">
        <f aca="false">IF(INDEX(選手一覧!$E$5:$E$2736,$F1304)="","",INDEX(選手一覧!$E$5:$E$2736,$F1304))</f>
        <v/>
      </c>
      <c r="I1304" s="11" t="str">
        <f aca="false">IF(INDEX(選手一覧!$H$5:$H$2736,$F1304)="","",INDEX(選手一覧!$H$5:$H$2736,$F1304))</f>
        <v/>
      </c>
      <c r="J1304" s="12" t="str">
        <f aca="false">IF(INDEX(選手一覧!$I$5:$I$2736,$F1304)="","",INDEX(選手一覧!$I$5:$I$2736,$F1304))</f>
        <v/>
      </c>
    </row>
    <row r="1305" customFormat="false" ht="15" hidden="false" customHeight="false" outlineLevel="0" collapsed="false">
      <c r="A1305" s="12" t="n">
        <v>1302</v>
      </c>
      <c r="B1305" s="8" t="s">
        <v>4009</v>
      </c>
      <c r="C1305" s="8" t="s">
        <v>4010</v>
      </c>
      <c r="D1305" s="11" t="n">
        <v>0.00853715277777778</v>
      </c>
      <c r="E1305" s="39" t="n">
        <f aca="false">ROUND((D1305-$D$5)*86400,2)</f>
        <v>198.59</v>
      </c>
      <c r="F1305" s="12" t="n">
        <v>2630</v>
      </c>
      <c r="G1305" s="11" t="str">
        <f aca="false">IF(INDEX(選手一覧!$D$5:$D$2736,$F1305)="","",INDEX(選手一覧!$D$5:$D$2736,$F1305))</f>
        <v/>
      </c>
      <c r="H1305" s="12" t="str">
        <f aca="false">IF(INDEX(選手一覧!$E$5:$E$2736,$F1305)="","",INDEX(選手一覧!$E$5:$E$2736,$F1305))</f>
        <v/>
      </c>
      <c r="I1305" s="11" t="str">
        <f aca="false">IF(INDEX(選手一覧!$H$5:$H$2736,$F1305)="","",INDEX(選手一覧!$H$5:$H$2736,$F1305))</f>
        <v/>
      </c>
      <c r="J1305" s="12" t="str">
        <f aca="false">IF(INDEX(選手一覧!$I$5:$I$2736,$F1305)="","",INDEX(選手一覧!$I$5:$I$2736,$F1305))</f>
        <v/>
      </c>
    </row>
    <row r="1306" customFormat="false" ht="15" hidden="false" customHeight="false" outlineLevel="0" collapsed="false">
      <c r="A1306" s="12" t="n">
        <v>1303</v>
      </c>
      <c r="B1306" s="8" t="s">
        <v>4012</v>
      </c>
      <c r="C1306" s="8" t="s">
        <v>4013</v>
      </c>
      <c r="D1306" s="11" t="n">
        <v>0.0085380787037037</v>
      </c>
      <c r="E1306" s="39" t="n">
        <f aca="false">ROUND((D1306-$D$5)*86400,2)</f>
        <v>198.67</v>
      </c>
      <c r="F1306" s="12" t="n">
        <v>2632</v>
      </c>
      <c r="G1306" s="11" t="str">
        <f aca="false">IF(INDEX(選手一覧!$D$5:$D$2736,$F1306)="","",INDEX(選手一覧!$D$5:$D$2736,$F1306))</f>
        <v/>
      </c>
      <c r="H1306" s="12" t="str">
        <f aca="false">IF(INDEX(選手一覧!$E$5:$E$2736,$F1306)="","",INDEX(選手一覧!$E$5:$E$2736,$F1306))</f>
        <v/>
      </c>
      <c r="I1306" s="11" t="str">
        <f aca="false">IF(INDEX(選手一覧!$H$5:$H$2736,$F1306)="","",INDEX(選手一覧!$H$5:$H$2736,$F1306))</f>
        <v/>
      </c>
      <c r="J1306" s="12" t="str">
        <f aca="false">IF(INDEX(選手一覧!$I$5:$I$2736,$F1306)="","",INDEX(選手一覧!$I$5:$I$2736,$F1306))</f>
        <v/>
      </c>
    </row>
    <row r="1307" customFormat="false" ht="15" hidden="false" customHeight="false" outlineLevel="0" collapsed="false">
      <c r="A1307" s="12" t="n">
        <v>1304</v>
      </c>
      <c r="B1307" s="8" t="s">
        <v>4016</v>
      </c>
      <c r="C1307" s="8" t="s">
        <v>4017</v>
      </c>
      <c r="D1307" s="11" t="n">
        <v>0.00854097222222222</v>
      </c>
      <c r="E1307" s="39" t="n">
        <f aca="false">ROUND((D1307-$D$5)*86400,2)</f>
        <v>198.92</v>
      </c>
      <c r="F1307" s="12" t="n">
        <v>2634</v>
      </c>
      <c r="G1307" s="11" t="str">
        <f aca="false">IF(INDEX(選手一覧!$D$5:$D$2736,$F1307)="","",INDEX(選手一覧!$D$5:$D$2736,$F1307))</f>
        <v/>
      </c>
      <c r="H1307" s="12" t="str">
        <f aca="false">IF(INDEX(選手一覧!$E$5:$E$2736,$F1307)="","",INDEX(選手一覧!$E$5:$E$2736,$F1307))</f>
        <v/>
      </c>
      <c r="I1307" s="11" t="str">
        <f aca="false">IF(INDEX(選手一覧!$H$5:$H$2736,$F1307)="","",INDEX(選手一覧!$H$5:$H$2736,$F1307))</f>
        <v/>
      </c>
      <c r="J1307" s="12" t="str">
        <f aca="false">IF(INDEX(選手一覧!$I$5:$I$2736,$F1307)="","",INDEX(選手一覧!$I$5:$I$2736,$F1307))</f>
        <v/>
      </c>
    </row>
    <row r="1308" customFormat="false" ht="15" hidden="false" customHeight="false" outlineLevel="0" collapsed="false">
      <c r="A1308" s="12" t="n">
        <v>1305</v>
      </c>
      <c r="B1308" s="8" t="s">
        <v>4020</v>
      </c>
      <c r="C1308" s="8" t="s">
        <v>4021</v>
      </c>
      <c r="D1308" s="11" t="n">
        <v>0.00855069444444444</v>
      </c>
      <c r="E1308" s="39" t="n">
        <f aca="false">ROUND((D1308-$D$5)*86400,2)</f>
        <v>199.76</v>
      </c>
      <c r="F1308" s="12" t="n">
        <v>2636</v>
      </c>
      <c r="G1308" s="11" t="str">
        <f aca="false">IF(INDEX(選手一覧!$D$5:$D$2736,$F1308)="","",INDEX(選手一覧!$D$5:$D$2736,$F1308))</f>
        <v/>
      </c>
      <c r="H1308" s="12" t="str">
        <f aca="false">IF(INDEX(選手一覧!$E$5:$E$2736,$F1308)="","",INDEX(選手一覧!$E$5:$E$2736,$F1308))</f>
        <v/>
      </c>
      <c r="I1308" s="11" t="str">
        <f aca="false">IF(INDEX(選手一覧!$H$5:$H$2736,$F1308)="","",INDEX(選手一覧!$H$5:$H$2736,$F1308))</f>
        <v/>
      </c>
      <c r="J1308" s="12" t="str">
        <f aca="false">IF(INDEX(選手一覧!$I$5:$I$2736,$F1308)="","",INDEX(選手一覧!$I$5:$I$2736,$F1308))</f>
        <v/>
      </c>
    </row>
    <row r="1309" customFormat="false" ht="15" hidden="false" customHeight="false" outlineLevel="0" collapsed="false">
      <c r="A1309" s="12" t="n">
        <v>1306</v>
      </c>
      <c r="B1309" s="8" t="s">
        <v>4022</v>
      </c>
      <c r="C1309" s="8" t="s">
        <v>4010</v>
      </c>
      <c r="D1309" s="11" t="n">
        <v>0.00856365740740741</v>
      </c>
      <c r="E1309" s="39" t="n">
        <f aca="false">ROUND((D1309-$D$5)*86400,2)</f>
        <v>200.88</v>
      </c>
      <c r="F1309" s="12" t="n">
        <v>2637</v>
      </c>
      <c r="G1309" s="11" t="str">
        <f aca="false">IF(INDEX(選手一覧!$D$5:$D$2736,$F1309)="","",INDEX(選手一覧!$D$5:$D$2736,$F1309))</f>
        <v/>
      </c>
      <c r="H1309" s="12" t="str">
        <f aca="false">IF(INDEX(選手一覧!$E$5:$E$2736,$F1309)="","",INDEX(選手一覧!$E$5:$E$2736,$F1309))</f>
        <v/>
      </c>
      <c r="I1309" s="11" t="str">
        <f aca="false">IF(INDEX(選手一覧!$H$5:$H$2736,$F1309)="","",INDEX(選手一覧!$H$5:$H$2736,$F1309))</f>
        <v/>
      </c>
      <c r="J1309" s="12" t="str">
        <f aca="false">IF(INDEX(選手一覧!$I$5:$I$2736,$F1309)="","",INDEX(選手一覧!$I$5:$I$2736,$F1309))</f>
        <v/>
      </c>
    </row>
    <row r="1310" customFormat="false" ht="15" hidden="false" customHeight="false" outlineLevel="0" collapsed="false">
      <c r="A1310" s="12" t="n">
        <v>1307</v>
      </c>
      <c r="B1310" s="8" t="s">
        <v>4025</v>
      </c>
      <c r="C1310" s="8" t="s">
        <v>4026</v>
      </c>
      <c r="D1310" s="11" t="n">
        <v>0.00856388888888889</v>
      </c>
      <c r="E1310" s="39" t="n">
        <f aca="false">ROUND((D1310-$D$5)*86400,2)</f>
        <v>200.9</v>
      </c>
      <c r="F1310" s="12" t="n">
        <v>2639</v>
      </c>
      <c r="G1310" s="11" t="str">
        <f aca="false">IF(INDEX(選手一覧!$D$5:$D$2736,$F1310)="","",INDEX(選手一覧!$D$5:$D$2736,$F1310))</f>
        <v/>
      </c>
      <c r="H1310" s="12" t="str">
        <f aca="false">IF(INDEX(選手一覧!$E$5:$E$2736,$F1310)="","",INDEX(選手一覧!$E$5:$E$2736,$F1310))</f>
        <v/>
      </c>
      <c r="I1310" s="11" t="str">
        <f aca="false">IF(INDEX(選手一覧!$H$5:$H$2736,$F1310)="","",INDEX(選手一覧!$H$5:$H$2736,$F1310))</f>
        <v/>
      </c>
      <c r="J1310" s="12" t="str">
        <f aca="false">IF(INDEX(選手一覧!$I$5:$I$2736,$F1310)="","",INDEX(選手一覧!$I$5:$I$2736,$F1310))</f>
        <v/>
      </c>
    </row>
    <row r="1311" customFormat="false" ht="15" hidden="false" customHeight="false" outlineLevel="0" collapsed="false">
      <c r="A1311" s="12" t="n">
        <v>1308</v>
      </c>
      <c r="B1311" s="8" t="s">
        <v>4027</v>
      </c>
      <c r="C1311" s="8" t="s">
        <v>4028</v>
      </c>
      <c r="D1311" s="11" t="n">
        <v>0.00856435185185185</v>
      </c>
      <c r="E1311" s="39" t="n">
        <f aca="false">ROUND((D1311-$D$5)*86400,2)</f>
        <v>200.94</v>
      </c>
      <c r="F1311" s="12" t="n">
        <v>2640</v>
      </c>
      <c r="G1311" s="11" t="str">
        <f aca="false">IF(INDEX(選手一覧!$D$5:$D$2736,$F1311)="","",INDEX(選手一覧!$D$5:$D$2736,$F1311))</f>
        <v/>
      </c>
      <c r="H1311" s="12" t="str">
        <f aca="false">IF(INDEX(選手一覧!$E$5:$E$2736,$F1311)="","",INDEX(選手一覧!$E$5:$E$2736,$F1311))</f>
        <v/>
      </c>
      <c r="I1311" s="11" t="str">
        <f aca="false">IF(INDEX(選手一覧!$H$5:$H$2736,$F1311)="","",INDEX(選手一覧!$H$5:$H$2736,$F1311))</f>
        <v/>
      </c>
      <c r="J1311" s="12" t="str">
        <f aca="false">IF(INDEX(選手一覧!$I$5:$I$2736,$F1311)="","",INDEX(選手一覧!$I$5:$I$2736,$F1311))</f>
        <v/>
      </c>
    </row>
    <row r="1312" customFormat="false" ht="15" hidden="false" customHeight="false" outlineLevel="0" collapsed="false">
      <c r="A1312" s="12" t="n">
        <v>1309</v>
      </c>
      <c r="B1312" s="8" t="s">
        <v>4030</v>
      </c>
      <c r="C1312" s="8" t="s">
        <v>4031</v>
      </c>
      <c r="D1312" s="11" t="n">
        <v>0.0085693287037037</v>
      </c>
      <c r="E1312" s="39" t="n">
        <f aca="false">ROUND((D1312-$D$5)*86400,2)</f>
        <v>201.37</v>
      </c>
      <c r="F1312" s="12" t="n">
        <v>2642</v>
      </c>
      <c r="G1312" s="11" t="str">
        <f aca="false">IF(INDEX(選手一覧!$D$5:$D$2736,$F1312)="","",INDEX(選手一覧!$D$5:$D$2736,$F1312))</f>
        <v/>
      </c>
      <c r="H1312" s="12" t="str">
        <f aca="false">IF(INDEX(選手一覧!$E$5:$E$2736,$F1312)="","",INDEX(選手一覧!$E$5:$E$2736,$F1312))</f>
        <v/>
      </c>
      <c r="I1312" s="11" t="str">
        <f aca="false">IF(INDEX(選手一覧!$H$5:$H$2736,$F1312)="","",INDEX(選手一覧!$H$5:$H$2736,$F1312))</f>
        <v/>
      </c>
      <c r="J1312" s="12" t="str">
        <f aca="false">IF(INDEX(選手一覧!$I$5:$I$2736,$F1312)="","",INDEX(選手一覧!$I$5:$I$2736,$F1312))</f>
        <v/>
      </c>
    </row>
    <row r="1313" customFormat="false" ht="15" hidden="false" customHeight="false" outlineLevel="0" collapsed="false">
      <c r="A1313" s="12" t="n">
        <v>1310</v>
      </c>
      <c r="B1313" s="8" t="s">
        <v>4034</v>
      </c>
      <c r="C1313" s="8" t="s">
        <v>4035</v>
      </c>
      <c r="D1313" s="11" t="n">
        <v>0.00857025462962963</v>
      </c>
      <c r="E1313" s="39" t="n">
        <f aca="false">ROUND((D1313-$D$5)*86400,2)</f>
        <v>201.45</v>
      </c>
      <c r="F1313" s="12" t="n">
        <v>2644</v>
      </c>
      <c r="G1313" s="11" t="str">
        <f aca="false">IF(INDEX(選手一覧!$D$5:$D$2736,$F1313)="","",INDEX(選手一覧!$D$5:$D$2736,$F1313))</f>
        <v/>
      </c>
      <c r="H1313" s="12" t="str">
        <f aca="false">IF(INDEX(選手一覧!$E$5:$E$2736,$F1313)="","",INDEX(選手一覧!$E$5:$E$2736,$F1313))</f>
        <v/>
      </c>
      <c r="I1313" s="11" t="str">
        <f aca="false">IF(INDEX(選手一覧!$H$5:$H$2736,$F1313)="","",INDEX(選手一覧!$H$5:$H$2736,$F1313))</f>
        <v/>
      </c>
      <c r="J1313" s="12" t="str">
        <f aca="false">IF(INDEX(選手一覧!$I$5:$I$2736,$F1313)="","",INDEX(選手一覧!$I$5:$I$2736,$F1313))</f>
        <v/>
      </c>
    </row>
    <row r="1314" customFormat="false" ht="15" hidden="false" customHeight="false" outlineLevel="0" collapsed="false">
      <c r="A1314" s="12" t="n">
        <v>1311</v>
      </c>
      <c r="B1314" s="8" t="s">
        <v>4036</v>
      </c>
      <c r="C1314" s="8" t="s">
        <v>4037</v>
      </c>
      <c r="D1314" s="11" t="n">
        <v>0.00857673611111111</v>
      </c>
      <c r="E1314" s="39" t="n">
        <f aca="false">ROUND((D1314-$D$5)*86400,2)</f>
        <v>202.01</v>
      </c>
      <c r="F1314" s="12" t="n">
        <v>2645</v>
      </c>
      <c r="G1314" s="11" t="str">
        <f aca="false">IF(INDEX(選手一覧!$D$5:$D$2736,$F1314)="","",INDEX(選手一覧!$D$5:$D$2736,$F1314))</f>
        <v/>
      </c>
      <c r="H1314" s="12" t="str">
        <f aca="false">IF(INDEX(選手一覧!$E$5:$E$2736,$F1314)="","",INDEX(選手一覧!$E$5:$E$2736,$F1314))</f>
        <v/>
      </c>
      <c r="I1314" s="11" t="str">
        <f aca="false">IF(INDEX(選手一覧!$H$5:$H$2736,$F1314)="","",INDEX(選手一覧!$H$5:$H$2736,$F1314))</f>
        <v/>
      </c>
      <c r="J1314" s="12" t="str">
        <f aca="false">IF(INDEX(選手一覧!$I$5:$I$2736,$F1314)="","",INDEX(選手一覧!$I$5:$I$2736,$F1314))</f>
        <v/>
      </c>
    </row>
    <row r="1315" customFormat="false" ht="15" hidden="false" customHeight="false" outlineLevel="0" collapsed="false">
      <c r="A1315" s="12" t="n">
        <v>1312</v>
      </c>
      <c r="B1315" s="8" t="s">
        <v>4038</v>
      </c>
      <c r="C1315" s="8" t="s">
        <v>2251</v>
      </c>
      <c r="D1315" s="11" t="n">
        <v>0.00857997685185185</v>
      </c>
      <c r="E1315" s="39" t="n">
        <f aca="false">ROUND((D1315-$D$5)*86400,2)</f>
        <v>202.29</v>
      </c>
      <c r="F1315" s="12" t="n">
        <v>2646</v>
      </c>
      <c r="G1315" s="11" t="str">
        <f aca="false">IF(INDEX(選手一覧!$D$5:$D$2736,$F1315)="","",INDEX(選手一覧!$D$5:$D$2736,$F1315))</f>
        <v/>
      </c>
      <c r="H1315" s="12" t="str">
        <f aca="false">IF(INDEX(選手一覧!$E$5:$E$2736,$F1315)="","",INDEX(選手一覧!$E$5:$E$2736,$F1315))</f>
        <v/>
      </c>
      <c r="I1315" s="11" t="str">
        <f aca="false">IF(INDEX(選手一覧!$H$5:$H$2736,$F1315)="","",INDEX(選手一覧!$H$5:$H$2736,$F1315))</f>
        <v/>
      </c>
      <c r="J1315" s="12" t="str">
        <f aca="false">IF(INDEX(選手一覧!$I$5:$I$2736,$F1315)="","",INDEX(選手一覧!$I$5:$I$2736,$F1315))</f>
        <v/>
      </c>
    </row>
    <row r="1316" customFormat="false" ht="15" hidden="false" customHeight="false" outlineLevel="0" collapsed="false">
      <c r="A1316" s="12" t="n">
        <v>1313</v>
      </c>
      <c r="B1316" s="8" t="s">
        <v>4041</v>
      </c>
      <c r="C1316" s="8" t="s">
        <v>3212</v>
      </c>
      <c r="D1316" s="11" t="n">
        <v>0.00858298611111111</v>
      </c>
      <c r="E1316" s="39" t="n">
        <f aca="false">ROUND((D1316-$D$5)*86400,2)</f>
        <v>202.55</v>
      </c>
      <c r="F1316" s="12" t="n">
        <v>2648</v>
      </c>
      <c r="G1316" s="11" t="str">
        <f aca="false">IF(INDEX(選手一覧!$D$5:$D$2736,$F1316)="","",INDEX(選手一覧!$D$5:$D$2736,$F1316))</f>
        <v/>
      </c>
      <c r="H1316" s="12" t="str">
        <f aca="false">IF(INDEX(選手一覧!$E$5:$E$2736,$F1316)="","",INDEX(選手一覧!$E$5:$E$2736,$F1316))</f>
        <v/>
      </c>
      <c r="I1316" s="11" t="str">
        <f aca="false">IF(INDEX(選手一覧!$H$5:$H$2736,$F1316)="","",INDEX(選手一覧!$H$5:$H$2736,$F1316))</f>
        <v/>
      </c>
      <c r="J1316" s="12" t="str">
        <f aca="false">IF(INDEX(選手一覧!$I$5:$I$2736,$F1316)="","",INDEX(選手一覧!$I$5:$I$2736,$F1316))</f>
        <v/>
      </c>
    </row>
    <row r="1317" customFormat="false" ht="15" hidden="false" customHeight="false" outlineLevel="0" collapsed="false">
      <c r="A1317" s="12" t="n">
        <v>1314</v>
      </c>
      <c r="B1317" s="8" t="s">
        <v>4042</v>
      </c>
      <c r="C1317" s="8" t="s">
        <v>4043</v>
      </c>
      <c r="D1317" s="11" t="n">
        <v>0.00860219907407408</v>
      </c>
      <c r="E1317" s="39" t="n">
        <f aca="false">ROUND((D1317-$D$5)*86400,2)</f>
        <v>204.21</v>
      </c>
      <c r="F1317" s="12" t="n">
        <v>2649</v>
      </c>
      <c r="G1317" s="11" t="str">
        <f aca="false">IF(INDEX(選手一覧!$D$5:$D$2736,$F1317)="","",INDEX(選手一覧!$D$5:$D$2736,$F1317))</f>
        <v/>
      </c>
      <c r="H1317" s="12" t="str">
        <f aca="false">IF(INDEX(選手一覧!$E$5:$E$2736,$F1317)="","",INDEX(選手一覧!$E$5:$E$2736,$F1317))</f>
        <v/>
      </c>
      <c r="I1317" s="11" t="str">
        <f aca="false">IF(INDEX(選手一覧!$H$5:$H$2736,$F1317)="","",INDEX(選手一覧!$H$5:$H$2736,$F1317))</f>
        <v/>
      </c>
      <c r="J1317" s="12" t="str">
        <f aca="false">IF(INDEX(選手一覧!$I$5:$I$2736,$F1317)="","",INDEX(選手一覧!$I$5:$I$2736,$F1317))</f>
        <v/>
      </c>
    </row>
    <row r="1318" customFormat="false" ht="15" hidden="false" customHeight="false" outlineLevel="0" collapsed="false">
      <c r="A1318" s="12" t="n">
        <v>1315</v>
      </c>
      <c r="B1318" s="8" t="s">
        <v>4046</v>
      </c>
      <c r="C1318" s="8" t="s">
        <v>2188</v>
      </c>
      <c r="D1318" s="11" t="n">
        <v>0.008609375</v>
      </c>
      <c r="E1318" s="39" t="n">
        <f aca="false">ROUND((D1318-$D$5)*86400,2)</f>
        <v>204.83</v>
      </c>
      <c r="F1318" s="12" t="n">
        <v>2651</v>
      </c>
      <c r="G1318" s="11" t="str">
        <f aca="false">IF(INDEX(選手一覧!$D$5:$D$2736,$F1318)="","",INDEX(選手一覧!$D$5:$D$2736,$F1318))</f>
        <v/>
      </c>
      <c r="H1318" s="12" t="str">
        <f aca="false">IF(INDEX(選手一覧!$E$5:$E$2736,$F1318)="","",INDEX(選手一覧!$E$5:$E$2736,$F1318))</f>
        <v/>
      </c>
      <c r="I1318" s="11" t="str">
        <f aca="false">IF(INDEX(選手一覧!$H$5:$H$2736,$F1318)="","",INDEX(選手一覧!$H$5:$H$2736,$F1318))</f>
        <v/>
      </c>
      <c r="J1318" s="12" t="str">
        <f aca="false">IF(INDEX(選手一覧!$I$5:$I$2736,$F1318)="","",INDEX(選手一覧!$I$5:$I$2736,$F1318))</f>
        <v/>
      </c>
    </row>
    <row r="1319" customFormat="false" ht="15" hidden="false" customHeight="false" outlineLevel="0" collapsed="false">
      <c r="A1319" s="12" t="n">
        <v>1316</v>
      </c>
      <c r="B1319" s="8" t="s">
        <v>4047</v>
      </c>
      <c r="C1319" s="8" t="s">
        <v>1592</v>
      </c>
      <c r="D1319" s="11" t="n">
        <v>0.00861840277777778</v>
      </c>
      <c r="E1319" s="39" t="n">
        <f aca="false">ROUND((D1319-$D$5)*86400,2)</f>
        <v>205.61</v>
      </c>
      <c r="F1319" s="12" t="n">
        <v>2652</v>
      </c>
      <c r="G1319" s="11" t="str">
        <f aca="false">IF(INDEX(選手一覧!$D$5:$D$2736,$F1319)="","",INDEX(選手一覧!$D$5:$D$2736,$F1319))</f>
        <v/>
      </c>
      <c r="H1319" s="12" t="str">
        <f aca="false">IF(INDEX(選手一覧!$E$5:$E$2736,$F1319)="","",INDEX(選手一覧!$E$5:$E$2736,$F1319))</f>
        <v/>
      </c>
      <c r="I1319" s="11" t="str">
        <f aca="false">IF(INDEX(選手一覧!$H$5:$H$2736,$F1319)="","",INDEX(選手一覧!$H$5:$H$2736,$F1319))</f>
        <v/>
      </c>
      <c r="J1319" s="12" t="str">
        <f aca="false">IF(INDEX(選手一覧!$I$5:$I$2736,$F1319)="","",INDEX(選手一覧!$I$5:$I$2736,$F1319))</f>
        <v/>
      </c>
    </row>
    <row r="1320" customFormat="false" ht="15" hidden="false" customHeight="false" outlineLevel="0" collapsed="false">
      <c r="A1320" s="12" t="n">
        <v>1317</v>
      </c>
      <c r="B1320" s="8" t="s">
        <v>4048</v>
      </c>
      <c r="C1320" s="8" t="s">
        <v>3164</v>
      </c>
      <c r="D1320" s="11" t="n">
        <v>0.0086212962962963</v>
      </c>
      <c r="E1320" s="39" t="n">
        <f aca="false">ROUND((D1320-$D$5)*86400,2)</f>
        <v>205.86</v>
      </c>
      <c r="F1320" s="12" t="n">
        <v>2653</v>
      </c>
      <c r="G1320" s="11" t="str">
        <f aca="false">IF(INDEX(選手一覧!$D$5:$D$2736,$F1320)="","",INDEX(選手一覧!$D$5:$D$2736,$F1320))</f>
        <v/>
      </c>
      <c r="H1320" s="12" t="str">
        <f aca="false">IF(INDEX(選手一覧!$E$5:$E$2736,$F1320)="","",INDEX(選手一覧!$E$5:$E$2736,$F1320))</f>
        <v/>
      </c>
      <c r="I1320" s="11" t="str">
        <f aca="false">IF(INDEX(選手一覧!$H$5:$H$2736,$F1320)="","",INDEX(選手一覧!$H$5:$H$2736,$F1320))</f>
        <v/>
      </c>
      <c r="J1320" s="12" t="str">
        <f aca="false">IF(INDEX(選手一覧!$I$5:$I$2736,$F1320)="","",INDEX(選手一覧!$I$5:$I$2736,$F1320))</f>
        <v/>
      </c>
    </row>
    <row r="1321" customFormat="false" ht="15" hidden="false" customHeight="false" outlineLevel="0" collapsed="false">
      <c r="A1321" s="12" t="n">
        <v>1318</v>
      </c>
      <c r="B1321" s="8" t="s">
        <v>4050</v>
      </c>
      <c r="C1321" s="8" t="s">
        <v>3447</v>
      </c>
      <c r="D1321" s="11" t="n">
        <v>0.0086337962962963</v>
      </c>
      <c r="E1321" s="39" t="n">
        <f aca="false">ROUND((D1321-$D$5)*86400,2)</f>
        <v>206.94</v>
      </c>
      <c r="F1321" s="12" t="n">
        <v>2655</v>
      </c>
      <c r="G1321" s="11" t="str">
        <f aca="false">IF(INDEX(選手一覧!$D$5:$D$2736,$F1321)="","",INDEX(選手一覧!$D$5:$D$2736,$F1321))</f>
        <v/>
      </c>
      <c r="H1321" s="12" t="str">
        <f aca="false">IF(INDEX(選手一覧!$E$5:$E$2736,$F1321)="","",INDEX(選手一覧!$E$5:$E$2736,$F1321))</f>
        <v/>
      </c>
      <c r="I1321" s="11" t="str">
        <f aca="false">IF(INDEX(選手一覧!$H$5:$H$2736,$F1321)="","",INDEX(選手一覧!$H$5:$H$2736,$F1321))</f>
        <v/>
      </c>
      <c r="J1321" s="12" t="str">
        <f aca="false">IF(INDEX(選手一覧!$I$5:$I$2736,$F1321)="","",INDEX(選手一覧!$I$5:$I$2736,$F1321))</f>
        <v/>
      </c>
    </row>
    <row r="1322" customFormat="false" ht="15" hidden="false" customHeight="false" outlineLevel="0" collapsed="false">
      <c r="A1322" s="12" t="n">
        <v>1319</v>
      </c>
      <c r="B1322" s="8" t="s">
        <v>4052</v>
      </c>
      <c r="C1322" s="8" t="s">
        <v>4053</v>
      </c>
      <c r="D1322" s="11" t="n">
        <v>0.00863530092592593</v>
      </c>
      <c r="E1322" s="39" t="n">
        <f aca="false">ROUND((D1322-$D$5)*86400,2)</f>
        <v>207.07</v>
      </c>
      <c r="F1322" s="12" t="n">
        <v>2657</v>
      </c>
      <c r="G1322" s="11" t="str">
        <f aca="false">IF(INDEX(選手一覧!$D$5:$D$2736,$F1322)="","",INDEX(選手一覧!$D$5:$D$2736,$F1322))</f>
        <v/>
      </c>
      <c r="H1322" s="12" t="str">
        <f aca="false">IF(INDEX(選手一覧!$E$5:$E$2736,$F1322)="","",INDEX(選手一覧!$E$5:$E$2736,$F1322))</f>
        <v/>
      </c>
      <c r="I1322" s="11" t="str">
        <f aca="false">IF(INDEX(選手一覧!$H$5:$H$2736,$F1322)="","",INDEX(選手一覧!$H$5:$H$2736,$F1322))</f>
        <v/>
      </c>
      <c r="J1322" s="12" t="str">
        <f aca="false">IF(INDEX(選手一覧!$I$5:$I$2736,$F1322)="","",INDEX(選手一覧!$I$5:$I$2736,$F1322))</f>
        <v/>
      </c>
    </row>
    <row r="1323" customFormat="false" ht="15" hidden="false" customHeight="false" outlineLevel="0" collapsed="false">
      <c r="A1323" s="12" t="n">
        <v>1320</v>
      </c>
      <c r="B1323" s="8" t="s">
        <v>4054</v>
      </c>
      <c r="C1323" s="8" t="s">
        <v>4055</v>
      </c>
      <c r="D1323" s="11" t="n">
        <v>0.00863703703703704</v>
      </c>
      <c r="E1323" s="39" t="n">
        <f aca="false">ROUND((D1323-$D$5)*86400,2)</f>
        <v>207.22</v>
      </c>
      <c r="F1323" s="12" t="n">
        <v>2658</v>
      </c>
      <c r="G1323" s="11" t="str">
        <f aca="false">IF(INDEX(選手一覧!$D$5:$D$2736,$F1323)="","",INDEX(選手一覧!$D$5:$D$2736,$F1323))</f>
        <v/>
      </c>
      <c r="H1323" s="12" t="str">
        <f aca="false">IF(INDEX(選手一覧!$E$5:$E$2736,$F1323)="","",INDEX(選手一覧!$E$5:$E$2736,$F1323))</f>
        <v/>
      </c>
      <c r="I1323" s="11" t="str">
        <f aca="false">IF(INDEX(選手一覧!$H$5:$H$2736,$F1323)="","",INDEX(選手一覧!$H$5:$H$2736,$F1323))</f>
        <v/>
      </c>
      <c r="J1323" s="12" t="str">
        <f aca="false">IF(INDEX(選手一覧!$I$5:$I$2736,$F1323)="","",INDEX(選手一覧!$I$5:$I$2736,$F1323))</f>
        <v/>
      </c>
    </row>
    <row r="1324" customFormat="false" ht="15" hidden="false" customHeight="false" outlineLevel="0" collapsed="false">
      <c r="A1324" s="12" t="n">
        <v>1321</v>
      </c>
      <c r="B1324" s="8" t="s">
        <v>4056</v>
      </c>
      <c r="C1324" s="8" t="s">
        <v>2065</v>
      </c>
      <c r="D1324" s="11" t="n">
        <v>0.0086375</v>
      </c>
      <c r="E1324" s="39" t="n">
        <f aca="false">ROUND((D1324-$D$5)*86400,2)</f>
        <v>207.26</v>
      </c>
      <c r="F1324" s="12" t="n">
        <v>2659</v>
      </c>
      <c r="G1324" s="11" t="str">
        <f aca="false">IF(INDEX(選手一覧!$D$5:$D$2736,$F1324)="","",INDEX(選手一覧!$D$5:$D$2736,$F1324))</f>
        <v/>
      </c>
      <c r="H1324" s="12" t="str">
        <f aca="false">IF(INDEX(選手一覧!$E$5:$E$2736,$F1324)="","",INDEX(選手一覧!$E$5:$E$2736,$F1324))</f>
        <v/>
      </c>
      <c r="I1324" s="11" t="str">
        <f aca="false">IF(INDEX(選手一覧!$H$5:$H$2736,$F1324)="","",INDEX(選手一覧!$H$5:$H$2736,$F1324))</f>
        <v/>
      </c>
      <c r="J1324" s="12" t="str">
        <f aca="false">IF(INDEX(選手一覧!$I$5:$I$2736,$F1324)="","",INDEX(選手一覧!$I$5:$I$2736,$F1324))</f>
        <v/>
      </c>
    </row>
    <row r="1325" customFormat="false" ht="15" hidden="false" customHeight="false" outlineLevel="0" collapsed="false">
      <c r="A1325" s="12" t="n">
        <v>1322</v>
      </c>
      <c r="B1325" s="8" t="s">
        <v>4059</v>
      </c>
      <c r="C1325" s="8" t="s">
        <v>4040</v>
      </c>
      <c r="D1325" s="11" t="n">
        <v>0.00864537037037037</v>
      </c>
      <c r="E1325" s="39" t="n">
        <f aca="false">ROUND((D1325-$D$5)*86400,2)</f>
        <v>207.94</v>
      </c>
      <c r="F1325" s="12" t="n">
        <v>2661</v>
      </c>
      <c r="G1325" s="11" t="str">
        <f aca="false">IF(INDEX(選手一覧!$D$5:$D$2736,$F1325)="","",INDEX(選手一覧!$D$5:$D$2736,$F1325))</f>
        <v/>
      </c>
      <c r="H1325" s="12" t="str">
        <f aca="false">IF(INDEX(選手一覧!$E$5:$E$2736,$F1325)="","",INDEX(選手一覧!$E$5:$E$2736,$F1325))</f>
        <v/>
      </c>
      <c r="I1325" s="11" t="str">
        <f aca="false">IF(INDEX(選手一覧!$H$5:$H$2736,$F1325)="","",INDEX(選手一覧!$H$5:$H$2736,$F1325))</f>
        <v/>
      </c>
      <c r="J1325" s="12" t="str">
        <f aca="false">IF(INDEX(選手一覧!$I$5:$I$2736,$F1325)="","",INDEX(選手一覧!$I$5:$I$2736,$F1325))</f>
        <v/>
      </c>
    </row>
    <row r="1326" customFormat="false" ht="15" hidden="false" customHeight="false" outlineLevel="0" collapsed="false">
      <c r="A1326" s="12" t="n">
        <v>1323</v>
      </c>
      <c r="B1326" s="8" t="s">
        <v>4061</v>
      </c>
      <c r="C1326" s="8" t="s">
        <v>1267</v>
      </c>
      <c r="D1326" s="11" t="n">
        <v>0.00864606481481482</v>
      </c>
      <c r="E1326" s="39" t="n">
        <f aca="false">ROUND((D1326-$D$5)*86400,2)</f>
        <v>208</v>
      </c>
      <c r="F1326" s="12" t="n">
        <v>2663</v>
      </c>
      <c r="G1326" s="11" t="str">
        <f aca="false">IF(INDEX(選手一覧!$D$5:$D$2736,$F1326)="","",INDEX(選手一覧!$D$5:$D$2736,$F1326))</f>
        <v/>
      </c>
      <c r="H1326" s="12" t="str">
        <f aca="false">IF(INDEX(選手一覧!$E$5:$E$2736,$F1326)="","",INDEX(選手一覧!$E$5:$E$2736,$F1326))</f>
        <v/>
      </c>
      <c r="I1326" s="11" t="str">
        <f aca="false">IF(INDEX(選手一覧!$H$5:$H$2736,$F1326)="","",INDEX(選手一覧!$H$5:$H$2736,$F1326))</f>
        <v/>
      </c>
      <c r="J1326" s="12" t="str">
        <f aca="false">IF(INDEX(選手一覧!$I$5:$I$2736,$F1326)="","",INDEX(選手一覧!$I$5:$I$2736,$F1326))</f>
        <v/>
      </c>
    </row>
    <row r="1327" customFormat="false" ht="15" hidden="false" customHeight="false" outlineLevel="0" collapsed="false">
      <c r="A1327" s="12" t="n">
        <v>1324</v>
      </c>
      <c r="B1327" s="8" t="s">
        <v>4062</v>
      </c>
      <c r="C1327" s="8" t="s">
        <v>4063</v>
      </c>
      <c r="D1327" s="11" t="n">
        <v>0.00865104166666667</v>
      </c>
      <c r="E1327" s="39" t="n">
        <f aca="false">ROUND((D1327-$D$5)*86400,2)</f>
        <v>208.43</v>
      </c>
      <c r="F1327" s="12" t="n">
        <v>2664</v>
      </c>
      <c r="G1327" s="11" t="str">
        <f aca="false">IF(INDEX(選手一覧!$D$5:$D$2736,$F1327)="","",INDEX(選手一覧!$D$5:$D$2736,$F1327))</f>
        <v/>
      </c>
      <c r="H1327" s="12" t="str">
        <f aca="false">IF(INDEX(選手一覧!$E$5:$E$2736,$F1327)="","",INDEX(選手一覧!$E$5:$E$2736,$F1327))</f>
        <v/>
      </c>
      <c r="I1327" s="11" t="str">
        <f aca="false">IF(INDEX(選手一覧!$H$5:$H$2736,$F1327)="","",INDEX(選手一覧!$H$5:$H$2736,$F1327))</f>
        <v/>
      </c>
      <c r="J1327" s="12" t="str">
        <f aca="false">IF(INDEX(選手一覧!$I$5:$I$2736,$F1327)="","",INDEX(選手一覧!$I$5:$I$2736,$F1327))</f>
        <v/>
      </c>
    </row>
    <row r="1328" customFormat="false" ht="15" hidden="false" customHeight="false" outlineLevel="0" collapsed="false">
      <c r="A1328" s="12" t="n">
        <v>1325</v>
      </c>
      <c r="B1328" s="8" t="s">
        <v>4064</v>
      </c>
      <c r="C1328" s="8" t="s">
        <v>3164</v>
      </c>
      <c r="D1328" s="11" t="n">
        <v>0.00865150462962963</v>
      </c>
      <c r="E1328" s="39" t="n">
        <f aca="false">ROUND((D1328-$D$5)*86400,2)</f>
        <v>208.47</v>
      </c>
      <c r="F1328" s="12" t="n">
        <v>2665</v>
      </c>
      <c r="G1328" s="11" t="str">
        <f aca="false">IF(INDEX(選手一覧!$D$5:$D$2736,$F1328)="","",INDEX(選手一覧!$D$5:$D$2736,$F1328))</f>
        <v/>
      </c>
      <c r="H1328" s="12" t="str">
        <f aca="false">IF(INDEX(選手一覧!$E$5:$E$2736,$F1328)="","",INDEX(選手一覧!$E$5:$E$2736,$F1328))</f>
        <v/>
      </c>
      <c r="I1328" s="11" t="str">
        <f aca="false">IF(INDEX(選手一覧!$H$5:$H$2736,$F1328)="","",INDEX(選手一覧!$H$5:$H$2736,$F1328))</f>
        <v/>
      </c>
      <c r="J1328" s="12" t="str">
        <f aca="false">IF(INDEX(選手一覧!$I$5:$I$2736,$F1328)="","",INDEX(選手一覧!$I$5:$I$2736,$F1328))</f>
        <v/>
      </c>
    </row>
    <row r="1329" customFormat="false" ht="15" hidden="false" customHeight="false" outlineLevel="0" collapsed="false">
      <c r="A1329" s="12" t="n">
        <v>1326</v>
      </c>
      <c r="B1329" s="8" t="s">
        <v>4066</v>
      </c>
      <c r="C1329" s="8" t="s">
        <v>4067</v>
      </c>
      <c r="D1329" s="11" t="n">
        <v>0.00866712962962963</v>
      </c>
      <c r="E1329" s="39" t="n">
        <f aca="false">ROUND((D1329-$D$5)*86400,2)</f>
        <v>209.82</v>
      </c>
      <c r="F1329" s="12" t="n">
        <v>2667</v>
      </c>
      <c r="G1329" s="11" t="str">
        <f aca="false">IF(INDEX(選手一覧!$D$5:$D$2736,$F1329)="","",INDEX(選手一覧!$D$5:$D$2736,$F1329))</f>
        <v/>
      </c>
      <c r="H1329" s="12" t="str">
        <f aca="false">IF(INDEX(選手一覧!$E$5:$E$2736,$F1329)="","",INDEX(選手一覧!$E$5:$E$2736,$F1329))</f>
        <v/>
      </c>
      <c r="I1329" s="11" t="str">
        <f aca="false">IF(INDEX(選手一覧!$H$5:$H$2736,$F1329)="","",INDEX(選手一覧!$H$5:$H$2736,$F1329))</f>
        <v/>
      </c>
      <c r="J1329" s="12" t="str">
        <f aca="false">IF(INDEX(選手一覧!$I$5:$I$2736,$F1329)="","",INDEX(選手一覧!$I$5:$I$2736,$F1329))</f>
        <v/>
      </c>
    </row>
    <row r="1330" customFormat="false" ht="15" hidden="false" customHeight="false" outlineLevel="0" collapsed="false">
      <c r="A1330" s="12" t="n">
        <v>1327</v>
      </c>
      <c r="B1330" s="8" t="s">
        <v>4068</v>
      </c>
      <c r="C1330" s="8" t="s">
        <v>1220</v>
      </c>
      <c r="D1330" s="11" t="n">
        <v>0.00869976851851852</v>
      </c>
      <c r="E1330" s="39" t="n">
        <f aca="false">ROUND((D1330-$D$5)*86400,2)</f>
        <v>212.64</v>
      </c>
      <c r="F1330" s="12" t="n">
        <v>2668</v>
      </c>
      <c r="G1330" s="11" t="str">
        <f aca="false">IF(INDEX(選手一覧!$D$5:$D$2736,$F1330)="","",INDEX(選手一覧!$D$5:$D$2736,$F1330))</f>
        <v/>
      </c>
      <c r="H1330" s="12" t="str">
        <f aca="false">IF(INDEX(選手一覧!$E$5:$E$2736,$F1330)="","",INDEX(選手一覧!$E$5:$E$2736,$F1330))</f>
        <v/>
      </c>
      <c r="I1330" s="11" t="str">
        <f aca="false">IF(INDEX(選手一覧!$H$5:$H$2736,$F1330)="","",INDEX(選手一覧!$H$5:$H$2736,$F1330))</f>
        <v/>
      </c>
      <c r="J1330" s="12" t="str">
        <f aca="false">IF(INDEX(選手一覧!$I$5:$I$2736,$F1330)="","",INDEX(選手一覧!$I$5:$I$2736,$F1330))</f>
        <v/>
      </c>
    </row>
    <row r="1331" customFormat="false" ht="15" hidden="false" customHeight="false" outlineLevel="0" collapsed="false">
      <c r="A1331" s="12" t="n">
        <v>1328</v>
      </c>
      <c r="B1331" s="8" t="s">
        <v>4070</v>
      </c>
      <c r="C1331" s="8" t="s">
        <v>4071</v>
      </c>
      <c r="D1331" s="11" t="n">
        <v>0.00870243055555556</v>
      </c>
      <c r="E1331" s="39" t="n">
        <f aca="false">ROUND((D1331-$D$5)*86400,2)</f>
        <v>212.87</v>
      </c>
      <c r="F1331" s="12" t="n">
        <v>2670</v>
      </c>
      <c r="G1331" s="11" t="str">
        <f aca="false">IF(INDEX(選手一覧!$D$5:$D$2736,$F1331)="","",INDEX(選手一覧!$D$5:$D$2736,$F1331))</f>
        <v/>
      </c>
      <c r="H1331" s="12" t="str">
        <f aca="false">IF(INDEX(選手一覧!$E$5:$E$2736,$F1331)="","",INDEX(選手一覧!$E$5:$E$2736,$F1331))</f>
        <v/>
      </c>
      <c r="I1331" s="11" t="str">
        <f aca="false">IF(INDEX(選手一覧!$H$5:$H$2736,$F1331)="","",INDEX(選手一覧!$H$5:$H$2736,$F1331))</f>
        <v/>
      </c>
      <c r="J1331" s="12" t="str">
        <f aca="false">IF(INDEX(選手一覧!$I$5:$I$2736,$F1331)="","",INDEX(選手一覧!$I$5:$I$2736,$F1331))</f>
        <v/>
      </c>
    </row>
    <row r="1332" customFormat="false" ht="15" hidden="false" customHeight="false" outlineLevel="0" collapsed="false">
      <c r="A1332" s="12" t="n">
        <v>1329</v>
      </c>
      <c r="B1332" s="8" t="s">
        <v>4072</v>
      </c>
      <c r="C1332" s="8" t="s">
        <v>4073</v>
      </c>
      <c r="D1332" s="11" t="n">
        <v>0.0087025462962963</v>
      </c>
      <c r="E1332" s="39" t="n">
        <f aca="false">ROUND((D1332-$D$5)*86400,2)</f>
        <v>212.88</v>
      </c>
      <c r="F1332" s="12" t="n">
        <v>2671</v>
      </c>
      <c r="G1332" s="11" t="str">
        <f aca="false">IF(INDEX(選手一覧!$D$5:$D$2736,$F1332)="","",INDEX(選手一覧!$D$5:$D$2736,$F1332))</f>
        <v/>
      </c>
      <c r="H1332" s="12" t="str">
        <f aca="false">IF(INDEX(選手一覧!$E$5:$E$2736,$F1332)="","",INDEX(選手一覧!$E$5:$E$2736,$F1332))</f>
        <v/>
      </c>
      <c r="I1332" s="11" t="str">
        <f aca="false">IF(INDEX(選手一覧!$H$5:$H$2736,$F1332)="","",INDEX(選手一覧!$H$5:$H$2736,$F1332))</f>
        <v/>
      </c>
      <c r="J1332" s="12" t="str">
        <f aca="false">IF(INDEX(選手一覧!$I$5:$I$2736,$F1332)="","",INDEX(選手一覧!$I$5:$I$2736,$F1332))</f>
        <v/>
      </c>
    </row>
    <row r="1333" customFormat="false" ht="15" hidden="false" customHeight="false" outlineLevel="0" collapsed="false">
      <c r="A1333" s="12" t="n">
        <v>1330</v>
      </c>
      <c r="B1333" s="8" t="s">
        <v>4074</v>
      </c>
      <c r="C1333" s="8" t="s">
        <v>4075</v>
      </c>
      <c r="D1333" s="11" t="n">
        <v>0.00871111111111111</v>
      </c>
      <c r="E1333" s="39" t="n">
        <f aca="false">ROUND((D1333-$D$5)*86400,2)</f>
        <v>213.62</v>
      </c>
      <c r="F1333" s="12" t="n">
        <v>2672</v>
      </c>
      <c r="G1333" s="11" t="str">
        <f aca="false">IF(INDEX(選手一覧!$D$5:$D$2736,$F1333)="","",INDEX(選手一覧!$D$5:$D$2736,$F1333))</f>
        <v/>
      </c>
      <c r="H1333" s="12" t="str">
        <f aca="false">IF(INDEX(選手一覧!$E$5:$E$2736,$F1333)="","",INDEX(選手一覧!$E$5:$E$2736,$F1333))</f>
        <v/>
      </c>
      <c r="I1333" s="11" t="str">
        <f aca="false">IF(INDEX(選手一覧!$H$5:$H$2736,$F1333)="","",INDEX(選手一覧!$H$5:$H$2736,$F1333))</f>
        <v/>
      </c>
      <c r="J1333" s="12" t="str">
        <f aca="false">IF(INDEX(選手一覧!$I$5:$I$2736,$F1333)="","",INDEX(選手一覧!$I$5:$I$2736,$F1333))</f>
        <v/>
      </c>
    </row>
    <row r="1334" customFormat="false" ht="15" hidden="false" customHeight="false" outlineLevel="0" collapsed="false">
      <c r="A1334" s="12" t="n">
        <v>1331</v>
      </c>
      <c r="B1334" s="8" t="s">
        <v>4076</v>
      </c>
      <c r="C1334" s="8" t="s">
        <v>2269</v>
      </c>
      <c r="D1334" s="11" t="n">
        <v>0.00872453703703704</v>
      </c>
      <c r="E1334" s="39" t="n">
        <f aca="false">ROUND((D1334-$D$5)*86400,2)</f>
        <v>214.78</v>
      </c>
      <c r="F1334" s="12" t="n">
        <v>2673</v>
      </c>
      <c r="G1334" s="11" t="str">
        <f aca="false">IF(INDEX(選手一覧!$D$5:$D$2736,$F1334)="","",INDEX(選手一覧!$D$5:$D$2736,$F1334))</f>
        <v/>
      </c>
      <c r="H1334" s="12" t="str">
        <f aca="false">IF(INDEX(選手一覧!$E$5:$E$2736,$F1334)="","",INDEX(選手一覧!$E$5:$E$2736,$F1334))</f>
        <v/>
      </c>
      <c r="I1334" s="11" t="str">
        <f aca="false">IF(INDEX(選手一覧!$H$5:$H$2736,$F1334)="","",INDEX(選手一覧!$H$5:$H$2736,$F1334))</f>
        <v/>
      </c>
      <c r="J1334" s="12" t="str">
        <f aca="false">IF(INDEX(選手一覧!$I$5:$I$2736,$F1334)="","",INDEX(選手一覧!$I$5:$I$2736,$F1334))</f>
        <v/>
      </c>
    </row>
    <row r="1335" customFormat="false" ht="15" hidden="false" customHeight="false" outlineLevel="0" collapsed="false">
      <c r="A1335" s="12" t="n">
        <v>1332</v>
      </c>
      <c r="B1335" s="8" t="s">
        <v>4078</v>
      </c>
      <c r="C1335" s="8" t="s">
        <v>4079</v>
      </c>
      <c r="D1335" s="11" t="n">
        <v>0.00872650462962963</v>
      </c>
      <c r="E1335" s="39" t="n">
        <f aca="false">ROUND((D1335-$D$5)*86400,2)</f>
        <v>214.95</v>
      </c>
      <c r="F1335" s="12" t="n">
        <v>2675</v>
      </c>
      <c r="G1335" s="11" t="str">
        <f aca="false">IF(INDEX(選手一覧!$D$5:$D$2736,$F1335)="","",INDEX(選手一覧!$D$5:$D$2736,$F1335))</f>
        <v/>
      </c>
      <c r="H1335" s="12" t="str">
        <f aca="false">IF(INDEX(選手一覧!$E$5:$E$2736,$F1335)="","",INDEX(選手一覧!$E$5:$E$2736,$F1335))</f>
        <v/>
      </c>
      <c r="I1335" s="11" t="str">
        <f aca="false">IF(INDEX(選手一覧!$H$5:$H$2736,$F1335)="","",INDEX(選手一覧!$H$5:$H$2736,$F1335))</f>
        <v/>
      </c>
      <c r="J1335" s="12" t="str">
        <f aca="false">IF(INDEX(選手一覧!$I$5:$I$2736,$F1335)="","",INDEX(選手一覧!$I$5:$I$2736,$F1335))</f>
        <v/>
      </c>
    </row>
    <row r="1336" customFormat="false" ht="15" hidden="false" customHeight="false" outlineLevel="0" collapsed="false">
      <c r="A1336" s="12" t="n">
        <v>1333</v>
      </c>
      <c r="B1336" s="8" t="s">
        <v>4080</v>
      </c>
      <c r="C1336" s="8" t="s">
        <v>4081</v>
      </c>
      <c r="D1336" s="11" t="n">
        <v>0.00873958333333333</v>
      </c>
      <c r="E1336" s="39" t="n">
        <f aca="false">ROUND((D1336-$D$5)*86400,2)</f>
        <v>216.08</v>
      </c>
      <c r="F1336" s="12" t="n">
        <v>2676</v>
      </c>
      <c r="G1336" s="11" t="str">
        <f aca="false">IF(INDEX(選手一覧!$D$5:$D$2736,$F1336)="","",INDEX(選手一覧!$D$5:$D$2736,$F1336))</f>
        <v/>
      </c>
      <c r="H1336" s="12" t="str">
        <f aca="false">IF(INDEX(選手一覧!$E$5:$E$2736,$F1336)="","",INDEX(選手一覧!$E$5:$E$2736,$F1336))</f>
        <v/>
      </c>
      <c r="I1336" s="11" t="str">
        <f aca="false">IF(INDEX(選手一覧!$H$5:$H$2736,$F1336)="","",INDEX(選手一覧!$H$5:$H$2736,$F1336))</f>
        <v/>
      </c>
      <c r="J1336" s="12" t="str">
        <f aca="false">IF(INDEX(選手一覧!$I$5:$I$2736,$F1336)="","",INDEX(選手一覧!$I$5:$I$2736,$F1336))</f>
        <v/>
      </c>
    </row>
    <row r="1337" customFormat="false" ht="15" hidden="false" customHeight="false" outlineLevel="0" collapsed="false">
      <c r="A1337" s="12" t="n">
        <v>1334</v>
      </c>
      <c r="B1337" s="8" t="s">
        <v>4082</v>
      </c>
      <c r="C1337" s="8" t="s">
        <v>3070</v>
      </c>
      <c r="D1337" s="11" t="n">
        <v>0.0087556712962963</v>
      </c>
      <c r="E1337" s="39" t="n">
        <f aca="false">ROUND((D1337-$D$5)*86400,2)</f>
        <v>217.47</v>
      </c>
      <c r="F1337" s="12" t="n">
        <v>2677</v>
      </c>
      <c r="G1337" s="11" t="str">
        <f aca="false">IF(INDEX(選手一覧!$D$5:$D$2736,$F1337)="","",INDEX(選手一覧!$D$5:$D$2736,$F1337))</f>
        <v/>
      </c>
      <c r="H1337" s="12" t="str">
        <f aca="false">IF(INDEX(選手一覧!$E$5:$E$2736,$F1337)="","",INDEX(選手一覧!$E$5:$E$2736,$F1337))</f>
        <v/>
      </c>
      <c r="I1337" s="11" t="str">
        <f aca="false">IF(INDEX(選手一覧!$H$5:$H$2736,$F1337)="","",INDEX(選手一覧!$H$5:$H$2736,$F1337))</f>
        <v/>
      </c>
      <c r="J1337" s="12" t="str">
        <f aca="false">IF(INDEX(選手一覧!$I$5:$I$2736,$F1337)="","",INDEX(選手一覧!$I$5:$I$2736,$F1337))</f>
        <v/>
      </c>
    </row>
    <row r="1338" customFormat="false" ht="15" hidden="false" customHeight="false" outlineLevel="0" collapsed="false">
      <c r="A1338" s="12" t="n">
        <v>1335</v>
      </c>
      <c r="B1338" s="8" t="s">
        <v>4084</v>
      </c>
      <c r="C1338" s="8" t="s">
        <v>4085</v>
      </c>
      <c r="D1338" s="11" t="n">
        <v>0.00876585648148148</v>
      </c>
      <c r="E1338" s="39" t="n">
        <f aca="false">ROUND((D1338-$D$5)*86400,2)</f>
        <v>218.35</v>
      </c>
      <c r="F1338" s="12" t="n">
        <v>2679</v>
      </c>
      <c r="G1338" s="11" t="str">
        <f aca="false">IF(INDEX(選手一覧!$D$5:$D$2736,$F1338)="","",INDEX(選手一覧!$D$5:$D$2736,$F1338))</f>
        <v/>
      </c>
      <c r="H1338" s="12" t="str">
        <f aca="false">IF(INDEX(選手一覧!$E$5:$E$2736,$F1338)="","",INDEX(選手一覧!$E$5:$E$2736,$F1338))</f>
        <v/>
      </c>
      <c r="I1338" s="11" t="str">
        <f aca="false">IF(INDEX(選手一覧!$H$5:$H$2736,$F1338)="","",INDEX(選手一覧!$H$5:$H$2736,$F1338))</f>
        <v/>
      </c>
      <c r="J1338" s="12" t="str">
        <f aca="false">IF(INDEX(選手一覧!$I$5:$I$2736,$F1338)="","",INDEX(選手一覧!$I$5:$I$2736,$F1338))</f>
        <v/>
      </c>
    </row>
    <row r="1339" customFormat="false" ht="15" hidden="false" customHeight="false" outlineLevel="0" collapsed="false">
      <c r="A1339" s="12" t="n">
        <v>1336</v>
      </c>
      <c r="B1339" s="8" t="s">
        <v>4086</v>
      </c>
      <c r="C1339" s="8" t="s">
        <v>4087</v>
      </c>
      <c r="D1339" s="11" t="n">
        <v>0.00878009259259259</v>
      </c>
      <c r="E1339" s="39" t="n">
        <f aca="false">ROUND((D1339-$D$5)*86400,2)</f>
        <v>219.58</v>
      </c>
      <c r="F1339" s="12" t="n">
        <v>2680</v>
      </c>
      <c r="G1339" s="11" t="str">
        <f aca="false">IF(INDEX(選手一覧!$D$5:$D$2736,$F1339)="","",INDEX(選手一覧!$D$5:$D$2736,$F1339))</f>
        <v/>
      </c>
      <c r="H1339" s="12" t="str">
        <f aca="false">IF(INDEX(選手一覧!$E$5:$E$2736,$F1339)="","",INDEX(選手一覧!$E$5:$E$2736,$F1339))</f>
        <v/>
      </c>
      <c r="I1339" s="11" t="str">
        <f aca="false">IF(INDEX(選手一覧!$H$5:$H$2736,$F1339)="","",INDEX(選手一覧!$H$5:$H$2736,$F1339))</f>
        <v/>
      </c>
      <c r="J1339" s="12" t="str">
        <f aca="false">IF(INDEX(選手一覧!$I$5:$I$2736,$F1339)="","",INDEX(選手一覧!$I$5:$I$2736,$F1339))</f>
        <v/>
      </c>
    </row>
    <row r="1340" customFormat="false" ht="15" hidden="false" customHeight="false" outlineLevel="0" collapsed="false">
      <c r="A1340" s="12" t="n">
        <v>1337</v>
      </c>
      <c r="B1340" s="8" t="s">
        <v>4089</v>
      </c>
      <c r="C1340" s="8" t="s">
        <v>2556</v>
      </c>
      <c r="D1340" s="11" t="n">
        <v>0.00878275462962963</v>
      </c>
      <c r="E1340" s="39" t="n">
        <f aca="false">ROUND((D1340-$D$5)*86400,2)</f>
        <v>219.81</v>
      </c>
      <c r="F1340" s="12" t="n">
        <v>2682</v>
      </c>
      <c r="G1340" s="11" t="str">
        <f aca="false">IF(INDEX(選手一覧!$D$5:$D$2736,$F1340)="","",INDEX(選手一覧!$D$5:$D$2736,$F1340))</f>
        <v/>
      </c>
      <c r="H1340" s="12" t="str">
        <f aca="false">IF(INDEX(選手一覧!$E$5:$E$2736,$F1340)="","",INDEX(選手一覧!$E$5:$E$2736,$F1340))</f>
        <v/>
      </c>
      <c r="I1340" s="11" t="str">
        <f aca="false">IF(INDEX(選手一覧!$H$5:$H$2736,$F1340)="","",INDEX(選手一覧!$H$5:$H$2736,$F1340))</f>
        <v/>
      </c>
      <c r="J1340" s="12" t="str">
        <f aca="false">IF(INDEX(選手一覧!$I$5:$I$2736,$F1340)="","",INDEX(選手一覧!$I$5:$I$2736,$F1340))</f>
        <v/>
      </c>
    </row>
    <row r="1341" customFormat="false" ht="15" hidden="false" customHeight="false" outlineLevel="0" collapsed="false">
      <c r="A1341" s="12" t="n">
        <v>1338</v>
      </c>
      <c r="B1341" s="8" t="s">
        <v>4090</v>
      </c>
      <c r="C1341" s="8" t="s">
        <v>4091</v>
      </c>
      <c r="D1341" s="11" t="n">
        <v>0.00878865740740741</v>
      </c>
      <c r="E1341" s="39" t="n">
        <f aca="false">ROUND((D1341-$D$5)*86400,2)</f>
        <v>220.32</v>
      </c>
      <c r="F1341" s="12" t="n">
        <v>2683</v>
      </c>
      <c r="G1341" s="11" t="str">
        <f aca="false">IF(INDEX(選手一覧!$D$5:$D$2736,$F1341)="","",INDEX(選手一覧!$D$5:$D$2736,$F1341))</f>
        <v/>
      </c>
      <c r="H1341" s="12" t="str">
        <f aca="false">IF(INDEX(選手一覧!$E$5:$E$2736,$F1341)="","",INDEX(選手一覧!$E$5:$E$2736,$F1341))</f>
        <v/>
      </c>
      <c r="I1341" s="11" t="str">
        <f aca="false">IF(INDEX(選手一覧!$H$5:$H$2736,$F1341)="","",INDEX(選手一覧!$H$5:$H$2736,$F1341))</f>
        <v/>
      </c>
      <c r="J1341" s="12" t="str">
        <f aca="false">IF(INDEX(選手一覧!$I$5:$I$2736,$F1341)="","",INDEX(選手一覧!$I$5:$I$2736,$F1341))</f>
        <v/>
      </c>
    </row>
    <row r="1342" customFormat="false" ht="15" hidden="false" customHeight="false" outlineLevel="0" collapsed="false">
      <c r="A1342" s="12" t="n">
        <v>1339</v>
      </c>
      <c r="B1342" s="8" t="s">
        <v>4093</v>
      </c>
      <c r="C1342" s="8" t="s">
        <v>3556</v>
      </c>
      <c r="D1342" s="11" t="n">
        <v>0.00879212962962963</v>
      </c>
      <c r="E1342" s="39" t="n">
        <f aca="false">ROUND((D1342-$D$5)*86400,2)</f>
        <v>220.62</v>
      </c>
      <c r="F1342" s="12" t="n">
        <v>2685</v>
      </c>
      <c r="G1342" s="11" t="str">
        <f aca="false">IF(INDEX(選手一覧!$D$5:$D$2736,$F1342)="","",INDEX(選手一覧!$D$5:$D$2736,$F1342))</f>
        <v/>
      </c>
      <c r="H1342" s="12" t="str">
        <f aca="false">IF(INDEX(選手一覧!$E$5:$E$2736,$F1342)="","",INDEX(選手一覧!$E$5:$E$2736,$F1342))</f>
        <v/>
      </c>
      <c r="I1342" s="11" t="str">
        <f aca="false">IF(INDEX(選手一覧!$H$5:$H$2736,$F1342)="","",INDEX(選手一覧!$H$5:$H$2736,$F1342))</f>
        <v/>
      </c>
      <c r="J1342" s="12" t="str">
        <f aca="false">IF(INDEX(選手一覧!$I$5:$I$2736,$F1342)="","",INDEX(選手一覧!$I$5:$I$2736,$F1342))</f>
        <v/>
      </c>
    </row>
    <row r="1343" customFormat="false" ht="15" hidden="false" customHeight="false" outlineLevel="0" collapsed="false">
      <c r="A1343" s="12" t="n">
        <v>1340</v>
      </c>
      <c r="B1343" s="8" t="s">
        <v>4094</v>
      </c>
      <c r="C1343" s="8" t="s">
        <v>2184</v>
      </c>
      <c r="D1343" s="11" t="n">
        <v>0.00881018518518519</v>
      </c>
      <c r="E1343" s="39" t="n">
        <f aca="false">ROUND((D1343-$D$5)*86400,2)</f>
        <v>222.18</v>
      </c>
      <c r="F1343" s="12" t="n">
        <v>2686</v>
      </c>
      <c r="G1343" s="11" t="str">
        <f aca="false">IF(INDEX(選手一覧!$D$5:$D$2736,$F1343)="","",INDEX(選手一覧!$D$5:$D$2736,$F1343))</f>
        <v/>
      </c>
      <c r="H1343" s="12" t="str">
        <f aca="false">IF(INDEX(選手一覧!$E$5:$E$2736,$F1343)="","",INDEX(選手一覧!$E$5:$E$2736,$F1343))</f>
        <v/>
      </c>
      <c r="I1343" s="11" t="str">
        <f aca="false">IF(INDEX(選手一覧!$H$5:$H$2736,$F1343)="","",INDEX(選手一覧!$H$5:$H$2736,$F1343))</f>
        <v/>
      </c>
      <c r="J1343" s="12" t="str">
        <f aca="false">IF(INDEX(選手一覧!$I$5:$I$2736,$F1343)="","",INDEX(選手一覧!$I$5:$I$2736,$F1343))</f>
        <v/>
      </c>
    </row>
    <row r="1344" customFormat="false" ht="15" hidden="false" customHeight="false" outlineLevel="0" collapsed="false">
      <c r="A1344" s="12" t="n">
        <v>1341</v>
      </c>
      <c r="B1344" s="8" t="s">
        <v>4095</v>
      </c>
      <c r="C1344" s="8" t="s">
        <v>3711</v>
      </c>
      <c r="D1344" s="11" t="n">
        <v>0.00881296296296296</v>
      </c>
      <c r="E1344" s="39" t="n">
        <f aca="false">ROUND((D1344-$D$5)*86400,2)</f>
        <v>222.42</v>
      </c>
      <c r="F1344" s="12" t="n">
        <v>2687</v>
      </c>
      <c r="G1344" s="11" t="str">
        <f aca="false">IF(INDEX(選手一覧!$D$5:$D$2736,$F1344)="","",INDEX(選手一覧!$D$5:$D$2736,$F1344))</f>
        <v/>
      </c>
      <c r="H1344" s="12" t="str">
        <f aca="false">IF(INDEX(選手一覧!$E$5:$E$2736,$F1344)="","",INDEX(選手一覧!$E$5:$E$2736,$F1344))</f>
        <v/>
      </c>
      <c r="I1344" s="11" t="str">
        <f aca="false">IF(INDEX(選手一覧!$H$5:$H$2736,$F1344)="","",INDEX(選手一覧!$H$5:$H$2736,$F1344))</f>
        <v/>
      </c>
      <c r="J1344" s="12" t="str">
        <f aca="false">IF(INDEX(選手一覧!$I$5:$I$2736,$F1344)="","",INDEX(選手一覧!$I$5:$I$2736,$F1344))</f>
        <v/>
      </c>
    </row>
    <row r="1345" customFormat="false" ht="15" hidden="false" customHeight="false" outlineLevel="0" collapsed="false">
      <c r="A1345" s="12" t="n">
        <v>1342</v>
      </c>
      <c r="B1345" s="8" t="s">
        <v>4097</v>
      </c>
      <c r="C1345" s="8" t="s">
        <v>1839</v>
      </c>
      <c r="D1345" s="11" t="n">
        <v>0.00881550925925926</v>
      </c>
      <c r="E1345" s="39" t="n">
        <f aca="false">ROUND((D1345-$D$5)*86400,2)</f>
        <v>222.64</v>
      </c>
      <c r="F1345" s="12" t="n">
        <v>2689</v>
      </c>
      <c r="G1345" s="11" t="str">
        <f aca="false">IF(INDEX(選手一覧!$D$5:$D$2736,$F1345)="","",INDEX(選手一覧!$D$5:$D$2736,$F1345))</f>
        <v/>
      </c>
      <c r="H1345" s="12" t="str">
        <f aca="false">IF(INDEX(選手一覧!$E$5:$E$2736,$F1345)="","",INDEX(選手一覧!$E$5:$E$2736,$F1345))</f>
        <v/>
      </c>
      <c r="I1345" s="11" t="str">
        <f aca="false">IF(INDEX(選手一覧!$H$5:$H$2736,$F1345)="","",INDEX(選手一覧!$H$5:$H$2736,$F1345))</f>
        <v/>
      </c>
      <c r="J1345" s="12" t="str">
        <f aca="false">IF(INDEX(選手一覧!$I$5:$I$2736,$F1345)="","",INDEX(選手一覧!$I$5:$I$2736,$F1345))</f>
        <v/>
      </c>
    </row>
    <row r="1346" customFormat="false" ht="15" hidden="false" customHeight="false" outlineLevel="0" collapsed="false">
      <c r="A1346" s="12" t="n">
        <v>1343</v>
      </c>
      <c r="B1346" s="8" t="s">
        <v>4099</v>
      </c>
      <c r="C1346" s="8" t="s">
        <v>2891</v>
      </c>
      <c r="D1346" s="11" t="n">
        <v>0.00884328703703704</v>
      </c>
      <c r="E1346" s="39" t="n">
        <f aca="false">ROUND((D1346-$D$5)*86400,2)</f>
        <v>225.04</v>
      </c>
      <c r="F1346" s="12" t="n">
        <v>2691</v>
      </c>
      <c r="G1346" s="11" t="str">
        <f aca="false">IF(INDEX(選手一覧!$D$5:$D$2736,$F1346)="","",INDEX(選手一覧!$D$5:$D$2736,$F1346))</f>
        <v/>
      </c>
      <c r="H1346" s="12" t="str">
        <f aca="false">IF(INDEX(選手一覧!$E$5:$E$2736,$F1346)="","",INDEX(選手一覧!$E$5:$E$2736,$F1346))</f>
        <v/>
      </c>
      <c r="I1346" s="11" t="str">
        <f aca="false">IF(INDEX(選手一覧!$H$5:$H$2736,$F1346)="","",INDEX(選手一覧!$H$5:$H$2736,$F1346))</f>
        <v/>
      </c>
      <c r="J1346" s="12" t="str">
        <f aca="false">IF(INDEX(選手一覧!$I$5:$I$2736,$F1346)="","",INDEX(選手一覧!$I$5:$I$2736,$F1346))</f>
        <v/>
      </c>
    </row>
    <row r="1347" customFormat="false" ht="15" hidden="false" customHeight="false" outlineLevel="0" collapsed="false">
      <c r="A1347" s="12" t="n">
        <v>1344</v>
      </c>
      <c r="B1347" s="8" t="s">
        <v>4100</v>
      </c>
      <c r="C1347" s="8" t="s">
        <v>4101</v>
      </c>
      <c r="D1347" s="11" t="n">
        <v>0.00884664351851852</v>
      </c>
      <c r="E1347" s="39" t="n">
        <f aca="false">ROUND((D1347-$D$5)*86400,2)</f>
        <v>225.33</v>
      </c>
      <c r="F1347" s="12" t="n">
        <v>2692</v>
      </c>
      <c r="G1347" s="11" t="str">
        <f aca="false">IF(INDEX(選手一覧!$D$5:$D$2736,$F1347)="","",INDEX(選手一覧!$D$5:$D$2736,$F1347))</f>
        <v/>
      </c>
      <c r="H1347" s="12" t="str">
        <f aca="false">IF(INDEX(選手一覧!$E$5:$E$2736,$F1347)="","",INDEX(選手一覧!$E$5:$E$2736,$F1347))</f>
        <v/>
      </c>
      <c r="I1347" s="11" t="str">
        <f aca="false">IF(INDEX(選手一覧!$H$5:$H$2736,$F1347)="","",INDEX(選手一覧!$H$5:$H$2736,$F1347))</f>
        <v/>
      </c>
      <c r="J1347" s="12" t="str">
        <f aca="false">IF(INDEX(選手一覧!$I$5:$I$2736,$F1347)="","",INDEX(選手一覧!$I$5:$I$2736,$F1347))</f>
        <v/>
      </c>
    </row>
    <row r="1348" customFormat="false" ht="15" hidden="false" customHeight="false" outlineLevel="0" collapsed="false">
      <c r="A1348" s="12" t="n">
        <v>1345</v>
      </c>
      <c r="B1348" s="8" t="s">
        <v>4102</v>
      </c>
      <c r="C1348" s="8" t="s">
        <v>2275</v>
      </c>
      <c r="D1348" s="11" t="n">
        <v>0.0088494212962963</v>
      </c>
      <c r="E1348" s="39" t="n">
        <f aca="false">ROUND((D1348-$D$5)*86400,2)</f>
        <v>225.57</v>
      </c>
      <c r="F1348" s="12" t="n">
        <v>2693</v>
      </c>
      <c r="G1348" s="11" t="str">
        <f aca="false">IF(INDEX(選手一覧!$D$5:$D$2736,$F1348)="","",INDEX(選手一覧!$D$5:$D$2736,$F1348))</f>
        <v/>
      </c>
      <c r="H1348" s="12" t="str">
        <f aca="false">IF(INDEX(選手一覧!$E$5:$E$2736,$F1348)="","",INDEX(選手一覧!$E$5:$E$2736,$F1348))</f>
        <v/>
      </c>
      <c r="I1348" s="11" t="str">
        <f aca="false">IF(INDEX(選手一覧!$H$5:$H$2736,$F1348)="","",INDEX(選手一覧!$H$5:$H$2736,$F1348))</f>
        <v/>
      </c>
      <c r="J1348" s="12" t="str">
        <f aca="false">IF(INDEX(選手一覧!$I$5:$I$2736,$F1348)="","",INDEX(選手一覧!$I$5:$I$2736,$F1348))</f>
        <v/>
      </c>
    </row>
    <row r="1349" customFormat="false" ht="15" hidden="false" customHeight="false" outlineLevel="0" collapsed="false">
      <c r="A1349" s="12" t="n">
        <v>1346</v>
      </c>
      <c r="B1349" s="8" t="s">
        <v>4105</v>
      </c>
      <c r="C1349" s="8" t="s">
        <v>3874</v>
      </c>
      <c r="D1349" s="11" t="n">
        <v>0.00888935185185185</v>
      </c>
      <c r="E1349" s="39" t="n">
        <f aca="false">ROUND((D1349-$D$5)*86400,2)</f>
        <v>229.02</v>
      </c>
      <c r="F1349" s="12" t="n">
        <v>2695</v>
      </c>
      <c r="G1349" s="11" t="str">
        <f aca="false">IF(INDEX(選手一覧!$D$5:$D$2736,$F1349)="","",INDEX(選手一覧!$D$5:$D$2736,$F1349))</f>
        <v/>
      </c>
      <c r="H1349" s="12" t="str">
        <f aca="false">IF(INDEX(選手一覧!$E$5:$E$2736,$F1349)="","",INDEX(選手一覧!$E$5:$E$2736,$F1349))</f>
        <v/>
      </c>
      <c r="I1349" s="11" t="str">
        <f aca="false">IF(INDEX(選手一覧!$H$5:$H$2736,$F1349)="","",INDEX(選手一覧!$H$5:$H$2736,$F1349))</f>
        <v/>
      </c>
      <c r="J1349" s="12" t="str">
        <f aca="false">IF(INDEX(選手一覧!$I$5:$I$2736,$F1349)="","",INDEX(選手一覧!$I$5:$I$2736,$F1349))</f>
        <v/>
      </c>
    </row>
    <row r="1350" customFormat="false" ht="15" hidden="false" customHeight="false" outlineLevel="0" collapsed="false">
      <c r="A1350" s="12" t="n">
        <v>1347</v>
      </c>
      <c r="B1350" s="8" t="s">
        <v>4106</v>
      </c>
      <c r="C1350" s="8" t="s">
        <v>3485</v>
      </c>
      <c r="D1350" s="11" t="n">
        <v>0.00890381944444444</v>
      </c>
      <c r="E1350" s="39" t="n">
        <f aca="false">ROUND((D1350-$D$5)*86400,2)</f>
        <v>230.27</v>
      </c>
      <c r="F1350" s="12" t="n">
        <v>2696</v>
      </c>
      <c r="G1350" s="11" t="str">
        <f aca="false">IF(INDEX(選手一覧!$D$5:$D$2736,$F1350)="","",INDEX(選手一覧!$D$5:$D$2736,$F1350))</f>
        <v/>
      </c>
      <c r="H1350" s="12" t="str">
        <f aca="false">IF(INDEX(選手一覧!$E$5:$E$2736,$F1350)="","",INDEX(選手一覧!$E$5:$E$2736,$F1350))</f>
        <v/>
      </c>
      <c r="I1350" s="11" t="str">
        <f aca="false">IF(INDEX(選手一覧!$H$5:$H$2736,$F1350)="","",INDEX(選手一覧!$H$5:$H$2736,$F1350))</f>
        <v/>
      </c>
      <c r="J1350" s="12" t="str">
        <f aca="false">IF(INDEX(選手一覧!$I$5:$I$2736,$F1350)="","",INDEX(選手一覧!$I$5:$I$2736,$F1350))</f>
        <v/>
      </c>
    </row>
    <row r="1351" customFormat="false" ht="15" hidden="false" customHeight="false" outlineLevel="0" collapsed="false">
      <c r="A1351" s="12" t="n">
        <v>1348</v>
      </c>
      <c r="B1351" s="8" t="s">
        <v>4108</v>
      </c>
      <c r="C1351" s="8" t="s">
        <v>4109</v>
      </c>
      <c r="D1351" s="11" t="n">
        <v>0.00891770833333333</v>
      </c>
      <c r="E1351" s="39" t="n">
        <f aca="false">ROUND((D1351-$D$5)*86400,2)</f>
        <v>231.47</v>
      </c>
      <c r="F1351" s="12" t="n">
        <v>2698</v>
      </c>
      <c r="G1351" s="11" t="str">
        <f aca="false">IF(INDEX(選手一覧!$D$5:$D$2736,$F1351)="","",INDEX(選手一覧!$D$5:$D$2736,$F1351))</f>
        <v/>
      </c>
      <c r="H1351" s="12" t="str">
        <f aca="false">IF(INDEX(選手一覧!$E$5:$E$2736,$F1351)="","",INDEX(選手一覧!$E$5:$E$2736,$F1351))</f>
        <v/>
      </c>
      <c r="I1351" s="11" t="str">
        <f aca="false">IF(INDEX(選手一覧!$H$5:$H$2736,$F1351)="","",INDEX(選手一覧!$H$5:$H$2736,$F1351))</f>
        <v/>
      </c>
      <c r="J1351" s="12" t="str">
        <f aca="false">IF(INDEX(選手一覧!$I$5:$I$2736,$F1351)="","",INDEX(選手一覧!$I$5:$I$2736,$F1351))</f>
        <v/>
      </c>
    </row>
    <row r="1352" customFormat="false" ht="15" hidden="false" customHeight="false" outlineLevel="0" collapsed="false">
      <c r="A1352" s="12" t="n">
        <v>1349</v>
      </c>
      <c r="B1352" s="8" t="s">
        <v>4111</v>
      </c>
      <c r="C1352" s="8" t="s">
        <v>562</v>
      </c>
      <c r="D1352" s="11" t="n">
        <v>0.008946875</v>
      </c>
      <c r="E1352" s="39" t="n">
        <f aca="false">ROUND((D1352-$D$5)*86400,2)</f>
        <v>233.99</v>
      </c>
      <c r="F1352" s="12" t="n">
        <v>2700</v>
      </c>
      <c r="G1352" s="11" t="str">
        <f aca="false">IF(INDEX(選手一覧!$D$5:$D$2736,$F1352)="","",INDEX(選手一覧!$D$5:$D$2736,$F1352))</f>
        <v/>
      </c>
      <c r="H1352" s="12" t="str">
        <f aca="false">IF(INDEX(選手一覧!$E$5:$E$2736,$F1352)="","",INDEX(選手一覧!$E$5:$E$2736,$F1352))</f>
        <v/>
      </c>
      <c r="I1352" s="11" t="str">
        <f aca="false">IF(INDEX(選手一覧!$H$5:$H$2736,$F1352)="","",INDEX(選手一覧!$H$5:$H$2736,$F1352))</f>
        <v/>
      </c>
      <c r="J1352" s="12" t="str">
        <f aca="false">IF(INDEX(選手一覧!$I$5:$I$2736,$F1352)="","",INDEX(選手一覧!$I$5:$I$2736,$F1352))</f>
        <v/>
      </c>
    </row>
    <row r="1353" customFormat="false" ht="15" hidden="false" customHeight="false" outlineLevel="0" collapsed="false">
      <c r="A1353" s="12" t="n">
        <v>1350</v>
      </c>
      <c r="B1353" s="8" t="s">
        <v>4112</v>
      </c>
      <c r="C1353" s="8" t="s">
        <v>4113</v>
      </c>
      <c r="D1353" s="11" t="n">
        <v>0.00894965277777778</v>
      </c>
      <c r="E1353" s="39" t="n">
        <f aca="false">ROUND((D1353-$D$5)*86400,2)</f>
        <v>234.23</v>
      </c>
      <c r="F1353" s="12" t="n">
        <v>2701</v>
      </c>
      <c r="G1353" s="11" t="str">
        <f aca="false">IF(INDEX(選手一覧!$D$5:$D$2736,$F1353)="","",INDEX(選手一覧!$D$5:$D$2736,$F1353))</f>
        <v/>
      </c>
      <c r="H1353" s="12" t="str">
        <f aca="false">IF(INDEX(選手一覧!$E$5:$E$2736,$F1353)="","",INDEX(選手一覧!$E$5:$E$2736,$F1353))</f>
        <v/>
      </c>
      <c r="I1353" s="11" t="str">
        <f aca="false">IF(INDEX(選手一覧!$H$5:$H$2736,$F1353)="","",INDEX(選手一覧!$H$5:$H$2736,$F1353))</f>
        <v/>
      </c>
      <c r="J1353" s="12" t="str">
        <f aca="false">IF(INDEX(選手一覧!$I$5:$I$2736,$F1353)="","",INDEX(選手一覧!$I$5:$I$2736,$F1353))</f>
        <v/>
      </c>
    </row>
    <row r="1354" customFormat="false" ht="15" hidden="false" customHeight="false" outlineLevel="0" collapsed="false">
      <c r="A1354" s="12" t="n">
        <v>1351</v>
      </c>
      <c r="B1354" s="8" t="s">
        <v>4114</v>
      </c>
      <c r="C1354" s="8" t="s">
        <v>4115</v>
      </c>
      <c r="D1354" s="11" t="n">
        <v>0.00895011574074074</v>
      </c>
      <c r="E1354" s="39" t="n">
        <f aca="false">ROUND((D1354-$D$5)*86400,2)</f>
        <v>234.27</v>
      </c>
      <c r="F1354" s="12" t="n">
        <v>2702</v>
      </c>
      <c r="G1354" s="11" t="str">
        <f aca="false">IF(INDEX(選手一覧!$D$5:$D$2736,$F1354)="","",INDEX(選手一覧!$D$5:$D$2736,$F1354))</f>
        <v/>
      </c>
      <c r="H1354" s="12" t="str">
        <f aca="false">IF(INDEX(選手一覧!$E$5:$E$2736,$F1354)="","",INDEX(選手一覧!$E$5:$E$2736,$F1354))</f>
        <v/>
      </c>
      <c r="I1354" s="11" t="str">
        <f aca="false">IF(INDEX(選手一覧!$H$5:$H$2736,$F1354)="","",INDEX(選手一覧!$H$5:$H$2736,$F1354))</f>
        <v/>
      </c>
      <c r="J1354" s="12" t="str">
        <f aca="false">IF(INDEX(選手一覧!$I$5:$I$2736,$F1354)="","",INDEX(選手一覧!$I$5:$I$2736,$F1354))</f>
        <v/>
      </c>
    </row>
    <row r="1355" customFormat="false" ht="15" hidden="false" customHeight="false" outlineLevel="0" collapsed="false">
      <c r="A1355" s="12" t="n">
        <v>1352</v>
      </c>
      <c r="B1355" s="8" t="s">
        <v>4116</v>
      </c>
      <c r="C1355" s="8" t="s">
        <v>4117</v>
      </c>
      <c r="D1355" s="11" t="n">
        <v>0.00897789351851852</v>
      </c>
      <c r="E1355" s="39" t="n">
        <f aca="false">ROUND((D1355-$D$5)*86400,2)</f>
        <v>236.67</v>
      </c>
      <c r="F1355" s="12" t="n">
        <v>2703</v>
      </c>
      <c r="G1355" s="11" t="str">
        <f aca="false">IF(INDEX(選手一覧!$D$5:$D$2736,$F1355)="","",INDEX(選手一覧!$D$5:$D$2736,$F1355))</f>
        <v/>
      </c>
      <c r="H1355" s="12" t="str">
        <f aca="false">IF(INDEX(選手一覧!$E$5:$E$2736,$F1355)="","",INDEX(選手一覧!$E$5:$E$2736,$F1355))</f>
        <v/>
      </c>
      <c r="I1355" s="11" t="str">
        <f aca="false">IF(INDEX(選手一覧!$H$5:$H$2736,$F1355)="","",INDEX(選手一覧!$H$5:$H$2736,$F1355))</f>
        <v/>
      </c>
      <c r="J1355" s="12" t="str">
        <f aca="false">IF(INDEX(選手一覧!$I$5:$I$2736,$F1355)="","",INDEX(選手一覧!$I$5:$I$2736,$F1355))</f>
        <v/>
      </c>
    </row>
    <row r="1356" customFormat="false" ht="15" hidden="false" customHeight="false" outlineLevel="0" collapsed="false">
      <c r="A1356" s="12" t="n">
        <v>1353</v>
      </c>
      <c r="B1356" s="8" t="s">
        <v>4119</v>
      </c>
      <c r="C1356" s="8" t="s">
        <v>4040</v>
      </c>
      <c r="D1356" s="11" t="n">
        <v>0.009009375</v>
      </c>
      <c r="E1356" s="39" t="n">
        <f aca="false">ROUND((D1356-$D$5)*86400,2)</f>
        <v>239.39</v>
      </c>
      <c r="F1356" s="12" t="n">
        <v>2705</v>
      </c>
      <c r="G1356" s="11" t="str">
        <f aca="false">IF(INDEX(選手一覧!$D$5:$D$2736,$F1356)="","",INDEX(選手一覧!$D$5:$D$2736,$F1356))</f>
        <v/>
      </c>
      <c r="H1356" s="12" t="str">
        <f aca="false">IF(INDEX(選手一覧!$E$5:$E$2736,$F1356)="","",INDEX(選手一覧!$E$5:$E$2736,$F1356))</f>
        <v/>
      </c>
      <c r="I1356" s="11" t="str">
        <f aca="false">IF(INDEX(選手一覧!$H$5:$H$2736,$F1356)="","",INDEX(選手一覧!$H$5:$H$2736,$F1356))</f>
        <v/>
      </c>
      <c r="J1356" s="12" t="str">
        <f aca="false">IF(INDEX(選手一覧!$I$5:$I$2736,$F1356)="","",INDEX(選手一覧!$I$5:$I$2736,$F1356))</f>
        <v/>
      </c>
    </row>
    <row r="1357" customFormat="false" ht="15" hidden="false" customHeight="false" outlineLevel="0" collapsed="false">
      <c r="A1357" s="12" t="n">
        <v>1354</v>
      </c>
      <c r="B1357" s="8" t="s">
        <v>4121</v>
      </c>
      <c r="C1357" s="8" t="s">
        <v>2703</v>
      </c>
      <c r="D1357" s="11" t="n">
        <v>0.00901157407407408</v>
      </c>
      <c r="E1357" s="39" t="n">
        <f aca="false">ROUND((D1357-$D$5)*86400,2)</f>
        <v>239.58</v>
      </c>
      <c r="F1357" s="12" t="n">
        <v>2707</v>
      </c>
      <c r="G1357" s="11" t="str">
        <f aca="false">IF(INDEX(選手一覧!$D$5:$D$2736,$F1357)="","",INDEX(選手一覧!$D$5:$D$2736,$F1357))</f>
        <v/>
      </c>
      <c r="H1357" s="12" t="str">
        <f aca="false">IF(INDEX(選手一覧!$E$5:$E$2736,$F1357)="","",INDEX(選手一覧!$E$5:$E$2736,$F1357))</f>
        <v/>
      </c>
      <c r="I1357" s="11" t="str">
        <f aca="false">IF(INDEX(選手一覧!$H$5:$H$2736,$F1357)="","",INDEX(選手一覧!$H$5:$H$2736,$F1357))</f>
        <v/>
      </c>
      <c r="J1357" s="12" t="str">
        <f aca="false">IF(INDEX(選手一覧!$I$5:$I$2736,$F1357)="","",INDEX(選手一覧!$I$5:$I$2736,$F1357))</f>
        <v/>
      </c>
    </row>
    <row r="1358" customFormat="false" ht="15" hidden="false" customHeight="false" outlineLevel="0" collapsed="false">
      <c r="A1358" s="12" t="n">
        <v>1355</v>
      </c>
      <c r="B1358" s="8" t="s">
        <v>4124</v>
      </c>
      <c r="C1358" s="8" t="s">
        <v>471</v>
      </c>
      <c r="D1358" s="11" t="n">
        <v>0.00901863425925926</v>
      </c>
      <c r="E1358" s="39" t="n">
        <f aca="false">ROUND((D1358-$D$5)*86400,2)</f>
        <v>240.19</v>
      </c>
      <c r="F1358" s="12" t="n">
        <v>2709</v>
      </c>
      <c r="G1358" s="11" t="str">
        <f aca="false">IF(INDEX(選手一覧!$D$5:$D$2736,$F1358)="","",INDEX(選手一覧!$D$5:$D$2736,$F1358))</f>
        <v/>
      </c>
      <c r="H1358" s="12" t="str">
        <f aca="false">IF(INDEX(選手一覧!$E$5:$E$2736,$F1358)="","",INDEX(選手一覧!$E$5:$E$2736,$F1358))</f>
        <v/>
      </c>
      <c r="I1358" s="11" t="str">
        <f aca="false">IF(INDEX(選手一覧!$H$5:$H$2736,$F1358)="","",INDEX(選手一覧!$H$5:$H$2736,$F1358))</f>
        <v/>
      </c>
      <c r="J1358" s="12" t="str">
        <f aca="false">IF(INDEX(選手一覧!$I$5:$I$2736,$F1358)="","",INDEX(選手一覧!$I$5:$I$2736,$F1358))</f>
        <v/>
      </c>
    </row>
    <row r="1359" customFormat="false" ht="15" hidden="false" customHeight="false" outlineLevel="0" collapsed="false">
      <c r="A1359" s="12" t="n">
        <v>1356</v>
      </c>
      <c r="B1359" s="8" t="s">
        <v>4125</v>
      </c>
      <c r="C1359" s="8" t="s">
        <v>588</v>
      </c>
      <c r="D1359" s="11" t="n">
        <v>0.00903194444444445</v>
      </c>
      <c r="E1359" s="39" t="n">
        <f aca="false">ROUND((D1359-$D$5)*86400,2)</f>
        <v>241.34</v>
      </c>
      <c r="F1359" s="12" t="n">
        <v>2710</v>
      </c>
      <c r="G1359" s="11" t="str">
        <f aca="false">IF(INDEX(選手一覧!$D$5:$D$2736,$F1359)="","",INDEX(選手一覧!$D$5:$D$2736,$F1359))</f>
        <v/>
      </c>
      <c r="H1359" s="12" t="str">
        <f aca="false">IF(INDEX(選手一覧!$E$5:$E$2736,$F1359)="","",INDEX(選手一覧!$E$5:$E$2736,$F1359))</f>
        <v/>
      </c>
      <c r="I1359" s="11" t="str">
        <f aca="false">IF(INDEX(選手一覧!$H$5:$H$2736,$F1359)="","",INDEX(選手一覧!$H$5:$H$2736,$F1359))</f>
        <v/>
      </c>
      <c r="J1359" s="12" t="str">
        <f aca="false">IF(INDEX(選手一覧!$I$5:$I$2736,$F1359)="","",INDEX(選手一覧!$I$5:$I$2736,$F1359))</f>
        <v/>
      </c>
    </row>
    <row r="1360" customFormat="false" ht="15" hidden="false" customHeight="false" outlineLevel="0" collapsed="false">
      <c r="A1360" s="12" t="n">
        <v>1357</v>
      </c>
      <c r="B1360" s="8" t="s">
        <v>4126</v>
      </c>
      <c r="C1360" s="8" t="s">
        <v>1674</v>
      </c>
      <c r="D1360" s="11" t="n">
        <v>0.00903425925925926</v>
      </c>
      <c r="E1360" s="39" t="n">
        <f aca="false">ROUND((D1360-$D$5)*86400,2)</f>
        <v>241.54</v>
      </c>
      <c r="F1360" s="12" t="n">
        <v>2711</v>
      </c>
      <c r="G1360" s="11" t="str">
        <f aca="false">IF(INDEX(選手一覧!$D$5:$D$2736,$F1360)="","",INDEX(選手一覧!$D$5:$D$2736,$F1360))</f>
        <v/>
      </c>
      <c r="H1360" s="12" t="str">
        <f aca="false">IF(INDEX(選手一覧!$E$5:$E$2736,$F1360)="","",INDEX(選手一覧!$E$5:$E$2736,$F1360))</f>
        <v/>
      </c>
      <c r="I1360" s="11" t="str">
        <f aca="false">IF(INDEX(選手一覧!$H$5:$H$2736,$F1360)="","",INDEX(選手一覧!$H$5:$H$2736,$F1360))</f>
        <v/>
      </c>
      <c r="J1360" s="12" t="str">
        <f aca="false">IF(INDEX(選手一覧!$I$5:$I$2736,$F1360)="","",INDEX(選手一覧!$I$5:$I$2736,$F1360))</f>
        <v/>
      </c>
    </row>
    <row r="1361" customFormat="false" ht="15" hidden="false" customHeight="false" outlineLevel="0" collapsed="false">
      <c r="A1361" s="12" t="n">
        <v>1358</v>
      </c>
      <c r="B1361" s="8" t="s">
        <v>4128</v>
      </c>
      <c r="C1361" s="8" t="s">
        <v>4129</v>
      </c>
      <c r="D1361" s="11" t="n">
        <v>0.00903993055555556</v>
      </c>
      <c r="E1361" s="39" t="n">
        <f aca="false">ROUND((D1361-$D$5)*86400,2)</f>
        <v>242.03</v>
      </c>
      <c r="F1361" s="12" t="n">
        <v>2713</v>
      </c>
      <c r="G1361" s="11" t="str">
        <f aca="false">IF(INDEX(選手一覧!$D$5:$D$2736,$F1361)="","",INDEX(選手一覧!$D$5:$D$2736,$F1361))</f>
        <v/>
      </c>
      <c r="H1361" s="12" t="str">
        <f aca="false">IF(INDEX(選手一覧!$E$5:$E$2736,$F1361)="","",INDEX(選手一覧!$E$5:$E$2736,$F1361))</f>
        <v/>
      </c>
      <c r="I1361" s="11" t="str">
        <f aca="false">IF(INDEX(選手一覧!$H$5:$H$2736,$F1361)="","",INDEX(選手一覧!$H$5:$H$2736,$F1361))</f>
        <v/>
      </c>
      <c r="J1361" s="12" t="str">
        <f aca="false">IF(INDEX(選手一覧!$I$5:$I$2736,$F1361)="","",INDEX(選手一覧!$I$5:$I$2736,$F1361))</f>
        <v/>
      </c>
    </row>
    <row r="1362" customFormat="false" ht="15" hidden="false" customHeight="false" outlineLevel="0" collapsed="false">
      <c r="A1362" s="12" t="n">
        <v>1359</v>
      </c>
      <c r="B1362" s="8" t="s">
        <v>4130</v>
      </c>
      <c r="C1362" s="8" t="s">
        <v>4131</v>
      </c>
      <c r="D1362" s="11" t="n">
        <v>0.00908773148148148</v>
      </c>
      <c r="E1362" s="39" t="n">
        <f aca="false">ROUND((D1362-$D$5)*86400,2)</f>
        <v>246.16</v>
      </c>
      <c r="F1362" s="12" t="n">
        <v>2714</v>
      </c>
      <c r="G1362" s="11" t="str">
        <f aca="false">IF(INDEX(選手一覧!$D$5:$D$2736,$F1362)="","",INDEX(選手一覧!$D$5:$D$2736,$F1362))</f>
        <v/>
      </c>
      <c r="H1362" s="12" t="str">
        <f aca="false">IF(INDEX(選手一覧!$E$5:$E$2736,$F1362)="","",INDEX(選手一覧!$E$5:$E$2736,$F1362))</f>
        <v/>
      </c>
      <c r="I1362" s="11" t="str">
        <f aca="false">IF(INDEX(選手一覧!$H$5:$H$2736,$F1362)="","",INDEX(選手一覧!$H$5:$H$2736,$F1362))</f>
        <v/>
      </c>
      <c r="J1362" s="12" t="str">
        <f aca="false">IF(INDEX(選手一覧!$I$5:$I$2736,$F1362)="","",INDEX(選手一覧!$I$5:$I$2736,$F1362))</f>
        <v/>
      </c>
    </row>
    <row r="1363" customFormat="false" ht="15" hidden="false" customHeight="false" outlineLevel="0" collapsed="false">
      <c r="A1363" s="12" t="n">
        <v>1360</v>
      </c>
      <c r="B1363" s="8" t="s">
        <v>4132</v>
      </c>
      <c r="C1363" s="8" t="s">
        <v>2329</v>
      </c>
      <c r="D1363" s="11" t="n">
        <v>0.00909224537037037</v>
      </c>
      <c r="E1363" s="39" t="n">
        <f aca="false">ROUND((D1363-$D$5)*86400,2)</f>
        <v>246.55</v>
      </c>
      <c r="F1363" s="12" t="n">
        <v>2715</v>
      </c>
      <c r="G1363" s="11" t="str">
        <f aca="false">IF(INDEX(選手一覧!$D$5:$D$2736,$F1363)="","",INDEX(選手一覧!$D$5:$D$2736,$F1363))</f>
        <v/>
      </c>
      <c r="H1363" s="12" t="str">
        <f aca="false">IF(INDEX(選手一覧!$E$5:$E$2736,$F1363)="","",INDEX(選手一覧!$E$5:$E$2736,$F1363))</f>
        <v/>
      </c>
      <c r="I1363" s="11" t="str">
        <f aca="false">IF(INDEX(選手一覧!$H$5:$H$2736,$F1363)="","",INDEX(選手一覧!$H$5:$H$2736,$F1363))</f>
        <v/>
      </c>
      <c r="J1363" s="12" t="str">
        <f aca="false">IF(INDEX(選手一覧!$I$5:$I$2736,$F1363)="","",INDEX(選手一覧!$I$5:$I$2736,$F1363))</f>
        <v/>
      </c>
    </row>
    <row r="1364" customFormat="false" ht="15" hidden="false" customHeight="false" outlineLevel="0" collapsed="false">
      <c r="A1364" s="12" t="n">
        <v>1361</v>
      </c>
      <c r="B1364" s="8" t="s">
        <v>4133</v>
      </c>
      <c r="C1364" s="8" t="s">
        <v>4079</v>
      </c>
      <c r="D1364" s="11" t="n">
        <v>0.00909351851851852</v>
      </c>
      <c r="E1364" s="39" t="n">
        <f aca="false">ROUND((D1364-$D$5)*86400,2)</f>
        <v>246.66</v>
      </c>
      <c r="F1364" s="12" t="n">
        <v>2716</v>
      </c>
      <c r="G1364" s="11" t="str">
        <f aca="false">IF(INDEX(選手一覧!$D$5:$D$2736,$F1364)="","",INDEX(選手一覧!$D$5:$D$2736,$F1364))</f>
        <v/>
      </c>
      <c r="H1364" s="12" t="str">
        <f aca="false">IF(INDEX(選手一覧!$E$5:$E$2736,$F1364)="","",INDEX(選手一覧!$E$5:$E$2736,$F1364))</f>
        <v/>
      </c>
      <c r="I1364" s="11" t="str">
        <f aca="false">IF(INDEX(選手一覧!$H$5:$H$2736,$F1364)="","",INDEX(選手一覧!$H$5:$H$2736,$F1364))</f>
        <v/>
      </c>
      <c r="J1364" s="12" t="str">
        <f aca="false">IF(INDEX(選手一覧!$I$5:$I$2736,$F1364)="","",INDEX(選手一覧!$I$5:$I$2736,$F1364))</f>
        <v/>
      </c>
    </row>
    <row r="1365" customFormat="false" ht="15" hidden="false" customHeight="false" outlineLevel="0" collapsed="false">
      <c r="A1365" s="12" t="n">
        <v>1362</v>
      </c>
      <c r="B1365" s="8" t="s">
        <v>4134</v>
      </c>
      <c r="C1365" s="8" t="s">
        <v>4135</v>
      </c>
      <c r="D1365" s="11" t="n">
        <v>0.00909513888888889</v>
      </c>
      <c r="E1365" s="39" t="n">
        <f aca="false">ROUND((D1365-$D$5)*86400,2)</f>
        <v>246.8</v>
      </c>
      <c r="F1365" s="12" t="n">
        <v>2717</v>
      </c>
      <c r="G1365" s="11" t="str">
        <f aca="false">IF(INDEX(選手一覧!$D$5:$D$2736,$F1365)="","",INDEX(選手一覧!$D$5:$D$2736,$F1365))</f>
        <v/>
      </c>
      <c r="H1365" s="12" t="str">
        <f aca="false">IF(INDEX(選手一覧!$E$5:$E$2736,$F1365)="","",INDEX(選手一覧!$E$5:$E$2736,$F1365))</f>
        <v/>
      </c>
      <c r="I1365" s="11" t="str">
        <f aca="false">IF(INDEX(選手一覧!$H$5:$H$2736,$F1365)="","",INDEX(選手一覧!$H$5:$H$2736,$F1365))</f>
        <v/>
      </c>
      <c r="J1365" s="12" t="str">
        <f aca="false">IF(INDEX(選手一覧!$I$5:$I$2736,$F1365)="","",INDEX(選手一覧!$I$5:$I$2736,$F1365))</f>
        <v/>
      </c>
    </row>
    <row r="1366" customFormat="false" ht="15" hidden="false" customHeight="false" outlineLevel="0" collapsed="false">
      <c r="A1366" s="12" t="n">
        <v>1363</v>
      </c>
      <c r="B1366" s="8" t="s">
        <v>4136</v>
      </c>
      <c r="C1366" s="8" t="s">
        <v>742</v>
      </c>
      <c r="D1366" s="11" t="n">
        <v>0.00914594907407407</v>
      </c>
      <c r="E1366" s="39" t="n">
        <f aca="false">ROUND((D1366-$D$5)*86400,2)</f>
        <v>251.19</v>
      </c>
      <c r="F1366" s="12" t="n">
        <v>2718</v>
      </c>
      <c r="G1366" s="11" t="str">
        <f aca="false">IF(INDEX(選手一覧!$D$5:$D$2736,$F1366)="","",INDEX(選手一覧!$D$5:$D$2736,$F1366))</f>
        <v/>
      </c>
      <c r="H1366" s="12" t="str">
        <f aca="false">IF(INDEX(選手一覧!$E$5:$E$2736,$F1366)="","",INDEX(選手一覧!$E$5:$E$2736,$F1366))</f>
        <v/>
      </c>
      <c r="I1366" s="11" t="str">
        <f aca="false">IF(INDEX(選手一覧!$H$5:$H$2736,$F1366)="","",INDEX(選手一覧!$H$5:$H$2736,$F1366))</f>
        <v/>
      </c>
      <c r="J1366" s="12" t="str">
        <f aca="false">IF(INDEX(選手一覧!$I$5:$I$2736,$F1366)="","",INDEX(選手一覧!$I$5:$I$2736,$F1366))</f>
        <v/>
      </c>
    </row>
    <row r="1367" customFormat="false" ht="15" hidden="false" customHeight="false" outlineLevel="0" collapsed="false">
      <c r="A1367" s="12" t="n">
        <v>1364</v>
      </c>
      <c r="B1367" s="8" t="s">
        <v>4137</v>
      </c>
      <c r="C1367" s="8" t="s">
        <v>1484</v>
      </c>
      <c r="D1367" s="11" t="n">
        <v>0.00915092592592593</v>
      </c>
      <c r="E1367" s="39" t="n">
        <f aca="false">ROUND((D1367-$D$5)*86400,2)</f>
        <v>251.62</v>
      </c>
      <c r="F1367" s="12" t="n">
        <v>2719</v>
      </c>
      <c r="G1367" s="11" t="str">
        <f aca="false">IF(INDEX(選手一覧!$D$5:$D$2736,$F1367)="","",INDEX(選手一覧!$D$5:$D$2736,$F1367))</f>
        <v/>
      </c>
      <c r="H1367" s="12" t="str">
        <f aca="false">IF(INDEX(選手一覧!$E$5:$E$2736,$F1367)="","",INDEX(選手一覧!$E$5:$E$2736,$F1367))</f>
        <v/>
      </c>
      <c r="I1367" s="11" t="str">
        <f aca="false">IF(INDEX(選手一覧!$H$5:$H$2736,$F1367)="","",INDEX(選手一覧!$H$5:$H$2736,$F1367))</f>
        <v/>
      </c>
      <c r="J1367" s="12" t="str">
        <f aca="false">IF(INDEX(選手一覧!$I$5:$I$2736,$F1367)="","",INDEX(選手一覧!$I$5:$I$2736,$F1367))</f>
        <v/>
      </c>
    </row>
    <row r="1368" customFormat="false" ht="15" hidden="false" customHeight="false" outlineLevel="0" collapsed="false">
      <c r="A1368" s="12" t="n">
        <v>1365</v>
      </c>
      <c r="B1368" s="8" t="s">
        <v>4138</v>
      </c>
      <c r="C1368" s="8" t="s">
        <v>4040</v>
      </c>
      <c r="D1368" s="11" t="n">
        <v>0.00917615740740741</v>
      </c>
      <c r="E1368" s="39" t="n">
        <f aca="false">ROUND((D1368-$D$5)*86400,2)</f>
        <v>253.8</v>
      </c>
      <c r="F1368" s="12" t="n">
        <v>2720</v>
      </c>
      <c r="G1368" s="11" t="str">
        <f aca="false">IF(INDEX(選手一覧!$D$5:$D$2736,$F1368)="","",INDEX(選手一覧!$D$5:$D$2736,$F1368))</f>
        <v/>
      </c>
      <c r="H1368" s="12" t="str">
        <f aca="false">IF(INDEX(選手一覧!$E$5:$E$2736,$F1368)="","",INDEX(選手一覧!$E$5:$E$2736,$F1368))</f>
        <v/>
      </c>
      <c r="I1368" s="11" t="str">
        <f aca="false">IF(INDEX(選手一覧!$H$5:$H$2736,$F1368)="","",INDEX(選手一覧!$H$5:$H$2736,$F1368))</f>
        <v/>
      </c>
      <c r="J1368" s="12" t="str">
        <f aca="false">IF(INDEX(選手一覧!$I$5:$I$2736,$F1368)="","",INDEX(選手一覧!$I$5:$I$2736,$F1368))</f>
        <v/>
      </c>
    </row>
    <row r="1369" customFormat="false" ht="15" hidden="false" customHeight="false" outlineLevel="0" collapsed="false">
      <c r="A1369" s="12" t="n">
        <v>1366</v>
      </c>
      <c r="B1369" s="8" t="s">
        <v>4139</v>
      </c>
      <c r="C1369" s="8" t="s">
        <v>4131</v>
      </c>
      <c r="D1369" s="11" t="n">
        <v>0.00924594907407408</v>
      </c>
      <c r="E1369" s="39" t="n">
        <f aca="false">ROUND((D1369-$D$5)*86400,2)</f>
        <v>259.83</v>
      </c>
      <c r="F1369" s="12" t="n">
        <v>2721</v>
      </c>
      <c r="G1369" s="11" t="str">
        <f aca="false">IF(INDEX(選手一覧!$D$5:$D$2736,$F1369)="","",INDEX(選手一覧!$D$5:$D$2736,$F1369))</f>
        <v/>
      </c>
      <c r="H1369" s="12" t="str">
        <f aca="false">IF(INDEX(選手一覧!$E$5:$E$2736,$F1369)="","",INDEX(選手一覧!$E$5:$E$2736,$F1369))</f>
        <v/>
      </c>
      <c r="I1369" s="11" t="str">
        <f aca="false">IF(INDEX(選手一覧!$H$5:$H$2736,$F1369)="","",INDEX(選手一覧!$H$5:$H$2736,$F1369))</f>
        <v/>
      </c>
      <c r="J1369" s="12" t="str">
        <f aca="false">IF(INDEX(選手一覧!$I$5:$I$2736,$F1369)="","",INDEX(選手一覧!$I$5:$I$2736,$F1369))</f>
        <v/>
      </c>
    </row>
    <row r="1370" customFormat="false" ht="15" hidden="false" customHeight="false" outlineLevel="0" collapsed="false">
      <c r="A1370" s="12" t="n">
        <v>1367</v>
      </c>
      <c r="B1370" s="8" t="s">
        <v>4140</v>
      </c>
      <c r="C1370" s="8" t="s">
        <v>4141</v>
      </c>
      <c r="D1370" s="11" t="n">
        <v>0.00924618055555556</v>
      </c>
      <c r="E1370" s="39" t="n">
        <f aca="false">ROUND((D1370-$D$5)*86400,2)</f>
        <v>259.85</v>
      </c>
      <c r="F1370" s="12" t="n">
        <v>2722</v>
      </c>
      <c r="G1370" s="11" t="str">
        <f aca="false">IF(INDEX(選手一覧!$D$5:$D$2736,$F1370)="","",INDEX(選手一覧!$D$5:$D$2736,$F1370))</f>
        <v/>
      </c>
      <c r="H1370" s="12" t="str">
        <f aca="false">IF(INDEX(選手一覧!$E$5:$E$2736,$F1370)="","",INDEX(選手一覧!$E$5:$E$2736,$F1370))</f>
        <v/>
      </c>
      <c r="I1370" s="11" t="str">
        <f aca="false">IF(INDEX(選手一覧!$H$5:$H$2736,$F1370)="","",INDEX(選手一覧!$H$5:$H$2736,$F1370))</f>
        <v/>
      </c>
      <c r="J1370" s="12" t="str">
        <f aca="false">IF(INDEX(選手一覧!$I$5:$I$2736,$F1370)="","",INDEX(選手一覧!$I$5:$I$2736,$F1370))</f>
        <v/>
      </c>
    </row>
    <row r="1371" customFormat="false" ht="15" hidden="false" customHeight="false" outlineLevel="0" collapsed="false">
      <c r="A1371" s="12" t="n">
        <v>1368</v>
      </c>
      <c r="B1371" s="8" t="s">
        <v>4142</v>
      </c>
      <c r="C1371" s="8" t="s">
        <v>3752</v>
      </c>
      <c r="D1371" s="11" t="n">
        <v>0.00928900462962963</v>
      </c>
      <c r="E1371" s="39" t="n">
        <f aca="false">ROUND((D1371-$D$5)*86400,2)</f>
        <v>263.55</v>
      </c>
      <c r="F1371" s="12" t="n">
        <v>2723</v>
      </c>
      <c r="G1371" s="11" t="str">
        <f aca="false">IF(INDEX(選手一覧!$D$5:$D$2736,$F1371)="","",INDEX(選手一覧!$D$5:$D$2736,$F1371))</f>
        <v/>
      </c>
      <c r="H1371" s="12" t="str">
        <f aca="false">IF(INDEX(選手一覧!$E$5:$E$2736,$F1371)="","",INDEX(選手一覧!$E$5:$E$2736,$F1371))</f>
        <v/>
      </c>
      <c r="I1371" s="11" t="str">
        <f aca="false">IF(INDEX(選手一覧!$H$5:$H$2736,$F1371)="","",INDEX(選手一覧!$H$5:$H$2736,$F1371))</f>
        <v/>
      </c>
      <c r="J1371" s="12" t="str">
        <f aca="false">IF(INDEX(選手一覧!$I$5:$I$2736,$F1371)="","",INDEX(選手一覧!$I$5:$I$2736,$F1371))</f>
        <v/>
      </c>
    </row>
    <row r="1372" customFormat="false" ht="15" hidden="false" customHeight="false" outlineLevel="0" collapsed="false">
      <c r="A1372" s="12" t="n">
        <v>1369</v>
      </c>
      <c r="B1372" s="8" t="s">
        <v>4143</v>
      </c>
      <c r="C1372" s="8" t="s">
        <v>4144</v>
      </c>
      <c r="D1372" s="11" t="n">
        <v>0.00930740740740741</v>
      </c>
      <c r="E1372" s="39" t="n">
        <f aca="false">ROUND((D1372-$D$5)*86400,2)</f>
        <v>265.14</v>
      </c>
      <c r="F1372" s="12" t="n">
        <v>2724</v>
      </c>
      <c r="G1372" s="11" t="str">
        <f aca="false">IF(INDEX(選手一覧!$D$5:$D$2736,$F1372)="","",INDEX(選手一覧!$D$5:$D$2736,$F1372))</f>
        <v/>
      </c>
      <c r="H1372" s="12" t="str">
        <f aca="false">IF(INDEX(選手一覧!$E$5:$E$2736,$F1372)="","",INDEX(選手一覧!$E$5:$E$2736,$F1372))</f>
        <v/>
      </c>
      <c r="I1372" s="11" t="str">
        <f aca="false">IF(INDEX(選手一覧!$H$5:$H$2736,$F1372)="","",INDEX(選手一覧!$H$5:$H$2736,$F1372))</f>
        <v/>
      </c>
      <c r="J1372" s="12" t="str">
        <f aca="false">IF(INDEX(選手一覧!$I$5:$I$2736,$F1372)="","",INDEX(選手一覧!$I$5:$I$2736,$F1372))</f>
        <v/>
      </c>
    </row>
    <row r="1373" customFormat="false" ht="15" hidden="false" customHeight="false" outlineLevel="0" collapsed="false">
      <c r="A1373" s="12" t="n">
        <v>1370</v>
      </c>
      <c r="B1373" s="8" t="s">
        <v>4145</v>
      </c>
      <c r="C1373" s="8" t="s">
        <v>2974</v>
      </c>
      <c r="D1373" s="11" t="n">
        <v>0.00931400462962963</v>
      </c>
      <c r="E1373" s="39" t="n">
        <f aca="false">ROUND((D1373-$D$5)*86400,2)</f>
        <v>265.71</v>
      </c>
      <c r="F1373" s="12" t="n">
        <v>2725</v>
      </c>
      <c r="G1373" s="11" t="str">
        <f aca="false">IF(INDEX(選手一覧!$D$5:$D$2736,$F1373)="","",INDEX(選手一覧!$D$5:$D$2736,$F1373))</f>
        <v/>
      </c>
      <c r="H1373" s="12" t="str">
        <f aca="false">IF(INDEX(選手一覧!$E$5:$E$2736,$F1373)="","",INDEX(選手一覧!$E$5:$E$2736,$F1373))</f>
        <v/>
      </c>
      <c r="I1373" s="11" t="str">
        <f aca="false">IF(INDEX(選手一覧!$H$5:$H$2736,$F1373)="","",INDEX(選手一覧!$H$5:$H$2736,$F1373))</f>
        <v/>
      </c>
      <c r="J1373" s="12" t="str">
        <f aca="false">IF(INDEX(選手一覧!$I$5:$I$2736,$F1373)="","",INDEX(選手一覧!$I$5:$I$2736,$F1373))</f>
        <v/>
      </c>
    </row>
    <row r="1374" customFormat="false" ht="15" hidden="false" customHeight="false" outlineLevel="0" collapsed="false">
      <c r="A1374" s="12" t="n">
        <v>1371</v>
      </c>
      <c r="B1374" s="8" t="s">
        <v>4146</v>
      </c>
      <c r="C1374" s="8" t="s">
        <v>4147</v>
      </c>
      <c r="D1374" s="11" t="n">
        <v>0.009334375</v>
      </c>
      <c r="E1374" s="39" t="n">
        <f aca="false">ROUND((D1374-$D$5)*86400,2)</f>
        <v>267.47</v>
      </c>
      <c r="F1374" s="12" t="n">
        <v>2726</v>
      </c>
      <c r="G1374" s="11" t="str">
        <f aca="false">IF(INDEX(選手一覧!$D$5:$D$2736,$F1374)="","",INDEX(選手一覧!$D$5:$D$2736,$F1374))</f>
        <v/>
      </c>
      <c r="H1374" s="12" t="str">
        <f aca="false">IF(INDEX(選手一覧!$E$5:$E$2736,$F1374)="","",INDEX(選手一覧!$E$5:$E$2736,$F1374))</f>
        <v/>
      </c>
      <c r="I1374" s="11" t="str">
        <f aca="false">IF(INDEX(選手一覧!$H$5:$H$2736,$F1374)="","",INDEX(選手一覧!$H$5:$H$2736,$F1374))</f>
        <v/>
      </c>
      <c r="J1374" s="12" t="str">
        <f aca="false">IF(INDEX(選手一覧!$I$5:$I$2736,$F1374)="","",INDEX(選手一覧!$I$5:$I$2736,$F1374))</f>
        <v/>
      </c>
    </row>
    <row r="1375" customFormat="false" ht="15" hidden="false" customHeight="false" outlineLevel="0" collapsed="false">
      <c r="A1375" s="12" t="n">
        <v>1372</v>
      </c>
      <c r="B1375" s="8" t="s">
        <v>4148</v>
      </c>
      <c r="C1375" s="8" t="s">
        <v>4149</v>
      </c>
      <c r="D1375" s="11" t="n">
        <v>0.00941574074074074</v>
      </c>
      <c r="E1375" s="39" t="n">
        <f aca="false">ROUND((D1375-$D$5)*86400,2)</f>
        <v>274.5</v>
      </c>
      <c r="F1375" s="12" t="n">
        <v>2727</v>
      </c>
      <c r="G1375" s="11" t="str">
        <f aca="false">IF(INDEX(選手一覧!$D$5:$D$2736,$F1375)="","",INDEX(選手一覧!$D$5:$D$2736,$F1375))</f>
        <v/>
      </c>
      <c r="H1375" s="12" t="str">
        <f aca="false">IF(INDEX(選手一覧!$E$5:$E$2736,$F1375)="","",INDEX(選手一覧!$E$5:$E$2736,$F1375))</f>
        <v/>
      </c>
      <c r="I1375" s="11" t="str">
        <f aca="false">IF(INDEX(選手一覧!$H$5:$H$2736,$F1375)="","",INDEX(選手一覧!$H$5:$H$2736,$F1375))</f>
        <v/>
      </c>
      <c r="J1375" s="12" t="str">
        <f aca="false">IF(INDEX(選手一覧!$I$5:$I$2736,$F1375)="","",INDEX(選手一覧!$I$5:$I$2736,$F1375))</f>
        <v/>
      </c>
    </row>
    <row r="1376" customFormat="false" ht="15" hidden="false" customHeight="false" outlineLevel="0" collapsed="false">
      <c r="A1376" s="12" t="n">
        <v>1373</v>
      </c>
      <c r="B1376" s="8" t="s">
        <v>4150</v>
      </c>
      <c r="C1376" s="8" t="s">
        <v>4151</v>
      </c>
      <c r="D1376" s="11" t="n">
        <v>0.00948449074074074</v>
      </c>
      <c r="E1376" s="39" t="n">
        <f aca="false">ROUND((D1376-$D$5)*86400,2)</f>
        <v>280.44</v>
      </c>
      <c r="F1376" s="12" t="n">
        <v>2728</v>
      </c>
      <c r="G1376" s="11" t="str">
        <f aca="false">IF(INDEX(選手一覧!$D$5:$D$2736,$F1376)="","",INDEX(選手一覧!$D$5:$D$2736,$F1376))</f>
        <v/>
      </c>
      <c r="H1376" s="12" t="str">
        <f aca="false">IF(INDEX(選手一覧!$E$5:$E$2736,$F1376)="","",INDEX(選手一覧!$E$5:$E$2736,$F1376))</f>
        <v/>
      </c>
      <c r="I1376" s="11" t="str">
        <f aca="false">IF(INDEX(選手一覧!$H$5:$H$2736,$F1376)="","",INDEX(選手一覧!$H$5:$H$2736,$F1376))</f>
        <v/>
      </c>
      <c r="J1376" s="12" t="str">
        <f aca="false">IF(INDEX(選手一覧!$I$5:$I$2736,$F1376)="","",INDEX(選手一覧!$I$5:$I$2736,$F1376))</f>
        <v/>
      </c>
    </row>
    <row r="1377" customFormat="false" ht="15" hidden="false" customHeight="false" outlineLevel="0" collapsed="false">
      <c r="A1377" s="12" t="n">
        <v>1374</v>
      </c>
      <c r="B1377" s="8" t="s">
        <v>4152</v>
      </c>
      <c r="C1377" s="8" t="s">
        <v>3757</v>
      </c>
      <c r="D1377" s="11" t="n">
        <v>0.0099724537037037</v>
      </c>
      <c r="E1377" s="39" t="n">
        <f aca="false">ROUND((D1377-$D$5)*86400,2)</f>
        <v>322.6</v>
      </c>
      <c r="F1377" s="12" t="n">
        <v>2729</v>
      </c>
      <c r="G1377" s="11" t="str">
        <f aca="false">IF(INDEX(選手一覧!$D$5:$D$2736,$F1377)="","",INDEX(選手一覧!$D$5:$D$2736,$F1377))</f>
        <v/>
      </c>
      <c r="H1377" s="12" t="str">
        <f aca="false">IF(INDEX(選手一覧!$E$5:$E$2736,$F1377)="","",INDEX(選手一覧!$E$5:$E$2736,$F1377))</f>
        <v/>
      </c>
      <c r="I1377" s="11" t="str">
        <f aca="false">IF(INDEX(選手一覧!$H$5:$H$2736,$F1377)="","",INDEX(選手一覧!$H$5:$H$2736,$F1377))</f>
        <v/>
      </c>
      <c r="J1377" s="12" t="str">
        <f aca="false">IF(INDEX(選手一覧!$I$5:$I$2736,$F1377)="","",INDEX(選手一覧!$I$5:$I$2736,$F1377))</f>
        <v/>
      </c>
    </row>
    <row r="1378" customFormat="false" ht="15" hidden="false" customHeight="false" outlineLevel="0" collapsed="false">
      <c r="A1378" s="12" t="n">
        <v>1375</v>
      </c>
      <c r="B1378" s="8" t="s">
        <v>4153</v>
      </c>
      <c r="C1378" s="8" t="s">
        <v>4154</v>
      </c>
      <c r="D1378" s="11" t="n">
        <v>0.0103003472222222</v>
      </c>
      <c r="E1378" s="39" t="n">
        <f aca="false">ROUND((D1378-$D$5)*86400,2)</f>
        <v>350.93</v>
      </c>
      <c r="F1378" s="12" t="n">
        <v>2730</v>
      </c>
      <c r="G1378" s="11" t="str">
        <f aca="false">IF(INDEX(選手一覧!$D$5:$D$2736,$F1378)="","",INDEX(選手一覧!$D$5:$D$2736,$F1378))</f>
        <v/>
      </c>
      <c r="H1378" s="12" t="str">
        <f aca="false">IF(INDEX(選手一覧!$E$5:$E$2736,$F1378)="","",INDEX(選手一覧!$E$5:$E$2736,$F1378))</f>
        <v/>
      </c>
      <c r="I1378" s="11" t="str">
        <f aca="false">IF(INDEX(選手一覧!$H$5:$H$2736,$F1378)="","",INDEX(選手一覧!$H$5:$H$2736,$F1378))</f>
        <v/>
      </c>
      <c r="J1378" s="12" t="str">
        <f aca="false">IF(INDEX(選手一覧!$I$5:$I$2736,$F1378)="","",INDEX(選手一覧!$I$5:$I$2736,$F1378))</f>
        <v/>
      </c>
    </row>
    <row r="1379" customFormat="false" ht="15" hidden="false" customHeight="false" outlineLevel="0" collapsed="false">
      <c r="A1379" s="12" t="n">
        <v>1376</v>
      </c>
      <c r="B1379" s="8" t="s">
        <v>4155</v>
      </c>
      <c r="C1379" s="8" t="s">
        <v>4156</v>
      </c>
      <c r="D1379" s="11" t="n">
        <v>0.0104084490740741</v>
      </c>
      <c r="E1379" s="39" t="n">
        <f aca="false">ROUND((D1379-$D$5)*86400,2)</f>
        <v>360.27</v>
      </c>
      <c r="F1379" s="12" t="n">
        <v>2731</v>
      </c>
      <c r="G1379" s="11" t="str">
        <f aca="false">IF(INDEX(選手一覧!$D$5:$D$2736,$F1379)="","",INDEX(選手一覧!$D$5:$D$2736,$F1379))</f>
        <v/>
      </c>
      <c r="H1379" s="12" t="str">
        <f aca="false">IF(INDEX(選手一覧!$E$5:$E$2736,$F1379)="","",INDEX(選手一覧!$E$5:$E$2736,$F1379))</f>
        <v/>
      </c>
      <c r="I1379" s="11" t="str">
        <f aca="false">IF(INDEX(選手一覧!$H$5:$H$2736,$F1379)="","",INDEX(選手一覧!$H$5:$H$2736,$F1379))</f>
        <v/>
      </c>
      <c r="J1379" s="12" t="str">
        <f aca="false">IF(INDEX(選手一覧!$I$5:$I$2736,$F1379)="","",INDEX(選手一覧!$I$5:$I$2736,$F1379))</f>
        <v/>
      </c>
    </row>
    <row r="1380" customFormat="false" ht="15" hidden="false" customHeight="false" outlineLevel="0" collapsed="false">
      <c r="A1380" s="12" t="n">
        <v>1377</v>
      </c>
      <c r="B1380" s="8" t="s">
        <v>4157</v>
      </c>
      <c r="C1380" s="8" t="s">
        <v>2891</v>
      </c>
      <c r="D1380" s="11" t="n">
        <v>0.0107068287037037</v>
      </c>
      <c r="E1380" s="39" t="n">
        <f aca="false">ROUND((D1380-$D$5)*86400,2)</f>
        <v>386.05</v>
      </c>
      <c r="F1380" s="12" t="n">
        <v>2732</v>
      </c>
      <c r="G1380" s="11" t="str">
        <f aca="false">IF(INDEX(選手一覧!$D$5:$D$2736,$F1380)="","",INDEX(選手一覧!$D$5:$D$2736,$F1380))</f>
        <v/>
      </c>
      <c r="H1380" s="12" t="str">
        <f aca="false">IF(INDEX(選手一覧!$E$5:$E$2736,$F1380)="","",INDEX(選手一覧!$E$5:$E$2736,$F1380))</f>
        <v/>
      </c>
      <c r="I1380" s="11" t="str">
        <f aca="false">IF(INDEX(選手一覧!$H$5:$H$2736,$F1380)="","",INDEX(選手一覧!$H$5:$H$2736,$F1380))</f>
        <v/>
      </c>
      <c r="J1380" s="12" t="str">
        <f aca="false">IF(INDEX(選手一覧!$I$5:$I$2736,$F1380)="","",INDEX(選手一覧!$I$5:$I$2736,$F1380))</f>
        <v/>
      </c>
    </row>
  </sheetData>
  <autoFilter ref="A4:J1380"/>
  <conditionalFormatting sqref="A5:A1380">
    <cfRule type="expression" priority="2" aboveAverage="0" equalAverage="0" bottom="0" percent="0" rank="0" text="" dxfId="9">
      <formula>AND(ISNUMBER(A5),A5&lt;=10)</formula>
    </cfRule>
    <cfRule type="expression" priority="3" aboveAverage="0" equalAverage="0" bottom="0" percent="0" rank="0" text="" dxfId="10">
      <formula>AND(ISNUMBER(A5),A5&lt;=50)</formula>
    </cfRule>
    <cfRule type="expression" priority="4" aboveAverage="0" equalAverage="0" bottom="0" percent="0" rank="0" text="" dxfId="11">
      <formula>AND(ISNUMBER(A5),A5&lt;=100)</formula>
    </cfRule>
  </conditionalFormatting>
  <conditionalFormatting sqref="H5:H1380">
    <cfRule type="expression" priority="5" aboveAverage="0" equalAverage="0" bottom="0" percent="0" rank="0" text="" dxfId="9">
      <formula>AND(ISNUMBER(H5),H5&lt;=10)</formula>
    </cfRule>
    <cfRule type="expression" priority="6" aboveAverage="0" equalAverage="0" bottom="0" percent="0" rank="0" text="" dxfId="10">
      <formula>AND(ISNUMBER(H5),H5&lt;=50)</formula>
    </cfRule>
    <cfRule type="expression" priority="7" aboveAverage="0" equalAverage="0" bottom="0" percent="0" rank="0" text="" dxfId="11">
      <formula>AND(ISNUMBER(H5),H5&lt;=100)</formula>
    </cfRule>
  </conditionalFormatting>
  <conditionalFormatting sqref="J5:J1380">
    <cfRule type="expression" priority="8" aboveAverage="0" equalAverage="0" bottom="0" percent="0" rank="0" text="" dxfId="9">
      <formula>AND(ISNUMBER(J5),J5&lt;=10)</formula>
    </cfRule>
    <cfRule type="expression" priority="9" aboveAverage="0" equalAverage="0" bottom="0" percent="0" rank="0" text="" dxfId="10">
      <formula>AND(ISNUMBER(J5),J5&lt;=50)</formula>
    </cfRule>
    <cfRule type="expression" priority="10" aboveAverage="0" equalAverage="0" bottom="0" percent="0" rank="0" text="" dxfId="11">
      <formula>AND(ISNUMBER(J5),J5&lt;=100)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6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6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8"/>
  </cols>
  <sheetData>
    <row r="1" customFormat="false" ht="19.4" hidden="false" customHeight="false" outlineLevel="0" collapsed="false">
      <c r="A1" s="1" t="s">
        <v>4685</v>
      </c>
    </row>
    <row r="2" customFormat="false" ht="15" hidden="false" customHeight="false" outlineLevel="0" collapsed="false">
      <c r="A2" s="2" t="s">
        <v>4686</v>
      </c>
    </row>
    <row r="4" customFormat="false" ht="33.75" hidden="false" customHeight="true" outlineLevel="0" collapsed="false">
      <c r="A4" s="4" t="s">
        <v>4677</v>
      </c>
      <c r="B4" s="4" t="s">
        <v>3</v>
      </c>
      <c r="C4" s="4" t="s">
        <v>4</v>
      </c>
      <c r="D4" s="4" t="s">
        <v>4678</v>
      </c>
      <c r="E4" s="4" t="s">
        <v>4679</v>
      </c>
      <c r="F4" s="3" t="s">
        <v>2</v>
      </c>
      <c r="G4" s="3" t="s">
        <v>4680</v>
      </c>
      <c r="H4" s="3" t="s">
        <v>4681</v>
      </c>
      <c r="I4" s="3" t="s">
        <v>7</v>
      </c>
      <c r="J4" s="3" t="s">
        <v>8</v>
      </c>
    </row>
    <row r="5" customFormat="false" ht="15" hidden="false" customHeight="false" outlineLevel="0" collapsed="false">
      <c r="A5" s="12" t="n">
        <v>1</v>
      </c>
      <c r="B5" s="8" t="s">
        <v>17</v>
      </c>
      <c r="C5" s="8" t="s">
        <v>18</v>
      </c>
      <c r="D5" s="11" t="n">
        <v>0.00260451388888889</v>
      </c>
      <c r="E5" s="39" t="n">
        <f aca="false">ROUND((D5-$D$5)*86400,2)</f>
        <v>0</v>
      </c>
      <c r="F5" s="12" t="n">
        <v>2</v>
      </c>
      <c r="G5" s="11" t="n">
        <f aca="false">IF(INDEX(選手一覧!$D$5:$D$2736,$F5)="","",INDEX(選手一覧!$D$5:$D$2736,$F5))</f>
        <v>0.00964340277777778</v>
      </c>
      <c r="H5" s="12" t="n">
        <f aca="false">IF(INDEX(選手一覧!$E$5:$E$2736,$F5)="","",INDEX(選手一覧!$E$5:$E$2736,$F5))</f>
        <v>2</v>
      </c>
      <c r="I5" s="11" t="n">
        <f aca="false">IF(INDEX(選手一覧!$F$5:$F$2736,$F5)="","",INDEX(選手一覧!$F$5:$F$2736,$F5))</f>
        <v>0.00642048611111111</v>
      </c>
      <c r="J5" s="12" t="n">
        <f aca="false">IF(INDEX(選手一覧!$G$5:$G$2736,$F5)="","",INDEX(選手一覧!$G$5:$G$2736,$F5))</f>
        <v>19</v>
      </c>
    </row>
    <row r="6" customFormat="false" ht="15" hidden="false" customHeight="false" outlineLevel="0" collapsed="false">
      <c r="A6" s="12" t="n">
        <v>2</v>
      </c>
      <c r="B6" s="8" t="s">
        <v>20</v>
      </c>
      <c r="C6" s="8" t="s">
        <v>18</v>
      </c>
      <c r="D6" s="11" t="n">
        <v>0.00262800925925926</v>
      </c>
      <c r="E6" s="39" t="n">
        <f aca="false">ROUND((D6-$D$5)*86400,2)</f>
        <v>2.03</v>
      </c>
      <c r="F6" s="12" t="n">
        <v>3</v>
      </c>
      <c r="G6" s="11" t="n">
        <f aca="false">IF(INDEX(選手一覧!$D$5:$D$2736,$F6)="","",INDEX(選手一覧!$D$5:$D$2736,$F6))</f>
        <v>0.00968773148148148</v>
      </c>
      <c r="H6" s="12" t="n">
        <f aca="false">IF(INDEX(選手一覧!$E$5:$E$2736,$F6)="","",INDEX(選手一覧!$E$5:$E$2736,$F6))</f>
        <v>3</v>
      </c>
      <c r="I6" s="11" t="str">
        <f aca="false">IF(INDEX(選手一覧!$F$5:$F$2736,$F6)="","",INDEX(選手一覧!$F$5:$F$2736,$F6))</f>
        <v/>
      </c>
      <c r="J6" s="12" t="str">
        <f aca="false">IF(INDEX(選手一覧!$G$5:$G$2736,$F6)="","",INDEX(選手一覧!$G$5:$G$2736,$F6))</f>
        <v/>
      </c>
    </row>
    <row r="7" customFormat="false" ht="15" hidden="false" customHeight="false" outlineLevel="0" collapsed="false">
      <c r="A7" s="12" t="n">
        <v>3</v>
      </c>
      <c r="B7" s="8" t="s">
        <v>15</v>
      </c>
      <c r="C7" s="8" t="s">
        <v>16</v>
      </c>
      <c r="D7" s="11" t="n">
        <v>0.00264097222222222</v>
      </c>
      <c r="E7" s="39" t="n">
        <f aca="false">ROUND((D7-$D$5)*86400,2)</f>
        <v>3.15</v>
      </c>
      <c r="F7" s="12" t="n">
        <v>1</v>
      </c>
      <c r="G7" s="11" t="n">
        <f aca="false">IF(INDEX(選手一覧!$D$5:$D$2736,$F7)="","",INDEX(選手一覧!$D$5:$D$2736,$F7))</f>
        <v>0.00914050925925926</v>
      </c>
      <c r="H7" s="12" t="n">
        <f aca="false">IF(INDEX(選手一覧!$E$5:$E$2736,$F7)="","",INDEX(選手一覧!$E$5:$E$2736,$F7))</f>
        <v>1</v>
      </c>
      <c r="I7" s="11" t="str">
        <f aca="false">IF(INDEX(選手一覧!$F$5:$F$2736,$F7)="","",INDEX(選手一覧!$F$5:$F$2736,$F7))</f>
        <v/>
      </c>
      <c r="J7" s="12" t="str">
        <f aca="false">IF(INDEX(選手一覧!$G$5:$G$2736,$F7)="","",INDEX(選手一覧!$G$5:$G$2736,$F7))</f>
        <v/>
      </c>
    </row>
    <row r="8" customFormat="false" ht="15" hidden="false" customHeight="false" outlineLevel="0" collapsed="false">
      <c r="A8" s="12" t="n">
        <v>4</v>
      </c>
      <c r="B8" s="8" t="s">
        <v>2033</v>
      </c>
      <c r="C8" s="8" t="s">
        <v>28</v>
      </c>
      <c r="D8" s="11" t="n">
        <v>0.00265011574074074</v>
      </c>
      <c r="E8" s="39" t="n">
        <f aca="false">ROUND((D8-$D$5)*86400,2)</f>
        <v>3.94</v>
      </c>
      <c r="F8" s="12" t="n">
        <v>1291</v>
      </c>
      <c r="G8" s="11" t="str">
        <f aca="false">IF(INDEX(選手一覧!$D$5:$D$2736,$F8)="","",INDEX(選手一覧!$D$5:$D$2736,$F8))</f>
        <v/>
      </c>
      <c r="H8" s="12" t="str">
        <f aca="false">IF(INDEX(選手一覧!$E$5:$E$2736,$F8)="","",INDEX(選手一覧!$E$5:$E$2736,$F8))</f>
        <v/>
      </c>
      <c r="I8" s="11" t="str">
        <f aca="false">IF(INDEX(選手一覧!$F$5:$F$2736,$F8)="","",INDEX(選手一覧!$F$5:$F$2736,$F8))</f>
        <v/>
      </c>
      <c r="J8" s="12" t="str">
        <f aca="false">IF(INDEX(選手一覧!$G$5:$G$2736,$F8)="","",INDEX(選手一覧!$G$5:$G$2736,$F8))</f>
        <v/>
      </c>
    </row>
    <row r="9" customFormat="false" ht="15" hidden="false" customHeight="false" outlineLevel="0" collapsed="false">
      <c r="A9" s="12" t="n">
        <v>5</v>
      </c>
      <c r="B9" s="8" t="s">
        <v>1296</v>
      </c>
      <c r="C9" s="8" t="s">
        <v>172</v>
      </c>
      <c r="D9" s="11" t="n">
        <v>0.00266215277777778</v>
      </c>
      <c r="E9" s="39" t="n">
        <f aca="false">ROUND((D9-$D$5)*86400,2)</f>
        <v>4.98</v>
      </c>
      <c r="F9" s="12" t="n">
        <v>783</v>
      </c>
      <c r="G9" s="11" t="n">
        <f aca="false">IF(INDEX(選手一覧!$D$5:$D$2736,$F9)="","",INDEX(選手一覧!$D$5:$D$2736,$F9))</f>
        <v>0.0108256944444445</v>
      </c>
      <c r="H9" s="12" t="n">
        <f aca="false">IF(INDEX(選手一覧!$E$5:$E$2736,$F9)="","",INDEX(選手一覧!$E$5:$E$2736,$F9))</f>
        <v>784</v>
      </c>
      <c r="I9" s="11" t="str">
        <f aca="false">IF(INDEX(選手一覧!$F$5:$F$2736,$F9)="","",INDEX(選手一覧!$F$5:$F$2736,$F9))</f>
        <v/>
      </c>
      <c r="J9" s="12" t="str">
        <f aca="false">IF(INDEX(選手一覧!$G$5:$G$2736,$F9)="","",INDEX(選手一覧!$G$5:$G$2736,$F9))</f>
        <v/>
      </c>
    </row>
    <row r="10" customFormat="false" ht="15" hidden="false" customHeight="false" outlineLevel="0" collapsed="false">
      <c r="A10" s="12" t="n">
        <v>6</v>
      </c>
      <c r="B10" s="8" t="s">
        <v>432</v>
      </c>
      <c r="C10" s="8" t="s">
        <v>433</v>
      </c>
      <c r="D10" s="11" t="n">
        <v>0.0026662037037037</v>
      </c>
      <c r="E10" s="39" t="n">
        <f aca="false">ROUND((D10-$D$5)*86400,2)</f>
        <v>5.33</v>
      </c>
      <c r="F10" s="12" t="n">
        <v>225</v>
      </c>
      <c r="G10" s="11" t="n">
        <f aca="false">IF(INDEX(選手一覧!$D$5:$D$2736,$F10)="","",INDEX(選手一覧!$D$5:$D$2736,$F10))</f>
        <v>0.0103711805555556</v>
      </c>
      <c r="H10" s="12" t="n">
        <f aca="false">IF(INDEX(選手一覧!$E$5:$E$2736,$F10)="","",INDEX(選手一覧!$E$5:$E$2736,$F10))</f>
        <v>226</v>
      </c>
      <c r="I10" s="11" t="str">
        <f aca="false">IF(INDEX(選手一覧!$F$5:$F$2736,$F10)="","",INDEX(選手一覧!$F$5:$F$2736,$F10))</f>
        <v/>
      </c>
      <c r="J10" s="12" t="str">
        <f aca="false">IF(INDEX(選手一覧!$G$5:$G$2736,$F10)="","",INDEX(選手一覧!$G$5:$G$2736,$F10))</f>
        <v/>
      </c>
    </row>
    <row r="11" customFormat="false" ht="15" hidden="false" customHeight="false" outlineLevel="0" collapsed="false">
      <c r="A11" s="12" t="n">
        <v>7</v>
      </c>
      <c r="B11" s="8" t="s">
        <v>72</v>
      </c>
      <c r="C11" s="8" t="s">
        <v>73</v>
      </c>
      <c r="D11" s="11" t="n">
        <v>0.00267071759259259</v>
      </c>
      <c r="E11" s="39" t="n">
        <f aca="false">ROUND((D11-$D$5)*86400,2)</f>
        <v>5.72</v>
      </c>
      <c r="F11" s="12" t="n">
        <v>25</v>
      </c>
      <c r="G11" s="11" t="n">
        <f aca="false">IF(INDEX(選手一覧!$D$5:$D$2736,$F11)="","",INDEX(選手一覧!$D$5:$D$2736,$F11))</f>
        <v>0.010022337962963</v>
      </c>
      <c r="H11" s="12" t="n">
        <f aca="false">IF(INDEX(選手一覧!$E$5:$E$2736,$F11)="","",INDEX(選手一覧!$E$5:$E$2736,$F11))</f>
        <v>26</v>
      </c>
      <c r="I11" s="11" t="str">
        <f aca="false">IF(INDEX(選手一覧!$F$5:$F$2736,$F11)="","",INDEX(選手一覧!$F$5:$F$2736,$F11))</f>
        <v/>
      </c>
      <c r="J11" s="12" t="str">
        <f aca="false">IF(INDEX(選手一覧!$G$5:$G$2736,$F11)="","",INDEX(選手一覧!$G$5:$G$2736,$F11))</f>
        <v/>
      </c>
    </row>
    <row r="12" customFormat="false" ht="15" hidden="false" customHeight="false" outlineLevel="0" collapsed="false">
      <c r="A12" s="12" t="n">
        <v>8</v>
      </c>
      <c r="B12" s="8" t="s">
        <v>40</v>
      </c>
      <c r="C12" s="8" t="s">
        <v>41</v>
      </c>
      <c r="D12" s="11" t="n">
        <v>0.00267592592592593</v>
      </c>
      <c r="E12" s="39" t="n">
        <f aca="false">ROUND((D12-$D$5)*86400,2)</f>
        <v>6.17</v>
      </c>
      <c r="F12" s="12" t="n">
        <v>12</v>
      </c>
      <c r="G12" s="11" t="n">
        <f aca="false">IF(INDEX(選手一覧!$D$5:$D$2736,$F12)="","",INDEX(選手一覧!$D$5:$D$2736,$F12))</f>
        <v>0.00987303240740741</v>
      </c>
      <c r="H12" s="12" t="n">
        <f aca="false">IF(INDEX(選手一覧!$E$5:$E$2736,$F12)="","",INDEX(選手一覧!$E$5:$E$2736,$F12))</f>
        <v>12</v>
      </c>
      <c r="I12" s="11" t="str">
        <f aca="false">IF(INDEX(選手一覧!$F$5:$F$2736,$F12)="","",INDEX(選手一覧!$F$5:$F$2736,$F12))</f>
        <v/>
      </c>
      <c r="J12" s="12" t="str">
        <f aca="false">IF(INDEX(選手一覧!$G$5:$G$2736,$F12)="","",INDEX(選手一覧!$G$5:$G$2736,$F12))</f>
        <v/>
      </c>
    </row>
    <row r="13" customFormat="false" ht="15" hidden="false" customHeight="false" outlineLevel="0" collapsed="false">
      <c r="A13" s="12" t="n">
        <v>9</v>
      </c>
      <c r="B13" s="8" t="s">
        <v>69</v>
      </c>
      <c r="C13" s="8" t="s">
        <v>70</v>
      </c>
      <c r="D13" s="11" t="n">
        <v>0.00267650462962963</v>
      </c>
      <c r="E13" s="39" t="n">
        <f aca="false">ROUND((D13-$D$5)*86400,2)</f>
        <v>6.22</v>
      </c>
      <c r="F13" s="12" t="n">
        <v>24</v>
      </c>
      <c r="G13" s="11" t="n">
        <f aca="false">IF(INDEX(選手一覧!$D$5:$D$2736,$F13)="","",INDEX(選手一覧!$D$5:$D$2736,$F13))</f>
        <v>0.0100194444444444</v>
      </c>
      <c r="H13" s="12" t="n">
        <f aca="false">IF(INDEX(選手一覧!$E$5:$E$2736,$F13)="","",INDEX(選手一覧!$E$5:$E$2736,$F13))</f>
        <v>25</v>
      </c>
      <c r="I13" s="11" t="str">
        <f aca="false">IF(INDEX(選手一覧!$F$5:$F$2736,$F13)="","",INDEX(選手一覧!$F$5:$F$2736,$F13))</f>
        <v/>
      </c>
      <c r="J13" s="12" t="str">
        <f aca="false">IF(INDEX(選手一覧!$G$5:$G$2736,$F13)="","",INDEX(選手一覧!$G$5:$G$2736,$F13))</f>
        <v/>
      </c>
    </row>
    <row r="14" customFormat="false" ht="15" hidden="false" customHeight="false" outlineLevel="0" collapsed="false">
      <c r="A14" s="12" t="n">
        <v>10</v>
      </c>
      <c r="B14" s="8" t="s">
        <v>1070</v>
      </c>
      <c r="C14" s="8" t="s">
        <v>588</v>
      </c>
      <c r="D14" s="11" t="n">
        <v>0.00267708333333333</v>
      </c>
      <c r="E14" s="39" t="n">
        <f aca="false">ROUND((D14-$D$5)*86400,2)</f>
        <v>6.27</v>
      </c>
      <c r="F14" s="12" t="n">
        <v>632</v>
      </c>
      <c r="G14" s="11" t="n">
        <f aca="false">IF(INDEX(選手一覧!$D$5:$D$2736,$F14)="","",INDEX(選手一覧!$D$5:$D$2736,$F14))</f>
        <v>0.0107309027777778</v>
      </c>
      <c r="H14" s="12" t="n">
        <f aca="false">IF(INDEX(選手一覧!$E$5:$E$2736,$F14)="","",INDEX(選手一覧!$E$5:$E$2736,$F14))</f>
        <v>633</v>
      </c>
      <c r="I14" s="11" t="str">
        <f aca="false">IF(INDEX(選手一覧!$F$5:$F$2736,$F14)="","",INDEX(選手一覧!$F$5:$F$2736,$F14))</f>
        <v/>
      </c>
      <c r="J14" s="12" t="str">
        <f aca="false">IF(INDEX(選手一覧!$G$5:$G$2736,$F14)="","",INDEX(選手一覧!$G$5:$G$2736,$F14))</f>
        <v/>
      </c>
    </row>
    <row r="15" customFormat="false" ht="15" hidden="false" customHeight="false" outlineLevel="0" collapsed="false">
      <c r="A15" s="12" t="n">
        <v>11</v>
      </c>
      <c r="B15" s="8" t="s">
        <v>206</v>
      </c>
      <c r="C15" s="8" t="s">
        <v>207</v>
      </c>
      <c r="D15" s="11" t="n">
        <v>0.00267743055555556</v>
      </c>
      <c r="E15" s="39" t="n">
        <f aca="false">ROUND((D15-$D$5)*86400,2)</f>
        <v>6.3</v>
      </c>
      <c r="F15" s="12" t="n">
        <v>97</v>
      </c>
      <c r="G15" s="11" t="n">
        <f aca="false">IF(INDEX(選手一覧!$D$5:$D$2736,$F15)="","",INDEX(選手一覧!$D$5:$D$2736,$F15))</f>
        <v>0.0102041666666667</v>
      </c>
      <c r="H15" s="12" t="n">
        <f aca="false">IF(INDEX(選手一覧!$E$5:$E$2736,$F15)="","",INDEX(選手一覧!$E$5:$E$2736,$F15))</f>
        <v>98</v>
      </c>
      <c r="I15" s="11" t="str">
        <f aca="false">IF(INDEX(選手一覧!$F$5:$F$2736,$F15)="","",INDEX(選手一覧!$F$5:$F$2736,$F15))</f>
        <v/>
      </c>
      <c r="J15" s="12" t="str">
        <f aca="false">IF(INDEX(選手一覧!$G$5:$G$2736,$F15)="","",INDEX(選手一覧!$G$5:$G$2736,$F15))</f>
        <v/>
      </c>
    </row>
    <row r="16" customFormat="false" ht="15" hidden="false" customHeight="false" outlineLevel="0" collapsed="false">
      <c r="A16" s="12" t="n">
        <v>12</v>
      </c>
      <c r="B16" s="8" t="s">
        <v>452</v>
      </c>
      <c r="C16" s="8" t="s">
        <v>4687</v>
      </c>
      <c r="D16" s="11" t="n">
        <v>0.00267881944444444</v>
      </c>
      <c r="E16" s="39" t="n">
        <f aca="false">ROUND((D16-$D$5)*86400,2)</f>
        <v>6.42</v>
      </c>
      <c r="F16" s="12" t="n">
        <v>235</v>
      </c>
      <c r="G16" s="11" t="n">
        <f aca="false">IF(INDEX(選手一覧!$D$5:$D$2736,$F16)="","",INDEX(選手一覧!$D$5:$D$2736,$F16))</f>
        <v>0.0103765046296296</v>
      </c>
      <c r="H16" s="12" t="n">
        <f aca="false">IF(INDEX(選手一覧!$E$5:$E$2736,$F16)="","",INDEX(選手一覧!$E$5:$E$2736,$F16))</f>
        <v>236</v>
      </c>
      <c r="I16" s="11" t="str">
        <f aca="false">IF(INDEX(選手一覧!$F$5:$F$2736,$F16)="","",INDEX(選手一覧!$F$5:$F$2736,$F16))</f>
        <v/>
      </c>
      <c r="J16" s="12" t="str">
        <f aca="false">IF(INDEX(選手一覧!$G$5:$G$2736,$F16)="","",INDEX(選手一覧!$G$5:$G$2736,$F16))</f>
        <v/>
      </c>
    </row>
    <row r="17" customFormat="false" ht="15" hidden="false" customHeight="false" outlineLevel="0" collapsed="false">
      <c r="A17" s="12" t="n">
        <v>13</v>
      </c>
      <c r="B17" s="8" t="s">
        <v>4688</v>
      </c>
      <c r="C17" s="8" t="s">
        <v>25</v>
      </c>
      <c r="D17" s="11" t="n">
        <v>0.00267881944444444</v>
      </c>
      <c r="E17" s="39" t="n">
        <f aca="false">ROUND((D17-$D$5)*86400,2)</f>
        <v>6.42</v>
      </c>
      <c r="F17" s="12" t="n">
        <v>5</v>
      </c>
      <c r="G17" s="11" t="n">
        <f aca="false">IF(INDEX(選手一覧!$D$5:$D$2736,$F17)="","",INDEX(選手一覧!$D$5:$D$2736,$F17))</f>
        <v>0.00974224537037037</v>
      </c>
      <c r="H17" s="12" t="n">
        <f aca="false">IF(INDEX(選手一覧!$E$5:$E$2736,$F17)="","",INDEX(選手一覧!$E$5:$E$2736,$F17))</f>
        <v>5</v>
      </c>
      <c r="I17" s="11" t="str">
        <f aca="false">IF(INDEX(選手一覧!$F$5:$F$2736,$F17)="","",INDEX(選手一覧!$F$5:$F$2736,$F17))</f>
        <v/>
      </c>
      <c r="J17" s="12" t="str">
        <f aca="false">IF(INDEX(選手一覧!$G$5:$G$2736,$F17)="","",INDEX(選手一覧!$G$5:$G$2736,$F17))</f>
        <v/>
      </c>
    </row>
    <row r="18" customFormat="false" ht="15" hidden="false" customHeight="false" outlineLevel="0" collapsed="false">
      <c r="A18" s="21" t="n">
        <v>14</v>
      </c>
      <c r="B18" s="17" t="s">
        <v>319</v>
      </c>
      <c r="C18" s="17" t="s">
        <v>306</v>
      </c>
      <c r="D18" s="20" t="n">
        <v>0.00268113425925926</v>
      </c>
      <c r="E18" s="40" t="n">
        <f aca="false">ROUND((D18-$D$5)*86400,2)</f>
        <v>6.62</v>
      </c>
      <c r="F18" s="21" t="n">
        <v>156</v>
      </c>
      <c r="G18" s="20" t="n">
        <f aca="false">IF(INDEX(選手一覧!$D$5:$D$2736,$F18)="","",INDEX(選手一覧!$D$5:$D$2736,$F18))</f>
        <v>0.0102939814814815</v>
      </c>
      <c r="H18" s="21" t="n">
        <f aca="false">IF(INDEX(選手一覧!$E$5:$E$2736,$F18)="","",INDEX(選手一覧!$E$5:$E$2736,$F18))</f>
        <v>157</v>
      </c>
      <c r="I18" s="20" t="str">
        <f aca="false">IF(INDEX(選手一覧!$F$5:$F$2736,$F18)="","",INDEX(選手一覧!$F$5:$F$2736,$F18))</f>
        <v/>
      </c>
      <c r="J18" s="21" t="str">
        <f aca="false">IF(INDEX(選手一覧!$G$5:$G$2736,$F18)="","",INDEX(選手一覧!$G$5:$G$2736,$F18))</f>
        <v/>
      </c>
    </row>
    <row r="19" customFormat="false" ht="15" hidden="false" customHeight="false" outlineLevel="0" collapsed="false">
      <c r="A19" s="12" t="n">
        <v>15</v>
      </c>
      <c r="B19" s="8" t="s">
        <v>178</v>
      </c>
      <c r="C19" s="8" t="s">
        <v>179</v>
      </c>
      <c r="D19" s="11" t="n">
        <v>0.00268391203703704</v>
      </c>
      <c r="E19" s="39" t="n">
        <f aca="false">ROUND((D19-$D$5)*86400,2)</f>
        <v>6.86</v>
      </c>
      <c r="F19" s="12" t="n">
        <v>81</v>
      </c>
      <c r="G19" s="11" t="n">
        <f aca="false">IF(INDEX(選手一覧!$D$5:$D$2736,$F19)="","",INDEX(選手一覧!$D$5:$D$2736,$F19))</f>
        <v>0.0101737268518519</v>
      </c>
      <c r="H19" s="12" t="n">
        <f aca="false">IF(INDEX(選手一覧!$E$5:$E$2736,$F19)="","",INDEX(選手一覧!$E$5:$E$2736,$F19))</f>
        <v>82</v>
      </c>
      <c r="I19" s="11" t="str">
        <f aca="false">IF(INDEX(選手一覧!$F$5:$F$2736,$F19)="","",INDEX(選手一覧!$F$5:$F$2736,$F19))</f>
        <v/>
      </c>
      <c r="J19" s="12" t="str">
        <f aca="false">IF(INDEX(選手一覧!$G$5:$G$2736,$F19)="","",INDEX(選手一覧!$G$5:$G$2736,$F19))</f>
        <v/>
      </c>
    </row>
    <row r="20" customFormat="false" ht="15" hidden="false" customHeight="false" outlineLevel="0" collapsed="false">
      <c r="A20" s="12" t="n">
        <v>16</v>
      </c>
      <c r="B20" s="8" t="s">
        <v>132</v>
      </c>
      <c r="C20" s="8" t="s">
        <v>122</v>
      </c>
      <c r="D20" s="11" t="n">
        <v>0.00268472222222222</v>
      </c>
      <c r="E20" s="39" t="n">
        <f aca="false">ROUND((D20-$D$5)*86400,2)</f>
        <v>6.93</v>
      </c>
      <c r="F20" s="12" t="n">
        <v>57</v>
      </c>
      <c r="G20" s="11" t="n">
        <f aca="false">IF(INDEX(選手一覧!$D$5:$D$2736,$F20)="","",INDEX(選手一覧!$D$5:$D$2736,$F20))</f>
        <v>0.0101146990740741</v>
      </c>
      <c r="H20" s="12" t="n">
        <f aca="false">IF(INDEX(選手一覧!$E$5:$E$2736,$F20)="","",INDEX(選手一覧!$E$5:$E$2736,$F20))</f>
        <v>58</v>
      </c>
      <c r="I20" s="11" t="str">
        <f aca="false">IF(INDEX(選手一覧!$F$5:$F$2736,$F20)="","",INDEX(選手一覧!$F$5:$F$2736,$F20))</f>
        <v/>
      </c>
      <c r="J20" s="12" t="str">
        <f aca="false">IF(INDEX(選手一覧!$G$5:$G$2736,$F20)="","",INDEX(選手一覧!$G$5:$G$2736,$F20))</f>
        <v/>
      </c>
    </row>
    <row r="21" customFormat="false" ht="15" hidden="false" customHeight="false" outlineLevel="0" collapsed="false">
      <c r="A21" s="12" t="n">
        <v>17</v>
      </c>
      <c r="B21" s="8" t="s">
        <v>328</v>
      </c>
      <c r="C21" s="8" t="s">
        <v>70</v>
      </c>
      <c r="D21" s="11" t="n">
        <v>0.00268900462962963</v>
      </c>
      <c r="E21" s="39" t="n">
        <f aca="false">ROUND((D21-$D$5)*86400,2)</f>
        <v>7.3</v>
      </c>
      <c r="F21" s="12" t="n">
        <v>161</v>
      </c>
      <c r="G21" s="11" t="n">
        <f aca="false">IF(INDEX(選手一覧!$D$5:$D$2736,$F21)="","",INDEX(選手一覧!$D$5:$D$2736,$F21))</f>
        <v>0.0103006944444444</v>
      </c>
      <c r="H21" s="12" t="n">
        <f aca="false">IF(INDEX(選手一覧!$E$5:$E$2736,$F21)="","",INDEX(選手一覧!$E$5:$E$2736,$F21))</f>
        <v>162</v>
      </c>
      <c r="I21" s="11" t="str">
        <f aca="false">IF(INDEX(選手一覧!$F$5:$F$2736,$F21)="","",INDEX(選手一覧!$F$5:$F$2736,$F21))</f>
        <v/>
      </c>
      <c r="J21" s="12" t="str">
        <f aca="false">IF(INDEX(選手一覧!$G$5:$G$2736,$F21)="","",INDEX(選手一覧!$G$5:$G$2736,$F21))</f>
        <v/>
      </c>
    </row>
    <row r="22" customFormat="false" ht="15" hidden="false" customHeight="false" outlineLevel="0" collapsed="false">
      <c r="A22" s="12" t="n">
        <v>18</v>
      </c>
      <c r="B22" s="8" t="s">
        <v>43</v>
      </c>
      <c r="C22" s="8" t="s">
        <v>44</v>
      </c>
      <c r="D22" s="11" t="n">
        <v>0.00268946759259259</v>
      </c>
      <c r="E22" s="39" t="n">
        <f aca="false">ROUND((D22-$D$5)*86400,2)</f>
        <v>7.34</v>
      </c>
      <c r="F22" s="12" t="n">
        <v>13</v>
      </c>
      <c r="G22" s="11" t="n">
        <f aca="false">IF(INDEX(選手一覧!$D$5:$D$2736,$F22)="","",INDEX(選手一覧!$D$5:$D$2736,$F22))</f>
        <v>0.00990069444444445</v>
      </c>
      <c r="H22" s="12" t="n">
        <f aca="false">IF(INDEX(選手一覧!$E$5:$E$2736,$F22)="","",INDEX(選手一覧!$E$5:$E$2736,$F22))</f>
        <v>14</v>
      </c>
      <c r="I22" s="11" t="str">
        <f aca="false">IF(INDEX(選手一覧!$F$5:$F$2736,$F22)="","",INDEX(選手一覧!$F$5:$F$2736,$F22))</f>
        <v/>
      </c>
      <c r="J22" s="12" t="str">
        <f aca="false">IF(INDEX(選手一覧!$G$5:$G$2736,$F22)="","",INDEX(選手一覧!$G$5:$G$2736,$F22))</f>
        <v/>
      </c>
    </row>
    <row r="23" customFormat="false" ht="15" hidden="false" customHeight="false" outlineLevel="0" collapsed="false">
      <c r="A23" s="12" t="n">
        <v>19</v>
      </c>
      <c r="B23" s="8" t="s">
        <v>144</v>
      </c>
      <c r="C23" s="8" t="s">
        <v>145</v>
      </c>
      <c r="D23" s="11" t="n">
        <v>0.00269143518518519</v>
      </c>
      <c r="E23" s="39" t="n">
        <f aca="false">ROUND((D23-$D$5)*86400,2)</f>
        <v>7.51</v>
      </c>
      <c r="F23" s="12" t="n">
        <v>64</v>
      </c>
      <c r="G23" s="11" t="n">
        <f aca="false">IF(INDEX(選手一覧!$D$5:$D$2736,$F23)="","",INDEX(選手一覧!$D$5:$D$2736,$F23))</f>
        <v>0.0101371527777778</v>
      </c>
      <c r="H23" s="12" t="n">
        <f aca="false">IF(INDEX(選手一覧!$E$5:$E$2736,$F23)="","",INDEX(選手一覧!$E$5:$E$2736,$F23))</f>
        <v>65</v>
      </c>
      <c r="I23" s="11" t="str">
        <f aca="false">IF(INDEX(選手一覧!$F$5:$F$2736,$F23)="","",INDEX(選手一覧!$F$5:$F$2736,$F23))</f>
        <v/>
      </c>
      <c r="J23" s="12" t="str">
        <f aca="false">IF(INDEX(選手一覧!$G$5:$G$2736,$F23)="","",INDEX(選手一覧!$G$5:$G$2736,$F23))</f>
        <v/>
      </c>
    </row>
    <row r="24" customFormat="false" ht="15" hidden="false" customHeight="false" outlineLevel="0" collapsed="false">
      <c r="A24" s="12" t="n">
        <v>20</v>
      </c>
      <c r="B24" s="8" t="s">
        <v>2034</v>
      </c>
      <c r="C24" s="8" t="s">
        <v>868</v>
      </c>
      <c r="D24" s="11" t="n">
        <v>0.00269189814814815</v>
      </c>
      <c r="E24" s="39" t="n">
        <f aca="false">ROUND((D24-$D$5)*86400,2)</f>
        <v>7.55</v>
      </c>
      <c r="F24" s="12" t="n">
        <v>1292</v>
      </c>
      <c r="G24" s="11" t="str">
        <f aca="false">IF(INDEX(選手一覧!$D$5:$D$2736,$F24)="","",INDEX(選手一覧!$D$5:$D$2736,$F24))</f>
        <v/>
      </c>
      <c r="H24" s="12" t="str">
        <f aca="false">IF(INDEX(選手一覧!$E$5:$E$2736,$F24)="","",INDEX(選手一覧!$E$5:$E$2736,$F24))</f>
        <v/>
      </c>
      <c r="I24" s="11" t="str">
        <f aca="false">IF(INDEX(選手一覧!$F$5:$F$2736,$F24)="","",INDEX(選手一覧!$F$5:$F$2736,$F24))</f>
        <v/>
      </c>
      <c r="J24" s="12" t="str">
        <f aca="false">IF(INDEX(選手一覧!$G$5:$G$2736,$F24)="","",INDEX(選手一覧!$G$5:$G$2736,$F24))</f>
        <v/>
      </c>
    </row>
    <row r="25" customFormat="false" ht="15" hidden="false" customHeight="false" outlineLevel="0" collapsed="false">
      <c r="A25" s="12" t="n">
        <v>21</v>
      </c>
      <c r="B25" s="8" t="s">
        <v>310</v>
      </c>
      <c r="C25" s="8" t="s">
        <v>311</v>
      </c>
      <c r="D25" s="11" t="n">
        <v>0.00269259259259259</v>
      </c>
      <c r="E25" s="39" t="n">
        <f aca="false">ROUND((D25-$D$5)*86400,2)</f>
        <v>7.61</v>
      </c>
      <c r="F25" s="12" t="n">
        <v>152</v>
      </c>
      <c r="G25" s="11" t="n">
        <f aca="false">IF(INDEX(選手一覧!$D$5:$D$2736,$F25)="","",INDEX(選手一覧!$D$5:$D$2736,$F25))</f>
        <v>0.010284837962963</v>
      </c>
      <c r="H25" s="12" t="n">
        <f aca="false">IF(INDEX(選手一覧!$E$5:$E$2736,$F25)="","",INDEX(選手一覧!$E$5:$E$2736,$F25))</f>
        <v>153</v>
      </c>
      <c r="I25" s="11" t="str">
        <f aca="false">IF(INDEX(選手一覧!$F$5:$F$2736,$F25)="","",INDEX(選手一覧!$F$5:$F$2736,$F25))</f>
        <v/>
      </c>
      <c r="J25" s="12" t="str">
        <f aca="false">IF(INDEX(選手一覧!$G$5:$G$2736,$F25)="","",INDEX(選手一覧!$G$5:$G$2736,$F25))</f>
        <v/>
      </c>
    </row>
    <row r="26" customFormat="false" ht="15" hidden="false" customHeight="false" outlineLevel="0" collapsed="false">
      <c r="A26" s="21" t="n">
        <v>22</v>
      </c>
      <c r="B26" s="17" t="s">
        <v>117</v>
      </c>
      <c r="C26" s="17" t="s">
        <v>118</v>
      </c>
      <c r="D26" s="20" t="n">
        <v>0.0026931712962963</v>
      </c>
      <c r="E26" s="40" t="n">
        <f aca="false">ROUND((D26-$D$5)*86400,2)</f>
        <v>7.66</v>
      </c>
      <c r="F26" s="21" t="n">
        <v>49</v>
      </c>
      <c r="G26" s="20" t="n">
        <f aca="false">IF(INDEX(選手一覧!$D$5:$D$2736,$F26)="","",INDEX(選手一覧!$D$5:$D$2736,$F26))</f>
        <v>0.0100962962962963</v>
      </c>
      <c r="H26" s="21" t="n">
        <f aca="false">IF(INDEX(選手一覧!$E$5:$E$2736,$F26)="","",INDEX(選手一覧!$E$5:$E$2736,$F26))</f>
        <v>50</v>
      </c>
      <c r="I26" s="20" t="str">
        <f aca="false">IF(INDEX(選手一覧!$F$5:$F$2736,$F26)="","",INDEX(選手一覧!$F$5:$F$2736,$F26))</f>
        <v/>
      </c>
      <c r="J26" s="21" t="str">
        <f aca="false">IF(INDEX(選手一覧!$G$5:$G$2736,$F26)="","",INDEX(選手一覧!$G$5:$G$2736,$F26))</f>
        <v/>
      </c>
    </row>
    <row r="27" customFormat="false" ht="15" hidden="false" customHeight="false" outlineLevel="0" collapsed="false">
      <c r="A27" s="12" t="n">
        <v>23</v>
      </c>
      <c r="B27" s="8" t="s">
        <v>201</v>
      </c>
      <c r="C27" s="8" t="s">
        <v>202</v>
      </c>
      <c r="D27" s="11" t="n">
        <v>0.00269340277777778</v>
      </c>
      <c r="E27" s="39" t="n">
        <f aca="false">ROUND((D27-$D$5)*86400,2)</f>
        <v>7.68</v>
      </c>
      <c r="F27" s="12" t="n">
        <v>94</v>
      </c>
      <c r="G27" s="11" t="n">
        <f aca="false">IF(INDEX(選手一覧!$D$5:$D$2736,$F27)="","",INDEX(選手一覧!$D$5:$D$2736,$F27))</f>
        <v>0.0101960648148148</v>
      </c>
      <c r="H27" s="12" t="n">
        <f aca="false">IF(INDEX(選手一覧!$E$5:$E$2736,$F27)="","",INDEX(選手一覧!$E$5:$E$2736,$F27))</f>
        <v>95</v>
      </c>
      <c r="I27" s="11" t="str">
        <f aca="false">IF(INDEX(選手一覧!$F$5:$F$2736,$F27)="","",INDEX(選手一覧!$F$5:$F$2736,$F27))</f>
        <v/>
      </c>
      <c r="J27" s="12" t="str">
        <f aca="false">IF(INDEX(選手一覧!$G$5:$G$2736,$F27)="","",INDEX(選手一覧!$G$5:$G$2736,$F27))</f>
        <v/>
      </c>
    </row>
    <row r="28" customFormat="false" ht="15" hidden="false" customHeight="false" outlineLevel="0" collapsed="false">
      <c r="A28" s="12" t="n">
        <v>24</v>
      </c>
      <c r="B28" s="8" t="s">
        <v>33</v>
      </c>
      <c r="C28" s="8" t="s">
        <v>34</v>
      </c>
      <c r="D28" s="11" t="n">
        <v>0.00269803240740741</v>
      </c>
      <c r="E28" s="39" t="n">
        <f aca="false">ROUND((D28-$D$5)*86400,2)</f>
        <v>8.08</v>
      </c>
      <c r="F28" s="12" t="n">
        <v>8</v>
      </c>
      <c r="G28" s="11" t="n">
        <f aca="false">IF(INDEX(選手一覧!$D$5:$D$2736,$F28)="","",INDEX(選手一覧!$D$5:$D$2736,$F28))</f>
        <v>0.00981168981481482</v>
      </c>
      <c r="H28" s="12" t="n">
        <f aca="false">IF(INDEX(選手一覧!$E$5:$E$2736,$F28)="","",INDEX(選手一覧!$E$5:$E$2736,$F28))</f>
        <v>8</v>
      </c>
      <c r="I28" s="11" t="str">
        <f aca="false">IF(INDEX(選手一覧!$F$5:$F$2736,$F28)="","",INDEX(選手一覧!$F$5:$F$2736,$F28))</f>
        <v/>
      </c>
      <c r="J28" s="12" t="str">
        <f aca="false">IF(INDEX(選手一覧!$G$5:$G$2736,$F28)="","",INDEX(選手一覧!$G$5:$G$2736,$F28))</f>
        <v/>
      </c>
    </row>
    <row r="29" customFormat="false" ht="15" hidden="false" customHeight="false" outlineLevel="0" collapsed="false">
      <c r="A29" s="12" t="n">
        <v>25</v>
      </c>
      <c r="B29" s="8" t="s">
        <v>231</v>
      </c>
      <c r="C29" s="8" t="s">
        <v>148</v>
      </c>
      <c r="D29" s="11" t="n">
        <v>0.00269826388888889</v>
      </c>
      <c r="E29" s="39" t="n">
        <f aca="false">ROUND((D29-$D$5)*86400,2)</f>
        <v>8.1</v>
      </c>
      <c r="F29" s="12" t="n">
        <v>113</v>
      </c>
      <c r="G29" s="11" t="n">
        <f aca="false">IF(INDEX(選手一覧!$D$5:$D$2736,$F29)="","",INDEX(選手一覧!$D$5:$D$2736,$F29))</f>
        <v>0.0102357638888889</v>
      </c>
      <c r="H29" s="12" t="n">
        <f aca="false">IF(INDEX(選手一覧!$E$5:$E$2736,$F29)="","",INDEX(選手一覧!$E$5:$E$2736,$F29))</f>
        <v>114</v>
      </c>
      <c r="I29" s="11" t="n">
        <f aca="false">IF(INDEX(選手一覧!$F$5:$F$2736,$F29)="","",INDEX(選手一覧!$F$5:$F$2736,$F29))</f>
        <v>0.00656354166666667</v>
      </c>
      <c r="J29" s="12" t="n">
        <f aca="false">IF(INDEX(選手一覧!$G$5:$G$2736,$F29)="","",INDEX(選手一覧!$G$5:$G$2736,$F29))</f>
        <v>50</v>
      </c>
    </row>
    <row r="30" customFormat="false" ht="15" hidden="false" customHeight="false" outlineLevel="0" collapsed="false">
      <c r="A30" s="12" t="n">
        <v>26</v>
      </c>
      <c r="B30" s="8" t="s">
        <v>1483</v>
      </c>
      <c r="C30" s="8" t="s">
        <v>1484</v>
      </c>
      <c r="D30" s="11" t="n">
        <v>0.00270081018518519</v>
      </c>
      <c r="E30" s="39" t="n">
        <f aca="false">ROUND((D30-$D$5)*86400,2)</f>
        <v>8.32</v>
      </c>
      <c r="F30" s="12" t="n">
        <v>906</v>
      </c>
      <c r="G30" s="11" t="n">
        <f aca="false">IF(INDEX(選手一覧!$D$5:$D$2736,$F30)="","",INDEX(選手一覧!$D$5:$D$2736,$F30))</f>
        <v>0.0108923611111111</v>
      </c>
      <c r="H30" s="12" t="n">
        <f aca="false">IF(INDEX(選手一覧!$E$5:$E$2736,$F30)="","",INDEX(選手一覧!$E$5:$E$2736,$F30))</f>
        <v>907</v>
      </c>
      <c r="I30" s="11" t="str">
        <f aca="false">IF(INDEX(選手一覧!$F$5:$F$2736,$F30)="","",INDEX(選手一覧!$F$5:$F$2736,$F30))</f>
        <v/>
      </c>
      <c r="J30" s="12" t="str">
        <f aca="false">IF(INDEX(選手一覧!$G$5:$G$2736,$F30)="","",INDEX(選手一覧!$G$5:$G$2736,$F30))</f>
        <v/>
      </c>
    </row>
    <row r="31" customFormat="false" ht="15" hidden="false" customHeight="false" outlineLevel="0" collapsed="false">
      <c r="A31" s="12" t="n">
        <v>27</v>
      </c>
      <c r="B31" s="8" t="s">
        <v>189</v>
      </c>
      <c r="C31" s="8" t="s">
        <v>58</v>
      </c>
      <c r="D31" s="11" t="n">
        <v>0.00270231481481482</v>
      </c>
      <c r="E31" s="39" t="n">
        <f aca="false">ROUND((D31-$D$5)*86400,2)</f>
        <v>8.45</v>
      </c>
      <c r="F31" s="12" t="n">
        <v>87</v>
      </c>
      <c r="G31" s="11" t="n">
        <f aca="false">IF(INDEX(選手一覧!$D$5:$D$2736,$F31)="","",INDEX(選手一覧!$D$5:$D$2736,$F31))</f>
        <v>0.0101863425925926</v>
      </c>
      <c r="H31" s="12" t="n">
        <f aca="false">IF(INDEX(選手一覧!$E$5:$E$2736,$F31)="","",INDEX(選手一覧!$E$5:$E$2736,$F31))</f>
        <v>88</v>
      </c>
      <c r="I31" s="11" t="str">
        <f aca="false">IF(INDEX(選手一覧!$F$5:$F$2736,$F31)="","",INDEX(選手一覧!$F$5:$F$2736,$F31))</f>
        <v/>
      </c>
      <c r="J31" s="12" t="str">
        <f aca="false">IF(INDEX(選手一覧!$G$5:$G$2736,$F31)="","",INDEX(選手一覧!$G$5:$G$2736,$F31))</f>
        <v/>
      </c>
    </row>
    <row r="32" customFormat="false" ht="15" hidden="false" customHeight="false" outlineLevel="0" collapsed="false">
      <c r="A32" s="12" t="n">
        <v>28</v>
      </c>
      <c r="B32" s="8" t="s">
        <v>1485</v>
      </c>
      <c r="C32" s="8" t="s">
        <v>688</v>
      </c>
      <c r="D32" s="11" t="n">
        <v>0.00270462962962963</v>
      </c>
      <c r="E32" s="39" t="n">
        <f aca="false">ROUND((D32-$D$5)*86400,2)</f>
        <v>8.65</v>
      </c>
      <c r="F32" s="12" t="n">
        <v>907</v>
      </c>
      <c r="G32" s="11" t="n">
        <f aca="false">IF(INDEX(選手一覧!$D$5:$D$2736,$F32)="","",INDEX(選手一覧!$D$5:$D$2736,$F32))</f>
        <v>0.010893287037037</v>
      </c>
      <c r="H32" s="12" t="n">
        <f aca="false">IF(INDEX(選手一覧!$E$5:$E$2736,$F32)="","",INDEX(選手一覧!$E$5:$E$2736,$F32))</f>
        <v>908</v>
      </c>
      <c r="I32" s="11" t="str">
        <f aca="false">IF(INDEX(選手一覧!$F$5:$F$2736,$F32)="","",INDEX(選手一覧!$F$5:$F$2736,$F32))</f>
        <v/>
      </c>
      <c r="J32" s="12" t="str">
        <f aca="false">IF(INDEX(選手一覧!$G$5:$G$2736,$F32)="","",INDEX(選手一覧!$G$5:$G$2736,$F32))</f>
        <v/>
      </c>
    </row>
    <row r="33" customFormat="false" ht="15" hidden="false" customHeight="false" outlineLevel="0" collapsed="false">
      <c r="A33" s="12" t="n">
        <v>29</v>
      </c>
      <c r="B33" s="8" t="s">
        <v>77</v>
      </c>
      <c r="C33" s="8" t="s">
        <v>70</v>
      </c>
      <c r="D33" s="11" t="n">
        <v>0.00270590277777778</v>
      </c>
      <c r="E33" s="39" t="n">
        <f aca="false">ROUND((D33-$D$5)*86400,2)</f>
        <v>8.76</v>
      </c>
      <c r="F33" s="12" t="n">
        <v>28</v>
      </c>
      <c r="G33" s="11" t="n">
        <f aca="false">IF(INDEX(選手一覧!$D$5:$D$2736,$F33)="","",INDEX(選手一覧!$D$5:$D$2736,$F33))</f>
        <v>0.0100400462962963</v>
      </c>
      <c r="H33" s="12" t="n">
        <f aca="false">IF(INDEX(選手一覧!$E$5:$E$2736,$F33)="","",INDEX(選手一覧!$E$5:$E$2736,$F33))</f>
        <v>29</v>
      </c>
      <c r="I33" s="11" t="n">
        <f aca="false">IF(INDEX(選手一覧!$F$5:$F$2736,$F33)="","",INDEX(選手一覧!$F$5:$F$2736,$F33))</f>
        <v>0.00702037037037037</v>
      </c>
      <c r="J33" s="12" t="n">
        <f aca="false">IF(INDEX(選手一覧!$G$5:$G$2736,$F33)="","",INDEX(選手一覧!$G$5:$G$2736,$F33))</f>
        <v>355</v>
      </c>
    </row>
    <row r="34" customFormat="false" ht="15" hidden="false" customHeight="false" outlineLevel="0" collapsed="false">
      <c r="A34" s="12" t="n">
        <v>30</v>
      </c>
      <c r="B34" s="8" t="s">
        <v>532</v>
      </c>
      <c r="C34" s="8" t="s">
        <v>408</v>
      </c>
      <c r="D34" s="11" t="n">
        <v>0.00270625</v>
      </c>
      <c r="E34" s="39" t="n">
        <f aca="false">ROUND((D34-$D$5)*86400,2)</f>
        <v>8.79</v>
      </c>
      <c r="F34" s="12" t="n">
        <v>285</v>
      </c>
      <c r="G34" s="11" t="n">
        <f aca="false">IF(INDEX(選手一覧!$D$5:$D$2736,$F34)="","",INDEX(選手一覧!$D$5:$D$2736,$F34))</f>
        <v>0.0104215277777778</v>
      </c>
      <c r="H34" s="12" t="n">
        <f aca="false">IF(INDEX(選手一覧!$E$5:$E$2736,$F34)="","",INDEX(選手一覧!$E$5:$E$2736,$F34))</f>
        <v>286</v>
      </c>
      <c r="I34" s="11" t="str">
        <f aca="false">IF(INDEX(選手一覧!$F$5:$F$2736,$F34)="","",INDEX(選手一覧!$F$5:$F$2736,$F34))</f>
        <v/>
      </c>
      <c r="J34" s="12" t="str">
        <f aca="false">IF(INDEX(選手一覧!$G$5:$G$2736,$F34)="","",INDEX(選手一覧!$G$5:$G$2736,$F34))</f>
        <v/>
      </c>
    </row>
    <row r="35" customFormat="false" ht="15" hidden="false" customHeight="false" outlineLevel="0" collapsed="false">
      <c r="A35" s="12" t="n">
        <v>31</v>
      </c>
      <c r="B35" s="8" t="s">
        <v>287</v>
      </c>
      <c r="C35" s="8" t="s">
        <v>31</v>
      </c>
      <c r="D35" s="11" t="n">
        <v>0.00270763888888889</v>
      </c>
      <c r="E35" s="39" t="n">
        <f aca="false">ROUND((D35-$D$5)*86400,2)</f>
        <v>8.91</v>
      </c>
      <c r="F35" s="12" t="n">
        <v>140</v>
      </c>
      <c r="G35" s="11" t="n">
        <f aca="false">IF(INDEX(選手一覧!$D$5:$D$2736,$F35)="","",INDEX(選手一覧!$D$5:$D$2736,$F35))</f>
        <v>0.010275462962963</v>
      </c>
      <c r="H35" s="12" t="n">
        <f aca="false">IF(INDEX(選手一覧!$E$5:$E$2736,$F35)="","",INDEX(選手一覧!$E$5:$E$2736,$F35))</f>
        <v>141</v>
      </c>
      <c r="I35" s="11" t="str">
        <f aca="false">IF(INDEX(選手一覧!$F$5:$F$2736,$F35)="","",INDEX(選手一覧!$F$5:$F$2736,$F35))</f>
        <v/>
      </c>
      <c r="J35" s="12" t="str">
        <f aca="false">IF(INDEX(選手一覧!$G$5:$G$2736,$F35)="","",INDEX(選手一覧!$G$5:$G$2736,$F35))</f>
        <v/>
      </c>
    </row>
    <row r="36" customFormat="false" ht="15" hidden="false" customHeight="false" outlineLevel="0" collapsed="false">
      <c r="A36" s="12" t="n">
        <v>32</v>
      </c>
      <c r="B36" s="8" t="s">
        <v>166</v>
      </c>
      <c r="C36" s="8" t="s">
        <v>143</v>
      </c>
      <c r="D36" s="11" t="n">
        <v>0.00270787037037037</v>
      </c>
      <c r="E36" s="39" t="n">
        <f aca="false">ROUND((D36-$D$5)*86400,2)</f>
        <v>8.93</v>
      </c>
      <c r="F36" s="12" t="n">
        <v>74</v>
      </c>
      <c r="G36" s="11" t="n">
        <f aca="false">IF(INDEX(選手一覧!$D$5:$D$2736,$F36)="","",INDEX(選手一覧!$D$5:$D$2736,$F36))</f>
        <v>0.010158912037037</v>
      </c>
      <c r="H36" s="12" t="n">
        <f aca="false">IF(INDEX(選手一覧!$E$5:$E$2736,$F36)="","",INDEX(選手一覧!$E$5:$E$2736,$F36))</f>
        <v>75</v>
      </c>
      <c r="I36" s="11" t="str">
        <f aca="false">IF(INDEX(選手一覧!$F$5:$F$2736,$F36)="","",INDEX(選手一覧!$F$5:$F$2736,$F36))</f>
        <v/>
      </c>
      <c r="J36" s="12" t="str">
        <f aca="false">IF(INDEX(選手一覧!$G$5:$G$2736,$F36)="","",INDEX(選手一覧!$G$5:$G$2736,$F36))</f>
        <v/>
      </c>
    </row>
    <row r="37" customFormat="false" ht="15" hidden="false" customHeight="false" outlineLevel="0" collapsed="false">
      <c r="A37" s="12" t="n">
        <v>33</v>
      </c>
      <c r="B37" s="8" t="s">
        <v>590</v>
      </c>
      <c r="C37" s="8" t="s">
        <v>136</v>
      </c>
      <c r="D37" s="11" t="n">
        <v>0.00270844907407407</v>
      </c>
      <c r="E37" s="39" t="n">
        <f aca="false">ROUND((D37-$D$5)*86400,2)</f>
        <v>8.98</v>
      </c>
      <c r="F37" s="12" t="n">
        <v>319</v>
      </c>
      <c r="G37" s="11" t="n">
        <f aca="false">IF(INDEX(選手一覧!$D$5:$D$2736,$F37)="","",INDEX(選手一覧!$D$5:$D$2736,$F37))</f>
        <v>0.0104740740740741</v>
      </c>
      <c r="H37" s="12" t="n">
        <f aca="false">IF(INDEX(選手一覧!$E$5:$E$2736,$F37)="","",INDEX(選手一覧!$E$5:$E$2736,$F37))</f>
        <v>320</v>
      </c>
      <c r="I37" s="11" t="str">
        <f aca="false">IF(INDEX(選手一覧!$F$5:$F$2736,$F37)="","",INDEX(選手一覧!$F$5:$F$2736,$F37))</f>
        <v/>
      </c>
      <c r="J37" s="12" t="str">
        <f aca="false">IF(INDEX(選手一覧!$G$5:$G$2736,$F37)="","",INDEX(選手一覧!$G$5:$G$2736,$F37))</f>
        <v/>
      </c>
    </row>
    <row r="38" customFormat="false" ht="15" hidden="false" customHeight="false" outlineLevel="0" collapsed="false">
      <c r="A38" s="12" t="n">
        <v>34</v>
      </c>
      <c r="B38" s="8" t="s">
        <v>48</v>
      </c>
      <c r="C38" s="8" t="s">
        <v>49</v>
      </c>
      <c r="D38" s="11" t="n">
        <v>0.00270949074074074</v>
      </c>
      <c r="E38" s="39" t="n">
        <f aca="false">ROUND((D38-$D$5)*86400,2)</f>
        <v>9.07</v>
      </c>
      <c r="F38" s="12" t="n">
        <v>15</v>
      </c>
      <c r="G38" s="11" t="n">
        <f aca="false">IF(INDEX(選手一覧!$D$5:$D$2736,$F38)="","",INDEX(選手一覧!$D$5:$D$2736,$F38))</f>
        <v>0.00992893518518519</v>
      </c>
      <c r="H38" s="12" t="n">
        <f aca="false">IF(INDEX(選手一覧!$E$5:$E$2736,$F38)="","",INDEX(選手一覧!$E$5:$E$2736,$F38))</f>
        <v>16</v>
      </c>
      <c r="I38" s="11" t="str">
        <f aca="false">IF(INDEX(選手一覧!$F$5:$F$2736,$F38)="","",INDEX(選手一覧!$F$5:$F$2736,$F38))</f>
        <v/>
      </c>
      <c r="J38" s="12" t="str">
        <f aca="false">IF(INDEX(選手一覧!$G$5:$G$2736,$F38)="","",INDEX(選手一覧!$G$5:$G$2736,$F38))</f>
        <v/>
      </c>
    </row>
    <row r="39" customFormat="false" ht="15" hidden="false" customHeight="false" outlineLevel="0" collapsed="false">
      <c r="A39" s="12" t="n">
        <v>35</v>
      </c>
      <c r="B39" s="8" t="s">
        <v>807</v>
      </c>
      <c r="C39" s="8" t="s">
        <v>584</v>
      </c>
      <c r="D39" s="11" t="n">
        <v>0.00270983796296296</v>
      </c>
      <c r="E39" s="39" t="n">
        <f aca="false">ROUND((D39-$D$5)*86400,2)</f>
        <v>9.1</v>
      </c>
      <c r="F39" s="12" t="n">
        <v>460</v>
      </c>
      <c r="G39" s="11" t="n">
        <f aca="false">IF(INDEX(選手一覧!$D$5:$D$2736,$F39)="","",INDEX(選手一覧!$D$5:$D$2736,$F39))</f>
        <v>0.0105988425925926</v>
      </c>
      <c r="H39" s="12" t="n">
        <f aca="false">IF(INDEX(選手一覧!$E$5:$E$2736,$F39)="","",INDEX(選手一覧!$E$5:$E$2736,$F39))</f>
        <v>461</v>
      </c>
      <c r="I39" s="11" t="str">
        <f aca="false">IF(INDEX(選手一覧!$F$5:$F$2736,$F39)="","",INDEX(選手一覧!$F$5:$F$2736,$F39))</f>
        <v/>
      </c>
      <c r="J39" s="12" t="str">
        <f aca="false">IF(INDEX(選手一覧!$G$5:$G$2736,$F39)="","",INDEX(選手一覧!$G$5:$G$2736,$F39))</f>
        <v/>
      </c>
    </row>
    <row r="40" customFormat="false" ht="15" hidden="false" customHeight="false" outlineLevel="0" collapsed="false">
      <c r="A40" s="12" t="n">
        <v>36</v>
      </c>
      <c r="B40" s="8" t="s">
        <v>2035</v>
      </c>
      <c r="C40" s="8" t="s">
        <v>52</v>
      </c>
      <c r="D40" s="11" t="n">
        <v>0.00271087962962963</v>
      </c>
      <c r="E40" s="39" t="n">
        <f aca="false">ROUND((D40-$D$5)*86400,2)</f>
        <v>9.19</v>
      </c>
      <c r="F40" s="12" t="n">
        <v>1293</v>
      </c>
      <c r="G40" s="11" t="str">
        <f aca="false">IF(INDEX(選手一覧!$D$5:$D$2736,$F40)="","",INDEX(選手一覧!$D$5:$D$2736,$F40))</f>
        <v/>
      </c>
      <c r="H40" s="12" t="str">
        <f aca="false">IF(INDEX(選手一覧!$E$5:$E$2736,$F40)="","",INDEX(選手一覧!$E$5:$E$2736,$F40))</f>
        <v/>
      </c>
      <c r="I40" s="11" t="str">
        <f aca="false">IF(INDEX(選手一覧!$F$5:$F$2736,$F40)="","",INDEX(選手一覧!$F$5:$F$2736,$F40))</f>
        <v/>
      </c>
      <c r="J40" s="12" t="str">
        <f aca="false">IF(INDEX(選手一覧!$G$5:$G$2736,$F40)="","",INDEX(選手一覧!$G$5:$G$2736,$F40))</f>
        <v/>
      </c>
    </row>
    <row r="41" customFormat="false" ht="15" hidden="false" customHeight="false" outlineLevel="0" collapsed="false">
      <c r="A41" s="12" t="n">
        <v>37</v>
      </c>
      <c r="B41" s="8" t="s">
        <v>435</v>
      </c>
      <c r="C41" s="8" t="s">
        <v>186</v>
      </c>
      <c r="D41" s="11" t="n">
        <v>0.00271180555555556</v>
      </c>
      <c r="E41" s="39" t="n">
        <f aca="false">ROUND((D41-$D$5)*86400,2)</f>
        <v>9.27</v>
      </c>
      <c r="F41" s="12" t="n">
        <v>226</v>
      </c>
      <c r="G41" s="11" t="n">
        <f aca="false">IF(INDEX(選手一覧!$D$5:$D$2736,$F41)="","",INDEX(選手一覧!$D$5:$D$2736,$F41))</f>
        <v>0.0103731481481482</v>
      </c>
      <c r="H41" s="12" t="n">
        <f aca="false">IF(INDEX(選手一覧!$E$5:$E$2736,$F41)="","",INDEX(選手一覧!$E$5:$E$2736,$F41))</f>
        <v>227</v>
      </c>
      <c r="I41" s="11" t="str">
        <f aca="false">IF(INDEX(選手一覧!$F$5:$F$2736,$F41)="","",INDEX(選手一覧!$F$5:$F$2736,$F41))</f>
        <v/>
      </c>
      <c r="J41" s="12" t="str">
        <f aca="false">IF(INDEX(選手一覧!$G$5:$G$2736,$F41)="","",INDEX(選手一覧!$G$5:$G$2736,$F41))</f>
        <v/>
      </c>
    </row>
    <row r="42" customFormat="false" ht="15" hidden="false" customHeight="false" outlineLevel="0" collapsed="false">
      <c r="A42" s="21" t="n">
        <v>38</v>
      </c>
      <c r="B42" s="17" t="s">
        <v>109</v>
      </c>
      <c r="C42" s="17" t="s">
        <v>41</v>
      </c>
      <c r="D42" s="20" t="n">
        <v>0.00271238425925926</v>
      </c>
      <c r="E42" s="40" t="n">
        <f aca="false">ROUND((D42-$D$5)*86400,2)</f>
        <v>9.32</v>
      </c>
      <c r="F42" s="21" t="n">
        <v>45</v>
      </c>
      <c r="G42" s="20" t="n">
        <f aca="false">IF(INDEX(選手一覧!$D$5:$D$2736,$F42)="","",INDEX(選手一覧!$D$5:$D$2736,$F42))</f>
        <v>0.0100895833333333</v>
      </c>
      <c r="H42" s="21" t="n">
        <f aca="false">IF(INDEX(選手一覧!$E$5:$E$2736,$F42)="","",INDEX(選手一覧!$E$5:$E$2736,$F42))</f>
        <v>46</v>
      </c>
      <c r="I42" s="20" t="str">
        <f aca="false">IF(INDEX(選手一覧!$F$5:$F$2736,$F42)="","",INDEX(選手一覧!$F$5:$F$2736,$F42))</f>
        <v/>
      </c>
      <c r="J42" s="21" t="str">
        <f aca="false">IF(INDEX(選手一覧!$G$5:$G$2736,$F42)="","",INDEX(選手一覧!$G$5:$G$2736,$F42))</f>
        <v/>
      </c>
    </row>
    <row r="43" customFormat="false" ht="15" hidden="false" customHeight="false" outlineLevel="0" collapsed="false">
      <c r="A43" s="12" t="n">
        <v>39</v>
      </c>
      <c r="B43" s="8" t="s">
        <v>121</v>
      </c>
      <c r="C43" s="8" t="s">
        <v>122</v>
      </c>
      <c r="D43" s="11" t="n">
        <v>0.00271296296296296</v>
      </c>
      <c r="E43" s="39" t="n">
        <f aca="false">ROUND((D43-$D$5)*86400,2)</f>
        <v>9.37</v>
      </c>
      <c r="F43" s="12" t="n">
        <v>51</v>
      </c>
      <c r="G43" s="11" t="n">
        <f aca="false">IF(INDEX(選手一覧!$D$5:$D$2736,$F43)="","",INDEX(選手一覧!$D$5:$D$2736,$F43))</f>
        <v>0.0101003472222222</v>
      </c>
      <c r="H43" s="12" t="n">
        <f aca="false">IF(INDEX(選手一覧!$E$5:$E$2736,$F43)="","",INDEX(選手一覧!$E$5:$E$2736,$F43))</f>
        <v>52</v>
      </c>
      <c r="I43" s="11" t="str">
        <f aca="false">IF(INDEX(選手一覧!$F$5:$F$2736,$F43)="","",INDEX(選手一覧!$F$5:$F$2736,$F43))</f>
        <v/>
      </c>
      <c r="J43" s="12" t="str">
        <f aca="false">IF(INDEX(選手一覧!$G$5:$G$2736,$F43)="","",INDEX(選手一覧!$G$5:$G$2736,$F43))</f>
        <v/>
      </c>
    </row>
    <row r="44" customFormat="false" ht="15" hidden="false" customHeight="false" outlineLevel="0" collapsed="false">
      <c r="A44" s="12" t="n">
        <v>40</v>
      </c>
      <c r="B44" s="8" t="s">
        <v>950</v>
      </c>
      <c r="C44" s="8" t="s">
        <v>281</v>
      </c>
      <c r="D44" s="11" t="n">
        <v>0.0027130787037037</v>
      </c>
      <c r="E44" s="39" t="n">
        <f aca="false">ROUND((D44-$D$5)*86400,2)</f>
        <v>9.38</v>
      </c>
      <c r="F44" s="12" t="n">
        <v>547</v>
      </c>
      <c r="G44" s="11" t="n">
        <f aca="false">IF(INDEX(選手一覧!$D$5:$D$2736,$F44)="","",INDEX(選手一覧!$D$5:$D$2736,$F44))</f>
        <v>0.0106701388888889</v>
      </c>
      <c r="H44" s="12" t="n">
        <f aca="false">IF(INDEX(選手一覧!$E$5:$E$2736,$F44)="","",INDEX(選手一覧!$E$5:$E$2736,$F44))</f>
        <v>548</v>
      </c>
      <c r="I44" s="11" t="str">
        <f aca="false">IF(INDEX(選手一覧!$F$5:$F$2736,$F44)="","",INDEX(選手一覧!$F$5:$F$2736,$F44))</f>
        <v/>
      </c>
      <c r="J44" s="12" t="str">
        <f aca="false">IF(INDEX(選手一覧!$G$5:$G$2736,$F44)="","",INDEX(選手一覧!$G$5:$G$2736,$F44))</f>
        <v/>
      </c>
    </row>
    <row r="45" customFormat="false" ht="15" hidden="false" customHeight="false" outlineLevel="0" collapsed="false">
      <c r="A45" s="12" t="n">
        <v>41</v>
      </c>
      <c r="B45" s="8" t="s">
        <v>133</v>
      </c>
      <c r="C45" s="8" t="s">
        <v>134</v>
      </c>
      <c r="D45" s="11" t="n">
        <v>0.00271319444444444</v>
      </c>
      <c r="E45" s="39" t="n">
        <f aca="false">ROUND((D45-$D$5)*86400,2)</f>
        <v>9.39</v>
      </c>
      <c r="F45" s="12" t="n">
        <v>58</v>
      </c>
      <c r="G45" s="11" t="n">
        <f aca="false">IF(INDEX(選手一覧!$D$5:$D$2736,$F45)="","",INDEX(選手一覧!$D$5:$D$2736,$F45))</f>
        <v>0.010127662037037</v>
      </c>
      <c r="H45" s="12" t="n">
        <f aca="false">IF(INDEX(選手一覧!$E$5:$E$2736,$F45)="","",INDEX(選手一覧!$E$5:$E$2736,$F45))</f>
        <v>59</v>
      </c>
      <c r="I45" s="11" t="str">
        <f aca="false">IF(INDEX(選手一覧!$F$5:$F$2736,$F45)="","",INDEX(選手一覧!$F$5:$F$2736,$F45))</f>
        <v/>
      </c>
      <c r="J45" s="12" t="str">
        <f aca="false">IF(INDEX(選手一覧!$G$5:$G$2736,$F45)="","",INDEX(選手一覧!$G$5:$G$2736,$F45))</f>
        <v/>
      </c>
    </row>
    <row r="46" customFormat="false" ht="15" hidden="false" customHeight="false" outlineLevel="0" collapsed="false">
      <c r="A46" s="12" t="n">
        <v>42</v>
      </c>
      <c r="B46" s="8" t="s">
        <v>380</v>
      </c>
      <c r="C46" s="8" t="s">
        <v>344</v>
      </c>
      <c r="D46" s="11" t="n">
        <v>0.00271400462962963</v>
      </c>
      <c r="E46" s="39" t="n">
        <f aca="false">ROUND((D46-$D$5)*86400,2)</f>
        <v>9.46</v>
      </c>
      <c r="F46" s="12" t="n">
        <v>192</v>
      </c>
      <c r="G46" s="11" t="n">
        <f aca="false">IF(INDEX(選手一覧!$D$5:$D$2736,$F46)="","",INDEX(選手一覧!$D$5:$D$2736,$F46))</f>
        <v>0.0103403935185185</v>
      </c>
      <c r="H46" s="12" t="n">
        <f aca="false">IF(INDEX(選手一覧!$E$5:$E$2736,$F46)="","",INDEX(選手一覧!$E$5:$E$2736,$F46))</f>
        <v>193</v>
      </c>
      <c r="I46" s="11" t="str">
        <f aca="false">IF(INDEX(選手一覧!$F$5:$F$2736,$F46)="","",INDEX(選手一覧!$F$5:$F$2736,$F46))</f>
        <v/>
      </c>
      <c r="J46" s="12" t="str">
        <f aca="false">IF(INDEX(選手一覧!$G$5:$G$2736,$F46)="","",INDEX(選手一覧!$G$5:$G$2736,$F46))</f>
        <v/>
      </c>
    </row>
    <row r="47" customFormat="false" ht="15" hidden="false" customHeight="false" outlineLevel="0" collapsed="false">
      <c r="A47" s="12" t="n">
        <v>43</v>
      </c>
      <c r="B47" s="8" t="s">
        <v>1309</v>
      </c>
      <c r="C47" s="8" t="s">
        <v>262</v>
      </c>
      <c r="D47" s="11" t="n">
        <v>0.00271527777777778</v>
      </c>
      <c r="E47" s="39" t="n">
        <f aca="false">ROUND((D47-$D$5)*86400,2)</f>
        <v>9.57</v>
      </c>
      <c r="F47" s="12" t="n">
        <v>793</v>
      </c>
      <c r="G47" s="11" t="n">
        <f aca="false">IF(INDEX(選手一覧!$D$5:$D$2736,$F47)="","",INDEX(選手一覧!$D$5:$D$2736,$F47))</f>
        <v>0.0108314814814815</v>
      </c>
      <c r="H47" s="12" t="n">
        <f aca="false">IF(INDEX(選手一覧!$E$5:$E$2736,$F47)="","",INDEX(選手一覧!$E$5:$E$2736,$F47))</f>
        <v>794</v>
      </c>
      <c r="I47" s="11" t="str">
        <f aca="false">IF(INDEX(選手一覧!$F$5:$F$2736,$F47)="","",INDEX(選手一覧!$F$5:$F$2736,$F47))</f>
        <v/>
      </c>
      <c r="J47" s="12" t="str">
        <f aca="false">IF(INDEX(選手一覧!$G$5:$G$2736,$F47)="","",INDEX(選手一覧!$G$5:$G$2736,$F47))</f>
        <v/>
      </c>
    </row>
    <row r="48" customFormat="false" ht="15" hidden="false" customHeight="false" outlineLevel="0" collapsed="false">
      <c r="A48" s="12" t="n">
        <v>44</v>
      </c>
      <c r="B48" s="8" t="s">
        <v>258</v>
      </c>
      <c r="C48" s="8" t="s">
        <v>259</v>
      </c>
      <c r="D48" s="11" t="n">
        <v>0.00271724537037037</v>
      </c>
      <c r="E48" s="39" t="n">
        <f aca="false">ROUND((D48-$D$5)*86400,2)</f>
        <v>9.74</v>
      </c>
      <c r="F48" s="12" t="n">
        <v>125</v>
      </c>
      <c r="G48" s="11" t="n">
        <f aca="false">IF(INDEX(選手一覧!$D$5:$D$2736,$F48)="","",INDEX(選手一覧!$D$5:$D$2736,$F48))</f>
        <v>0.0102458333333333</v>
      </c>
      <c r="H48" s="12" t="n">
        <f aca="false">IF(INDEX(選手一覧!$E$5:$E$2736,$F48)="","",INDEX(選手一覧!$E$5:$E$2736,$F48))</f>
        <v>126</v>
      </c>
      <c r="I48" s="11" t="n">
        <f aca="false">IF(INDEX(選手一覧!$F$5:$F$2736,$F48)="","",INDEX(選手一覧!$F$5:$F$2736,$F48))</f>
        <v>0.00804594907407407</v>
      </c>
      <c r="J48" s="12" t="n">
        <f aca="false">IF(INDEX(選手一覧!$G$5:$G$2736,$F48)="","",INDEX(選手一覧!$G$5:$G$2736,$F48))</f>
        <v>1199</v>
      </c>
    </row>
    <row r="49" customFormat="false" ht="15" hidden="false" customHeight="false" outlineLevel="0" collapsed="false">
      <c r="A49" s="12" t="n">
        <v>45</v>
      </c>
      <c r="B49" s="8" t="s">
        <v>147</v>
      </c>
      <c r="C49" s="8" t="s">
        <v>148</v>
      </c>
      <c r="D49" s="11" t="n">
        <v>0.00271736111111111</v>
      </c>
      <c r="E49" s="39" t="n">
        <f aca="false">ROUND((D49-$D$5)*86400,2)</f>
        <v>9.75</v>
      </c>
      <c r="F49" s="12" t="n">
        <v>65</v>
      </c>
      <c r="G49" s="11" t="n">
        <f aca="false">IF(INDEX(選手一覧!$D$5:$D$2736,$F49)="","",INDEX(選手一覧!$D$5:$D$2736,$F49))</f>
        <v>0.0101373842592593</v>
      </c>
      <c r="H49" s="12" t="n">
        <f aca="false">IF(INDEX(選手一覧!$E$5:$E$2736,$F49)="","",INDEX(選手一覧!$E$5:$E$2736,$F49))</f>
        <v>66</v>
      </c>
      <c r="I49" s="11" t="str">
        <f aca="false">IF(INDEX(選手一覧!$F$5:$F$2736,$F49)="","",INDEX(選手一覧!$F$5:$F$2736,$F49))</f>
        <v/>
      </c>
      <c r="J49" s="12" t="str">
        <f aca="false">IF(INDEX(選手一覧!$G$5:$G$2736,$F49)="","",INDEX(選手一覧!$G$5:$G$2736,$F49))</f>
        <v/>
      </c>
    </row>
    <row r="50" customFormat="false" ht="15" hidden="false" customHeight="false" outlineLevel="0" collapsed="false">
      <c r="A50" s="21" t="n">
        <v>46</v>
      </c>
      <c r="B50" s="17" t="s">
        <v>95</v>
      </c>
      <c r="C50" s="17" t="s">
        <v>96</v>
      </c>
      <c r="D50" s="20" t="n">
        <v>0.00271759259259259</v>
      </c>
      <c r="E50" s="40" t="n">
        <f aca="false">ROUND((D50-$D$5)*86400,2)</f>
        <v>9.77</v>
      </c>
      <c r="F50" s="21" t="n">
        <v>37</v>
      </c>
      <c r="G50" s="20" t="n">
        <f aca="false">IF(INDEX(選手一覧!$D$5:$D$2736,$F50)="","",INDEX(選手一覧!$D$5:$D$2736,$F50))</f>
        <v>0.0100549768518519</v>
      </c>
      <c r="H50" s="21" t="n">
        <f aca="false">IF(INDEX(選手一覧!$E$5:$E$2736,$F50)="","",INDEX(選手一覧!$E$5:$E$2736,$F50))</f>
        <v>38</v>
      </c>
      <c r="I50" s="20" t="str">
        <f aca="false">IF(INDEX(選手一覧!$F$5:$F$2736,$F50)="","",INDEX(選手一覧!$F$5:$F$2736,$F50))</f>
        <v/>
      </c>
      <c r="J50" s="21" t="str">
        <f aca="false">IF(INDEX(選手一覧!$G$5:$G$2736,$F50)="","",INDEX(選手一覧!$G$5:$G$2736,$F50))</f>
        <v/>
      </c>
    </row>
    <row r="51" customFormat="false" ht="15" hidden="false" customHeight="false" outlineLevel="0" collapsed="false">
      <c r="A51" s="12" t="n">
        <v>47</v>
      </c>
      <c r="B51" s="8" t="s">
        <v>111</v>
      </c>
      <c r="C51" s="8" t="s">
        <v>23</v>
      </c>
      <c r="D51" s="11" t="n">
        <v>0.00271898148148148</v>
      </c>
      <c r="E51" s="39" t="n">
        <f aca="false">ROUND((D51-$D$5)*86400,2)</f>
        <v>9.89</v>
      </c>
      <c r="F51" s="12" t="n">
        <v>46</v>
      </c>
      <c r="G51" s="11" t="n">
        <f aca="false">IF(INDEX(選手一覧!$D$5:$D$2736,$F51)="","",INDEX(選手一覧!$D$5:$D$2736,$F51))</f>
        <v>0.0100917824074074</v>
      </c>
      <c r="H51" s="12" t="n">
        <f aca="false">IF(INDEX(選手一覧!$E$5:$E$2736,$F51)="","",INDEX(選手一覧!$E$5:$E$2736,$F51))</f>
        <v>47</v>
      </c>
      <c r="I51" s="11" t="str">
        <f aca="false">IF(INDEX(選手一覧!$F$5:$F$2736,$F51)="","",INDEX(選手一覧!$F$5:$F$2736,$F51))</f>
        <v/>
      </c>
      <c r="J51" s="12" t="str">
        <f aca="false">IF(INDEX(選手一覧!$G$5:$G$2736,$F51)="","",INDEX(選手一覧!$G$5:$G$2736,$F51))</f>
        <v/>
      </c>
    </row>
    <row r="52" customFormat="false" ht="15" hidden="false" customHeight="false" outlineLevel="0" collapsed="false">
      <c r="A52" s="21" t="n">
        <v>48</v>
      </c>
      <c r="B52" s="17" t="s">
        <v>75</v>
      </c>
      <c r="C52" s="17" t="s">
        <v>76</v>
      </c>
      <c r="D52" s="20" t="n">
        <v>0.00271909722222222</v>
      </c>
      <c r="E52" s="40" t="n">
        <f aca="false">ROUND((D52-$D$5)*86400,2)</f>
        <v>9.9</v>
      </c>
      <c r="F52" s="21" t="n">
        <v>27</v>
      </c>
      <c r="G52" s="20" t="n">
        <f aca="false">IF(INDEX(選手一覧!$D$5:$D$2736,$F52)="","",INDEX(選手一覧!$D$5:$D$2736,$F52))</f>
        <v>0.0100331018518519</v>
      </c>
      <c r="H52" s="21" t="n">
        <f aca="false">IF(INDEX(選手一覧!$E$5:$E$2736,$F52)="","",INDEX(選手一覧!$E$5:$E$2736,$F52))</f>
        <v>28</v>
      </c>
      <c r="I52" s="20" t="str">
        <f aca="false">IF(INDEX(選手一覧!$F$5:$F$2736,$F52)="","",INDEX(選手一覧!$F$5:$F$2736,$F52))</f>
        <v/>
      </c>
      <c r="J52" s="21" t="str">
        <f aca="false">IF(INDEX(選手一覧!$G$5:$G$2736,$F52)="","",INDEX(選手一覧!$G$5:$G$2736,$F52))</f>
        <v/>
      </c>
    </row>
    <row r="53" customFormat="false" ht="15" hidden="false" customHeight="false" outlineLevel="0" collapsed="false">
      <c r="A53" s="12" t="n">
        <v>50</v>
      </c>
      <c r="B53" s="8" t="s">
        <v>952</v>
      </c>
      <c r="C53" s="8" t="s">
        <v>309</v>
      </c>
      <c r="D53" s="11" t="n">
        <v>0.00272175925925926</v>
      </c>
      <c r="E53" s="39" t="n">
        <f aca="false">ROUND((D53-$D$5)*86400,2)</f>
        <v>10.13</v>
      </c>
      <c r="F53" s="12" t="n">
        <v>549</v>
      </c>
      <c r="G53" s="11" t="n">
        <f aca="false">IF(INDEX(選手一覧!$D$5:$D$2736,$F53)="","",INDEX(選手一覧!$D$5:$D$2736,$F53))</f>
        <v>0.010671412037037</v>
      </c>
      <c r="H53" s="12" t="n">
        <f aca="false">IF(INDEX(選手一覧!$E$5:$E$2736,$F53)="","",INDEX(選手一覧!$E$5:$E$2736,$F53))</f>
        <v>550</v>
      </c>
      <c r="I53" s="11" t="str">
        <f aca="false">IF(INDEX(選手一覧!$F$5:$F$2736,$F53)="","",INDEX(選手一覧!$F$5:$F$2736,$F53))</f>
        <v/>
      </c>
      <c r="J53" s="12" t="str">
        <f aca="false">IF(INDEX(選手一覧!$G$5:$G$2736,$F53)="","",INDEX(選手一覧!$G$5:$G$2736,$F53))</f>
        <v/>
      </c>
    </row>
    <row r="54" customFormat="false" ht="15" hidden="false" customHeight="false" outlineLevel="0" collapsed="false">
      <c r="A54" s="12" t="n">
        <v>51</v>
      </c>
      <c r="B54" s="8" t="s">
        <v>22</v>
      </c>
      <c r="C54" s="8" t="s">
        <v>23</v>
      </c>
      <c r="D54" s="11" t="n">
        <v>0.002721875</v>
      </c>
      <c r="E54" s="39" t="n">
        <f aca="false">ROUND((D54-$D$5)*86400,2)</f>
        <v>10.14</v>
      </c>
      <c r="F54" s="12" t="n">
        <v>4</v>
      </c>
      <c r="G54" s="11" t="n">
        <f aca="false">IF(INDEX(選手一覧!$D$5:$D$2736,$F54)="","",INDEX(選手一覧!$D$5:$D$2736,$F54))</f>
        <v>0.00971435185185185</v>
      </c>
      <c r="H54" s="12" t="n">
        <f aca="false">IF(INDEX(選手一覧!$E$5:$E$2736,$F54)="","",INDEX(選手一覧!$E$5:$E$2736,$F54))</f>
        <v>4</v>
      </c>
      <c r="I54" s="11" t="str">
        <f aca="false">IF(INDEX(選手一覧!$F$5:$F$2736,$F54)="","",INDEX(選手一覧!$F$5:$F$2736,$F54))</f>
        <v/>
      </c>
      <c r="J54" s="12" t="str">
        <f aca="false">IF(INDEX(選手一覧!$G$5:$G$2736,$F54)="","",INDEX(選手一覧!$G$5:$G$2736,$F54))</f>
        <v/>
      </c>
    </row>
    <row r="55" customFormat="false" ht="15" hidden="false" customHeight="false" outlineLevel="0" collapsed="false">
      <c r="A55" s="12" t="n">
        <v>52</v>
      </c>
      <c r="B55" s="8" t="s">
        <v>561</v>
      </c>
      <c r="C55" s="8" t="s">
        <v>562</v>
      </c>
      <c r="D55" s="11" t="n">
        <v>0.00272256944444444</v>
      </c>
      <c r="E55" s="39" t="n">
        <f aca="false">ROUND((D55-$D$5)*86400,2)</f>
        <v>10.2</v>
      </c>
      <c r="F55" s="12" t="n">
        <v>303</v>
      </c>
      <c r="G55" s="11" t="n">
        <f aca="false">IF(INDEX(選手一覧!$D$5:$D$2736,$F55)="","",INDEX(選手一覧!$D$5:$D$2736,$F55))</f>
        <v>0.0104509259259259</v>
      </c>
      <c r="H55" s="12" t="n">
        <f aca="false">IF(INDEX(選手一覧!$E$5:$E$2736,$F55)="","",INDEX(選手一覧!$E$5:$E$2736,$F55))</f>
        <v>304</v>
      </c>
      <c r="I55" s="11" t="str">
        <f aca="false">IF(INDEX(選手一覧!$F$5:$F$2736,$F55)="","",INDEX(選手一覧!$F$5:$F$2736,$F55))</f>
        <v/>
      </c>
      <c r="J55" s="12" t="str">
        <f aca="false">IF(INDEX(選手一覧!$G$5:$G$2736,$F55)="","",INDEX(選手一覧!$G$5:$G$2736,$F55))</f>
        <v/>
      </c>
    </row>
    <row r="56" customFormat="false" ht="15" hidden="false" customHeight="false" outlineLevel="0" collapsed="false">
      <c r="A56" s="12" t="n">
        <v>53</v>
      </c>
      <c r="B56" s="8" t="s">
        <v>1375</v>
      </c>
      <c r="C56" s="8" t="s">
        <v>1376</v>
      </c>
      <c r="D56" s="11" t="n">
        <v>0.00272280092592593</v>
      </c>
      <c r="E56" s="39" t="n">
        <f aca="false">ROUND((D56-$D$5)*86400,2)</f>
        <v>10.22</v>
      </c>
      <c r="F56" s="12" t="n">
        <v>836</v>
      </c>
      <c r="G56" s="11" t="n">
        <f aca="false">IF(INDEX(選手一覧!$D$5:$D$2736,$F56)="","",INDEX(選手一覧!$D$5:$D$2736,$F56))</f>
        <v>0.0108503472222222</v>
      </c>
      <c r="H56" s="12" t="n">
        <f aca="false">IF(INDEX(選手一覧!$E$5:$E$2736,$F56)="","",INDEX(選手一覧!$E$5:$E$2736,$F56))</f>
        <v>837</v>
      </c>
      <c r="I56" s="11" t="str">
        <f aca="false">IF(INDEX(選手一覧!$F$5:$F$2736,$F56)="","",INDEX(選手一覧!$F$5:$F$2736,$F56))</f>
        <v/>
      </c>
      <c r="J56" s="12" t="str">
        <f aca="false">IF(INDEX(選手一覧!$G$5:$G$2736,$F56)="","",INDEX(選手一覧!$G$5:$G$2736,$F56))</f>
        <v/>
      </c>
    </row>
    <row r="57" customFormat="false" ht="15" hidden="false" customHeight="false" outlineLevel="0" collapsed="false">
      <c r="A57" s="12" t="n">
        <v>54</v>
      </c>
      <c r="B57" s="8" t="s">
        <v>993</v>
      </c>
      <c r="C57" s="8" t="s">
        <v>554</v>
      </c>
      <c r="D57" s="11" t="n">
        <v>0.00272337962962963</v>
      </c>
      <c r="E57" s="39" t="n">
        <f aca="false">ROUND((D57-$D$5)*86400,2)</f>
        <v>10.27</v>
      </c>
      <c r="F57" s="12" t="n">
        <v>577</v>
      </c>
      <c r="G57" s="11" t="n">
        <f aca="false">IF(INDEX(選手一覧!$D$5:$D$2736,$F57)="","",INDEX(選手一覧!$D$5:$D$2736,$F57))</f>
        <v>0.0106987268518519</v>
      </c>
      <c r="H57" s="12" t="n">
        <f aca="false">IF(INDEX(選手一覧!$E$5:$E$2736,$F57)="","",INDEX(選手一覧!$E$5:$E$2736,$F57))</f>
        <v>578</v>
      </c>
      <c r="I57" s="11" t="str">
        <f aca="false">IF(INDEX(選手一覧!$F$5:$F$2736,$F57)="","",INDEX(選手一覧!$F$5:$F$2736,$F57))</f>
        <v/>
      </c>
      <c r="J57" s="12" t="str">
        <f aca="false">IF(INDEX(選手一覧!$G$5:$G$2736,$F57)="","",INDEX(選手一覧!$G$5:$G$2736,$F57))</f>
        <v/>
      </c>
    </row>
    <row r="58" customFormat="false" ht="15" hidden="false" customHeight="false" outlineLevel="0" collapsed="false">
      <c r="A58" s="12" t="n">
        <v>55</v>
      </c>
      <c r="B58" s="8" t="s">
        <v>53</v>
      </c>
      <c r="C58" s="8" t="s">
        <v>54</v>
      </c>
      <c r="D58" s="11" t="n">
        <v>0.00272430555555556</v>
      </c>
      <c r="E58" s="39" t="n">
        <f aca="false">ROUND((D58-$D$5)*86400,2)</f>
        <v>10.35</v>
      </c>
      <c r="F58" s="12" t="n">
        <v>17</v>
      </c>
      <c r="G58" s="11" t="n">
        <f aca="false">IF(INDEX(選手一覧!$D$5:$D$2736,$F58)="","",INDEX(選手一覧!$D$5:$D$2736,$F58))</f>
        <v>0.0099462962962963</v>
      </c>
      <c r="H58" s="12" t="n">
        <f aca="false">IF(INDEX(選手一覧!$E$5:$E$2736,$F58)="","",INDEX(選手一覧!$E$5:$E$2736,$F58))</f>
        <v>18</v>
      </c>
      <c r="I58" s="11" t="str">
        <f aca="false">IF(INDEX(選手一覧!$F$5:$F$2736,$F58)="","",INDEX(選手一覧!$F$5:$F$2736,$F58))</f>
        <v/>
      </c>
      <c r="J58" s="12" t="str">
        <f aca="false">IF(INDEX(選手一覧!$G$5:$G$2736,$F58)="","",INDEX(選手一覧!$G$5:$G$2736,$F58))</f>
        <v/>
      </c>
    </row>
    <row r="59" customFormat="false" ht="15" hidden="false" customHeight="false" outlineLevel="0" collapsed="false">
      <c r="A59" s="12" t="n">
        <v>56</v>
      </c>
      <c r="B59" s="8" t="s">
        <v>60</v>
      </c>
      <c r="C59" s="8" t="s">
        <v>61</v>
      </c>
      <c r="D59" s="11" t="n">
        <v>0.0027244212962963</v>
      </c>
      <c r="E59" s="39" t="n">
        <f aca="false">ROUND((D59-$D$5)*86400,2)</f>
        <v>10.36</v>
      </c>
      <c r="F59" s="12" t="n">
        <v>20</v>
      </c>
      <c r="G59" s="11" t="n">
        <f aca="false">IF(INDEX(選手一覧!$D$5:$D$2736,$F59)="","",INDEX(選手一覧!$D$5:$D$2736,$F59))</f>
        <v>0.00997708333333333</v>
      </c>
      <c r="H59" s="12" t="n">
        <f aca="false">IF(INDEX(選手一覧!$E$5:$E$2736,$F59)="","",INDEX(選手一覧!$E$5:$E$2736,$F59))</f>
        <v>21</v>
      </c>
      <c r="I59" s="11" t="str">
        <f aca="false">IF(INDEX(選手一覧!$F$5:$F$2736,$F59)="","",INDEX(選手一覧!$F$5:$F$2736,$F59))</f>
        <v/>
      </c>
      <c r="J59" s="12" t="str">
        <f aca="false">IF(INDEX(選手一覧!$G$5:$G$2736,$F59)="","",INDEX(選手一覧!$G$5:$G$2736,$F59))</f>
        <v/>
      </c>
    </row>
    <row r="60" customFormat="false" ht="15" hidden="false" customHeight="false" outlineLevel="0" collapsed="false">
      <c r="A60" s="12" t="n">
        <v>57</v>
      </c>
      <c r="B60" s="8" t="s">
        <v>216</v>
      </c>
      <c r="C60" s="8" t="s">
        <v>134</v>
      </c>
      <c r="D60" s="11" t="n">
        <v>0.00272511574074074</v>
      </c>
      <c r="E60" s="39" t="n">
        <f aca="false">ROUND((D60-$D$5)*86400,2)</f>
        <v>10.42</v>
      </c>
      <c r="F60" s="12" t="n">
        <v>102</v>
      </c>
      <c r="G60" s="11" t="n">
        <f aca="false">IF(INDEX(選手一覧!$D$5:$D$2736,$F60)="","",INDEX(選手一覧!$D$5:$D$2736,$F60))</f>
        <v>0.0102142361111111</v>
      </c>
      <c r="H60" s="12" t="n">
        <f aca="false">IF(INDEX(選手一覧!$E$5:$E$2736,$F60)="","",INDEX(選手一覧!$E$5:$E$2736,$F60))</f>
        <v>103</v>
      </c>
      <c r="I60" s="11" t="str">
        <f aca="false">IF(INDEX(選手一覧!$F$5:$F$2736,$F60)="","",INDEX(選手一覧!$F$5:$F$2736,$F60))</f>
        <v/>
      </c>
      <c r="J60" s="12" t="str">
        <f aca="false">IF(INDEX(選手一覧!$G$5:$G$2736,$F60)="","",INDEX(選手一覧!$G$5:$G$2736,$F60))</f>
        <v/>
      </c>
    </row>
    <row r="61" customFormat="false" ht="15" hidden="false" customHeight="false" outlineLevel="0" collapsed="false">
      <c r="A61" s="21" t="n">
        <v>58</v>
      </c>
      <c r="B61" s="17" t="s">
        <v>82</v>
      </c>
      <c r="C61" s="17" t="s">
        <v>83</v>
      </c>
      <c r="D61" s="20" t="n">
        <v>0.00272511574074074</v>
      </c>
      <c r="E61" s="40" t="n">
        <f aca="false">ROUND((D61-$D$5)*86400,2)</f>
        <v>10.42</v>
      </c>
      <c r="F61" s="21" t="n">
        <v>31</v>
      </c>
      <c r="G61" s="20" t="n">
        <f aca="false">IF(INDEX(選手一覧!$D$5:$D$2736,$F61)="","",INDEX(選手一覧!$D$5:$D$2736,$F61))</f>
        <v>0.0100430555555556</v>
      </c>
      <c r="H61" s="21" t="n">
        <f aca="false">IF(INDEX(選手一覧!$E$5:$E$2736,$F61)="","",INDEX(選手一覧!$E$5:$E$2736,$F61))</f>
        <v>32</v>
      </c>
      <c r="I61" s="20" t="str">
        <f aca="false">IF(INDEX(選手一覧!$F$5:$F$2736,$F61)="","",INDEX(選手一覧!$F$5:$F$2736,$F61))</f>
        <v/>
      </c>
      <c r="J61" s="21" t="str">
        <f aca="false">IF(INDEX(選手一覧!$G$5:$G$2736,$F61)="","",INDEX(選手一覧!$G$5:$G$2736,$F61))</f>
        <v/>
      </c>
    </row>
    <row r="62" customFormat="false" ht="15" hidden="false" customHeight="false" outlineLevel="0" collapsed="false">
      <c r="A62" s="12" t="n">
        <v>59</v>
      </c>
      <c r="B62" s="8" t="s">
        <v>998</v>
      </c>
      <c r="C62" s="8" t="s">
        <v>999</v>
      </c>
      <c r="D62" s="11" t="n">
        <v>0.00272546296296296</v>
      </c>
      <c r="E62" s="39" t="n">
        <f aca="false">ROUND((D62-$D$5)*86400,2)</f>
        <v>10.45</v>
      </c>
      <c r="F62" s="12" t="n">
        <v>580</v>
      </c>
      <c r="G62" s="11" t="n">
        <f aca="false">IF(INDEX(選手一覧!$D$5:$D$2736,$F62)="","",INDEX(選手一覧!$D$5:$D$2736,$F62))</f>
        <v>0.0106994212962963</v>
      </c>
      <c r="H62" s="12" t="n">
        <f aca="false">IF(INDEX(選手一覧!$E$5:$E$2736,$F62)="","",INDEX(選手一覧!$E$5:$E$2736,$F62))</f>
        <v>581</v>
      </c>
      <c r="I62" s="11" t="str">
        <f aca="false">IF(INDEX(選手一覧!$F$5:$F$2736,$F62)="","",INDEX(選手一覧!$F$5:$F$2736,$F62))</f>
        <v/>
      </c>
      <c r="J62" s="12" t="str">
        <f aca="false">IF(INDEX(選手一覧!$G$5:$G$2736,$F62)="","",INDEX(選手一覧!$G$5:$G$2736,$F62))</f>
        <v/>
      </c>
    </row>
    <row r="63" customFormat="false" ht="15" hidden="false" customHeight="false" outlineLevel="0" collapsed="false">
      <c r="A63" s="12" t="n">
        <v>60</v>
      </c>
      <c r="B63" s="8" t="s">
        <v>181</v>
      </c>
      <c r="C63" s="8" t="s">
        <v>143</v>
      </c>
      <c r="D63" s="11" t="n">
        <v>0.00272847222222222</v>
      </c>
      <c r="E63" s="39" t="n">
        <f aca="false">ROUND((D63-$D$5)*86400,2)</f>
        <v>10.71</v>
      </c>
      <c r="F63" s="12" t="n">
        <v>82</v>
      </c>
      <c r="G63" s="11" t="n">
        <f aca="false">IF(INDEX(選手一覧!$D$5:$D$2736,$F63)="","",INDEX(選手一覧!$D$5:$D$2736,$F63))</f>
        <v>0.0101766203703704</v>
      </c>
      <c r="H63" s="12" t="n">
        <f aca="false">IF(INDEX(選手一覧!$E$5:$E$2736,$F63)="","",INDEX(選手一覧!$E$5:$E$2736,$F63))</f>
        <v>83</v>
      </c>
      <c r="I63" s="11" t="str">
        <f aca="false">IF(INDEX(選手一覧!$F$5:$F$2736,$F63)="","",INDEX(選手一覧!$F$5:$F$2736,$F63))</f>
        <v/>
      </c>
      <c r="J63" s="12" t="str">
        <f aca="false">IF(INDEX(選手一覧!$G$5:$G$2736,$F63)="","",INDEX(選手一覧!$G$5:$G$2736,$F63))</f>
        <v/>
      </c>
    </row>
    <row r="64" customFormat="false" ht="15" hidden="false" customHeight="false" outlineLevel="0" collapsed="false">
      <c r="A64" s="12" t="n">
        <v>61</v>
      </c>
      <c r="B64" s="8" t="s">
        <v>1678</v>
      </c>
      <c r="C64" s="8" t="s">
        <v>136</v>
      </c>
      <c r="D64" s="11" t="n">
        <v>0.00272881944444445</v>
      </c>
      <c r="E64" s="39" t="n">
        <f aca="false">ROUND((D64-$D$5)*86400,2)</f>
        <v>10.74</v>
      </c>
      <c r="F64" s="12" t="n">
        <v>1040</v>
      </c>
      <c r="G64" s="11" t="n">
        <f aca="false">IF(INDEX(選手一覧!$D$5:$D$2736,$F64)="","",INDEX(選手一覧!$D$5:$D$2736,$F64))</f>
        <v>0.0109706018518519</v>
      </c>
      <c r="H64" s="12" t="n">
        <f aca="false">IF(INDEX(選手一覧!$E$5:$E$2736,$F64)="","",INDEX(選手一覧!$E$5:$E$2736,$F64))</f>
        <v>1041</v>
      </c>
      <c r="I64" s="11" t="str">
        <f aca="false">IF(INDEX(選手一覧!$F$5:$F$2736,$F64)="","",INDEX(選手一覧!$F$5:$F$2736,$F64))</f>
        <v/>
      </c>
      <c r="J64" s="12" t="str">
        <f aca="false">IF(INDEX(選手一覧!$G$5:$G$2736,$F64)="","",INDEX(選手一覧!$G$5:$G$2736,$F64))</f>
        <v/>
      </c>
    </row>
    <row r="65" customFormat="false" ht="15" hidden="false" customHeight="false" outlineLevel="0" collapsed="false">
      <c r="A65" s="12" t="n">
        <v>62</v>
      </c>
      <c r="B65" s="8" t="s">
        <v>115</v>
      </c>
      <c r="C65" s="8" t="s">
        <v>116</v>
      </c>
      <c r="D65" s="11" t="n">
        <v>0.00272893518518519</v>
      </c>
      <c r="E65" s="39" t="n">
        <f aca="false">ROUND((D65-$D$5)*86400,2)</f>
        <v>10.75</v>
      </c>
      <c r="F65" s="12" t="n">
        <v>48</v>
      </c>
      <c r="G65" s="11" t="n">
        <f aca="false">IF(INDEX(選手一覧!$D$5:$D$2736,$F65)="","",INDEX(選手一覧!$D$5:$D$2736,$F65))</f>
        <v>0.0100954861111111</v>
      </c>
      <c r="H65" s="12" t="n">
        <f aca="false">IF(INDEX(選手一覧!$E$5:$E$2736,$F65)="","",INDEX(選手一覧!$E$5:$E$2736,$F65))</f>
        <v>49</v>
      </c>
      <c r="I65" s="11" t="str">
        <f aca="false">IF(INDEX(選手一覧!$F$5:$F$2736,$F65)="","",INDEX(選手一覧!$F$5:$F$2736,$F65))</f>
        <v/>
      </c>
      <c r="J65" s="12" t="str">
        <f aca="false">IF(INDEX(選手一覧!$G$5:$G$2736,$F65)="","",INDEX(選手一覧!$G$5:$G$2736,$F65))</f>
        <v/>
      </c>
    </row>
    <row r="66" customFormat="false" ht="15" hidden="false" customHeight="false" outlineLevel="0" collapsed="false">
      <c r="A66" s="12" t="n">
        <v>63</v>
      </c>
      <c r="B66" s="8" t="s">
        <v>690</v>
      </c>
      <c r="C66" s="8" t="s">
        <v>691</v>
      </c>
      <c r="D66" s="11" t="n">
        <v>0.00272905092592593</v>
      </c>
      <c r="E66" s="39" t="n">
        <f aca="false">ROUND((D66-$D$5)*86400,2)</f>
        <v>10.76</v>
      </c>
      <c r="F66" s="12" t="n">
        <v>384</v>
      </c>
      <c r="G66" s="11" t="n">
        <f aca="false">IF(INDEX(選手一覧!$D$5:$D$2736,$F66)="","",INDEX(選手一覧!$D$5:$D$2736,$F66))</f>
        <v>0.0105398148148148</v>
      </c>
      <c r="H66" s="12" t="n">
        <f aca="false">IF(INDEX(選手一覧!$E$5:$E$2736,$F66)="","",INDEX(選手一覧!$E$5:$E$2736,$F66))</f>
        <v>385</v>
      </c>
      <c r="I66" s="11" t="n">
        <f aca="false">IF(INDEX(選手一覧!$F$5:$F$2736,$F66)="","",INDEX(選手一覧!$F$5:$F$2736,$F66))</f>
        <v>0.00639525462962963</v>
      </c>
      <c r="J66" s="12" t="n">
        <f aca="false">IF(INDEX(選手一覧!$G$5:$G$2736,$F66)="","",INDEX(選手一覧!$G$5:$G$2736,$F66))</f>
        <v>14</v>
      </c>
    </row>
    <row r="67" customFormat="false" ht="15" hidden="false" customHeight="false" outlineLevel="0" collapsed="false">
      <c r="A67" s="12" t="n">
        <v>64</v>
      </c>
      <c r="B67" s="8" t="s">
        <v>2012</v>
      </c>
      <c r="C67" s="8" t="s">
        <v>1308</v>
      </c>
      <c r="D67" s="11" t="n">
        <v>0.00272905092592593</v>
      </c>
      <c r="E67" s="39" t="n">
        <f aca="false">ROUND((D67-$D$5)*86400,2)</f>
        <v>10.76</v>
      </c>
      <c r="F67" s="12" t="n">
        <v>1275</v>
      </c>
      <c r="G67" s="11" t="n">
        <f aca="false">IF(INDEX(選手一覧!$D$5:$D$2736,$F67)="","",INDEX(選手一覧!$D$5:$D$2736,$F67))</f>
        <v>0.0111055555555556</v>
      </c>
      <c r="H67" s="12" t="n">
        <f aca="false">IF(INDEX(選手一覧!$E$5:$E$2736,$F67)="","",INDEX(選手一覧!$E$5:$E$2736,$F67))</f>
        <v>1276</v>
      </c>
      <c r="I67" s="11" t="str">
        <f aca="false">IF(INDEX(選手一覧!$F$5:$F$2736,$F67)="","",INDEX(選手一覧!$F$5:$F$2736,$F67))</f>
        <v/>
      </c>
      <c r="J67" s="12" t="str">
        <f aca="false">IF(INDEX(選手一覧!$G$5:$G$2736,$F67)="","",INDEX(選手一覧!$G$5:$G$2736,$F67))</f>
        <v/>
      </c>
    </row>
    <row r="68" customFormat="false" ht="15" hidden="false" customHeight="false" outlineLevel="0" collapsed="false">
      <c r="A68" s="12" t="n">
        <v>65</v>
      </c>
      <c r="B68" s="8" t="s">
        <v>107</v>
      </c>
      <c r="C68" s="8" t="s">
        <v>108</v>
      </c>
      <c r="D68" s="11" t="n">
        <v>0.00272962962962963</v>
      </c>
      <c r="E68" s="39" t="n">
        <f aca="false">ROUND((D68-$D$5)*86400,2)</f>
        <v>10.81</v>
      </c>
      <c r="F68" s="12" t="n">
        <v>44</v>
      </c>
      <c r="G68" s="11" t="n">
        <f aca="false">IF(INDEX(選手一覧!$D$5:$D$2736,$F68)="","",INDEX(選手一覧!$D$5:$D$2736,$F68))</f>
        <v>0.0100890046296296</v>
      </c>
      <c r="H68" s="12" t="n">
        <f aca="false">IF(INDEX(選手一覧!$E$5:$E$2736,$F68)="","",INDEX(選手一覧!$E$5:$E$2736,$F68))</f>
        <v>45</v>
      </c>
      <c r="I68" s="11" t="str">
        <f aca="false">IF(INDEX(選手一覧!$F$5:$F$2736,$F68)="","",INDEX(選手一覧!$F$5:$F$2736,$F68))</f>
        <v/>
      </c>
      <c r="J68" s="12" t="str">
        <f aca="false">IF(INDEX(選手一覧!$G$5:$G$2736,$F68)="","",INDEX(選手一覧!$G$5:$G$2736,$F68))</f>
        <v/>
      </c>
    </row>
    <row r="69" customFormat="false" ht="15" hidden="false" customHeight="false" outlineLevel="0" collapsed="false">
      <c r="A69" s="12" t="n">
        <v>66</v>
      </c>
      <c r="B69" s="8" t="s">
        <v>1148</v>
      </c>
      <c r="C69" s="8" t="s">
        <v>31</v>
      </c>
      <c r="D69" s="11" t="n">
        <v>0.00273078703703704</v>
      </c>
      <c r="E69" s="39" t="n">
        <f aca="false">ROUND((D69-$D$5)*86400,2)</f>
        <v>10.91</v>
      </c>
      <c r="F69" s="12" t="n">
        <v>684</v>
      </c>
      <c r="G69" s="11" t="n">
        <f aca="false">IF(INDEX(選手一覧!$D$5:$D$2736,$F69)="","",INDEX(選手一覧!$D$5:$D$2736,$F69))</f>
        <v>0.0107623842592593</v>
      </c>
      <c r="H69" s="12" t="n">
        <f aca="false">IF(INDEX(選手一覧!$E$5:$E$2736,$F69)="","",INDEX(選手一覧!$E$5:$E$2736,$F69))</f>
        <v>685</v>
      </c>
      <c r="I69" s="11" t="str">
        <f aca="false">IF(INDEX(選手一覧!$F$5:$F$2736,$F69)="","",INDEX(選手一覧!$F$5:$F$2736,$F69))</f>
        <v/>
      </c>
      <c r="J69" s="12" t="str">
        <f aca="false">IF(INDEX(選手一覧!$G$5:$G$2736,$F69)="","",INDEX(選手一覧!$G$5:$G$2736,$F69))</f>
        <v/>
      </c>
    </row>
    <row r="70" customFormat="false" ht="15" hidden="false" customHeight="false" outlineLevel="0" collapsed="false">
      <c r="A70" s="12" t="n">
        <v>67</v>
      </c>
      <c r="B70" s="8" t="s">
        <v>2043</v>
      </c>
      <c r="C70" s="8" t="s">
        <v>2044</v>
      </c>
      <c r="D70" s="11" t="n">
        <v>0.00273125</v>
      </c>
      <c r="E70" s="39" t="n">
        <f aca="false">ROUND((D70-$D$5)*86400,2)</f>
        <v>10.95</v>
      </c>
      <c r="F70" s="12" t="n">
        <v>1298</v>
      </c>
      <c r="G70" s="11" t="str">
        <f aca="false">IF(INDEX(選手一覧!$D$5:$D$2736,$F70)="","",INDEX(選手一覧!$D$5:$D$2736,$F70))</f>
        <v/>
      </c>
      <c r="H70" s="12" t="str">
        <f aca="false">IF(INDEX(選手一覧!$E$5:$E$2736,$F70)="","",INDEX(選手一覧!$E$5:$E$2736,$F70))</f>
        <v/>
      </c>
      <c r="I70" s="11" t="str">
        <f aca="false">IF(INDEX(選手一覧!$F$5:$F$2736,$F70)="","",INDEX(選手一覧!$F$5:$F$2736,$F70))</f>
        <v/>
      </c>
      <c r="J70" s="12" t="str">
        <f aca="false">IF(INDEX(選手一覧!$G$5:$G$2736,$F70)="","",INDEX(選手一覧!$G$5:$G$2736,$F70))</f>
        <v/>
      </c>
    </row>
    <row r="71" customFormat="false" ht="15" hidden="false" customHeight="false" outlineLevel="0" collapsed="false">
      <c r="A71" s="12" t="n">
        <v>68</v>
      </c>
      <c r="B71" s="8" t="s">
        <v>945</v>
      </c>
      <c r="C71" s="8" t="s">
        <v>946</v>
      </c>
      <c r="D71" s="11" t="n">
        <v>0.00273206018518519</v>
      </c>
      <c r="E71" s="39" t="n">
        <f aca="false">ROUND((D71-$D$5)*86400,2)</f>
        <v>11.02</v>
      </c>
      <c r="F71" s="12" t="n">
        <v>543</v>
      </c>
      <c r="G71" s="11" t="n">
        <f aca="false">IF(INDEX(選手一覧!$D$5:$D$2736,$F71)="","",INDEX(選手一覧!$D$5:$D$2736,$F71))</f>
        <v>0.0106686342592593</v>
      </c>
      <c r="H71" s="12" t="n">
        <f aca="false">IF(INDEX(選手一覧!$E$5:$E$2736,$F71)="","",INDEX(選手一覧!$E$5:$E$2736,$F71))</f>
        <v>544</v>
      </c>
      <c r="I71" s="11" t="n">
        <f aca="false">IF(INDEX(選手一覧!$F$5:$F$2736,$F71)="","",INDEX(選手一覧!$F$5:$F$2736,$F71))</f>
        <v>0.00648645833333333</v>
      </c>
      <c r="J71" s="12" t="n">
        <f aca="false">IF(INDEX(選手一覧!$G$5:$G$2736,$F71)="","",INDEX(選手一覧!$G$5:$G$2736,$F71))</f>
        <v>32</v>
      </c>
    </row>
    <row r="72" customFormat="false" ht="15" hidden="false" customHeight="false" outlineLevel="0" collapsed="false">
      <c r="A72" s="12" t="n">
        <v>69</v>
      </c>
      <c r="B72" s="8" t="s">
        <v>803</v>
      </c>
      <c r="C72" s="8" t="s">
        <v>508</v>
      </c>
      <c r="D72" s="11" t="n">
        <v>0.00273240740740741</v>
      </c>
      <c r="E72" s="39" t="n">
        <f aca="false">ROUND((D72-$D$5)*86400,2)</f>
        <v>11.05</v>
      </c>
      <c r="F72" s="12" t="n">
        <v>457</v>
      </c>
      <c r="G72" s="11" t="n">
        <f aca="false">IF(INDEX(選手一覧!$D$5:$D$2736,$F72)="","",INDEX(選手一覧!$D$5:$D$2736,$F72))</f>
        <v>0.0105918981481482</v>
      </c>
      <c r="H72" s="12" t="n">
        <f aca="false">IF(INDEX(選手一覧!$E$5:$E$2736,$F72)="","",INDEX(選手一覧!$E$5:$E$2736,$F72))</f>
        <v>458</v>
      </c>
      <c r="I72" s="11" t="str">
        <f aca="false">IF(INDEX(選手一覧!$F$5:$F$2736,$F72)="","",INDEX(選手一覧!$F$5:$F$2736,$F72))</f>
        <v/>
      </c>
      <c r="J72" s="12" t="str">
        <f aca="false">IF(INDEX(選手一覧!$G$5:$G$2736,$F72)="","",INDEX(選手一覧!$G$5:$G$2736,$F72))</f>
        <v/>
      </c>
    </row>
    <row r="73" customFormat="false" ht="15" hidden="false" customHeight="false" outlineLevel="0" collapsed="false">
      <c r="A73" s="21" t="n">
        <v>70</v>
      </c>
      <c r="B73" s="17" t="s">
        <v>55</v>
      </c>
      <c r="C73" s="17" t="s">
        <v>56</v>
      </c>
      <c r="D73" s="20" t="n">
        <v>0.00273252314814815</v>
      </c>
      <c r="E73" s="40" t="n">
        <f aca="false">ROUND((D73-$D$5)*86400,2)</f>
        <v>11.06</v>
      </c>
      <c r="F73" s="21" t="n">
        <v>18</v>
      </c>
      <c r="G73" s="20" t="n">
        <f aca="false">IF(INDEX(選手一覧!$D$5:$D$2736,$F73)="","",INDEX(選手一覧!$D$5:$D$2736,$F73))</f>
        <v>0.00997210648148148</v>
      </c>
      <c r="H73" s="21" t="n">
        <f aca="false">IF(INDEX(選手一覧!$E$5:$E$2736,$F73)="","",INDEX(選手一覧!$E$5:$E$2736,$F73))</f>
        <v>19</v>
      </c>
      <c r="I73" s="20" t="str">
        <f aca="false">IF(INDEX(選手一覧!$F$5:$F$2736,$F73)="","",INDEX(選手一覧!$F$5:$F$2736,$F73))</f>
        <v/>
      </c>
      <c r="J73" s="21" t="str">
        <f aca="false">IF(INDEX(選手一覧!$G$5:$G$2736,$F73)="","",INDEX(選手一覧!$G$5:$G$2736,$F73))</f>
        <v/>
      </c>
    </row>
    <row r="74" customFormat="false" ht="15" hidden="false" customHeight="false" outlineLevel="0" collapsed="false">
      <c r="A74" s="12" t="n">
        <v>71</v>
      </c>
      <c r="B74" s="8" t="s">
        <v>854</v>
      </c>
      <c r="C74" s="8" t="s">
        <v>233</v>
      </c>
      <c r="D74" s="11" t="n">
        <v>0.00273449074074074</v>
      </c>
      <c r="E74" s="39" t="n">
        <f aca="false">ROUND((D74-$D$5)*86400,2)</f>
        <v>11.23</v>
      </c>
      <c r="F74" s="12" t="n">
        <v>490</v>
      </c>
      <c r="G74" s="11" t="n">
        <f aca="false">IF(INDEX(選手一覧!$D$5:$D$2736,$F74)="","",INDEX(選手一覧!$D$5:$D$2736,$F74))</f>
        <v>0.0106170138888889</v>
      </c>
      <c r="H74" s="12" t="n">
        <f aca="false">IF(INDEX(選手一覧!$E$5:$E$2736,$F74)="","",INDEX(選手一覧!$E$5:$E$2736,$F74))</f>
        <v>491</v>
      </c>
      <c r="I74" s="11" t="str">
        <f aca="false">IF(INDEX(選手一覧!$F$5:$F$2736,$F74)="","",INDEX(選手一覧!$F$5:$F$2736,$F74))</f>
        <v/>
      </c>
      <c r="J74" s="12" t="str">
        <f aca="false">IF(INDEX(選手一覧!$G$5:$G$2736,$F74)="","",INDEX(選手一覧!$G$5:$G$2736,$F74))</f>
        <v/>
      </c>
    </row>
    <row r="75" customFormat="false" ht="15" hidden="false" customHeight="false" outlineLevel="0" collapsed="false">
      <c r="A75" s="12" t="n">
        <v>72</v>
      </c>
      <c r="B75" s="8" t="s">
        <v>836</v>
      </c>
      <c r="C75" s="8" t="s">
        <v>120</v>
      </c>
      <c r="D75" s="11" t="n">
        <v>0.00273506944444444</v>
      </c>
      <c r="E75" s="39" t="n">
        <f aca="false">ROUND((D75-$D$5)*86400,2)</f>
        <v>11.28</v>
      </c>
      <c r="F75" s="12" t="n">
        <v>479</v>
      </c>
      <c r="G75" s="11" t="n">
        <f aca="false">IF(INDEX(選手一覧!$D$5:$D$2736,$F75)="","",INDEX(選手一覧!$D$5:$D$2736,$F75))</f>
        <v>0.0106119212962963</v>
      </c>
      <c r="H75" s="12" t="n">
        <f aca="false">IF(INDEX(選手一覧!$E$5:$E$2736,$F75)="","",INDEX(選手一覧!$E$5:$E$2736,$F75))</f>
        <v>480</v>
      </c>
      <c r="I75" s="11" t="str">
        <f aca="false">IF(INDEX(選手一覧!$F$5:$F$2736,$F75)="","",INDEX(選手一覧!$F$5:$F$2736,$F75))</f>
        <v/>
      </c>
      <c r="J75" s="12" t="str">
        <f aca="false">IF(INDEX(選手一覧!$G$5:$G$2736,$F75)="","",INDEX(選手一覧!$G$5:$G$2736,$F75))</f>
        <v/>
      </c>
    </row>
    <row r="76" customFormat="false" ht="15" hidden="false" customHeight="false" outlineLevel="0" collapsed="false">
      <c r="A76" s="12" t="n">
        <v>73</v>
      </c>
      <c r="B76" s="8" t="s">
        <v>545</v>
      </c>
      <c r="C76" s="8" t="s">
        <v>92</v>
      </c>
      <c r="D76" s="11" t="n">
        <v>0.00273530092592593</v>
      </c>
      <c r="E76" s="39" t="n">
        <f aca="false">ROUND((D76-$D$5)*86400,2)</f>
        <v>11.3</v>
      </c>
      <c r="F76" s="12" t="n">
        <v>293</v>
      </c>
      <c r="G76" s="11" t="n">
        <f aca="false">IF(INDEX(選手一覧!$D$5:$D$2736,$F76)="","",INDEX(選手一覧!$D$5:$D$2736,$F76))</f>
        <v>0.0104302083333333</v>
      </c>
      <c r="H76" s="12" t="n">
        <f aca="false">IF(INDEX(選手一覧!$E$5:$E$2736,$F76)="","",INDEX(選手一覧!$E$5:$E$2736,$F76))</f>
        <v>294</v>
      </c>
      <c r="I76" s="11" t="str">
        <f aca="false">IF(INDEX(選手一覧!$F$5:$F$2736,$F76)="","",INDEX(選手一覧!$F$5:$F$2736,$F76))</f>
        <v/>
      </c>
      <c r="J76" s="12" t="str">
        <f aca="false">IF(INDEX(選手一覧!$G$5:$G$2736,$F76)="","",INDEX(選手一覧!$G$5:$G$2736,$F76))</f>
        <v/>
      </c>
    </row>
    <row r="77" customFormat="false" ht="15" hidden="false" customHeight="false" outlineLevel="0" collapsed="false">
      <c r="A77" s="12" t="n">
        <v>74</v>
      </c>
      <c r="B77" s="8" t="s">
        <v>57</v>
      </c>
      <c r="C77" s="8" t="s">
        <v>58</v>
      </c>
      <c r="D77" s="11" t="n">
        <v>0.00273564814814815</v>
      </c>
      <c r="E77" s="39" t="n">
        <f aca="false">ROUND((D77-$D$5)*86400,2)</f>
        <v>11.33</v>
      </c>
      <c r="F77" s="12" t="n">
        <v>19</v>
      </c>
      <c r="G77" s="11" t="n">
        <f aca="false">IF(INDEX(選手一覧!$D$5:$D$2736,$F77)="","",INDEX(選手一覧!$D$5:$D$2736,$F77))</f>
        <v>0.00997581018518519</v>
      </c>
      <c r="H77" s="12" t="n">
        <f aca="false">IF(INDEX(選手一覧!$E$5:$E$2736,$F77)="","",INDEX(選手一覧!$E$5:$E$2736,$F77))</f>
        <v>20</v>
      </c>
      <c r="I77" s="11" t="str">
        <f aca="false">IF(INDEX(選手一覧!$F$5:$F$2736,$F77)="","",INDEX(選手一覧!$F$5:$F$2736,$F77))</f>
        <v/>
      </c>
      <c r="J77" s="12" t="str">
        <f aca="false">IF(INDEX(選手一覧!$G$5:$G$2736,$F77)="","",INDEX(選手一覧!$G$5:$G$2736,$F77))</f>
        <v/>
      </c>
    </row>
    <row r="78" customFormat="false" ht="15" hidden="false" customHeight="false" outlineLevel="0" collapsed="false">
      <c r="A78" s="12" t="n">
        <v>75</v>
      </c>
      <c r="B78" s="8" t="s">
        <v>167</v>
      </c>
      <c r="C78" s="8" t="s">
        <v>158</v>
      </c>
      <c r="D78" s="11" t="n">
        <v>0.00273576388888889</v>
      </c>
      <c r="E78" s="39" t="n">
        <f aca="false">ROUND((D78-$D$5)*86400,2)</f>
        <v>11.34</v>
      </c>
      <c r="F78" s="12" t="n">
        <v>75</v>
      </c>
      <c r="G78" s="11" t="n">
        <f aca="false">IF(INDEX(選手一覧!$D$5:$D$2736,$F78)="","",INDEX(選手一覧!$D$5:$D$2736,$F78))</f>
        <v>0.010159837962963</v>
      </c>
      <c r="H78" s="12" t="n">
        <f aca="false">IF(INDEX(選手一覧!$E$5:$E$2736,$F78)="","",INDEX(選手一覧!$E$5:$E$2736,$F78))</f>
        <v>76</v>
      </c>
      <c r="I78" s="11" t="str">
        <f aca="false">IF(INDEX(選手一覧!$F$5:$F$2736,$F78)="","",INDEX(選手一覧!$F$5:$F$2736,$F78))</f>
        <v/>
      </c>
      <c r="J78" s="12" t="str">
        <f aca="false">IF(INDEX(選手一覧!$G$5:$G$2736,$F78)="","",INDEX(選手一覧!$G$5:$G$2736,$F78))</f>
        <v/>
      </c>
    </row>
    <row r="79" customFormat="false" ht="15" hidden="false" customHeight="false" outlineLevel="0" collapsed="false">
      <c r="A79" s="12" t="n">
        <v>76</v>
      </c>
      <c r="B79" s="8" t="s">
        <v>1439</v>
      </c>
      <c r="C79" s="8" t="s">
        <v>700</v>
      </c>
      <c r="D79" s="11" t="n">
        <v>0.00273611111111111</v>
      </c>
      <c r="E79" s="39" t="n">
        <f aca="false">ROUND((D79-$D$5)*86400,2)</f>
        <v>11.37</v>
      </c>
      <c r="F79" s="12" t="n">
        <v>877</v>
      </c>
      <c r="G79" s="11" t="n">
        <f aca="false">IF(INDEX(選手一覧!$D$5:$D$2736,$F79)="","",INDEX(選手一覧!$D$5:$D$2736,$F79))</f>
        <v>0.0108737268518519</v>
      </c>
      <c r="H79" s="12" t="n">
        <f aca="false">IF(INDEX(選手一覧!$E$5:$E$2736,$F79)="","",INDEX(選手一覧!$E$5:$E$2736,$F79))</f>
        <v>878</v>
      </c>
      <c r="I79" s="11" t="str">
        <f aca="false">IF(INDEX(選手一覧!$F$5:$F$2736,$F79)="","",INDEX(選手一覧!$F$5:$F$2736,$F79))</f>
        <v/>
      </c>
      <c r="J79" s="12" t="str">
        <f aca="false">IF(INDEX(選手一覧!$G$5:$G$2736,$F79)="","",INDEX(選手一覧!$G$5:$G$2736,$F79))</f>
        <v/>
      </c>
    </row>
    <row r="80" customFormat="false" ht="15" hidden="false" customHeight="false" outlineLevel="0" collapsed="false">
      <c r="A80" s="12" t="n">
        <v>77</v>
      </c>
      <c r="B80" s="8" t="s">
        <v>1022</v>
      </c>
      <c r="C80" s="8" t="s">
        <v>341</v>
      </c>
      <c r="D80" s="11" t="n">
        <v>0.00273611111111111</v>
      </c>
      <c r="E80" s="39" t="n">
        <f aca="false">ROUND((D80-$D$5)*86400,2)</f>
        <v>11.37</v>
      </c>
      <c r="F80" s="12" t="n">
        <v>596</v>
      </c>
      <c r="G80" s="11" t="n">
        <f aca="false">IF(INDEX(選手一覧!$D$5:$D$2736,$F80)="","",INDEX(選手一覧!$D$5:$D$2736,$F80))</f>
        <v>0.0107082175925926</v>
      </c>
      <c r="H80" s="12" t="n">
        <f aca="false">IF(INDEX(選手一覧!$E$5:$E$2736,$F80)="","",INDEX(選手一覧!$E$5:$E$2736,$F80))</f>
        <v>597</v>
      </c>
      <c r="I80" s="11" t="str">
        <f aca="false">IF(INDEX(選手一覧!$F$5:$F$2736,$F80)="","",INDEX(選手一覧!$F$5:$F$2736,$F80))</f>
        <v/>
      </c>
      <c r="J80" s="12" t="str">
        <f aca="false">IF(INDEX(選手一覧!$G$5:$G$2736,$F80)="","",INDEX(選手一覧!$G$5:$G$2736,$F80))</f>
        <v/>
      </c>
    </row>
    <row r="81" customFormat="false" ht="15" hidden="false" customHeight="false" outlineLevel="0" collapsed="false">
      <c r="A81" s="12" t="n">
        <v>78</v>
      </c>
      <c r="B81" s="8" t="s">
        <v>1216</v>
      </c>
      <c r="C81" s="8" t="s">
        <v>1217</v>
      </c>
      <c r="D81" s="11" t="n">
        <v>0.00273657407407407</v>
      </c>
      <c r="E81" s="39" t="n">
        <f aca="false">ROUND((D81-$D$5)*86400,2)</f>
        <v>11.41</v>
      </c>
      <c r="F81" s="12" t="n">
        <v>728</v>
      </c>
      <c r="G81" s="11" t="n">
        <f aca="false">IF(INDEX(選手一覧!$D$5:$D$2736,$F81)="","",INDEX(選手一覧!$D$5:$D$2736,$F81))</f>
        <v>0.0107920138888889</v>
      </c>
      <c r="H81" s="12" t="n">
        <f aca="false">IF(INDEX(選手一覧!$E$5:$E$2736,$F81)="","",INDEX(選手一覧!$E$5:$E$2736,$F81))</f>
        <v>729</v>
      </c>
      <c r="I81" s="11" t="str">
        <f aca="false">IF(INDEX(選手一覧!$F$5:$F$2736,$F81)="","",INDEX(選手一覧!$F$5:$F$2736,$F81))</f>
        <v/>
      </c>
      <c r="J81" s="12" t="str">
        <f aca="false">IF(INDEX(選手一覧!$G$5:$G$2736,$F81)="","",INDEX(選手一覧!$G$5:$G$2736,$F81))</f>
        <v/>
      </c>
    </row>
    <row r="82" customFormat="false" ht="15" hidden="false" customHeight="false" outlineLevel="0" collapsed="false">
      <c r="A82" s="12" t="n">
        <v>79</v>
      </c>
      <c r="B82" s="8" t="s">
        <v>271</v>
      </c>
      <c r="C82" s="8" t="s">
        <v>221</v>
      </c>
      <c r="D82" s="11" t="n">
        <v>0.00273703703703704</v>
      </c>
      <c r="E82" s="39" t="n">
        <f aca="false">ROUND((D82-$D$5)*86400,2)</f>
        <v>11.45</v>
      </c>
      <c r="F82" s="12" t="n">
        <v>131</v>
      </c>
      <c r="G82" s="11" t="n">
        <f aca="false">IF(INDEX(選手一覧!$D$5:$D$2736,$F82)="","",INDEX(選手一覧!$D$5:$D$2736,$F82))</f>
        <v>0.0102657407407407</v>
      </c>
      <c r="H82" s="12" t="n">
        <f aca="false">IF(INDEX(選手一覧!$E$5:$E$2736,$F82)="","",INDEX(選手一覧!$E$5:$E$2736,$F82))</f>
        <v>132</v>
      </c>
      <c r="I82" s="11" t="n">
        <f aca="false">IF(INDEX(選手一覧!$F$5:$F$2736,$F82)="","",INDEX(選手一覧!$F$5:$F$2736,$F82))</f>
        <v>0.00676458333333333</v>
      </c>
      <c r="J82" s="12" t="n">
        <f aca="false">IF(INDEX(選手一覧!$G$5:$G$2736,$F82)="","",INDEX(選手一覧!$G$5:$G$2736,$F82))</f>
        <v>141</v>
      </c>
    </row>
    <row r="83" customFormat="false" ht="15" hidden="false" customHeight="false" outlineLevel="0" collapsed="false">
      <c r="A83" s="12" t="n">
        <v>80</v>
      </c>
      <c r="B83" s="8" t="s">
        <v>139</v>
      </c>
      <c r="C83" s="8" t="s">
        <v>108</v>
      </c>
      <c r="D83" s="11" t="n">
        <v>0.00273715277777778</v>
      </c>
      <c r="E83" s="39" t="n">
        <f aca="false">ROUND((D83-$D$5)*86400,2)</f>
        <v>11.46</v>
      </c>
      <c r="F83" s="12" t="n">
        <v>61</v>
      </c>
      <c r="G83" s="11" t="n">
        <f aca="false">IF(INDEX(選手一覧!$D$5:$D$2736,$F83)="","",INDEX(選手一覧!$D$5:$D$2736,$F83))</f>
        <v>0.0101347222222222</v>
      </c>
      <c r="H83" s="12" t="n">
        <f aca="false">IF(INDEX(選手一覧!$E$5:$E$2736,$F83)="","",INDEX(選手一覧!$E$5:$E$2736,$F83))</f>
        <v>62</v>
      </c>
      <c r="I83" s="11" t="str">
        <f aca="false">IF(INDEX(選手一覧!$F$5:$F$2736,$F83)="","",INDEX(選手一覧!$F$5:$F$2736,$F83))</f>
        <v/>
      </c>
      <c r="J83" s="12" t="str">
        <f aca="false">IF(INDEX(選手一覧!$G$5:$G$2736,$F83)="","",INDEX(選手一覧!$G$5:$G$2736,$F83))</f>
        <v/>
      </c>
    </row>
    <row r="84" customFormat="false" ht="15" hidden="false" customHeight="false" outlineLevel="0" collapsed="false">
      <c r="A84" s="12" t="n">
        <v>81</v>
      </c>
      <c r="B84" s="8" t="s">
        <v>2047</v>
      </c>
      <c r="C84" s="8" t="s">
        <v>851</v>
      </c>
      <c r="D84" s="11" t="n">
        <v>0.00273796296296296</v>
      </c>
      <c r="E84" s="39" t="n">
        <f aca="false">ROUND((D84-$D$5)*86400,2)</f>
        <v>11.53</v>
      </c>
      <c r="F84" s="12" t="n">
        <v>1300</v>
      </c>
      <c r="G84" s="11" t="str">
        <f aca="false">IF(INDEX(選手一覧!$D$5:$D$2736,$F84)="","",INDEX(選手一覧!$D$5:$D$2736,$F84))</f>
        <v/>
      </c>
      <c r="H84" s="12" t="str">
        <f aca="false">IF(INDEX(選手一覧!$E$5:$E$2736,$F84)="","",INDEX(選手一覧!$E$5:$E$2736,$F84))</f>
        <v/>
      </c>
      <c r="I84" s="11" t="str">
        <f aca="false">IF(INDEX(選手一覧!$F$5:$F$2736,$F84)="","",INDEX(選手一覧!$F$5:$F$2736,$F84))</f>
        <v/>
      </c>
      <c r="J84" s="12" t="str">
        <f aca="false">IF(INDEX(選手一覧!$G$5:$G$2736,$F84)="","",INDEX(選手一覧!$G$5:$G$2736,$F84))</f>
        <v/>
      </c>
    </row>
    <row r="85" customFormat="false" ht="15" hidden="false" customHeight="false" outlineLevel="0" collapsed="false">
      <c r="A85" s="12" t="n">
        <v>82</v>
      </c>
      <c r="B85" s="8" t="s">
        <v>393</v>
      </c>
      <c r="C85" s="8" t="s">
        <v>394</v>
      </c>
      <c r="D85" s="11" t="n">
        <v>0.00273877314814815</v>
      </c>
      <c r="E85" s="39" t="n">
        <f aca="false">ROUND((D85-$D$5)*86400,2)</f>
        <v>11.6</v>
      </c>
      <c r="F85" s="12" t="n">
        <v>200</v>
      </c>
      <c r="G85" s="11" t="n">
        <f aca="false">IF(INDEX(選手一覧!$D$5:$D$2736,$F85)="","",INDEX(選手一覧!$D$5:$D$2736,$F85))</f>
        <v>0.0103481481481482</v>
      </c>
      <c r="H85" s="12" t="n">
        <f aca="false">IF(INDEX(選手一覧!$E$5:$E$2736,$F85)="","",INDEX(選手一覧!$E$5:$E$2736,$F85))</f>
        <v>201</v>
      </c>
      <c r="I85" s="11" t="n">
        <f aca="false">IF(INDEX(選手一覧!$F$5:$F$2736,$F85)="","",INDEX(選手一覧!$F$5:$F$2736,$F85))</f>
        <v>0.00630729166666667</v>
      </c>
      <c r="J85" s="12" t="n">
        <f aca="false">IF(INDEX(選手一覧!$G$5:$G$2736,$F85)="","",INDEX(選手一覧!$G$5:$G$2736,$F85))</f>
        <v>4</v>
      </c>
    </row>
    <row r="86" customFormat="false" ht="15" hidden="false" customHeight="false" outlineLevel="0" collapsed="false">
      <c r="A86" s="21" t="n">
        <v>83</v>
      </c>
      <c r="B86" s="17" t="s">
        <v>228</v>
      </c>
      <c r="C86" s="17" t="s">
        <v>229</v>
      </c>
      <c r="D86" s="20" t="n">
        <v>0.00273877314814815</v>
      </c>
      <c r="E86" s="40" t="n">
        <f aca="false">ROUND((D86-$D$5)*86400,2)</f>
        <v>11.6</v>
      </c>
      <c r="F86" s="21" t="n">
        <v>111</v>
      </c>
      <c r="G86" s="20" t="n">
        <f aca="false">IF(INDEX(選手一覧!$D$5:$D$2736,$F86)="","",INDEX(選手一覧!$D$5:$D$2736,$F86))</f>
        <v>0.0102315972222222</v>
      </c>
      <c r="H86" s="21" t="n">
        <f aca="false">IF(INDEX(選手一覧!$E$5:$E$2736,$F86)="","",INDEX(選手一覧!$E$5:$E$2736,$F86))</f>
        <v>112</v>
      </c>
      <c r="I86" s="20" t="str">
        <f aca="false">IF(INDEX(選手一覧!$F$5:$F$2736,$F86)="","",INDEX(選手一覧!$F$5:$F$2736,$F86))</f>
        <v/>
      </c>
      <c r="J86" s="21" t="str">
        <f aca="false">IF(INDEX(選手一覧!$G$5:$G$2736,$F86)="","",INDEX(選手一覧!$G$5:$G$2736,$F86))</f>
        <v/>
      </c>
    </row>
    <row r="87" customFormat="false" ht="15" hidden="false" customHeight="false" outlineLevel="0" collapsed="false">
      <c r="A87" s="21" t="n">
        <v>84</v>
      </c>
      <c r="B87" s="17" t="s">
        <v>84</v>
      </c>
      <c r="C87" s="17" t="s">
        <v>28</v>
      </c>
      <c r="D87" s="20" t="n">
        <v>0.00273946759259259</v>
      </c>
      <c r="E87" s="40" t="n">
        <f aca="false">ROUND((D87-$D$5)*86400,2)</f>
        <v>11.66</v>
      </c>
      <c r="F87" s="21" t="n">
        <v>32</v>
      </c>
      <c r="G87" s="20" t="n">
        <f aca="false">IF(INDEX(選手一覧!$D$5:$D$2736,$F87)="","",INDEX(選手一覧!$D$5:$D$2736,$F87))</f>
        <v>0.0100454861111111</v>
      </c>
      <c r="H87" s="21" t="n">
        <f aca="false">IF(INDEX(選手一覧!$E$5:$E$2736,$F87)="","",INDEX(選手一覧!$E$5:$E$2736,$F87))</f>
        <v>33</v>
      </c>
      <c r="I87" s="20" t="str">
        <f aca="false">IF(INDEX(選手一覧!$F$5:$F$2736,$F87)="","",INDEX(選手一覧!$F$5:$F$2736,$F87))</f>
        <v/>
      </c>
      <c r="J87" s="21" t="str">
        <f aca="false">IF(INDEX(選手一覧!$G$5:$G$2736,$F87)="","",INDEX(選手一覧!$G$5:$G$2736,$F87))</f>
        <v/>
      </c>
    </row>
    <row r="88" customFormat="false" ht="15" hidden="false" customHeight="false" outlineLevel="0" collapsed="false">
      <c r="A88" s="12" t="n">
        <v>85</v>
      </c>
      <c r="B88" s="8" t="s">
        <v>2048</v>
      </c>
      <c r="C88" s="8" t="s">
        <v>1252</v>
      </c>
      <c r="D88" s="11" t="n">
        <v>0.00273969907407407</v>
      </c>
      <c r="E88" s="39" t="n">
        <f aca="false">ROUND((D88-$D$5)*86400,2)</f>
        <v>11.68</v>
      </c>
      <c r="F88" s="12" t="n">
        <v>1301</v>
      </c>
      <c r="G88" s="11" t="str">
        <f aca="false">IF(INDEX(選手一覧!$D$5:$D$2736,$F88)="","",INDEX(選手一覧!$D$5:$D$2736,$F88))</f>
        <v/>
      </c>
      <c r="H88" s="12" t="str">
        <f aca="false">IF(INDEX(選手一覧!$E$5:$E$2736,$F88)="","",INDEX(選手一覧!$E$5:$E$2736,$F88))</f>
        <v/>
      </c>
      <c r="I88" s="11" t="str">
        <f aca="false">IF(INDEX(選手一覧!$F$5:$F$2736,$F88)="","",INDEX(選手一覧!$F$5:$F$2736,$F88))</f>
        <v/>
      </c>
      <c r="J88" s="12" t="str">
        <f aca="false">IF(INDEX(選手一覧!$G$5:$G$2736,$F88)="","",INDEX(選手一覧!$G$5:$G$2736,$F88))</f>
        <v/>
      </c>
    </row>
    <row r="89" customFormat="false" ht="15" hidden="false" customHeight="false" outlineLevel="0" collapsed="false">
      <c r="A89" s="12" t="n">
        <v>86</v>
      </c>
      <c r="B89" s="8" t="s">
        <v>159</v>
      </c>
      <c r="C89" s="8" t="s">
        <v>160</v>
      </c>
      <c r="D89" s="11" t="n">
        <v>0.00274097222222222</v>
      </c>
      <c r="E89" s="39" t="n">
        <f aca="false">ROUND((D89-$D$5)*86400,2)</f>
        <v>11.79</v>
      </c>
      <c r="F89" s="12" t="n">
        <v>71</v>
      </c>
      <c r="G89" s="11" t="n">
        <f aca="false">IF(INDEX(選手一覧!$D$5:$D$2736,$F89)="","",INDEX(選手一覧!$D$5:$D$2736,$F89))</f>
        <v>0.0101538194444444</v>
      </c>
      <c r="H89" s="12" t="n">
        <f aca="false">IF(INDEX(選手一覧!$E$5:$E$2736,$F89)="","",INDEX(選手一覧!$E$5:$E$2736,$F89))</f>
        <v>72</v>
      </c>
      <c r="I89" s="11" t="str">
        <f aca="false">IF(INDEX(選手一覧!$F$5:$F$2736,$F89)="","",INDEX(選手一覧!$F$5:$F$2736,$F89))</f>
        <v/>
      </c>
      <c r="J89" s="12" t="str">
        <f aca="false">IF(INDEX(選手一覧!$G$5:$G$2736,$F89)="","",INDEX(選手一覧!$G$5:$G$2736,$F89))</f>
        <v/>
      </c>
    </row>
    <row r="90" customFormat="false" ht="15" hidden="false" customHeight="false" outlineLevel="0" collapsed="false">
      <c r="A90" s="12" t="n">
        <v>87</v>
      </c>
      <c r="B90" s="8" t="s">
        <v>176</v>
      </c>
      <c r="C90" s="8" t="s">
        <v>122</v>
      </c>
      <c r="D90" s="11" t="n">
        <v>0.00274398148148148</v>
      </c>
      <c r="E90" s="39" t="n">
        <f aca="false">ROUND((D90-$D$5)*86400,2)</f>
        <v>12.05</v>
      </c>
      <c r="F90" s="12" t="n">
        <v>80</v>
      </c>
      <c r="G90" s="11" t="n">
        <f aca="false">IF(INDEX(選手一覧!$D$5:$D$2736,$F90)="","",INDEX(選手一覧!$D$5:$D$2736,$F90))</f>
        <v>0.0101733796296296</v>
      </c>
      <c r="H90" s="12" t="n">
        <f aca="false">IF(INDEX(選手一覧!$E$5:$E$2736,$F90)="","",INDEX(選手一覧!$E$5:$E$2736,$F90))</f>
        <v>81</v>
      </c>
      <c r="I90" s="11" t="str">
        <f aca="false">IF(INDEX(選手一覧!$F$5:$F$2736,$F90)="","",INDEX(選手一覧!$F$5:$F$2736,$F90))</f>
        <v/>
      </c>
      <c r="J90" s="12" t="str">
        <f aca="false">IF(INDEX(選手一覧!$G$5:$G$2736,$F90)="","",INDEX(選手一覧!$G$5:$G$2736,$F90))</f>
        <v/>
      </c>
    </row>
    <row r="91" customFormat="false" ht="15" hidden="false" customHeight="false" outlineLevel="0" collapsed="false">
      <c r="A91" s="12" t="n">
        <v>88</v>
      </c>
      <c r="B91" s="8" t="s">
        <v>135</v>
      </c>
      <c r="C91" s="8" t="s">
        <v>136</v>
      </c>
      <c r="D91" s="11" t="n">
        <v>0.00274467592592593</v>
      </c>
      <c r="E91" s="39" t="n">
        <f aca="false">ROUND((D91-$D$5)*86400,2)</f>
        <v>12.11</v>
      </c>
      <c r="F91" s="12" t="n">
        <v>59</v>
      </c>
      <c r="G91" s="11" t="n">
        <f aca="false">IF(INDEX(選手一覧!$D$5:$D$2736,$F91)="","",INDEX(選手一覧!$D$5:$D$2736,$F91))</f>
        <v>0.0101305555555556</v>
      </c>
      <c r="H91" s="12" t="n">
        <f aca="false">IF(INDEX(選手一覧!$E$5:$E$2736,$F91)="","",INDEX(選手一覧!$E$5:$E$2736,$F91))</f>
        <v>60</v>
      </c>
      <c r="I91" s="11" t="str">
        <f aca="false">IF(INDEX(選手一覧!$F$5:$F$2736,$F91)="","",INDEX(選手一覧!$F$5:$F$2736,$F91))</f>
        <v/>
      </c>
      <c r="J91" s="12" t="str">
        <f aca="false">IF(INDEX(選手一覧!$G$5:$G$2736,$F91)="","",INDEX(選手一覧!$G$5:$G$2736,$F91))</f>
        <v/>
      </c>
    </row>
    <row r="92" customFormat="false" ht="15" hidden="false" customHeight="false" outlineLevel="0" collapsed="false">
      <c r="A92" s="12" t="n">
        <v>89</v>
      </c>
      <c r="B92" s="8" t="s">
        <v>729</v>
      </c>
      <c r="C92" s="8" t="s">
        <v>730</v>
      </c>
      <c r="D92" s="11" t="n">
        <v>0.00274479166666667</v>
      </c>
      <c r="E92" s="39" t="n">
        <f aca="false">ROUND((D92-$D$5)*86400,2)</f>
        <v>12.12</v>
      </c>
      <c r="F92" s="12" t="n">
        <v>409</v>
      </c>
      <c r="G92" s="11" t="n">
        <f aca="false">IF(INDEX(選手一覧!$D$5:$D$2736,$F92)="","",INDEX(選手一覧!$D$5:$D$2736,$F92))</f>
        <v>0.0105601851851852</v>
      </c>
      <c r="H92" s="12" t="n">
        <f aca="false">IF(INDEX(選手一覧!$E$5:$E$2736,$F92)="","",INDEX(選手一覧!$E$5:$E$2736,$F92))</f>
        <v>410</v>
      </c>
      <c r="I92" s="11" t="str">
        <f aca="false">IF(INDEX(選手一覧!$F$5:$F$2736,$F92)="","",INDEX(選手一覧!$F$5:$F$2736,$F92))</f>
        <v/>
      </c>
      <c r="J92" s="12" t="str">
        <f aca="false">IF(INDEX(選手一覧!$G$5:$G$2736,$F92)="","",INDEX(選手一覧!$G$5:$G$2736,$F92))</f>
        <v/>
      </c>
    </row>
    <row r="93" customFormat="false" ht="15" hidden="false" customHeight="false" outlineLevel="0" collapsed="false">
      <c r="A93" s="21" t="n">
        <v>90</v>
      </c>
      <c r="B93" s="17" t="s">
        <v>88</v>
      </c>
      <c r="C93" s="17" t="s">
        <v>89</v>
      </c>
      <c r="D93" s="20" t="n">
        <v>0.00274490740740741</v>
      </c>
      <c r="E93" s="40" t="n">
        <f aca="false">ROUND((D93-$D$5)*86400,2)</f>
        <v>12.13</v>
      </c>
      <c r="F93" s="21" t="n">
        <v>34</v>
      </c>
      <c r="G93" s="20" t="n">
        <f aca="false">IF(INDEX(選手一覧!$D$5:$D$2736,$F93)="","",INDEX(選手一覧!$D$5:$D$2736,$F93))</f>
        <v>0.0100494212962963</v>
      </c>
      <c r="H93" s="21" t="n">
        <f aca="false">IF(INDEX(選手一覧!$E$5:$E$2736,$F93)="","",INDEX(選手一覧!$E$5:$E$2736,$F93))</f>
        <v>35</v>
      </c>
      <c r="I93" s="20" t="str">
        <f aca="false">IF(INDEX(選手一覧!$F$5:$F$2736,$F93)="","",INDEX(選手一覧!$F$5:$F$2736,$F93))</f>
        <v/>
      </c>
      <c r="J93" s="21" t="str">
        <f aca="false">IF(INDEX(選手一覧!$G$5:$G$2736,$F93)="","",INDEX(選手一覧!$G$5:$G$2736,$F93))</f>
        <v/>
      </c>
    </row>
    <row r="94" customFormat="false" ht="15" hidden="false" customHeight="false" outlineLevel="0" collapsed="false">
      <c r="A94" s="12" t="n">
        <v>91</v>
      </c>
      <c r="B94" s="8" t="s">
        <v>1025</v>
      </c>
      <c r="C94" s="8" t="s">
        <v>73</v>
      </c>
      <c r="D94" s="11" t="n">
        <v>0.00274537037037037</v>
      </c>
      <c r="E94" s="39" t="n">
        <f aca="false">ROUND((D94-$D$5)*86400,2)</f>
        <v>12.17</v>
      </c>
      <c r="F94" s="12" t="n">
        <v>598</v>
      </c>
      <c r="G94" s="11" t="n">
        <f aca="false">IF(INDEX(選手一覧!$D$5:$D$2736,$F94)="","",INDEX(選手一覧!$D$5:$D$2736,$F94))</f>
        <v>0.0107099537037037</v>
      </c>
      <c r="H94" s="12" t="n">
        <f aca="false">IF(INDEX(選手一覧!$E$5:$E$2736,$F94)="","",INDEX(選手一覧!$E$5:$E$2736,$F94))</f>
        <v>599</v>
      </c>
      <c r="I94" s="11" t="str">
        <f aca="false">IF(INDEX(選手一覧!$F$5:$F$2736,$F94)="","",INDEX(選手一覧!$F$5:$F$2736,$F94))</f>
        <v/>
      </c>
      <c r="J94" s="12" t="str">
        <f aca="false">IF(INDEX(選手一覧!$G$5:$G$2736,$F94)="","",INDEX(選手一覧!$G$5:$G$2736,$F94))</f>
        <v/>
      </c>
    </row>
    <row r="95" customFormat="false" ht="15" hidden="false" customHeight="false" outlineLevel="0" collapsed="false">
      <c r="A95" s="12" t="n">
        <v>92</v>
      </c>
      <c r="B95" s="8" t="s">
        <v>2049</v>
      </c>
      <c r="C95" s="8" t="s">
        <v>1752</v>
      </c>
      <c r="D95" s="11" t="n">
        <v>0.00274583333333333</v>
      </c>
      <c r="E95" s="39" t="n">
        <f aca="false">ROUND((D95-$D$5)*86400,2)</f>
        <v>12.21</v>
      </c>
      <c r="F95" s="12" t="n">
        <v>1302</v>
      </c>
      <c r="G95" s="11" t="str">
        <f aca="false">IF(INDEX(選手一覧!$D$5:$D$2736,$F95)="","",INDEX(選手一覧!$D$5:$D$2736,$F95))</f>
        <v/>
      </c>
      <c r="H95" s="12" t="str">
        <f aca="false">IF(INDEX(選手一覧!$E$5:$E$2736,$F95)="","",INDEX(選手一覧!$E$5:$E$2736,$F95))</f>
        <v/>
      </c>
      <c r="I95" s="11" t="str">
        <f aca="false">IF(INDEX(選手一覧!$F$5:$F$2736,$F95)="","",INDEX(選手一覧!$F$5:$F$2736,$F95))</f>
        <v/>
      </c>
      <c r="J95" s="12" t="str">
        <f aca="false">IF(INDEX(選手一覧!$G$5:$G$2736,$F95)="","",INDEX(選手一覧!$G$5:$G$2736,$F95))</f>
        <v/>
      </c>
    </row>
    <row r="96" customFormat="false" ht="15" hidden="false" customHeight="false" outlineLevel="0" collapsed="false">
      <c r="A96" s="12" t="n">
        <v>93</v>
      </c>
      <c r="B96" s="8" t="s">
        <v>2050</v>
      </c>
      <c r="C96" s="8" t="s">
        <v>592</v>
      </c>
      <c r="D96" s="11" t="n">
        <v>0.00274652777777778</v>
      </c>
      <c r="E96" s="39" t="n">
        <f aca="false">ROUND((D96-$D$5)*86400,2)</f>
        <v>12.27</v>
      </c>
      <c r="F96" s="12" t="n">
        <v>1303</v>
      </c>
      <c r="G96" s="11" t="str">
        <f aca="false">IF(INDEX(選手一覧!$D$5:$D$2736,$F96)="","",INDEX(選手一覧!$D$5:$D$2736,$F96))</f>
        <v/>
      </c>
      <c r="H96" s="12" t="str">
        <f aca="false">IF(INDEX(選手一覧!$E$5:$E$2736,$F96)="","",INDEX(選手一覧!$E$5:$E$2736,$F96))</f>
        <v/>
      </c>
      <c r="I96" s="11" t="str">
        <f aca="false">IF(INDEX(選手一覧!$F$5:$F$2736,$F96)="","",INDEX(選手一覧!$F$5:$F$2736,$F96))</f>
        <v/>
      </c>
      <c r="J96" s="12" t="str">
        <f aca="false">IF(INDEX(選手一覧!$G$5:$G$2736,$F96)="","",INDEX(選手一覧!$G$5:$G$2736,$F96))</f>
        <v/>
      </c>
    </row>
    <row r="97" customFormat="false" ht="15" hidden="false" customHeight="false" outlineLevel="0" collapsed="false">
      <c r="A97" s="12" t="n">
        <v>94</v>
      </c>
      <c r="B97" s="8" t="s">
        <v>293</v>
      </c>
      <c r="C97" s="8" t="s">
        <v>294</v>
      </c>
      <c r="D97" s="11" t="n">
        <v>0.00274710648148148</v>
      </c>
      <c r="E97" s="39" t="n">
        <f aca="false">ROUND((D97-$D$5)*86400,2)</f>
        <v>12.32</v>
      </c>
      <c r="F97" s="12" t="n">
        <v>143</v>
      </c>
      <c r="G97" s="11" t="n">
        <f aca="false">IF(INDEX(選手一覧!$D$5:$D$2736,$F97)="","",INDEX(選手一覧!$D$5:$D$2736,$F97))</f>
        <v>0.010277662037037</v>
      </c>
      <c r="H97" s="12" t="n">
        <f aca="false">IF(INDEX(選手一覧!$E$5:$E$2736,$F97)="","",INDEX(選手一覧!$E$5:$E$2736,$F97))</f>
        <v>144</v>
      </c>
      <c r="I97" s="11" t="str">
        <f aca="false">IF(INDEX(選手一覧!$F$5:$F$2736,$F97)="","",INDEX(選手一覧!$F$5:$F$2736,$F97))</f>
        <v/>
      </c>
      <c r="J97" s="12" t="str">
        <f aca="false">IF(INDEX(選手一覧!$G$5:$G$2736,$F97)="","",INDEX(選手一覧!$G$5:$G$2736,$F97))</f>
        <v/>
      </c>
    </row>
    <row r="98" customFormat="false" ht="15" hidden="false" customHeight="false" outlineLevel="0" collapsed="false">
      <c r="A98" s="12" t="n">
        <v>95</v>
      </c>
      <c r="B98" s="8" t="s">
        <v>489</v>
      </c>
      <c r="C98" s="8" t="s">
        <v>363</v>
      </c>
      <c r="D98" s="11" t="n">
        <v>0.00274768518518519</v>
      </c>
      <c r="E98" s="39" t="n">
        <f aca="false">ROUND((D98-$D$5)*86400,2)</f>
        <v>12.37</v>
      </c>
      <c r="F98" s="12" t="n">
        <v>258</v>
      </c>
      <c r="G98" s="11" t="n">
        <f aca="false">IF(INDEX(選手一覧!$D$5:$D$2736,$F98)="","",INDEX(選手一覧!$D$5:$D$2736,$F98))</f>
        <v>0.0103971064814815</v>
      </c>
      <c r="H98" s="12" t="n">
        <f aca="false">IF(INDEX(選手一覧!$E$5:$E$2736,$F98)="","",INDEX(選手一覧!$E$5:$E$2736,$F98))</f>
        <v>259</v>
      </c>
      <c r="I98" s="11" t="str">
        <f aca="false">IF(INDEX(選手一覧!$F$5:$F$2736,$F98)="","",INDEX(選手一覧!$F$5:$F$2736,$F98))</f>
        <v/>
      </c>
      <c r="J98" s="12" t="str">
        <f aca="false">IF(INDEX(選手一覧!$G$5:$G$2736,$F98)="","",INDEX(選手一覧!$G$5:$G$2736,$F98))</f>
        <v/>
      </c>
    </row>
    <row r="99" customFormat="false" ht="15" hidden="false" customHeight="false" outlineLevel="0" collapsed="false">
      <c r="A99" s="12" t="n">
        <v>96</v>
      </c>
      <c r="B99" s="8" t="s">
        <v>569</v>
      </c>
      <c r="C99" s="8" t="s">
        <v>570</v>
      </c>
      <c r="D99" s="11" t="n">
        <v>0.00274791666666667</v>
      </c>
      <c r="E99" s="39" t="n">
        <f aca="false">ROUND((D99-$D$5)*86400,2)</f>
        <v>12.39</v>
      </c>
      <c r="F99" s="12" t="n">
        <v>307</v>
      </c>
      <c r="G99" s="11" t="n">
        <f aca="false">IF(INDEX(選手一覧!$D$5:$D$2736,$F99)="","",INDEX(選手一覧!$D$5:$D$2736,$F99))</f>
        <v>0.0104578703703704</v>
      </c>
      <c r="H99" s="12" t="n">
        <f aca="false">IF(INDEX(選手一覧!$E$5:$E$2736,$F99)="","",INDEX(選手一覧!$E$5:$E$2736,$F99))</f>
        <v>308</v>
      </c>
      <c r="I99" s="11" t="str">
        <f aca="false">IF(INDEX(選手一覧!$F$5:$F$2736,$F99)="","",INDEX(選手一覧!$F$5:$F$2736,$F99))</f>
        <v/>
      </c>
      <c r="J99" s="12" t="str">
        <f aca="false">IF(INDEX(選手一覧!$G$5:$G$2736,$F99)="","",INDEX(選手一覧!$G$5:$G$2736,$F99))</f>
        <v/>
      </c>
    </row>
    <row r="100" customFormat="false" ht="15" hidden="false" customHeight="false" outlineLevel="0" collapsed="false">
      <c r="A100" s="12" t="n">
        <v>97</v>
      </c>
      <c r="B100" s="8" t="s">
        <v>220</v>
      </c>
      <c r="C100" s="8" t="s">
        <v>221</v>
      </c>
      <c r="D100" s="11" t="n">
        <v>0.00274849537037037</v>
      </c>
      <c r="E100" s="39" t="n">
        <f aca="false">ROUND((D100-$D$5)*86400,2)</f>
        <v>12.44</v>
      </c>
      <c r="F100" s="12" t="n">
        <v>106</v>
      </c>
      <c r="G100" s="11" t="n">
        <f aca="false">IF(INDEX(選手一覧!$D$5:$D$2736,$F100)="","",INDEX(選手一覧!$D$5:$D$2736,$F100))</f>
        <v>0.0102170138888889</v>
      </c>
      <c r="H100" s="12" t="n">
        <f aca="false">IF(INDEX(選手一覧!$E$5:$E$2736,$F100)="","",INDEX(選手一覧!$E$5:$E$2736,$F100))</f>
        <v>107</v>
      </c>
      <c r="I100" s="11" t="str">
        <f aca="false">IF(INDEX(選手一覧!$F$5:$F$2736,$F100)="","",INDEX(選手一覧!$F$5:$F$2736,$F100))</f>
        <v/>
      </c>
      <c r="J100" s="12" t="str">
        <f aca="false">IF(INDEX(選手一覧!$G$5:$G$2736,$F100)="","",INDEX(選手一覧!$G$5:$G$2736,$F100))</f>
        <v/>
      </c>
    </row>
    <row r="101" customFormat="false" ht="15" hidden="false" customHeight="false" outlineLevel="0" collapsed="false">
      <c r="A101" s="12" t="n">
        <v>98</v>
      </c>
      <c r="B101" s="8" t="s">
        <v>696</v>
      </c>
      <c r="C101" s="8" t="s">
        <v>484</v>
      </c>
      <c r="D101" s="11" t="n">
        <v>0.00274861111111111</v>
      </c>
      <c r="E101" s="39" t="n">
        <f aca="false">ROUND((D101-$D$5)*86400,2)</f>
        <v>12.45</v>
      </c>
      <c r="F101" s="12" t="n">
        <v>388</v>
      </c>
      <c r="G101" s="11" t="n">
        <f aca="false">IF(INDEX(選手一覧!$D$5:$D$2736,$F101)="","",INDEX(選手一覧!$D$5:$D$2736,$F101))</f>
        <v>0.0105414351851852</v>
      </c>
      <c r="H101" s="12" t="n">
        <f aca="false">IF(INDEX(選手一覧!$E$5:$E$2736,$F101)="","",INDEX(選手一覧!$E$5:$E$2736,$F101))</f>
        <v>389</v>
      </c>
      <c r="I101" s="11" t="str">
        <f aca="false">IF(INDEX(選手一覧!$F$5:$F$2736,$F101)="","",INDEX(選手一覧!$F$5:$F$2736,$F101))</f>
        <v/>
      </c>
      <c r="J101" s="12" t="str">
        <f aca="false">IF(INDEX(選手一覧!$G$5:$G$2736,$F101)="","",INDEX(選手一覧!$G$5:$G$2736,$F101))</f>
        <v/>
      </c>
    </row>
    <row r="102" customFormat="false" ht="15" hidden="false" customHeight="false" outlineLevel="0" collapsed="false">
      <c r="A102" s="12" t="n">
        <v>99</v>
      </c>
      <c r="B102" s="8" t="s">
        <v>251</v>
      </c>
      <c r="C102" s="8" t="s">
        <v>252</v>
      </c>
      <c r="D102" s="11" t="n">
        <v>0.00274872685185185</v>
      </c>
      <c r="E102" s="39" t="n">
        <f aca="false">ROUND((D102-$D$5)*86400,2)</f>
        <v>12.46</v>
      </c>
      <c r="F102" s="12" t="n">
        <v>122</v>
      </c>
      <c r="G102" s="11" t="n">
        <f aca="false">IF(INDEX(選手一覧!$D$5:$D$2736,$F102)="","",INDEX(選手一覧!$D$5:$D$2736,$F102))</f>
        <v>0.0102435185185185</v>
      </c>
      <c r="H102" s="12" t="n">
        <f aca="false">IF(INDEX(選手一覧!$E$5:$E$2736,$F102)="","",INDEX(選手一覧!$E$5:$E$2736,$F102))</f>
        <v>123</v>
      </c>
      <c r="I102" s="11" t="str">
        <f aca="false">IF(INDEX(選手一覧!$F$5:$F$2736,$F102)="","",INDEX(選手一覧!$F$5:$F$2736,$F102))</f>
        <v/>
      </c>
      <c r="J102" s="12" t="str">
        <f aca="false">IF(INDEX(選手一覧!$G$5:$G$2736,$F102)="","",INDEX(選手一覧!$G$5:$G$2736,$F102))</f>
        <v/>
      </c>
    </row>
    <row r="103" customFormat="false" ht="15" hidden="false" customHeight="false" outlineLevel="0" collapsed="false">
      <c r="A103" s="12" t="n">
        <v>100</v>
      </c>
      <c r="B103" s="8" t="s">
        <v>2053</v>
      </c>
      <c r="C103" s="8" t="s">
        <v>688</v>
      </c>
      <c r="D103" s="11" t="n">
        <v>0.00274872685185185</v>
      </c>
      <c r="E103" s="39" t="n">
        <f aca="false">ROUND((D103-$D$5)*86400,2)</f>
        <v>12.46</v>
      </c>
      <c r="F103" s="12" t="n">
        <v>1305</v>
      </c>
      <c r="G103" s="11" t="str">
        <f aca="false">IF(INDEX(選手一覧!$D$5:$D$2736,$F103)="","",INDEX(選手一覧!$D$5:$D$2736,$F103))</f>
        <v/>
      </c>
      <c r="H103" s="12" t="str">
        <f aca="false">IF(INDEX(選手一覧!$E$5:$E$2736,$F103)="","",INDEX(選手一覧!$E$5:$E$2736,$F103))</f>
        <v/>
      </c>
      <c r="I103" s="11" t="str">
        <f aca="false">IF(INDEX(選手一覧!$F$5:$F$2736,$F103)="","",INDEX(選手一覧!$F$5:$F$2736,$F103))</f>
        <v/>
      </c>
      <c r="J103" s="12" t="str">
        <f aca="false">IF(INDEX(選手一覧!$G$5:$G$2736,$F103)="","",INDEX(選手一覧!$G$5:$G$2736,$F103))</f>
        <v/>
      </c>
    </row>
    <row r="104" customFormat="false" ht="15" hidden="false" customHeight="false" outlineLevel="0" collapsed="false">
      <c r="A104" s="12" t="n">
        <v>101</v>
      </c>
      <c r="B104" s="8" t="s">
        <v>2054</v>
      </c>
      <c r="C104" s="8" t="s">
        <v>87</v>
      </c>
      <c r="D104" s="11" t="n">
        <v>0.00274895833333333</v>
      </c>
      <c r="E104" s="39" t="n">
        <f aca="false">ROUND((D104-$D$5)*86400,2)</f>
        <v>12.48</v>
      </c>
      <c r="F104" s="12" t="n">
        <v>1306</v>
      </c>
      <c r="G104" s="11" t="str">
        <f aca="false">IF(INDEX(選手一覧!$D$5:$D$2736,$F104)="","",INDEX(選手一覧!$D$5:$D$2736,$F104))</f>
        <v/>
      </c>
      <c r="H104" s="12" t="str">
        <f aca="false">IF(INDEX(選手一覧!$E$5:$E$2736,$F104)="","",INDEX(選手一覧!$E$5:$E$2736,$F104))</f>
        <v/>
      </c>
      <c r="I104" s="11" t="str">
        <f aca="false">IF(INDEX(選手一覧!$F$5:$F$2736,$F104)="","",INDEX(選手一覧!$F$5:$F$2736,$F104))</f>
        <v/>
      </c>
      <c r="J104" s="12" t="str">
        <f aca="false">IF(INDEX(選手一覧!$G$5:$G$2736,$F104)="","",INDEX(選手一覧!$G$5:$G$2736,$F104))</f>
        <v/>
      </c>
    </row>
    <row r="105" customFormat="false" ht="15" hidden="false" customHeight="false" outlineLevel="0" collapsed="false">
      <c r="A105" s="12" t="n">
        <v>102</v>
      </c>
      <c r="B105" s="8" t="s">
        <v>1111</v>
      </c>
      <c r="C105" s="8" t="s">
        <v>730</v>
      </c>
      <c r="D105" s="11" t="n">
        <v>0.00274930555555556</v>
      </c>
      <c r="E105" s="39" t="n">
        <f aca="false">ROUND((D105-$D$5)*86400,2)</f>
        <v>12.51</v>
      </c>
      <c r="F105" s="12" t="n">
        <v>663</v>
      </c>
      <c r="G105" s="11" t="n">
        <f aca="false">IF(INDEX(選手一覧!$D$5:$D$2736,$F105)="","",INDEX(選手一覧!$D$5:$D$2736,$F105))</f>
        <v>0.0107466435185185</v>
      </c>
      <c r="H105" s="12" t="n">
        <f aca="false">IF(INDEX(選手一覧!$E$5:$E$2736,$F105)="","",INDEX(選手一覧!$E$5:$E$2736,$F105))</f>
        <v>664</v>
      </c>
      <c r="I105" s="11" t="str">
        <f aca="false">IF(INDEX(選手一覧!$F$5:$F$2736,$F105)="","",INDEX(選手一覧!$F$5:$F$2736,$F105))</f>
        <v/>
      </c>
      <c r="J105" s="12" t="str">
        <f aca="false">IF(INDEX(選手一覧!$G$5:$G$2736,$F105)="","",INDEX(選手一覧!$G$5:$G$2736,$F105))</f>
        <v/>
      </c>
    </row>
    <row r="106" customFormat="false" ht="15" hidden="false" customHeight="false" outlineLevel="0" collapsed="false">
      <c r="A106" s="12" t="n">
        <v>103</v>
      </c>
      <c r="B106" s="8" t="s">
        <v>587</v>
      </c>
      <c r="C106" s="8" t="s">
        <v>588</v>
      </c>
      <c r="D106" s="11" t="n">
        <v>0.00274976851851852</v>
      </c>
      <c r="E106" s="39" t="n">
        <f aca="false">ROUND((D106-$D$5)*86400,2)</f>
        <v>12.55</v>
      </c>
      <c r="F106" s="12" t="n">
        <v>318</v>
      </c>
      <c r="G106" s="11" t="n">
        <f aca="false">IF(INDEX(選手一覧!$D$5:$D$2736,$F106)="","",INDEX(選手一覧!$D$5:$D$2736,$F106))</f>
        <v>0.0104733796296296</v>
      </c>
      <c r="H106" s="12" t="n">
        <f aca="false">IF(INDEX(選手一覧!$E$5:$E$2736,$F106)="","",INDEX(選手一覧!$E$5:$E$2736,$F106))</f>
        <v>319</v>
      </c>
      <c r="I106" s="11" t="str">
        <f aca="false">IF(INDEX(選手一覧!$F$5:$F$2736,$F106)="","",INDEX(選手一覧!$F$5:$F$2736,$F106))</f>
        <v/>
      </c>
      <c r="J106" s="12" t="str">
        <f aca="false">IF(INDEX(選手一覧!$G$5:$G$2736,$F106)="","",INDEX(選手一覧!$G$5:$G$2736,$F106))</f>
        <v/>
      </c>
    </row>
    <row r="107" customFormat="false" ht="15" hidden="false" customHeight="false" outlineLevel="0" collapsed="false">
      <c r="A107" s="12" t="n">
        <v>104</v>
      </c>
      <c r="B107" s="8" t="s">
        <v>300</v>
      </c>
      <c r="C107" s="8" t="s">
        <v>238</v>
      </c>
      <c r="D107" s="11" t="n">
        <v>0.00274988425925926</v>
      </c>
      <c r="E107" s="39" t="n">
        <f aca="false">ROUND((D107-$D$5)*86400,2)</f>
        <v>12.56</v>
      </c>
      <c r="F107" s="12" t="n">
        <v>147</v>
      </c>
      <c r="G107" s="11" t="n">
        <f aca="false">IF(INDEX(選手一覧!$D$5:$D$2736,$F107)="","",INDEX(選手一覧!$D$5:$D$2736,$F107))</f>
        <v>0.0102799768518519</v>
      </c>
      <c r="H107" s="12" t="n">
        <f aca="false">IF(INDEX(選手一覧!$E$5:$E$2736,$F107)="","",INDEX(選手一覧!$E$5:$E$2736,$F107))</f>
        <v>148</v>
      </c>
      <c r="I107" s="11" t="str">
        <f aca="false">IF(INDEX(選手一覧!$F$5:$F$2736,$F107)="","",INDEX(選手一覧!$F$5:$F$2736,$F107))</f>
        <v/>
      </c>
      <c r="J107" s="12" t="str">
        <f aca="false">IF(INDEX(選手一覧!$G$5:$G$2736,$F107)="","",INDEX(選手一覧!$G$5:$G$2736,$F107))</f>
        <v/>
      </c>
    </row>
    <row r="108" customFormat="false" ht="15" hidden="false" customHeight="false" outlineLevel="0" collapsed="false">
      <c r="A108" s="12" t="n">
        <v>105</v>
      </c>
      <c r="B108" s="8" t="s">
        <v>1526</v>
      </c>
      <c r="C108" s="8" t="s">
        <v>1385</v>
      </c>
      <c r="D108" s="11" t="n">
        <v>0.00275104166666667</v>
      </c>
      <c r="E108" s="39" t="n">
        <f aca="false">ROUND((D108-$D$5)*86400,2)</f>
        <v>12.66</v>
      </c>
      <c r="F108" s="12" t="n">
        <v>933</v>
      </c>
      <c r="G108" s="11" t="n">
        <f aca="false">IF(INDEX(選手一覧!$D$5:$D$2736,$F108)="","",INDEX(選手一覧!$D$5:$D$2736,$F108))</f>
        <v>0.0109083333333333</v>
      </c>
      <c r="H108" s="12" t="n">
        <f aca="false">IF(INDEX(選手一覧!$E$5:$E$2736,$F108)="","",INDEX(選手一覧!$E$5:$E$2736,$F108))</f>
        <v>934</v>
      </c>
      <c r="I108" s="11" t="str">
        <f aca="false">IF(INDEX(選手一覧!$F$5:$F$2736,$F108)="","",INDEX(選手一覧!$F$5:$F$2736,$F108))</f>
        <v/>
      </c>
      <c r="J108" s="12" t="str">
        <f aca="false">IF(INDEX(選手一覧!$G$5:$G$2736,$F108)="","",INDEX(選手一覧!$G$5:$G$2736,$F108))</f>
        <v/>
      </c>
    </row>
    <row r="109" customFormat="false" ht="15" hidden="false" customHeight="false" outlineLevel="0" collapsed="false">
      <c r="A109" s="12" t="n">
        <v>106</v>
      </c>
      <c r="B109" s="8" t="s">
        <v>1122</v>
      </c>
      <c r="C109" s="8" t="s">
        <v>929</v>
      </c>
      <c r="D109" s="11" t="n">
        <v>0.00275115740740741</v>
      </c>
      <c r="E109" s="39" t="n">
        <f aca="false">ROUND((D109-$D$5)*86400,2)</f>
        <v>12.67</v>
      </c>
      <c r="F109" s="12" t="n">
        <v>669</v>
      </c>
      <c r="G109" s="11" t="n">
        <f aca="false">IF(INDEX(選手一覧!$D$5:$D$2736,$F109)="","",INDEX(選手一覧!$D$5:$D$2736,$F109))</f>
        <v>0.0107515046296296</v>
      </c>
      <c r="H109" s="12" t="n">
        <f aca="false">IF(INDEX(選手一覧!$E$5:$E$2736,$F109)="","",INDEX(選手一覧!$E$5:$E$2736,$F109))</f>
        <v>670</v>
      </c>
      <c r="I109" s="11" t="str">
        <f aca="false">IF(INDEX(選手一覧!$F$5:$F$2736,$F109)="","",INDEX(選手一覧!$F$5:$F$2736,$F109))</f>
        <v/>
      </c>
      <c r="J109" s="12" t="str">
        <f aca="false">IF(INDEX(選手一覧!$G$5:$G$2736,$F109)="","",INDEX(選手一覧!$G$5:$G$2736,$F109))</f>
        <v/>
      </c>
    </row>
    <row r="110" customFormat="false" ht="15" hidden="false" customHeight="false" outlineLevel="0" collapsed="false">
      <c r="A110" s="12" t="n">
        <v>107</v>
      </c>
      <c r="B110" s="8" t="s">
        <v>764</v>
      </c>
      <c r="C110" s="8" t="s">
        <v>496</v>
      </c>
      <c r="D110" s="11" t="n">
        <v>0.00275185185185185</v>
      </c>
      <c r="E110" s="39" t="n">
        <f aca="false">ROUND((D110-$D$5)*86400,2)</f>
        <v>12.73</v>
      </c>
      <c r="F110" s="12" t="n">
        <v>430</v>
      </c>
      <c r="G110" s="11" t="n">
        <f aca="false">IF(INDEX(選手一覧!$D$5:$D$2736,$F110)="","",INDEX(選手一覧!$D$5:$D$2736,$F110))</f>
        <v>0.0105753472222222</v>
      </c>
      <c r="H110" s="12" t="n">
        <f aca="false">IF(INDEX(選手一覧!$E$5:$E$2736,$F110)="","",INDEX(選手一覧!$E$5:$E$2736,$F110))</f>
        <v>431</v>
      </c>
      <c r="I110" s="11" t="str">
        <f aca="false">IF(INDEX(選手一覧!$F$5:$F$2736,$F110)="","",INDEX(選手一覧!$F$5:$F$2736,$F110))</f>
        <v/>
      </c>
      <c r="J110" s="12" t="str">
        <f aca="false">IF(INDEX(選手一覧!$G$5:$G$2736,$F110)="","",INDEX(選手一覧!$G$5:$G$2736,$F110))</f>
        <v/>
      </c>
    </row>
    <row r="111" customFormat="false" ht="15" hidden="false" customHeight="false" outlineLevel="0" collapsed="false">
      <c r="A111" s="12" t="n">
        <v>108</v>
      </c>
      <c r="B111" s="8" t="s">
        <v>322</v>
      </c>
      <c r="C111" s="8" t="s">
        <v>143</v>
      </c>
      <c r="D111" s="11" t="n">
        <v>0.00275208333333333</v>
      </c>
      <c r="E111" s="39" t="n">
        <f aca="false">ROUND((D111-$D$5)*86400,2)</f>
        <v>12.75</v>
      </c>
      <c r="F111" s="12" t="n">
        <v>158</v>
      </c>
      <c r="G111" s="11" t="n">
        <f aca="false">IF(INDEX(選手一覧!$D$5:$D$2736,$F111)="","",INDEX(選手一覧!$D$5:$D$2736,$F111))</f>
        <v>0.0102987268518519</v>
      </c>
      <c r="H111" s="12" t="n">
        <f aca="false">IF(INDEX(選手一覧!$E$5:$E$2736,$F111)="","",INDEX(選手一覧!$E$5:$E$2736,$F111))</f>
        <v>159</v>
      </c>
      <c r="I111" s="11" t="str">
        <f aca="false">IF(INDEX(選手一覧!$F$5:$F$2736,$F111)="","",INDEX(選手一覧!$F$5:$F$2736,$F111))</f>
        <v/>
      </c>
      <c r="J111" s="12" t="str">
        <f aca="false">IF(INDEX(選手一覧!$G$5:$G$2736,$F111)="","",INDEX(選手一覧!$G$5:$G$2736,$F111))</f>
        <v/>
      </c>
    </row>
    <row r="112" customFormat="false" ht="15" hidden="false" customHeight="false" outlineLevel="0" collapsed="false">
      <c r="A112" s="12" t="n">
        <v>109</v>
      </c>
      <c r="B112" s="8" t="s">
        <v>644</v>
      </c>
      <c r="C112" s="8" t="s">
        <v>96</v>
      </c>
      <c r="D112" s="11" t="n">
        <v>0.00275243055555556</v>
      </c>
      <c r="E112" s="39" t="n">
        <f aca="false">ROUND((D112-$D$5)*86400,2)</f>
        <v>12.78</v>
      </c>
      <c r="F112" s="12" t="n">
        <v>354</v>
      </c>
      <c r="G112" s="11" t="n">
        <f aca="false">IF(INDEX(選手一覧!$D$5:$D$2736,$F112)="","",INDEX(選手一覧!$D$5:$D$2736,$F112))</f>
        <v>0.0105134259259259</v>
      </c>
      <c r="H112" s="12" t="n">
        <f aca="false">IF(INDEX(選手一覧!$E$5:$E$2736,$F112)="","",INDEX(選手一覧!$E$5:$E$2736,$F112))</f>
        <v>355</v>
      </c>
      <c r="I112" s="11" t="str">
        <f aca="false">IF(INDEX(選手一覧!$F$5:$F$2736,$F112)="","",INDEX(選手一覧!$F$5:$F$2736,$F112))</f>
        <v/>
      </c>
      <c r="J112" s="12" t="str">
        <f aca="false">IF(INDEX(選手一覧!$G$5:$G$2736,$F112)="","",INDEX(選手一覧!$G$5:$G$2736,$F112))</f>
        <v/>
      </c>
    </row>
    <row r="113" customFormat="false" ht="15" hidden="false" customHeight="false" outlineLevel="0" collapsed="false">
      <c r="A113" s="12" t="n">
        <v>110</v>
      </c>
      <c r="B113" s="8" t="s">
        <v>1801</v>
      </c>
      <c r="C113" s="8" t="s">
        <v>622</v>
      </c>
      <c r="D113" s="11" t="n">
        <v>0.00275289351851852</v>
      </c>
      <c r="E113" s="39" t="n">
        <f aca="false">ROUND((D113-$D$5)*86400,2)</f>
        <v>12.82</v>
      </c>
      <c r="F113" s="12" t="n">
        <v>1120</v>
      </c>
      <c r="G113" s="11" t="n">
        <f aca="false">IF(INDEX(選手一覧!$D$5:$D$2736,$F113)="","",INDEX(選手一覧!$D$5:$D$2736,$F113))</f>
        <v>0.0110163194444444</v>
      </c>
      <c r="H113" s="12" t="n">
        <f aca="false">IF(INDEX(選手一覧!$E$5:$E$2736,$F113)="","",INDEX(選手一覧!$E$5:$E$2736,$F113))</f>
        <v>1121</v>
      </c>
      <c r="I113" s="11" t="str">
        <f aca="false">IF(INDEX(選手一覧!$F$5:$F$2736,$F113)="","",INDEX(選手一覧!$F$5:$F$2736,$F113))</f>
        <v/>
      </c>
      <c r="J113" s="12" t="str">
        <f aca="false">IF(INDEX(選手一覧!$G$5:$G$2736,$F113)="","",INDEX(選手一覧!$G$5:$G$2736,$F113))</f>
        <v/>
      </c>
    </row>
    <row r="114" customFormat="false" ht="15" hidden="false" customHeight="false" outlineLevel="0" collapsed="false">
      <c r="A114" s="12" t="n">
        <v>111</v>
      </c>
      <c r="B114" s="8" t="s">
        <v>199</v>
      </c>
      <c r="C114" s="8" t="s">
        <v>200</v>
      </c>
      <c r="D114" s="11" t="n">
        <v>0.00275324074074074</v>
      </c>
      <c r="E114" s="39" t="n">
        <f aca="false">ROUND((D114-$D$5)*86400,2)</f>
        <v>12.85</v>
      </c>
      <c r="F114" s="12" t="n">
        <v>93</v>
      </c>
      <c r="G114" s="11" t="n">
        <f aca="false">IF(INDEX(選手一覧!$D$5:$D$2736,$F114)="","",INDEX(選手一覧!$D$5:$D$2736,$F114))</f>
        <v>0.0101935185185185</v>
      </c>
      <c r="H114" s="12" t="n">
        <f aca="false">IF(INDEX(選手一覧!$E$5:$E$2736,$F114)="","",INDEX(選手一覧!$E$5:$E$2736,$F114))</f>
        <v>94</v>
      </c>
      <c r="I114" s="11" t="str">
        <f aca="false">IF(INDEX(選手一覧!$F$5:$F$2736,$F114)="","",INDEX(選手一覧!$F$5:$F$2736,$F114))</f>
        <v/>
      </c>
      <c r="J114" s="12" t="str">
        <f aca="false">IF(INDEX(選手一覧!$G$5:$G$2736,$F114)="","",INDEX(選手一覧!$G$5:$G$2736,$F114))</f>
        <v/>
      </c>
    </row>
    <row r="115" customFormat="false" ht="15" hidden="false" customHeight="false" outlineLevel="0" collapsed="false">
      <c r="A115" s="12" t="n">
        <v>112</v>
      </c>
      <c r="B115" s="8" t="s">
        <v>698</v>
      </c>
      <c r="C115" s="8" t="s">
        <v>150</v>
      </c>
      <c r="D115" s="11" t="n">
        <v>0.0027537037037037</v>
      </c>
      <c r="E115" s="39" t="n">
        <f aca="false">ROUND((D115-$D$5)*86400,2)</f>
        <v>12.89</v>
      </c>
      <c r="F115" s="12" t="n">
        <v>390</v>
      </c>
      <c r="G115" s="11" t="n">
        <f aca="false">IF(INDEX(選手一覧!$D$5:$D$2736,$F115)="","",INDEX(選手一覧!$D$5:$D$2736,$F115))</f>
        <v>0.0105428240740741</v>
      </c>
      <c r="H115" s="12" t="n">
        <f aca="false">IF(INDEX(選手一覧!$E$5:$E$2736,$F115)="","",INDEX(選手一覧!$E$5:$E$2736,$F115))</f>
        <v>391</v>
      </c>
      <c r="I115" s="11" t="str">
        <f aca="false">IF(INDEX(選手一覧!$F$5:$F$2736,$F115)="","",INDEX(選手一覧!$F$5:$F$2736,$F115))</f>
        <v/>
      </c>
      <c r="J115" s="12" t="str">
        <f aca="false">IF(INDEX(選手一覧!$G$5:$G$2736,$F115)="","",INDEX(選手一覧!$G$5:$G$2736,$F115))</f>
        <v/>
      </c>
    </row>
    <row r="116" customFormat="false" ht="15" hidden="false" customHeight="false" outlineLevel="0" collapsed="false">
      <c r="A116" s="12" t="n">
        <v>113</v>
      </c>
      <c r="B116" s="8" t="s">
        <v>325</v>
      </c>
      <c r="C116" s="8" t="s">
        <v>326</v>
      </c>
      <c r="D116" s="11" t="n">
        <v>0.00275381944444445</v>
      </c>
      <c r="E116" s="39" t="n">
        <f aca="false">ROUND((D116-$D$5)*86400,2)</f>
        <v>12.9</v>
      </c>
      <c r="F116" s="12" t="n">
        <v>160</v>
      </c>
      <c r="G116" s="11" t="n">
        <f aca="false">IF(INDEX(選手一覧!$D$5:$D$2736,$F116)="","",INDEX(選手一覧!$D$5:$D$2736,$F116))</f>
        <v>0.0103003472222222</v>
      </c>
      <c r="H116" s="12" t="n">
        <f aca="false">IF(INDEX(選手一覧!$E$5:$E$2736,$F116)="","",INDEX(選手一覧!$E$5:$E$2736,$F116))</f>
        <v>161</v>
      </c>
      <c r="I116" s="11" t="n">
        <f aca="false">IF(INDEX(選手一覧!$F$5:$F$2736,$F116)="","",INDEX(選手一覧!$F$5:$F$2736,$F116))</f>
        <v>0.0070880787037037</v>
      </c>
      <c r="J116" s="12" t="n">
        <f aca="false">IF(INDEX(選手一覧!$G$5:$G$2736,$F116)="","",INDEX(選手一覧!$G$5:$G$2736,$F116))</f>
        <v>437</v>
      </c>
    </row>
    <row r="117" customFormat="false" ht="15" hidden="false" customHeight="false" outlineLevel="0" collapsed="false">
      <c r="A117" s="12" t="n">
        <v>114</v>
      </c>
      <c r="B117" s="8" t="s">
        <v>1627</v>
      </c>
      <c r="C117" s="8" t="s">
        <v>1224</v>
      </c>
      <c r="D117" s="11" t="n">
        <v>0.00275393518518519</v>
      </c>
      <c r="E117" s="39" t="n">
        <f aca="false">ROUND((D117-$D$5)*86400,2)</f>
        <v>12.91</v>
      </c>
      <c r="F117" s="12" t="n">
        <v>1005</v>
      </c>
      <c r="G117" s="11" t="n">
        <f aca="false">IF(INDEX(選手一覧!$D$5:$D$2736,$F117)="","",INDEX(選手一覧!$D$5:$D$2736,$F117))</f>
        <v>0.0109527777777778</v>
      </c>
      <c r="H117" s="12" t="n">
        <f aca="false">IF(INDEX(選手一覧!$E$5:$E$2736,$F117)="","",INDEX(選手一覧!$E$5:$E$2736,$F117))</f>
        <v>1006</v>
      </c>
      <c r="I117" s="11" t="str">
        <f aca="false">IF(INDEX(選手一覧!$F$5:$F$2736,$F117)="","",INDEX(選手一覧!$F$5:$F$2736,$F117))</f>
        <v/>
      </c>
      <c r="J117" s="12" t="str">
        <f aca="false">IF(INDEX(選手一覧!$G$5:$G$2736,$F117)="","",INDEX(選手一覧!$G$5:$G$2736,$F117))</f>
        <v/>
      </c>
    </row>
    <row r="118" customFormat="false" ht="15" hidden="false" customHeight="false" outlineLevel="0" collapsed="false">
      <c r="A118" s="12" t="n">
        <v>115</v>
      </c>
      <c r="B118" s="8" t="s">
        <v>789</v>
      </c>
      <c r="C118" s="8" t="s">
        <v>58</v>
      </c>
      <c r="D118" s="11" t="n">
        <v>0.00275428240740741</v>
      </c>
      <c r="E118" s="39" t="n">
        <f aca="false">ROUND((D118-$D$5)*86400,2)</f>
        <v>12.94</v>
      </c>
      <c r="F118" s="12" t="n">
        <v>446</v>
      </c>
      <c r="G118" s="11" t="n">
        <f aca="false">IF(INDEX(選手一覧!$D$5:$D$2736,$F118)="","",INDEX(選手一覧!$D$5:$D$2736,$F118))</f>
        <v>0.0105856481481482</v>
      </c>
      <c r="H118" s="12" t="n">
        <f aca="false">IF(INDEX(選手一覧!$E$5:$E$2736,$F118)="","",INDEX(選手一覧!$E$5:$E$2736,$F118))</f>
        <v>447</v>
      </c>
      <c r="I118" s="11" t="n">
        <f aca="false">IF(INDEX(選手一覧!$F$5:$F$2736,$F118)="","",INDEX(選手一覧!$F$5:$F$2736,$F118))</f>
        <v>0.00672800925925926</v>
      </c>
      <c r="J118" s="12" t="n">
        <f aca="false">IF(INDEX(選手一覧!$G$5:$G$2736,$F118)="","",INDEX(選手一覧!$G$5:$G$2736,$F118))</f>
        <v>118</v>
      </c>
    </row>
    <row r="119" customFormat="false" ht="15" hidden="false" customHeight="false" outlineLevel="0" collapsed="false">
      <c r="A119" s="12" t="n">
        <v>116</v>
      </c>
      <c r="B119" s="8" t="s">
        <v>2060</v>
      </c>
      <c r="C119" s="8" t="s">
        <v>588</v>
      </c>
      <c r="D119" s="11" t="n">
        <v>0.00275439814814815</v>
      </c>
      <c r="E119" s="39" t="n">
        <f aca="false">ROUND((D119-$D$5)*86400,2)</f>
        <v>12.95</v>
      </c>
      <c r="F119" s="12" t="n">
        <v>1310</v>
      </c>
      <c r="G119" s="11" t="str">
        <f aca="false">IF(INDEX(選手一覧!$D$5:$D$2736,$F119)="","",INDEX(選手一覧!$D$5:$D$2736,$F119))</f>
        <v/>
      </c>
      <c r="H119" s="12" t="str">
        <f aca="false">IF(INDEX(選手一覧!$E$5:$E$2736,$F119)="","",INDEX(選手一覧!$E$5:$E$2736,$F119))</f>
        <v/>
      </c>
      <c r="I119" s="11" t="str">
        <f aca="false">IF(INDEX(選手一覧!$F$5:$F$2736,$F119)="","",INDEX(選手一覧!$F$5:$F$2736,$F119))</f>
        <v/>
      </c>
      <c r="J119" s="12" t="str">
        <f aca="false">IF(INDEX(選手一覧!$G$5:$G$2736,$F119)="","",INDEX(選手一覧!$G$5:$G$2736,$F119))</f>
        <v/>
      </c>
    </row>
    <row r="120" customFormat="false" ht="15" hidden="false" customHeight="false" outlineLevel="0" collapsed="false">
      <c r="A120" s="12" t="n">
        <v>117</v>
      </c>
      <c r="B120" s="8" t="s">
        <v>2032</v>
      </c>
      <c r="C120" s="8" t="s">
        <v>594</v>
      </c>
      <c r="D120" s="11" t="n">
        <v>0.00275451388888889</v>
      </c>
      <c r="E120" s="39" t="n">
        <f aca="false">ROUND((D120-$D$5)*86400,2)</f>
        <v>12.96</v>
      </c>
      <c r="F120" s="12" t="n">
        <v>1290</v>
      </c>
      <c r="G120" s="11" t="n">
        <f aca="false">IF(INDEX(選手一覧!$D$5:$D$2736,$F120)="","",INDEX(選手一覧!$D$5:$D$2736,$F120))</f>
        <v>0.0111229166666667</v>
      </c>
      <c r="H120" s="12" t="n">
        <f aca="false">IF(INDEX(選手一覧!$E$5:$E$2736,$F120)="","",INDEX(選手一覧!$E$5:$E$2736,$F120))</f>
        <v>1291</v>
      </c>
      <c r="I120" s="11" t="str">
        <f aca="false">IF(INDEX(選手一覧!$F$5:$F$2736,$F120)="","",INDEX(選手一覧!$F$5:$F$2736,$F120))</f>
        <v/>
      </c>
      <c r="J120" s="12" t="str">
        <f aca="false">IF(INDEX(選手一覧!$G$5:$G$2736,$F120)="","",INDEX(選手一覧!$G$5:$G$2736,$F120))</f>
        <v/>
      </c>
    </row>
    <row r="121" customFormat="false" ht="15" hidden="false" customHeight="false" outlineLevel="0" collapsed="false">
      <c r="A121" s="12" t="n">
        <v>118</v>
      </c>
      <c r="B121" s="8" t="s">
        <v>295</v>
      </c>
      <c r="C121" s="8" t="s">
        <v>296</v>
      </c>
      <c r="D121" s="11" t="n">
        <v>0.00275451388888889</v>
      </c>
      <c r="E121" s="39" t="n">
        <f aca="false">ROUND((D121-$D$5)*86400,2)</f>
        <v>12.96</v>
      </c>
      <c r="F121" s="12" t="n">
        <v>144</v>
      </c>
      <c r="G121" s="11" t="n">
        <f aca="false">IF(INDEX(選手一覧!$D$5:$D$2736,$F121)="","",INDEX(選手一覧!$D$5:$D$2736,$F121))</f>
        <v>0.0102777777777778</v>
      </c>
      <c r="H121" s="12" t="n">
        <f aca="false">IF(INDEX(選手一覧!$E$5:$E$2736,$F121)="","",INDEX(選手一覧!$E$5:$E$2736,$F121))</f>
        <v>145</v>
      </c>
      <c r="I121" s="11" t="str">
        <f aca="false">IF(INDEX(選手一覧!$F$5:$F$2736,$F121)="","",INDEX(選手一覧!$F$5:$F$2736,$F121))</f>
        <v/>
      </c>
      <c r="J121" s="12" t="str">
        <f aca="false">IF(INDEX(選手一覧!$G$5:$G$2736,$F121)="","",INDEX(選手一覧!$G$5:$G$2736,$F121))</f>
        <v/>
      </c>
    </row>
    <row r="122" customFormat="false" ht="15" hidden="false" customHeight="false" outlineLevel="0" collapsed="false">
      <c r="A122" s="12" t="n">
        <v>119</v>
      </c>
      <c r="B122" s="8" t="s">
        <v>203</v>
      </c>
      <c r="C122" s="8" t="s">
        <v>80</v>
      </c>
      <c r="D122" s="11" t="n">
        <v>0.00275451388888889</v>
      </c>
      <c r="E122" s="39" t="n">
        <f aca="false">ROUND((D122-$D$5)*86400,2)</f>
        <v>12.96</v>
      </c>
      <c r="F122" s="12" t="n">
        <v>95</v>
      </c>
      <c r="G122" s="11" t="n">
        <f aca="false">IF(INDEX(選手一覧!$D$5:$D$2736,$F122)="","",INDEX(選手一覧!$D$5:$D$2736,$F122))</f>
        <v>0.0101975694444444</v>
      </c>
      <c r="H122" s="12" t="n">
        <f aca="false">IF(INDEX(選手一覧!$E$5:$E$2736,$F122)="","",INDEX(選手一覧!$E$5:$E$2736,$F122))</f>
        <v>96</v>
      </c>
      <c r="I122" s="11" t="str">
        <f aca="false">IF(INDEX(選手一覧!$F$5:$F$2736,$F122)="","",INDEX(選手一覧!$F$5:$F$2736,$F122))</f>
        <v/>
      </c>
      <c r="J122" s="12" t="str">
        <f aca="false">IF(INDEX(選手一覧!$G$5:$G$2736,$F122)="","",INDEX(選手一覧!$G$5:$G$2736,$F122))</f>
        <v/>
      </c>
    </row>
    <row r="123" customFormat="false" ht="15" hidden="false" customHeight="false" outlineLevel="0" collapsed="false">
      <c r="A123" s="12" t="n">
        <v>120</v>
      </c>
      <c r="B123" s="8" t="s">
        <v>204</v>
      </c>
      <c r="C123" s="8" t="s">
        <v>205</v>
      </c>
      <c r="D123" s="11" t="n">
        <v>0.00275451388888889</v>
      </c>
      <c r="E123" s="39" t="n">
        <f aca="false">ROUND((D123-$D$5)*86400,2)</f>
        <v>12.96</v>
      </c>
      <c r="F123" s="12" t="n">
        <v>96</v>
      </c>
      <c r="G123" s="11" t="n">
        <f aca="false">IF(INDEX(選手一覧!$D$5:$D$2736,$F123)="","",INDEX(選手一覧!$D$5:$D$2736,$F123))</f>
        <v>0.0102012731481482</v>
      </c>
      <c r="H123" s="12" t="n">
        <f aca="false">IF(INDEX(選手一覧!$E$5:$E$2736,$F123)="","",INDEX(選手一覧!$E$5:$E$2736,$F123))</f>
        <v>97</v>
      </c>
      <c r="I123" s="11" t="n">
        <f aca="false">IF(INDEX(選手一覧!$F$5:$F$2736,$F123)="","",INDEX(選手一覧!$F$5:$F$2736,$F123))</f>
        <v>0.00648483796296296</v>
      </c>
      <c r="J123" s="12" t="n">
        <f aca="false">IF(INDEX(選手一覧!$G$5:$G$2736,$F123)="","",INDEX(選手一覧!$G$5:$G$2736,$F123))</f>
        <v>31</v>
      </c>
    </row>
    <row r="124" customFormat="false" ht="15" hidden="false" customHeight="false" outlineLevel="0" collapsed="false">
      <c r="A124" s="12" t="n">
        <v>121</v>
      </c>
      <c r="B124" s="8" t="s">
        <v>407</v>
      </c>
      <c r="C124" s="8" t="s">
        <v>408</v>
      </c>
      <c r="D124" s="11" t="n">
        <v>0.00275543981481482</v>
      </c>
      <c r="E124" s="39" t="n">
        <f aca="false">ROUND((D124-$D$5)*86400,2)</f>
        <v>13.04</v>
      </c>
      <c r="F124" s="12" t="n">
        <v>208</v>
      </c>
      <c r="G124" s="11" t="n">
        <f aca="false">IF(INDEX(選手一覧!$D$5:$D$2736,$F124)="","",INDEX(選手一覧!$D$5:$D$2736,$F124))</f>
        <v>0.0103547453703704</v>
      </c>
      <c r="H124" s="12" t="n">
        <f aca="false">IF(INDEX(選手一覧!$E$5:$E$2736,$F124)="","",INDEX(選手一覧!$E$5:$E$2736,$F124))</f>
        <v>209</v>
      </c>
      <c r="I124" s="11" t="n">
        <f aca="false">IF(INDEX(選手一覧!$F$5:$F$2736,$F124)="","",INDEX(選手一覧!$F$5:$F$2736,$F124))</f>
        <v>0.0066412037037037</v>
      </c>
      <c r="J124" s="12" t="n">
        <f aca="false">IF(INDEX(選手一覧!$G$5:$G$2736,$F124)="","",INDEX(選手一覧!$G$5:$G$2736,$F124))</f>
        <v>79</v>
      </c>
    </row>
    <row r="125" customFormat="false" ht="15" hidden="false" customHeight="false" outlineLevel="0" collapsed="false">
      <c r="A125" s="12" t="n">
        <v>122</v>
      </c>
      <c r="B125" s="8" t="s">
        <v>1034</v>
      </c>
      <c r="C125" s="8" t="s">
        <v>118</v>
      </c>
      <c r="D125" s="11" t="n">
        <v>0.0027556712962963</v>
      </c>
      <c r="E125" s="39" t="n">
        <f aca="false">ROUND((D125-$D$5)*86400,2)</f>
        <v>13.06</v>
      </c>
      <c r="F125" s="12" t="n">
        <v>606</v>
      </c>
      <c r="G125" s="11" t="n">
        <f aca="false">IF(INDEX(選手一覧!$D$5:$D$2736,$F125)="","",INDEX(選手一覧!$D$5:$D$2736,$F125))</f>
        <v>0.0107158564814815</v>
      </c>
      <c r="H125" s="12" t="n">
        <f aca="false">IF(INDEX(選手一覧!$E$5:$E$2736,$F125)="","",INDEX(選手一覧!$E$5:$E$2736,$F125))</f>
        <v>607</v>
      </c>
      <c r="I125" s="11" t="str">
        <f aca="false">IF(INDEX(選手一覧!$F$5:$F$2736,$F125)="","",INDEX(選手一覧!$F$5:$F$2736,$F125))</f>
        <v/>
      </c>
      <c r="J125" s="12" t="str">
        <f aca="false">IF(INDEX(選手一覧!$G$5:$G$2736,$F125)="","",INDEX(選手一覧!$G$5:$G$2736,$F125))</f>
        <v/>
      </c>
    </row>
    <row r="126" customFormat="false" ht="15" hidden="false" customHeight="false" outlineLevel="0" collapsed="false">
      <c r="A126" s="12" t="n">
        <v>123</v>
      </c>
      <c r="B126" s="8" t="s">
        <v>1176</v>
      </c>
      <c r="C126" s="8" t="s">
        <v>1177</v>
      </c>
      <c r="D126" s="11" t="n">
        <v>0.00275601851851852</v>
      </c>
      <c r="E126" s="39" t="n">
        <f aca="false">ROUND((D126-$D$5)*86400,2)</f>
        <v>13.09</v>
      </c>
      <c r="F126" s="12" t="n">
        <v>703</v>
      </c>
      <c r="G126" s="11" t="n">
        <f aca="false">IF(INDEX(選手一覧!$D$5:$D$2736,$F126)="","",INDEX(選手一覧!$D$5:$D$2736,$F126))</f>
        <v>0.0107768518518519</v>
      </c>
      <c r="H126" s="12" t="n">
        <f aca="false">IF(INDEX(選手一覧!$E$5:$E$2736,$F126)="","",INDEX(選手一覧!$E$5:$E$2736,$F126))</f>
        <v>704</v>
      </c>
      <c r="I126" s="11" t="str">
        <f aca="false">IF(INDEX(選手一覧!$F$5:$F$2736,$F126)="","",INDEX(選手一覧!$F$5:$F$2736,$F126))</f>
        <v/>
      </c>
      <c r="J126" s="12" t="str">
        <f aca="false">IF(INDEX(選手一覧!$G$5:$G$2736,$F126)="","",INDEX(選手一覧!$G$5:$G$2736,$F126))</f>
        <v/>
      </c>
    </row>
    <row r="127" customFormat="false" ht="15" hidden="false" customHeight="false" outlineLevel="0" collapsed="false">
      <c r="A127" s="12" t="n">
        <v>124</v>
      </c>
      <c r="B127" s="8" t="s">
        <v>738</v>
      </c>
      <c r="C127" s="8" t="s">
        <v>278</v>
      </c>
      <c r="D127" s="11" t="n">
        <v>0.00275613425925926</v>
      </c>
      <c r="E127" s="39" t="n">
        <f aca="false">ROUND((D127-$D$5)*86400,2)</f>
        <v>13.1</v>
      </c>
      <c r="F127" s="12" t="n">
        <v>413</v>
      </c>
      <c r="G127" s="11" t="n">
        <f aca="false">IF(INDEX(選手一覧!$D$5:$D$2736,$F127)="","",INDEX(選手一覧!$D$5:$D$2736,$F127))</f>
        <v>0.010562962962963</v>
      </c>
      <c r="H127" s="12" t="n">
        <f aca="false">IF(INDEX(選手一覧!$E$5:$E$2736,$F127)="","",INDEX(選手一覧!$E$5:$E$2736,$F127))</f>
        <v>414</v>
      </c>
      <c r="I127" s="11" t="str">
        <f aca="false">IF(INDEX(選手一覧!$F$5:$F$2736,$F127)="","",INDEX(選手一覧!$F$5:$F$2736,$F127))</f>
        <v/>
      </c>
      <c r="J127" s="12" t="str">
        <f aca="false">IF(INDEX(選手一覧!$G$5:$G$2736,$F127)="","",INDEX(選手一覧!$G$5:$G$2736,$F127))</f>
        <v/>
      </c>
    </row>
    <row r="128" customFormat="false" ht="15" hidden="false" customHeight="false" outlineLevel="0" collapsed="false">
      <c r="A128" s="12" t="n">
        <v>125</v>
      </c>
      <c r="B128" s="8" t="s">
        <v>1200</v>
      </c>
      <c r="C128" s="8" t="s">
        <v>87</v>
      </c>
      <c r="D128" s="11" t="n">
        <v>0.00275671296296296</v>
      </c>
      <c r="E128" s="39" t="n">
        <f aca="false">ROUND((D128-$D$5)*86400,2)</f>
        <v>13.15</v>
      </c>
      <c r="F128" s="12" t="n">
        <v>718</v>
      </c>
      <c r="G128" s="11" t="n">
        <f aca="false">IF(INDEX(選手一覧!$D$5:$D$2736,$F128)="","",INDEX(選手一覧!$D$5:$D$2736,$F128))</f>
        <v>0.0107890046296296</v>
      </c>
      <c r="H128" s="12" t="n">
        <f aca="false">IF(INDEX(選手一覧!$E$5:$E$2736,$F128)="","",INDEX(選手一覧!$E$5:$E$2736,$F128))</f>
        <v>719</v>
      </c>
      <c r="I128" s="11" t="str">
        <f aca="false">IF(INDEX(選手一覧!$F$5:$F$2736,$F128)="","",INDEX(選手一覧!$F$5:$F$2736,$F128))</f>
        <v/>
      </c>
      <c r="J128" s="12" t="str">
        <f aca="false">IF(INDEX(選手一覧!$G$5:$G$2736,$F128)="","",INDEX(選手一覧!$G$5:$G$2736,$F128))</f>
        <v/>
      </c>
    </row>
    <row r="129" customFormat="false" ht="15" hidden="false" customHeight="false" outlineLevel="0" collapsed="false">
      <c r="A129" s="12" t="n">
        <v>126</v>
      </c>
      <c r="B129" s="8" t="s">
        <v>1041</v>
      </c>
      <c r="C129" s="8" t="s">
        <v>1042</v>
      </c>
      <c r="D129" s="11" t="n">
        <v>0.0027568287037037</v>
      </c>
      <c r="E129" s="39" t="n">
        <f aca="false">ROUND((D129-$D$5)*86400,2)</f>
        <v>13.16</v>
      </c>
      <c r="F129" s="12" t="n">
        <v>612</v>
      </c>
      <c r="G129" s="11" t="n">
        <f aca="false">IF(INDEX(選手一覧!$D$5:$D$2736,$F129)="","",INDEX(選手一覧!$D$5:$D$2736,$F129))</f>
        <v>0.0107209490740741</v>
      </c>
      <c r="H129" s="12" t="n">
        <f aca="false">IF(INDEX(選手一覧!$E$5:$E$2736,$F129)="","",INDEX(選手一覧!$E$5:$E$2736,$F129))</f>
        <v>613</v>
      </c>
      <c r="I129" s="11" t="str">
        <f aca="false">IF(INDEX(選手一覧!$F$5:$F$2736,$F129)="","",INDEX(選手一覧!$F$5:$F$2736,$F129))</f>
        <v/>
      </c>
      <c r="J129" s="12" t="str">
        <f aca="false">IF(INDEX(選手一覧!$G$5:$G$2736,$F129)="","",INDEX(選手一覧!$G$5:$G$2736,$F129))</f>
        <v/>
      </c>
    </row>
    <row r="130" customFormat="false" ht="15" hidden="false" customHeight="false" outlineLevel="0" collapsed="false">
      <c r="A130" s="12" t="n">
        <v>127</v>
      </c>
      <c r="B130" s="8" t="s">
        <v>151</v>
      </c>
      <c r="C130" s="8" t="s">
        <v>152</v>
      </c>
      <c r="D130" s="11" t="n">
        <v>0.0027568287037037</v>
      </c>
      <c r="E130" s="39" t="n">
        <f aca="false">ROUND((D130-$D$5)*86400,2)</f>
        <v>13.16</v>
      </c>
      <c r="F130" s="12" t="n">
        <v>67</v>
      </c>
      <c r="G130" s="11" t="n">
        <f aca="false">IF(INDEX(選手一覧!$D$5:$D$2736,$F130)="","",INDEX(選手一覧!$D$5:$D$2736,$F130))</f>
        <v>0.0101380787037037</v>
      </c>
      <c r="H130" s="12" t="n">
        <f aca="false">IF(INDEX(選手一覧!$E$5:$E$2736,$F130)="","",INDEX(選手一覧!$E$5:$E$2736,$F130))</f>
        <v>68</v>
      </c>
      <c r="I130" s="11" t="str">
        <f aca="false">IF(INDEX(選手一覧!$F$5:$F$2736,$F130)="","",INDEX(選手一覧!$F$5:$F$2736,$F130))</f>
        <v/>
      </c>
      <c r="J130" s="12" t="str">
        <f aca="false">IF(INDEX(選手一覧!$G$5:$G$2736,$F130)="","",INDEX(選手一覧!$G$5:$G$2736,$F130))</f>
        <v/>
      </c>
    </row>
    <row r="131" customFormat="false" ht="15" hidden="false" customHeight="false" outlineLevel="0" collapsed="false">
      <c r="A131" s="12" t="n">
        <v>128</v>
      </c>
      <c r="B131" s="8" t="s">
        <v>157</v>
      </c>
      <c r="C131" s="8" t="s">
        <v>158</v>
      </c>
      <c r="D131" s="11" t="n">
        <v>0.00275729166666667</v>
      </c>
      <c r="E131" s="39" t="n">
        <f aca="false">ROUND((D131-$D$5)*86400,2)</f>
        <v>13.2</v>
      </c>
      <c r="F131" s="12" t="n">
        <v>70</v>
      </c>
      <c r="G131" s="11" t="n">
        <f aca="false">IF(INDEX(選手一覧!$D$5:$D$2736,$F131)="","",INDEX(選手一覧!$D$5:$D$2736,$F131))</f>
        <v>0.0101478009259259</v>
      </c>
      <c r="H131" s="12" t="n">
        <f aca="false">IF(INDEX(選手一覧!$E$5:$E$2736,$F131)="","",INDEX(選手一覧!$E$5:$E$2736,$F131))</f>
        <v>71</v>
      </c>
      <c r="I131" s="11" t="n">
        <f aca="false">IF(INDEX(選手一覧!$F$5:$F$2736,$F131)="","",INDEX(選手一覧!$F$5:$F$2736,$F131))</f>
        <v>0.00698865740740741</v>
      </c>
      <c r="J131" s="12" t="n">
        <f aca="false">IF(INDEX(選手一覧!$G$5:$G$2736,$F131)="","",INDEX(選手一覧!$G$5:$G$2736,$F131))</f>
        <v>323</v>
      </c>
    </row>
    <row r="132" customFormat="false" ht="15" hidden="false" customHeight="false" outlineLevel="0" collapsed="false">
      <c r="A132" s="12" t="n">
        <v>129</v>
      </c>
      <c r="B132" s="8" t="s">
        <v>743</v>
      </c>
      <c r="C132" s="8" t="s">
        <v>148</v>
      </c>
      <c r="D132" s="11" t="n">
        <v>0.00275775462962963</v>
      </c>
      <c r="E132" s="39" t="n">
        <f aca="false">ROUND((D132-$D$5)*86400,2)</f>
        <v>13.24</v>
      </c>
      <c r="F132" s="12" t="n">
        <v>416</v>
      </c>
      <c r="G132" s="11" t="n">
        <f aca="false">IF(INDEX(選手一覧!$D$5:$D$2736,$F132)="","",INDEX(選手一覧!$D$5:$D$2736,$F132))</f>
        <v>0.0105644675925926</v>
      </c>
      <c r="H132" s="12" t="n">
        <f aca="false">IF(INDEX(選手一覧!$E$5:$E$2736,$F132)="","",INDEX(選手一覧!$E$5:$E$2736,$F132))</f>
        <v>417</v>
      </c>
      <c r="I132" s="11" t="str">
        <f aca="false">IF(INDEX(選手一覧!$F$5:$F$2736,$F132)="","",INDEX(選手一覧!$F$5:$F$2736,$F132))</f>
        <v/>
      </c>
      <c r="J132" s="12" t="str">
        <f aca="false">IF(INDEX(選手一覧!$G$5:$G$2736,$F132)="","",INDEX(選手一覧!$G$5:$G$2736,$F132))</f>
        <v/>
      </c>
    </row>
    <row r="133" customFormat="false" ht="15" hidden="false" customHeight="false" outlineLevel="0" collapsed="false">
      <c r="A133" s="12" t="n">
        <v>130</v>
      </c>
      <c r="B133" s="8" t="s">
        <v>424</v>
      </c>
      <c r="C133" s="8" t="s">
        <v>179</v>
      </c>
      <c r="D133" s="11" t="n">
        <v>0.00275833333333333</v>
      </c>
      <c r="E133" s="39" t="n">
        <f aca="false">ROUND((D133-$D$5)*86400,2)</f>
        <v>13.29</v>
      </c>
      <c r="F133" s="12" t="n">
        <v>221</v>
      </c>
      <c r="G133" s="11" t="n">
        <f aca="false">IF(INDEX(選手一覧!$D$5:$D$2736,$F133)="","",INDEX(選手一覧!$D$5:$D$2736,$F133))</f>
        <v>0.0103675925925926</v>
      </c>
      <c r="H133" s="12" t="n">
        <f aca="false">IF(INDEX(選手一覧!$E$5:$E$2736,$F133)="","",INDEX(選手一覧!$E$5:$E$2736,$F133))</f>
        <v>222</v>
      </c>
      <c r="I133" s="11" t="n">
        <f aca="false">IF(INDEX(選手一覧!$F$5:$F$2736,$F133)="","",INDEX(選手一覧!$F$5:$F$2736,$F133))</f>
        <v>0.0064625</v>
      </c>
      <c r="J133" s="12" t="n">
        <f aca="false">IF(INDEX(選手一覧!$G$5:$G$2736,$F133)="","",INDEX(選手一覧!$G$5:$G$2736,$F133))</f>
        <v>26</v>
      </c>
    </row>
    <row r="134" customFormat="false" ht="15" hidden="false" customHeight="false" outlineLevel="0" collapsed="false">
      <c r="A134" s="12" t="n">
        <v>131</v>
      </c>
      <c r="B134" s="8" t="s">
        <v>1992</v>
      </c>
      <c r="C134" s="8" t="s">
        <v>1475</v>
      </c>
      <c r="D134" s="11" t="n">
        <v>0.00275856481481482</v>
      </c>
      <c r="E134" s="39" t="n">
        <f aca="false">ROUND((D134-$D$5)*86400,2)</f>
        <v>13.31</v>
      </c>
      <c r="F134" s="12" t="n">
        <v>1256</v>
      </c>
      <c r="G134" s="11" t="n">
        <f aca="false">IF(INDEX(選手一覧!$D$5:$D$2736,$F134)="","",INDEX(選手一覧!$D$5:$D$2736,$F134))</f>
        <v>0.0110846064814815</v>
      </c>
      <c r="H134" s="12" t="n">
        <f aca="false">IF(INDEX(選手一覧!$E$5:$E$2736,$F134)="","",INDEX(選手一覧!$E$5:$E$2736,$F134))</f>
        <v>1257</v>
      </c>
      <c r="I134" s="11" t="str">
        <f aca="false">IF(INDEX(選手一覧!$F$5:$F$2736,$F134)="","",INDEX(選手一覧!$F$5:$F$2736,$F134))</f>
        <v/>
      </c>
      <c r="J134" s="12" t="str">
        <f aca="false">IF(INDEX(選手一覧!$G$5:$G$2736,$F134)="","",INDEX(選手一覧!$G$5:$G$2736,$F134))</f>
        <v/>
      </c>
    </row>
    <row r="135" customFormat="false" ht="15" hidden="false" customHeight="false" outlineLevel="0" collapsed="false">
      <c r="A135" s="21" t="n">
        <v>132</v>
      </c>
      <c r="B135" s="17" t="s">
        <v>38</v>
      </c>
      <c r="C135" s="17" t="s">
        <v>28</v>
      </c>
      <c r="D135" s="20" t="n">
        <v>0.00275902777777778</v>
      </c>
      <c r="E135" s="40" t="n">
        <f aca="false">ROUND((D135-$D$5)*86400,2)</f>
        <v>13.35</v>
      </c>
      <c r="F135" s="21" t="n">
        <v>11</v>
      </c>
      <c r="G135" s="20" t="n">
        <f aca="false">IF(INDEX(選手一覧!$D$5:$D$2736,$F135)="","",INDEX(選手一覧!$D$5:$D$2736,$F135))</f>
        <v>0.00987071759259259</v>
      </c>
      <c r="H135" s="21" t="n">
        <f aca="false">IF(INDEX(選手一覧!$E$5:$E$2736,$F135)="","",INDEX(選手一覧!$E$5:$E$2736,$F135))</f>
        <v>11</v>
      </c>
      <c r="I135" s="20" t="str">
        <f aca="false">IF(INDEX(選手一覧!$F$5:$F$2736,$F135)="","",INDEX(選手一覧!$F$5:$F$2736,$F135))</f>
        <v/>
      </c>
      <c r="J135" s="21" t="str">
        <f aca="false">IF(INDEX(選手一覧!$G$5:$G$2736,$F135)="","",INDEX(選手一覧!$G$5:$G$2736,$F135))</f>
        <v/>
      </c>
    </row>
    <row r="136" customFormat="false" ht="15" hidden="false" customHeight="false" outlineLevel="0" collapsed="false">
      <c r="A136" s="12" t="n">
        <v>133</v>
      </c>
      <c r="B136" s="8" t="s">
        <v>104</v>
      </c>
      <c r="C136" s="8" t="s">
        <v>16</v>
      </c>
      <c r="D136" s="11" t="n">
        <v>0.00275925925925926</v>
      </c>
      <c r="E136" s="39" t="n">
        <f aca="false">ROUND((D136-$D$5)*86400,2)</f>
        <v>13.37</v>
      </c>
      <c r="F136" s="12" t="n">
        <v>42</v>
      </c>
      <c r="G136" s="11" t="n">
        <f aca="false">IF(INDEX(選手一覧!$D$5:$D$2736,$F136)="","",INDEX(選手一覧!$D$5:$D$2736,$F136))</f>
        <v>0.0100761574074074</v>
      </c>
      <c r="H136" s="12" t="n">
        <f aca="false">IF(INDEX(選手一覧!$E$5:$E$2736,$F136)="","",INDEX(選手一覧!$E$5:$E$2736,$F136))</f>
        <v>43</v>
      </c>
      <c r="I136" s="11" t="str">
        <f aca="false">IF(INDEX(選手一覧!$F$5:$F$2736,$F136)="","",INDEX(選手一覧!$F$5:$F$2736,$F136))</f>
        <v/>
      </c>
      <c r="J136" s="12" t="str">
        <f aca="false">IF(INDEX(選手一覧!$G$5:$G$2736,$F136)="","",INDEX(選手一覧!$G$5:$G$2736,$F136))</f>
        <v/>
      </c>
    </row>
    <row r="137" customFormat="false" ht="15" hidden="false" customHeight="false" outlineLevel="0" collapsed="false">
      <c r="A137" s="12" t="n">
        <v>134</v>
      </c>
      <c r="B137" s="8" t="s">
        <v>1113</v>
      </c>
      <c r="C137" s="8" t="s">
        <v>1114</v>
      </c>
      <c r="D137" s="11" t="n">
        <v>0.00275949074074074</v>
      </c>
      <c r="E137" s="39" t="n">
        <f aca="false">ROUND((D137-$D$5)*86400,2)</f>
        <v>13.39</v>
      </c>
      <c r="F137" s="12" t="n">
        <v>664</v>
      </c>
      <c r="G137" s="11" t="n">
        <f aca="false">IF(INDEX(選手一覧!$D$5:$D$2736,$F137)="","",INDEX(選手一覧!$D$5:$D$2736,$F137))</f>
        <v>0.0107475694444445</v>
      </c>
      <c r="H137" s="12" t="n">
        <f aca="false">IF(INDEX(選手一覧!$E$5:$E$2736,$F137)="","",INDEX(選手一覧!$E$5:$E$2736,$F137))</f>
        <v>665</v>
      </c>
      <c r="I137" s="11" t="str">
        <f aca="false">IF(INDEX(選手一覧!$F$5:$F$2736,$F137)="","",INDEX(選手一覧!$F$5:$F$2736,$F137))</f>
        <v/>
      </c>
      <c r="J137" s="12" t="str">
        <f aca="false">IF(INDEX(選手一覧!$G$5:$G$2736,$F137)="","",INDEX(選手一覧!$G$5:$G$2736,$F137))</f>
        <v/>
      </c>
    </row>
    <row r="138" customFormat="false" ht="15" hidden="false" customHeight="false" outlineLevel="0" collapsed="false">
      <c r="A138" s="12" t="n">
        <v>135</v>
      </c>
      <c r="B138" s="8" t="s">
        <v>874</v>
      </c>
      <c r="C138" s="8" t="s">
        <v>453</v>
      </c>
      <c r="D138" s="11" t="n">
        <v>0.00275960648148148</v>
      </c>
      <c r="E138" s="39" t="n">
        <f aca="false">ROUND((D138-$D$5)*86400,2)</f>
        <v>13.4</v>
      </c>
      <c r="F138" s="12" t="n">
        <v>501</v>
      </c>
      <c r="G138" s="11" t="n">
        <f aca="false">IF(INDEX(選手一覧!$D$5:$D$2736,$F138)="","",INDEX(選手一覧!$D$5:$D$2736,$F138))</f>
        <v>0.0106239583333333</v>
      </c>
      <c r="H138" s="12" t="n">
        <f aca="false">IF(INDEX(選手一覧!$E$5:$E$2736,$F138)="","",INDEX(選手一覧!$E$5:$E$2736,$F138))</f>
        <v>502</v>
      </c>
      <c r="I138" s="11" t="n">
        <f aca="false">IF(INDEX(選手一覧!$F$5:$F$2736,$F138)="","",INDEX(選手一覧!$F$5:$F$2736,$F138))</f>
        <v>0.00656226851851852</v>
      </c>
      <c r="J138" s="12" t="n">
        <f aca="false">IF(INDEX(選手一覧!$G$5:$G$2736,$F138)="","",INDEX(選手一覧!$G$5:$G$2736,$F138))</f>
        <v>48</v>
      </c>
    </row>
    <row r="139" customFormat="false" ht="15" hidden="false" customHeight="false" outlineLevel="0" collapsed="false">
      <c r="A139" s="12" t="n">
        <v>136</v>
      </c>
      <c r="B139" s="8" t="s">
        <v>2066</v>
      </c>
      <c r="C139" s="8" t="s">
        <v>2067</v>
      </c>
      <c r="D139" s="11" t="n">
        <v>0.00276030092592593</v>
      </c>
      <c r="E139" s="39" t="n">
        <f aca="false">ROUND((D139-$D$5)*86400,2)</f>
        <v>13.46</v>
      </c>
      <c r="F139" s="12" t="n">
        <v>1315</v>
      </c>
      <c r="G139" s="11" t="str">
        <f aca="false">IF(INDEX(選手一覧!$D$5:$D$2736,$F139)="","",INDEX(選手一覧!$D$5:$D$2736,$F139))</f>
        <v/>
      </c>
      <c r="H139" s="12" t="str">
        <f aca="false">IF(INDEX(選手一覧!$E$5:$E$2736,$F139)="","",INDEX(選手一覧!$E$5:$E$2736,$F139))</f>
        <v/>
      </c>
      <c r="I139" s="11" t="str">
        <f aca="false">IF(INDEX(選手一覧!$F$5:$F$2736,$F139)="","",INDEX(選手一覧!$F$5:$F$2736,$F139))</f>
        <v/>
      </c>
      <c r="J139" s="12" t="str">
        <f aca="false">IF(INDEX(選手一覧!$G$5:$G$2736,$F139)="","",INDEX(選手一覧!$G$5:$G$2736,$F139))</f>
        <v/>
      </c>
    </row>
    <row r="140" customFormat="false" ht="15" hidden="false" customHeight="false" outlineLevel="0" collapsed="false">
      <c r="A140" s="12" t="n">
        <v>137</v>
      </c>
      <c r="B140" s="8" t="s">
        <v>240</v>
      </c>
      <c r="C140" s="8" t="s">
        <v>241</v>
      </c>
      <c r="D140" s="11" t="n">
        <v>0.00276053240740741</v>
      </c>
      <c r="E140" s="39" t="n">
        <f aca="false">ROUND((D140-$D$5)*86400,2)</f>
        <v>13.48</v>
      </c>
      <c r="F140" s="12" t="n">
        <v>117</v>
      </c>
      <c r="G140" s="11" t="n">
        <f aca="false">IF(INDEX(選手一覧!$D$5:$D$2736,$F140)="","",INDEX(選手一覧!$D$5:$D$2736,$F140))</f>
        <v>0.0102384259259259</v>
      </c>
      <c r="H140" s="12" t="n">
        <f aca="false">IF(INDEX(選手一覧!$E$5:$E$2736,$F140)="","",INDEX(選手一覧!$E$5:$E$2736,$F140))</f>
        <v>118</v>
      </c>
      <c r="I140" s="11" t="str">
        <f aca="false">IF(INDEX(選手一覧!$F$5:$F$2736,$F140)="","",INDEX(選手一覧!$F$5:$F$2736,$F140))</f>
        <v/>
      </c>
      <c r="J140" s="12" t="str">
        <f aca="false">IF(INDEX(選手一覧!$G$5:$G$2736,$F140)="","",INDEX(選手一覧!$G$5:$G$2736,$F140))</f>
        <v/>
      </c>
    </row>
    <row r="141" customFormat="false" ht="15" hidden="false" customHeight="false" outlineLevel="0" collapsed="false">
      <c r="A141" s="12" t="n">
        <v>138</v>
      </c>
      <c r="B141" s="8" t="s">
        <v>517</v>
      </c>
      <c r="C141" s="8" t="s">
        <v>518</v>
      </c>
      <c r="D141" s="11" t="n">
        <v>0.00276064814814815</v>
      </c>
      <c r="E141" s="39" t="n">
        <f aca="false">ROUND((D141-$D$5)*86400,2)</f>
        <v>13.49</v>
      </c>
      <c r="F141" s="12" t="n">
        <v>277</v>
      </c>
      <c r="G141" s="11" t="n">
        <f aca="false">IF(INDEX(選手一覧!$D$5:$D$2736,$F141)="","",INDEX(選手一覧!$D$5:$D$2736,$F141))</f>
        <v>0.0104116898148148</v>
      </c>
      <c r="H141" s="12" t="n">
        <f aca="false">IF(INDEX(選手一覧!$E$5:$E$2736,$F141)="","",INDEX(選手一覧!$E$5:$E$2736,$F141))</f>
        <v>278</v>
      </c>
      <c r="I141" s="11" t="str">
        <f aca="false">IF(INDEX(選手一覧!$F$5:$F$2736,$F141)="","",INDEX(選手一覧!$F$5:$F$2736,$F141))</f>
        <v/>
      </c>
      <c r="J141" s="12" t="str">
        <f aca="false">IF(INDEX(選手一覧!$G$5:$G$2736,$F141)="","",INDEX(選手一覧!$G$5:$G$2736,$F141))</f>
        <v/>
      </c>
    </row>
    <row r="142" customFormat="false" ht="15" hidden="false" customHeight="false" outlineLevel="0" collapsed="false">
      <c r="A142" s="12" t="n">
        <v>139</v>
      </c>
      <c r="B142" s="8" t="s">
        <v>112</v>
      </c>
      <c r="C142" s="8" t="s">
        <v>113</v>
      </c>
      <c r="D142" s="11" t="n">
        <v>0.00276203703703704</v>
      </c>
      <c r="E142" s="39" t="n">
        <f aca="false">ROUND((D142-$D$5)*86400,2)</f>
        <v>13.61</v>
      </c>
      <c r="F142" s="12" t="n">
        <v>47</v>
      </c>
      <c r="G142" s="11" t="n">
        <f aca="false">IF(INDEX(選手一覧!$D$5:$D$2736,$F142)="","",INDEX(選手一覧!$D$5:$D$2736,$F142))</f>
        <v>0.0100947916666667</v>
      </c>
      <c r="H142" s="12" t="n">
        <f aca="false">IF(INDEX(選手一覧!$E$5:$E$2736,$F142)="","",INDEX(選手一覧!$E$5:$E$2736,$F142))</f>
        <v>48</v>
      </c>
      <c r="I142" s="11" t="str">
        <f aca="false">IF(INDEX(選手一覧!$F$5:$F$2736,$F142)="","",INDEX(選手一覧!$F$5:$F$2736,$F142))</f>
        <v/>
      </c>
      <c r="J142" s="12" t="str">
        <f aca="false">IF(INDEX(選手一覧!$G$5:$G$2736,$F142)="","",INDEX(選手一覧!$G$5:$G$2736,$F142))</f>
        <v/>
      </c>
    </row>
    <row r="143" customFormat="false" ht="15" hidden="false" customHeight="false" outlineLevel="0" collapsed="false">
      <c r="A143" s="12" t="n">
        <v>140</v>
      </c>
      <c r="B143" s="8" t="s">
        <v>187</v>
      </c>
      <c r="C143" s="8" t="s">
        <v>188</v>
      </c>
      <c r="D143" s="11" t="n">
        <v>0.00276203703703704</v>
      </c>
      <c r="E143" s="39" t="n">
        <f aca="false">ROUND((D143-$D$5)*86400,2)</f>
        <v>13.61</v>
      </c>
      <c r="F143" s="12" t="n">
        <v>86</v>
      </c>
      <c r="G143" s="11" t="n">
        <f aca="false">IF(INDEX(選手一覧!$D$5:$D$2736,$F143)="","",INDEX(選手一覧!$D$5:$D$2736,$F143))</f>
        <v>0.0101858796296296</v>
      </c>
      <c r="H143" s="12" t="n">
        <f aca="false">IF(INDEX(選手一覧!$E$5:$E$2736,$F143)="","",INDEX(選手一覧!$E$5:$E$2736,$F143))</f>
        <v>87</v>
      </c>
      <c r="I143" s="11" t="str">
        <f aca="false">IF(INDEX(選手一覧!$F$5:$F$2736,$F143)="","",INDEX(選手一覧!$F$5:$F$2736,$F143))</f>
        <v/>
      </c>
      <c r="J143" s="12" t="str">
        <f aca="false">IF(INDEX(選手一覧!$G$5:$G$2736,$F143)="","",INDEX(選手一覧!$G$5:$G$2736,$F143))</f>
        <v/>
      </c>
    </row>
    <row r="144" customFormat="false" ht="15" hidden="false" customHeight="false" outlineLevel="0" collapsed="false">
      <c r="A144" s="12" t="n">
        <v>141</v>
      </c>
      <c r="B144" s="8" t="s">
        <v>877</v>
      </c>
      <c r="C144" s="8" t="s">
        <v>4689</v>
      </c>
      <c r="D144" s="11" t="n">
        <v>0.00276284722222222</v>
      </c>
      <c r="E144" s="39" t="n">
        <f aca="false">ROUND((D144-$D$5)*86400,2)</f>
        <v>13.68</v>
      </c>
      <c r="F144" s="12" t="n">
        <v>503</v>
      </c>
      <c r="G144" s="11" t="n">
        <f aca="false">IF(INDEX(選手一覧!$D$5:$D$2736,$F144)="","",INDEX(選手一覧!$D$5:$D$2736,$F144))</f>
        <v>0.0106296296296296</v>
      </c>
      <c r="H144" s="12" t="n">
        <f aca="false">IF(INDEX(選手一覧!$E$5:$E$2736,$F144)="","",INDEX(選手一覧!$E$5:$E$2736,$F144))</f>
        <v>504</v>
      </c>
      <c r="I144" s="11" t="str">
        <f aca="false">IF(INDEX(選手一覧!$F$5:$F$2736,$F144)="","",INDEX(選手一覧!$F$5:$F$2736,$F144))</f>
        <v/>
      </c>
      <c r="J144" s="12" t="str">
        <f aca="false">IF(INDEX(選手一覧!$G$5:$G$2736,$F144)="","",INDEX(選手一覧!$G$5:$G$2736,$F144))</f>
        <v/>
      </c>
    </row>
    <row r="145" customFormat="false" ht="15" hidden="false" customHeight="false" outlineLevel="0" collapsed="false">
      <c r="A145" s="12" t="n">
        <v>142</v>
      </c>
      <c r="B145" s="8" t="s">
        <v>298</v>
      </c>
      <c r="C145" s="8" t="s">
        <v>41</v>
      </c>
      <c r="D145" s="11" t="n">
        <v>0.0027630787037037</v>
      </c>
      <c r="E145" s="39" t="n">
        <f aca="false">ROUND((D145-$D$5)*86400,2)</f>
        <v>13.7</v>
      </c>
      <c r="F145" s="12" t="n">
        <v>146</v>
      </c>
      <c r="G145" s="11" t="n">
        <f aca="false">IF(INDEX(選手一覧!$D$5:$D$2736,$F145)="","",INDEX(選手一覧!$D$5:$D$2736,$F145))</f>
        <v>0.0102784722222222</v>
      </c>
      <c r="H145" s="12" t="n">
        <f aca="false">IF(INDEX(選手一覧!$E$5:$E$2736,$F145)="","",INDEX(選手一覧!$E$5:$E$2736,$F145))</f>
        <v>147</v>
      </c>
      <c r="I145" s="11" t="n">
        <f aca="false">IF(INDEX(選手一覧!$F$5:$F$2736,$F145)="","",INDEX(選手一覧!$F$5:$F$2736,$F145))</f>
        <v>0.00638402777777778</v>
      </c>
      <c r="J145" s="12" t="n">
        <f aca="false">IF(INDEX(選手一覧!$G$5:$G$2736,$F145)="","",INDEX(選手一覧!$G$5:$G$2736,$F145))</f>
        <v>12</v>
      </c>
    </row>
    <row r="146" customFormat="false" ht="15" hidden="false" customHeight="false" outlineLevel="0" collapsed="false">
      <c r="A146" s="12" t="n">
        <v>143</v>
      </c>
      <c r="B146" s="8" t="s">
        <v>455</v>
      </c>
      <c r="C146" s="8" t="s">
        <v>456</v>
      </c>
      <c r="D146" s="11" t="n">
        <v>0.00276319444444444</v>
      </c>
      <c r="E146" s="39" t="n">
        <f aca="false">ROUND((D146-$D$5)*86400,2)</f>
        <v>13.71</v>
      </c>
      <c r="F146" s="12" t="n">
        <v>236</v>
      </c>
      <c r="G146" s="11" t="n">
        <f aca="false">IF(INDEX(選手一覧!$D$5:$D$2736,$F146)="","",INDEX(選手一覧!$D$5:$D$2736,$F146))</f>
        <v>0.0103766203703704</v>
      </c>
      <c r="H146" s="12" t="n">
        <f aca="false">IF(INDEX(選手一覧!$E$5:$E$2736,$F146)="","",INDEX(選手一覧!$E$5:$E$2736,$F146))</f>
        <v>237</v>
      </c>
      <c r="I146" s="11" t="str">
        <f aca="false">IF(INDEX(選手一覧!$F$5:$F$2736,$F146)="","",INDEX(選手一覧!$F$5:$F$2736,$F146))</f>
        <v/>
      </c>
      <c r="J146" s="12" t="str">
        <f aca="false">IF(INDEX(選手一覧!$G$5:$G$2736,$F146)="","",INDEX(選手一覧!$G$5:$G$2736,$F146))</f>
        <v/>
      </c>
    </row>
    <row r="147" customFormat="false" ht="15" hidden="false" customHeight="false" outlineLevel="0" collapsed="false">
      <c r="A147" s="12" t="n">
        <v>144</v>
      </c>
      <c r="B147" s="8" t="s">
        <v>509</v>
      </c>
      <c r="C147" s="8" t="s">
        <v>44</v>
      </c>
      <c r="D147" s="11" t="n">
        <v>0.00276331018518519</v>
      </c>
      <c r="E147" s="39" t="n">
        <f aca="false">ROUND((D147-$D$5)*86400,2)</f>
        <v>13.72</v>
      </c>
      <c r="F147" s="12" t="n">
        <v>271</v>
      </c>
      <c r="G147" s="11" t="n">
        <f aca="false">IF(INDEX(選手一覧!$D$5:$D$2736,$F147)="","",INDEX(選手一覧!$D$5:$D$2736,$F147))</f>
        <v>0.0104083333333333</v>
      </c>
      <c r="H147" s="12" t="n">
        <f aca="false">IF(INDEX(選手一覧!$E$5:$E$2736,$F147)="","",INDEX(選手一覧!$E$5:$E$2736,$F147))</f>
        <v>272</v>
      </c>
      <c r="I147" s="11" t="str">
        <f aca="false">IF(INDEX(選手一覧!$F$5:$F$2736,$F147)="","",INDEX(選手一覧!$F$5:$F$2736,$F147))</f>
        <v/>
      </c>
      <c r="J147" s="12" t="str">
        <f aca="false">IF(INDEX(選手一覧!$G$5:$G$2736,$F147)="","",INDEX(選手一覧!$G$5:$G$2736,$F147))</f>
        <v/>
      </c>
    </row>
    <row r="148" customFormat="false" ht="15" hidden="false" customHeight="false" outlineLevel="0" collapsed="false">
      <c r="A148" s="12" t="n">
        <v>145</v>
      </c>
      <c r="B148" s="8" t="s">
        <v>2070</v>
      </c>
      <c r="C148" s="8" t="s">
        <v>4395</v>
      </c>
      <c r="D148" s="11" t="n">
        <v>0.00276412037037037</v>
      </c>
      <c r="E148" s="39" t="n">
        <f aca="false">ROUND((D148-$D$5)*86400,2)</f>
        <v>13.79</v>
      </c>
      <c r="F148" s="12" t="n">
        <v>1317</v>
      </c>
      <c r="G148" s="11" t="str">
        <f aca="false">IF(INDEX(選手一覧!$D$5:$D$2736,$F148)="","",INDEX(選手一覧!$D$5:$D$2736,$F148))</f>
        <v/>
      </c>
      <c r="H148" s="12" t="str">
        <f aca="false">IF(INDEX(選手一覧!$E$5:$E$2736,$F148)="","",INDEX(選手一覧!$E$5:$E$2736,$F148))</f>
        <v/>
      </c>
      <c r="I148" s="11" t="n">
        <f aca="false">IF(INDEX(選手一覧!$F$5:$F$2736,$F148)="","",INDEX(選手一覧!$F$5:$F$2736,$F148))</f>
        <v>0.00771712962962963</v>
      </c>
      <c r="J148" s="12" t="n">
        <f aca="false">IF(INDEX(選手一覧!$G$5:$G$2736,$F148)="","",INDEX(選手一覧!$G$5:$G$2736,$F148))</f>
        <v>1084</v>
      </c>
    </row>
    <row r="149" customFormat="false" ht="15" hidden="false" customHeight="false" outlineLevel="0" collapsed="false">
      <c r="A149" s="12" t="n">
        <v>146</v>
      </c>
      <c r="B149" s="8" t="s">
        <v>513</v>
      </c>
      <c r="C149" s="8" t="s">
        <v>87</v>
      </c>
      <c r="D149" s="11" t="n">
        <v>0.00276446759259259</v>
      </c>
      <c r="E149" s="39" t="n">
        <f aca="false">ROUND((D149-$D$5)*86400,2)</f>
        <v>13.82</v>
      </c>
      <c r="F149" s="12" t="n">
        <v>274</v>
      </c>
      <c r="G149" s="11" t="n">
        <f aca="false">IF(INDEX(選手一覧!$D$5:$D$2736,$F149)="","",INDEX(選手一覧!$D$5:$D$2736,$F149))</f>
        <v>0.0104099537037037</v>
      </c>
      <c r="H149" s="12" t="n">
        <f aca="false">IF(INDEX(選手一覧!$E$5:$E$2736,$F149)="","",INDEX(選手一覧!$E$5:$E$2736,$F149))</f>
        <v>275</v>
      </c>
      <c r="I149" s="11" t="str">
        <f aca="false">IF(INDEX(選手一覧!$F$5:$F$2736,$F149)="","",INDEX(選手一覧!$F$5:$F$2736,$F149))</f>
        <v/>
      </c>
      <c r="J149" s="12" t="str">
        <f aca="false">IF(INDEX(選手一覧!$G$5:$G$2736,$F149)="","",INDEX(選手一覧!$G$5:$G$2736,$F149))</f>
        <v/>
      </c>
    </row>
    <row r="150" customFormat="false" ht="15" hidden="false" customHeight="false" outlineLevel="0" collapsed="false">
      <c r="A150" s="12" t="n">
        <v>147</v>
      </c>
      <c r="B150" s="8" t="s">
        <v>418</v>
      </c>
      <c r="C150" s="8" t="s">
        <v>150</v>
      </c>
      <c r="D150" s="11" t="n">
        <v>0.00276469907407407</v>
      </c>
      <c r="E150" s="39" t="n">
        <f aca="false">ROUND((D150-$D$5)*86400,2)</f>
        <v>13.84</v>
      </c>
      <c r="F150" s="12" t="n">
        <v>216</v>
      </c>
      <c r="G150" s="11" t="n">
        <f aca="false">IF(INDEX(選手一覧!$D$5:$D$2736,$F150)="","",INDEX(選手一覧!$D$5:$D$2736,$F150))</f>
        <v>0.0103599537037037</v>
      </c>
      <c r="H150" s="12" t="n">
        <f aca="false">IF(INDEX(選手一覧!$E$5:$E$2736,$F150)="","",INDEX(選手一覧!$E$5:$E$2736,$F150))</f>
        <v>217</v>
      </c>
      <c r="I150" s="11" t="str">
        <f aca="false">IF(INDEX(選手一覧!$F$5:$F$2736,$F150)="","",INDEX(選手一覧!$F$5:$F$2736,$F150))</f>
        <v/>
      </c>
      <c r="J150" s="12" t="str">
        <f aca="false">IF(INDEX(選手一覧!$G$5:$G$2736,$F150)="","",INDEX(選手一覧!$G$5:$G$2736,$F150))</f>
        <v/>
      </c>
    </row>
    <row r="151" customFormat="false" ht="15" hidden="false" customHeight="false" outlineLevel="0" collapsed="false">
      <c r="A151" s="12" t="n">
        <v>148</v>
      </c>
      <c r="B151" s="8" t="s">
        <v>1082</v>
      </c>
      <c r="C151" s="8" t="s">
        <v>31</v>
      </c>
      <c r="D151" s="11" t="n">
        <v>0.00276481481481482</v>
      </c>
      <c r="E151" s="39" t="n">
        <f aca="false">ROUND((D151-$D$5)*86400,2)</f>
        <v>13.85</v>
      </c>
      <c r="F151" s="12" t="n">
        <v>642</v>
      </c>
      <c r="G151" s="11" t="n">
        <f aca="false">IF(INDEX(選手一覧!$D$5:$D$2736,$F151)="","",INDEX(選手一覧!$D$5:$D$2736,$F151))</f>
        <v>0.0107357638888889</v>
      </c>
      <c r="H151" s="12" t="n">
        <f aca="false">IF(INDEX(選手一覧!$E$5:$E$2736,$F151)="","",INDEX(選手一覧!$E$5:$E$2736,$F151))</f>
        <v>643</v>
      </c>
      <c r="I151" s="11" t="str">
        <f aca="false">IF(INDEX(選手一覧!$F$5:$F$2736,$F151)="","",INDEX(選手一覧!$F$5:$F$2736,$F151))</f>
        <v/>
      </c>
      <c r="J151" s="12" t="str">
        <f aca="false">IF(INDEX(選手一覧!$G$5:$G$2736,$F151)="","",INDEX(選手一覧!$G$5:$G$2736,$F151))</f>
        <v/>
      </c>
    </row>
    <row r="152" customFormat="false" ht="15" hidden="false" customHeight="false" outlineLevel="0" collapsed="false">
      <c r="A152" s="12" t="n">
        <v>149</v>
      </c>
      <c r="B152" s="8" t="s">
        <v>396</v>
      </c>
      <c r="C152" s="8" t="s">
        <v>283</v>
      </c>
      <c r="D152" s="11" t="n">
        <v>0.00276481481481482</v>
      </c>
      <c r="E152" s="39" t="n">
        <f aca="false">ROUND((D152-$D$5)*86400,2)</f>
        <v>13.85</v>
      </c>
      <c r="F152" s="12" t="n">
        <v>202</v>
      </c>
      <c r="G152" s="11" t="n">
        <f aca="false">IF(INDEX(選手一覧!$D$5:$D$2736,$F152)="","",INDEX(選手一覧!$D$5:$D$2736,$F152))</f>
        <v>0.0103505787037037</v>
      </c>
      <c r="H152" s="12" t="n">
        <f aca="false">IF(INDEX(選手一覧!$E$5:$E$2736,$F152)="","",INDEX(選手一覧!$E$5:$E$2736,$F152))</f>
        <v>203</v>
      </c>
      <c r="I152" s="11" t="n">
        <f aca="false">IF(INDEX(選手一覧!$F$5:$F$2736,$F152)="","",INDEX(選手一覧!$F$5:$F$2736,$F152))</f>
        <v>0.00669953703703704</v>
      </c>
      <c r="J152" s="12" t="n">
        <f aca="false">IF(INDEX(選手一覧!$G$5:$G$2736,$F152)="","",INDEX(選手一覧!$G$5:$G$2736,$F152))</f>
        <v>107</v>
      </c>
    </row>
    <row r="153" customFormat="false" ht="15" hidden="false" customHeight="false" outlineLevel="0" collapsed="false">
      <c r="A153" s="12" t="n">
        <v>150</v>
      </c>
      <c r="B153" s="8" t="s">
        <v>1193</v>
      </c>
      <c r="C153" s="8" t="s">
        <v>160</v>
      </c>
      <c r="D153" s="11" t="n">
        <v>0.00276516203703704</v>
      </c>
      <c r="E153" s="39" t="n">
        <f aca="false">ROUND((D153-$D$5)*86400,2)</f>
        <v>13.88</v>
      </c>
      <c r="F153" s="12" t="n">
        <v>713</v>
      </c>
      <c r="G153" s="11" t="n">
        <f aca="false">IF(INDEX(選手一覧!$D$5:$D$2736,$F153)="","",INDEX(選手一覧!$D$5:$D$2736,$F153))</f>
        <v>0.0107869212962963</v>
      </c>
      <c r="H153" s="12" t="n">
        <f aca="false">IF(INDEX(選手一覧!$E$5:$E$2736,$F153)="","",INDEX(選手一覧!$E$5:$E$2736,$F153))</f>
        <v>714</v>
      </c>
      <c r="I153" s="11" t="str">
        <f aca="false">IF(INDEX(選手一覧!$F$5:$F$2736,$F153)="","",INDEX(選手一覧!$F$5:$F$2736,$F153))</f>
        <v/>
      </c>
      <c r="J153" s="12" t="str">
        <f aca="false">IF(INDEX(選手一覧!$G$5:$G$2736,$F153)="","",INDEX(選手一覧!$G$5:$G$2736,$F153))</f>
        <v/>
      </c>
    </row>
    <row r="154" customFormat="false" ht="15" hidden="false" customHeight="false" outlineLevel="0" collapsed="false">
      <c r="A154" s="12" t="n">
        <v>151</v>
      </c>
      <c r="B154" s="8" t="s">
        <v>1012</v>
      </c>
      <c r="C154" s="8" t="s">
        <v>868</v>
      </c>
      <c r="D154" s="11" t="n">
        <v>0.00276585648148148</v>
      </c>
      <c r="E154" s="39" t="n">
        <f aca="false">ROUND((D154-$D$5)*86400,2)</f>
        <v>13.94</v>
      </c>
      <c r="F154" s="12" t="n">
        <v>589</v>
      </c>
      <c r="G154" s="11" t="n">
        <f aca="false">IF(INDEX(選手一覧!$D$5:$D$2736,$F154)="","",INDEX(選手一覧!$D$5:$D$2736,$F154))</f>
        <v>0.01070625</v>
      </c>
      <c r="H154" s="12" t="n">
        <f aca="false">IF(INDEX(選手一覧!$E$5:$E$2736,$F154)="","",INDEX(選手一覧!$E$5:$E$2736,$F154))</f>
        <v>590</v>
      </c>
      <c r="I154" s="11" t="str">
        <f aca="false">IF(INDEX(選手一覧!$F$5:$F$2736,$F154)="","",INDEX(選手一覧!$F$5:$F$2736,$F154))</f>
        <v/>
      </c>
      <c r="J154" s="12" t="str">
        <f aca="false">IF(INDEX(選手一覧!$G$5:$G$2736,$F154)="","",INDEX(選手一覧!$G$5:$G$2736,$F154))</f>
        <v/>
      </c>
    </row>
    <row r="155" customFormat="false" ht="15" hidden="false" customHeight="false" outlineLevel="0" collapsed="false">
      <c r="A155" s="12" t="n">
        <v>152</v>
      </c>
      <c r="B155" s="8" t="s">
        <v>265</v>
      </c>
      <c r="C155" s="8" t="s">
        <v>266</v>
      </c>
      <c r="D155" s="11" t="n">
        <v>0.00276655092592593</v>
      </c>
      <c r="E155" s="39" t="n">
        <f aca="false">ROUND((D155-$D$5)*86400,2)</f>
        <v>14</v>
      </c>
      <c r="F155" s="12" t="n">
        <v>128</v>
      </c>
      <c r="G155" s="11" t="n">
        <f aca="false">IF(INDEX(選手一覧!$D$5:$D$2736,$F155)="","",INDEX(選手一覧!$D$5:$D$2736,$F155))</f>
        <v>0.0102574074074074</v>
      </c>
      <c r="H155" s="12" t="n">
        <f aca="false">IF(INDEX(選手一覧!$E$5:$E$2736,$F155)="","",INDEX(選手一覧!$E$5:$E$2736,$F155))</f>
        <v>129</v>
      </c>
      <c r="I155" s="11" t="str">
        <f aca="false">IF(INDEX(選手一覧!$F$5:$F$2736,$F155)="","",INDEX(選手一覧!$F$5:$F$2736,$F155))</f>
        <v/>
      </c>
      <c r="J155" s="12" t="str">
        <f aca="false">IF(INDEX(選手一覧!$G$5:$G$2736,$F155)="","",INDEX(選手一覧!$G$5:$G$2736,$F155))</f>
        <v/>
      </c>
    </row>
    <row r="156" customFormat="false" ht="15" hidden="false" customHeight="false" outlineLevel="0" collapsed="false">
      <c r="A156" s="12" t="n">
        <v>153</v>
      </c>
      <c r="B156" s="8" t="s">
        <v>99</v>
      </c>
      <c r="C156" s="8" t="s">
        <v>100</v>
      </c>
      <c r="D156" s="11" t="n">
        <v>0.00276655092592593</v>
      </c>
      <c r="E156" s="39" t="n">
        <f aca="false">ROUND((D156-$D$5)*86400,2)</f>
        <v>14</v>
      </c>
      <c r="F156" s="12" t="n">
        <v>40</v>
      </c>
      <c r="G156" s="11" t="n">
        <f aca="false">IF(INDEX(選手一覧!$D$5:$D$2736,$F156)="","",INDEX(選手一覧!$D$5:$D$2736,$F156))</f>
        <v>0.0100755787037037</v>
      </c>
      <c r="H156" s="12" t="n">
        <f aca="false">IF(INDEX(選手一覧!$E$5:$E$2736,$F156)="","",INDEX(選手一覧!$E$5:$E$2736,$F156))</f>
        <v>41</v>
      </c>
      <c r="I156" s="11" t="str">
        <f aca="false">IF(INDEX(選手一覧!$F$5:$F$2736,$F156)="","",INDEX(選手一覧!$F$5:$F$2736,$F156))</f>
        <v/>
      </c>
      <c r="J156" s="12" t="str">
        <f aca="false">IF(INDEX(選手一覧!$G$5:$G$2736,$F156)="","",INDEX(選手一覧!$G$5:$G$2736,$F156))</f>
        <v/>
      </c>
    </row>
    <row r="157" customFormat="false" ht="15" hidden="false" customHeight="false" outlineLevel="0" collapsed="false">
      <c r="A157" s="12" t="n">
        <v>154</v>
      </c>
      <c r="B157" s="8" t="s">
        <v>654</v>
      </c>
      <c r="C157" s="8" t="s">
        <v>52</v>
      </c>
      <c r="D157" s="11" t="n">
        <v>0.00276666666666667</v>
      </c>
      <c r="E157" s="39" t="n">
        <f aca="false">ROUND((D157-$D$5)*86400,2)</f>
        <v>14.01</v>
      </c>
      <c r="F157" s="12" t="n">
        <v>361</v>
      </c>
      <c r="G157" s="11" t="n">
        <f aca="false">IF(INDEX(選手一覧!$D$5:$D$2736,$F157)="","",INDEX(選手一覧!$D$5:$D$2736,$F157))</f>
        <v>0.0105172453703704</v>
      </c>
      <c r="H157" s="12" t="n">
        <f aca="false">IF(INDEX(選手一覧!$E$5:$E$2736,$F157)="","",INDEX(選手一覧!$E$5:$E$2736,$F157))</f>
        <v>362</v>
      </c>
      <c r="I157" s="11" t="str">
        <f aca="false">IF(INDEX(選手一覧!$F$5:$F$2736,$F157)="","",INDEX(選手一覧!$F$5:$F$2736,$F157))</f>
        <v/>
      </c>
      <c r="J157" s="12" t="str">
        <f aca="false">IF(INDEX(選手一覧!$G$5:$G$2736,$F157)="","",INDEX(選手一覧!$G$5:$G$2736,$F157))</f>
        <v/>
      </c>
    </row>
    <row r="158" customFormat="false" ht="15" hidden="false" customHeight="false" outlineLevel="0" collapsed="false">
      <c r="A158" s="12" t="n">
        <v>155</v>
      </c>
      <c r="B158" s="8" t="s">
        <v>1166</v>
      </c>
      <c r="C158" s="8" t="s">
        <v>518</v>
      </c>
      <c r="D158" s="11" t="n">
        <v>0.00276678240740741</v>
      </c>
      <c r="E158" s="39" t="n">
        <f aca="false">ROUND((D158-$D$5)*86400,2)</f>
        <v>14.02</v>
      </c>
      <c r="F158" s="12" t="n">
        <v>696</v>
      </c>
      <c r="G158" s="11" t="n">
        <f aca="false">IF(INDEX(選手一覧!$D$5:$D$2736,$F158)="","",INDEX(選手一覧!$D$5:$D$2736,$F158))</f>
        <v>0.0107707175925926</v>
      </c>
      <c r="H158" s="12" t="n">
        <f aca="false">IF(INDEX(選手一覧!$E$5:$E$2736,$F158)="","",INDEX(選手一覧!$E$5:$E$2736,$F158))</f>
        <v>697</v>
      </c>
      <c r="I158" s="11" t="str">
        <f aca="false">IF(INDEX(選手一覧!$F$5:$F$2736,$F158)="","",INDEX(選手一覧!$F$5:$F$2736,$F158))</f>
        <v/>
      </c>
      <c r="J158" s="12" t="str">
        <f aca="false">IF(INDEX(選手一覧!$G$5:$G$2736,$F158)="","",INDEX(選手一覧!$G$5:$G$2736,$F158))</f>
        <v/>
      </c>
    </row>
    <row r="159" customFormat="false" ht="15" hidden="false" customHeight="false" outlineLevel="0" collapsed="false">
      <c r="A159" s="12" t="n">
        <v>156</v>
      </c>
      <c r="B159" s="8" t="s">
        <v>540</v>
      </c>
      <c r="C159" s="8" t="s">
        <v>541</v>
      </c>
      <c r="D159" s="11" t="n">
        <v>0.00276736111111111</v>
      </c>
      <c r="E159" s="39" t="n">
        <f aca="false">ROUND((D159-$D$5)*86400,2)</f>
        <v>14.07</v>
      </c>
      <c r="F159" s="12" t="n">
        <v>291</v>
      </c>
      <c r="G159" s="11" t="n">
        <f aca="false">IF(INDEX(選手一覧!$D$5:$D$2736,$F159)="","",INDEX(選手一覧!$D$5:$D$2736,$F159))</f>
        <v>0.0104265046296296</v>
      </c>
      <c r="H159" s="12" t="n">
        <f aca="false">IF(INDEX(選手一覧!$E$5:$E$2736,$F159)="","",INDEX(選手一覧!$E$5:$E$2736,$F159))</f>
        <v>292</v>
      </c>
      <c r="I159" s="11" t="str">
        <f aca="false">IF(INDEX(選手一覧!$F$5:$F$2736,$F159)="","",INDEX(選手一覧!$F$5:$F$2736,$F159))</f>
        <v/>
      </c>
      <c r="J159" s="12" t="str">
        <f aca="false">IF(INDEX(選手一覧!$G$5:$G$2736,$F159)="","",INDEX(選手一覧!$G$5:$G$2736,$F159))</f>
        <v/>
      </c>
    </row>
    <row r="160" customFormat="false" ht="15" hidden="false" customHeight="false" outlineLevel="0" collapsed="false">
      <c r="A160" s="12" t="n">
        <v>157</v>
      </c>
      <c r="B160" s="8" t="s">
        <v>2075</v>
      </c>
      <c r="C160" s="8" t="s">
        <v>1835</v>
      </c>
      <c r="D160" s="11" t="n">
        <v>0.00276805555555556</v>
      </c>
      <c r="E160" s="39" t="n">
        <f aca="false">ROUND((D160-$D$5)*86400,2)</f>
        <v>14.13</v>
      </c>
      <c r="F160" s="12" t="n">
        <v>1321</v>
      </c>
      <c r="G160" s="11" t="str">
        <f aca="false">IF(INDEX(選手一覧!$D$5:$D$2736,$F160)="","",INDEX(選手一覧!$D$5:$D$2736,$F160))</f>
        <v/>
      </c>
      <c r="H160" s="12" t="str">
        <f aca="false">IF(INDEX(選手一覧!$E$5:$E$2736,$F160)="","",INDEX(選手一覧!$E$5:$E$2736,$F160))</f>
        <v/>
      </c>
      <c r="I160" s="11" t="str">
        <f aca="false">IF(INDEX(選手一覧!$F$5:$F$2736,$F160)="","",INDEX(選手一覧!$F$5:$F$2736,$F160))</f>
        <v/>
      </c>
      <c r="J160" s="12" t="str">
        <f aca="false">IF(INDEX(選手一覧!$G$5:$G$2736,$F160)="","",INDEX(選手一覧!$G$5:$G$2736,$F160))</f>
        <v/>
      </c>
    </row>
    <row r="161" customFormat="false" ht="15" hidden="false" customHeight="false" outlineLevel="0" collapsed="false">
      <c r="A161" s="12" t="n">
        <v>158</v>
      </c>
      <c r="B161" s="8" t="s">
        <v>267</v>
      </c>
      <c r="C161" s="8" t="s">
        <v>4690</v>
      </c>
      <c r="D161" s="11" t="n">
        <v>0.0027681712962963</v>
      </c>
      <c r="E161" s="39" t="n">
        <f aca="false">ROUND((D161-$D$5)*86400,2)</f>
        <v>14.14</v>
      </c>
      <c r="F161" s="12" t="n">
        <v>129</v>
      </c>
      <c r="G161" s="11" t="n">
        <f aca="false">IF(INDEX(選手一覧!$D$5:$D$2736,$F161)="","",INDEX(選手一覧!$D$5:$D$2736,$F161))</f>
        <v>0.0102626157407407</v>
      </c>
      <c r="H161" s="12" t="n">
        <f aca="false">IF(INDEX(選手一覧!$E$5:$E$2736,$F161)="","",INDEX(選手一覧!$E$5:$E$2736,$F161))</f>
        <v>130</v>
      </c>
      <c r="I161" s="11" t="str">
        <f aca="false">IF(INDEX(選手一覧!$F$5:$F$2736,$F161)="","",INDEX(選手一覧!$F$5:$F$2736,$F161))</f>
        <v/>
      </c>
      <c r="J161" s="12" t="str">
        <f aca="false">IF(INDEX(選手一覧!$G$5:$G$2736,$F161)="","",INDEX(選手一覧!$G$5:$G$2736,$F161))</f>
        <v/>
      </c>
    </row>
    <row r="162" customFormat="false" ht="15" hidden="false" customHeight="false" outlineLevel="0" collapsed="false">
      <c r="A162" s="12" t="n">
        <v>159</v>
      </c>
      <c r="B162" s="8" t="s">
        <v>539</v>
      </c>
      <c r="C162" s="8" t="s">
        <v>138</v>
      </c>
      <c r="D162" s="11" t="n">
        <v>0.00276944444444445</v>
      </c>
      <c r="E162" s="39" t="n">
        <f aca="false">ROUND((D162-$D$5)*86400,2)</f>
        <v>14.25</v>
      </c>
      <c r="F162" s="12" t="n">
        <v>290</v>
      </c>
      <c r="G162" s="11" t="n">
        <f aca="false">IF(INDEX(選手一覧!$D$5:$D$2736,$F162)="","",INDEX(選手一覧!$D$5:$D$2736,$F162))</f>
        <v>0.0104261574074074</v>
      </c>
      <c r="H162" s="12" t="n">
        <f aca="false">IF(INDEX(選手一覧!$E$5:$E$2736,$F162)="","",INDEX(選手一覧!$E$5:$E$2736,$F162))</f>
        <v>291</v>
      </c>
      <c r="I162" s="11" t="str">
        <f aca="false">IF(INDEX(選手一覧!$F$5:$F$2736,$F162)="","",INDEX(選手一覧!$F$5:$F$2736,$F162))</f>
        <v/>
      </c>
      <c r="J162" s="12" t="str">
        <f aca="false">IF(INDEX(選手一覧!$G$5:$G$2736,$F162)="","",INDEX(選手一覧!$G$5:$G$2736,$F162))</f>
        <v/>
      </c>
    </row>
    <row r="163" customFormat="false" ht="15" hidden="false" customHeight="false" outlineLevel="0" collapsed="false">
      <c r="A163" s="12" t="n">
        <v>160</v>
      </c>
      <c r="B163" s="8" t="s">
        <v>2078</v>
      </c>
      <c r="C163" s="8" t="s">
        <v>1308</v>
      </c>
      <c r="D163" s="11" t="n">
        <v>0.00276979166666667</v>
      </c>
      <c r="E163" s="39" t="n">
        <f aca="false">ROUND((D163-$D$5)*86400,2)</f>
        <v>14.28</v>
      </c>
      <c r="F163" s="12" t="n">
        <v>1323</v>
      </c>
      <c r="G163" s="11" t="str">
        <f aca="false">IF(INDEX(選手一覧!$D$5:$D$2736,$F163)="","",INDEX(選手一覧!$D$5:$D$2736,$F163))</f>
        <v/>
      </c>
      <c r="H163" s="12" t="str">
        <f aca="false">IF(INDEX(選手一覧!$E$5:$E$2736,$F163)="","",INDEX(選手一覧!$E$5:$E$2736,$F163))</f>
        <v/>
      </c>
      <c r="I163" s="11" t="str">
        <f aca="false">IF(INDEX(選手一覧!$F$5:$F$2736,$F163)="","",INDEX(選手一覧!$F$5:$F$2736,$F163))</f>
        <v/>
      </c>
      <c r="J163" s="12" t="str">
        <f aca="false">IF(INDEX(選手一覧!$G$5:$G$2736,$F163)="","",INDEX(選手一覧!$G$5:$G$2736,$F163))</f>
        <v/>
      </c>
    </row>
    <row r="164" customFormat="false" ht="15" hidden="false" customHeight="false" outlineLevel="0" collapsed="false">
      <c r="A164" s="12" t="n">
        <v>161</v>
      </c>
      <c r="B164" s="8" t="s">
        <v>125</v>
      </c>
      <c r="C164" s="8" t="s">
        <v>120</v>
      </c>
      <c r="D164" s="11" t="n">
        <v>0.00276990740740741</v>
      </c>
      <c r="E164" s="39" t="n">
        <f aca="false">ROUND((D164-$D$5)*86400,2)</f>
        <v>14.29</v>
      </c>
      <c r="F164" s="12" t="n">
        <v>53</v>
      </c>
      <c r="G164" s="11" t="n">
        <f aca="false">IF(INDEX(選手一覧!$D$5:$D$2736,$F164)="","",INDEX(選手一覧!$D$5:$D$2736,$F164))</f>
        <v>0.0101061342592593</v>
      </c>
      <c r="H164" s="12" t="n">
        <f aca="false">IF(INDEX(選手一覧!$E$5:$E$2736,$F164)="","",INDEX(選手一覧!$E$5:$E$2736,$F164))</f>
        <v>54</v>
      </c>
      <c r="I164" s="11" t="str">
        <f aca="false">IF(INDEX(選手一覧!$F$5:$F$2736,$F164)="","",INDEX(選手一覧!$F$5:$F$2736,$F164))</f>
        <v/>
      </c>
      <c r="J164" s="12" t="str">
        <f aca="false">IF(INDEX(選手一覧!$G$5:$G$2736,$F164)="","",INDEX(選手一覧!$G$5:$G$2736,$F164))</f>
        <v/>
      </c>
    </row>
    <row r="165" customFormat="false" ht="15" hidden="false" customHeight="false" outlineLevel="0" collapsed="false">
      <c r="A165" s="12" t="n">
        <v>162</v>
      </c>
      <c r="B165" s="8" t="s">
        <v>2081</v>
      </c>
      <c r="C165" s="8" t="s">
        <v>982</v>
      </c>
      <c r="D165" s="11" t="n">
        <v>0.00276990740740741</v>
      </c>
      <c r="E165" s="39" t="n">
        <f aca="false">ROUND((D165-$D$5)*86400,2)</f>
        <v>14.29</v>
      </c>
      <c r="F165" s="12" t="n">
        <v>1326</v>
      </c>
      <c r="G165" s="11" t="str">
        <f aca="false">IF(INDEX(選手一覧!$D$5:$D$2736,$F165)="","",INDEX(選手一覧!$D$5:$D$2736,$F165))</f>
        <v/>
      </c>
      <c r="H165" s="12" t="str">
        <f aca="false">IF(INDEX(選手一覧!$E$5:$E$2736,$F165)="","",INDEX(選手一覧!$E$5:$E$2736,$F165))</f>
        <v/>
      </c>
      <c r="I165" s="11" t="str">
        <f aca="false">IF(INDEX(選手一覧!$F$5:$F$2736,$F165)="","",INDEX(選手一覧!$F$5:$F$2736,$F165))</f>
        <v/>
      </c>
      <c r="J165" s="12" t="str">
        <f aca="false">IF(INDEX(選手一覧!$G$5:$G$2736,$F165)="","",INDEX(選手一覧!$G$5:$G$2736,$F165))</f>
        <v/>
      </c>
    </row>
    <row r="166" customFormat="false" ht="15" hidden="false" customHeight="false" outlineLevel="0" collapsed="false">
      <c r="A166" s="12" t="n">
        <v>163</v>
      </c>
      <c r="B166" s="8" t="s">
        <v>2082</v>
      </c>
      <c r="C166" s="8" t="s">
        <v>2083</v>
      </c>
      <c r="D166" s="11" t="n">
        <v>0.00276990740740741</v>
      </c>
      <c r="E166" s="39" t="n">
        <f aca="false">ROUND((D166-$D$5)*86400,2)</f>
        <v>14.29</v>
      </c>
      <c r="F166" s="12" t="n">
        <v>1327</v>
      </c>
      <c r="G166" s="11" t="str">
        <f aca="false">IF(INDEX(選手一覧!$D$5:$D$2736,$F166)="","",INDEX(選手一覧!$D$5:$D$2736,$F166))</f>
        <v/>
      </c>
      <c r="H166" s="12" t="str">
        <f aca="false">IF(INDEX(選手一覧!$E$5:$E$2736,$F166)="","",INDEX(選手一覧!$E$5:$E$2736,$F166))</f>
        <v/>
      </c>
      <c r="I166" s="11" t="str">
        <f aca="false">IF(INDEX(選手一覧!$F$5:$F$2736,$F166)="","",INDEX(選手一覧!$F$5:$F$2736,$F166))</f>
        <v/>
      </c>
      <c r="J166" s="12" t="str">
        <f aca="false">IF(INDEX(選手一覧!$G$5:$G$2736,$F166)="","",INDEX(選手一覧!$G$5:$G$2736,$F166))</f>
        <v/>
      </c>
    </row>
    <row r="167" customFormat="false" ht="15" hidden="false" customHeight="false" outlineLevel="0" collapsed="false">
      <c r="A167" s="12" t="n">
        <v>164</v>
      </c>
      <c r="B167" s="8" t="s">
        <v>816</v>
      </c>
      <c r="C167" s="8" t="s">
        <v>817</v>
      </c>
      <c r="D167" s="11" t="n">
        <v>0.00277002314814815</v>
      </c>
      <c r="E167" s="39" t="n">
        <f aca="false">ROUND((D167-$D$5)*86400,2)</f>
        <v>14.3</v>
      </c>
      <c r="F167" s="12" t="n">
        <v>465</v>
      </c>
      <c r="G167" s="11" t="n">
        <f aca="false">IF(INDEX(選手一覧!$D$5:$D$2736,$F167)="","",INDEX(選手一覧!$D$5:$D$2736,$F167))</f>
        <v>0.0106023148148148</v>
      </c>
      <c r="H167" s="12" t="n">
        <f aca="false">IF(INDEX(選手一覧!$E$5:$E$2736,$F167)="","",INDEX(選手一覧!$E$5:$E$2736,$F167))</f>
        <v>466</v>
      </c>
      <c r="I167" s="11" t="str">
        <f aca="false">IF(INDEX(選手一覧!$F$5:$F$2736,$F167)="","",INDEX(選手一覧!$F$5:$F$2736,$F167))</f>
        <v/>
      </c>
      <c r="J167" s="12" t="str">
        <f aca="false">IF(INDEX(選手一覧!$G$5:$G$2736,$F167)="","",INDEX(選手一覧!$G$5:$G$2736,$F167))</f>
        <v/>
      </c>
    </row>
    <row r="168" customFormat="false" ht="15" hidden="false" customHeight="false" outlineLevel="0" collapsed="false">
      <c r="A168" s="12" t="n">
        <v>165</v>
      </c>
      <c r="B168" s="8" t="s">
        <v>1090</v>
      </c>
      <c r="C168" s="8" t="s">
        <v>641</v>
      </c>
      <c r="D168" s="11" t="n">
        <v>0.002771875</v>
      </c>
      <c r="E168" s="39" t="n">
        <f aca="false">ROUND((D168-$D$5)*86400,2)</f>
        <v>14.46</v>
      </c>
      <c r="F168" s="12" t="n">
        <v>647</v>
      </c>
      <c r="G168" s="11" t="n">
        <f aca="false">IF(INDEX(選手一覧!$D$5:$D$2736,$F168)="","",INDEX(選手一覧!$D$5:$D$2736,$F168))</f>
        <v>0.0107372685185185</v>
      </c>
      <c r="H168" s="12" t="n">
        <f aca="false">IF(INDEX(選手一覧!$E$5:$E$2736,$F168)="","",INDEX(選手一覧!$E$5:$E$2736,$F168))</f>
        <v>648</v>
      </c>
      <c r="I168" s="11" t="str">
        <f aca="false">IF(INDEX(選手一覧!$F$5:$F$2736,$F168)="","",INDEX(選手一覧!$F$5:$F$2736,$F168))</f>
        <v/>
      </c>
      <c r="J168" s="12" t="str">
        <f aca="false">IF(INDEX(選手一覧!$G$5:$G$2736,$F168)="","",INDEX(選手一覧!$G$5:$G$2736,$F168))</f>
        <v/>
      </c>
    </row>
    <row r="169" customFormat="false" ht="15" hidden="false" customHeight="false" outlineLevel="0" collapsed="false">
      <c r="A169" s="12" t="n">
        <v>166</v>
      </c>
      <c r="B169" s="8" t="s">
        <v>724</v>
      </c>
      <c r="C169" s="8" t="s">
        <v>725</v>
      </c>
      <c r="D169" s="11" t="n">
        <v>0.00277222222222222</v>
      </c>
      <c r="E169" s="39" t="n">
        <f aca="false">ROUND((D169-$D$5)*86400,2)</f>
        <v>14.49</v>
      </c>
      <c r="F169" s="12" t="n">
        <v>406</v>
      </c>
      <c r="G169" s="11" t="n">
        <f aca="false">IF(INDEX(選手一覧!$D$5:$D$2736,$F169)="","",INDEX(選手一覧!$D$5:$D$2736,$F169))</f>
        <v>0.0105568287037037</v>
      </c>
      <c r="H169" s="12" t="n">
        <f aca="false">IF(INDEX(選手一覧!$E$5:$E$2736,$F169)="","",INDEX(選手一覧!$E$5:$E$2736,$F169))</f>
        <v>407</v>
      </c>
      <c r="I169" s="11" t="str">
        <f aca="false">IF(INDEX(選手一覧!$F$5:$F$2736,$F169)="","",INDEX(選手一覧!$F$5:$F$2736,$F169))</f>
        <v/>
      </c>
      <c r="J169" s="12" t="str">
        <f aca="false">IF(INDEX(選手一覧!$G$5:$G$2736,$F169)="","",INDEX(選手一覧!$G$5:$G$2736,$F169))</f>
        <v/>
      </c>
    </row>
    <row r="170" customFormat="false" ht="15" hidden="false" customHeight="false" outlineLevel="0" collapsed="false">
      <c r="A170" s="12" t="n">
        <v>167</v>
      </c>
      <c r="B170" s="8" t="s">
        <v>2084</v>
      </c>
      <c r="C170" s="8" t="s">
        <v>1503</v>
      </c>
      <c r="D170" s="11" t="n">
        <v>0.00277280092592593</v>
      </c>
      <c r="E170" s="39" t="n">
        <f aca="false">ROUND((D170-$D$5)*86400,2)</f>
        <v>14.54</v>
      </c>
      <c r="F170" s="12" t="n">
        <v>1328</v>
      </c>
      <c r="G170" s="11" t="str">
        <f aca="false">IF(INDEX(選手一覧!$D$5:$D$2736,$F170)="","",INDEX(選手一覧!$D$5:$D$2736,$F170))</f>
        <v/>
      </c>
      <c r="H170" s="12" t="str">
        <f aca="false">IF(INDEX(選手一覧!$E$5:$E$2736,$F170)="","",INDEX(選手一覧!$E$5:$E$2736,$F170))</f>
        <v/>
      </c>
      <c r="I170" s="11" t="str">
        <f aca="false">IF(INDEX(選手一覧!$F$5:$F$2736,$F170)="","",INDEX(選手一覧!$F$5:$F$2736,$F170))</f>
        <v/>
      </c>
      <c r="J170" s="12" t="str">
        <f aca="false">IF(INDEX(選手一覧!$G$5:$G$2736,$F170)="","",INDEX(選手一覧!$G$5:$G$2736,$F170))</f>
        <v/>
      </c>
    </row>
    <row r="171" customFormat="false" ht="15" hidden="false" customHeight="false" outlineLevel="0" collapsed="false">
      <c r="A171" s="12" t="n">
        <v>168</v>
      </c>
      <c r="B171" s="8" t="s">
        <v>347</v>
      </c>
      <c r="C171" s="8" t="s">
        <v>296</v>
      </c>
      <c r="D171" s="11" t="n">
        <v>0.00277326388888889</v>
      </c>
      <c r="E171" s="39" t="n">
        <f aca="false">ROUND((D171-$D$5)*86400,2)</f>
        <v>14.58</v>
      </c>
      <c r="F171" s="12" t="n">
        <v>171</v>
      </c>
      <c r="G171" s="11" t="n">
        <f aca="false">IF(INDEX(選手一覧!$D$5:$D$2736,$F171)="","",INDEX(選手一覧!$D$5:$D$2736,$F171))</f>
        <v>0.0103181712962963</v>
      </c>
      <c r="H171" s="12" t="n">
        <f aca="false">IF(INDEX(選手一覧!$E$5:$E$2736,$F171)="","",INDEX(選手一覧!$E$5:$E$2736,$F171))</f>
        <v>172</v>
      </c>
      <c r="I171" s="11" t="n">
        <f aca="false">IF(INDEX(選手一覧!$F$5:$F$2736,$F171)="","",INDEX(選手一覧!$F$5:$F$2736,$F171))</f>
        <v>0.006540625</v>
      </c>
      <c r="J171" s="12" t="n">
        <f aca="false">IF(INDEX(選手一覧!$G$5:$G$2736,$F171)="","",INDEX(選手一覧!$G$5:$G$2736,$F171))</f>
        <v>43</v>
      </c>
    </row>
    <row r="172" customFormat="false" ht="15" hidden="false" customHeight="false" outlineLevel="0" collapsed="false">
      <c r="A172" s="12" t="n">
        <v>169</v>
      </c>
      <c r="B172" s="8" t="s">
        <v>2085</v>
      </c>
      <c r="C172" s="8" t="s">
        <v>87</v>
      </c>
      <c r="D172" s="11" t="n">
        <v>0.00277337962962963</v>
      </c>
      <c r="E172" s="39" t="n">
        <f aca="false">ROUND((D172-$D$5)*86400,2)</f>
        <v>14.59</v>
      </c>
      <c r="F172" s="12" t="n">
        <v>1329</v>
      </c>
      <c r="G172" s="11" t="str">
        <f aca="false">IF(INDEX(選手一覧!$D$5:$D$2736,$F172)="","",INDEX(選手一覧!$D$5:$D$2736,$F172))</f>
        <v/>
      </c>
      <c r="H172" s="12" t="str">
        <f aca="false">IF(INDEX(選手一覧!$E$5:$E$2736,$F172)="","",INDEX(選手一覧!$E$5:$E$2736,$F172))</f>
        <v/>
      </c>
      <c r="I172" s="11" t="str">
        <f aca="false">IF(INDEX(選手一覧!$F$5:$F$2736,$F172)="","",INDEX(選手一覧!$F$5:$F$2736,$F172))</f>
        <v/>
      </c>
      <c r="J172" s="12" t="str">
        <f aca="false">IF(INDEX(選手一覧!$G$5:$G$2736,$F172)="","",INDEX(選手一覧!$G$5:$G$2736,$F172))</f>
        <v/>
      </c>
    </row>
    <row r="173" customFormat="false" ht="15" hidden="false" customHeight="false" outlineLevel="0" collapsed="false">
      <c r="A173" s="12" t="n">
        <v>170</v>
      </c>
      <c r="B173" s="8" t="s">
        <v>263</v>
      </c>
      <c r="C173" s="8" t="s">
        <v>160</v>
      </c>
      <c r="D173" s="11" t="n">
        <v>0.00277349537037037</v>
      </c>
      <c r="E173" s="39" t="n">
        <f aca="false">ROUND((D173-$D$5)*86400,2)</f>
        <v>14.6</v>
      </c>
      <c r="F173" s="12" t="n">
        <v>127</v>
      </c>
      <c r="G173" s="11" t="n">
        <f aca="false">IF(INDEX(選手一覧!$D$5:$D$2736,$F173)="","",INDEX(選手一覧!$D$5:$D$2736,$F173))</f>
        <v>0.0102480324074074</v>
      </c>
      <c r="H173" s="12" t="n">
        <f aca="false">IF(INDEX(選手一覧!$E$5:$E$2736,$F173)="","",INDEX(選手一覧!$E$5:$E$2736,$F173))</f>
        <v>128</v>
      </c>
      <c r="I173" s="11" t="str">
        <f aca="false">IF(INDEX(選手一覧!$F$5:$F$2736,$F173)="","",INDEX(選手一覧!$F$5:$F$2736,$F173))</f>
        <v/>
      </c>
      <c r="J173" s="12" t="str">
        <f aca="false">IF(INDEX(選手一覧!$G$5:$G$2736,$F173)="","",INDEX(選手一覧!$G$5:$G$2736,$F173))</f>
        <v/>
      </c>
    </row>
    <row r="174" customFormat="false" ht="15" hidden="false" customHeight="false" outlineLevel="0" collapsed="false">
      <c r="A174" s="12" t="n">
        <v>171</v>
      </c>
      <c r="B174" s="8" t="s">
        <v>91</v>
      </c>
      <c r="C174" s="8" t="s">
        <v>92</v>
      </c>
      <c r="D174" s="11" t="n">
        <v>0.00277361111111111</v>
      </c>
      <c r="E174" s="39" t="n">
        <f aca="false">ROUND((D174-$D$5)*86400,2)</f>
        <v>14.61</v>
      </c>
      <c r="F174" s="12" t="n">
        <v>35</v>
      </c>
      <c r="G174" s="11" t="n">
        <f aca="false">IF(INDEX(選手一覧!$D$5:$D$2736,$F174)="","",INDEX(選手一覧!$D$5:$D$2736,$F174))</f>
        <v>0.0100496527777778</v>
      </c>
      <c r="H174" s="12" t="n">
        <f aca="false">IF(INDEX(選手一覧!$E$5:$E$2736,$F174)="","",INDEX(選手一覧!$E$5:$E$2736,$F174))</f>
        <v>36</v>
      </c>
      <c r="I174" s="11" t="str">
        <f aca="false">IF(INDEX(選手一覧!$F$5:$F$2736,$F174)="","",INDEX(選手一覧!$F$5:$F$2736,$F174))</f>
        <v/>
      </c>
      <c r="J174" s="12" t="str">
        <f aca="false">IF(INDEX(選手一覧!$G$5:$G$2736,$F174)="","",INDEX(選手一覧!$G$5:$G$2736,$F174))</f>
        <v/>
      </c>
    </row>
    <row r="175" customFormat="false" ht="15" hidden="false" customHeight="false" outlineLevel="0" collapsed="false">
      <c r="A175" s="12" t="n">
        <v>172</v>
      </c>
      <c r="B175" s="8" t="s">
        <v>448</v>
      </c>
      <c r="C175" s="8" t="s">
        <v>148</v>
      </c>
      <c r="D175" s="11" t="n">
        <v>0.00277407407407407</v>
      </c>
      <c r="E175" s="39" t="n">
        <f aca="false">ROUND((D175-$D$5)*86400,2)</f>
        <v>14.65</v>
      </c>
      <c r="F175" s="12" t="n">
        <v>232</v>
      </c>
      <c r="G175" s="11" t="n">
        <f aca="false">IF(INDEX(選手一覧!$D$5:$D$2736,$F175)="","",INDEX(選手一覧!$D$5:$D$2736,$F175))</f>
        <v>0.0103755787037037</v>
      </c>
      <c r="H175" s="12" t="n">
        <f aca="false">IF(INDEX(選手一覧!$E$5:$E$2736,$F175)="","",INDEX(選手一覧!$E$5:$E$2736,$F175))</f>
        <v>233</v>
      </c>
      <c r="I175" s="11" t="str">
        <f aca="false">IF(INDEX(選手一覧!$F$5:$F$2736,$F175)="","",INDEX(選手一覧!$F$5:$F$2736,$F175))</f>
        <v/>
      </c>
      <c r="J175" s="12" t="str">
        <f aca="false">IF(INDEX(選手一覧!$G$5:$G$2736,$F175)="","",INDEX(選手一覧!$G$5:$G$2736,$F175))</f>
        <v/>
      </c>
    </row>
    <row r="176" customFormat="false" ht="15" hidden="false" customHeight="false" outlineLevel="0" collapsed="false">
      <c r="A176" s="12" t="n">
        <v>173</v>
      </c>
      <c r="B176" s="8" t="s">
        <v>2086</v>
      </c>
      <c r="C176" s="8" t="s">
        <v>363</v>
      </c>
      <c r="D176" s="11" t="n">
        <v>0.0027744212962963</v>
      </c>
      <c r="E176" s="39" t="n">
        <f aca="false">ROUND((D176-$D$5)*86400,2)</f>
        <v>14.68</v>
      </c>
      <c r="F176" s="12" t="n">
        <v>1330</v>
      </c>
      <c r="G176" s="11" t="str">
        <f aca="false">IF(INDEX(選手一覧!$D$5:$D$2736,$F176)="","",INDEX(選手一覧!$D$5:$D$2736,$F176))</f>
        <v/>
      </c>
      <c r="H176" s="12" t="str">
        <f aca="false">IF(INDEX(選手一覧!$E$5:$E$2736,$F176)="","",INDEX(選手一覧!$E$5:$E$2736,$F176))</f>
        <v/>
      </c>
      <c r="I176" s="11" t="str">
        <f aca="false">IF(INDEX(選手一覧!$F$5:$F$2736,$F176)="","",INDEX(選手一覧!$F$5:$F$2736,$F176))</f>
        <v/>
      </c>
      <c r="J176" s="12" t="str">
        <f aca="false">IF(INDEX(選手一覧!$G$5:$G$2736,$F176)="","",INDEX(選手一覧!$G$5:$G$2736,$F176))</f>
        <v/>
      </c>
    </row>
    <row r="177" customFormat="false" ht="15" hidden="false" customHeight="false" outlineLevel="0" collapsed="false">
      <c r="A177" s="12" t="n">
        <v>174</v>
      </c>
      <c r="B177" s="8" t="s">
        <v>2089</v>
      </c>
      <c r="C177" s="8" t="s">
        <v>2067</v>
      </c>
      <c r="D177" s="11" t="n">
        <v>0.00277453703703704</v>
      </c>
      <c r="E177" s="39" t="n">
        <f aca="false">ROUND((D177-$D$5)*86400,2)</f>
        <v>14.69</v>
      </c>
      <c r="F177" s="12" t="n">
        <v>1332</v>
      </c>
      <c r="G177" s="11" t="str">
        <f aca="false">IF(INDEX(選手一覧!$D$5:$D$2736,$F177)="","",INDEX(選手一覧!$D$5:$D$2736,$F177))</f>
        <v/>
      </c>
      <c r="H177" s="12" t="str">
        <f aca="false">IF(INDEX(選手一覧!$E$5:$E$2736,$F177)="","",INDEX(選手一覧!$E$5:$E$2736,$F177))</f>
        <v/>
      </c>
      <c r="I177" s="11" t="str">
        <f aca="false">IF(INDEX(選手一覧!$F$5:$F$2736,$F177)="","",INDEX(選手一覧!$F$5:$F$2736,$F177))</f>
        <v/>
      </c>
      <c r="J177" s="12" t="str">
        <f aca="false">IF(INDEX(選手一覧!$G$5:$G$2736,$F177)="","",INDEX(選手一覧!$G$5:$G$2736,$F177))</f>
        <v/>
      </c>
    </row>
    <row r="178" customFormat="false" ht="15" hidden="false" customHeight="false" outlineLevel="0" collapsed="false">
      <c r="A178" s="12" t="n">
        <v>175</v>
      </c>
      <c r="B178" s="8" t="s">
        <v>497</v>
      </c>
      <c r="C178" s="8" t="s">
        <v>52</v>
      </c>
      <c r="D178" s="11" t="n">
        <v>0.00277476851851852</v>
      </c>
      <c r="E178" s="39" t="n">
        <f aca="false">ROUND((D178-$D$5)*86400,2)</f>
        <v>14.71</v>
      </c>
      <c r="F178" s="12" t="n">
        <v>263</v>
      </c>
      <c r="G178" s="11" t="n">
        <f aca="false">IF(INDEX(選手一覧!$D$5:$D$2736,$F178)="","",INDEX(選手一覧!$D$5:$D$2736,$F178))</f>
        <v>0.0104</v>
      </c>
      <c r="H178" s="12" t="n">
        <f aca="false">IF(INDEX(選手一覧!$E$5:$E$2736,$F178)="","",INDEX(選手一覧!$E$5:$E$2736,$F178))</f>
        <v>264</v>
      </c>
      <c r="I178" s="11" t="str">
        <f aca="false">IF(INDEX(選手一覧!$F$5:$F$2736,$F178)="","",INDEX(選手一覧!$F$5:$F$2736,$F178))</f>
        <v/>
      </c>
      <c r="J178" s="12" t="str">
        <f aca="false">IF(INDEX(選手一覧!$G$5:$G$2736,$F178)="","",INDEX(選手一覧!$G$5:$G$2736,$F178))</f>
        <v/>
      </c>
    </row>
    <row r="179" customFormat="false" ht="15" hidden="false" customHeight="false" outlineLevel="0" collapsed="false">
      <c r="A179" s="12" t="n">
        <v>176</v>
      </c>
      <c r="B179" s="8" t="s">
        <v>551</v>
      </c>
      <c r="C179" s="8" t="s">
        <v>552</v>
      </c>
      <c r="D179" s="11" t="n">
        <v>0.0027755787037037</v>
      </c>
      <c r="E179" s="39" t="n">
        <f aca="false">ROUND((D179-$D$5)*86400,2)</f>
        <v>14.78</v>
      </c>
      <c r="F179" s="12" t="n">
        <v>298</v>
      </c>
      <c r="G179" s="11" t="n">
        <f aca="false">IF(INDEX(選手一覧!$D$5:$D$2736,$F179)="","",INDEX(選手一覧!$D$5:$D$2736,$F179))</f>
        <v>0.010437962962963</v>
      </c>
      <c r="H179" s="12" t="n">
        <f aca="false">IF(INDEX(選手一覧!$E$5:$E$2736,$F179)="","",INDEX(選手一覧!$E$5:$E$2736,$F179))</f>
        <v>299</v>
      </c>
      <c r="I179" s="11" t="str">
        <f aca="false">IF(INDEX(選手一覧!$F$5:$F$2736,$F179)="","",INDEX(選手一覧!$F$5:$F$2736,$F179))</f>
        <v/>
      </c>
      <c r="J179" s="12" t="str">
        <f aca="false">IF(INDEX(選手一覧!$G$5:$G$2736,$F179)="","",INDEX(選手一覧!$G$5:$G$2736,$F179))</f>
        <v/>
      </c>
    </row>
    <row r="180" customFormat="false" ht="15" hidden="false" customHeight="false" outlineLevel="0" collapsed="false">
      <c r="A180" s="12" t="n">
        <v>177</v>
      </c>
      <c r="B180" s="8" t="s">
        <v>909</v>
      </c>
      <c r="C180" s="8" t="s">
        <v>910</v>
      </c>
      <c r="D180" s="11" t="n">
        <v>0.00277569444444444</v>
      </c>
      <c r="E180" s="39" t="n">
        <f aca="false">ROUND((D180-$D$5)*86400,2)</f>
        <v>14.79</v>
      </c>
      <c r="F180" s="12" t="n">
        <v>521</v>
      </c>
      <c r="G180" s="11" t="n">
        <f aca="false">IF(INDEX(選手一覧!$D$5:$D$2736,$F180)="","",INDEX(選手一覧!$D$5:$D$2736,$F180))</f>
        <v>0.0106484953703704</v>
      </c>
      <c r="H180" s="12" t="n">
        <f aca="false">IF(INDEX(選手一覧!$E$5:$E$2736,$F180)="","",INDEX(選手一覧!$E$5:$E$2736,$F180))</f>
        <v>522</v>
      </c>
      <c r="I180" s="11" t="str">
        <f aca="false">IF(INDEX(選手一覧!$F$5:$F$2736,$F180)="","",INDEX(選手一覧!$F$5:$F$2736,$F180))</f>
        <v/>
      </c>
      <c r="J180" s="12" t="str">
        <f aca="false">IF(INDEX(選手一覧!$G$5:$G$2736,$F180)="","",INDEX(選手一覧!$G$5:$G$2736,$F180))</f>
        <v/>
      </c>
    </row>
    <row r="181" customFormat="false" ht="15" hidden="false" customHeight="false" outlineLevel="0" collapsed="false">
      <c r="A181" s="12" t="n">
        <v>178</v>
      </c>
      <c r="B181" s="8" t="s">
        <v>2095</v>
      </c>
      <c r="C181" s="8" t="s">
        <v>1853</v>
      </c>
      <c r="D181" s="11" t="n">
        <v>0.00277569444444444</v>
      </c>
      <c r="E181" s="39" t="n">
        <f aca="false">ROUND((D181-$D$5)*86400,2)</f>
        <v>14.79</v>
      </c>
      <c r="F181" s="12" t="n">
        <v>1335</v>
      </c>
      <c r="G181" s="11" t="str">
        <f aca="false">IF(INDEX(選手一覧!$D$5:$D$2736,$F181)="","",INDEX(選手一覧!$D$5:$D$2736,$F181))</f>
        <v/>
      </c>
      <c r="H181" s="12" t="str">
        <f aca="false">IF(INDEX(選手一覧!$E$5:$E$2736,$F181)="","",INDEX(選手一覧!$E$5:$E$2736,$F181))</f>
        <v/>
      </c>
      <c r="I181" s="11" t="str">
        <f aca="false">IF(INDEX(選手一覧!$F$5:$F$2736,$F181)="","",INDEX(選手一覧!$F$5:$F$2736,$F181))</f>
        <v/>
      </c>
      <c r="J181" s="12" t="str">
        <f aca="false">IF(INDEX(選手一覧!$G$5:$G$2736,$F181)="","",INDEX(選手一覧!$G$5:$G$2736,$F181))</f>
        <v/>
      </c>
    </row>
    <row r="182" customFormat="false" ht="15" hidden="false" customHeight="false" outlineLevel="0" collapsed="false">
      <c r="A182" s="12" t="n">
        <v>179</v>
      </c>
      <c r="B182" s="8" t="s">
        <v>1447</v>
      </c>
      <c r="C182" s="8" t="s">
        <v>1448</v>
      </c>
      <c r="D182" s="11" t="n">
        <v>0.00277581018518519</v>
      </c>
      <c r="E182" s="39" t="n">
        <f aca="false">ROUND((D182-$D$5)*86400,2)</f>
        <v>14.8</v>
      </c>
      <c r="F182" s="12" t="n">
        <v>881</v>
      </c>
      <c r="G182" s="11" t="n">
        <f aca="false">IF(INDEX(選手一覧!$D$5:$D$2736,$F182)="","",INDEX(選手一覧!$D$5:$D$2736,$F182))</f>
        <v>0.010875462962963</v>
      </c>
      <c r="H182" s="12" t="n">
        <f aca="false">IF(INDEX(選手一覧!$E$5:$E$2736,$F182)="","",INDEX(選手一覧!$E$5:$E$2736,$F182))</f>
        <v>882</v>
      </c>
      <c r="I182" s="11" t="n">
        <f aca="false">IF(INDEX(選手一覧!$F$5:$F$2736,$F182)="","",INDEX(選手一覧!$F$5:$F$2736,$F182))</f>
        <v>0.00731689814814815</v>
      </c>
      <c r="J182" s="12" t="n">
        <f aca="false">IF(INDEX(選手一覧!$G$5:$G$2736,$F182)="","",INDEX(選手一覧!$G$5:$G$2736,$F182))</f>
        <v>664</v>
      </c>
    </row>
    <row r="183" customFormat="false" ht="15" hidden="false" customHeight="false" outlineLevel="0" collapsed="false">
      <c r="A183" s="12" t="n">
        <v>180</v>
      </c>
      <c r="B183" s="8" t="s">
        <v>1035</v>
      </c>
      <c r="C183" s="8" t="s">
        <v>186</v>
      </c>
      <c r="D183" s="11" t="n">
        <v>0.00277592592592593</v>
      </c>
      <c r="E183" s="39" t="n">
        <f aca="false">ROUND((D183-$D$5)*86400,2)</f>
        <v>14.81</v>
      </c>
      <c r="F183" s="12" t="n">
        <v>607</v>
      </c>
      <c r="G183" s="11" t="n">
        <f aca="false">IF(INDEX(選手一覧!$D$5:$D$2736,$F183)="","",INDEX(選手一覧!$D$5:$D$2736,$F183))</f>
        <v>0.010716087962963</v>
      </c>
      <c r="H183" s="12" t="n">
        <f aca="false">IF(INDEX(選手一覧!$E$5:$E$2736,$F183)="","",INDEX(選手一覧!$E$5:$E$2736,$F183))</f>
        <v>608</v>
      </c>
      <c r="I183" s="11" t="n">
        <f aca="false">IF(INDEX(選手一覧!$F$5:$F$2736,$F183)="","",INDEX(選手一覧!$F$5:$F$2736,$F183))</f>
        <v>0.00634525462962963</v>
      </c>
      <c r="J183" s="12" t="n">
        <f aca="false">IF(INDEX(選手一覧!$G$5:$G$2736,$F183)="","",INDEX(選手一覧!$G$5:$G$2736,$F183))</f>
        <v>9</v>
      </c>
    </row>
    <row r="184" customFormat="false" ht="15" hidden="false" customHeight="false" outlineLevel="0" collapsed="false">
      <c r="A184" s="12" t="n">
        <v>181</v>
      </c>
      <c r="B184" s="8" t="s">
        <v>464</v>
      </c>
      <c r="C184" s="8" t="s">
        <v>241</v>
      </c>
      <c r="D184" s="11" t="n">
        <v>0.00277592592592593</v>
      </c>
      <c r="E184" s="39" t="n">
        <f aca="false">ROUND((D184-$D$5)*86400,2)</f>
        <v>14.81</v>
      </c>
      <c r="F184" s="12" t="n">
        <v>241</v>
      </c>
      <c r="G184" s="11" t="n">
        <f aca="false">IF(INDEX(選手一覧!$D$5:$D$2736,$F184)="","",INDEX(選手一覧!$D$5:$D$2736,$F184))</f>
        <v>0.0103782407407407</v>
      </c>
      <c r="H184" s="12" t="n">
        <f aca="false">IF(INDEX(選手一覧!$E$5:$E$2736,$F184)="","",INDEX(選手一覧!$E$5:$E$2736,$F184))</f>
        <v>242</v>
      </c>
      <c r="I184" s="11" t="str">
        <f aca="false">IF(INDEX(選手一覧!$F$5:$F$2736,$F184)="","",INDEX(選手一覧!$F$5:$F$2736,$F184))</f>
        <v/>
      </c>
      <c r="J184" s="12" t="str">
        <f aca="false">IF(INDEX(選手一覧!$G$5:$G$2736,$F184)="","",INDEX(選手一覧!$G$5:$G$2736,$F184))</f>
        <v/>
      </c>
    </row>
    <row r="185" customFormat="false" ht="15" hidden="false" customHeight="false" outlineLevel="0" collapsed="false">
      <c r="A185" s="12" t="n">
        <v>182</v>
      </c>
      <c r="B185" s="8" t="s">
        <v>93</v>
      </c>
      <c r="C185" s="8" t="s">
        <v>94</v>
      </c>
      <c r="D185" s="11" t="n">
        <v>0.00277592592592593</v>
      </c>
      <c r="E185" s="39" t="n">
        <f aca="false">ROUND((D185-$D$5)*86400,2)</f>
        <v>14.81</v>
      </c>
      <c r="F185" s="12" t="n">
        <v>36</v>
      </c>
      <c r="G185" s="11" t="n">
        <f aca="false">IF(INDEX(選手一覧!$D$5:$D$2736,$F185)="","",INDEX(選手一覧!$D$5:$D$2736,$F185))</f>
        <v>0.0100549768518519</v>
      </c>
      <c r="H185" s="12" t="n">
        <f aca="false">IF(INDEX(選手一覧!$E$5:$E$2736,$F185)="","",INDEX(選手一覧!$E$5:$E$2736,$F185))</f>
        <v>37</v>
      </c>
      <c r="I185" s="11" t="str">
        <f aca="false">IF(INDEX(選手一覧!$F$5:$F$2736,$F185)="","",INDEX(選手一覧!$F$5:$F$2736,$F185))</f>
        <v/>
      </c>
      <c r="J185" s="12" t="str">
        <f aca="false">IF(INDEX(選手一覧!$G$5:$G$2736,$F185)="","",INDEX(選手一覧!$G$5:$G$2736,$F185))</f>
        <v/>
      </c>
    </row>
    <row r="186" customFormat="false" ht="15" hidden="false" customHeight="false" outlineLevel="0" collapsed="false">
      <c r="A186" s="12" t="n">
        <v>183</v>
      </c>
      <c r="B186" s="8" t="s">
        <v>670</v>
      </c>
      <c r="C186" s="8" t="s">
        <v>283</v>
      </c>
      <c r="D186" s="11" t="n">
        <v>0.00277627314814815</v>
      </c>
      <c r="E186" s="39" t="n">
        <f aca="false">ROUND((D186-$D$5)*86400,2)</f>
        <v>14.84</v>
      </c>
      <c r="F186" s="12" t="n">
        <v>372</v>
      </c>
      <c r="G186" s="11" t="n">
        <f aca="false">IF(INDEX(選手一覧!$D$5:$D$2736,$F186)="","",INDEX(選手一覧!$D$5:$D$2736,$F186))</f>
        <v>0.0105304398148148</v>
      </c>
      <c r="H186" s="12" t="n">
        <f aca="false">IF(INDEX(選手一覧!$E$5:$E$2736,$F186)="","",INDEX(選手一覧!$E$5:$E$2736,$F186))</f>
        <v>373</v>
      </c>
      <c r="I186" s="11" t="str">
        <f aca="false">IF(INDEX(選手一覧!$F$5:$F$2736,$F186)="","",INDEX(選手一覧!$F$5:$F$2736,$F186))</f>
        <v/>
      </c>
      <c r="J186" s="12" t="str">
        <f aca="false">IF(INDEX(選手一覧!$G$5:$G$2736,$F186)="","",INDEX(選手一覧!$G$5:$G$2736,$F186))</f>
        <v/>
      </c>
    </row>
    <row r="187" customFormat="false" ht="15" hidden="false" customHeight="false" outlineLevel="0" collapsed="false">
      <c r="A187" s="12" t="n">
        <v>184</v>
      </c>
      <c r="B187" s="8" t="s">
        <v>1495</v>
      </c>
      <c r="C187" s="8" t="s">
        <v>1496</v>
      </c>
      <c r="D187" s="11" t="n">
        <v>0.00277650462962963</v>
      </c>
      <c r="E187" s="39" t="n">
        <f aca="false">ROUND((D187-$D$5)*86400,2)</f>
        <v>14.86</v>
      </c>
      <c r="F187" s="12" t="n">
        <v>914</v>
      </c>
      <c r="G187" s="11" t="n">
        <f aca="false">IF(INDEX(選手一覧!$D$5:$D$2736,$F187)="","",INDEX(選手一覧!$D$5:$D$2736,$F187))</f>
        <v>0.0108959490740741</v>
      </c>
      <c r="H187" s="12" t="n">
        <f aca="false">IF(INDEX(選手一覧!$E$5:$E$2736,$F187)="","",INDEX(選手一覧!$E$5:$E$2736,$F187))</f>
        <v>915</v>
      </c>
      <c r="I187" s="11" t="n">
        <f aca="false">IF(INDEX(選手一覧!$F$5:$F$2736,$F187)="","",INDEX(選手一覧!$F$5:$F$2736,$F187))</f>
        <v>0.0066474537037037</v>
      </c>
      <c r="J187" s="12" t="n">
        <f aca="false">IF(INDEX(選手一覧!$G$5:$G$2736,$F187)="","",INDEX(選手一覧!$G$5:$G$2736,$F187))</f>
        <v>81</v>
      </c>
    </row>
    <row r="188" customFormat="false" ht="15" hidden="false" customHeight="false" outlineLevel="0" collapsed="false">
      <c r="A188" s="12" t="n">
        <v>185</v>
      </c>
      <c r="B188" s="8" t="s">
        <v>2098</v>
      </c>
      <c r="C188" s="8" t="s">
        <v>294</v>
      </c>
      <c r="D188" s="11" t="n">
        <v>0.00277673611111111</v>
      </c>
      <c r="E188" s="39" t="n">
        <f aca="false">ROUND((D188-$D$5)*86400,2)</f>
        <v>14.88</v>
      </c>
      <c r="F188" s="12" t="n">
        <v>1337</v>
      </c>
      <c r="G188" s="11" t="str">
        <f aca="false">IF(INDEX(選手一覧!$D$5:$D$2736,$F188)="","",INDEX(選手一覧!$D$5:$D$2736,$F188))</f>
        <v/>
      </c>
      <c r="H188" s="12" t="str">
        <f aca="false">IF(INDEX(選手一覧!$E$5:$E$2736,$F188)="","",INDEX(選手一覧!$E$5:$E$2736,$F188))</f>
        <v/>
      </c>
      <c r="I188" s="11" t="n">
        <f aca="false">IF(INDEX(選手一覧!$F$5:$F$2736,$F188)="","",INDEX(選手一覧!$F$5:$F$2736,$F188))</f>
        <v>0.00708506944444444</v>
      </c>
      <c r="J188" s="12" t="n">
        <f aca="false">IF(INDEX(選手一覧!$G$5:$G$2736,$F188)="","",INDEX(選手一覧!$G$5:$G$2736,$F188))</f>
        <v>433</v>
      </c>
    </row>
    <row r="189" customFormat="false" ht="15" hidden="false" customHeight="false" outlineLevel="0" collapsed="false">
      <c r="A189" s="12" t="n">
        <v>186</v>
      </c>
      <c r="B189" s="8" t="s">
        <v>797</v>
      </c>
      <c r="C189" s="8" t="s">
        <v>423</v>
      </c>
      <c r="D189" s="11" t="n">
        <v>0.00277696759259259</v>
      </c>
      <c r="E189" s="39" t="n">
        <f aca="false">ROUND((D189-$D$5)*86400,2)</f>
        <v>14.9</v>
      </c>
      <c r="F189" s="12" t="n">
        <v>452</v>
      </c>
      <c r="G189" s="11" t="n">
        <f aca="false">IF(INDEX(選手一覧!$D$5:$D$2736,$F189)="","",INDEX(選手一覧!$D$5:$D$2736,$F189))</f>
        <v>0.0105891203703704</v>
      </c>
      <c r="H189" s="12" t="n">
        <f aca="false">IF(INDEX(選手一覧!$E$5:$E$2736,$F189)="","",INDEX(選手一覧!$E$5:$E$2736,$F189))</f>
        <v>453</v>
      </c>
      <c r="I189" s="11" t="str">
        <f aca="false">IF(INDEX(選手一覧!$F$5:$F$2736,$F189)="","",INDEX(選手一覧!$F$5:$F$2736,$F189))</f>
        <v/>
      </c>
      <c r="J189" s="12" t="str">
        <f aca="false">IF(INDEX(選手一覧!$G$5:$G$2736,$F189)="","",INDEX(選手一覧!$G$5:$G$2736,$F189))</f>
        <v/>
      </c>
    </row>
    <row r="190" customFormat="false" ht="15" hidden="false" customHeight="false" outlineLevel="0" collapsed="false">
      <c r="A190" s="12" t="n">
        <v>187</v>
      </c>
      <c r="B190" s="8" t="s">
        <v>362</v>
      </c>
      <c r="C190" s="8" t="s">
        <v>363</v>
      </c>
      <c r="D190" s="11" t="n">
        <v>0.00277731481481482</v>
      </c>
      <c r="E190" s="39" t="n">
        <f aca="false">ROUND((D190-$D$5)*86400,2)</f>
        <v>14.93</v>
      </c>
      <c r="F190" s="12" t="n">
        <v>181</v>
      </c>
      <c r="G190" s="11" t="n">
        <f aca="false">IF(INDEX(選手一覧!$D$5:$D$2736,$F190)="","",INDEX(選手一覧!$D$5:$D$2736,$F190))</f>
        <v>0.0103303240740741</v>
      </c>
      <c r="H190" s="12" t="n">
        <f aca="false">IF(INDEX(選手一覧!$E$5:$E$2736,$F190)="","",INDEX(選手一覧!$E$5:$E$2736,$F190))</f>
        <v>182</v>
      </c>
      <c r="I190" s="11" t="n">
        <f aca="false">IF(INDEX(選手一覧!$F$5:$F$2736,$F190)="","",INDEX(選手一覧!$F$5:$F$2736,$F190))</f>
        <v>0.00704131944444445</v>
      </c>
      <c r="J190" s="12" t="n">
        <f aca="false">IF(INDEX(選手一覧!$G$5:$G$2736,$F190)="","",INDEX(選手一覧!$G$5:$G$2736,$F190))</f>
        <v>378</v>
      </c>
    </row>
    <row r="191" customFormat="false" ht="15" hidden="false" customHeight="false" outlineLevel="0" collapsed="false">
      <c r="A191" s="12" t="n">
        <v>188</v>
      </c>
      <c r="B191" s="8" t="s">
        <v>1117</v>
      </c>
      <c r="C191" s="8" t="s">
        <v>1118</v>
      </c>
      <c r="D191" s="11" t="n">
        <v>0.00277743055555556</v>
      </c>
      <c r="E191" s="39" t="n">
        <f aca="false">ROUND((D191-$D$5)*86400,2)</f>
        <v>14.94</v>
      </c>
      <c r="F191" s="12" t="n">
        <v>666</v>
      </c>
      <c r="G191" s="11" t="n">
        <f aca="false">IF(INDEX(選手一覧!$D$5:$D$2736,$F191)="","",INDEX(選手一覧!$D$5:$D$2736,$F191))</f>
        <v>0.0107502314814815</v>
      </c>
      <c r="H191" s="12" t="n">
        <f aca="false">IF(INDEX(選手一覧!$E$5:$E$2736,$F191)="","",INDEX(選手一覧!$E$5:$E$2736,$F191))</f>
        <v>667</v>
      </c>
      <c r="I191" s="11" t="str">
        <f aca="false">IF(INDEX(選手一覧!$F$5:$F$2736,$F191)="","",INDEX(選手一覧!$F$5:$F$2736,$F191))</f>
        <v/>
      </c>
      <c r="J191" s="12" t="str">
        <f aca="false">IF(INDEX(選手一覧!$G$5:$G$2736,$F191)="","",INDEX(選手一覧!$G$5:$G$2736,$F191))</f>
        <v/>
      </c>
    </row>
    <row r="192" customFormat="false" ht="15" hidden="false" customHeight="false" outlineLevel="0" collapsed="false">
      <c r="A192" s="12" t="n">
        <v>189</v>
      </c>
      <c r="B192" s="8" t="s">
        <v>986</v>
      </c>
      <c r="C192" s="8" t="s">
        <v>283</v>
      </c>
      <c r="D192" s="11" t="n">
        <v>0.00277777777777778</v>
      </c>
      <c r="E192" s="39" t="n">
        <f aca="false">ROUND((D192-$D$5)*86400,2)</f>
        <v>14.97</v>
      </c>
      <c r="F192" s="12" t="n">
        <v>572</v>
      </c>
      <c r="G192" s="11" t="n">
        <f aca="false">IF(INDEX(選手一覧!$D$5:$D$2736,$F192)="","",INDEX(選手一覧!$D$5:$D$2736,$F192))</f>
        <v>0.0106957175925926</v>
      </c>
      <c r="H192" s="12" t="n">
        <f aca="false">IF(INDEX(選手一覧!$E$5:$E$2736,$F192)="","",INDEX(選手一覧!$E$5:$E$2736,$F192))</f>
        <v>573</v>
      </c>
      <c r="I192" s="11" t="n">
        <f aca="false">IF(INDEX(選手一覧!$F$5:$F$2736,$F192)="","",INDEX(選手一覧!$F$5:$F$2736,$F192))</f>
        <v>0.0064099537037037</v>
      </c>
      <c r="J192" s="12" t="n">
        <f aca="false">IF(INDEX(選手一覧!$G$5:$G$2736,$F192)="","",INDEX(選手一覧!$G$5:$G$2736,$F192))</f>
        <v>16</v>
      </c>
    </row>
    <row r="193" customFormat="false" ht="15" hidden="false" customHeight="false" outlineLevel="0" collapsed="false">
      <c r="A193" s="12" t="n">
        <v>190</v>
      </c>
      <c r="B193" s="8" t="s">
        <v>321</v>
      </c>
      <c r="C193" s="8" t="s">
        <v>143</v>
      </c>
      <c r="D193" s="11" t="n">
        <v>0.00277789351851852</v>
      </c>
      <c r="E193" s="39" t="n">
        <f aca="false">ROUND((D193-$D$5)*86400,2)</f>
        <v>14.98</v>
      </c>
      <c r="F193" s="12" t="n">
        <v>157</v>
      </c>
      <c r="G193" s="11" t="n">
        <f aca="false">IF(INDEX(選手一覧!$D$5:$D$2736,$F193)="","",INDEX(選手一覧!$D$5:$D$2736,$F193))</f>
        <v>0.0102986111111111</v>
      </c>
      <c r="H193" s="12" t="n">
        <f aca="false">IF(INDEX(選手一覧!$E$5:$E$2736,$F193)="","",INDEX(選手一覧!$E$5:$E$2736,$F193))</f>
        <v>158</v>
      </c>
      <c r="I193" s="11" t="str">
        <f aca="false">IF(INDEX(選手一覧!$F$5:$F$2736,$F193)="","",INDEX(選手一覧!$F$5:$F$2736,$F193))</f>
        <v/>
      </c>
      <c r="J193" s="12" t="str">
        <f aca="false">IF(INDEX(選手一覧!$G$5:$G$2736,$F193)="","",INDEX(選手一覧!$G$5:$G$2736,$F193))</f>
        <v/>
      </c>
    </row>
    <row r="194" customFormat="false" ht="15" hidden="false" customHeight="false" outlineLevel="0" collapsed="false">
      <c r="A194" s="12" t="n">
        <v>191</v>
      </c>
      <c r="B194" s="8" t="s">
        <v>614</v>
      </c>
      <c r="C194" s="8" t="s">
        <v>238</v>
      </c>
      <c r="D194" s="11" t="n">
        <v>0.002778125</v>
      </c>
      <c r="E194" s="39" t="n">
        <f aca="false">ROUND((D194-$D$5)*86400,2)</f>
        <v>15</v>
      </c>
      <c r="F194" s="12" t="n">
        <v>335</v>
      </c>
      <c r="G194" s="11" t="n">
        <f aca="false">IF(INDEX(選手一覧!$D$5:$D$2736,$F194)="","",INDEX(選手一覧!$D$5:$D$2736,$F194))</f>
        <v>0.0104916666666667</v>
      </c>
      <c r="H194" s="12" t="n">
        <f aca="false">IF(INDEX(選手一覧!$E$5:$E$2736,$F194)="","",INDEX(選手一覧!$E$5:$E$2736,$F194))</f>
        <v>336</v>
      </c>
      <c r="I194" s="11" t="str">
        <f aca="false">IF(INDEX(選手一覧!$F$5:$F$2736,$F194)="","",INDEX(選手一覧!$F$5:$F$2736,$F194))</f>
        <v/>
      </c>
      <c r="J194" s="12" t="str">
        <f aca="false">IF(INDEX(選手一覧!$G$5:$G$2736,$F194)="","",INDEX(選手一覧!$G$5:$G$2736,$F194))</f>
        <v/>
      </c>
    </row>
    <row r="195" customFormat="false" ht="15" hidden="false" customHeight="false" outlineLevel="0" collapsed="false">
      <c r="A195" s="12" t="n">
        <v>192</v>
      </c>
      <c r="B195" s="8" t="s">
        <v>2107</v>
      </c>
      <c r="C195" s="8" t="s">
        <v>802</v>
      </c>
      <c r="D195" s="11" t="n">
        <v>0.00277824074074074</v>
      </c>
      <c r="E195" s="39" t="n">
        <f aca="false">ROUND((D195-$D$5)*86400,2)</f>
        <v>15.01</v>
      </c>
      <c r="F195" s="12" t="n">
        <v>1343</v>
      </c>
      <c r="G195" s="11" t="str">
        <f aca="false">IF(INDEX(選手一覧!$D$5:$D$2736,$F195)="","",INDEX(選手一覧!$D$5:$D$2736,$F195))</f>
        <v/>
      </c>
      <c r="H195" s="12" t="str">
        <f aca="false">IF(INDEX(選手一覧!$E$5:$E$2736,$F195)="","",INDEX(選手一覧!$E$5:$E$2736,$F195))</f>
        <v/>
      </c>
      <c r="I195" s="11" t="str">
        <f aca="false">IF(INDEX(選手一覧!$F$5:$F$2736,$F195)="","",INDEX(選手一覧!$F$5:$F$2736,$F195))</f>
        <v/>
      </c>
      <c r="J195" s="12" t="str">
        <f aca="false">IF(INDEX(選手一覧!$G$5:$G$2736,$F195)="","",INDEX(選手一覧!$G$5:$G$2736,$F195))</f>
        <v/>
      </c>
    </row>
    <row r="196" customFormat="false" ht="15" hidden="false" customHeight="false" outlineLevel="0" collapsed="false">
      <c r="A196" s="12" t="n">
        <v>193</v>
      </c>
      <c r="B196" s="8" t="s">
        <v>937</v>
      </c>
      <c r="C196" s="8" t="s">
        <v>241</v>
      </c>
      <c r="D196" s="11" t="n">
        <v>0.00277835648148148</v>
      </c>
      <c r="E196" s="39" t="n">
        <f aca="false">ROUND((D196-$D$5)*86400,2)</f>
        <v>15.02</v>
      </c>
      <c r="F196" s="12" t="n">
        <v>538</v>
      </c>
      <c r="G196" s="11" t="n">
        <f aca="false">IF(INDEX(選手一覧!$D$5:$D$2736,$F196)="","",INDEX(選手一覧!$D$5:$D$2736,$F196))</f>
        <v>0.010665162037037</v>
      </c>
      <c r="H196" s="12" t="n">
        <f aca="false">IF(INDEX(選手一覧!$E$5:$E$2736,$F196)="","",INDEX(選手一覧!$E$5:$E$2736,$F196))</f>
        <v>539</v>
      </c>
      <c r="I196" s="11" t="str">
        <f aca="false">IF(INDEX(選手一覧!$F$5:$F$2736,$F196)="","",INDEX(選手一覧!$F$5:$F$2736,$F196))</f>
        <v/>
      </c>
      <c r="J196" s="12" t="str">
        <f aca="false">IF(INDEX(選手一覧!$G$5:$G$2736,$F196)="","",INDEX(選手一覧!$G$5:$G$2736,$F196))</f>
        <v/>
      </c>
    </row>
    <row r="197" customFormat="false" ht="15" hidden="false" customHeight="false" outlineLevel="0" collapsed="false">
      <c r="A197" s="12" t="n">
        <v>194</v>
      </c>
      <c r="B197" s="8" t="s">
        <v>213</v>
      </c>
      <c r="C197" s="8" t="s">
        <v>64</v>
      </c>
      <c r="D197" s="11" t="n">
        <v>0.00277835648148148</v>
      </c>
      <c r="E197" s="39" t="n">
        <f aca="false">ROUND((D197-$D$5)*86400,2)</f>
        <v>15.02</v>
      </c>
      <c r="F197" s="12" t="n">
        <v>100</v>
      </c>
      <c r="G197" s="11" t="n">
        <f aca="false">IF(INDEX(選手一覧!$D$5:$D$2736,$F197)="","",INDEX(選手一覧!$D$5:$D$2736,$F197))</f>
        <v>0.0102111111111111</v>
      </c>
      <c r="H197" s="12" t="n">
        <f aca="false">IF(INDEX(選手一覧!$E$5:$E$2736,$F197)="","",INDEX(選手一覧!$E$5:$E$2736,$F197))</f>
        <v>101</v>
      </c>
      <c r="I197" s="11" t="str">
        <f aca="false">IF(INDEX(選手一覧!$F$5:$F$2736,$F197)="","",INDEX(選手一覧!$F$5:$F$2736,$F197))</f>
        <v/>
      </c>
      <c r="J197" s="12" t="str">
        <f aca="false">IF(INDEX(選手一覧!$G$5:$G$2736,$F197)="","",INDEX(選手一覧!$G$5:$G$2736,$F197))</f>
        <v/>
      </c>
    </row>
    <row r="198" customFormat="false" ht="15" hidden="false" customHeight="false" outlineLevel="0" collapsed="false">
      <c r="A198" s="12" t="n">
        <v>195</v>
      </c>
      <c r="B198" s="8" t="s">
        <v>2110</v>
      </c>
      <c r="C198" s="8" t="s">
        <v>2111</v>
      </c>
      <c r="D198" s="11" t="n">
        <v>0.0027787037037037</v>
      </c>
      <c r="E198" s="39" t="n">
        <f aca="false">ROUND((D198-$D$5)*86400,2)</f>
        <v>15.05</v>
      </c>
      <c r="F198" s="12" t="n">
        <v>1345</v>
      </c>
      <c r="G198" s="11" t="str">
        <f aca="false">IF(INDEX(選手一覧!$D$5:$D$2736,$F198)="","",INDEX(選手一覧!$D$5:$D$2736,$F198))</f>
        <v/>
      </c>
      <c r="H198" s="12" t="str">
        <f aca="false">IF(INDEX(選手一覧!$E$5:$E$2736,$F198)="","",INDEX(選手一覧!$E$5:$E$2736,$F198))</f>
        <v/>
      </c>
      <c r="I198" s="11" t="str">
        <f aca="false">IF(INDEX(選手一覧!$F$5:$F$2736,$F198)="","",INDEX(選手一覧!$F$5:$F$2736,$F198))</f>
        <v/>
      </c>
      <c r="J198" s="12" t="str">
        <f aca="false">IF(INDEX(選手一覧!$G$5:$G$2736,$F198)="","",INDEX(選手一覧!$G$5:$G$2736,$F198))</f>
        <v/>
      </c>
    </row>
    <row r="199" customFormat="false" ht="15" hidden="false" customHeight="false" outlineLevel="0" collapsed="false">
      <c r="A199" s="12" t="n">
        <v>196</v>
      </c>
      <c r="B199" s="8" t="s">
        <v>1371</v>
      </c>
      <c r="C199" s="8" t="s">
        <v>679</v>
      </c>
      <c r="D199" s="11" t="n">
        <v>0.00277916666666667</v>
      </c>
      <c r="E199" s="39" t="n">
        <f aca="false">ROUND((D199-$D$5)*86400,2)</f>
        <v>15.09</v>
      </c>
      <c r="F199" s="12" t="n">
        <v>833</v>
      </c>
      <c r="G199" s="11" t="n">
        <f aca="false">IF(INDEX(選手一覧!$D$5:$D$2736,$F199)="","",INDEX(選手一覧!$D$5:$D$2736,$F199))</f>
        <v>0.0108484953703704</v>
      </c>
      <c r="H199" s="12" t="n">
        <f aca="false">IF(INDEX(選手一覧!$E$5:$E$2736,$F199)="","",INDEX(選手一覧!$E$5:$E$2736,$F199))</f>
        <v>834</v>
      </c>
      <c r="I199" s="11" t="n">
        <f aca="false">IF(INDEX(選手一覧!$F$5:$F$2736,$F199)="","",INDEX(選手一覧!$F$5:$F$2736,$F199))</f>
        <v>0.00667592592592593</v>
      </c>
      <c r="J199" s="12" t="n">
        <f aca="false">IF(INDEX(選手一覧!$G$5:$G$2736,$F199)="","",INDEX(選手一覧!$G$5:$G$2736,$F199))</f>
        <v>95</v>
      </c>
    </row>
    <row r="200" customFormat="false" ht="15" hidden="false" customHeight="false" outlineLevel="0" collapsed="false">
      <c r="A200" s="12" t="n">
        <v>197</v>
      </c>
      <c r="B200" s="8" t="s">
        <v>2112</v>
      </c>
      <c r="C200" s="8" t="s">
        <v>2113</v>
      </c>
      <c r="D200" s="11" t="n">
        <v>0.00277928240740741</v>
      </c>
      <c r="E200" s="39" t="n">
        <f aca="false">ROUND((D200-$D$5)*86400,2)</f>
        <v>15.1</v>
      </c>
      <c r="F200" s="12" t="n">
        <v>1346</v>
      </c>
      <c r="G200" s="11" t="str">
        <f aca="false">IF(INDEX(選手一覧!$D$5:$D$2736,$F200)="","",INDEX(選手一覧!$D$5:$D$2736,$F200))</f>
        <v/>
      </c>
      <c r="H200" s="12" t="str">
        <f aca="false">IF(INDEX(選手一覧!$E$5:$E$2736,$F200)="","",INDEX(選手一覧!$E$5:$E$2736,$F200))</f>
        <v/>
      </c>
      <c r="I200" s="11" t="str">
        <f aca="false">IF(INDEX(選手一覧!$F$5:$F$2736,$F200)="","",INDEX(選手一覧!$F$5:$F$2736,$F200))</f>
        <v/>
      </c>
      <c r="J200" s="12" t="str">
        <f aca="false">IF(INDEX(選手一覧!$G$5:$G$2736,$F200)="","",INDEX(選手一覧!$G$5:$G$2736,$F200))</f>
        <v/>
      </c>
    </row>
    <row r="201" customFormat="false" ht="15" hidden="false" customHeight="false" outlineLevel="0" collapsed="false">
      <c r="A201" s="12" t="n">
        <v>198</v>
      </c>
      <c r="B201" s="8" t="s">
        <v>643</v>
      </c>
      <c r="C201" s="8" t="s">
        <v>462</v>
      </c>
      <c r="D201" s="11" t="n">
        <v>0.00277939814814815</v>
      </c>
      <c r="E201" s="39" t="n">
        <f aca="false">ROUND((D201-$D$5)*86400,2)</f>
        <v>15.11</v>
      </c>
      <c r="F201" s="12" t="n">
        <v>353</v>
      </c>
      <c r="G201" s="11" t="n">
        <f aca="false">IF(INDEX(選手一覧!$D$5:$D$2736,$F201)="","",INDEX(選手一覧!$D$5:$D$2736,$F201))</f>
        <v>0.0105118055555556</v>
      </c>
      <c r="H201" s="12" t="n">
        <f aca="false">IF(INDEX(選手一覧!$E$5:$E$2736,$F201)="","",INDEX(選手一覧!$E$5:$E$2736,$F201))</f>
        <v>354</v>
      </c>
      <c r="I201" s="11" t="str">
        <f aca="false">IF(INDEX(選手一覧!$F$5:$F$2736,$F201)="","",INDEX(選手一覧!$F$5:$F$2736,$F201))</f>
        <v/>
      </c>
      <c r="J201" s="12" t="str">
        <f aca="false">IF(INDEX(選手一覧!$G$5:$G$2736,$F201)="","",INDEX(選手一覧!$G$5:$G$2736,$F201))</f>
        <v/>
      </c>
    </row>
    <row r="202" customFormat="false" ht="15" hidden="false" customHeight="false" outlineLevel="0" collapsed="false">
      <c r="A202" s="12" t="n">
        <v>199</v>
      </c>
      <c r="B202" s="8" t="s">
        <v>337</v>
      </c>
      <c r="C202" s="8" t="s">
        <v>207</v>
      </c>
      <c r="D202" s="11" t="n">
        <v>0.00277951388888889</v>
      </c>
      <c r="E202" s="39" t="n">
        <f aca="false">ROUND((D202-$D$5)*86400,2)</f>
        <v>15.12</v>
      </c>
      <c r="F202" s="12" t="n">
        <v>166</v>
      </c>
      <c r="G202" s="11" t="n">
        <f aca="false">IF(INDEX(選手一覧!$D$5:$D$2736,$F202)="","",INDEX(選手一覧!$D$5:$D$2736,$F202))</f>
        <v>0.0103144675925926</v>
      </c>
      <c r="H202" s="12" t="n">
        <f aca="false">IF(INDEX(選手一覧!$E$5:$E$2736,$F202)="","",INDEX(選手一覧!$E$5:$E$2736,$F202))</f>
        <v>167</v>
      </c>
      <c r="I202" s="11" t="n">
        <f aca="false">IF(INDEX(選手一覧!$F$5:$F$2736,$F202)="","",INDEX(選手一覧!$F$5:$F$2736,$F202))</f>
        <v>0.00674305555555556</v>
      </c>
      <c r="J202" s="12" t="n">
        <f aca="false">IF(INDEX(選手一覧!$G$5:$G$2736,$F202)="","",INDEX(選手一覧!$G$5:$G$2736,$F202))</f>
        <v>123</v>
      </c>
    </row>
    <row r="203" customFormat="false" ht="15" hidden="false" customHeight="false" outlineLevel="0" collapsed="false">
      <c r="A203" s="12" t="n">
        <v>200</v>
      </c>
      <c r="B203" s="8" t="s">
        <v>36</v>
      </c>
      <c r="C203" s="8" t="s">
        <v>23</v>
      </c>
      <c r="D203" s="11" t="n">
        <v>0.00277962962962963</v>
      </c>
      <c r="E203" s="39" t="n">
        <f aca="false">ROUND((D203-$D$5)*86400,2)</f>
        <v>15.13</v>
      </c>
      <c r="F203" s="12" t="n">
        <v>9</v>
      </c>
      <c r="G203" s="11" t="n">
        <f aca="false">IF(INDEX(選手一覧!$D$5:$D$2736,$F203)="","",INDEX(選手一覧!$D$5:$D$2736,$F203))</f>
        <v>0.00981481481481481</v>
      </c>
      <c r="H203" s="12" t="n">
        <f aca="false">IF(INDEX(選手一覧!$E$5:$E$2736,$F203)="","",INDEX(選手一覧!$E$5:$E$2736,$F203))</f>
        <v>9</v>
      </c>
      <c r="I203" s="11" t="str">
        <f aca="false">IF(INDEX(選手一覧!$F$5:$F$2736,$F203)="","",INDEX(選手一覧!$F$5:$F$2736,$F203))</f>
        <v/>
      </c>
      <c r="J203" s="12" t="str">
        <f aca="false">IF(INDEX(選手一覧!$G$5:$G$2736,$F203)="","",INDEX(選手一覧!$G$5:$G$2736,$F203))</f>
        <v/>
      </c>
    </row>
    <row r="204" customFormat="false" ht="15" hidden="false" customHeight="false" outlineLevel="0" collapsed="false">
      <c r="A204" s="12" t="n">
        <v>201</v>
      </c>
      <c r="B204" s="8" t="s">
        <v>308</v>
      </c>
      <c r="C204" s="8" t="s">
        <v>309</v>
      </c>
      <c r="D204" s="11" t="n">
        <v>0.00278020833333333</v>
      </c>
      <c r="E204" s="39" t="n">
        <f aca="false">ROUND((D204-$D$5)*86400,2)</f>
        <v>15.18</v>
      </c>
      <c r="F204" s="12" t="n">
        <v>151</v>
      </c>
      <c r="G204" s="11" t="n">
        <f aca="false">IF(INDEX(選手一覧!$D$5:$D$2736,$F204)="","",INDEX(選手一覧!$D$5:$D$2736,$F204))</f>
        <v>0.0102828703703704</v>
      </c>
      <c r="H204" s="12" t="n">
        <f aca="false">IF(INDEX(選手一覧!$E$5:$E$2736,$F204)="","",INDEX(選手一覧!$E$5:$E$2736,$F204))</f>
        <v>152</v>
      </c>
      <c r="I204" s="11" t="n">
        <f aca="false">IF(INDEX(選手一覧!$F$5:$F$2736,$F204)="","",INDEX(選手一覧!$F$5:$F$2736,$F204))</f>
        <v>0.00644189814814815</v>
      </c>
      <c r="J204" s="12" t="n">
        <f aca="false">IF(INDEX(選手一覧!$G$5:$G$2736,$F204)="","",INDEX(選手一覧!$G$5:$G$2736,$F204))</f>
        <v>22</v>
      </c>
    </row>
    <row r="205" customFormat="false" ht="15" hidden="false" customHeight="false" outlineLevel="0" collapsed="false">
      <c r="A205" s="12" t="n">
        <v>202</v>
      </c>
      <c r="B205" s="8" t="s">
        <v>529</v>
      </c>
      <c r="C205" s="8" t="s">
        <v>530</v>
      </c>
      <c r="D205" s="11" t="n">
        <v>0.00278032407407407</v>
      </c>
      <c r="E205" s="39" t="n">
        <f aca="false">ROUND((D205-$D$5)*86400,2)</f>
        <v>15.19</v>
      </c>
      <c r="F205" s="12" t="n">
        <v>283</v>
      </c>
      <c r="G205" s="11" t="n">
        <f aca="false">IF(INDEX(選手一覧!$D$5:$D$2736,$F205)="","",INDEX(選手一覧!$D$5:$D$2736,$F205))</f>
        <v>0.0104189814814815</v>
      </c>
      <c r="H205" s="12" t="n">
        <f aca="false">IF(INDEX(選手一覧!$E$5:$E$2736,$F205)="","",INDEX(選手一覧!$E$5:$E$2736,$F205))</f>
        <v>284</v>
      </c>
      <c r="I205" s="11" t="str">
        <f aca="false">IF(INDEX(選手一覧!$F$5:$F$2736,$F205)="","",INDEX(選手一覧!$F$5:$F$2736,$F205))</f>
        <v/>
      </c>
      <c r="J205" s="12" t="str">
        <f aca="false">IF(INDEX(選手一覧!$G$5:$G$2736,$F205)="","",INDEX(選手一覧!$G$5:$G$2736,$F205))</f>
        <v/>
      </c>
    </row>
    <row r="206" customFormat="false" ht="15" hidden="false" customHeight="false" outlineLevel="0" collapsed="false">
      <c r="A206" s="12" t="n">
        <v>203</v>
      </c>
      <c r="B206" s="8" t="s">
        <v>1260</v>
      </c>
      <c r="C206" s="8" t="s">
        <v>207</v>
      </c>
      <c r="D206" s="11" t="n">
        <v>0.00278055555555556</v>
      </c>
      <c r="E206" s="39" t="n">
        <f aca="false">ROUND((D206-$D$5)*86400,2)</f>
        <v>15.21</v>
      </c>
      <c r="F206" s="12" t="n">
        <v>755</v>
      </c>
      <c r="G206" s="11" t="n">
        <f aca="false">IF(INDEX(選手一覧!$D$5:$D$2736,$F206)="","",INDEX(選手一覧!$D$5:$D$2736,$F206))</f>
        <v>0.0108065972222222</v>
      </c>
      <c r="H206" s="12" t="n">
        <f aca="false">IF(INDEX(選手一覧!$E$5:$E$2736,$F206)="","",INDEX(選手一覧!$E$5:$E$2736,$F206))</f>
        <v>756</v>
      </c>
      <c r="I206" s="11" t="str">
        <f aca="false">IF(INDEX(選手一覧!$F$5:$F$2736,$F206)="","",INDEX(選手一覧!$F$5:$F$2736,$F206))</f>
        <v/>
      </c>
      <c r="J206" s="12" t="str">
        <f aca="false">IF(INDEX(選手一覧!$G$5:$G$2736,$F206)="","",INDEX(選手一覧!$G$5:$G$2736,$F206))</f>
        <v/>
      </c>
    </row>
    <row r="207" customFormat="false" ht="15" hidden="false" customHeight="false" outlineLevel="0" collapsed="false">
      <c r="A207" s="12" t="n">
        <v>204</v>
      </c>
      <c r="B207" s="8" t="s">
        <v>1306</v>
      </c>
      <c r="C207" s="8" t="s">
        <v>1097</v>
      </c>
      <c r="D207" s="11" t="n">
        <v>0.00278055555555556</v>
      </c>
      <c r="E207" s="39" t="n">
        <f aca="false">ROUND((D207-$D$5)*86400,2)</f>
        <v>15.21</v>
      </c>
      <c r="F207" s="12" t="n">
        <v>791</v>
      </c>
      <c r="G207" s="11" t="n">
        <f aca="false">IF(INDEX(選手一覧!$D$5:$D$2736,$F207)="","",INDEX(選手一覧!$D$5:$D$2736,$F207))</f>
        <v>0.0108310185185185</v>
      </c>
      <c r="H207" s="12" t="n">
        <f aca="false">IF(INDEX(選手一覧!$E$5:$E$2736,$F207)="","",INDEX(選手一覧!$E$5:$E$2736,$F207))</f>
        <v>792</v>
      </c>
      <c r="I207" s="11" t="str">
        <f aca="false">IF(INDEX(選手一覧!$F$5:$F$2736,$F207)="","",INDEX(選手一覧!$F$5:$F$2736,$F207))</f>
        <v/>
      </c>
      <c r="J207" s="12" t="str">
        <f aca="false">IF(INDEX(選手一覧!$G$5:$G$2736,$F207)="","",INDEX(選手一覧!$G$5:$G$2736,$F207))</f>
        <v/>
      </c>
    </row>
    <row r="208" customFormat="false" ht="15" hidden="false" customHeight="false" outlineLevel="0" collapsed="false">
      <c r="A208" s="12" t="n">
        <v>205</v>
      </c>
      <c r="B208" s="8" t="s">
        <v>819</v>
      </c>
      <c r="C208" s="8" t="s">
        <v>179</v>
      </c>
      <c r="D208" s="11" t="n">
        <v>0.0027806712962963</v>
      </c>
      <c r="E208" s="39" t="n">
        <f aca="false">ROUND((D208-$D$5)*86400,2)</f>
        <v>15.22</v>
      </c>
      <c r="F208" s="12" t="n">
        <v>467</v>
      </c>
      <c r="G208" s="11" t="n">
        <f aca="false">IF(INDEX(選手一覧!$D$5:$D$2736,$F208)="","",INDEX(選手一覧!$D$5:$D$2736,$F208))</f>
        <v>0.0106052083333333</v>
      </c>
      <c r="H208" s="12" t="n">
        <f aca="false">IF(INDEX(選手一覧!$E$5:$E$2736,$F208)="","",INDEX(選手一覧!$E$5:$E$2736,$F208))</f>
        <v>468</v>
      </c>
      <c r="I208" s="11" t="n">
        <f aca="false">IF(INDEX(選手一覧!$F$5:$F$2736,$F208)="","",INDEX(選手一覧!$F$5:$F$2736,$F208))</f>
        <v>0.00659479166666667</v>
      </c>
      <c r="J208" s="12" t="n">
        <f aca="false">IF(INDEX(選手一覧!$G$5:$G$2736,$F208)="","",INDEX(選手一覧!$G$5:$G$2736,$F208))</f>
        <v>67</v>
      </c>
    </row>
    <row r="209" customFormat="false" ht="15" hidden="false" customHeight="false" outlineLevel="0" collapsed="false">
      <c r="A209" s="12" t="n">
        <v>206</v>
      </c>
      <c r="B209" s="8" t="s">
        <v>2121</v>
      </c>
      <c r="C209" s="8" t="s">
        <v>2122</v>
      </c>
      <c r="D209" s="11" t="n">
        <v>0.00278113425925926</v>
      </c>
      <c r="E209" s="39" t="n">
        <f aca="false">ROUND((D209-$D$5)*86400,2)</f>
        <v>15.26</v>
      </c>
      <c r="F209" s="12" t="n">
        <v>1351</v>
      </c>
      <c r="G209" s="11" t="str">
        <f aca="false">IF(INDEX(選手一覧!$D$5:$D$2736,$F209)="","",INDEX(選手一覧!$D$5:$D$2736,$F209))</f>
        <v/>
      </c>
      <c r="H209" s="12" t="str">
        <f aca="false">IF(INDEX(選手一覧!$E$5:$E$2736,$F209)="","",INDEX(選手一覧!$E$5:$E$2736,$F209))</f>
        <v/>
      </c>
      <c r="I209" s="11" t="str">
        <f aca="false">IF(INDEX(選手一覧!$F$5:$F$2736,$F209)="","",INDEX(選手一覧!$F$5:$F$2736,$F209))</f>
        <v/>
      </c>
      <c r="J209" s="12" t="str">
        <f aca="false">IF(INDEX(選手一覧!$G$5:$G$2736,$F209)="","",INDEX(選手一覧!$G$5:$G$2736,$F209))</f>
        <v/>
      </c>
    </row>
    <row r="210" customFormat="false" ht="15" hidden="false" customHeight="false" outlineLevel="0" collapsed="false">
      <c r="A210" s="12" t="n">
        <v>207</v>
      </c>
      <c r="B210" s="8" t="s">
        <v>1150</v>
      </c>
      <c r="C210" s="8" t="s">
        <v>588</v>
      </c>
      <c r="D210" s="11" t="n">
        <v>0.00278125</v>
      </c>
      <c r="E210" s="39" t="n">
        <f aca="false">ROUND((D210-$D$5)*86400,2)</f>
        <v>15.27</v>
      </c>
      <c r="F210" s="12" t="n">
        <v>685</v>
      </c>
      <c r="G210" s="11" t="n">
        <f aca="false">IF(INDEX(選手一覧!$D$5:$D$2736,$F210)="","",INDEX(選手一覧!$D$5:$D$2736,$F210))</f>
        <v>0.0107627314814815</v>
      </c>
      <c r="H210" s="12" t="n">
        <f aca="false">IF(INDEX(選手一覧!$E$5:$E$2736,$F210)="","",INDEX(選手一覧!$E$5:$E$2736,$F210))</f>
        <v>686</v>
      </c>
      <c r="I210" s="11" t="str">
        <f aca="false">IF(INDEX(選手一覧!$F$5:$F$2736,$F210)="","",INDEX(選手一覧!$F$5:$F$2736,$F210))</f>
        <v/>
      </c>
      <c r="J210" s="12" t="str">
        <f aca="false">IF(INDEX(選手一覧!$G$5:$G$2736,$F210)="","",INDEX(選手一覧!$G$5:$G$2736,$F210))</f>
        <v/>
      </c>
    </row>
    <row r="211" customFormat="false" ht="15" hidden="false" customHeight="false" outlineLevel="0" collapsed="false">
      <c r="A211" s="12" t="n">
        <v>208</v>
      </c>
      <c r="B211" s="8" t="s">
        <v>510</v>
      </c>
      <c r="C211" s="8" t="s">
        <v>309</v>
      </c>
      <c r="D211" s="11" t="n">
        <v>0.00278125</v>
      </c>
      <c r="E211" s="39" t="n">
        <f aca="false">ROUND((D211-$D$5)*86400,2)</f>
        <v>15.27</v>
      </c>
      <c r="F211" s="12" t="n">
        <v>272</v>
      </c>
      <c r="G211" s="11" t="n">
        <f aca="false">IF(INDEX(選手一覧!$D$5:$D$2736,$F211)="","",INDEX(選手一覧!$D$5:$D$2736,$F211))</f>
        <v>0.0104087962962963</v>
      </c>
      <c r="H211" s="12" t="n">
        <f aca="false">IF(INDEX(選手一覧!$E$5:$E$2736,$F211)="","",INDEX(選手一覧!$E$5:$E$2736,$F211))</f>
        <v>273</v>
      </c>
      <c r="I211" s="11" t="str">
        <f aca="false">IF(INDEX(選手一覧!$F$5:$F$2736,$F211)="","",INDEX(選手一覧!$F$5:$F$2736,$F211))</f>
        <v/>
      </c>
      <c r="J211" s="12" t="str">
        <f aca="false">IF(INDEX(選手一覧!$G$5:$G$2736,$F211)="","",INDEX(選手一覧!$G$5:$G$2736,$F211))</f>
        <v/>
      </c>
    </row>
    <row r="212" customFormat="false" ht="15" hidden="false" customHeight="false" outlineLevel="0" collapsed="false">
      <c r="A212" s="21" t="n">
        <v>209</v>
      </c>
      <c r="B212" s="17" t="s">
        <v>27</v>
      </c>
      <c r="C212" s="17" t="s">
        <v>28</v>
      </c>
      <c r="D212" s="20" t="n">
        <v>0.00278136574074074</v>
      </c>
      <c r="E212" s="40" t="n">
        <f aca="false">ROUND((D212-$D$5)*86400,2)</f>
        <v>15.28</v>
      </c>
      <c r="F212" s="21" t="n">
        <v>6</v>
      </c>
      <c r="G212" s="20" t="n">
        <f aca="false">IF(INDEX(選手一覧!$D$5:$D$2736,$F212)="","",INDEX(選手一覧!$D$5:$D$2736,$F212))</f>
        <v>0.00975914351851852</v>
      </c>
      <c r="H212" s="21" t="n">
        <f aca="false">IF(INDEX(選手一覧!$E$5:$E$2736,$F212)="","",INDEX(選手一覧!$E$5:$E$2736,$F212))</f>
        <v>6</v>
      </c>
      <c r="I212" s="20" t="n">
        <f aca="false">IF(INDEX(選手一覧!$F$5:$F$2736,$F212)="","",INDEX(選手一覧!$F$5:$F$2736,$F212))</f>
        <v>0.00626909722222222</v>
      </c>
      <c r="J212" s="21" t="n">
        <f aca="false">IF(INDEX(選手一覧!$G$5:$G$2736,$F212)="","",INDEX(選手一覧!$G$5:$G$2736,$F212))</f>
        <v>2</v>
      </c>
    </row>
    <row r="213" customFormat="false" ht="15" hidden="false" customHeight="false" outlineLevel="0" collapsed="false">
      <c r="A213" s="12" t="n">
        <v>210</v>
      </c>
      <c r="B213" s="8" t="s">
        <v>547</v>
      </c>
      <c r="C213" s="8" t="s">
        <v>64</v>
      </c>
      <c r="D213" s="11" t="n">
        <v>0.00278194444444445</v>
      </c>
      <c r="E213" s="39" t="n">
        <f aca="false">ROUND((D213-$D$5)*86400,2)</f>
        <v>15.33</v>
      </c>
      <c r="F213" s="12" t="n">
        <v>295</v>
      </c>
      <c r="G213" s="11" t="n">
        <f aca="false">IF(INDEX(選手一覧!$D$5:$D$2736,$F213)="","",INDEX(選手一覧!$D$5:$D$2736,$F213))</f>
        <v>0.0104322916666667</v>
      </c>
      <c r="H213" s="12" t="n">
        <f aca="false">IF(INDEX(選手一覧!$E$5:$E$2736,$F213)="","",INDEX(選手一覧!$E$5:$E$2736,$F213))</f>
        <v>296</v>
      </c>
      <c r="I213" s="11" t="str">
        <f aca="false">IF(INDEX(選手一覧!$F$5:$F$2736,$F213)="","",INDEX(選手一覧!$F$5:$F$2736,$F213))</f>
        <v/>
      </c>
      <c r="J213" s="12" t="str">
        <f aca="false">IF(INDEX(選手一覧!$G$5:$G$2736,$F213)="","",INDEX(選手一覧!$G$5:$G$2736,$F213))</f>
        <v/>
      </c>
    </row>
    <row r="214" customFormat="false" ht="15" hidden="false" customHeight="false" outlineLevel="0" collapsed="false">
      <c r="A214" s="12" t="n">
        <v>211</v>
      </c>
      <c r="B214" s="8" t="s">
        <v>2125</v>
      </c>
      <c r="C214" s="8" t="s">
        <v>160</v>
      </c>
      <c r="D214" s="11" t="n">
        <v>0.00278240740740741</v>
      </c>
      <c r="E214" s="39" t="n">
        <f aca="false">ROUND((D214-$D$5)*86400,2)</f>
        <v>15.37</v>
      </c>
      <c r="F214" s="12" t="n">
        <v>1353</v>
      </c>
      <c r="G214" s="11" t="str">
        <f aca="false">IF(INDEX(選手一覧!$D$5:$D$2736,$F214)="","",INDEX(選手一覧!$D$5:$D$2736,$F214))</f>
        <v/>
      </c>
      <c r="H214" s="12" t="str">
        <f aca="false">IF(INDEX(選手一覧!$E$5:$E$2736,$F214)="","",INDEX(選手一覧!$E$5:$E$2736,$F214))</f>
        <v/>
      </c>
      <c r="I214" s="11" t="str">
        <f aca="false">IF(INDEX(選手一覧!$F$5:$F$2736,$F214)="","",INDEX(選手一覧!$F$5:$F$2736,$F214))</f>
        <v/>
      </c>
      <c r="J214" s="12" t="str">
        <f aca="false">IF(INDEX(選手一覧!$G$5:$G$2736,$F214)="","",INDEX(選手一覧!$G$5:$G$2736,$F214))</f>
        <v/>
      </c>
    </row>
    <row r="215" customFormat="false" ht="15" hidden="false" customHeight="false" outlineLevel="0" collapsed="false">
      <c r="A215" s="12" t="n">
        <v>212</v>
      </c>
      <c r="B215" s="8" t="s">
        <v>330</v>
      </c>
      <c r="C215" s="8" t="s">
        <v>160</v>
      </c>
      <c r="D215" s="11" t="n">
        <v>0.00278275462962963</v>
      </c>
      <c r="E215" s="39" t="n">
        <f aca="false">ROUND((D215-$D$5)*86400,2)</f>
        <v>15.4</v>
      </c>
      <c r="F215" s="12" t="n">
        <v>162</v>
      </c>
      <c r="G215" s="11" t="n">
        <f aca="false">IF(INDEX(選手一覧!$D$5:$D$2736,$F215)="","",INDEX(選手一覧!$D$5:$D$2736,$F215))</f>
        <v>0.0103019675925926</v>
      </c>
      <c r="H215" s="12" t="n">
        <f aca="false">IF(INDEX(選手一覧!$E$5:$E$2736,$F215)="","",INDEX(選手一覧!$E$5:$E$2736,$F215))</f>
        <v>163</v>
      </c>
      <c r="I215" s="11" t="n">
        <f aca="false">IF(INDEX(選手一覧!$F$5:$F$2736,$F215)="","",INDEX(選手一覧!$F$5:$F$2736,$F215))</f>
        <v>0.00693576388888889</v>
      </c>
      <c r="J215" s="12" t="n">
        <f aca="false">IF(INDEX(選手一覧!$G$5:$G$2736,$F215)="","",INDEX(選手一覧!$G$5:$G$2736,$F215))</f>
        <v>278</v>
      </c>
    </row>
    <row r="216" customFormat="false" ht="15" hidden="false" customHeight="false" outlineLevel="0" collapsed="false">
      <c r="A216" s="12" t="n">
        <v>213</v>
      </c>
      <c r="B216" s="8" t="s">
        <v>902</v>
      </c>
      <c r="C216" s="8" t="s">
        <v>903</v>
      </c>
      <c r="D216" s="11" t="n">
        <v>0.00278333333333333</v>
      </c>
      <c r="E216" s="39" t="n">
        <f aca="false">ROUND((D216-$D$5)*86400,2)</f>
        <v>15.45</v>
      </c>
      <c r="F216" s="12" t="n">
        <v>517</v>
      </c>
      <c r="G216" s="11" t="n">
        <f aca="false">IF(INDEX(選手一覧!$D$5:$D$2736,$F216)="","",INDEX(選手一覧!$D$5:$D$2736,$F216))</f>
        <v>0.0106444444444444</v>
      </c>
      <c r="H216" s="12" t="n">
        <f aca="false">IF(INDEX(選手一覧!$E$5:$E$2736,$F216)="","",INDEX(選手一覧!$E$5:$E$2736,$F216))</f>
        <v>518</v>
      </c>
      <c r="I216" s="11" t="n">
        <f aca="false">IF(INDEX(選手一覧!$F$5:$F$2736,$F216)="","",INDEX(選手一覧!$F$5:$F$2736,$F216))</f>
        <v>0.00697905092592593</v>
      </c>
      <c r="J216" s="12" t="n">
        <f aca="false">IF(INDEX(選手一覧!$G$5:$G$2736,$F216)="","",INDEX(選手一覧!$G$5:$G$2736,$F216))</f>
        <v>311</v>
      </c>
    </row>
    <row r="217" customFormat="false" ht="15" hidden="false" customHeight="false" outlineLevel="0" collapsed="false">
      <c r="A217" s="12" t="n">
        <v>214</v>
      </c>
      <c r="B217" s="8" t="s">
        <v>1198</v>
      </c>
      <c r="C217" s="8" t="s">
        <v>612</v>
      </c>
      <c r="D217" s="11" t="n">
        <v>0.00278356481481482</v>
      </c>
      <c r="E217" s="39" t="n">
        <f aca="false">ROUND((D217-$D$5)*86400,2)</f>
        <v>15.47</v>
      </c>
      <c r="F217" s="12" t="n">
        <v>717</v>
      </c>
      <c r="G217" s="11" t="n">
        <f aca="false">IF(INDEX(選手一覧!$D$5:$D$2736,$F217)="","",INDEX(選手一覧!$D$5:$D$2736,$F217))</f>
        <v>0.0107881944444444</v>
      </c>
      <c r="H217" s="12" t="n">
        <f aca="false">IF(INDEX(選手一覧!$E$5:$E$2736,$F217)="","",INDEX(選手一覧!$E$5:$E$2736,$F217))</f>
        <v>718</v>
      </c>
      <c r="I217" s="11" t="n">
        <f aca="false">IF(INDEX(選手一覧!$F$5:$F$2736,$F217)="","",INDEX(選手一覧!$F$5:$F$2736,$F217))</f>
        <v>0.00738912037037037</v>
      </c>
      <c r="J217" s="12" t="n">
        <f aca="false">IF(INDEX(選手一覧!$G$5:$G$2736,$F217)="","",INDEX(選手一覧!$G$5:$G$2736,$F217))</f>
        <v>760</v>
      </c>
    </row>
    <row r="218" customFormat="false" ht="15" hidden="false" customHeight="false" outlineLevel="0" collapsed="false">
      <c r="A218" s="12" t="n">
        <v>215</v>
      </c>
      <c r="B218" s="8" t="s">
        <v>282</v>
      </c>
      <c r="C218" s="8" t="s">
        <v>283</v>
      </c>
      <c r="D218" s="11" t="n">
        <v>0.0027837962962963</v>
      </c>
      <c r="E218" s="39" t="n">
        <f aca="false">ROUND((D218-$D$5)*86400,2)</f>
        <v>15.49</v>
      </c>
      <c r="F218" s="12" t="n">
        <v>137</v>
      </c>
      <c r="G218" s="11" t="n">
        <f aca="false">IF(INDEX(選手一覧!$D$5:$D$2736,$F218)="","",INDEX(選手一覧!$D$5:$D$2736,$F218))</f>
        <v>0.010269212962963</v>
      </c>
      <c r="H218" s="12" t="n">
        <f aca="false">IF(INDEX(選手一覧!$E$5:$E$2736,$F218)="","",INDEX(選手一覧!$E$5:$E$2736,$F218))</f>
        <v>138</v>
      </c>
      <c r="I218" s="11" t="str">
        <f aca="false">IF(INDEX(選手一覧!$F$5:$F$2736,$F218)="","",INDEX(選手一覧!$F$5:$F$2736,$F218))</f>
        <v/>
      </c>
      <c r="J218" s="12" t="str">
        <f aca="false">IF(INDEX(選手一覧!$G$5:$G$2736,$F218)="","",INDEX(選手一覧!$G$5:$G$2736,$F218))</f>
        <v/>
      </c>
    </row>
    <row r="219" customFormat="false" ht="15" hidden="false" customHeight="false" outlineLevel="0" collapsed="false">
      <c r="A219" s="12" t="n">
        <v>216</v>
      </c>
      <c r="B219" s="8" t="s">
        <v>343</v>
      </c>
      <c r="C219" s="8" t="s">
        <v>344</v>
      </c>
      <c r="D219" s="11" t="n">
        <v>0.00278391203703704</v>
      </c>
      <c r="E219" s="39" t="n">
        <f aca="false">ROUND((D219-$D$5)*86400,2)</f>
        <v>15.5</v>
      </c>
      <c r="F219" s="12" t="n">
        <v>169</v>
      </c>
      <c r="G219" s="11" t="n">
        <f aca="false">IF(INDEX(選手一覧!$D$5:$D$2736,$F219)="","",INDEX(選手一覧!$D$5:$D$2736,$F219))</f>
        <v>0.0103172453703704</v>
      </c>
      <c r="H219" s="12" t="n">
        <f aca="false">IF(INDEX(選手一覧!$E$5:$E$2736,$F219)="","",INDEX(選手一覧!$E$5:$E$2736,$F219))</f>
        <v>170</v>
      </c>
      <c r="I219" s="11" t="n">
        <f aca="false">IF(INDEX(選手一覧!$F$5:$F$2736,$F219)="","",INDEX(選手一覧!$F$5:$F$2736,$F219))</f>
        <v>0.00654826388888889</v>
      </c>
      <c r="J219" s="12" t="n">
        <f aca="false">IF(INDEX(選手一覧!$G$5:$G$2736,$F219)="","",INDEX(選手一覧!$G$5:$G$2736,$F219))</f>
        <v>45</v>
      </c>
    </row>
    <row r="220" customFormat="false" ht="15" hidden="false" customHeight="false" outlineLevel="0" collapsed="false">
      <c r="A220" s="12" t="n">
        <v>217</v>
      </c>
      <c r="B220" s="8" t="s">
        <v>520</v>
      </c>
      <c r="C220" s="8" t="s">
        <v>341</v>
      </c>
      <c r="D220" s="11" t="n">
        <v>0.00278425925925926</v>
      </c>
      <c r="E220" s="39" t="n">
        <f aca="false">ROUND((D220-$D$5)*86400,2)</f>
        <v>15.53</v>
      </c>
      <c r="F220" s="12" t="n">
        <v>278</v>
      </c>
      <c r="G220" s="11" t="n">
        <f aca="false">IF(INDEX(選手一覧!$D$5:$D$2736,$F220)="","",INDEX(選手一覧!$D$5:$D$2736,$F220))</f>
        <v>0.0104118055555556</v>
      </c>
      <c r="H220" s="12" t="n">
        <f aca="false">IF(INDEX(選手一覧!$E$5:$E$2736,$F220)="","",INDEX(選手一覧!$E$5:$E$2736,$F220))</f>
        <v>279</v>
      </c>
      <c r="I220" s="11" t="n">
        <f aca="false">IF(INDEX(選手一覧!$F$5:$F$2736,$F220)="","",INDEX(選手一覧!$F$5:$F$2736,$F220))</f>
        <v>0.00650740740740741</v>
      </c>
      <c r="J220" s="12" t="n">
        <f aca="false">IF(INDEX(選手一覧!$G$5:$G$2736,$F220)="","",INDEX(選手一覧!$G$5:$G$2736,$F220))</f>
        <v>38</v>
      </c>
    </row>
    <row r="221" customFormat="false" ht="15" hidden="false" customHeight="false" outlineLevel="0" collapsed="false">
      <c r="A221" s="12" t="n">
        <v>218</v>
      </c>
      <c r="B221" s="8" t="s">
        <v>809</v>
      </c>
      <c r="C221" s="8" t="s">
        <v>810</v>
      </c>
      <c r="D221" s="11" t="n">
        <v>0.0027849537037037</v>
      </c>
      <c r="E221" s="39" t="n">
        <f aca="false">ROUND((D221-$D$5)*86400,2)</f>
        <v>15.59</v>
      </c>
      <c r="F221" s="12" t="n">
        <v>461</v>
      </c>
      <c r="G221" s="11" t="n">
        <f aca="false">IF(INDEX(選手一覧!$D$5:$D$2736,$F221)="","",INDEX(選手一覧!$D$5:$D$2736,$F221))</f>
        <v>0.0105994212962963</v>
      </c>
      <c r="H221" s="12" t="n">
        <f aca="false">IF(INDEX(選手一覧!$E$5:$E$2736,$F221)="","",INDEX(選手一覧!$E$5:$E$2736,$F221))</f>
        <v>462</v>
      </c>
      <c r="I221" s="11" t="str">
        <f aca="false">IF(INDEX(選手一覧!$F$5:$F$2736,$F221)="","",INDEX(選手一覧!$F$5:$F$2736,$F221))</f>
        <v/>
      </c>
      <c r="J221" s="12" t="str">
        <f aca="false">IF(INDEX(選手一覧!$G$5:$G$2736,$F221)="","",INDEX(選手一覧!$G$5:$G$2736,$F221))</f>
        <v/>
      </c>
    </row>
    <row r="222" customFormat="false" ht="15" hidden="false" customHeight="false" outlineLevel="0" collapsed="false">
      <c r="A222" s="12" t="n">
        <v>219</v>
      </c>
      <c r="B222" s="8" t="s">
        <v>1474</v>
      </c>
      <c r="C222" s="8" t="s">
        <v>1475</v>
      </c>
      <c r="D222" s="11" t="n">
        <v>0.00278506944444444</v>
      </c>
      <c r="E222" s="39" t="n">
        <f aca="false">ROUND((D222-$D$5)*86400,2)</f>
        <v>15.6</v>
      </c>
      <c r="F222" s="12" t="n">
        <v>899</v>
      </c>
      <c r="G222" s="11" t="n">
        <f aca="false">IF(INDEX(選手一覧!$D$5:$D$2736,$F222)="","",INDEX(選手一覧!$D$5:$D$2736,$F222))</f>
        <v>0.0108844907407407</v>
      </c>
      <c r="H222" s="12" t="n">
        <f aca="false">IF(INDEX(選手一覧!$E$5:$E$2736,$F222)="","",INDEX(選手一覧!$E$5:$E$2736,$F222))</f>
        <v>900</v>
      </c>
      <c r="I222" s="11" t="str">
        <f aca="false">IF(INDEX(選手一覧!$F$5:$F$2736,$F222)="","",INDEX(選手一覧!$F$5:$F$2736,$F222))</f>
        <v/>
      </c>
      <c r="J222" s="12" t="str">
        <f aca="false">IF(INDEX(選手一覧!$G$5:$G$2736,$F222)="","",INDEX(選手一覧!$G$5:$G$2736,$F222))</f>
        <v/>
      </c>
    </row>
    <row r="223" customFormat="false" ht="15" hidden="false" customHeight="false" outlineLevel="0" collapsed="false">
      <c r="A223" s="12" t="n">
        <v>220</v>
      </c>
      <c r="B223" s="8" t="s">
        <v>2132</v>
      </c>
      <c r="C223" s="8" t="s">
        <v>1496</v>
      </c>
      <c r="D223" s="11" t="n">
        <v>0.00278564814814815</v>
      </c>
      <c r="E223" s="39" t="n">
        <f aca="false">ROUND((D223-$D$5)*86400,2)</f>
        <v>15.65</v>
      </c>
      <c r="F223" s="12" t="n">
        <v>1357</v>
      </c>
      <c r="G223" s="11" t="str">
        <f aca="false">IF(INDEX(選手一覧!$D$5:$D$2736,$F223)="","",INDEX(選手一覧!$D$5:$D$2736,$F223))</f>
        <v/>
      </c>
      <c r="H223" s="12" t="str">
        <f aca="false">IF(INDEX(選手一覧!$E$5:$E$2736,$F223)="","",INDEX(選手一覧!$E$5:$E$2736,$F223))</f>
        <v/>
      </c>
      <c r="I223" s="11" t="n">
        <f aca="false">IF(INDEX(選手一覧!$F$5:$F$2736,$F223)="","",INDEX(選手一覧!$F$5:$F$2736,$F223))</f>
        <v>0.00692916666666667</v>
      </c>
      <c r="J223" s="12" t="n">
        <f aca="false">IF(INDEX(選手一覧!$G$5:$G$2736,$F223)="","",INDEX(選手一覧!$G$5:$G$2736,$F223))</f>
        <v>271</v>
      </c>
    </row>
    <row r="224" customFormat="false" ht="15" hidden="false" customHeight="false" outlineLevel="0" collapsed="false">
      <c r="A224" s="12" t="n">
        <v>221</v>
      </c>
      <c r="B224" s="8" t="s">
        <v>1521</v>
      </c>
      <c r="C224" s="8" t="s">
        <v>1134</v>
      </c>
      <c r="D224" s="11" t="n">
        <v>0.00278599537037037</v>
      </c>
      <c r="E224" s="39" t="n">
        <f aca="false">ROUND((D224-$D$5)*86400,2)</f>
        <v>15.68</v>
      </c>
      <c r="F224" s="12" t="n">
        <v>929</v>
      </c>
      <c r="G224" s="11" t="n">
        <f aca="false">IF(INDEX(選手一覧!$D$5:$D$2736,$F224)="","",INDEX(選手一覧!$D$5:$D$2736,$F224))</f>
        <v>0.0109063657407407</v>
      </c>
      <c r="H224" s="12" t="n">
        <f aca="false">IF(INDEX(選手一覧!$E$5:$E$2736,$F224)="","",INDEX(選手一覧!$E$5:$E$2736,$F224))</f>
        <v>930</v>
      </c>
      <c r="I224" s="11" t="str">
        <f aca="false">IF(INDEX(選手一覧!$F$5:$F$2736,$F224)="","",INDEX(選手一覧!$F$5:$F$2736,$F224))</f>
        <v/>
      </c>
      <c r="J224" s="12" t="str">
        <f aca="false">IF(INDEX(選手一覧!$G$5:$G$2736,$F224)="","",INDEX(選手一覧!$G$5:$G$2736,$F224))</f>
        <v/>
      </c>
    </row>
    <row r="225" customFormat="false" ht="15" hidden="false" customHeight="false" outlineLevel="0" collapsed="false">
      <c r="A225" s="12" t="n">
        <v>222</v>
      </c>
      <c r="B225" s="8" t="s">
        <v>682</v>
      </c>
      <c r="C225" s="8" t="s">
        <v>683</v>
      </c>
      <c r="D225" s="11" t="n">
        <v>0.00278622685185185</v>
      </c>
      <c r="E225" s="39" t="n">
        <f aca="false">ROUND((D225-$D$5)*86400,2)</f>
        <v>15.7</v>
      </c>
      <c r="F225" s="12" t="n">
        <v>379</v>
      </c>
      <c r="G225" s="11" t="n">
        <f aca="false">IF(INDEX(選手一覧!$D$5:$D$2736,$F225)="","",INDEX(選手一覧!$D$5:$D$2736,$F225))</f>
        <v>0.0105354166666667</v>
      </c>
      <c r="H225" s="12" t="n">
        <f aca="false">IF(INDEX(選手一覧!$E$5:$E$2736,$F225)="","",INDEX(選手一覧!$E$5:$E$2736,$F225))</f>
        <v>380</v>
      </c>
      <c r="I225" s="11" t="str">
        <f aca="false">IF(INDEX(選手一覧!$F$5:$F$2736,$F225)="","",INDEX(選手一覧!$F$5:$F$2736,$F225))</f>
        <v/>
      </c>
      <c r="J225" s="12" t="str">
        <f aca="false">IF(INDEX(選手一覧!$G$5:$G$2736,$F225)="","",INDEX(選手一覧!$G$5:$G$2736,$F225))</f>
        <v/>
      </c>
    </row>
    <row r="226" customFormat="false" ht="15" hidden="false" customHeight="false" outlineLevel="0" collapsed="false">
      <c r="A226" s="12" t="n">
        <v>223</v>
      </c>
      <c r="B226" s="8" t="s">
        <v>1421</v>
      </c>
      <c r="C226" s="8" t="s">
        <v>1422</v>
      </c>
      <c r="D226" s="11" t="n">
        <v>0.00278645833333333</v>
      </c>
      <c r="E226" s="39" t="n">
        <f aca="false">ROUND((D226-$D$5)*86400,2)</f>
        <v>15.72</v>
      </c>
      <c r="F226" s="12" t="n">
        <v>865</v>
      </c>
      <c r="G226" s="11" t="n">
        <f aca="false">IF(INDEX(選手一覧!$D$5:$D$2736,$F226)="","",INDEX(選手一覧!$D$5:$D$2736,$F226))</f>
        <v>0.0108675925925926</v>
      </c>
      <c r="H226" s="12" t="n">
        <f aca="false">IF(INDEX(選手一覧!$E$5:$E$2736,$F226)="","",INDEX(選手一覧!$E$5:$E$2736,$F226))</f>
        <v>866</v>
      </c>
      <c r="I226" s="11" t="str">
        <f aca="false">IF(INDEX(選手一覧!$F$5:$F$2736,$F226)="","",INDEX(選手一覧!$F$5:$F$2736,$F226))</f>
        <v/>
      </c>
      <c r="J226" s="12" t="str">
        <f aca="false">IF(INDEX(選手一覧!$G$5:$G$2736,$F226)="","",INDEX(選手一覧!$G$5:$G$2736,$F226))</f>
        <v/>
      </c>
    </row>
    <row r="227" customFormat="false" ht="15" hidden="false" customHeight="false" outlineLevel="0" collapsed="false">
      <c r="A227" s="12" t="n">
        <v>224</v>
      </c>
      <c r="B227" s="8" t="s">
        <v>2137</v>
      </c>
      <c r="C227" s="8" t="s">
        <v>1222</v>
      </c>
      <c r="D227" s="11" t="n">
        <v>0.00278645833333333</v>
      </c>
      <c r="E227" s="39" t="n">
        <f aca="false">ROUND((D227-$D$5)*86400,2)</f>
        <v>15.72</v>
      </c>
      <c r="F227" s="12" t="n">
        <v>1361</v>
      </c>
      <c r="G227" s="11" t="str">
        <f aca="false">IF(INDEX(選手一覧!$D$5:$D$2736,$F227)="","",INDEX(選手一覧!$D$5:$D$2736,$F227))</f>
        <v/>
      </c>
      <c r="H227" s="12" t="str">
        <f aca="false">IF(INDEX(選手一覧!$E$5:$E$2736,$F227)="","",INDEX(選手一覧!$E$5:$E$2736,$F227))</f>
        <v/>
      </c>
      <c r="I227" s="11" t="str">
        <f aca="false">IF(INDEX(選手一覧!$F$5:$F$2736,$F227)="","",INDEX(選手一覧!$F$5:$F$2736,$F227))</f>
        <v/>
      </c>
      <c r="J227" s="12" t="str">
        <f aca="false">IF(INDEX(選手一覧!$G$5:$G$2736,$F227)="","",INDEX(選手一覧!$G$5:$G$2736,$F227))</f>
        <v/>
      </c>
    </row>
    <row r="228" customFormat="false" ht="15" hidden="false" customHeight="false" outlineLevel="0" collapsed="false">
      <c r="A228" s="12" t="n">
        <v>225</v>
      </c>
      <c r="B228" s="8" t="s">
        <v>2138</v>
      </c>
      <c r="C228" s="8" t="s">
        <v>1042</v>
      </c>
      <c r="D228" s="11" t="n">
        <v>0.00278668981481482</v>
      </c>
      <c r="E228" s="39" t="n">
        <f aca="false">ROUND((D228-$D$5)*86400,2)</f>
        <v>15.74</v>
      </c>
      <c r="F228" s="12" t="n">
        <v>1362</v>
      </c>
      <c r="G228" s="11" t="str">
        <f aca="false">IF(INDEX(選手一覧!$D$5:$D$2736,$F228)="","",INDEX(選手一覧!$D$5:$D$2736,$F228))</f>
        <v/>
      </c>
      <c r="H228" s="12" t="str">
        <f aca="false">IF(INDEX(選手一覧!$E$5:$E$2736,$F228)="","",INDEX(選手一覧!$E$5:$E$2736,$F228))</f>
        <v/>
      </c>
      <c r="I228" s="11" t="n">
        <f aca="false">IF(INDEX(選手一覧!$F$5:$F$2736,$F228)="","",INDEX(選手一覧!$F$5:$F$2736,$F228))</f>
        <v>0.00802141203703704</v>
      </c>
      <c r="J228" s="12" t="n">
        <f aca="false">IF(INDEX(選手一覧!$G$5:$G$2736,$F228)="","",INDEX(選手一覧!$G$5:$G$2736,$F228))</f>
        <v>1195</v>
      </c>
    </row>
    <row r="229" customFormat="false" ht="15" hidden="false" customHeight="false" outlineLevel="0" collapsed="false">
      <c r="A229" s="12" t="n">
        <v>226</v>
      </c>
      <c r="B229" s="8" t="s">
        <v>2140</v>
      </c>
      <c r="C229" s="8" t="s">
        <v>2141</v>
      </c>
      <c r="D229" s="11" t="n">
        <v>0.00278668981481482</v>
      </c>
      <c r="E229" s="39" t="n">
        <f aca="false">ROUND((D229-$D$5)*86400,2)</f>
        <v>15.74</v>
      </c>
      <c r="F229" s="12" t="n">
        <v>1364</v>
      </c>
      <c r="G229" s="11" t="str">
        <f aca="false">IF(INDEX(選手一覧!$D$5:$D$2736,$F229)="","",INDEX(選手一覧!$D$5:$D$2736,$F229))</f>
        <v/>
      </c>
      <c r="H229" s="12" t="str">
        <f aca="false">IF(INDEX(選手一覧!$E$5:$E$2736,$F229)="","",INDEX(選手一覧!$E$5:$E$2736,$F229))</f>
        <v/>
      </c>
      <c r="I229" s="11" t="str">
        <f aca="false">IF(INDEX(選手一覧!$F$5:$F$2736,$F229)="","",INDEX(選手一覧!$F$5:$F$2736,$F229))</f>
        <v/>
      </c>
      <c r="J229" s="12" t="str">
        <f aca="false">IF(INDEX(選手一覧!$G$5:$G$2736,$F229)="","",INDEX(選手一覧!$G$5:$G$2736,$F229))</f>
        <v/>
      </c>
    </row>
    <row r="230" customFormat="false" ht="15" hidden="false" customHeight="false" outlineLevel="0" collapsed="false">
      <c r="A230" s="12" t="n">
        <v>227</v>
      </c>
      <c r="B230" s="8" t="s">
        <v>389</v>
      </c>
      <c r="C230" s="8" t="s">
        <v>390</v>
      </c>
      <c r="D230" s="11" t="n">
        <v>0.00278680555555556</v>
      </c>
      <c r="E230" s="39" t="n">
        <f aca="false">ROUND((D230-$D$5)*86400,2)</f>
        <v>15.75</v>
      </c>
      <c r="F230" s="12" t="n">
        <v>197</v>
      </c>
      <c r="G230" s="11" t="n">
        <f aca="false">IF(INDEX(選手一覧!$D$5:$D$2736,$F230)="","",INDEX(選手一覧!$D$5:$D$2736,$F230))</f>
        <v>0.0103467592592593</v>
      </c>
      <c r="H230" s="12" t="n">
        <f aca="false">IF(INDEX(選手一覧!$E$5:$E$2736,$F230)="","",INDEX(選手一覧!$E$5:$E$2736,$F230))</f>
        <v>198</v>
      </c>
      <c r="I230" s="11" t="str">
        <f aca="false">IF(INDEX(選手一覧!$F$5:$F$2736,$F230)="","",INDEX(選手一覧!$F$5:$F$2736,$F230))</f>
        <v/>
      </c>
      <c r="J230" s="12" t="str">
        <f aca="false">IF(INDEX(選手一覧!$G$5:$G$2736,$F230)="","",INDEX(選手一覧!$G$5:$G$2736,$F230))</f>
        <v/>
      </c>
    </row>
    <row r="231" customFormat="false" ht="15" hidden="false" customHeight="false" outlineLevel="0" collapsed="false">
      <c r="A231" s="12" t="n">
        <v>228</v>
      </c>
      <c r="B231" s="8" t="s">
        <v>2142</v>
      </c>
      <c r="C231" s="8" t="s">
        <v>2143</v>
      </c>
      <c r="D231" s="11" t="n">
        <v>0.00278680555555556</v>
      </c>
      <c r="E231" s="39" t="n">
        <f aca="false">ROUND((D231-$D$5)*86400,2)</f>
        <v>15.75</v>
      </c>
      <c r="F231" s="12" t="n">
        <v>1365</v>
      </c>
      <c r="G231" s="11" t="str">
        <f aca="false">IF(INDEX(選手一覧!$D$5:$D$2736,$F231)="","",INDEX(選手一覧!$D$5:$D$2736,$F231))</f>
        <v/>
      </c>
      <c r="H231" s="12" t="str">
        <f aca="false">IF(INDEX(選手一覧!$E$5:$E$2736,$F231)="","",INDEX(選手一覧!$E$5:$E$2736,$F231))</f>
        <v/>
      </c>
      <c r="I231" s="11" t="n">
        <f aca="false">IF(INDEX(選手一覧!$F$5:$F$2736,$F231)="","",INDEX(選手一覧!$F$5:$F$2736,$F231))</f>
        <v>0.006915625</v>
      </c>
      <c r="J231" s="12" t="n">
        <f aca="false">IF(INDEX(選手一覧!$G$5:$G$2736,$F231)="","",INDEX(選手一覧!$G$5:$G$2736,$F231))</f>
        <v>251</v>
      </c>
    </row>
    <row r="232" customFormat="false" ht="15" hidden="false" customHeight="false" outlineLevel="0" collapsed="false">
      <c r="A232" s="12" t="n">
        <v>229</v>
      </c>
      <c r="B232" s="8" t="s">
        <v>1522</v>
      </c>
      <c r="C232" s="8" t="s">
        <v>903</v>
      </c>
      <c r="D232" s="11" t="n">
        <v>0.00278680555555556</v>
      </c>
      <c r="E232" s="39" t="n">
        <f aca="false">ROUND((D232-$D$5)*86400,2)</f>
        <v>15.75</v>
      </c>
      <c r="F232" s="12" t="n">
        <v>930</v>
      </c>
      <c r="G232" s="11" t="n">
        <f aca="false">IF(INDEX(選手一覧!$D$5:$D$2736,$F232)="","",INDEX(選手一覧!$D$5:$D$2736,$F232))</f>
        <v>0.0109069444444444</v>
      </c>
      <c r="H232" s="12" t="n">
        <f aca="false">IF(INDEX(選手一覧!$E$5:$E$2736,$F232)="","",INDEX(選手一覧!$E$5:$E$2736,$F232))</f>
        <v>931</v>
      </c>
      <c r="I232" s="11" t="n">
        <f aca="false">IF(INDEX(選手一覧!$F$5:$F$2736,$F232)="","",INDEX(選手一覧!$F$5:$F$2736,$F232))</f>
        <v>0.00685810185185185</v>
      </c>
      <c r="J232" s="12" t="n">
        <f aca="false">IF(INDEX(選手一覧!$G$5:$G$2736,$F232)="","",INDEX(選手一覧!$G$5:$G$2736,$F232))</f>
        <v>209</v>
      </c>
    </row>
    <row r="233" customFormat="false" ht="15" hidden="false" customHeight="false" outlineLevel="0" collapsed="false">
      <c r="A233" s="12" t="n">
        <v>230</v>
      </c>
      <c r="B233" s="8" t="s">
        <v>801</v>
      </c>
      <c r="C233" s="8" t="s">
        <v>802</v>
      </c>
      <c r="D233" s="11" t="n">
        <v>0.00278680555555556</v>
      </c>
      <c r="E233" s="39" t="n">
        <f aca="false">ROUND((D233-$D$5)*86400,2)</f>
        <v>15.75</v>
      </c>
      <c r="F233" s="12" t="n">
        <v>456</v>
      </c>
      <c r="G233" s="11" t="n">
        <f aca="false">IF(INDEX(選手一覧!$D$5:$D$2736,$F233)="","",INDEX(選手一覧!$D$5:$D$2736,$F233))</f>
        <v>0.0105912037037037</v>
      </c>
      <c r="H233" s="12" t="n">
        <f aca="false">IF(INDEX(選手一覧!$E$5:$E$2736,$F233)="","",INDEX(選手一覧!$E$5:$E$2736,$F233))</f>
        <v>457</v>
      </c>
      <c r="I233" s="11" t="str">
        <f aca="false">IF(INDEX(選手一覧!$F$5:$F$2736,$F233)="","",INDEX(選手一覧!$F$5:$F$2736,$F233))</f>
        <v/>
      </c>
      <c r="J233" s="12" t="str">
        <f aca="false">IF(INDEX(選手一覧!$G$5:$G$2736,$F233)="","",INDEX(選手一覧!$G$5:$G$2736,$F233))</f>
        <v/>
      </c>
    </row>
    <row r="234" customFormat="false" ht="15" hidden="false" customHeight="false" outlineLevel="0" collapsed="false">
      <c r="A234" s="12" t="n">
        <v>231</v>
      </c>
      <c r="B234" s="8" t="s">
        <v>666</v>
      </c>
      <c r="C234" s="8" t="s">
        <v>667</v>
      </c>
      <c r="D234" s="11" t="n">
        <v>0.00278726851851852</v>
      </c>
      <c r="E234" s="39" t="n">
        <f aca="false">ROUND((D234-$D$5)*86400,2)</f>
        <v>15.79</v>
      </c>
      <c r="F234" s="12" t="n">
        <v>370</v>
      </c>
      <c r="G234" s="11" t="n">
        <f aca="false">IF(INDEX(選手一覧!$D$5:$D$2736,$F234)="","",INDEX(選手一覧!$D$5:$D$2736,$F234))</f>
        <v>0.0105298611111111</v>
      </c>
      <c r="H234" s="12" t="n">
        <f aca="false">IF(INDEX(選手一覧!$E$5:$E$2736,$F234)="","",INDEX(選手一覧!$E$5:$E$2736,$F234))</f>
        <v>371</v>
      </c>
      <c r="I234" s="11" t="str">
        <f aca="false">IF(INDEX(選手一覧!$F$5:$F$2736,$F234)="","",INDEX(選手一覧!$F$5:$F$2736,$F234))</f>
        <v/>
      </c>
      <c r="J234" s="12" t="str">
        <f aca="false">IF(INDEX(選手一覧!$G$5:$G$2736,$F234)="","",INDEX(選手一覧!$G$5:$G$2736,$F234))</f>
        <v/>
      </c>
    </row>
    <row r="235" customFormat="false" ht="15" hidden="false" customHeight="false" outlineLevel="0" collapsed="false">
      <c r="A235" s="12" t="n">
        <v>232</v>
      </c>
      <c r="B235" s="8" t="s">
        <v>1850</v>
      </c>
      <c r="C235" s="8" t="s">
        <v>1851</v>
      </c>
      <c r="D235" s="11" t="n">
        <v>0.0027875</v>
      </c>
      <c r="E235" s="39" t="n">
        <f aca="false">ROUND((D235-$D$5)*86400,2)</f>
        <v>15.81</v>
      </c>
      <c r="F235" s="12" t="n">
        <v>1154</v>
      </c>
      <c r="G235" s="11" t="n">
        <f aca="false">IF(INDEX(選手一覧!$D$5:$D$2736,$F235)="","",INDEX(選手一覧!$D$5:$D$2736,$F235))</f>
        <v>0.0110318287037037</v>
      </c>
      <c r="H235" s="12" t="n">
        <f aca="false">IF(INDEX(選手一覧!$E$5:$E$2736,$F235)="","",INDEX(選手一覧!$E$5:$E$2736,$F235))</f>
        <v>1155</v>
      </c>
      <c r="I235" s="11" t="str">
        <f aca="false">IF(INDEX(選手一覧!$F$5:$F$2736,$F235)="","",INDEX(選手一覧!$F$5:$F$2736,$F235))</f>
        <v/>
      </c>
      <c r="J235" s="12" t="str">
        <f aca="false">IF(INDEX(選手一覧!$G$5:$G$2736,$F235)="","",INDEX(選手一覧!$G$5:$G$2736,$F235))</f>
        <v/>
      </c>
    </row>
    <row r="236" customFormat="false" ht="15" hidden="false" customHeight="false" outlineLevel="0" collapsed="false">
      <c r="A236" s="12" t="n">
        <v>233</v>
      </c>
      <c r="B236" s="8" t="s">
        <v>305</v>
      </c>
      <c r="C236" s="8" t="s">
        <v>306</v>
      </c>
      <c r="D236" s="11" t="n">
        <v>0.00278773148148148</v>
      </c>
      <c r="E236" s="39" t="n">
        <f aca="false">ROUND((D236-$D$5)*86400,2)</f>
        <v>15.83</v>
      </c>
      <c r="F236" s="12" t="n">
        <v>150</v>
      </c>
      <c r="G236" s="11" t="n">
        <f aca="false">IF(INDEX(選手一覧!$D$5:$D$2736,$F236)="","",INDEX(選手一覧!$D$5:$D$2736,$F236))</f>
        <v>0.0102822916666667</v>
      </c>
      <c r="H236" s="12" t="n">
        <f aca="false">IF(INDEX(選手一覧!$E$5:$E$2736,$F236)="","",INDEX(選手一覧!$E$5:$E$2736,$F236))</f>
        <v>151</v>
      </c>
      <c r="I236" s="11" t="str">
        <f aca="false">IF(INDEX(選手一覧!$F$5:$F$2736,$F236)="","",INDEX(選手一覧!$F$5:$F$2736,$F236))</f>
        <v/>
      </c>
      <c r="J236" s="12" t="str">
        <f aca="false">IF(INDEX(選手一覧!$G$5:$G$2736,$F236)="","",INDEX(選手一覧!$G$5:$G$2736,$F236))</f>
        <v/>
      </c>
    </row>
    <row r="237" customFormat="false" ht="15" hidden="false" customHeight="false" outlineLevel="0" collapsed="false">
      <c r="A237" s="12" t="n">
        <v>234</v>
      </c>
      <c r="B237" s="8" t="s">
        <v>2149</v>
      </c>
      <c r="C237" s="8" t="s">
        <v>730</v>
      </c>
      <c r="D237" s="11" t="n">
        <v>0.00278819444444445</v>
      </c>
      <c r="E237" s="39" t="n">
        <f aca="false">ROUND((D237-$D$5)*86400,2)</f>
        <v>15.87</v>
      </c>
      <c r="F237" s="12" t="n">
        <v>1370</v>
      </c>
      <c r="G237" s="11" t="str">
        <f aca="false">IF(INDEX(選手一覧!$D$5:$D$2736,$F237)="","",INDEX(選手一覧!$D$5:$D$2736,$F237))</f>
        <v/>
      </c>
      <c r="H237" s="12" t="str">
        <f aca="false">IF(INDEX(選手一覧!$E$5:$E$2736,$F237)="","",INDEX(選手一覧!$E$5:$E$2736,$F237))</f>
        <v/>
      </c>
      <c r="I237" s="11" t="n">
        <f aca="false">IF(INDEX(選手一覧!$F$5:$F$2736,$F237)="","",INDEX(選手一覧!$F$5:$F$2736,$F237))</f>
        <v>0.00695833333333333</v>
      </c>
      <c r="J237" s="12" t="n">
        <f aca="false">IF(INDEX(選手一覧!$G$5:$G$2736,$F237)="","",INDEX(選手一覧!$G$5:$G$2736,$F237))</f>
        <v>291</v>
      </c>
    </row>
    <row r="238" customFormat="false" ht="15" hidden="false" customHeight="false" outlineLevel="0" collapsed="false">
      <c r="A238" s="12" t="n">
        <v>235</v>
      </c>
      <c r="B238" s="8" t="s">
        <v>2150</v>
      </c>
      <c r="C238" s="8" t="s">
        <v>1353</v>
      </c>
      <c r="D238" s="11" t="n">
        <v>0.00278842592592593</v>
      </c>
      <c r="E238" s="39" t="n">
        <f aca="false">ROUND((D238-$D$5)*86400,2)</f>
        <v>15.89</v>
      </c>
      <c r="F238" s="12" t="n">
        <v>1371</v>
      </c>
      <c r="G238" s="11" t="str">
        <f aca="false">IF(INDEX(選手一覧!$D$5:$D$2736,$F238)="","",INDEX(選手一覧!$D$5:$D$2736,$F238))</f>
        <v/>
      </c>
      <c r="H238" s="12" t="str">
        <f aca="false">IF(INDEX(選手一覧!$E$5:$E$2736,$F238)="","",INDEX(選手一覧!$E$5:$E$2736,$F238))</f>
        <v/>
      </c>
      <c r="I238" s="11" t="str">
        <f aca="false">IF(INDEX(選手一覧!$F$5:$F$2736,$F238)="","",INDEX(選手一覧!$F$5:$F$2736,$F238))</f>
        <v/>
      </c>
      <c r="J238" s="12" t="str">
        <f aca="false">IF(INDEX(選手一覧!$G$5:$G$2736,$F238)="","",INDEX(選手一覧!$G$5:$G$2736,$F238))</f>
        <v/>
      </c>
    </row>
    <row r="239" customFormat="false" ht="15" hidden="false" customHeight="false" outlineLevel="0" collapsed="false">
      <c r="A239" s="12" t="n">
        <v>236</v>
      </c>
      <c r="B239" s="8" t="s">
        <v>446</v>
      </c>
      <c r="C239" s="8" t="s">
        <v>447</v>
      </c>
      <c r="D239" s="11" t="n">
        <v>0.00278877314814815</v>
      </c>
      <c r="E239" s="39" t="n">
        <f aca="false">ROUND((D239-$D$5)*86400,2)</f>
        <v>15.92</v>
      </c>
      <c r="F239" s="12" t="n">
        <v>231</v>
      </c>
      <c r="G239" s="11" t="n">
        <f aca="false">IF(INDEX(選手一覧!$D$5:$D$2736,$F239)="","",INDEX(選手一覧!$D$5:$D$2736,$F239))</f>
        <v>0.0103755787037037</v>
      </c>
      <c r="H239" s="12" t="n">
        <f aca="false">IF(INDEX(選手一覧!$E$5:$E$2736,$F239)="","",INDEX(選手一覧!$E$5:$E$2736,$F239))</f>
        <v>232</v>
      </c>
      <c r="I239" s="11" t="str">
        <f aca="false">IF(INDEX(選手一覧!$F$5:$F$2736,$F239)="","",INDEX(選手一覧!$F$5:$F$2736,$F239))</f>
        <v/>
      </c>
      <c r="J239" s="12" t="str">
        <f aca="false">IF(INDEX(選手一覧!$G$5:$G$2736,$F239)="","",INDEX(選手一覧!$G$5:$G$2736,$F239))</f>
        <v/>
      </c>
    </row>
    <row r="240" customFormat="false" ht="15" hidden="false" customHeight="false" outlineLevel="0" collapsed="false">
      <c r="A240" s="12" t="n">
        <v>237</v>
      </c>
      <c r="B240" s="8" t="s">
        <v>486</v>
      </c>
      <c r="C240" s="8" t="s">
        <v>207</v>
      </c>
      <c r="D240" s="11" t="n">
        <v>0.00278912037037037</v>
      </c>
      <c r="E240" s="39" t="n">
        <f aca="false">ROUND((D240-$D$5)*86400,2)</f>
        <v>15.95</v>
      </c>
      <c r="F240" s="12" t="n">
        <v>255</v>
      </c>
      <c r="G240" s="11" t="n">
        <f aca="false">IF(INDEX(選手一覧!$D$5:$D$2736,$F240)="","",INDEX(選手一覧!$D$5:$D$2736,$F240))</f>
        <v>0.010396412037037</v>
      </c>
      <c r="H240" s="12" t="n">
        <f aca="false">IF(INDEX(選手一覧!$E$5:$E$2736,$F240)="","",INDEX(選手一覧!$E$5:$E$2736,$F240))</f>
        <v>256</v>
      </c>
      <c r="I240" s="11" t="n">
        <f aca="false">IF(INDEX(選手一覧!$F$5:$F$2736,$F240)="","",INDEX(選手一覧!$F$5:$F$2736,$F240))</f>
        <v>0.00652337962962963</v>
      </c>
      <c r="J240" s="12" t="n">
        <f aca="false">IF(INDEX(選手一覧!$G$5:$G$2736,$F240)="","",INDEX(選手一覧!$G$5:$G$2736,$F240))</f>
        <v>39</v>
      </c>
    </row>
    <row r="241" customFormat="false" ht="15" hidden="false" customHeight="false" outlineLevel="0" collapsed="false">
      <c r="A241" s="12" t="n">
        <v>238</v>
      </c>
      <c r="B241" s="8" t="s">
        <v>2154</v>
      </c>
      <c r="C241" s="8" t="s">
        <v>594</v>
      </c>
      <c r="D241" s="11" t="n">
        <v>0.00278923611111111</v>
      </c>
      <c r="E241" s="39" t="n">
        <f aca="false">ROUND((D241-$D$5)*86400,2)</f>
        <v>15.96</v>
      </c>
      <c r="F241" s="12" t="n">
        <v>1374</v>
      </c>
      <c r="G241" s="11" t="str">
        <f aca="false">IF(INDEX(選手一覧!$D$5:$D$2736,$F241)="","",INDEX(選手一覧!$D$5:$D$2736,$F241))</f>
        <v/>
      </c>
      <c r="H241" s="12" t="str">
        <f aca="false">IF(INDEX(選手一覧!$E$5:$E$2736,$F241)="","",INDEX(選手一覧!$E$5:$E$2736,$F241))</f>
        <v/>
      </c>
      <c r="I241" s="11" t="str">
        <f aca="false">IF(INDEX(選手一覧!$F$5:$F$2736,$F241)="","",INDEX(選手一覧!$F$5:$F$2736,$F241))</f>
        <v/>
      </c>
      <c r="J241" s="12" t="str">
        <f aca="false">IF(INDEX(選手一覧!$G$5:$G$2736,$F241)="","",INDEX(選手一覧!$G$5:$G$2736,$F241))</f>
        <v/>
      </c>
    </row>
    <row r="242" customFormat="false" ht="15" hidden="false" customHeight="false" outlineLevel="0" collapsed="false">
      <c r="A242" s="12" t="n">
        <v>239</v>
      </c>
      <c r="B242" s="8" t="s">
        <v>846</v>
      </c>
      <c r="C242" s="8" t="s">
        <v>96</v>
      </c>
      <c r="D242" s="11" t="n">
        <v>0.00279027777777778</v>
      </c>
      <c r="E242" s="39" t="n">
        <f aca="false">ROUND((D242-$D$5)*86400,2)</f>
        <v>16.05</v>
      </c>
      <c r="F242" s="12" t="n">
        <v>485</v>
      </c>
      <c r="G242" s="11" t="n">
        <f aca="false">IF(INDEX(選手一覧!$D$5:$D$2736,$F242)="","",INDEX(選手一覧!$D$5:$D$2736,$F242))</f>
        <v>0.010615625</v>
      </c>
      <c r="H242" s="12" t="n">
        <f aca="false">IF(INDEX(選手一覧!$E$5:$E$2736,$F242)="","",INDEX(選手一覧!$E$5:$E$2736,$F242))</f>
        <v>486</v>
      </c>
      <c r="I242" s="11" t="str">
        <f aca="false">IF(INDEX(選手一覧!$F$5:$F$2736,$F242)="","",INDEX(選手一覧!$F$5:$F$2736,$F242))</f>
        <v/>
      </c>
      <c r="J242" s="12" t="str">
        <f aca="false">IF(INDEX(選手一覧!$G$5:$G$2736,$F242)="","",INDEX(選手一覧!$G$5:$G$2736,$F242))</f>
        <v/>
      </c>
    </row>
    <row r="243" customFormat="false" ht="15" hidden="false" customHeight="false" outlineLevel="0" collapsed="false">
      <c r="A243" s="12" t="n">
        <v>240</v>
      </c>
      <c r="B243" s="8" t="s">
        <v>2155</v>
      </c>
      <c r="C243" s="8" t="s">
        <v>515</v>
      </c>
      <c r="D243" s="11" t="n">
        <v>0.00279027777777778</v>
      </c>
      <c r="E243" s="39" t="n">
        <f aca="false">ROUND((D243-$D$5)*86400,2)</f>
        <v>16.05</v>
      </c>
      <c r="F243" s="12" t="n">
        <v>1375</v>
      </c>
      <c r="G243" s="11" t="str">
        <f aca="false">IF(INDEX(選手一覧!$D$5:$D$2736,$F243)="","",INDEX(選手一覧!$D$5:$D$2736,$F243))</f>
        <v/>
      </c>
      <c r="H243" s="12" t="str">
        <f aca="false">IF(INDEX(選手一覧!$E$5:$E$2736,$F243)="","",INDEX(選手一覧!$E$5:$E$2736,$F243))</f>
        <v/>
      </c>
      <c r="I243" s="11" t="str">
        <f aca="false">IF(INDEX(選手一覧!$F$5:$F$2736,$F243)="","",INDEX(選手一覧!$F$5:$F$2736,$F243))</f>
        <v/>
      </c>
      <c r="J243" s="12" t="str">
        <f aca="false">IF(INDEX(選手一覧!$G$5:$G$2736,$F243)="","",INDEX(選手一覧!$G$5:$G$2736,$F243))</f>
        <v/>
      </c>
    </row>
    <row r="244" customFormat="false" ht="15" hidden="false" customHeight="false" outlineLevel="0" collapsed="false">
      <c r="A244" s="12" t="n">
        <v>241</v>
      </c>
      <c r="B244" s="8" t="s">
        <v>1231</v>
      </c>
      <c r="C244" s="8" t="s">
        <v>143</v>
      </c>
      <c r="D244" s="11" t="n">
        <v>0.00279027777777778</v>
      </c>
      <c r="E244" s="39" t="n">
        <f aca="false">ROUND((D244-$D$5)*86400,2)</f>
        <v>16.05</v>
      </c>
      <c r="F244" s="12" t="n">
        <v>737</v>
      </c>
      <c r="G244" s="11" t="n">
        <f aca="false">IF(INDEX(選手一覧!$D$5:$D$2736,$F244)="","",INDEX(選手一覧!$D$5:$D$2736,$F244))</f>
        <v>0.0107975694444444</v>
      </c>
      <c r="H244" s="12" t="n">
        <f aca="false">IF(INDEX(選手一覧!$E$5:$E$2736,$F244)="","",INDEX(選手一覧!$E$5:$E$2736,$F244))</f>
        <v>738</v>
      </c>
      <c r="I244" s="11" t="n">
        <f aca="false">IF(INDEX(選手一覧!$F$5:$F$2736,$F244)="","",INDEX(選手一覧!$F$5:$F$2736,$F244))</f>
        <v>0.00665</v>
      </c>
      <c r="J244" s="12" t="n">
        <f aca="false">IF(INDEX(選手一覧!$G$5:$G$2736,$F244)="","",INDEX(選手一覧!$G$5:$G$2736,$F244))</f>
        <v>83</v>
      </c>
    </row>
    <row r="245" customFormat="false" ht="15" hidden="false" customHeight="false" outlineLevel="0" collapsed="false">
      <c r="A245" s="12" t="n">
        <v>242</v>
      </c>
      <c r="B245" s="8" t="s">
        <v>2158</v>
      </c>
      <c r="C245" s="8" t="s">
        <v>188</v>
      </c>
      <c r="D245" s="11" t="n">
        <v>0.00279039351851852</v>
      </c>
      <c r="E245" s="39" t="n">
        <f aca="false">ROUND((D245-$D$5)*86400,2)</f>
        <v>16.06</v>
      </c>
      <c r="F245" s="12" t="n">
        <v>1377</v>
      </c>
      <c r="G245" s="11" t="str">
        <f aca="false">IF(INDEX(選手一覧!$D$5:$D$2736,$F245)="","",INDEX(選手一覧!$D$5:$D$2736,$F245))</f>
        <v/>
      </c>
      <c r="H245" s="12" t="str">
        <f aca="false">IF(INDEX(選手一覧!$E$5:$E$2736,$F245)="","",INDEX(選手一覧!$E$5:$E$2736,$F245))</f>
        <v/>
      </c>
      <c r="I245" s="11" t="str">
        <f aca="false">IF(INDEX(選手一覧!$F$5:$F$2736,$F245)="","",INDEX(選手一覧!$F$5:$F$2736,$F245))</f>
        <v/>
      </c>
      <c r="J245" s="12" t="str">
        <f aca="false">IF(INDEX(選手一覧!$G$5:$G$2736,$F245)="","",INDEX(選手一覧!$G$5:$G$2736,$F245))</f>
        <v/>
      </c>
    </row>
    <row r="246" customFormat="false" ht="15" hidden="false" customHeight="false" outlineLevel="0" collapsed="false">
      <c r="A246" s="12" t="n">
        <v>243</v>
      </c>
      <c r="B246" s="8" t="s">
        <v>369</v>
      </c>
      <c r="C246" s="8" t="s">
        <v>4691</v>
      </c>
      <c r="D246" s="11" t="n">
        <v>0.002790625</v>
      </c>
      <c r="E246" s="39" t="n">
        <f aca="false">ROUND((D246-$D$5)*86400,2)</f>
        <v>16.08</v>
      </c>
      <c r="F246" s="12" t="n">
        <v>185</v>
      </c>
      <c r="G246" s="11" t="n">
        <f aca="false">IF(INDEX(選手一覧!$D$5:$D$2736,$F246)="","",INDEX(選手一覧!$D$5:$D$2736,$F246))</f>
        <v>0.0103365740740741</v>
      </c>
      <c r="H246" s="12" t="n">
        <f aca="false">IF(INDEX(選手一覧!$E$5:$E$2736,$F246)="","",INDEX(選手一覧!$E$5:$E$2736,$F246))</f>
        <v>186</v>
      </c>
      <c r="I246" s="11" t="n">
        <f aca="false">IF(INDEX(選手一覧!$F$5:$F$2736,$F246)="","",INDEX(選手一覧!$F$5:$F$2736,$F246))</f>
        <v>0.00739351851851852</v>
      </c>
      <c r="J246" s="12" t="n">
        <f aca="false">IF(INDEX(選手一覧!$G$5:$G$2736,$F246)="","",INDEX(選手一覧!$G$5:$G$2736,$F246))</f>
        <v>765</v>
      </c>
    </row>
    <row r="247" customFormat="false" ht="15" hidden="false" customHeight="false" outlineLevel="0" collapsed="false">
      <c r="A247" s="12" t="n">
        <v>244</v>
      </c>
      <c r="B247" s="8" t="s">
        <v>640</v>
      </c>
      <c r="C247" s="8" t="s">
        <v>641</v>
      </c>
      <c r="D247" s="11" t="n">
        <v>0.00279097222222222</v>
      </c>
      <c r="E247" s="39" t="n">
        <f aca="false">ROUND((D247-$D$5)*86400,2)</f>
        <v>16.11</v>
      </c>
      <c r="F247" s="12" t="n">
        <v>352</v>
      </c>
      <c r="G247" s="11" t="n">
        <f aca="false">IF(INDEX(選手一覧!$D$5:$D$2736,$F247)="","",INDEX(選手一覧!$D$5:$D$2736,$F247))</f>
        <v>0.0105118055555556</v>
      </c>
      <c r="H247" s="12" t="n">
        <f aca="false">IF(INDEX(選手一覧!$E$5:$E$2736,$F247)="","",INDEX(選手一覧!$E$5:$E$2736,$F247))</f>
        <v>353</v>
      </c>
      <c r="I247" s="11" t="str">
        <f aca="false">IF(INDEX(選手一覧!$F$5:$F$2736,$F247)="","",INDEX(選手一覧!$F$5:$F$2736,$F247))</f>
        <v/>
      </c>
      <c r="J247" s="12" t="str">
        <f aca="false">IF(INDEX(選手一覧!$G$5:$G$2736,$F247)="","",INDEX(選手一覧!$G$5:$G$2736,$F247))</f>
        <v/>
      </c>
    </row>
    <row r="248" customFormat="false" ht="15" hidden="false" customHeight="false" outlineLevel="0" collapsed="false">
      <c r="A248" s="12" t="n">
        <v>245</v>
      </c>
      <c r="B248" s="8" t="s">
        <v>2161</v>
      </c>
      <c r="C248" s="8" t="s">
        <v>76</v>
      </c>
      <c r="D248" s="11" t="n">
        <v>0.0027912037037037</v>
      </c>
      <c r="E248" s="39" t="n">
        <f aca="false">ROUND((D248-$D$5)*86400,2)</f>
        <v>16.13</v>
      </c>
      <c r="F248" s="12" t="n">
        <v>1379</v>
      </c>
      <c r="G248" s="11" t="str">
        <f aca="false">IF(INDEX(選手一覧!$D$5:$D$2736,$F248)="","",INDEX(選手一覧!$D$5:$D$2736,$F248))</f>
        <v/>
      </c>
      <c r="H248" s="12" t="str">
        <f aca="false">IF(INDEX(選手一覧!$E$5:$E$2736,$F248)="","",INDEX(選手一覧!$E$5:$E$2736,$F248))</f>
        <v/>
      </c>
      <c r="I248" s="11" t="str">
        <f aca="false">IF(INDEX(選手一覧!$F$5:$F$2736,$F248)="","",INDEX(選手一覧!$F$5:$F$2736,$F248))</f>
        <v/>
      </c>
      <c r="J248" s="12" t="str">
        <f aca="false">IF(INDEX(選手一覧!$G$5:$G$2736,$F248)="","",INDEX(選手一覧!$G$5:$G$2736,$F248))</f>
        <v/>
      </c>
    </row>
    <row r="249" customFormat="false" ht="15" hidden="false" customHeight="false" outlineLevel="0" collapsed="false">
      <c r="A249" s="12" t="n">
        <v>246</v>
      </c>
      <c r="B249" s="8" t="s">
        <v>444</v>
      </c>
      <c r="C249" s="8" t="s">
        <v>160</v>
      </c>
      <c r="D249" s="11" t="n">
        <v>0.0027912037037037</v>
      </c>
      <c r="E249" s="39" t="n">
        <f aca="false">ROUND((D249-$D$5)*86400,2)</f>
        <v>16.13</v>
      </c>
      <c r="F249" s="12" t="n">
        <v>230</v>
      </c>
      <c r="G249" s="11" t="n">
        <f aca="false">IF(INDEX(選手一覧!$D$5:$D$2736,$F249)="","",INDEX(選手一覧!$D$5:$D$2736,$F249))</f>
        <v>0.0103753472222222</v>
      </c>
      <c r="H249" s="12" t="n">
        <f aca="false">IF(INDEX(選手一覧!$E$5:$E$2736,$F249)="","",INDEX(選手一覧!$E$5:$E$2736,$F249))</f>
        <v>231</v>
      </c>
      <c r="I249" s="11" t="str">
        <f aca="false">IF(INDEX(選手一覧!$F$5:$F$2736,$F249)="","",INDEX(選手一覧!$F$5:$F$2736,$F249))</f>
        <v/>
      </c>
      <c r="J249" s="12" t="str">
        <f aca="false">IF(INDEX(選手一覧!$G$5:$G$2736,$F249)="","",INDEX(選手一覧!$G$5:$G$2736,$F249))</f>
        <v/>
      </c>
    </row>
    <row r="250" customFormat="false" ht="15" hidden="false" customHeight="false" outlineLevel="0" collapsed="false">
      <c r="A250" s="12" t="n">
        <v>247</v>
      </c>
      <c r="B250" s="8" t="s">
        <v>657</v>
      </c>
      <c r="C250" s="8" t="s">
        <v>150</v>
      </c>
      <c r="D250" s="11" t="n">
        <v>0.00279178240740741</v>
      </c>
      <c r="E250" s="39" t="n">
        <f aca="false">ROUND((D250-$D$5)*86400,2)</f>
        <v>16.18</v>
      </c>
      <c r="F250" s="12" t="n">
        <v>364</v>
      </c>
      <c r="G250" s="11" t="n">
        <f aca="false">IF(INDEX(選手一覧!$D$5:$D$2736,$F250)="","",INDEX(選手一覧!$D$5:$D$2736,$F250))</f>
        <v>0.0105248842592593</v>
      </c>
      <c r="H250" s="12" t="n">
        <f aca="false">IF(INDEX(選手一覧!$E$5:$E$2736,$F250)="","",INDEX(選手一覧!$E$5:$E$2736,$F250))</f>
        <v>365</v>
      </c>
      <c r="I250" s="11" t="str">
        <f aca="false">IF(INDEX(選手一覧!$F$5:$F$2736,$F250)="","",INDEX(選手一覧!$F$5:$F$2736,$F250))</f>
        <v/>
      </c>
      <c r="J250" s="12" t="str">
        <f aca="false">IF(INDEX(選手一覧!$G$5:$G$2736,$F250)="","",INDEX(選手一覧!$G$5:$G$2736,$F250))</f>
        <v/>
      </c>
    </row>
    <row r="251" customFormat="false" ht="15" hidden="false" customHeight="false" outlineLevel="0" collapsed="false">
      <c r="A251" s="12" t="n">
        <v>248</v>
      </c>
      <c r="B251" s="8" t="s">
        <v>686</v>
      </c>
      <c r="C251" s="8" t="s">
        <v>294</v>
      </c>
      <c r="D251" s="11" t="n">
        <v>0.00279189814814815</v>
      </c>
      <c r="E251" s="39" t="n">
        <f aca="false">ROUND((D251-$D$5)*86400,2)</f>
        <v>16.19</v>
      </c>
      <c r="F251" s="12" t="n">
        <v>381</v>
      </c>
      <c r="G251" s="11" t="n">
        <f aca="false">IF(INDEX(選手一覧!$D$5:$D$2736,$F251)="","",INDEX(選手一覧!$D$5:$D$2736,$F251))</f>
        <v>0.0105369212962963</v>
      </c>
      <c r="H251" s="12" t="n">
        <f aca="false">IF(INDEX(選手一覧!$E$5:$E$2736,$F251)="","",INDEX(選手一覧!$E$5:$E$2736,$F251))</f>
        <v>382</v>
      </c>
      <c r="I251" s="11" t="str">
        <f aca="false">IF(INDEX(選手一覧!$F$5:$F$2736,$F251)="","",INDEX(選手一覧!$F$5:$F$2736,$F251))</f>
        <v/>
      </c>
      <c r="J251" s="12" t="str">
        <f aca="false">IF(INDEX(選手一覧!$G$5:$G$2736,$F251)="","",INDEX(選手一覧!$G$5:$G$2736,$F251))</f>
        <v/>
      </c>
    </row>
    <row r="252" customFormat="false" ht="15" hidden="false" customHeight="false" outlineLevel="0" collapsed="false">
      <c r="A252" s="12" t="n">
        <v>249</v>
      </c>
      <c r="B252" s="8" t="s">
        <v>102</v>
      </c>
      <c r="C252" s="8" t="s">
        <v>28</v>
      </c>
      <c r="D252" s="11" t="n">
        <v>0.00279201388888889</v>
      </c>
      <c r="E252" s="39" t="n">
        <f aca="false">ROUND((D252-$D$5)*86400,2)</f>
        <v>16.2</v>
      </c>
      <c r="F252" s="12" t="n">
        <v>41</v>
      </c>
      <c r="G252" s="11" t="n">
        <f aca="false">IF(INDEX(選手一覧!$D$5:$D$2736,$F252)="","",INDEX(選手一覧!$D$5:$D$2736,$F252))</f>
        <v>0.0100759259259259</v>
      </c>
      <c r="H252" s="12" t="n">
        <f aca="false">IF(INDEX(選手一覧!$E$5:$E$2736,$F252)="","",INDEX(選手一覧!$E$5:$E$2736,$F252))</f>
        <v>42</v>
      </c>
      <c r="I252" s="11" t="str">
        <f aca="false">IF(INDEX(選手一覧!$F$5:$F$2736,$F252)="","",INDEX(選手一覧!$F$5:$F$2736,$F252))</f>
        <v/>
      </c>
      <c r="J252" s="12" t="str">
        <f aca="false">IF(INDEX(選手一覧!$G$5:$G$2736,$F252)="","",INDEX(選手一覧!$G$5:$G$2736,$F252))</f>
        <v/>
      </c>
    </row>
    <row r="253" customFormat="false" ht="15" hidden="false" customHeight="false" outlineLevel="0" collapsed="false">
      <c r="A253" s="12" t="n">
        <v>250</v>
      </c>
      <c r="B253" s="8" t="s">
        <v>1354</v>
      </c>
      <c r="C253" s="8" t="s">
        <v>552</v>
      </c>
      <c r="D253" s="11" t="n">
        <v>0.00279305555555556</v>
      </c>
      <c r="E253" s="39" t="n">
        <f aca="false">ROUND((D253-$D$5)*86400,2)</f>
        <v>16.29</v>
      </c>
      <c r="F253" s="12" t="n">
        <v>822</v>
      </c>
      <c r="G253" s="11" t="n">
        <f aca="false">IF(INDEX(選手一覧!$D$5:$D$2736,$F253)="","",INDEX(選手一覧!$D$5:$D$2736,$F253))</f>
        <v>0.0108439814814815</v>
      </c>
      <c r="H253" s="12" t="n">
        <f aca="false">IF(INDEX(選手一覧!$E$5:$E$2736,$F253)="","",INDEX(選手一覧!$E$5:$E$2736,$F253))</f>
        <v>823</v>
      </c>
      <c r="I253" s="11" t="n">
        <f aca="false">IF(INDEX(選手一覧!$F$5:$F$2736,$F253)="","",INDEX(選手一覧!$F$5:$F$2736,$F253))</f>
        <v>0.00686076388888889</v>
      </c>
      <c r="J253" s="12" t="n">
        <f aca="false">IF(INDEX(選手一覧!$G$5:$G$2736,$F253)="","",INDEX(選手一覧!$G$5:$G$2736,$F253))</f>
        <v>210</v>
      </c>
    </row>
    <row r="254" customFormat="false" ht="15" hidden="false" customHeight="false" outlineLevel="0" collapsed="false">
      <c r="A254" s="12" t="n">
        <v>251</v>
      </c>
      <c r="B254" s="8" t="s">
        <v>586</v>
      </c>
      <c r="C254" s="8" t="s">
        <v>525</v>
      </c>
      <c r="D254" s="11" t="n">
        <v>0.00279351851851852</v>
      </c>
      <c r="E254" s="39" t="n">
        <f aca="false">ROUND((D254-$D$5)*86400,2)</f>
        <v>16.33</v>
      </c>
      <c r="F254" s="12" t="n">
        <v>317</v>
      </c>
      <c r="G254" s="11" t="n">
        <f aca="false">IF(INDEX(選手一覧!$D$5:$D$2736,$F254)="","",INDEX(選手一覧!$D$5:$D$2736,$F254))</f>
        <v>0.0104730324074074</v>
      </c>
      <c r="H254" s="12" t="n">
        <f aca="false">IF(INDEX(選手一覧!$E$5:$E$2736,$F254)="","",INDEX(選手一覧!$E$5:$E$2736,$F254))</f>
        <v>318</v>
      </c>
      <c r="I254" s="11" t="n">
        <f aca="false">IF(INDEX(選手一覧!$F$5:$F$2736,$F254)="","",INDEX(選手一覧!$F$5:$F$2736,$F254))</f>
        <v>0.00656898148148148</v>
      </c>
      <c r="J254" s="12" t="n">
        <f aca="false">IF(INDEX(選手一覧!$G$5:$G$2736,$F254)="","",INDEX(選手一覧!$G$5:$G$2736,$F254))</f>
        <v>57</v>
      </c>
    </row>
    <row r="255" customFormat="false" ht="15" hidden="false" customHeight="false" outlineLevel="0" collapsed="false">
      <c r="A255" s="12" t="n">
        <v>252</v>
      </c>
      <c r="B255" s="8" t="s">
        <v>223</v>
      </c>
      <c r="C255" s="8" t="s">
        <v>160</v>
      </c>
      <c r="D255" s="11" t="n">
        <v>0.00279363425925926</v>
      </c>
      <c r="E255" s="39" t="n">
        <f aca="false">ROUND((D255-$D$5)*86400,2)</f>
        <v>16.34</v>
      </c>
      <c r="F255" s="12" t="n">
        <v>107</v>
      </c>
      <c r="G255" s="11" t="n">
        <f aca="false">IF(INDEX(選手一覧!$D$5:$D$2736,$F255)="","",INDEX(選手一覧!$D$5:$D$2736,$F255))</f>
        <v>0.0102188657407407</v>
      </c>
      <c r="H255" s="12" t="n">
        <f aca="false">IF(INDEX(選手一覧!$E$5:$E$2736,$F255)="","",INDEX(選手一覧!$E$5:$E$2736,$F255))</f>
        <v>108</v>
      </c>
      <c r="I255" s="11" t="str">
        <f aca="false">IF(INDEX(選手一覧!$F$5:$F$2736,$F255)="","",INDEX(選手一覧!$F$5:$F$2736,$F255))</f>
        <v/>
      </c>
      <c r="J255" s="12" t="str">
        <f aca="false">IF(INDEX(選手一覧!$G$5:$G$2736,$F255)="","",INDEX(選手一覧!$G$5:$G$2736,$F255))</f>
        <v/>
      </c>
    </row>
    <row r="256" customFormat="false" ht="15" hidden="false" customHeight="false" outlineLevel="0" collapsed="false">
      <c r="A256" s="12" t="n">
        <v>253</v>
      </c>
      <c r="B256" s="8" t="s">
        <v>776</v>
      </c>
      <c r="C256" s="8" t="s">
        <v>554</v>
      </c>
      <c r="D256" s="11" t="n">
        <v>0.00279398148148148</v>
      </c>
      <c r="E256" s="39" t="n">
        <f aca="false">ROUND((D256-$D$5)*86400,2)</f>
        <v>16.37</v>
      </c>
      <c r="F256" s="12" t="n">
        <v>438</v>
      </c>
      <c r="G256" s="11" t="n">
        <f aca="false">IF(INDEX(選手一覧!$D$5:$D$2736,$F256)="","",INDEX(選手一覧!$D$5:$D$2736,$F256))</f>
        <v>0.0105828703703704</v>
      </c>
      <c r="H256" s="12" t="n">
        <f aca="false">IF(INDEX(選手一覧!$E$5:$E$2736,$F256)="","",INDEX(選手一覧!$E$5:$E$2736,$F256))</f>
        <v>439</v>
      </c>
      <c r="I256" s="11" t="str">
        <f aca="false">IF(INDEX(選手一覧!$F$5:$F$2736,$F256)="","",INDEX(選手一覧!$F$5:$F$2736,$F256))</f>
        <v/>
      </c>
      <c r="J256" s="12" t="str">
        <f aca="false">IF(INDEX(選手一覧!$G$5:$G$2736,$F256)="","",INDEX(選手一覧!$G$5:$G$2736,$F256))</f>
        <v/>
      </c>
    </row>
    <row r="257" customFormat="false" ht="15" hidden="false" customHeight="false" outlineLevel="0" collapsed="false">
      <c r="A257" s="12" t="n">
        <v>254</v>
      </c>
      <c r="B257" s="8" t="s">
        <v>2169</v>
      </c>
      <c r="C257" s="8" t="s">
        <v>735</v>
      </c>
      <c r="D257" s="11" t="n">
        <v>0.00279409722222222</v>
      </c>
      <c r="E257" s="39" t="n">
        <f aca="false">ROUND((D257-$D$5)*86400,2)</f>
        <v>16.38</v>
      </c>
      <c r="F257" s="12" t="n">
        <v>1384</v>
      </c>
      <c r="G257" s="11" t="str">
        <f aca="false">IF(INDEX(選手一覧!$D$5:$D$2736,$F257)="","",INDEX(選手一覧!$D$5:$D$2736,$F257))</f>
        <v/>
      </c>
      <c r="H257" s="12" t="str">
        <f aca="false">IF(INDEX(選手一覧!$E$5:$E$2736,$F257)="","",INDEX(選手一覧!$E$5:$E$2736,$F257))</f>
        <v/>
      </c>
      <c r="I257" s="11" t="str">
        <f aca="false">IF(INDEX(選手一覧!$F$5:$F$2736,$F257)="","",INDEX(選手一覧!$F$5:$F$2736,$F257))</f>
        <v/>
      </c>
      <c r="J257" s="12" t="str">
        <f aca="false">IF(INDEX(選手一覧!$G$5:$G$2736,$F257)="","",INDEX(選手一覧!$G$5:$G$2736,$F257))</f>
        <v/>
      </c>
    </row>
    <row r="258" customFormat="false" ht="15" hidden="false" customHeight="false" outlineLevel="0" collapsed="false">
      <c r="A258" s="12" t="n">
        <v>255</v>
      </c>
      <c r="B258" s="8" t="s">
        <v>2172</v>
      </c>
      <c r="C258" s="8" t="s">
        <v>313</v>
      </c>
      <c r="D258" s="11" t="n">
        <v>0.00279421296296296</v>
      </c>
      <c r="E258" s="39" t="n">
        <f aca="false">ROUND((D258-$D$5)*86400,2)</f>
        <v>16.39</v>
      </c>
      <c r="F258" s="12" t="n">
        <v>1386</v>
      </c>
      <c r="G258" s="11" t="str">
        <f aca="false">IF(INDEX(選手一覧!$D$5:$D$2736,$F258)="","",INDEX(選手一覧!$D$5:$D$2736,$F258))</f>
        <v/>
      </c>
      <c r="H258" s="12" t="str">
        <f aca="false">IF(INDEX(選手一覧!$E$5:$E$2736,$F258)="","",INDEX(選手一覧!$E$5:$E$2736,$F258))</f>
        <v/>
      </c>
      <c r="I258" s="11" t="str">
        <f aca="false">IF(INDEX(選手一覧!$F$5:$F$2736,$F258)="","",INDEX(選手一覧!$F$5:$F$2736,$F258))</f>
        <v/>
      </c>
      <c r="J258" s="12" t="str">
        <f aca="false">IF(INDEX(選手一覧!$G$5:$G$2736,$F258)="","",INDEX(選手一覧!$G$5:$G$2736,$F258))</f>
        <v/>
      </c>
    </row>
    <row r="259" customFormat="false" ht="15" hidden="false" customHeight="false" outlineLevel="0" collapsed="false">
      <c r="A259" s="12" t="n">
        <v>256</v>
      </c>
      <c r="B259" s="8" t="s">
        <v>2175</v>
      </c>
      <c r="C259" s="8" t="s">
        <v>207</v>
      </c>
      <c r="D259" s="11" t="n">
        <v>0.0027943287037037</v>
      </c>
      <c r="E259" s="39" t="n">
        <f aca="false">ROUND((D259-$D$5)*86400,2)</f>
        <v>16.4</v>
      </c>
      <c r="F259" s="12" t="n">
        <v>1388</v>
      </c>
      <c r="G259" s="11" t="str">
        <f aca="false">IF(INDEX(選手一覧!$D$5:$D$2736,$F259)="","",INDEX(選手一覧!$D$5:$D$2736,$F259))</f>
        <v/>
      </c>
      <c r="H259" s="12" t="str">
        <f aca="false">IF(INDEX(選手一覧!$E$5:$E$2736,$F259)="","",INDEX(選手一覧!$E$5:$E$2736,$F259))</f>
        <v/>
      </c>
      <c r="I259" s="11" t="str">
        <f aca="false">IF(INDEX(選手一覧!$F$5:$F$2736,$F259)="","",INDEX(選手一覧!$F$5:$F$2736,$F259))</f>
        <v/>
      </c>
      <c r="J259" s="12" t="str">
        <f aca="false">IF(INDEX(選手一覧!$G$5:$G$2736,$F259)="","",INDEX(選手一覧!$G$5:$G$2736,$F259))</f>
        <v/>
      </c>
    </row>
    <row r="260" customFormat="false" ht="15" hidden="false" customHeight="false" outlineLevel="0" collapsed="false">
      <c r="A260" s="12" t="n">
        <v>257</v>
      </c>
      <c r="B260" s="8" t="s">
        <v>1251</v>
      </c>
      <c r="C260" s="8" t="s">
        <v>1252</v>
      </c>
      <c r="D260" s="11" t="n">
        <v>0.00279456018518519</v>
      </c>
      <c r="E260" s="39" t="n">
        <f aca="false">ROUND((D260-$D$5)*86400,2)</f>
        <v>16.42</v>
      </c>
      <c r="F260" s="12" t="n">
        <v>750</v>
      </c>
      <c r="G260" s="11" t="n">
        <f aca="false">IF(INDEX(選手一覧!$D$5:$D$2736,$F260)="","",INDEX(選手一覧!$D$5:$D$2736,$F260))</f>
        <v>0.0108052083333333</v>
      </c>
      <c r="H260" s="12" t="n">
        <f aca="false">IF(INDEX(選手一覧!$E$5:$E$2736,$F260)="","",INDEX(選手一覧!$E$5:$E$2736,$F260))</f>
        <v>751</v>
      </c>
      <c r="I260" s="11" t="n">
        <f aca="false">IF(INDEX(選手一覧!$F$5:$F$2736,$F260)="","",INDEX(選手一覧!$F$5:$F$2736,$F260))</f>
        <v>0.00641087962962963</v>
      </c>
      <c r="J260" s="12" t="n">
        <f aca="false">IF(INDEX(選手一覧!$G$5:$G$2736,$F260)="","",INDEX(選手一覧!$G$5:$G$2736,$F260))</f>
        <v>17</v>
      </c>
    </row>
    <row r="261" customFormat="false" ht="15" hidden="false" customHeight="false" outlineLevel="0" collapsed="false">
      <c r="A261" s="12" t="n">
        <v>258</v>
      </c>
      <c r="B261" s="8" t="s">
        <v>1925</v>
      </c>
      <c r="C261" s="8" t="s">
        <v>1926</v>
      </c>
      <c r="D261" s="11" t="n">
        <v>0.00279490740740741</v>
      </c>
      <c r="E261" s="39" t="n">
        <f aca="false">ROUND((D261-$D$5)*86400,2)</f>
        <v>16.45</v>
      </c>
      <c r="F261" s="12" t="n">
        <v>1208</v>
      </c>
      <c r="G261" s="11" t="n">
        <f aca="false">IF(INDEX(選手一覧!$D$5:$D$2736,$F261)="","",INDEX(選手一覧!$D$5:$D$2736,$F261))</f>
        <v>0.0110541666666667</v>
      </c>
      <c r="H261" s="12" t="n">
        <f aca="false">IF(INDEX(選手一覧!$E$5:$E$2736,$F261)="","",INDEX(選手一覧!$E$5:$E$2736,$F261))</f>
        <v>1209</v>
      </c>
      <c r="I261" s="11" t="str">
        <f aca="false">IF(INDEX(選手一覧!$F$5:$F$2736,$F261)="","",INDEX(選手一覧!$F$5:$F$2736,$F261))</f>
        <v/>
      </c>
      <c r="J261" s="12" t="str">
        <f aca="false">IF(INDEX(選手一覧!$G$5:$G$2736,$F261)="","",INDEX(選手一覧!$G$5:$G$2736,$F261))</f>
        <v/>
      </c>
    </row>
    <row r="262" customFormat="false" ht="15" hidden="false" customHeight="false" outlineLevel="0" collapsed="false">
      <c r="A262" s="12" t="n">
        <v>259</v>
      </c>
      <c r="B262" s="8" t="s">
        <v>2177</v>
      </c>
      <c r="C262" s="8" t="s">
        <v>1099</v>
      </c>
      <c r="D262" s="11" t="n">
        <v>0.00279525462962963</v>
      </c>
      <c r="E262" s="39" t="n">
        <f aca="false">ROUND((D262-$D$5)*86400,2)</f>
        <v>16.48</v>
      </c>
      <c r="F262" s="12" t="n">
        <v>1390</v>
      </c>
      <c r="G262" s="11" t="str">
        <f aca="false">IF(INDEX(選手一覧!$D$5:$D$2736,$F262)="","",INDEX(選手一覧!$D$5:$D$2736,$F262))</f>
        <v/>
      </c>
      <c r="H262" s="12" t="str">
        <f aca="false">IF(INDEX(選手一覧!$E$5:$E$2736,$F262)="","",INDEX(選手一覧!$E$5:$E$2736,$F262))</f>
        <v/>
      </c>
      <c r="I262" s="11" t="str">
        <f aca="false">IF(INDEX(選手一覧!$F$5:$F$2736,$F262)="","",INDEX(選手一覧!$F$5:$F$2736,$F262))</f>
        <v/>
      </c>
      <c r="J262" s="12" t="str">
        <f aca="false">IF(INDEX(選手一覧!$G$5:$G$2736,$F262)="","",INDEX(選手一覧!$G$5:$G$2736,$F262))</f>
        <v/>
      </c>
    </row>
    <row r="263" customFormat="false" ht="15" hidden="false" customHeight="false" outlineLevel="0" collapsed="false">
      <c r="A263" s="12" t="n">
        <v>260</v>
      </c>
      <c r="B263" s="8" t="s">
        <v>1893</v>
      </c>
      <c r="C263" s="8" t="s">
        <v>138</v>
      </c>
      <c r="D263" s="11" t="n">
        <v>0.00279525462962963</v>
      </c>
      <c r="E263" s="39" t="n">
        <f aca="false">ROUND((D263-$D$5)*86400,2)</f>
        <v>16.48</v>
      </c>
      <c r="F263" s="12" t="n">
        <v>1184</v>
      </c>
      <c r="G263" s="11" t="n">
        <f aca="false">IF(INDEX(選手一覧!$D$5:$D$2736,$F263)="","",INDEX(選手一覧!$D$5:$D$2736,$F263))</f>
        <v>0.01104375</v>
      </c>
      <c r="H263" s="12" t="n">
        <f aca="false">IF(INDEX(選手一覧!$E$5:$E$2736,$F263)="","",INDEX(選手一覧!$E$5:$E$2736,$F263))</f>
        <v>1185</v>
      </c>
      <c r="I263" s="11" t="str">
        <f aca="false">IF(INDEX(選手一覧!$F$5:$F$2736,$F263)="","",INDEX(選手一覧!$F$5:$F$2736,$F263))</f>
        <v/>
      </c>
      <c r="J263" s="12" t="str">
        <f aca="false">IF(INDEX(選手一覧!$G$5:$G$2736,$F263)="","",INDEX(選手一覧!$G$5:$G$2736,$F263))</f>
        <v/>
      </c>
    </row>
    <row r="264" customFormat="false" ht="15" hidden="false" customHeight="false" outlineLevel="0" collapsed="false">
      <c r="A264" s="12" t="n">
        <v>261</v>
      </c>
      <c r="B264" s="8" t="s">
        <v>615</v>
      </c>
      <c r="C264" s="8" t="s">
        <v>616</v>
      </c>
      <c r="D264" s="11" t="n">
        <v>0.00279537037037037</v>
      </c>
      <c r="E264" s="39" t="n">
        <f aca="false">ROUND((D264-$D$5)*86400,2)</f>
        <v>16.49</v>
      </c>
      <c r="F264" s="12" t="n">
        <v>336</v>
      </c>
      <c r="G264" s="11" t="n">
        <f aca="false">IF(INDEX(選手一覧!$D$5:$D$2736,$F264)="","",INDEX(選手一覧!$D$5:$D$2736,$F264))</f>
        <v>0.0104947916666667</v>
      </c>
      <c r="H264" s="12" t="n">
        <f aca="false">IF(INDEX(選手一覧!$E$5:$E$2736,$F264)="","",INDEX(選手一覧!$E$5:$E$2736,$F264))</f>
        <v>337</v>
      </c>
      <c r="I264" s="11" t="str">
        <f aca="false">IF(INDEX(選手一覧!$F$5:$F$2736,$F264)="","",INDEX(選手一覧!$F$5:$F$2736,$F264))</f>
        <v/>
      </c>
      <c r="J264" s="12" t="str">
        <f aca="false">IF(INDEX(選手一覧!$G$5:$G$2736,$F264)="","",INDEX(選手一覧!$G$5:$G$2736,$F264))</f>
        <v/>
      </c>
    </row>
    <row r="265" customFormat="false" ht="15" hidden="false" customHeight="false" outlineLevel="0" collapsed="false">
      <c r="A265" s="12" t="n">
        <v>262</v>
      </c>
      <c r="B265" s="8" t="s">
        <v>1184</v>
      </c>
      <c r="C265" s="8" t="s">
        <v>1185</v>
      </c>
      <c r="D265" s="11" t="n">
        <v>0.00279560185185185</v>
      </c>
      <c r="E265" s="39" t="n">
        <f aca="false">ROUND((D265-$D$5)*86400,2)</f>
        <v>16.51</v>
      </c>
      <c r="F265" s="12" t="n">
        <v>707</v>
      </c>
      <c r="G265" s="11" t="n">
        <f aca="false">IF(INDEX(選手一覧!$D$5:$D$2736,$F265)="","",INDEX(選手一覧!$D$5:$D$2736,$F265))</f>
        <v>0.0107810185185185</v>
      </c>
      <c r="H265" s="12" t="n">
        <f aca="false">IF(INDEX(選手一覧!$E$5:$E$2736,$F265)="","",INDEX(選手一覧!$E$5:$E$2736,$F265))</f>
        <v>708</v>
      </c>
      <c r="I265" s="11" t="str">
        <f aca="false">IF(INDEX(選手一覧!$F$5:$F$2736,$F265)="","",INDEX(選手一覧!$F$5:$F$2736,$F265))</f>
        <v/>
      </c>
      <c r="J265" s="12" t="str">
        <f aca="false">IF(INDEX(選手一覧!$G$5:$G$2736,$F265)="","",INDEX(選手一覧!$G$5:$G$2736,$F265))</f>
        <v/>
      </c>
    </row>
    <row r="266" customFormat="false" ht="15" hidden="false" customHeight="false" outlineLevel="0" collapsed="false">
      <c r="A266" s="12" t="n">
        <v>263</v>
      </c>
      <c r="B266" s="8" t="s">
        <v>1098</v>
      </c>
      <c r="C266" s="8" t="s">
        <v>1099</v>
      </c>
      <c r="D266" s="11" t="n">
        <v>0.00279560185185185</v>
      </c>
      <c r="E266" s="39" t="n">
        <f aca="false">ROUND((D266-$D$5)*86400,2)</f>
        <v>16.51</v>
      </c>
      <c r="F266" s="12" t="n">
        <v>654</v>
      </c>
      <c r="G266" s="11" t="n">
        <f aca="false">IF(INDEX(選手一覧!$D$5:$D$2736,$F266)="","",INDEX(選手一覧!$D$5:$D$2736,$F266))</f>
        <v>0.0107415509259259</v>
      </c>
      <c r="H266" s="12" t="n">
        <f aca="false">IF(INDEX(選手一覧!$E$5:$E$2736,$F266)="","",INDEX(選手一覧!$E$5:$E$2736,$F266))</f>
        <v>655</v>
      </c>
      <c r="I266" s="11" t="str">
        <f aca="false">IF(INDEX(選手一覧!$F$5:$F$2736,$F266)="","",INDEX(選手一覧!$F$5:$F$2736,$F266))</f>
        <v/>
      </c>
      <c r="J266" s="12" t="str">
        <f aca="false">IF(INDEX(選手一覧!$G$5:$G$2736,$F266)="","",INDEX(選手一覧!$G$5:$G$2736,$F266))</f>
        <v/>
      </c>
    </row>
    <row r="267" customFormat="false" ht="15" hidden="false" customHeight="false" outlineLevel="0" collapsed="false">
      <c r="A267" s="12" t="n">
        <v>264</v>
      </c>
      <c r="B267" s="8" t="s">
        <v>1247</v>
      </c>
      <c r="C267" s="8" t="s">
        <v>1248</v>
      </c>
      <c r="D267" s="11" t="n">
        <v>0.00279560185185185</v>
      </c>
      <c r="E267" s="39" t="n">
        <f aca="false">ROUND((D267-$D$5)*86400,2)</f>
        <v>16.51</v>
      </c>
      <c r="F267" s="12" t="n">
        <v>748</v>
      </c>
      <c r="G267" s="11" t="n">
        <f aca="false">IF(INDEX(選手一覧!$D$5:$D$2736,$F267)="","",INDEX(選手一覧!$D$5:$D$2736,$F267))</f>
        <v>0.010803125</v>
      </c>
      <c r="H267" s="12" t="n">
        <f aca="false">IF(INDEX(選手一覧!$E$5:$E$2736,$F267)="","",INDEX(選手一覧!$E$5:$E$2736,$F267))</f>
        <v>749</v>
      </c>
      <c r="I267" s="11" t="str">
        <f aca="false">IF(INDEX(選手一覧!$F$5:$F$2736,$F267)="","",INDEX(選手一覧!$F$5:$F$2736,$F267))</f>
        <v/>
      </c>
      <c r="J267" s="12" t="str">
        <f aca="false">IF(INDEX(選手一覧!$G$5:$G$2736,$F267)="","",INDEX(選手一覧!$G$5:$G$2736,$F267))</f>
        <v/>
      </c>
    </row>
    <row r="268" customFormat="false" ht="15" hidden="false" customHeight="false" outlineLevel="0" collapsed="false">
      <c r="A268" s="12" t="n">
        <v>265</v>
      </c>
      <c r="B268" s="8" t="s">
        <v>2187</v>
      </c>
      <c r="C268" s="8" t="s">
        <v>2188</v>
      </c>
      <c r="D268" s="11" t="n">
        <v>0.00279606481481482</v>
      </c>
      <c r="E268" s="39" t="n">
        <f aca="false">ROUND((D268-$D$5)*86400,2)</f>
        <v>16.55</v>
      </c>
      <c r="F268" s="12" t="n">
        <v>1397</v>
      </c>
      <c r="G268" s="11" t="str">
        <f aca="false">IF(INDEX(選手一覧!$D$5:$D$2736,$F268)="","",INDEX(選手一覧!$D$5:$D$2736,$F268))</f>
        <v/>
      </c>
      <c r="H268" s="12" t="str">
        <f aca="false">IF(INDEX(選手一覧!$E$5:$E$2736,$F268)="","",INDEX(選手一覧!$E$5:$E$2736,$F268))</f>
        <v/>
      </c>
      <c r="I268" s="11" t="str">
        <f aca="false">IF(INDEX(選手一覧!$F$5:$F$2736,$F268)="","",INDEX(選手一覧!$F$5:$F$2736,$F268))</f>
        <v/>
      </c>
      <c r="J268" s="12" t="str">
        <f aca="false">IF(INDEX(選手一覧!$G$5:$G$2736,$F268)="","",INDEX(選手一覧!$G$5:$G$2736,$F268))</f>
        <v/>
      </c>
    </row>
    <row r="269" customFormat="false" ht="15" hidden="false" customHeight="false" outlineLevel="0" collapsed="false">
      <c r="A269" s="12" t="n">
        <v>266</v>
      </c>
      <c r="B269" s="8" t="s">
        <v>280</v>
      </c>
      <c r="C269" s="8" t="s">
        <v>281</v>
      </c>
      <c r="D269" s="11" t="n">
        <v>0.00279618055555556</v>
      </c>
      <c r="E269" s="39" t="n">
        <f aca="false">ROUND((D269-$D$5)*86400,2)</f>
        <v>16.56</v>
      </c>
      <c r="F269" s="12" t="n">
        <v>136</v>
      </c>
      <c r="G269" s="11" t="n">
        <f aca="false">IF(INDEX(選手一覧!$D$5:$D$2736,$F269)="","",INDEX(選手一覧!$D$5:$D$2736,$F269))</f>
        <v>0.01026875</v>
      </c>
      <c r="H269" s="12" t="n">
        <f aca="false">IF(INDEX(選手一覧!$E$5:$E$2736,$F269)="","",INDEX(選手一覧!$E$5:$E$2736,$F269))</f>
        <v>137</v>
      </c>
      <c r="I269" s="11" t="str">
        <f aca="false">IF(INDEX(選手一覧!$F$5:$F$2736,$F269)="","",INDEX(選手一覧!$F$5:$F$2736,$F269))</f>
        <v/>
      </c>
      <c r="J269" s="12" t="str">
        <f aca="false">IF(INDEX(選手一覧!$G$5:$G$2736,$F269)="","",INDEX(選手一覧!$G$5:$G$2736,$F269))</f>
        <v/>
      </c>
    </row>
    <row r="270" customFormat="false" ht="15" hidden="false" customHeight="false" outlineLevel="0" collapsed="false">
      <c r="A270" s="12" t="n">
        <v>267</v>
      </c>
      <c r="B270" s="8" t="s">
        <v>633</v>
      </c>
      <c r="C270" s="8" t="s">
        <v>188</v>
      </c>
      <c r="D270" s="11" t="n">
        <v>0.00279618055555556</v>
      </c>
      <c r="E270" s="39" t="n">
        <f aca="false">ROUND((D270-$D$5)*86400,2)</f>
        <v>16.56</v>
      </c>
      <c r="F270" s="12" t="n">
        <v>347</v>
      </c>
      <c r="G270" s="11" t="n">
        <f aca="false">IF(INDEX(選手一覧!$D$5:$D$2736,$F270)="","",INDEX(選手一覧!$D$5:$D$2736,$F270))</f>
        <v>0.0105081018518519</v>
      </c>
      <c r="H270" s="12" t="n">
        <f aca="false">IF(INDEX(選手一覧!$E$5:$E$2736,$F270)="","",INDEX(選手一覧!$E$5:$E$2736,$F270))</f>
        <v>348</v>
      </c>
      <c r="I270" s="11" t="str">
        <f aca="false">IF(INDEX(選手一覧!$F$5:$F$2736,$F270)="","",INDEX(選手一覧!$F$5:$F$2736,$F270))</f>
        <v/>
      </c>
      <c r="J270" s="12" t="str">
        <f aca="false">IF(INDEX(選手一覧!$G$5:$G$2736,$F270)="","",INDEX(選手一覧!$G$5:$G$2736,$F270))</f>
        <v/>
      </c>
    </row>
    <row r="271" customFormat="false" ht="15" hidden="false" customHeight="false" outlineLevel="0" collapsed="false">
      <c r="A271" s="12" t="n">
        <v>268</v>
      </c>
      <c r="B271" s="8" t="s">
        <v>245</v>
      </c>
      <c r="C271" s="8" t="s">
        <v>246</v>
      </c>
      <c r="D271" s="11" t="n">
        <v>0.00279675925925926</v>
      </c>
      <c r="E271" s="39" t="n">
        <f aca="false">ROUND((D271-$D$5)*86400,2)</f>
        <v>16.61</v>
      </c>
      <c r="F271" s="12" t="n">
        <v>119</v>
      </c>
      <c r="G271" s="11" t="n">
        <f aca="false">IF(INDEX(選手一覧!$D$5:$D$2736,$F271)="","",INDEX(選手一覧!$D$5:$D$2736,$F271))</f>
        <v>0.0102403935185185</v>
      </c>
      <c r="H271" s="12" t="n">
        <f aca="false">IF(INDEX(選手一覧!$E$5:$E$2736,$F271)="","",INDEX(選手一覧!$E$5:$E$2736,$F271))</f>
        <v>120</v>
      </c>
      <c r="I271" s="11" t="str">
        <f aca="false">IF(INDEX(選手一覧!$F$5:$F$2736,$F271)="","",INDEX(選手一覧!$F$5:$F$2736,$F271))</f>
        <v/>
      </c>
      <c r="J271" s="12" t="str">
        <f aca="false">IF(INDEX(選手一覧!$G$5:$G$2736,$F271)="","",INDEX(選手一覧!$G$5:$G$2736,$F271))</f>
        <v/>
      </c>
    </row>
    <row r="272" customFormat="false" ht="15" hidden="false" customHeight="false" outlineLevel="0" collapsed="false">
      <c r="A272" s="12" t="n">
        <v>269</v>
      </c>
      <c r="B272" s="8" t="s">
        <v>504</v>
      </c>
      <c r="C272" s="8" t="s">
        <v>145</v>
      </c>
      <c r="D272" s="11" t="n">
        <v>0.002796875</v>
      </c>
      <c r="E272" s="39" t="n">
        <f aca="false">ROUND((D272-$D$5)*86400,2)</f>
        <v>16.62</v>
      </c>
      <c r="F272" s="12" t="n">
        <v>268</v>
      </c>
      <c r="G272" s="11" t="n">
        <f aca="false">IF(INDEX(選手一覧!$D$5:$D$2736,$F272)="","",INDEX(選手一覧!$D$5:$D$2736,$F272))</f>
        <v>0.0104037037037037</v>
      </c>
      <c r="H272" s="12" t="n">
        <f aca="false">IF(INDEX(選手一覧!$E$5:$E$2736,$F272)="","",INDEX(選手一覧!$E$5:$E$2736,$F272))</f>
        <v>269</v>
      </c>
      <c r="I272" s="11" t="str">
        <f aca="false">IF(INDEX(選手一覧!$F$5:$F$2736,$F272)="","",INDEX(選手一覧!$F$5:$F$2736,$F272))</f>
        <v/>
      </c>
      <c r="J272" s="12" t="str">
        <f aca="false">IF(INDEX(選手一覧!$G$5:$G$2736,$F272)="","",INDEX(選手一覧!$G$5:$G$2736,$F272))</f>
        <v/>
      </c>
    </row>
    <row r="273" customFormat="false" ht="15" hidden="false" customHeight="false" outlineLevel="0" collapsed="false">
      <c r="A273" s="12" t="n">
        <v>270</v>
      </c>
      <c r="B273" s="8" t="s">
        <v>1058</v>
      </c>
      <c r="C273" s="8" t="s">
        <v>508</v>
      </c>
      <c r="D273" s="11" t="n">
        <v>0.00279710648148148</v>
      </c>
      <c r="E273" s="39" t="n">
        <f aca="false">ROUND((D273-$D$5)*86400,2)</f>
        <v>16.64</v>
      </c>
      <c r="F273" s="12" t="n">
        <v>624</v>
      </c>
      <c r="G273" s="11" t="n">
        <f aca="false">IF(INDEX(選手一覧!$D$5:$D$2736,$F273)="","",INDEX(選手一覧!$D$5:$D$2736,$F273))</f>
        <v>0.0107273148148148</v>
      </c>
      <c r="H273" s="12" t="n">
        <f aca="false">IF(INDEX(選手一覧!$E$5:$E$2736,$F273)="","",INDEX(選手一覧!$E$5:$E$2736,$F273))</f>
        <v>625</v>
      </c>
      <c r="I273" s="11" t="str">
        <f aca="false">IF(INDEX(選手一覧!$F$5:$F$2736,$F273)="","",INDEX(選手一覧!$F$5:$F$2736,$F273))</f>
        <v/>
      </c>
      <c r="J273" s="12" t="str">
        <f aca="false">IF(INDEX(選手一覧!$G$5:$G$2736,$F273)="","",INDEX(選手一覧!$G$5:$G$2736,$F273))</f>
        <v/>
      </c>
    </row>
    <row r="274" customFormat="false" ht="15" hidden="false" customHeight="false" outlineLevel="0" collapsed="false">
      <c r="A274" s="12" t="n">
        <v>271</v>
      </c>
      <c r="B274" s="8" t="s">
        <v>2192</v>
      </c>
      <c r="C274" s="8" t="s">
        <v>2193</v>
      </c>
      <c r="D274" s="11" t="n">
        <v>0.0027974537037037</v>
      </c>
      <c r="E274" s="39" t="n">
        <f aca="false">ROUND((D274-$D$5)*86400,2)</f>
        <v>16.67</v>
      </c>
      <c r="F274" s="12" t="n">
        <v>1401</v>
      </c>
      <c r="G274" s="11" t="str">
        <f aca="false">IF(INDEX(選手一覧!$D$5:$D$2736,$F274)="","",INDEX(選手一覧!$D$5:$D$2736,$F274))</f>
        <v/>
      </c>
      <c r="H274" s="12" t="str">
        <f aca="false">IF(INDEX(選手一覧!$E$5:$E$2736,$F274)="","",INDEX(選手一覧!$E$5:$E$2736,$F274))</f>
        <v/>
      </c>
      <c r="I274" s="11" t="str">
        <f aca="false">IF(INDEX(選手一覧!$F$5:$F$2736,$F274)="","",INDEX(選手一覧!$F$5:$F$2736,$F274))</f>
        <v/>
      </c>
      <c r="J274" s="12" t="str">
        <f aca="false">IF(INDEX(選手一覧!$G$5:$G$2736,$F274)="","",INDEX(選手一覧!$G$5:$G$2736,$F274))</f>
        <v/>
      </c>
    </row>
    <row r="275" customFormat="false" ht="15" hidden="false" customHeight="false" outlineLevel="0" collapsed="false">
      <c r="A275" s="12" t="n">
        <v>272</v>
      </c>
      <c r="B275" s="8" t="s">
        <v>827</v>
      </c>
      <c r="C275" s="8" t="s">
        <v>58</v>
      </c>
      <c r="D275" s="11" t="n">
        <v>0.00279756944444445</v>
      </c>
      <c r="E275" s="39" t="n">
        <f aca="false">ROUND((D275-$D$5)*86400,2)</f>
        <v>16.68</v>
      </c>
      <c r="F275" s="12" t="n">
        <v>473</v>
      </c>
      <c r="G275" s="11" t="n">
        <f aca="false">IF(INDEX(選手一覧!$D$5:$D$2736,$F275)="","",INDEX(選手一覧!$D$5:$D$2736,$F275))</f>
        <v>0.0106086805555556</v>
      </c>
      <c r="H275" s="12" t="n">
        <f aca="false">IF(INDEX(選手一覧!$E$5:$E$2736,$F275)="","",INDEX(選手一覧!$E$5:$E$2736,$F275))</f>
        <v>474</v>
      </c>
      <c r="I275" s="11" t="n">
        <f aca="false">IF(INDEX(選手一覧!$F$5:$F$2736,$F275)="","",INDEX(選手一覧!$F$5:$F$2736,$F275))</f>
        <v>0.00698622685185185</v>
      </c>
      <c r="J275" s="12" t="n">
        <f aca="false">IF(INDEX(選手一覧!$G$5:$G$2736,$F275)="","",INDEX(選手一覧!$G$5:$G$2736,$F275))</f>
        <v>321</v>
      </c>
    </row>
    <row r="276" customFormat="false" ht="15" hidden="false" customHeight="false" outlineLevel="0" collapsed="false">
      <c r="A276" s="12" t="n">
        <v>273</v>
      </c>
      <c r="B276" s="8" t="s">
        <v>1138</v>
      </c>
      <c r="C276" s="8" t="s">
        <v>1139</v>
      </c>
      <c r="D276" s="11" t="n">
        <v>0.00279768518518519</v>
      </c>
      <c r="E276" s="39" t="n">
        <f aca="false">ROUND((D276-$D$5)*86400,2)</f>
        <v>16.69</v>
      </c>
      <c r="F276" s="12" t="n">
        <v>678</v>
      </c>
      <c r="G276" s="11" t="n">
        <f aca="false">IF(INDEX(選手一覧!$D$5:$D$2736,$F276)="","",INDEX(選手一覧!$D$5:$D$2736,$F276))</f>
        <v>0.0107601851851852</v>
      </c>
      <c r="H276" s="12" t="n">
        <f aca="false">IF(INDEX(選手一覧!$E$5:$E$2736,$F276)="","",INDEX(選手一覧!$E$5:$E$2736,$F276))</f>
        <v>679</v>
      </c>
      <c r="I276" s="11" t="n">
        <f aca="false">IF(INDEX(選手一覧!$F$5:$F$2736,$F276)="","",INDEX(選手一覧!$F$5:$F$2736,$F276))</f>
        <v>0.00667858796296296</v>
      </c>
      <c r="J276" s="12" t="n">
        <f aca="false">IF(INDEX(選手一覧!$G$5:$G$2736,$F276)="","",INDEX(選手一覧!$G$5:$G$2736,$F276))</f>
        <v>97</v>
      </c>
    </row>
    <row r="277" customFormat="false" ht="15" hidden="false" customHeight="false" outlineLevel="0" collapsed="false">
      <c r="A277" s="12" t="n">
        <v>274</v>
      </c>
      <c r="B277" s="8" t="s">
        <v>1511</v>
      </c>
      <c r="C277" s="8" t="s">
        <v>788</v>
      </c>
      <c r="D277" s="11" t="n">
        <v>0.00279780092592593</v>
      </c>
      <c r="E277" s="39" t="n">
        <f aca="false">ROUND((D277-$D$5)*86400,2)</f>
        <v>16.7</v>
      </c>
      <c r="F277" s="12" t="n">
        <v>923</v>
      </c>
      <c r="G277" s="11" t="n">
        <f aca="false">IF(INDEX(選手一覧!$D$5:$D$2736,$F277)="","",INDEX(選手一覧!$D$5:$D$2736,$F277))</f>
        <v>0.0109027777777778</v>
      </c>
      <c r="H277" s="12" t="n">
        <f aca="false">IF(INDEX(選手一覧!$E$5:$E$2736,$F277)="","",INDEX(選手一覧!$E$5:$E$2736,$F277))</f>
        <v>924</v>
      </c>
      <c r="I277" s="11" t="str">
        <f aca="false">IF(INDEX(選手一覧!$F$5:$F$2736,$F277)="","",INDEX(選手一覧!$F$5:$F$2736,$F277))</f>
        <v/>
      </c>
      <c r="J277" s="12" t="str">
        <f aca="false">IF(INDEX(選手一覧!$G$5:$G$2736,$F277)="","",INDEX(選手一覧!$G$5:$G$2736,$F277))</f>
        <v/>
      </c>
    </row>
    <row r="278" customFormat="false" ht="15" hidden="false" customHeight="false" outlineLevel="0" collapsed="false">
      <c r="A278" s="12" t="n">
        <v>275</v>
      </c>
      <c r="B278" s="8" t="s">
        <v>1261</v>
      </c>
      <c r="C278" s="8" t="s">
        <v>1262</v>
      </c>
      <c r="D278" s="11" t="n">
        <v>0.00279814814814815</v>
      </c>
      <c r="E278" s="39" t="n">
        <f aca="false">ROUND((D278-$D$5)*86400,2)</f>
        <v>16.73</v>
      </c>
      <c r="F278" s="12" t="n">
        <v>756</v>
      </c>
      <c r="G278" s="11" t="n">
        <f aca="false">IF(INDEX(選手一覧!$D$5:$D$2736,$F278)="","",INDEX(選手一覧!$D$5:$D$2736,$F278))</f>
        <v>0.0108070601851852</v>
      </c>
      <c r="H278" s="12" t="n">
        <f aca="false">IF(INDEX(選手一覧!$E$5:$E$2736,$F278)="","",INDEX(選手一覧!$E$5:$E$2736,$F278))</f>
        <v>757</v>
      </c>
      <c r="I278" s="11" t="str">
        <f aca="false">IF(INDEX(選手一覧!$F$5:$F$2736,$F278)="","",INDEX(選手一覧!$F$5:$F$2736,$F278))</f>
        <v/>
      </c>
      <c r="J278" s="12" t="str">
        <f aca="false">IF(INDEX(選手一覧!$G$5:$G$2736,$F278)="","",INDEX(選手一覧!$G$5:$G$2736,$F278))</f>
        <v/>
      </c>
    </row>
    <row r="279" customFormat="false" ht="15" hidden="false" customHeight="false" outlineLevel="0" collapsed="false">
      <c r="A279" s="12" t="n">
        <v>276</v>
      </c>
      <c r="B279" s="8" t="s">
        <v>600</v>
      </c>
      <c r="C279" s="8" t="s">
        <v>4682</v>
      </c>
      <c r="D279" s="11" t="n">
        <v>0.00279872685185185</v>
      </c>
      <c r="E279" s="39" t="n">
        <f aca="false">ROUND((D279-$D$5)*86400,2)</f>
        <v>16.78</v>
      </c>
      <c r="F279" s="12" t="n">
        <v>326</v>
      </c>
      <c r="G279" s="11" t="n">
        <f aca="false">IF(INDEX(選手一覧!$D$5:$D$2736,$F279)="","",INDEX(選手一覧!$D$5:$D$2736,$F279))</f>
        <v>0.0104842592592593</v>
      </c>
      <c r="H279" s="12" t="n">
        <f aca="false">IF(INDEX(選手一覧!$E$5:$E$2736,$F279)="","",INDEX(選手一覧!$E$5:$E$2736,$F279))</f>
        <v>327</v>
      </c>
      <c r="I279" s="11" t="str">
        <f aca="false">IF(INDEX(選手一覧!$F$5:$F$2736,$F279)="","",INDEX(選手一覧!$F$5:$F$2736,$F279))</f>
        <v/>
      </c>
      <c r="J279" s="12" t="str">
        <f aca="false">IF(INDEX(選手一覧!$G$5:$G$2736,$F279)="","",INDEX(選手一覧!$G$5:$G$2736,$F279))</f>
        <v/>
      </c>
    </row>
    <row r="280" customFormat="false" ht="15" hidden="false" customHeight="false" outlineLevel="0" collapsed="false">
      <c r="A280" s="12" t="n">
        <v>277</v>
      </c>
      <c r="B280" s="8" t="s">
        <v>401</v>
      </c>
      <c r="C280" s="8" t="s">
        <v>402</v>
      </c>
      <c r="D280" s="11" t="n">
        <v>0.00279907407407407</v>
      </c>
      <c r="E280" s="39" t="n">
        <f aca="false">ROUND((D280-$D$5)*86400,2)</f>
        <v>16.81</v>
      </c>
      <c r="F280" s="12" t="n">
        <v>204</v>
      </c>
      <c r="G280" s="11" t="n">
        <f aca="false">IF(INDEX(選手一覧!$D$5:$D$2736,$F280)="","",INDEX(選手一覧!$D$5:$D$2736,$F280))</f>
        <v>0.0103510416666667</v>
      </c>
      <c r="H280" s="12" t="n">
        <f aca="false">IF(INDEX(選手一覧!$E$5:$E$2736,$F280)="","",INDEX(選手一覧!$E$5:$E$2736,$F280))</f>
        <v>205</v>
      </c>
      <c r="I280" s="11" t="str">
        <f aca="false">IF(INDEX(選手一覧!$F$5:$F$2736,$F280)="","",INDEX(選手一覧!$F$5:$F$2736,$F280))</f>
        <v/>
      </c>
      <c r="J280" s="12" t="str">
        <f aca="false">IF(INDEX(選手一覧!$G$5:$G$2736,$F280)="","",INDEX(選手一覧!$G$5:$G$2736,$F280))</f>
        <v/>
      </c>
    </row>
    <row r="281" customFormat="false" ht="15" hidden="false" customHeight="false" outlineLevel="0" collapsed="false">
      <c r="A281" s="12" t="n">
        <v>278</v>
      </c>
      <c r="B281" s="8" t="s">
        <v>1182</v>
      </c>
      <c r="C281" s="8" t="s">
        <v>1183</v>
      </c>
      <c r="D281" s="11" t="n">
        <v>0.00279907407407407</v>
      </c>
      <c r="E281" s="39" t="n">
        <f aca="false">ROUND((D281-$D$5)*86400,2)</f>
        <v>16.81</v>
      </c>
      <c r="F281" s="12" t="n">
        <v>706</v>
      </c>
      <c r="G281" s="11" t="n">
        <f aca="false">IF(INDEX(選手一覧!$D$5:$D$2736,$F281)="","",INDEX(選手一覧!$D$5:$D$2736,$F281))</f>
        <v>0.0107804398148148</v>
      </c>
      <c r="H281" s="12" t="n">
        <f aca="false">IF(INDEX(選手一覧!$E$5:$E$2736,$F281)="","",INDEX(選手一覧!$E$5:$E$2736,$F281))</f>
        <v>707</v>
      </c>
      <c r="I281" s="11" t="str">
        <f aca="false">IF(INDEX(選手一覧!$F$5:$F$2736,$F281)="","",INDEX(選手一覧!$F$5:$F$2736,$F281))</f>
        <v/>
      </c>
      <c r="J281" s="12" t="str">
        <f aca="false">IF(INDEX(選手一覧!$G$5:$G$2736,$F281)="","",INDEX(選手一覧!$G$5:$G$2736,$F281))</f>
        <v/>
      </c>
    </row>
    <row r="282" customFormat="false" ht="15" hidden="false" customHeight="false" outlineLevel="0" collapsed="false">
      <c r="A282" s="12" t="n">
        <v>279</v>
      </c>
      <c r="B282" s="8" t="s">
        <v>351</v>
      </c>
      <c r="C282" s="8" t="s">
        <v>316</v>
      </c>
      <c r="D282" s="11" t="n">
        <v>0.00279930555555556</v>
      </c>
      <c r="E282" s="39" t="n">
        <f aca="false">ROUND((D282-$D$5)*86400,2)</f>
        <v>16.83</v>
      </c>
      <c r="F282" s="12" t="n">
        <v>174</v>
      </c>
      <c r="G282" s="11" t="n">
        <f aca="false">IF(INDEX(選手一覧!$D$5:$D$2736,$F282)="","",INDEX(選手一覧!$D$5:$D$2736,$F282))</f>
        <v>0.0103246527777778</v>
      </c>
      <c r="H282" s="12" t="n">
        <f aca="false">IF(INDEX(選手一覧!$E$5:$E$2736,$F282)="","",INDEX(選手一覧!$E$5:$E$2736,$F282))</f>
        <v>175</v>
      </c>
      <c r="I282" s="11" t="n">
        <f aca="false">IF(INDEX(選手一覧!$F$5:$F$2736,$F282)="","",INDEX(選手一覧!$F$5:$F$2736,$F282))</f>
        <v>0.00648136574074074</v>
      </c>
      <c r="J282" s="12" t="n">
        <f aca="false">IF(INDEX(選手一覧!$G$5:$G$2736,$F282)="","",INDEX(選手一覧!$G$5:$G$2736,$F282))</f>
        <v>30</v>
      </c>
    </row>
    <row r="283" customFormat="false" ht="15" hidden="false" customHeight="false" outlineLevel="0" collapsed="false">
      <c r="A283" s="12" t="n">
        <v>280</v>
      </c>
      <c r="B283" s="8" t="s">
        <v>2201</v>
      </c>
      <c r="C283" s="8" t="s">
        <v>1462</v>
      </c>
      <c r="D283" s="11" t="n">
        <v>0.0027994212962963</v>
      </c>
      <c r="E283" s="39" t="n">
        <f aca="false">ROUND((D283-$D$5)*86400,2)</f>
        <v>16.84</v>
      </c>
      <c r="F283" s="12" t="n">
        <v>1407</v>
      </c>
      <c r="G283" s="11" t="str">
        <f aca="false">IF(INDEX(選手一覧!$D$5:$D$2736,$F283)="","",INDEX(選手一覧!$D$5:$D$2736,$F283))</f>
        <v/>
      </c>
      <c r="H283" s="12" t="str">
        <f aca="false">IF(INDEX(選手一覧!$E$5:$E$2736,$F283)="","",INDEX(選手一覧!$E$5:$E$2736,$F283))</f>
        <v/>
      </c>
      <c r="I283" s="11" t="str">
        <f aca="false">IF(INDEX(選手一覧!$F$5:$F$2736,$F283)="","",INDEX(選手一覧!$F$5:$F$2736,$F283))</f>
        <v/>
      </c>
      <c r="J283" s="12" t="str">
        <f aca="false">IF(INDEX(選手一覧!$G$5:$G$2736,$F283)="","",INDEX(選手一覧!$G$5:$G$2736,$F283))</f>
        <v/>
      </c>
    </row>
    <row r="284" customFormat="false" ht="15" hidden="false" customHeight="false" outlineLevel="0" collapsed="false">
      <c r="A284" s="12" t="n">
        <v>281</v>
      </c>
      <c r="B284" s="8" t="s">
        <v>674</v>
      </c>
      <c r="C284" s="8" t="s">
        <v>160</v>
      </c>
      <c r="D284" s="11" t="n">
        <v>0.00279965277777778</v>
      </c>
      <c r="E284" s="39" t="n">
        <f aca="false">ROUND((D284-$D$5)*86400,2)</f>
        <v>16.86</v>
      </c>
      <c r="F284" s="12" t="n">
        <v>374</v>
      </c>
      <c r="G284" s="11" t="n">
        <f aca="false">IF(INDEX(選手一覧!$D$5:$D$2736,$F284)="","",INDEX(選手一覧!$D$5:$D$2736,$F284))</f>
        <v>0.0105329861111111</v>
      </c>
      <c r="H284" s="12" t="n">
        <f aca="false">IF(INDEX(選手一覧!$E$5:$E$2736,$F284)="","",INDEX(選手一覧!$E$5:$E$2736,$F284))</f>
        <v>375</v>
      </c>
      <c r="I284" s="11" t="str">
        <f aca="false">IF(INDEX(選手一覧!$F$5:$F$2736,$F284)="","",INDEX(選手一覧!$F$5:$F$2736,$F284))</f>
        <v/>
      </c>
      <c r="J284" s="12" t="str">
        <f aca="false">IF(INDEX(選手一覧!$G$5:$G$2736,$F284)="","",INDEX(選手一覧!$G$5:$G$2736,$F284))</f>
        <v/>
      </c>
    </row>
    <row r="285" customFormat="false" ht="15" hidden="false" customHeight="false" outlineLevel="0" collapsed="false">
      <c r="A285" s="12" t="n">
        <v>282</v>
      </c>
      <c r="B285" s="8" t="s">
        <v>605</v>
      </c>
      <c r="C285" s="8" t="s">
        <v>606</v>
      </c>
      <c r="D285" s="11" t="n">
        <v>0.00279965277777778</v>
      </c>
      <c r="E285" s="39" t="n">
        <f aca="false">ROUND((D285-$D$5)*86400,2)</f>
        <v>16.86</v>
      </c>
      <c r="F285" s="12" t="n">
        <v>330</v>
      </c>
      <c r="G285" s="11" t="n">
        <f aca="false">IF(INDEX(選手一覧!$D$5:$D$2736,$F285)="","",INDEX(選手一覧!$D$5:$D$2736,$F285))</f>
        <v>0.0104891203703704</v>
      </c>
      <c r="H285" s="12" t="n">
        <f aca="false">IF(INDEX(選手一覧!$E$5:$E$2736,$F285)="","",INDEX(選手一覧!$E$5:$E$2736,$F285))</f>
        <v>331</v>
      </c>
      <c r="I285" s="11" t="str">
        <f aca="false">IF(INDEX(選手一覧!$F$5:$F$2736,$F285)="","",INDEX(選手一覧!$F$5:$F$2736,$F285))</f>
        <v/>
      </c>
      <c r="J285" s="12" t="str">
        <f aca="false">IF(INDEX(選手一覧!$G$5:$G$2736,$F285)="","",INDEX(選手一覧!$G$5:$G$2736,$F285))</f>
        <v/>
      </c>
    </row>
    <row r="286" customFormat="false" ht="15" hidden="false" customHeight="false" outlineLevel="0" collapsed="false">
      <c r="A286" s="12" t="n">
        <v>283</v>
      </c>
      <c r="B286" s="8" t="s">
        <v>1538</v>
      </c>
      <c r="C286" s="8" t="s">
        <v>1378</v>
      </c>
      <c r="D286" s="11" t="n">
        <v>0.00279988425925926</v>
      </c>
      <c r="E286" s="39" t="n">
        <f aca="false">ROUND((D286-$D$5)*86400,2)</f>
        <v>16.88</v>
      </c>
      <c r="F286" s="12" t="n">
        <v>943</v>
      </c>
      <c r="G286" s="11" t="n">
        <f aca="false">IF(INDEX(選手一覧!$D$5:$D$2736,$F286)="","",INDEX(選手一覧!$D$5:$D$2736,$F286))</f>
        <v>0.0109134259259259</v>
      </c>
      <c r="H286" s="12" t="n">
        <f aca="false">IF(INDEX(選手一覧!$E$5:$E$2736,$F286)="","",INDEX(選手一覧!$E$5:$E$2736,$F286))</f>
        <v>944</v>
      </c>
      <c r="I286" s="11" t="str">
        <f aca="false">IF(INDEX(選手一覧!$F$5:$F$2736,$F286)="","",INDEX(選手一覧!$F$5:$F$2736,$F286))</f>
        <v/>
      </c>
      <c r="J286" s="12" t="str">
        <f aca="false">IF(INDEX(選手一覧!$G$5:$G$2736,$F286)="","",INDEX(選手一覧!$G$5:$G$2736,$F286))</f>
        <v/>
      </c>
    </row>
    <row r="287" customFormat="false" ht="15" hidden="false" customHeight="false" outlineLevel="0" collapsed="false">
      <c r="A287" s="12" t="n">
        <v>284</v>
      </c>
      <c r="B287" s="8" t="s">
        <v>563</v>
      </c>
      <c r="C287" s="8" t="s">
        <v>4682</v>
      </c>
      <c r="D287" s="11" t="n">
        <v>0.00279988425925926</v>
      </c>
      <c r="E287" s="39" t="n">
        <f aca="false">ROUND((D287-$D$5)*86400,2)</f>
        <v>16.88</v>
      </c>
      <c r="F287" s="12" t="n">
        <v>304</v>
      </c>
      <c r="G287" s="11" t="n">
        <f aca="false">IF(INDEX(選手一覧!$D$5:$D$2736,$F287)="","",INDEX(選手一覧!$D$5:$D$2736,$F287))</f>
        <v>0.0104532407407407</v>
      </c>
      <c r="H287" s="12" t="n">
        <f aca="false">IF(INDEX(選手一覧!$E$5:$E$2736,$F287)="","",INDEX(選手一覧!$E$5:$E$2736,$F287))</f>
        <v>305</v>
      </c>
      <c r="I287" s="11" t="str">
        <f aca="false">IF(INDEX(選手一覧!$F$5:$F$2736,$F287)="","",INDEX(選手一覧!$F$5:$F$2736,$F287))</f>
        <v/>
      </c>
      <c r="J287" s="12" t="str">
        <f aca="false">IF(INDEX(選手一覧!$G$5:$G$2736,$F287)="","",INDEX(選手一覧!$G$5:$G$2736,$F287))</f>
        <v/>
      </c>
    </row>
    <row r="288" customFormat="false" ht="15" hidden="false" customHeight="false" outlineLevel="0" collapsed="false">
      <c r="A288" s="12" t="n">
        <v>285</v>
      </c>
      <c r="B288" s="8" t="s">
        <v>793</v>
      </c>
      <c r="C288" s="8" t="s">
        <v>283</v>
      </c>
      <c r="D288" s="11" t="n">
        <v>0.0028005787037037</v>
      </c>
      <c r="E288" s="39" t="n">
        <f aca="false">ROUND((D288-$D$5)*86400,2)</f>
        <v>16.94</v>
      </c>
      <c r="F288" s="12" t="n">
        <v>449</v>
      </c>
      <c r="G288" s="11" t="n">
        <f aca="false">IF(INDEX(選手一覧!$D$5:$D$2736,$F288)="","",INDEX(選手一覧!$D$5:$D$2736,$F288))</f>
        <v>0.0105872685185185</v>
      </c>
      <c r="H288" s="12" t="n">
        <f aca="false">IF(INDEX(選手一覧!$E$5:$E$2736,$F288)="","",INDEX(選手一覧!$E$5:$E$2736,$F288))</f>
        <v>450</v>
      </c>
      <c r="I288" s="11" t="str">
        <f aca="false">IF(INDEX(選手一覧!$F$5:$F$2736,$F288)="","",INDEX(選手一覧!$F$5:$F$2736,$F288))</f>
        <v/>
      </c>
      <c r="J288" s="12" t="str">
        <f aca="false">IF(INDEX(選手一覧!$G$5:$G$2736,$F288)="","",INDEX(選手一覧!$G$5:$G$2736,$F288))</f>
        <v/>
      </c>
    </row>
    <row r="289" customFormat="false" ht="15" hidden="false" customHeight="false" outlineLevel="0" collapsed="false">
      <c r="A289" s="12" t="n">
        <v>286</v>
      </c>
      <c r="B289" s="8" t="s">
        <v>2210</v>
      </c>
      <c r="C289" s="8" t="s">
        <v>294</v>
      </c>
      <c r="D289" s="11" t="n">
        <v>0.0028005787037037</v>
      </c>
      <c r="E289" s="39" t="n">
        <f aca="false">ROUND((D289-$D$5)*86400,2)</f>
        <v>16.94</v>
      </c>
      <c r="F289" s="12" t="n">
        <v>1413</v>
      </c>
      <c r="G289" s="11" t="str">
        <f aca="false">IF(INDEX(選手一覧!$D$5:$D$2736,$F289)="","",INDEX(選手一覧!$D$5:$D$2736,$F289))</f>
        <v/>
      </c>
      <c r="H289" s="12" t="str">
        <f aca="false">IF(INDEX(選手一覧!$E$5:$E$2736,$F289)="","",INDEX(選手一覧!$E$5:$E$2736,$F289))</f>
        <v/>
      </c>
      <c r="I289" s="11" t="str">
        <f aca="false">IF(INDEX(選手一覧!$F$5:$F$2736,$F289)="","",INDEX(選手一覧!$F$5:$F$2736,$F289))</f>
        <v/>
      </c>
      <c r="J289" s="12" t="str">
        <f aca="false">IF(INDEX(選手一覧!$G$5:$G$2736,$F289)="","",INDEX(選手一覧!$G$5:$G$2736,$F289))</f>
        <v/>
      </c>
    </row>
    <row r="290" customFormat="false" ht="15" hidden="false" customHeight="false" outlineLevel="0" collapsed="false">
      <c r="A290" s="12" t="n">
        <v>287</v>
      </c>
      <c r="B290" s="8" t="s">
        <v>1828</v>
      </c>
      <c r="C290" s="8" t="s">
        <v>691</v>
      </c>
      <c r="D290" s="11" t="n">
        <v>0.00280104166666667</v>
      </c>
      <c r="E290" s="39" t="n">
        <f aca="false">ROUND((D290-$D$5)*86400,2)</f>
        <v>16.98</v>
      </c>
      <c r="F290" s="12" t="n">
        <v>1139</v>
      </c>
      <c r="G290" s="11" t="n">
        <f aca="false">IF(INDEX(選手一覧!$D$5:$D$2736,$F290)="","",INDEX(選手一覧!$D$5:$D$2736,$F290))</f>
        <v>0.0110256944444444</v>
      </c>
      <c r="H290" s="12" t="n">
        <f aca="false">IF(INDEX(選手一覧!$E$5:$E$2736,$F290)="","",INDEX(選手一覧!$E$5:$E$2736,$F290))</f>
        <v>1140</v>
      </c>
      <c r="I290" s="11" t="n">
        <f aca="false">IF(INDEX(選手一覧!$F$5:$F$2736,$F290)="","",INDEX(選手一覧!$F$5:$F$2736,$F290))</f>
        <v>0.00750810185185185</v>
      </c>
      <c r="J290" s="12" t="n">
        <f aca="false">IF(INDEX(選手一覧!$G$5:$G$2736,$F290)="","",INDEX(選手一覧!$G$5:$G$2736,$F290))</f>
        <v>897</v>
      </c>
    </row>
    <row r="291" customFormat="false" ht="15" hidden="false" customHeight="false" outlineLevel="0" collapsed="false">
      <c r="A291" s="12" t="n">
        <v>288</v>
      </c>
      <c r="B291" s="8" t="s">
        <v>1852</v>
      </c>
      <c r="C291" s="8" t="s">
        <v>1853</v>
      </c>
      <c r="D291" s="11" t="n">
        <v>0.00280162037037037</v>
      </c>
      <c r="E291" s="39" t="n">
        <f aca="false">ROUND((D291-$D$5)*86400,2)</f>
        <v>17.03</v>
      </c>
      <c r="F291" s="12" t="n">
        <v>1155</v>
      </c>
      <c r="G291" s="11" t="n">
        <f aca="false">IF(INDEX(選手一覧!$D$5:$D$2736,$F291)="","",INDEX(選手一覧!$D$5:$D$2736,$F291))</f>
        <v>0.0110321759259259</v>
      </c>
      <c r="H291" s="12" t="n">
        <f aca="false">IF(INDEX(選手一覧!$E$5:$E$2736,$F291)="","",INDEX(選手一覧!$E$5:$E$2736,$F291))</f>
        <v>1156</v>
      </c>
      <c r="I291" s="11" t="str">
        <f aca="false">IF(INDEX(選手一覧!$F$5:$F$2736,$F291)="","",INDEX(選手一覧!$F$5:$F$2736,$F291))</f>
        <v/>
      </c>
      <c r="J291" s="12" t="str">
        <f aca="false">IF(INDEX(選手一覧!$G$5:$G$2736,$F291)="","",INDEX(選手一覧!$G$5:$G$2736,$F291))</f>
        <v/>
      </c>
    </row>
    <row r="292" customFormat="false" ht="15" hidden="false" customHeight="false" outlineLevel="0" collapsed="false">
      <c r="A292" s="12" t="n">
        <v>289</v>
      </c>
      <c r="B292" s="8" t="s">
        <v>409</v>
      </c>
      <c r="C292" s="8" t="s">
        <v>410</v>
      </c>
      <c r="D292" s="11" t="n">
        <v>0.00280162037037037</v>
      </c>
      <c r="E292" s="39" t="n">
        <f aca="false">ROUND((D292-$D$5)*86400,2)</f>
        <v>17.03</v>
      </c>
      <c r="F292" s="12" t="n">
        <v>209</v>
      </c>
      <c r="G292" s="11" t="n">
        <f aca="false">IF(INDEX(選手一覧!$D$5:$D$2736,$F292)="","",INDEX(選手一覧!$D$5:$D$2736,$F292))</f>
        <v>0.0103554398148148</v>
      </c>
      <c r="H292" s="12" t="n">
        <f aca="false">IF(INDEX(選手一覧!$E$5:$E$2736,$F292)="","",INDEX(選手一覧!$E$5:$E$2736,$F292))</f>
        <v>210</v>
      </c>
      <c r="I292" s="11" t="str">
        <f aca="false">IF(INDEX(選手一覧!$F$5:$F$2736,$F292)="","",INDEX(選手一覧!$F$5:$F$2736,$F292))</f>
        <v/>
      </c>
      <c r="J292" s="12" t="str">
        <f aca="false">IF(INDEX(選手一覧!$G$5:$G$2736,$F292)="","",INDEX(選手一覧!$G$5:$G$2736,$F292))</f>
        <v/>
      </c>
    </row>
    <row r="293" customFormat="false" ht="15" hidden="false" customHeight="false" outlineLevel="0" collapsed="false">
      <c r="A293" s="12" t="n">
        <v>290</v>
      </c>
      <c r="B293" s="8" t="s">
        <v>507</v>
      </c>
      <c r="C293" s="8" t="s">
        <v>508</v>
      </c>
      <c r="D293" s="11" t="n">
        <v>0.00280208333333333</v>
      </c>
      <c r="E293" s="39" t="n">
        <f aca="false">ROUND((D293-$D$5)*86400,2)</f>
        <v>17.07</v>
      </c>
      <c r="F293" s="12" t="n">
        <v>270</v>
      </c>
      <c r="G293" s="11" t="n">
        <f aca="false">IF(INDEX(選手一覧!$D$5:$D$2736,$F293)="","",INDEX(選手一覧!$D$5:$D$2736,$F293))</f>
        <v>0.0104074074074074</v>
      </c>
      <c r="H293" s="12" t="n">
        <f aca="false">IF(INDEX(選手一覧!$E$5:$E$2736,$F293)="","",INDEX(選手一覧!$E$5:$E$2736,$F293))</f>
        <v>271</v>
      </c>
      <c r="I293" s="11" t="str">
        <f aca="false">IF(INDEX(選手一覧!$F$5:$F$2736,$F293)="","",INDEX(選手一覧!$F$5:$F$2736,$F293))</f>
        <v/>
      </c>
      <c r="J293" s="12" t="str">
        <f aca="false">IF(INDEX(選手一覧!$G$5:$G$2736,$F293)="","",INDEX(選手一覧!$G$5:$G$2736,$F293))</f>
        <v/>
      </c>
    </row>
    <row r="294" customFormat="false" ht="15" hidden="false" customHeight="false" outlineLevel="0" collapsed="false">
      <c r="A294" s="12" t="n">
        <v>291</v>
      </c>
      <c r="B294" s="8" t="s">
        <v>757</v>
      </c>
      <c r="C294" s="8" t="s">
        <v>18</v>
      </c>
      <c r="D294" s="11" t="n">
        <v>0.00280208333333333</v>
      </c>
      <c r="E294" s="39" t="n">
        <f aca="false">ROUND((D294-$D$5)*86400,2)</f>
        <v>17.07</v>
      </c>
      <c r="F294" s="12" t="n">
        <v>425</v>
      </c>
      <c r="G294" s="11" t="n">
        <f aca="false">IF(INDEX(選手一覧!$D$5:$D$2736,$F294)="","",INDEX(選手一覧!$D$5:$D$2736,$F294))</f>
        <v>0.010571875</v>
      </c>
      <c r="H294" s="12" t="n">
        <f aca="false">IF(INDEX(選手一覧!$E$5:$E$2736,$F294)="","",INDEX(選手一覧!$E$5:$E$2736,$F294))</f>
        <v>426</v>
      </c>
      <c r="I294" s="11" t="str">
        <f aca="false">IF(INDEX(選手一覧!$F$5:$F$2736,$F294)="","",INDEX(選手一覧!$F$5:$F$2736,$F294))</f>
        <v/>
      </c>
      <c r="J294" s="12" t="str">
        <f aca="false">IF(INDEX(選手一覧!$G$5:$G$2736,$F294)="","",INDEX(選手一覧!$G$5:$G$2736,$F294))</f>
        <v/>
      </c>
    </row>
    <row r="295" customFormat="false" ht="15" hidden="false" customHeight="false" outlineLevel="0" collapsed="false">
      <c r="A295" s="12" t="n">
        <v>292</v>
      </c>
      <c r="B295" s="8" t="s">
        <v>2215</v>
      </c>
      <c r="C295" s="8" t="s">
        <v>625</v>
      </c>
      <c r="D295" s="11" t="n">
        <v>0.00280243055555556</v>
      </c>
      <c r="E295" s="39" t="n">
        <f aca="false">ROUND((D295-$D$5)*86400,2)</f>
        <v>17.1</v>
      </c>
      <c r="F295" s="12" t="n">
        <v>1416</v>
      </c>
      <c r="G295" s="11" t="str">
        <f aca="false">IF(INDEX(選手一覧!$D$5:$D$2736,$F295)="","",INDEX(選手一覧!$D$5:$D$2736,$F295))</f>
        <v/>
      </c>
      <c r="H295" s="12" t="str">
        <f aca="false">IF(INDEX(選手一覧!$E$5:$E$2736,$F295)="","",INDEX(選手一覧!$E$5:$E$2736,$F295))</f>
        <v/>
      </c>
      <c r="I295" s="11" t="str">
        <f aca="false">IF(INDEX(選手一覧!$F$5:$F$2736,$F295)="","",INDEX(選手一覧!$F$5:$F$2736,$F295))</f>
        <v/>
      </c>
      <c r="J295" s="12" t="str">
        <f aca="false">IF(INDEX(選手一覧!$G$5:$G$2736,$F295)="","",INDEX(選手一覧!$G$5:$G$2736,$F295))</f>
        <v/>
      </c>
    </row>
    <row r="296" customFormat="false" ht="15" hidden="false" customHeight="false" outlineLevel="0" collapsed="false">
      <c r="A296" s="12" t="n">
        <v>293</v>
      </c>
      <c r="B296" s="8" t="s">
        <v>1736</v>
      </c>
      <c r="C296" s="8" t="s">
        <v>471</v>
      </c>
      <c r="D296" s="11" t="n">
        <v>0.00280266203703704</v>
      </c>
      <c r="E296" s="39" t="n">
        <f aca="false">ROUND((D296-$D$5)*86400,2)</f>
        <v>17.12</v>
      </c>
      <c r="F296" s="12" t="n">
        <v>1078</v>
      </c>
      <c r="G296" s="11" t="n">
        <f aca="false">IF(INDEX(選手一覧!$D$5:$D$2736,$F296)="","",INDEX(選手一覧!$D$5:$D$2736,$F296))</f>
        <v>0.0109903935185185</v>
      </c>
      <c r="H296" s="12" t="n">
        <f aca="false">IF(INDEX(選手一覧!$E$5:$E$2736,$F296)="","",INDEX(選手一覧!$E$5:$E$2736,$F296))</f>
        <v>1079</v>
      </c>
      <c r="I296" s="11" t="str">
        <f aca="false">IF(INDEX(選手一覧!$F$5:$F$2736,$F296)="","",INDEX(選手一覧!$F$5:$F$2736,$F296))</f>
        <v/>
      </c>
      <c r="J296" s="12" t="str">
        <f aca="false">IF(INDEX(選手一覧!$G$5:$G$2736,$F296)="","",INDEX(選手一覧!$G$5:$G$2736,$F296))</f>
        <v/>
      </c>
    </row>
    <row r="297" customFormat="false" ht="15" hidden="false" customHeight="false" outlineLevel="0" collapsed="false">
      <c r="A297" s="12" t="n">
        <v>294</v>
      </c>
      <c r="B297" s="8" t="s">
        <v>303</v>
      </c>
      <c r="C297" s="8" t="s">
        <v>304</v>
      </c>
      <c r="D297" s="11" t="n">
        <v>0.00280266203703704</v>
      </c>
      <c r="E297" s="39" t="n">
        <f aca="false">ROUND((D297-$D$5)*86400,2)</f>
        <v>17.12</v>
      </c>
      <c r="F297" s="12" t="n">
        <v>149</v>
      </c>
      <c r="G297" s="11" t="n">
        <f aca="false">IF(INDEX(選手一覧!$D$5:$D$2736,$F297)="","",INDEX(選手一覧!$D$5:$D$2736,$F297))</f>
        <v>0.0102821759259259</v>
      </c>
      <c r="H297" s="12" t="n">
        <f aca="false">IF(INDEX(選手一覧!$E$5:$E$2736,$F297)="","",INDEX(選手一覧!$E$5:$E$2736,$F297))</f>
        <v>150</v>
      </c>
      <c r="I297" s="11" t="str">
        <f aca="false">IF(INDEX(選手一覧!$F$5:$F$2736,$F297)="","",INDEX(選手一覧!$F$5:$F$2736,$F297))</f>
        <v/>
      </c>
      <c r="J297" s="12" t="str">
        <f aca="false">IF(INDEX(選手一覧!$G$5:$G$2736,$F297)="","",INDEX(選手一覧!$G$5:$G$2736,$F297))</f>
        <v/>
      </c>
    </row>
    <row r="298" customFormat="false" ht="15" hidden="false" customHeight="false" outlineLevel="0" collapsed="false">
      <c r="A298" s="12" t="n">
        <v>295</v>
      </c>
      <c r="B298" s="8" t="s">
        <v>533</v>
      </c>
      <c r="C298" s="8" t="s">
        <v>138</v>
      </c>
      <c r="D298" s="11" t="n">
        <v>0.00280300925925926</v>
      </c>
      <c r="E298" s="39" t="n">
        <f aca="false">ROUND((D298-$D$5)*86400,2)</f>
        <v>17.15</v>
      </c>
      <c r="F298" s="12" t="n">
        <v>286</v>
      </c>
      <c r="G298" s="11" t="n">
        <f aca="false">IF(INDEX(選手一覧!$D$5:$D$2736,$F298)="","",INDEX(選手一覧!$D$5:$D$2736,$F298))</f>
        <v>0.0104221064814815</v>
      </c>
      <c r="H298" s="12" t="n">
        <f aca="false">IF(INDEX(選手一覧!$E$5:$E$2736,$F298)="","",INDEX(選手一覧!$E$5:$E$2736,$F298))</f>
        <v>287</v>
      </c>
      <c r="I298" s="11" t="str">
        <f aca="false">IF(INDEX(選手一覧!$F$5:$F$2736,$F298)="","",INDEX(選手一覧!$F$5:$F$2736,$F298))</f>
        <v/>
      </c>
      <c r="J298" s="12" t="str">
        <f aca="false">IF(INDEX(選手一覧!$G$5:$G$2736,$F298)="","",INDEX(選手一覧!$G$5:$G$2736,$F298))</f>
        <v/>
      </c>
    </row>
    <row r="299" customFormat="false" ht="15" hidden="false" customHeight="false" outlineLevel="0" collapsed="false">
      <c r="A299" s="12" t="n">
        <v>296</v>
      </c>
      <c r="B299" s="8" t="s">
        <v>653</v>
      </c>
      <c r="C299" s="8" t="s">
        <v>410</v>
      </c>
      <c r="D299" s="11" t="n">
        <v>0.002803125</v>
      </c>
      <c r="E299" s="39" t="n">
        <f aca="false">ROUND((D299-$D$5)*86400,2)</f>
        <v>17.16</v>
      </c>
      <c r="F299" s="12" t="n">
        <v>360</v>
      </c>
      <c r="G299" s="11" t="n">
        <f aca="false">IF(INDEX(選手一覧!$D$5:$D$2736,$F299)="","",INDEX(選手一覧!$D$5:$D$2736,$F299))</f>
        <v>0.0105166666666667</v>
      </c>
      <c r="H299" s="12" t="n">
        <f aca="false">IF(INDEX(選手一覧!$E$5:$E$2736,$F299)="","",INDEX(選手一覧!$E$5:$E$2736,$F299))</f>
        <v>361</v>
      </c>
      <c r="I299" s="11" t="str">
        <f aca="false">IF(INDEX(選手一覧!$F$5:$F$2736,$F299)="","",INDEX(選手一覧!$F$5:$F$2736,$F299))</f>
        <v/>
      </c>
      <c r="J299" s="12" t="str">
        <f aca="false">IF(INDEX(選手一覧!$G$5:$G$2736,$F299)="","",INDEX(選手一覧!$G$5:$G$2736,$F299))</f>
        <v/>
      </c>
    </row>
    <row r="300" customFormat="false" ht="15" hidden="false" customHeight="false" outlineLevel="0" collapsed="false">
      <c r="A300" s="12" t="n">
        <v>297</v>
      </c>
      <c r="B300" s="8" t="s">
        <v>332</v>
      </c>
      <c r="C300" s="8" t="s">
        <v>333</v>
      </c>
      <c r="D300" s="11" t="n">
        <v>0.00280335648148148</v>
      </c>
      <c r="E300" s="39" t="n">
        <f aca="false">ROUND((D300-$D$5)*86400,2)</f>
        <v>17.18</v>
      </c>
      <c r="F300" s="12" t="n">
        <v>163</v>
      </c>
      <c r="G300" s="11" t="n">
        <f aca="false">IF(INDEX(選手一覧!$D$5:$D$2736,$F300)="","",INDEX(選手一覧!$D$5:$D$2736,$F300))</f>
        <v>0.0103054398148148</v>
      </c>
      <c r="H300" s="12" t="n">
        <f aca="false">IF(INDEX(選手一覧!$E$5:$E$2736,$F300)="","",INDEX(選手一覧!$E$5:$E$2736,$F300))</f>
        <v>164</v>
      </c>
      <c r="I300" s="11" t="str">
        <f aca="false">IF(INDEX(選手一覧!$F$5:$F$2736,$F300)="","",INDEX(選手一覧!$F$5:$F$2736,$F300))</f>
        <v/>
      </c>
      <c r="J300" s="12" t="str">
        <f aca="false">IF(INDEX(選手一覧!$G$5:$G$2736,$F300)="","",INDEX(選手一覧!$G$5:$G$2736,$F300))</f>
        <v/>
      </c>
    </row>
    <row r="301" customFormat="false" ht="15" hidden="false" customHeight="false" outlineLevel="0" collapsed="false">
      <c r="A301" s="12" t="n">
        <v>298</v>
      </c>
      <c r="B301" s="8" t="s">
        <v>2217</v>
      </c>
      <c r="C301" s="8" t="s">
        <v>2218</v>
      </c>
      <c r="D301" s="11" t="n">
        <v>0.00280358796296296</v>
      </c>
      <c r="E301" s="39" t="n">
        <f aca="false">ROUND((D301-$D$5)*86400,2)</f>
        <v>17.2</v>
      </c>
      <c r="F301" s="12" t="n">
        <v>1418</v>
      </c>
      <c r="G301" s="11" t="str">
        <f aca="false">IF(INDEX(選手一覧!$D$5:$D$2736,$F301)="","",INDEX(選手一覧!$D$5:$D$2736,$F301))</f>
        <v/>
      </c>
      <c r="H301" s="12" t="str">
        <f aca="false">IF(INDEX(選手一覧!$E$5:$E$2736,$F301)="","",INDEX(選手一覧!$E$5:$E$2736,$F301))</f>
        <v/>
      </c>
      <c r="I301" s="11" t="str">
        <f aca="false">IF(INDEX(選手一覧!$F$5:$F$2736,$F301)="","",INDEX(選手一覧!$F$5:$F$2736,$F301))</f>
        <v/>
      </c>
      <c r="J301" s="12" t="str">
        <f aca="false">IF(INDEX(選手一覧!$G$5:$G$2736,$F301)="","",INDEX(選手一覧!$G$5:$G$2736,$F301))</f>
        <v/>
      </c>
    </row>
    <row r="302" customFormat="false" ht="15" hidden="false" customHeight="false" outlineLevel="0" collapsed="false">
      <c r="A302" s="12" t="n">
        <v>299</v>
      </c>
      <c r="B302" s="8" t="s">
        <v>669</v>
      </c>
      <c r="C302" s="8" t="s">
        <v>108</v>
      </c>
      <c r="D302" s="11" t="n">
        <v>0.00280393518518519</v>
      </c>
      <c r="E302" s="39" t="n">
        <f aca="false">ROUND((D302-$D$5)*86400,2)</f>
        <v>17.23</v>
      </c>
      <c r="F302" s="12" t="n">
        <v>371</v>
      </c>
      <c r="G302" s="11" t="n">
        <f aca="false">IF(INDEX(選手一覧!$D$5:$D$2736,$F302)="","",INDEX(選手一覧!$D$5:$D$2736,$F302))</f>
        <v>0.0105300925925926</v>
      </c>
      <c r="H302" s="12" t="n">
        <f aca="false">IF(INDEX(選手一覧!$E$5:$E$2736,$F302)="","",INDEX(選手一覧!$E$5:$E$2736,$F302))</f>
        <v>372</v>
      </c>
      <c r="I302" s="11" t="n">
        <f aca="false">IF(INDEX(選手一覧!$F$5:$F$2736,$F302)="","",INDEX(選手一覧!$F$5:$F$2736,$F302))</f>
        <v>0.0068619212962963</v>
      </c>
      <c r="J302" s="12" t="n">
        <f aca="false">IF(INDEX(選手一覧!$G$5:$G$2736,$F302)="","",INDEX(選手一覧!$G$5:$G$2736,$F302))</f>
        <v>212</v>
      </c>
    </row>
    <row r="303" customFormat="false" ht="15" hidden="false" customHeight="false" outlineLevel="0" collapsed="false">
      <c r="A303" s="12" t="n">
        <v>300</v>
      </c>
      <c r="B303" s="8" t="s">
        <v>1161</v>
      </c>
      <c r="C303" s="8" t="s">
        <v>148</v>
      </c>
      <c r="D303" s="11" t="n">
        <v>0.00280405092592593</v>
      </c>
      <c r="E303" s="39" t="n">
        <f aca="false">ROUND((D303-$D$5)*86400,2)</f>
        <v>17.24</v>
      </c>
      <c r="F303" s="12" t="n">
        <v>691</v>
      </c>
      <c r="G303" s="11" t="n">
        <f aca="false">IF(INDEX(選手一覧!$D$5:$D$2736,$F303)="","",INDEX(選手一覧!$D$5:$D$2736,$F303))</f>
        <v>0.0107659722222222</v>
      </c>
      <c r="H303" s="12" t="n">
        <f aca="false">IF(INDEX(選手一覧!$E$5:$E$2736,$F303)="","",INDEX(選手一覧!$E$5:$E$2736,$F303))</f>
        <v>692</v>
      </c>
      <c r="I303" s="11" t="n">
        <f aca="false">IF(INDEX(選手一覧!$F$5:$F$2736,$F303)="","",INDEX(選手一覧!$F$5:$F$2736,$F303))</f>
        <v>0.00668391203703704</v>
      </c>
      <c r="J303" s="12" t="n">
        <f aca="false">IF(INDEX(選手一覧!$G$5:$G$2736,$F303)="","",INDEX(選手一覧!$G$5:$G$2736,$F303))</f>
        <v>101</v>
      </c>
    </row>
    <row r="304" customFormat="false" ht="15" hidden="false" customHeight="false" outlineLevel="0" collapsed="false">
      <c r="A304" s="12" t="n">
        <v>301</v>
      </c>
      <c r="B304" s="8" t="s">
        <v>1938</v>
      </c>
      <c r="C304" s="8" t="s">
        <v>212</v>
      </c>
      <c r="D304" s="11" t="n">
        <v>0.00280462962962963</v>
      </c>
      <c r="E304" s="39" t="n">
        <f aca="false">ROUND((D304-$D$5)*86400,2)</f>
        <v>17.29</v>
      </c>
      <c r="F304" s="12" t="n">
        <v>1217</v>
      </c>
      <c r="G304" s="11" t="n">
        <f aca="false">IF(INDEX(選手一覧!$D$5:$D$2736,$F304)="","",INDEX(選手一覧!$D$5:$D$2736,$F304))</f>
        <v>0.0110609953703704</v>
      </c>
      <c r="H304" s="12" t="n">
        <f aca="false">IF(INDEX(選手一覧!$E$5:$E$2736,$F304)="","",INDEX(選手一覧!$E$5:$E$2736,$F304))</f>
        <v>1218</v>
      </c>
      <c r="I304" s="11" t="str">
        <f aca="false">IF(INDEX(選手一覧!$F$5:$F$2736,$F304)="","",INDEX(選手一覧!$F$5:$F$2736,$F304))</f>
        <v/>
      </c>
      <c r="J304" s="12" t="str">
        <f aca="false">IF(INDEX(選手一覧!$G$5:$G$2736,$F304)="","",INDEX(選手一覧!$G$5:$G$2736,$F304))</f>
        <v/>
      </c>
    </row>
    <row r="305" customFormat="false" ht="15" hidden="false" customHeight="false" outlineLevel="0" collapsed="false">
      <c r="A305" s="12" t="n">
        <v>302</v>
      </c>
      <c r="B305" s="8" t="s">
        <v>960</v>
      </c>
      <c r="C305" s="8" t="s">
        <v>961</v>
      </c>
      <c r="D305" s="11" t="n">
        <v>0.00280497685185185</v>
      </c>
      <c r="E305" s="39" t="n">
        <f aca="false">ROUND((D305-$D$5)*86400,2)</f>
        <v>17.32</v>
      </c>
      <c r="F305" s="12" t="n">
        <v>554</v>
      </c>
      <c r="G305" s="11" t="n">
        <f aca="false">IF(INDEX(選手一覧!$D$5:$D$2736,$F305)="","",INDEX(選手一覧!$D$5:$D$2736,$F305))</f>
        <v>0.0106767361111111</v>
      </c>
      <c r="H305" s="12" t="n">
        <f aca="false">IF(INDEX(選手一覧!$E$5:$E$2736,$F305)="","",INDEX(選手一覧!$E$5:$E$2736,$F305))</f>
        <v>555</v>
      </c>
      <c r="I305" s="11" t="str">
        <f aca="false">IF(INDEX(選手一覧!$F$5:$F$2736,$F305)="","",INDEX(選手一覧!$F$5:$F$2736,$F305))</f>
        <v/>
      </c>
      <c r="J305" s="12" t="str">
        <f aca="false">IF(INDEX(選手一覧!$G$5:$G$2736,$F305)="","",INDEX(選手一覧!$G$5:$G$2736,$F305))</f>
        <v/>
      </c>
    </row>
    <row r="306" customFormat="false" ht="15" hidden="false" customHeight="false" outlineLevel="0" collapsed="false">
      <c r="A306" s="12" t="n">
        <v>303</v>
      </c>
      <c r="B306" s="8" t="s">
        <v>422</v>
      </c>
      <c r="C306" s="8" t="s">
        <v>423</v>
      </c>
      <c r="D306" s="11" t="n">
        <v>0.00280520833333333</v>
      </c>
      <c r="E306" s="39" t="n">
        <f aca="false">ROUND((D306-$D$5)*86400,2)</f>
        <v>17.34</v>
      </c>
      <c r="F306" s="12" t="n">
        <v>220</v>
      </c>
      <c r="G306" s="11" t="n">
        <f aca="false">IF(INDEX(選手一覧!$D$5:$D$2736,$F306)="","",INDEX(選手一覧!$D$5:$D$2736,$F306))</f>
        <v>0.0103642361111111</v>
      </c>
      <c r="H306" s="12" t="n">
        <f aca="false">IF(INDEX(選手一覧!$E$5:$E$2736,$F306)="","",INDEX(選手一覧!$E$5:$E$2736,$F306))</f>
        <v>221</v>
      </c>
      <c r="I306" s="11" t="str">
        <f aca="false">IF(INDEX(選手一覧!$F$5:$F$2736,$F306)="","",INDEX(選手一覧!$F$5:$F$2736,$F306))</f>
        <v/>
      </c>
      <c r="J306" s="12" t="str">
        <f aca="false">IF(INDEX(選手一覧!$G$5:$G$2736,$F306)="","",INDEX(選手一覧!$G$5:$G$2736,$F306))</f>
        <v/>
      </c>
    </row>
    <row r="307" customFormat="false" ht="15" hidden="false" customHeight="false" outlineLevel="0" collapsed="false">
      <c r="A307" s="12" t="n">
        <v>304</v>
      </c>
      <c r="B307" s="8" t="s">
        <v>596</v>
      </c>
      <c r="C307" s="8" t="s">
        <v>122</v>
      </c>
      <c r="D307" s="11" t="n">
        <v>0.00280532407407407</v>
      </c>
      <c r="E307" s="39" t="n">
        <f aca="false">ROUND((D307-$D$5)*86400,2)</f>
        <v>17.35</v>
      </c>
      <c r="F307" s="12" t="n">
        <v>323</v>
      </c>
      <c r="G307" s="11" t="n">
        <f aca="false">IF(INDEX(選手一覧!$D$5:$D$2736,$F307)="","",INDEX(選手一覧!$D$5:$D$2736,$F307))</f>
        <v>0.0104804398148148</v>
      </c>
      <c r="H307" s="12" t="n">
        <f aca="false">IF(INDEX(選手一覧!$E$5:$E$2736,$F307)="","",INDEX(選手一覧!$E$5:$E$2736,$F307))</f>
        <v>324</v>
      </c>
      <c r="I307" s="11" t="str">
        <f aca="false">IF(INDEX(選手一覧!$F$5:$F$2736,$F307)="","",INDEX(選手一覧!$F$5:$F$2736,$F307))</f>
        <v/>
      </c>
      <c r="J307" s="12" t="str">
        <f aca="false">IF(INDEX(選手一覧!$G$5:$G$2736,$F307)="","",INDEX(選手一覧!$G$5:$G$2736,$F307))</f>
        <v/>
      </c>
    </row>
    <row r="308" customFormat="false" ht="15" hidden="false" customHeight="false" outlineLevel="0" collapsed="false">
      <c r="A308" s="12" t="n">
        <v>305</v>
      </c>
      <c r="B308" s="8" t="s">
        <v>2051</v>
      </c>
      <c r="C308" s="8" t="s">
        <v>2052</v>
      </c>
      <c r="D308" s="11" t="n">
        <v>0.00280578703703704</v>
      </c>
      <c r="E308" s="39" t="n">
        <f aca="false">ROUND((D308-$D$5)*86400,2)</f>
        <v>17.39</v>
      </c>
      <c r="F308" s="12" t="n">
        <v>1304</v>
      </c>
      <c r="G308" s="11" t="str">
        <f aca="false">IF(INDEX(選手一覧!$D$5:$D$2736,$F308)="","",INDEX(選手一覧!$D$5:$D$2736,$F308))</f>
        <v/>
      </c>
      <c r="H308" s="12" t="str">
        <f aca="false">IF(INDEX(選手一覧!$E$5:$E$2736,$F308)="","",INDEX(選手一覧!$E$5:$E$2736,$F308))</f>
        <v/>
      </c>
      <c r="I308" s="11" t="n">
        <f aca="false">IF(INDEX(選手一覧!$F$5:$F$2736,$F308)="","",INDEX(選手一覧!$F$5:$F$2736,$F308))</f>
        <v>0.00668229166666667</v>
      </c>
      <c r="J308" s="12" t="n">
        <f aca="false">IF(INDEX(選手一覧!$G$5:$G$2736,$F308)="","",INDEX(選手一覧!$G$5:$G$2736,$F308))</f>
        <v>99</v>
      </c>
    </row>
    <row r="309" customFormat="false" ht="15" hidden="false" customHeight="false" outlineLevel="0" collapsed="false">
      <c r="A309" s="12" t="n">
        <v>306</v>
      </c>
      <c r="B309" s="8" t="s">
        <v>2224</v>
      </c>
      <c r="C309" s="8" t="s">
        <v>484</v>
      </c>
      <c r="D309" s="11" t="n">
        <v>0.00280578703703704</v>
      </c>
      <c r="E309" s="39" t="n">
        <f aca="false">ROUND((D309-$D$5)*86400,2)</f>
        <v>17.39</v>
      </c>
      <c r="F309" s="12" t="n">
        <v>1422</v>
      </c>
      <c r="G309" s="11" t="str">
        <f aca="false">IF(INDEX(選手一覧!$D$5:$D$2736,$F309)="","",INDEX(選手一覧!$D$5:$D$2736,$F309))</f>
        <v/>
      </c>
      <c r="H309" s="12" t="str">
        <f aca="false">IF(INDEX(選手一覧!$E$5:$E$2736,$F309)="","",INDEX(選手一覧!$E$5:$E$2736,$F309))</f>
        <v/>
      </c>
      <c r="I309" s="11" t="str">
        <f aca="false">IF(INDEX(選手一覧!$F$5:$F$2736,$F309)="","",INDEX(選手一覧!$F$5:$F$2736,$F309))</f>
        <v/>
      </c>
      <c r="J309" s="12" t="str">
        <f aca="false">IF(INDEX(選手一覧!$G$5:$G$2736,$F309)="","",INDEX(選手一覧!$G$5:$G$2736,$F309))</f>
        <v/>
      </c>
    </row>
    <row r="310" customFormat="false" ht="15" hidden="false" customHeight="false" outlineLevel="0" collapsed="false">
      <c r="A310" s="12" t="n">
        <v>307</v>
      </c>
      <c r="B310" s="8" t="s">
        <v>953</v>
      </c>
      <c r="C310" s="8" t="s">
        <v>954</v>
      </c>
      <c r="D310" s="11" t="n">
        <v>0.00280625</v>
      </c>
      <c r="E310" s="39" t="n">
        <f aca="false">ROUND((D310-$D$5)*86400,2)</f>
        <v>17.43</v>
      </c>
      <c r="F310" s="12" t="n">
        <v>550</v>
      </c>
      <c r="G310" s="11" t="n">
        <f aca="false">IF(INDEX(選手一覧!$D$5:$D$2736,$F310)="","",INDEX(選手一覧!$D$5:$D$2736,$F310))</f>
        <v>0.010672337962963</v>
      </c>
      <c r="H310" s="12" t="n">
        <f aca="false">IF(INDEX(選手一覧!$E$5:$E$2736,$F310)="","",INDEX(選手一覧!$E$5:$E$2736,$F310))</f>
        <v>551</v>
      </c>
      <c r="I310" s="11" t="str">
        <f aca="false">IF(INDEX(選手一覧!$F$5:$F$2736,$F310)="","",INDEX(選手一覧!$F$5:$F$2736,$F310))</f>
        <v/>
      </c>
      <c r="J310" s="12" t="str">
        <f aca="false">IF(INDEX(選手一覧!$G$5:$G$2736,$F310)="","",INDEX(選手一覧!$G$5:$G$2736,$F310))</f>
        <v/>
      </c>
    </row>
    <row r="311" customFormat="false" ht="15" hidden="false" customHeight="false" outlineLevel="0" collapsed="false">
      <c r="A311" s="12" t="n">
        <v>308</v>
      </c>
      <c r="B311" s="8" t="s">
        <v>441</v>
      </c>
      <c r="C311" s="8" t="s">
        <v>442</v>
      </c>
      <c r="D311" s="11" t="n">
        <v>0.00280636574074074</v>
      </c>
      <c r="E311" s="39" t="n">
        <f aca="false">ROUND((D311-$D$5)*86400,2)</f>
        <v>17.44</v>
      </c>
      <c r="F311" s="12" t="n">
        <v>229</v>
      </c>
      <c r="G311" s="11" t="n">
        <f aca="false">IF(INDEX(選手一覧!$D$5:$D$2736,$F311)="","",INDEX(選手一覧!$D$5:$D$2736,$F311))</f>
        <v>0.0103746527777778</v>
      </c>
      <c r="H311" s="12" t="n">
        <f aca="false">IF(INDEX(選手一覧!$E$5:$E$2736,$F311)="","",INDEX(選手一覧!$E$5:$E$2736,$F311))</f>
        <v>230</v>
      </c>
      <c r="I311" s="11" t="str">
        <f aca="false">IF(INDEX(選手一覧!$F$5:$F$2736,$F311)="","",INDEX(選手一覧!$F$5:$F$2736,$F311))</f>
        <v/>
      </c>
      <c r="J311" s="12" t="str">
        <f aca="false">IF(INDEX(選手一覧!$G$5:$G$2736,$F311)="","",INDEX(選手一覧!$G$5:$G$2736,$F311))</f>
        <v/>
      </c>
    </row>
    <row r="312" customFormat="false" ht="15" hidden="false" customHeight="false" outlineLevel="0" collapsed="false">
      <c r="A312" s="12" t="n">
        <v>309</v>
      </c>
      <c r="B312" s="8" t="s">
        <v>968</v>
      </c>
      <c r="C312" s="8" t="s">
        <v>25</v>
      </c>
      <c r="D312" s="11" t="n">
        <v>0.00280636574074074</v>
      </c>
      <c r="E312" s="39" t="n">
        <f aca="false">ROUND((D312-$D$5)*86400,2)</f>
        <v>17.44</v>
      </c>
      <c r="F312" s="12" t="n">
        <v>559</v>
      </c>
      <c r="G312" s="11" t="n">
        <f aca="false">IF(INDEX(選手一覧!$D$5:$D$2736,$F312)="","",INDEX(選手一覧!$D$5:$D$2736,$F312))</f>
        <v>0.0106862268518519</v>
      </c>
      <c r="H312" s="12" t="n">
        <f aca="false">IF(INDEX(選手一覧!$E$5:$E$2736,$F312)="","",INDEX(選手一覧!$E$5:$E$2736,$F312))</f>
        <v>560</v>
      </c>
      <c r="I312" s="11" t="str">
        <f aca="false">IF(INDEX(選手一覧!$F$5:$F$2736,$F312)="","",INDEX(選手一覧!$F$5:$F$2736,$F312))</f>
        <v/>
      </c>
      <c r="J312" s="12" t="str">
        <f aca="false">IF(INDEX(選手一覧!$G$5:$G$2736,$F312)="","",INDEX(選手一覧!$G$5:$G$2736,$F312))</f>
        <v/>
      </c>
    </row>
    <row r="313" customFormat="false" ht="15" hidden="false" customHeight="false" outlineLevel="0" collapsed="false">
      <c r="A313" s="12" t="n">
        <v>310</v>
      </c>
      <c r="B313" s="8" t="s">
        <v>1031</v>
      </c>
      <c r="C313" s="8" t="s">
        <v>56</v>
      </c>
      <c r="D313" s="11" t="n">
        <v>0.00280671296296296</v>
      </c>
      <c r="E313" s="39" t="n">
        <f aca="false">ROUND((D313-$D$5)*86400,2)</f>
        <v>17.47</v>
      </c>
      <c r="F313" s="12" t="n">
        <v>603</v>
      </c>
      <c r="G313" s="11" t="n">
        <f aca="false">IF(INDEX(選手一覧!$D$5:$D$2736,$F313)="","",INDEX(選手一覧!$D$5:$D$2736,$F313))</f>
        <v>0.0107144675925926</v>
      </c>
      <c r="H313" s="12" t="n">
        <f aca="false">IF(INDEX(選手一覧!$E$5:$E$2736,$F313)="","",INDEX(選手一覧!$E$5:$E$2736,$F313))</f>
        <v>604</v>
      </c>
      <c r="I313" s="11" t="str">
        <f aca="false">IF(INDEX(選手一覧!$F$5:$F$2736,$F313)="","",INDEX(選手一覧!$F$5:$F$2736,$F313))</f>
        <v/>
      </c>
      <c r="J313" s="12" t="str">
        <f aca="false">IF(INDEX(選手一覧!$G$5:$G$2736,$F313)="","",INDEX(選手一覧!$G$5:$G$2736,$F313))</f>
        <v/>
      </c>
    </row>
    <row r="314" customFormat="false" ht="15" hidden="false" customHeight="false" outlineLevel="0" collapsed="false">
      <c r="A314" s="12" t="n">
        <v>311</v>
      </c>
      <c r="B314" s="8" t="s">
        <v>2230</v>
      </c>
      <c r="C314" s="8" t="s">
        <v>2231</v>
      </c>
      <c r="D314" s="11" t="n">
        <v>0.00280671296296296</v>
      </c>
      <c r="E314" s="39" t="n">
        <f aca="false">ROUND((D314-$D$5)*86400,2)</f>
        <v>17.47</v>
      </c>
      <c r="F314" s="12" t="n">
        <v>1426</v>
      </c>
      <c r="G314" s="11" t="str">
        <f aca="false">IF(INDEX(選手一覧!$D$5:$D$2736,$F314)="","",INDEX(選手一覧!$D$5:$D$2736,$F314))</f>
        <v/>
      </c>
      <c r="H314" s="12" t="str">
        <f aca="false">IF(INDEX(選手一覧!$E$5:$E$2736,$F314)="","",INDEX(選手一覧!$E$5:$E$2736,$F314))</f>
        <v/>
      </c>
      <c r="I314" s="11" t="str">
        <f aca="false">IF(INDEX(選手一覧!$F$5:$F$2736,$F314)="","",INDEX(選手一覧!$F$5:$F$2736,$F314))</f>
        <v/>
      </c>
      <c r="J314" s="12" t="str">
        <f aca="false">IF(INDEX(選手一覧!$G$5:$G$2736,$F314)="","",INDEX(選手一覧!$G$5:$G$2736,$F314))</f>
        <v/>
      </c>
    </row>
    <row r="315" customFormat="false" ht="15" hidden="false" customHeight="false" outlineLevel="0" collapsed="false">
      <c r="A315" s="12" t="n">
        <v>312</v>
      </c>
      <c r="B315" s="8" t="s">
        <v>694</v>
      </c>
      <c r="C315" s="8" t="s">
        <v>130</v>
      </c>
      <c r="D315" s="11" t="n">
        <v>0.00280694444444444</v>
      </c>
      <c r="E315" s="39" t="n">
        <f aca="false">ROUND((D315-$D$5)*86400,2)</f>
        <v>17.49</v>
      </c>
      <c r="F315" s="12" t="n">
        <v>386</v>
      </c>
      <c r="G315" s="11" t="n">
        <f aca="false">IF(INDEX(選手一覧!$D$5:$D$2736,$F315)="","",INDEX(選手一覧!$D$5:$D$2736,$F315))</f>
        <v>0.0105403935185185</v>
      </c>
      <c r="H315" s="12" t="n">
        <f aca="false">IF(INDEX(選手一覧!$E$5:$E$2736,$F315)="","",INDEX(選手一覧!$E$5:$E$2736,$F315))</f>
        <v>387</v>
      </c>
      <c r="I315" s="11" t="str">
        <f aca="false">IF(INDEX(選手一覧!$F$5:$F$2736,$F315)="","",INDEX(選手一覧!$F$5:$F$2736,$F315))</f>
        <v/>
      </c>
      <c r="J315" s="12" t="str">
        <f aca="false">IF(INDEX(選手一覧!$G$5:$G$2736,$F315)="","",INDEX(選手一覧!$G$5:$G$2736,$F315))</f>
        <v/>
      </c>
    </row>
    <row r="316" customFormat="false" ht="15" hidden="false" customHeight="false" outlineLevel="0" collapsed="false">
      <c r="A316" s="12" t="n">
        <v>313</v>
      </c>
      <c r="B316" s="8" t="s">
        <v>312</v>
      </c>
      <c r="C316" s="8" t="s">
        <v>313</v>
      </c>
      <c r="D316" s="11" t="n">
        <v>0.00280694444444444</v>
      </c>
      <c r="E316" s="39" t="n">
        <f aca="false">ROUND((D316-$D$5)*86400,2)</f>
        <v>17.49</v>
      </c>
      <c r="F316" s="12" t="n">
        <v>153</v>
      </c>
      <c r="G316" s="11" t="n">
        <f aca="false">IF(INDEX(選手一覧!$D$5:$D$2736,$F316)="","",INDEX(選手一覧!$D$5:$D$2736,$F316))</f>
        <v>0.0102885416666667</v>
      </c>
      <c r="H316" s="12" t="n">
        <f aca="false">IF(INDEX(選手一覧!$E$5:$E$2736,$F316)="","",INDEX(選手一覧!$E$5:$E$2736,$F316))</f>
        <v>154</v>
      </c>
      <c r="I316" s="11" t="str">
        <f aca="false">IF(INDEX(選手一覧!$F$5:$F$2736,$F316)="","",INDEX(選手一覧!$F$5:$F$2736,$F316))</f>
        <v/>
      </c>
      <c r="J316" s="12" t="str">
        <f aca="false">IF(INDEX(選手一覧!$G$5:$G$2736,$F316)="","",INDEX(選手一覧!$G$5:$G$2736,$F316))</f>
        <v/>
      </c>
    </row>
    <row r="317" customFormat="false" ht="15" hidden="false" customHeight="false" outlineLevel="0" collapsed="false">
      <c r="A317" s="12" t="n">
        <v>314</v>
      </c>
      <c r="B317" s="8" t="s">
        <v>478</v>
      </c>
      <c r="C317" s="8" t="s">
        <v>479</v>
      </c>
      <c r="D317" s="11" t="n">
        <v>0.00280694444444444</v>
      </c>
      <c r="E317" s="39" t="n">
        <f aca="false">ROUND((D317-$D$5)*86400,2)</f>
        <v>17.49</v>
      </c>
      <c r="F317" s="12" t="n">
        <v>250</v>
      </c>
      <c r="G317" s="11" t="n">
        <f aca="false">IF(INDEX(選手一覧!$D$5:$D$2736,$F317)="","",INDEX(選手一覧!$D$5:$D$2736,$F317))</f>
        <v>0.0103915509259259</v>
      </c>
      <c r="H317" s="12" t="n">
        <f aca="false">IF(INDEX(選手一覧!$E$5:$E$2736,$F317)="","",INDEX(選手一覧!$E$5:$E$2736,$F317))</f>
        <v>251</v>
      </c>
      <c r="I317" s="11" t="str">
        <f aca="false">IF(INDEX(選手一覧!$F$5:$F$2736,$F317)="","",INDEX(選手一覧!$F$5:$F$2736,$F317))</f>
        <v/>
      </c>
      <c r="J317" s="12" t="str">
        <f aca="false">IF(INDEX(選手一覧!$G$5:$G$2736,$F317)="","",INDEX(選手一覧!$G$5:$G$2736,$F317))</f>
        <v/>
      </c>
    </row>
    <row r="318" customFormat="false" ht="15" hidden="false" customHeight="false" outlineLevel="0" collapsed="false">
      <c r="A318" s="12" t="n">
        <v>315</v>
      </c>
      <c r="B318" s="8" t="s">
        <v>2233</v>
      </c>
      <c r="C318" s="8" t="s">
        <v>2234</v>
      </c>
      <c r="D318" s="11" t="n">
        <v>0.00280740740740741</v>
      </c>
      <c r="E318" s="39" t="n">
        <f aca="false">ROUND((D318-$D$5)*86400,2)</f>
        <v>17.53</v>
      </c>
      <c r="F318" s="12" t="n">
        <v>1428</v>
      </c>
      <c r="G318" s="11" t="str">
        <f aca="false">IF(INDEX(選手一覧!$D$5:$D$2736,$F318)="","",INDEX(選手一覧!$D$5:$D$2736,$F318))</f>
        <v/>
      </c>
      <c r="H318" s="12" t="str">
        <f aca="false">IF(INDEX(選手一覧!$E$5:$E$2736,$F318)="","",INDEX(選手一覧!$E$5:$E$2736,$F318))</f>
        <v/>
      </c>
      <c r="I318" s="11" t="str">
        <f aca="false">IF(INDEX(選手一覧!$F$5:$F$2736,$F318)="","",INDEX(選手一覧!$F$5:$F$2736,$F318))</f>
        <v/>
      </c>
      <c r="J318" s="12" t="str">
        <f aca="false">IF(INDEX(選手一覧!$G$5:$G$2736,$F318)="","",INDEX(選手一覧!$G$5:$G$2736,$F318))</f>
        <v/>
      </c>
    </row>
    <row r="319" customFormat="false" ht="15" hidden="false" customHeight="false" outlineLevel="0" collapsed="false">
      <c r="A319" s="12" t="n">
        <v>316</v>
      </c>
      <c r="B319" s="8" t="s">
        <v>1069</v>
      </c>
      <c r="C319" s="8" t="s">
        <v>108</v>
      </c>
      <c r="D319" s="11" t="n">
        <v>0.00280740740740741</v>
      </c>
      <c r="E319" s="39" t="n">
        <f aca="false">ROUND((D319-$D$5)*86400,2)</f>
        <v>17.53</v>
      </c>
      <c r="F319" s="12" t="n">
        <v>631</v>
      </c>
      <c r="G319" s="11" t="n">
        <f aca="false">IF(INDEX(選手一覧!$D$5:$D$2736,$F319)="","",INDEX(選手一覧!$D$5:$D$2736,$F319))</f>
        <v>0.0107303240740741</v>
      </c>
      <c r="H319" s="12" t="n">
        <f aca="false">IF(INDEX(選手一覧!$E$5:$E$2736,$F319)="","",INDEX(選手一覧!$E$5:$E$2736,$F319))</f>
        <v>632</v>
      </c>
      <c r="I319" s="11" t="str">
        <f aca="false">IF(INDEX(選手一覧!$F$5:$F$2736,$F319)="","",INDEX(選手一覧!$F$5:$F$2736,$F319))</f>
        <v/>
      </c>
      <c r="J319" s="12" t="str">
        <f aca="false">IF(INDEX(選手一覧!$G$5:$G$2736,$F319)="","",INDEX(選手一覧!$G$5:$G$2736,$F319))</f>
        <v/>
      </c>
    </row>
    <row r="320" customFormat="false" ht="15" hidden="false" customHeight="false" outlineLevel="0" collapsed="false">
      <c r="A320" s="12" t="n">
        <v>317</v>
      </c>
      <c r="B320" s="8" t="s">
        <v>194</v>
      </c>
      <c r="C320" s="8" t="s">
        <v>192</v>
      </c>
      <c r="D320" s="11" t="n">
        <v>0.00280810185185185</v>
      </c>
      <c r="E320" s="39" t="n">
        <f aca="false">ROUND((D320-$D$5)*86400,2)</f>
        <v>17.59</v>
      </c>
      <c r="F320" s="12" t="n">
        <v>90</v>
      </c>
      <c r="G320" s="11" t="n">
        <f aca="false">IF(INDEX(選手一覧!$D$5:$D$2736,$F320)="","",INDEX(選手一覧!$D$5:$D$2736,$F320))</f>
        <v>0.0101881944444444</v>
      </c>
      <c r="H320" s="12" t="n">
        <f aca="false">IF(INDEX(選手一覧!$E$5:$E$2736,$F320)="","",INDEX(選手一覧!$E$5:$E$2736,$F320))</f>
        <v>91</v>
      </c>
      <c r="I320" s="11" t="n">
        <f aca="false">IF(INDEX(選手一覧!$F$5:$F$2736,$F320)="","",INDEX(選手一覧!$F$5:$F$2736,$F320))</f>
        <v>0.00665277777777778</v>
      </c>
      <c r="J320" s="12" t="n">
        <f aca="false">IF(INDEX(選手一覧!$G$5:$G$2736,$F320)="","",INDEX(選手一覧!$G$5:$G$2736,$F320))</f>
        <v>84</v>
      </c>
    </row>
    <row r="321" customFormat="false" ht="15" hidden="false" customHeight="false" outlineLevel="0" collapsed="false">
      <c r="A321" s="12" t="n">
        <v>318</v>
      </c>
      <c r="B321" s="8" t="s">
        <v>581</v>
      </c>
      <c r="C321" s="8" t="s">
        <v>582</v>
      </c>
      <c r="D321" s="11" t="n">
        <v>0.00280833333333333</v>
      </c>
      <c r="E321" s="39" t="n">
        <f aca="false">ROUND((D321-$D$5)*86400,2)</f>
        <v>17.61</v>
      </c>
      <c r="F321" s="12" t="n">
        <v>315</v>
      </c>
      <c r="G321" s="11" t="n">
        <f aca="false">IF(INDEX(選手一覧!$D$5:$D$2736,$F321)="","",INDEX(選手一覧!$D$5:$D$2736,$F321))</f>
        <v>0.0104655092592593</v>
      </c>
      <c r="H321" s="12" t="n">
        <f aca="false">IF(INDEX(選手一覧!$E$5:$E$2736,$F321)="","",INDEX(選手一覧!$E$5:$E$2736,$F321))</f>
        <v>316</v>
      </c>
      <c r="I321" s="11" t="n">
        <f aca="false">IF(INDEX(選手一覧!$F$5:$F$2736,$F321)="","",INDEX(選手一覧!$F$5:$F$2736,$F321))</f>
        <v>0.00672824074074074</v>
      </c>
      <c r="J321" s="12" t="n">
        <f aca="false">IF(INDEX(選手一覧!$G$5:$G$2736,$F321)="","",INDEX(選手一覧!$G$5:$G$2736,$F321))</f>
        <v>119</v>
      </c>
    </row>
    <row r="322" customFormat="false" ht="15" hidden="false" customHeight="false" outlineLevel="0" collapsed="false">
      <c r="A322" s="12" t="n">
        <v>319</v>
      </c>
      <c r="B322" s="8" t="s">
        <v>2242</v>
      </c>
      <c r="C322" s="8" t="s">
        <v>1308</v>
      </c>
      <c r="D322" s="11" t="n">
        <v>0.00280844907407407</v>
      </c>
      <c r="E322" s="39" t="n">
        <f aca="false">ROUND((D322-$D$5)*86400,2)</f>
        <v>17.62</v>
      </c>
      <c r="F322" s="12" t="n">
        <v>1433</v>
      </c>
      <c r="G322" s="11" t="str">
        <f aca="false">IF(INDEX(選手一覧!$D$5:$D$2736,$F322)="","",INDEX(選手一覧!$D$5:$D$2736,$F322))</f>
        <v/>
      </c>
      <c r="H322" s="12" t="str">
        <f aca="false">IF(INDEX(選手一覧!$E$5:$E$2736,$F322)="","",INDEX(選手一覧!$E$5:$E$2736,$F322))</f>
        <v/>
      </c>
      <c r="I322" s="11" t="str">
        <f aca="false">IF(INDEX(選手一覧!$F$5:$F$2736,$F322)="","",INDEX(選手一覧!$F$5:$F$2736,$F322))</f>
        <v/>
      </c>
      <c r="J322" s="12" t="str">
        <f aca="false">IF(INDEX(選手一覧!$G$5:$G$2736,$F322)="","",INDEX(選手一覧!$G$5:$G$2736,$F322))</f>
        <v/>
      </c>
    </row>
    <row r="323" customFormat="false" ht="15" hidden="false" customHeight="false" outlineLevel="0" collapsed="false">
      <c r="A323" s="12" t="n">
        <v>320</v>
      </c>
      <c r="B323" s="8" t="s">
        <v>67</v>
      </c>
      <c r="C323" s="8" t="s">
        <v>28</v>
      </c>
      <c r="D323" s="11" t="n">
        <v>0.00280856481481482</v>
      </c>
      <c r="E323" s="39" t="n">
        <f aca="false">ROUND((D323-$D$5)*86400,2)</f>
        <v>17.63</v>
      </c>
      <c r="F323" s="12" t="n">
        <v>23</v>
      </c>
      <c r="G323" s="11" t="n">
        <f aca="false">IF(INDEX(選手一覧!$D$5:$D$2736,$F323)="","",INDEX(選手一覧!$D$5:$D$2736,$F323))</f>
        <v>0.0100170138888889</v>
      </c>
      <c r="H323" s="12" t="n">
        <f aca="false">IF(INDEX(選手一覧!$E$5:$E$2736,$F323)="","",INDEX(選手一覧!$E$5:$E$2736,$F323))</f>
        <v>24</v>
      </c>
      <c r="I323" s="11" t="n">
        <f aca="false">IF(INDEX(選手一覧!$F$5:$F$2736,$F323)="","",INDEX(選手一覧!$F$5:$F$2736,$F323))</f>
        <v>0.00636747685185185</v>
      </c>
      <c r="J323" s="12" t="n">
        <f aca="false">IF(INDEX(選手一覧!$G$5:$G$2736,$F323)="","",INDEX(選手一覧!$G$5:$G$2736,$F323))</f>
        <v>11</v>
      </c>
    </row>
    <row r="324" customFormat="false" ht="15" hidden="false" customHeight="false" outlineLevel="0" collapsed="false">
      <c r="A324" s="12" t="n">
        <v>321</v>
      </c>
      <c r="B324" s="8" t="s">
        <v>707</v>
      </c>
      <c r="C324" s="8" t="s">
        <v>382</v>
      </c>
      <c r="D324" s="11" t="n">
        <v>0.0028087962962963</v>
      </c>
      <c r="E324" s="39" t="n">
        <f aca="false">ROUND((D324-$D$5)*86400,2)</f>
        <v>17.65</v>
      </c>
      <c r="F324" s="12" t="n">
        <v>395</v>
      </c>
      <c r="G324" s="11" t="n">
        <f aca="false">IF(INDEX(選手一覧!$D$5:$D$2736,$F324)="","",INDEX(選手一覧!$D$5:$D$2736,$F324))</f>
        <v>0.0105479166666667</v>
      </c>
      <c r="H324" s="12" t="n">
        <f aca="false">IF(INDEX(選手一覧!$E$5:$E$2736,$F324)="","",INDEX(選手一覧!$E$5:$E$2736,$F324))</f>
        <v>396</v>
      </c>
      <c r="I324" s="11" t="str">
        <f aca="false">IF(INDEX(選手一覧!$F$5:$F$2736,$F324)="","",INDEX(選手一覧!$F$5:$F$2736,$F324))</f>
        <v/>
      </c>
      <c r="J324" s="12" t="str">
        <f aca="false">IF(INDEX(選手一覧!$G$5:$G$2736,$F324)="","",INDEX(選手一覧!$G$5:$G$2736,$F324))</f>
        <v/>
      </c>
    </row>
    <row r="325" customFormat="false" ht="15" hidden="false" customHeight="false" outlineLevel="0" collapsed="false">
      <c r="A325" s="12" t="n">
        <v>322</v>
      </c>
      <c r="B325" s="8" t="s">
        <v>2243</v>
      </c>
      <c r="C325" s="8" t="s">
        <v>2244</v>
      </c>
      <c r="D325" s="11" t="n">
        <v>0.00280925925925926</v>
      </c>
      <c r="E325" s="39" t="n">
        <f aca="false">ROUND((D325-$D$5)*86400,2)</f>
        <v>17.69</v>
      </c>
      <c r="F325" s="12" t="n">
        <v>1434</v>
      </c>
      <c r="G325" s="11" t="str">
        <f aca="false">IF(INDEX(選手一覧!$D$5:$D$2736,$F325)="","",INDEX(選手一覧!$D$5:$D$2736,$F325))</f>
        <v/>
      </c>
      <c r="H325" s="12" t="str">
        <f aca="false">IF(INDEX(選手一覧!$E$5:$E$2736,$F325)="","",INDEX(選手一覧!$E$5:$E$2736,$F325))</f>
        <v/>
      </c>
      <c r="I325" s="11" t="str">
        <f aca="false">IF(INDEX(選手一覧!$F$5:$F$2736,$F325)="","",INDEX(選手一覧!$F$5:$F$2736,$F325))</f>
        <v/>
      </c>
      <c r="J325" s="12" t="str">
        <f aca="false">IF(INDEX(選手一覧!$G$5:$G$2736,$F325)="","",INDEX(選手一覧!$G$5:$G$2736,$F325))</f>
        <v/>
      </c>
    </row>
    <row r="326" customFormat="false" ht="15" hidden="false" customHeight="false" outlineLevel="0" collapsed="false">
      <c r="A326" s="12" t="n">
        <v>323</v>
      </c>
      <c r="B326" s="8" t="s">
        <v>1824</v>
      </c>
      <c r="C326" s="8" t="s">
        <v>1825</v>
      </c>
      <c r="D326" s="11" t="n">
        <v>0.00280960648148148</v>
      </c>
      <c r="E326" s="39" t="n">
        <f aca="false">ROUND((D326-$D$5)*86400,2)</f>
        <v>17.72</v>
      </c>
      <c r="F326" s="12" t="n">
        <v>1136</v>
      </c>
      <c r="G326" s="11" t="n">
        <f aca="false">IF(INDEX(選手一覧!$D$5:$D$2736,$F326)="","",INDEX(選手一覧!$D$5:$D$2736,$F326))</f>
        <v>0.011025</v>
      </c>
      <c r="H326" s="12" t="n">
        <f aca="false">IF(INDEX(選手一覧!$E$5:$E$2736,$F326)="","",INDEX(選手一覧!$E$5:$E$2736,$F326))</f>
        <v>1137</v>
      </c>
      <c r="I326" s="11" t="str">
        <f aca="false">IF(INDEX(選手一覧!$F$5:$F$2736,$F326)="","",INDEX(選手一覧!$F$5:$F$2736,$F326))</f>
        <v/>
      </c>
      <c r="J326" s="12" t="str">
        <f aca="false">IF(INDEX(選手一覧!$G$5:$G$2736,$F326)="","",INDEX(選手一覧!$G$5:$G$2736,$F326))</f>
        <v/>
      </c>
    </row>
    <row r="327" customFormat="false" ht="15" hidden="false" customHeight="false" outlineLevel="0" collapsed="false">
      <c r="A327" s="12" t="n">
        <v>324</v>
      </c>
      <c r="B327" s="8" t="s">
        <v>1169</v>
      </c>
      <c r="C327" s="8" t="s">
        <v>622</v>
      </c>
      <c r="D327" s="11" t="n">
        <v>0.00280983796296296</v>
      </c>
      <c r="E327" s="39" t="n">
        <f aca="false">ROUND((D327-$D$5)*86400,2)</f>
        <v>17.74</v>
      </c>
      <c r="F327" s="12" t="n">
        <v>698</v>
      </c>
      <c r="G327" s="11" t="n">
        <f aca="false">IF(INDEX(選手一覧!$D$5:$D$2736,$F327)="","",INDEX(選手一覧!$D$5:$D$2736,$F327))</f>
        <v>0.0107715277777778</v>
      </c>
      <c r="H327" s="12" t="n">
        <f aca="false">IF(INDEX(選手一覧!$E$5:$E$2736,$F327)="","",INDEX(選手一覧!$E$5:$E$2736,$F327))</f>
        <v>699</v>
      </c>
      <c r="I327" s="11" t="str">
        <f aca="false">IF(INDEX(選手一覧!$F$5:$F$2736,$F327)="","",INDEX(選手一覧!$F$5:$F$2736,$F327))</f>
        <v/>
      </c>
      <c r="J327" s="12" t="str">
        <f aca="false">IF(INDEX(選手一覧!$G$5:$G$2736,$F327)="","",INDEX(選手一覧!$G$5:$G$2736,$F327))</f>
        <v/>
      </c>
    </row>
    <row r="328" customFormat="false" ht="15" hidden="false" customHeight="false" outlineLevel="0" collapsed="false">
      <c r="A328" s="12" t="n">
        <v>325</v>
      </c>
      <c r="B328" s="8" t="s">
        <v>1170</v>
      </c>
      <c r="C328" s="8" t="s">
        <v>1171</v>
      </c>
      <c r="D328" s="11" t="n">
        <v>0.00281064814814815</v>
      </c>
      <c r="E328" s="39" t="n">
        <f aca="false">ROUND((D328-$D$5)*86400,2)</f>
        <v>17.81</v>
      </c>
      <c r="F328" s="12" t="n">
        <v>699</v>
      </c>
      <c r="G328" s="11" t="n">
        <f aca="false">IF(INDEX(選手一覧!$D$5:$D$2736,$F328)="","",INDEX(選手一覧!$D$5:$D$2736,$F328))</f>
        <v>0.0107717592592593</v>
      </c>
      <c r="H328" s="12" t="n">
        <f aca="false">IF(INDEX(選手一覧!$E$5:$E$2736,$F328)="","",INDEX(選手一覧!$E$5:$E$2736,$F328))</f>
        <v>700</v>
      </c>
      <c r="I328" s="11" t="str">
        <f aca="false">IF(INDEX(選手一覧!$F$5:$F$2736,$F328)="","",INDEX(選手一覧!$F$5:$F$2736,$F328))</f>
        <v/>
      </c>
      <c r="J328" s="12" t="str">
        <f aca="false">IF(INDEX(選手一覧!$G$5:$G$2736,$F328)="","",INDEX(選手一覧!$G$5:$G$2736,$F328))</f>
        <v/>
      </c>
    </row>
    <row r="329" customFormat="false" ht="15" hidden="false" customHeight="false" outlineLevel="0" collapsed="false">
      <c r="A329" s="12" t="n">
        <v>326</v>
      </c>
      <c r="B329" s="8" t="s">
        <v>649</v>
      </c>
      <c r="C329" s="8" t="s">
        <v>76</v>
      </c>
      <c r="D329" s="11" t="n">
        <v>0.00281076388888889</v>
      </c>
      <c r="E329" s="39" t="n">
        <f aca="false">ROUND((D329-$D$5)*86400,2)</f>
        <v>17.82</v>
      </c>
      <c r="F329" s="12" t="n">
        <v>357</v>
      </c>
      <c r="G329" s="11" t="n">
        <f aca="false">IF(INDEX(選手一覧!$D$5:$D$2736,$F329)="","",INDEX(選手一覧!$D$5:$D$2736,$F329))</f>
        <v>0.0105153935185185</v>
      </c>
      <c r="H329" s="12" t="n">
        <f aca="false">IF(INDEX(選手一覧!$E$5:$E$2736,$F329)="","",INDEX(選手一覧!$E$5:$E$2736,$F329))</f>
        <v>358</v>
      </c>
      <c r="I329" s="11" t="str">
        <f aca="false">IF(INDEX(選手一覧!$F$5:$F$2736,$F329)="","",INDEX(選手一覧!$F$5:$F$2736,$F329))</f>
        <v/>
      </c>
      <c r="J329" s="12" t="str">
        <f aca="false">IF(INDEX(選手一覧!$G$5:$G$2736,$F329)="","",INDEX(選手一覧!$G$5:$G$2736,$F329))</f>
        <v/>
      </c>
    </row>
    <row r="330" customFormat="false" ht="15" hidden="false" customHeight="false" outlineLevel="0" collapsed="false">
      <c r="A330" s="12" t="n">
        <v>327</v>
      </c>
      <c r="B330" s="8" t="s">
        <v>983</v>
      </c>
      <c r="C330" s="8" t="s">
        <v>578</v>
      </c>
      <c r="D330" s="11" t="n">
        <v>0.00281087962962963</v>
      </c>
      <c r="E330" s="39" t="n">
        <f aca="false">ROUND((D330-$D$5)*86400,2)</f>
        <v>17.83</v>
      </c>
      <c r="F330" s="12" t="n">
        <v>569</v>
      </c>
      <c r="G330" s="11" t="n">
        <f aca="false">IF(INDEX(選手一覧!$D$5:$D$2736,$F330)="","",INDEX(選手一覧!$D$5:$D$2736,$F330))</f>
        <v>0.0106944444444444</v>
      </c>
      <c r="H330" s="12" t="n">
        <f aca="false">IF(INDEX(選手一覧!$E$5:$E$2736,$F330)="","",INDEX(選手一覧!$E$5:$E$2736,$F330))</f>
        <v>570</v>
      </c>
      <c r="I330" s="11" t="str">
        <f aca="false">IF(INDEX(選手一覧!$F$5:$F$2736,$F330)="","",INDEX(選手一覧!$F$5:$F$2736,$F330))</f>
        <v/>
      </c>
      <c r="J330" s="12" t="str">
        <f aca="false">IF(INDEX(選手一覧!$G$5:$G$2736,$F330)="","",INDEX(選手一覧!$G$5:$G$2736,$F330))</f>
        <v/>
      </c>
    </row>
    <row r="331" customFormat="false" ht="15" hidden="false" customHeight="false" outlineLevel="0" collapsed="false">
      <c r="A331" s="12" t="n">
        <v>328</v>
      </c>
      <c r="B331" s="8" t="s">
        <v>1479</v>
      </c>
      <c r="C331" s="8" t="s">
        <v>179</v>
      </c>
      <c r="D331" s="11" t="n">
        <v>0.0028119212962963</v>
      </c>
      <c r="E331" s="39" t="n">
        <f aca="false">ROUND((D331-$D$5)*86400,2)</f>
        <v>17.92</v>
      </c>
      <c r="F331" s="12" t="n">
        <v>903</v>
      </c>
      <c r="G331" s="11" t="n">
        <f aca="false">IF(INDEX(選手一覧!$D$5:$D$2736,$F331)="","",INDEX(選手一覧!$D$5:$D$2736,$F331))</f>
        <v>0.0108903935185185</v>
      </c>
      <c r="H331" s="12" t="n">
        <f aca="false">IF(INDEX(選手一覧!$E$5:$E$2736,$F331)="","",INDEX(選手一覧!$E$5:$E$2736,$F331))</f>
        <v>904</v>
      </c>
      <c r="I331" s="11" t="str">
        <f aca="false">IF(INDEX(選手一覧!$F$5:$F$2736,$F331)="","",INDEX(選手一覧!$F$5:$F$2736,$F331))</f>
        <v/>
      </c>
      <c r="J331" s="12" t="str">
        <f aca="false">IF(INDEX(選手一覧!$G$5:$G$2736,$F331)="","",INDEX(選手一覧!$G$5:$G$2736,$F331))</f>
        <v/>
      </c>
    </row>
    <row r="332" customFormat="false" ht="15" hidden="false" customHeight="false" outlineLevel="0" collapsed="false">
      <c r="A332" s="12" t="n">
        <v>329</v>
      </c>
      <c r="B332" s="8" t="s">
        <v>377</v>
      </c>
      <c r="C332" s="8" t="s">
        <v>92</v>
      </c>
      <c r="D332" s="11" t="n">
        <v>0.0028119212962963</v>
      </c>
      <c r="E332" s="39" t="n">
        <f aca="false">ROUND((D332-$D$5)*86400,2)</f>
        <v>17.92</v>
      </c>
      <c r="F332" s="12" t="n">
        <v>189</v>
      </c>
      <c r="G332" s="11" t="n">
        <f aca="false">IF(INDEX(選手一覧!$D$5:$D$2736,$F332)="","",INDEX(選手一覧!$D$5:$D$2736,$F332))</f>
        <v>0.0103393518518519</v>
      </c>
      <c r="H332" s="12" t="n">
        <f aca="false">IF(INDEX(選手一覧!$E$5:$E$2736,$F332)="","",INDEX(選手一覧!$E$5:$E$2736,$F332))</f>
        <v>190</v>
      </c>
      <c r="I332" s="11" t="n">
        <f aca="false">IF(INDEX(選手一覧!$F$5:$F$2736,$F332)="","",INDEX(選手一覧!$F$5:$F$2736,$F332))</f>
        <v>0.00682673611111111</v>
      </c>
      <c r="J332" s="12" t="n">
        <f aca="false">IF(INDEX(選手一覧!$G$5:$G$2736,$F332)="","",INDEX(選手一覧!$G$5:$G$2736,$F332))</f>
        <v>190</v>
      </c>
    </row>
    <row r="333" customFormat="false" ht="15" hidden="false" customHeight="false" outlineLevel="0" collapsed="false">
      <c r="A333" s="12" t="n">
        <v>330</v>
      </c>
      <c r="B333" s="8" t="s">
        <v>811</v>
      </c>
      <c r="C333" s="8" t="s">
        <v>812</v>
      </c>
      <c r="D333" s="11" t="n">
        <v>0.0028119212962963</v>
      </c>
      <c r="E333" s="39" t="n">
        <f aca="false">ROUND((D333-$D$5)*86400,2)</f>
        <v>17.92</v>
      </c>
      <c r="F333" s="12" t="n">
        <v>462</v>
      </c>
      <c r="G333" s="11" t="n">
        <f aca="false">IF(INDEX(選手一覧!$D$5:$D$2736,$F333)="","",INDEX(選手一覧!$D$5:$D$2736,$F333))</f>
        <v>0.0105996527777778</v>
      </c>
      <c r="H333" s="12" t="n">
        <f aca="false">IF(INDEX(選手一覧!$E$5:$E$2736,$F333)="","",INDEX(選手一覧!$E$5:$E$2736,$F333))</f>
        <v>463</v>
      </c>
      <c r="I333" s="11" t="str">
        <f aca="false">IF(INDEX(選手一覧!$F$5:$F$2736,$F333)="","",INDEX(選手一覧!$F$5:$F$2736,$F333))</f>
        <v/>
      </c>
      <c r="J333" s="12" t="str">
        <f aca="false">IF(INDEX(選手一覧!$G$5:$G$2736,$F333)="","",INDEX(選手一覧!$G$5:$G$2736,$F333))</f>
        <v/>
      </c>
    </row>
    <row r="334" customFormat="false" ht="15" hidden="false" customHeight="false" outlineLevel="0" collapsed="false">
      <c r="A334" s="12" t="n">
        <v>331</v>
      </c>
      <c r="B334" s="8" t="s">
        <v>2254</v>
      </c>
      <c r="C334" s="8" t="s">
        <v>868</v>
      </c>
      <c r="D334" s="11" t="n">
        <v>0.00281273148148148</v>
      </c>
      <c r="E334" s="39" t="n">
        <f aca="false">ROUND((D334-$D$5)*86400,2)</f>
        <v>17.99</v>
      </c>
      <c r="F334" s="12" t="n">
        <v>1439</v>
      </c>
      <c r="G334" s="11" t="str">
        <f aca="false">IF(INDEX(選手一覧!$D$5:$D$2736,$F334)="","",INDEX(選手一覧!$D$5:$D$2736,$F334))</f>
        <v/>
      </c>
      <c r="H334" s="12" t="str">
        <f aca="false">IF(INDEX(選手一覧!$E$5:$E$2736,$F334)="","",INDEX(選手一覧!$E$5:$E$2736,$F334))</f>
        <v/>
      </c>
      <c r="I334" s="11" t="str">
        <f aca="false">IF(INDEX(選手一覧!$F$5:$F$2736,$F334)="","",INDEX(選手一覧!$F$5:$F$2736,$F334))</f>
        <v/>
      </c>
      <c r="J334" s="12" t="str">
        <f aca="false">IF(INDEX(選手一覧!$G$5:$G$2736,$F334)="","",INDEX(選手一覧!$G$5:$G$2736,$F334))</f>
        <v/>
      </c>
    </row>
    <row r="335" customFormat="false" ht="15" hidden="false" customHeight="false" outlineLevel="0" collapsed="false">
      <c r="A335" s="12" t="n">
        <v>332</v>
      </c>
      <c r="B335" s="8" t="s">
        <v>1081</v>
      </c>
      <c r="C335" s="8" t="s">
        <v>592</v>
      </c>
      <c r="D335" s="11" t="n">
        <v>0.00281284722222222</v>
      </c>
      <c r="E335" s="39" t="n">
        <f aca="false">ROUND((D335-$D$5)*86400,2)</f>
        <v>18</v>
      </c>
      <c r="F335" s="12" t="n">
        <v>641</v>
      </c>
      <c r="G335" s="11" t="n">
        <f aca="false">IF(INDEX(選手一覧!$D$5:$D$2736,$F335)="","",INDEX(選手一覧!$D$5:$D$2736,$F335))</f>
        <v>0.0107350694444444</v>
      </c>
      <c r="H335" s="12" t="n">
        <f aca="false">IF(INDEX(選手一覧!$E$5:$E$2736,$F335)="","",INDEX(選手一覧!$E$5:$E$2736,$F335))</f>
        <v>642</v>
      </c>
      <c r="I335" s="11" t="str">
        <f aca="false">IF(INDEX(選手一覧!$F$5:$F$2736,$F335)="","",INDEX(選手一覧!$F$5:$F$2736,$F335))</f>
        <v/>
      </c>
      <c r="J335" s="12" t="str">
        <f aca="false">IF(INDEX(選手一覧!$G$5:$G$2736,$F335)="","",INDEX(選手一覧!$G$5:$G$2736,$F335))</f>
        <v/>
      </c>
    </row>
    <row r="336" customFormat="false" ht="15" hidden="false" customHeight="false" outlineLevel="0" collapsed="false">
      <c r="A336" s="12" t="n">
        <v>333</v>
      </c>
      <c r="B336" s="8" t="s">
        <v>705</v>
      </c>
      <c r="C336" s="8" t="s">
        <v>537</v>
      </c>
      <c r="D336" s="11" t="n">
        <v>0.00281296296296296</v>
      </c>
      <c r="E336" s="39" t="n">
        <f aca="false">ROUND((D336-$D$5)*86400,2)</f>
        <v>18.01</v>
      </c>
      <c r="F336" s="12" t="n">
        <v>394</v>
      </c>
      <c r="G336" s="11" t="n">
        <f aca="false">IF(INDEX(選手一覧!$D$5:$D$2736,$F336)="","",INDEX(選手一覧!$D$5:$D$2736,$F336))</f>
        <v>0.0105478009259259</v>
      </c>
      <c r="H336" s="12" t="n">
        <f aca="false">IF(INDEX(選手一覧!$E$5:$E$2736,$F336)="","",INDEX(選手一覧!$E$5:$E$2736,$F336))</f>
        <v>395</v>
      </c>
      <c r="I336" s="11" t="n">
        <f aca="false">IF(INDEX(選手一覧!$F$5:$F$2736,$F336)="","",INDEX(選手一覧!$F$5:$F$2736,$F336))</f>
        <v>0.00705462962962963</v>
      </c>
      <c r="J336" s="12" t="n">
        <f aca="false">IF(INDEX(選手一覧!$G$5:$G$2736,$F336)="","",INDEX(選手一覧!$G$5:$G$2736,$F336))</f>
        <v>394</v>
      </c>
    </row>
    <row r="337" customFormat="false" ht="15" hidden="false" customHeight="false" outlineLevel="0" collapsed="false">
      <c r="A337" s="12" t="n">
        <v>334</v>
      </c>
      <c r="B337" s="8" t="s">
        <v>490</v>
      </c>
      <c r="C337" s="8" t="s">
        <v>238</v>
      </c>
      <c r="D337" s="11" t="n">
        <v>0.0028130787037037</v>
      </c>
      <c r="E337" s="39" t="n">
        <f aca="false">ROUND((D337-$D$5)*86400,2)</f>
        <v>18.02</v>
      </c>
      <c r="F337" s="12" t="n">
        <v>259</v>
      </c>
      <c r="G337" s="11" t="n">
        <f aca="false">IF(INDEX(選手一覧!$D$5:$D$2736,$F337)="","",INDEX(選手一覧!$D$5:$D$2736,$F337))</f>
        <v>0.0103972222222222</v>
      </c>
      <c r="H337" s="12" t="n">
        <f aca="false">IF(INDEX(選手一覧!$E$5:$E$2736,$F337)="","",INDEX(選手一覧!$E$5:$E$2736,$F337))</f>
        <v>260</v>
      </c>
      <c r="I337" s="11" t="str">
        <f aca="false">IF(INDEX(選手一覧!$F$5:$F$2736,$F337)="","",INDEX(選手一覧!$F$5:$F$2736,$F337))</f>
        <v/>
      </c>
      <c r="J337" s="12" t="str">
        <f aca="false">IF(INDEX(選手一覧!$G$5:$G$2736,$F337)="","",INDEX(選手一覧!$G$5:$G$2736,$F337))</f>
        <v/>
      </c>
    </row>
    <row r="338" customFormat="false" ht="15" hidden="false" customHeight="false" outlineLevel="0" collapsed="false">
      <c r="A338" s="12" t="n">
        <v>335</v>
      </c>
      <c r="B338" s="8" t="s">
        <v>1077</v>
      </c>
      <c r="C338" s="8" t="s">
        <v>496</v>
      </c>
      <c r="D338" s="11" t="n">
        <v>0.00281319444444445</v>
      </c>
      <c r="E338" s="39" t="n">
        <f aca="false">ROUND((D338-$D$5)*86400,2)</f>
        <v>18.03</v>
      </c>
      <c r="F338" s="12" t="n">
        <v>638</v>
      </c>
      <c r="G338" s="11" t="n">
        <f aca="false">IF(INDEX(選手一覧!$D$5:$D$2736,$F338)="","",INDEX(選手一覧!$D$5:$D$2736,$F338))</f>
        <v>0.0107329861111111</v>
      </c>
      <c r="H338" s="12" t="n">
        <f aca="false">IF(INDEX(選手一覧!$E$5:$E$2736,$F338)="","",INDEX(選手一覧!$E$5:$E$2736,$F338))</f>
        <v>639</v>
      </c>
      <c r="I338" s="11" t="str">
        <f aca="false">IF(INDEX(選手一覧!$F$5:$F$2736,$F338)="","",INDEX(選手一覧!$F$5:$F$2736,$F338))</f>
        <v/>
      </c>
      <c r="J338" s="12" t="str">
        <f aca="false">IF(INDEX(選手一覧!$G$5:$G$2736,$F338)="","",INDEX(選手一覧!$G$5:$G$2736,$F338))</f>
        <v/>
      </c>
    </row>
    <row r="339" customFormat="false" ht="15" hidden="false" customHeight="false" outlineLevel="0" collapsed="false">
      <c r="A339" s="12" t="n">
        <v>336</v>
      </c>
      <c r="B339" s="8" t="s">
        <v>648</v>
      </c>
      <c r="C339" s="8" t="s">
        <v>54</v>
      </c>
      <c r="D339" s="11" t="n">
        <v>0.00281331018518519</v>
      </c>
      <c r="E339" s="39" t="n">
        <f aca="false">ROUND((D339-$D$5)*86400,2)</f>
        <v>18.04</v>
      </c>
      <c r="F339" s="12" t="n">
        <v>356</v>
      </c>
      <c r="G339" s="11" t="n">
        <f aca="false">IF(INDEX(選手一覧!$D$5:$D$2736,$F339)="","",INDEX(選手一覧!$D$5:$D$2736,$F339))</f>
        <v>0.010515162037037</v>
      </c>
      <c r="H339" s="12" t="n">
        <f aca="false">IF(INDEX(選手一覧!$E$5:$E$2736,$F339)="","",INDEX(選手一覧!$E$5:$E$2736,$F339))</f>
        <v>357</v>
      </c>
      <c r="I339" s="11" t="str">
        <f aca="false">IF(INDEX(選手一覧!$F$5:$F$2736,$F339)="","",INDEX(選手一覧!$F$5:$F$2736,$F339))</f>
        <v/>
      </c>
      <c r="J339" s="12" t="str">
        <f aca="false">IF(INDEX(選手一覧!$G$5:$G$2736,$F339)="","",INDEX(選手一覧!$G$5:$G$2736,$F339))</f>
        <v/>
      </c>
    </row>
    <row r="340" customFormat="false" ht="15" hidden="false" customHeight="false" outlineLevel="0" collapsed="false">
      <c r="A340" s="12" t="n">
        <v>337</v>
      </c>
      <c r="B340" s="8" t="s">
        <v>830</v>
      </c>
      <c r="C340" s="8" t="s">
        <v>172</v>
      </c>
      <c r="D340" s="11" t="n">
        <v>0.00281331018518519</v>
      </c>
      <c r="E340" s="39" t="n">
        <f aca="false">ROUND((D340-$D$5)*86400,2)</f>
        <v>18.04</v>
      </c>
      <c r="F340" s="12" t="n">
        <v>475</v>
      </c>
      <c r="G340" s="11" t="n">
        <f aca="false">IF(INDEX(選手一覧!$D$5:$D$2736,$F340)="","",INDEX(選手一覧!$D$5:$D$2736,$F340))</f>
        <v>0.0106106481481482</v>
      </c>
      <c r="H340" s="12" t="n">
        <f aca="false">IF(INDEX(選手一覧!$E$5:$E$2736,$F340)="","",INDEX(選手一覧!$E$5:$E$2736,$F340))</f>
        <v>476</v>
      </c>
      <c r="I340" s="11" t="str">
        <f aca="false">IF(INDEX(選手一覧!$F$5:$F$2736,$F340)="","",INDEX(選手一覧!$F$5:$F$2736,$F340))</f>
        <v/>
      </c>
      <c r="J340" s="12" t="str">
        <f aca="false">IF(INDEX(選手一覧!$G$5:$G$2736,$F340)="","",INDEX(選手一覧!$G$5:$G$2736,$F340))</f>
        <v/>
      </c>
    </row>
    <row r="341" customFormat="false" ht="15" hidden="false" customHeight="false" outlineLevel="0" collapsed="false">
      <c r="A341" s="12" t="n">
        <v>338</v>
      </c>
      <c r="B341" s="8" t="s">
        <v>1080</v>
      </c>
      <c r="C341" s="8" t="s">
        <v>54</v>
      </c>
      <c r="D341" s="11" t="n">
        <v>0.00281354166666667</v>
      </c>
      <c r="E341" s="39" t="n">
        <f aca="false">ROUND((D341-$D$5)*86400,2)</f>
        <v>18.06</v>
      </c>
      <c r="F341" s="12" t="n">
        <v>640</v>
      </c>
      <c r="G341" s="11" t="n">
        <f aca="false">IF(INDEX(選手一覧!$D$5:$D$2736,$F341)="","",INDEX(選手一覧!$D$5:$D$2736,$F341))</f>
        <v>0.0107349537037037</v>
      </c>
      <c r="H341" s="12" t="n">
        <f aca="false">IF(INDEX(選手一覧!$E$5:$E$2736,$F341)="","",INDEX(選手一覧!$E$5:$E$2736,$F341))</f>
        <v>641</v>
      </c>
      <c r="I341" s="11" t="str">
        <f aca="false">IF(INDEX(選手一覧!$F$5:$F$2736,$F341)="","",INDEX(選手一覧!$F$5:$F$2736,$F341))</f>
        <v/>
      </c>
      <c r="J341" s="12" t="str">
        <f aca="false">IF(INDEX(選手一覧!$G$5:$G$2736,$F341)="","",INDEX(選手一覧!$G$5:$G$2736,$F341))</f>
        <v/>
      </c>
    </row>
    <row r="342" customFormat="false" ht="15" hidden="false" customHeight="false" outlineLevel="0" collapsed="false">
      <c r="A342" s="12" t="n">
        <v>339</v>
      </c>
      <c r="B342" s="8" t="s">
        <v>1688</v>
      </c>
      <c r="C342" s="8" t="s">
        <v>1689</v>
      </c>
      <c r="D342" s="11" t="n">
        <v>0.00281388888888889</v>
      </c>
      <c r="E342" s="39" t="n">
        <f aca="false">ROUND((D342-$D$5)*86400,2)</f>
        <v>18.09</v>
      </c>
      <c r="F342" s="12" t="n">
        <v>1046</v>
      </c>
      <c r="G342" s="11" t="n">
        <f aca="false">IF(INDEX(選手一覧!$D$5:$D$2736,$F342)="","",INDEX(選手一覧!$D$5:$D$2736,$F342))</f>
        <v>0.0109736111111111</v>
      </c>
      <c r="H342" s="12" t="n">
        <f aca="false">IF(INDEX(選手一覧!$E$5:$E$2736,$F342)="","",INDEX(選手一覧!$E$5:$E$2736,$F342))</f>
        <v>1047</v>
      </c>
      <c r="I342" s="11" t="str">
        <f aca="false">IF(INDEX(選手一覧!$F$5:$F$2736,$F342)="","",INDEX(選手一覧!$F$5:$F$2736,$F342))</f>
        <v/>
      </c>
      <c r="J342" s="12" t="str">
        <f aca="false">IF(INDEX(選手一覧!$G$5:$G$2736,$F342)="","",INDEX(選手一覧!$G$5:$G$2736,$F342))</f>
        <v/>
      </c>
    </row>
    <row r="343" customFormat="false" ht="15" hidden="false" customHeight="false" outlineLevel="0" collapsed="false">
      <c r="A343" s="12" t="n">
        <v>340</v>
      </c>
      <c r="B343" s="8" t="s">
        <v>124</v>
      </c>
      <c r="C343" s="8" t="s">
        <v>58</v>
      </c>
      <c r="D343" s="11" t="n">
        <v>0.00281412037037037</v>
      </c>
      <c r="E343" s="39" t="n">
        <f aca="false">ROUND((D343-$D$5)*86400,2)</f>
        <v>18.11</v>
      </c>
      <c r="F343" s="12" t="n">
        <v>52</v>
      </c>
      <c r="G343" s="11" t="n">
        <f aca="false">IF(INDEX(選手一覧!$D$5:$D$2736,$F343)="","",INDEX(選手一覧!$D$5:$D$2736,$F343))</f>
        <v>0.0101015046296296</v>
      </c>
      <c r="H343" s="12" t="n">
        <f aca="false">IF(INDEX(選手一覧!$E$5:$E$2736,$F343)="","",INDEX(選手一覧!$E$5:$E$2736,$F343))</f>
        <v>53</v>
      </c>
      <c r="I343" s="11" t="str">
        <f aca="false">IF(INDEX(選手一覧!$F$5:$F$2736,$F343)="","",INDEX(選手一覧!$F$5:$F$2736,$F343))</f>
        <v/>
      </c>
      <c r="J343" s="12" t="str">
        <f aca="false">IF(INDEX(選手一覧!$G$5:$G$2736,$F343)="","",INDEX(選手一覧!$G$5:$G$2736,$F343))</f>
        <v/>
      </c>
    </row>
    <row r="344" customFormat="false" ht="15" hidden="false" customHeight="false" outlineLevel="0" collapsed="false">
      <c r="A344" s="12" t="n">
        <v>341</v>
      </c>
      <c r="B344" s="8" t="s">
        <v>840</v>
      </c>
      <c r="C344" s="8" t="s">
        <v>456</v>
      </c>
      <c r="D344" s="11" t="n">
        <v>0.00281458333333333</v>
      </c>
      <c r="E344" s="39" t="n">
        <f aca="false">ROUND((D344-$D$5)*86400,2)</f>
        <v>18.15</v>
      </c>
      <c r="F344" s="12" t="n">
        <v>481</v>
      </c>
      <c r="G344" s="11" t="n">
        <f aca="false">IF(INDEX(選手一覧!$D$5:$D$2736,$F344)="","",INDEX(選手一覧!$D$5:$D$2736,$F344))</f>
        <v>0.0106128472222222</v>
      </c>
      <c r="H344" s="12" t="n">
        <f aca="false">IF(INDEX(選手一覧!$E$5:$E$2736,$F344)="","",INDEX(選手一覧!$E$5:$E$2736,$F344))</f>
        <v>482</v>
      </c>
      <c r="I344" s="11" t="n">
        <f aca="false">IF(INDEX(選手一覧!$F$5:$F$2736,$F344)="","",INDEX(選手一覧!$F$5:$F$2736,$F344))</f>
        <v>0.00723171296296296</v>
      </c>
      <c r="J344" s="12" t="n">
        <f aca="false">IF(INDEX(選手一覧!$G$5:$G$2736,$F344)="","",INDEX(選手一覧!$G$5:$G$2736,$F344))</f>
        <v>576</v>
      </c>
    </row>
    <row r="345" customFormat="false" ht="15" hidden="false" customHeight="false" outlineLevel="0" collapsed="false">
      <c r="A345" s="12" t="n">
        <v>342</v>
      </c>
      <c r="B345" s="8" t="s">
        <v>601</v>
      </c>
      <c r="C345" s="8" t="s">
        <v>602</v>
      </c>
      <c r="D345" s="11" t="n">
        <v>0.00281458333333333</v>
      </c>
      <c r="E345" s="39" t="n">
        <f aca="false">ROUND((D345-$D$5)*86400,2)</f>
        <v>18.15</v>
      </c>
      <c r="F345" s="12" t="n">
        <v>327</v>
      </c>
      <c r="G345" s="11" t="n">
        <f aca="false">IF(INDEX(選手一覧!$D$5:$D$2736,$F345)="","",INDEX(選手一覧!$D$5:$D$2736,$F345))</f>
        <v>0.0104847222222222</v>
      </c>
      <c r="H345" s="12" t="n">
        <f aca="false">IF(INDEX(選手一覧!$E$5:$E$2736,$F345)="","",INDEX(選手一覧!$E$5:$E$2736,$F345))</f>
        <v>328</v>
      </c>
      <c r="I345" s="11" t="n">
        <f aca="false">IF(INDEX(選手一覧!$F$5:$F$2736,$F345)="","",INDEX(選手一覧!$F$5:$F$2736,$F345))</f>
        <v>0.00649502314814815</v>
      </c>
      <c r="J345" s="12" t="n">
        <f aca="false">IF(INDEX(選手一覧!$G$5:$G$2736,$F345)="","",INDEX(選手一覧!$G$5:$G$2736,$F345))</f>
        <v>34</v>
      </c>
    </row>
    <row r="346" customFormat="false" ht="15" hidden="false" customHeight="false" outlineLevel="0" collapsed="false">
      <c r="A346" s="12" t="n">
        <v>343</v>
      </c>
      <c r="B346" s="8" t="s">
        <v>2266</v>
      </c>
      <c r="C346" s="8" t="s">
        <v>309</v>
      </c>
      <c r="D346" s="11" t="n">
        <v>0.00281493055555556</v>
      </c>
      <c r="E346" s="39" t="n">
        <f aca="false">ROUND((D346-$D$5)*86400,2)</f>
        <v>18.18</v>
      </c>
      <c r="F346" s="12" t="n">
        <v>1446</v>
      </c>
      <c r="G346" s="11" t="str">
        <f aca="false">IF(INDEX(選手一覧!$D$5:$D$2736,$F346)="","",INDEX(選手一覧!$D$5:$D$2736,$F346))</f>
        <v/>
      </c>
      <c r="H346" s="12" t="str">
        <f aca="false">IF(INDEX(選手一覧!$E$5:$E$2736,$F346)="","",INDEX(選手一覧!$E$5:$E$2736,$F346))</f>
        <v/>
      </c>
      <c r="I346" s="11" t="n">
        <f aca="false">IF(INDEX(選手一覧!$F$5:$F$2736,$F346)="","",INDEX(選手一覧!$F$5:$F$2736,$F346))</f>
        <v>0.00711736111111111</v>
      </c>
      <c r="J346" s="12" t="n">
        <f aca="false">IF(INDEX(選手一覧!$G$5:$G$2736,$F346)="","",INDEX(選手一覧!$G$5:$G$2736,$F346))</f>
        <v>463</v>
      </c>
    </row>
    <row r="347" customFormat="false" ht="15" hidden="false" customHeight="false" outlineLevel="0" collapsed="false">
      <c r="A347" s="12" t="n">
        <v>344</v>
      </c>
      <c r="B347" s="8" t="s">
        <v>676</v>
      </c>
      <c r="C347" s="8" t="s">
        <v>100</v>
      </c>
      <c r="D347" s="11" t="n">
        <v>0.00281574074074074</v>
      </c>
      <c r="E347" s="39" t="n">
        <f aca="false">ROUND((D347-$D$5)*86400,2)</f>
        <v>18.25</v>
      </c>
      <c r="F347" s="12" t="n">
        <v>376</v>
      </c>
      <c r="G347" s="11" t="n">
        <f aca="false">IF(INDEX(選手一覧!$D$5:$D$2736,$F347)="","",INDEX(選手一覧!$D$5:$D$2736,$F347))</f>
        <v>0.0105350694444444</v>
      </c>
      <c r="H347" s="12" t="n">
        <f aca="false">IF(INDEX(選手一覧!$E$5:$E$2736,$F347)="","",INDEX(選手一覧!$E$5:$E$2736,$F347))</f>
        <v>377</v>
      </c>
      <c r="I347" s="11" t="str">
        <f aca="false">IF(INDEX(選手一覧!$F$5:$F$2736,$F347)="","",INDEX(選手一覧!$F$5:$F$2736,$F347))</f>
        <v/>
      </c>
      <c r="J347" s="12" t="str">
        <f aca="false">IF(INDEX(選手一覧!$G$5:$G$2736,$F347)="","",INDEX(選手一覧!$G$5:$G$2736,$F347))</f>
        <v/>
      </c>
    </row>
    <row r="348" customFormat="false" ht="15" hidden="false" customHeight="false" outlineLevel="0" collapsed="false">
      <c r="A348" s="12" t="n">
        <v>345</v>
      </c>
      <c r="B348" s="8" t="s">
        <v>2270</v>
      </c>
      <c r="C348" s="8" t="s">
        <v>2271</v>
      </c>
      <c r="D348" s="11" t="n">
        <v>0.00281631944444445</v>
      </c>
      <c r="E348" s="39" t="n">
        <f aca="false">ROUND((D348-$D$5)*86400,2)</f>
        <v>18.3</v>
      </c>
      <c r="F348" s="12" t="n">
        <v>1449</v>
      </c>
      <c r="G348" s="11" t="str">
        <f aca="false">IF(INDEX(選手一覧!$D$5:$D$2736,$F348)="","",INDEX(選手一覧!$D$5:$D$2736,$F348))</f>
        <v/>
      </c>
      <c r="H348" s="12" t="str">
        <f aca="false">IF(INDEX(選手一覧!$E$5:$E$2736,$F348)="","",INDEX(選手一覧!$E$5:$E$2736,$F348))</f>
        <v/>
      </c>
      <c r="I348" s="11" t="str">
        <f aca="false">IF(INDEX(選手一覧!$F$5:$F$2736,$F348)="","",INDEX(選手一覧!$F$5:$F$2736,$F348))</f>
        <v/>
      </c>
      <c r="J348" s="12" t="str">
        <f aca="false">IF(INDEX(選手一覧!$G$5:$G$2736,$F348)="","",INDEX(選手一覧!$G$5:$G$2736,$F348))</f>
        <v/>
      </c>
    </row>
    <row r="349" customFormat="false" ht="15" hidden="false" customHeight="false" outlineLevel="0" collapsed="false">
      <c r="A349" s="21" t="n">
        <v>346</v>
      </c>
      <c r="B349" s="17" t="s">
        <v>226</v>
      </c>
      <c r="C349" s="17" t="s">
        <v>116</v>
      </c>
      <c r="D349" s="20" t="n">
        <v>0.00281643518518519</v>
      </c>
      <c r="E349" s="40" t="n">
        <f aca="false">ROUND((D349-$D$5)*86400,2)</f>
        <v>18.31</v>
      </c>
      <c r="F349" s="21" t="n">
        <v>110</v>
      </c>
      <c r="G349" s="20" t="n">
        <f aca="false">IF(INDEX(選手一覧!$D$5:$D$2736,$F349)="","",INDEX(選手一覧!$D$5:$D$2736,$F349))</f>
        <v>0.0102291666666667</v>
      </c>
      <c r="H349" s="21" t="n">
        <f aca="false">IF(INDEX(選手一覧!$E$5:$E$2736,$F349)="","",INDEX(選手一覧!$E$5:$E$2736,$F349))</f>
        <v>111</v>
      </c>
      <c r="I349" s="20" t="str">
        <f aca="false">IF(INDEX(選手一覧!$F$5:$F$2736,$F349)="","",INDEX(選手一覧!$F$5:$F$2736,$F349))</f>
        <v/>
      </c>
      <c r="J349" s="21" t="str">
        <f aca="false">IF(INDEX(選手一覧!$G$5:$G$2736,$F349)="","",INDEX(選手一覧!$G$5:$G$2736,$F349))</f>
        <v/>
      </c>
    </row>
    <row r="350" customFormat="false" ht="15" hidden="false" customHeight="false" outlineLevel="0" collapsed="false">
      <c r="A350" s="12" t="n">
        <v>347</v>
      </c>
      <c r="B350" s="8" t="s">
        <v>2076</v>
      </c>
      <c r="C350" s="8" t="s">
        <v>2077</v>
      </c>
      <c r="D350" s="11" t="n">
        <v>0.00281643518518519</v>
      </c>
      <c r="E350" s="39" t="n">
        <f aca="false">ROUND((D350-$D$5)*86400,2)</f>
        <v>18.31</v>
      </c>
      <c r="F350" s="12" t="n">
        <v>1322</v>
      </c>
      <c r="G350" s="11" t="str">
        <f aca="false">IF(INDEX(選手一覧!$D$5:$D$2736,$F350)="","",INDEX(選手一覧!$D$5:$D$2736,$F350))</f>
        <v/>
      </c>
      <c r="H350" s="12" t="str">
        <f aca="false">IF(INDEX(選手一覧!$E$5:$E$2736,$F350)="","",INDEX(選手一覧!$E$5:$E$2736,$F350))</f>
        <v/>
      </c>
      <c r="I350" s="11" t="n">
        <f aca="false">IF(INDEX(選手一覧!$F$5:$F$2736,$F350)="","",INDEX(選手一覧!$F$5:$F$2736,$F350))</f>
        <v>0.00678368055555556</v>
      </c>
      <c r="J350" s="12" t="n">
        <f aca="false">IF(INDEX(選手一覧!$G$5:$G$2736,$F350)="","",INDEX(選手一覧!$G$5:$G$2736,$F350))</f>
        <v>159</v>
      </c>
    </row>
    <row r="351" customFormat="false" ht="15" hidden="false" customHeight="false" outlineLevel="0" collapsed="false">
      <c r="A351" s="12" t="n">
        <v>348</v>
      </c>
      <c r="B351" s="8" t="s">
        <v>882</v>
      </c>
      <c r="C351" s="8" t="s">
        <v>28</v>
      </c>
      <c r="D351" s="11" t="n">
        <v>0.00281655092592593</v>
      </c>
      <c r="E351" s="39" t="n">
        <f aca="false">ROUND((D351-$D$5)*86400,2)</f>
        <v>18.32</v>
      </c>
      <c r="F351" s="12" t="n">
        <v>505</v>
      </c>
      <c r="G351" s="11" t="n">
        <f aca="false">IF(INDEX(選手一覧!$D$5:$D$2736,$F351)="","",INDEX(選手一覧!$D$5:$D$2736,$F351))</f>
        <v>0.0106325231481482</v>
      </c>
      <c r="H351" s="12" t="n">
        <f aca="false">IF(INDEX(選手一覧!$E$5:$E$2736,$F351)="","",INDEX(選手一覧!$E$5:$E$2736,$F351))</f>
        <v>506</v>
      </c>
      <c r="I351" s="11" t="str">
        <f aca="false">IF(INDEX(選手一覧!$F$5:$F$2736,$F351)="","",INDEX(選手一覧!$F$5:$F$2736,$F351))</f>
        <v/>
      </c>
      <c r="J351" s="12" t="str">
        <f aca="false">IF(INDEX(選手一覧!$G$5:$G$2736,$F351)="","",INDEX(選手一覧!$G$5:$G$2736,$F351))</f>
        <v/>
      </c>
    </row>
    <row r="352" customFormat="false" ht="15" hidden="false" customHeight="false" outlineLevel="0" collapsed="false">
      <c r="A352" s="12" t="n">
        <v>349</v>
      </c>
      <c r="B352" s="8" t="s">
        <v>2280</v>
      </c>
      <c r="C352" s="8" t="s">
        <v>2281</v>
      </c>
      <c r="D352" s="11" t="n">
        <v>0.00281689814814815</v>
      </c>
      <c r="E352" s="39" t="n">
        <f aca="false">ROUND((D352-$D$5)*86400,2)</f>
        <v>18.35</v>
      </c>
      <c r="F352" s="12" t="n">
        <v>1454</v>
      </c>
      <c r="G352" s="11" t="str">
        <f aca="false">IF(INDEX(選手一覧!$D$5:$D$2736,$F352)="","",INDEX(選手一覧!$D$5:$D$2736,$F352))</f>
        <v/>
      </c>
      <c r="H352" s="12" t="str">
        <f aca="false">IF(INDEX(選手一覧!$E$5:$E$2736,$F352)="","",INDEX(選手一覧!$E$5:$E$2736,$F352))</f>
        <v/>
      </c>
      <c r="I352" s="11" t="str">
        <f aca="false">IF(INDEX(選手一覧!$F$5:$F$2736,$F352)="","",INDEX(選手一覧!$F$5:$F$2736,$F352))</f>
        <v/>
      </c>
      <c r="J352" s="12" t="str">
        <f aca="false">IF(INDEX(選手一覧!$G$5:$G$2736,$F352)="","",INDEX(選手一覧!$G$5:$G$2736,$F352))</f>
        <v/>
      </c>
    </row>
    <row r="353" customFormat="false" ht="15" hidden="false" customHeight="false" outlineLevel="0" collapsed="false">
      <c r="A353" s="12" t="n">
        <v>350</v>
      </c>
      <c r="B353" s="8" t="s">
        <v>2284</v>
      </c>
      <c r="C353" s="8" t="s">
        <v>584</v>
      </c>
      <c r="D353" s="11" t="n">
        <v>0.00281689814814815</v>
      </c>
      <c r="E353" s="39" t="n">
        <f aca="false">ROUND((D353-$D$5)*86400,2)</f>
        <v>18.35</v>
      </c>
      <c r="F353" s="12" t="n">
        <v>1456</v>
      </c>
      <c r="G353" s="11" t="str">
        <f aca="false">IF(INDEX(選手一覧!$D$5:$D$2736,$F353)="","",INDEX(選手一覧!$D$5:$D$2736,$F353))</f>
        <v/>
      </c>
      <c r="H353" s="12" t="str">
        <f aca="false">IF(INDEX(選手一覧!$E$5:$E$2736,$F353)="","",INDEX(選手一覧!$E$5:$E$2736,$F353))</f>
        <v/>
      </c>
      <c r="I353" s="11" t="str">
        <f aca="false">IF(INDEX(選手一覧!$F$5:$F$2736,$F353)="","",INDEX(選手一覧!$F$5:$F$2736,$F353))</f>
        <v/>
      </c>
      <c r="J353" s="12" t="str">
        <f aca="false">IF(INDEX(選手一覧!$G$5:$G$2736,$F353)="","",INDEX(選手一覧!$G$5:$G$2736,$F353))</f>
        <v/>
      </c>
    </row>
    <row r="354" customFormat="false" ht="15" hidden="false" customHeight="false" outlineLevel="0" collapsed="false">
      <c r="A354" s="12" t="n">
        <v>351</v>
      </c>
      <c r="B354" s="8" t="s">
        <v>629</v>
      </c>
      <c r="C354" s="8" t="s">
        <v>28</v>
      </c>
      <c r="D354" s="11" t="n">
        <v>0.00281712962962963</v>
      </c>
      <c r="E354" s="39" t="n">
        <f aca="false">ROUND((D354-$D$5)*86400,2)</f>
        <v>18.37</v>
      </c>
      <c r="F354" s="12" t="n">
        <v>343</v>
      </c>
      <c r="G354" s="11" t="n">
        <f aca="false">IF(INDEX(選手一覧!$D$5:$D$2736,$F354)="","",INDEX(選手一覧!$D$5:$D$2736,$F354))</f>
        <v>0.0105041666666667</v>
      </c>
      <c r="H354" s="12" t="n">
        <f aca="false">IF(INDEX(選手一覧!$E$5:$E$2736,$F354)="","",INDEX(選手一覧!$E$5:$E$2736,$F354))</f>
        <v>344</v>
      </c>
      <c r="I354" s="11" t="str">
        <f aca="false">IF(INDEX(選手一覧!$F$5:$F$2736,$F354)="","",INDEX(選手一覧!$F$5:$F$2736,$F354))</f>
        <v/>
      </c>
      <c r="J354" s="12" t="str">
        <f aca="false">IF(INDEX(選手一覧!$G$5:$G$2736,$F354)="","",INDEX(選手一覧!$G$5:$G$2736,$F354))</f>
        <v/>
      </c>
    </row>
    <row r="355" customFormat="false" ht="15" hidden="false" customHeight="false" outlineLevel="0" collapsed="false">
      <c r="A355" s="12" t="n">
        <v>352</v>
      </c>
      <c r="B355" s="8" t="s">
        <v>2288</v>
      </c>
      <c r="C355" s="8" t="s">
        <v>205</v>
      </c>
      <c r="D355" s="11" t="n">
        <v>0.00281759259259259</v>
      </c>
      <c r="E355" s="39" t="n">
        <f aca="false">ROUND((D355-$D$5)*86400,2)</f>
        <v>18.41</v>
      </c>
      <c r="F355" s="12" t="n">
        <v>1459</v>
      </c>
      <c r="G355" s="11" t="str">
        <f aca="false">IF(INDEX(選手一覧!$D$5:$D$2736,$F355)="","",INDEX(選手一覧!$D$5:$D$2736,$F355))</f>
        <v/>
      </c>
      <c r="H355" s="12" t="str">
        <f aca="false">IF(INDEX(選手一覧!$E$5:$E$2736,$F355)="","",INDEX(選手一覧!$E$5:$E$2736,$F355))</f>
        <v/>
      </c>
      <c r="I355" s="11" t="str">
        <f aca="false">IF(INDEX(選手一覧!$F$5:$F$2736,$F355)="","",INDEX(選手一覧!$F$5:$F$2736,$F355))</f>
        <v/>
      </c>
      <c r="J355" s="12" t="str">
        <f aca="false">IF(INDEX(選手一覧!$G$5:$G$2736,$F355)="","",INDEX(選手一覧!$G$5:$G$2736,$F355))</f>
        <v/>
      </c>
    </row>
    <row r="356" customFormat="false" ht="15" hidden="false" customHeight="false" outlineLevel="0" collapsed="false">
      <c r="A356" s="12" t="n">
        <v>353</v>
      </c>
      <c r="B356" s="8" t="s">
        <v>1554</v>
      </c>
      <c r="C356" s="8" t="s">
        <v>316</v>
      </c>
      <c r="D356" s="11" t="n">
        <v>0.00281759259259259</v>
      </c>
      <c r="E356" s="39" t="n">
        <f aca="false">ROUND((D356-$D$5)*86400,2)</f>
        <v>18.41</v>
      </c>
      <c r="F356" s="12" t="n">
        <v>954</v>
      </c>
      <c r="G356" s="11" t="n">
        <f aca="false">IF(INDEX(選手一覧!$D$5:$D$2736,$F356)="","",INDEX(選手一覧!$D$5:$D$2736,$F356))</f>
        <v>0.0109229166666667</v>
      </c>
      <c r="H356" s="12" t="n">
        <f aca="false">IF(INDEX(選手一覧!$E$5:$E$2736,$F356)="","",INDEX(選手一覧!$E$5:$E$2736,$F356))</f>
        <v>955</v>
      </c>
      <c r="I356" s="11" t="n">
        <f aca="false">IF(INDEX(選手一覧!$F$5:$F$2736,$F356)="","",INDEX(選手一覧!$F$5:$F$2736,$F356))</f>
        <v>0.00720891203703704</v>
      </c>
      <c r="J356" s="12" t="n">
        <f aca="false">IF(INDEX(選手一覧!$G$5:$G$2736,$F356)="","",INDEX(選手一覧!$G$5:$G$2736,$F356))</f>
        <v>545</v>
      </c>
    </row>
    <row r="357" customFormat="false" ht="15" hidden="false" customHeight="false" outlineLevel="0" collapsed="false">
      <c r="A357" s="12" t="n">
        <v>354</v>
      </c>
      <c r="B357" s="8" t="s">
        <v>785</v>
      </c>
      <c r="C357" s="8" t="s">
        <v>582</v>
      </c>
      <c r="D357" s="11" t="n">
        <v>0.00281782407407407</v>
      </c>
      <c r="E357" s="39" t="n">
        <f aca="false">ROUND((D357-$D$5)*86400,2)</f>
        <v>18.43</v>
      </c>
      <c r="F357" s="12" t="n">
        <v>443</v>
      </c>
      <c r="G357" s="11" t="n">
        <f aca="false">IF(INDEX(選手一覧!$D$5:$D$2736,$F357)="","",INDEX(選手一覧!$D$5:$D$2736,$F357))</f>
        <v>0.0105849537037037</v>
      </c>
      <c r="H357" s="12" t="n">
        <f aca="false">IF(INDEX(選手一覧!$E$5:$E$2736,$F357)="","",INDEX(選手一覧!$E$5:$E$2736,$F357))</f>
        <v>444</v>
      </c>
      <c r="I357" s="11" t="str">
        <f aca="false">IF(INDEX(選手一覧!$F$5:$F$2736,$F357)="","",INDEX(選手一覧!$F$5:$F$2736,$F357))</f>
        <v/>
      </c>
      <c r="J357" s="12" t="str">
        <f aca="false">IF(INDEX(選手一覧!$G$5:$G$2736,$F357)="","",INDEX(選手一覧!$G$5:$G$2736,$F357))</f>
        <v/>
      </c>
    </row>
    <row r="358" customFormat="false" ht="15" hidden="false" customHeight="false" outlineLevel="0" collapsed="false">
      <c r="A358" s="12" t="n">
        <v>355</v>
      </c>
      <c r="B358" s="8" t="s">
        <v>195</v>
      </c>
      <c r="C358" s="8" t="s">
        <v>192</v>
      </c>
      <c r="D358" s="11" t="n">
        <v>0.0028181712962963</v>
      </c>
      <c r="E358" s="39" t="n">
        <f aca="false">ROUND((D358-$D$5)*86400,2)</f>
        <v>18.46</v>
      </c>
      <c r="F358" s="12" t="n">
        <v>91</v>
      </c>
      <c r="G358" s="11" t="n">
        <f aca="false">IF(INDEX(選手一覧!$D$5:$D$2736,$F358)="","",INDEX(選手一覧!$D$5:$D$2736,$F358))</f>
        <v>0.0101917824074074</v>
      </c>
      <c r="H358" s="12" t="n">
        <f aca="false">IF(INDEX(選手一覧!$E$5:$E$2736,$F358)="","",INDEX(選手一覧!$E$5:$E$2736,$F358))</f>
        <v>92</v>
      </c>
      <c r="I358" s="11" t="str">
        <f aca="false">IF(INDEX(選手一覧!$F$5:$F$2736,$F358)="","",INDEX(選手一覧!$F$5:$F$2736,$F358))</f>
        <v/>
      </c>
      <c r="J358" s="12" t="str">
        <f aca="false">IF(INDEX(選手一覧!$G$5:$G$2736,$F358)="","",INDEX(選手一覧!$G$5:$G$2736,$F358))</f>
        <v/>
      </c>
    </row>
    <row r="359" customFormat="false" ht="15" hidden="false" customHeight="false" outlineLevel="0" collapsed="false">
      <c r="A359" s="12" t="n">
        <v>356</v>
      </c>
      <c r="B359" s="8" t="s">
        <v>2291</v>
      </c>
      <c r="C359" s="8" t="s">
        <v>2292</v>
      </c>
      <c r="D359" s="11" t="n">
        <v>0.00281840277777778</v>
      </c>
      <c r="E359" s="39" t="n">
        <f aca="false">ROUND((D359-$D$5)*86400,2)</f>
        <v>18.48</v>
      </c>
      <c r="F359" s="12" t="n">
        <v>1461</v>
      </c>
      <c r="G359" s="11" t="str">
        <f aca="false">IF(INDEX(選手一覧!$D$5:$D$2736,$F359)="","",INDEX(選手一覧!$D$5:$D$2736,$F359))</f>
        <v/>
      </c>
      <c r="H359" s="12" t="str">
        <f aca="false">IF(INDEX(選手一覧!$E$5:$E$2736,$F359)="","",INDEX(選手一覧!$E$5:$E$2736,$F359))</f>
        <v/>
      </c>
      <c r="I359" s="11" t="str">
        <f aca="false">IF(INDEX(選手一覧!$F$5:$F$2736,$F359)="","",INDEX(選手一覧!$F$5:$F$2736,$F359))</f>
        <v/>
      </c>
      <c r="J359" s="12" t="str">
        <f aca="false">IF(INDEX(選手一覧!$G$5:$G$2736,$F359)="","",INDEX(選手一覧!$G$5:$G$2736,$F359))</f>
        <v/>
      </c>
    </row>
    <row r="360" customFormat="false" ht="15" hidden="false" customHeight="false" outlineLevel="0" collapsed="false">
      <c r="A360" s="12" t="n">
        <v>357</v>
      </c>
      <c r="B360" s="8" t="s">
        <v>916</v>
      </c>
      <c r="C360" s="8" t="s">
        <v>179</v>
      </c>
      <c r="D360" s="11" t="n">
        <v>0.00281875</v>
      </c>
      <c r="E360" s="39" t="n">
        <f aca="false">ROUND((D360-$D$5)*86400,2)</f>
        <v>18.51</v>
      </c>
      <c r="F360" s="12" t="n">
        <v>526</v>
      </c>
      <c r="G360" s="11" t="n">
        <f aca="false">IF(INDEX(選手一覧!$D$5:$D$2736,$F360)="","",INDEX(選手一覧!$D$5:$D$2736,$F360))</f>
        <v>0.0106516203703704</v>
      </c>
      <c r="H360" s="12" t="n">
        <f aca="false">IF(INDEX(選手一覧!$E$5:$E$2736,$F360)="","",INDEX(選手一覧!$E$5:$E$2736,$F360))</f>
        <v>527</v>
      </c>
      <c r="I360" s="11" t="str">
        <f aca="false">IF(INDEX(選手一覧!$F$5:$F$2736,$F360)="","",INDEX(選手一覧!$F$5:$F$2736,$F360))</f>
        <v/>
      </c>
      <c r="J360" s="12" t="str">
        <f aca="false">IF(INDEX(選手一覧!$G$5:$G$2736,$F360)="","",INDEX(選手一覧!$G$5:$G$2736,$F360))</f>
        <v/>
      </c>
    </row>
    <row r="361" customFormat="false" ht="15" hidden="false" customHeight="false" outlineLevel="0" collapsed="false">
      <c r="A361" s="12" t="n">
        <v>358</v>
      </c>
      <c r="B361" s="8" t="s">
        <v>1644</v>
      </c>
      <c r="C361" s="8" t="s">
        <v>1277</v>
      </c>
      <c r="D361" s="11" t="n">
        <v>0.00281886574074074</v>
      </c>
      <c r="E361" s="39" t="n">
        <f aca="false">ROUND((D361-$D$5)*86400,2)</f>
        <v>18.52</v>
      </c>
      <c r="F361" s="12" t="n">
        <v>1016</v>
      </c>
      <c r="G361" s="11" t="n">
        <f aca="false">IF(INDEX(選手一覧!$D$5:$D$2736,$F361)="","",INDEX(選手一覧!$D$5:$D$2736,$F361))</f>
        <v>0.0109570601851852</v>
      </c>
      <c r="H361" s="12" t="n">
        <f aca="false">IF(INDEX(選手一覧!$E$5:$E$2736,$F361)="","",INDEX(選手一覧!$E$5:$E$2736,$F361))</f>
        <v>1017</v>
      </c>
      <c r="I361" s="11" t="str">
        <f aca="false">IF(INDEX(選手一覧!$F$5:$F$2736,$F361)="","",INDEX(選手一覧!$F$5:$F$2736,$F361))</f>
        <v/>
      </c>
      <c r="J361" s="12" t="str">
        <f aca="false">IF(INDEX(選手一覧!$G$5:$G$2736,$F361)="","",INDEX(選手一覧!$G$5:$G$2736,$F361))</f>
        <v/>
      </c>
    </row>
    <row r="362" customFormat="false" ht="15" hidden="false" customHeight="false" outlineLevel="0" collapsed="false">
      <c r="A362" s="12" t="n">
        <v>359</v>
      </c>
      <c r="B362" s="8" t="s">
        <v>628</v>
      </c>
      <c r="C362" s="8" t="s">
        <v>128</v>
      </c>
      <c r="D362" s="11" t="n">
        <v>0.00281898148148148</v>
      </c>
      <c r="E362" s="39" t="n">
        <f aca="false">ROUND((D362-$D$5)*86400,2)</f>
        <v>18.53</v>
      </c>
      <c r="F362" s="12" t="n">
        <v>342</v>
      </c>
      <c r="G362" s="11" t="n">
        <f aca="false">IF(INDEX(選手一覧!$D$5:$D$2736,$F362)="","",INDEX(選手一覧!$D$5:$D$2736,$F362))</f>
        <v>0.0105037037037037</v>
      </c>
      <c r="H362" s="12" t="n">
        <f aca="false">IF(INDEX(選手一覧!$E$5:$E$2736,$F362)="","",INDEX(選手一覧!$E$5:$E$2736,$F362))</f>
        <v>343</v>
      </c>
      <c r="I362" s="11" t="n">
        <f aca="false">IF(INDEX(選手一覧!$F$5:$F$2736,$F362)="","",INDEX(選手一覧!$F$5:$F$2736,$F362))</f>
        <v>0.00676122685185185</v>
      </c>
      <c r="J362" s="12" t="n">
        <f aca="false">IF(INDEX(選手一覧!$G$5:$G$2736,$F362)="","",INDEX(選手一覧!$G$5:$G$2736,$F362))</f>
        <v>137</v>
      </c>
    </row>
    <row r="363" customFormat="false" ht="15" hidden="false" customHeight="false" outlineLevel="0" collapsed="false">
      <c r="A363" s="12" t="n">
        <v>360</v>
      </c>
      <c r="B363" s="8" t="s">
        <v>420</v>
      </c>
      <c r="C363" s="8" t="s">
        <v>192</v>
      </c>
      <c r="D363" s="11" t="n">
        <v>0.00281921296296296</v>
      </c>
      <c r="E363" s="39" t="n">
        <f aca="false">ROUND((D363-$D$5)*86400,2)</f>
        <v>18.55</v>
      </c>
      <c r="F363" s="12" t="n">
        <v>218</v>
      </c>
      <c r="G363" s="11" t="n">
        <f aca="false">IF(INDEX(選手一覧!$D$5:$D$2736,$F363)="","",INDEX(選手一覧!$D$5:$D$2736,$F363))</f>
        <v>0.0103614583333333</v>
      </c>
      <c r="H363" s="12" t="n">
        <f aca="false">IF(INDEX(選手一覧!$E$5:$E$2736,$F363)="","",INDEX(選手一覧!$E$5:$E$2736,$F363))</f>
        <v>219</v>
      </c>
      <c r="I363" s="11" t="str">
        <f aca="false">IF(INDEX(選手一覧!$F$5:$F$2736,$F363)="","",INDEX(選手一覧!$F$5:$F$2736,$F363))</f>
        <v/>
      </c>
      <c r="J363" s="12" t="str">
        <f aca="false">IF(INDEX(選手一覧!$G$5:$G$2736,$F363)="","",INDEX(選手一覧!$G$5:$G$2736,$F363))</f>
        <v/>
      </c>
    </row>
    <row r="364" customFormat="false" ht="15" hidden="false" customHeight="false" outlineLevel="0" collapsed="false">
      <c r="A364" s="12" t="n">
        <v>361</v>
      </c>
      <c r="B364" s="8" t="s">
        <v>1797</v>
      </c>
      <c r="C364" s="8" t="s">
        <v>1279</v>
      </c>
      <c r="D364" s="11" t="n">
        <v>0.00281956018518519</v>
      </c>
      <c r="E364" s="39" t="n">
        <f aca="false">ROUND((D364-$D$5)*86400,2)</f>
        <v>18.58</v>
      </c>
      <c r="F364" s="12" t="n">
        <v>1118</v>
      </c>
      <c r="G364" s="11" t="n">
        <f aca="false">IF(INDEX(選手一覧!$D$5:$D$2736,$F364)="","",INDEX(選手一覧!$D$5:$D$2736,$F364))</f>
        <v>0.0110159722222222</v>
      </c>
      <c r="H364" s="12" t="n">
        <f aca="false">IF(INDEX(選手一覧!$E$5:$E$2736,$F364)="","",INDEX(選手一覧!$E$5:$E$2736,$F364))</f>
        <v>1119</v>
      </c>
      <c r="I364" s="11" t="str">
        <f aca="false">IF(INDEX(選手一覧!$F$5:$F$2736,$F364)="","",INDEX(選手一覧!$F$5:$F$2736,$F364))</f>
        <v/>
      </c>
      <c r="J364" s="12" t="str">
        <f aca="false">IF(INDEX(選手一覧!$G$5:$G$2736,$F364)="","",INDEX(選手一覧!$G$5:$G$2736,$F364))</f>
        <v/>
      </c>
    </row>
    <row r="365" customFormat="false" ht="15" hidden="false" customHeight="false" outlineLevel="0" collapsed="false">
      <c r="A365" s="12" t="n">
        <v>362</v>
      </c>
      <c r="B365" s="8" t="s">
        <v>727</v>
      </c>
      <c r="C365" s="8" t="s">
        <v>116</v>
      </c>
      <c r="D365" s="11" t="n">
        <v>0.00281990740740741</v>
      </c>
      <c r="E365" s="39" t="n">
        <f aca="false">ROUND((D365-$D$5)*86400,2)</f>
        <v>18.61</v>
      </c>
      <c r="F365" s="12" t="n">
        <v>407</v>
      </c>
      <c r="G365" s="11" t="n">
        <f aca="false">IF(INDEX(選手一覧!$D$5:$D$2736,$F365)="","",INDEX(選手一覧!$D$5:$D$2736,$F365))</f>
        <v>0.010559375</v>
      </c>
      <c r="H365" s="12" t="n">
        <f aca="false">IF(INDEX(選手一覧!$E$5:$E$2736,$F365)="","",INDEX(選手一覧!$E$5:$E$2736,$F365))</f>
        <v>408</v>
      </c>
      <c r="I365" s="11" t="n">
        <f aca="false">IF(INDEX(選手一覧!$F$5:$F$2736,$F365)="","",INDEX(選手一覧!$F$5:$F$2736,$F365))</f>
        <v>0.006721875</v>
      </c>
      <c r="J365" s="12" t="n">
        <f aca="false">IF(INDEX(選手一覧!$G$5:$G$2736,$F365)="","",INDEX(選手一覧!$G$5:$G$2736,$F365))</f>
        <v>115</v>
      </c>
    </row>
    <row r="366" customFormat="false" ht="15" hidden="false" customHeight="false" outlineLevel="0" collapsed="false">
      <c r="A366" s="12" t="n">
        <v>363</v>
      </c>
      <c r="B366" s="8" t="s">
        <v>1840</v>
      </c>
      <c r="C366" s="8" t="s">
        <v>399</v>
      </c>
      <c r="D366" s="11" t="n">
        <v>0.00282037037037037</v>
      </c>
      <c r="E366" s="39" t="n">
        <f aca="false">ROUND((D366-$D$5)*86400,2)</f>
        <v>18.65</v>
      </c>
      <c r="F366" s="12" t="n">
        <v>1147</v>
      </c>
      <c r="G366" s="11" t="n">
        <f aca="false">IF(INDEX(選手一覧!$D$5:$D$2736,$F366)="","",INDEX(選手一覧!$D$5:$D$2736,$F366))</f>
        <v>0.0110284722222222</v>
      </c>
      <c r="H366" s="12" t="n">
        <f aca="false">IF(INDEX(選手一覧!$E$5:$E$2736,$F366)="","",INDEX(選手一覧!$E$5:$E$2736,$F366))</f>
        <v>1148</v>
      </c>
      <c r="I366" s="11" t="n">
        <f aca="false">IF(INDEX(選手一覧!$F$5:$F$2736,$F366)="","",INDEX(選手一覧!$F$5:$F$2736,$F366))</f>
        <v>0.00709537037037037</v>
      </c>
      <c r="J366" s="12" t="n">
        <f aca="false">IF(INDEX(選手一覧!$G$5:$G$2736,$F366)="","",INDEX(選手一覧!$G$5:$G$2736,$F366))</f>
        <v>443</v>
      </c>
    </row>
    <row r="367" customFormat="false" ht="15" hidden="false" customHeight="false" outlineLevel="0" collapsed="false">
      <c r="A367" s="12" t="n">
        <v>364</v>
      </c>
      <c r="B367" s="8" t="s">
        <v>890</v>
      </c>
      <c r="C367" s="8" t="s">
        <v>891</v>
      </c>
      <c r="D367" s="11" t="n">
        <v>0.00282048611111111</v>
      </c>
      <c r="E367" s="39" t="n">
        <f aca="false">ROUND((D367-$D$5)*86400,2)</f>
        <v>18.66</v>
      </c>
      <c r="F367" s="12" t="n">
        <v>510</v>
      </c>
      <c r="G367" s="11" t="n">
        <f aca="false">IF(INDEX(選手一覧!$D$5:$D$2736,$F367)="","",INDEX(選手一覧!$D$5:$D$2736,$F367))</f>
        <v>0.0106412037037037</v>
      </c>
      <c r="H367" s="12" t="n">
        <f aca="false">IF(INDEX(選手一覧!$E$5:$E$2736,$F367)="","",INDEX(選手一覧!$E$5:$E$2736,$F367))</f>
        <v>511</v>
      </c>
      <c r="I367" s="11" t="n">
        <f aca="false">IF(INDEX(選手一覧!$F$5:$F$2736,$F367)="","",INDEX(選手一覧!$F$5:$F$2736,$F367))</f>
        <v>0.00674803240740741</v>
      </c>
      <c r="J367" s="12" t="n">
        <f aca="false">IF(INDEX(選手一覧!$G$5:$G$2736,$F367)="","",INDEX(選手一覧!$G$5:$G$2736,$F367))</f>
        <v>126</v>
      </c>
    </row>
    <row r="368" customFormat="false" ht="15" hidden="false" customHeight="false" outlineLevel="0" collapsed="false">
      <c r="A368" s="12" t="n">
        <v>365</v>
      </c>
      <c r="B368" s="8" t="s">
        <v>904</v>
      </c>
      <c r="C368" s="8" t="s">
        <v>905</v>
      </c>
      <c r="D368" s="11" t="n">
        <v>0.00282071759259259</v>
      </c>
      <c r="E368" s="39" t="n">
        <f aca="false">ROUND((D368-$D$5)*86400,2)</f>
        <v>18.68</v>
      </c>
      <c r="F368" s="12" t="n">
        <v>518</v>
      </c>
      <c r="G368" s="11" t="n">
        <f aca="false">IF(INDEX(選手一覧!$D$5:$D$2736,$F368)="","",INDEX(選手一覧!$D$5:$D$2736,$F368))</f>
        <v>0.010646875</v>
      </c>
      <c r="H368" s="12" t="n">
        <f aca="false">IF(INDEX(選手一覧!$E$5:$E$2736,$F368)="","",INDEX(選手一覧!$E$5:$E$2736,$F368))</f>
        <v>519</v>
      </c>
      <c r="I368" s="11" t="n">
        <f aca="false">IF(INDEX(選手一覧!$F$5:$F$2736,$F368)="","",INDEX(選手一覧!$F$5:$F$2736,$F368))</f>
        <v>0.00665532407407407</v>
      </c>
      <c r="J368" s="12" t="n">
        <f aca="false">IF(INDEX(選手一覧!$G$5:$G$2736,$F368)="","",INDEX(選手一覧!$G$5:$G$2736,$F368))</f>
        <v>85</v>
      </c>
    </row>
    <row r="369" customFormat="false" ht="15" hidden="false" customHeight="false" outlineLevel="0" collapsed="false">
      <c r="A369" s="12" t="n">
        <v>366</v>
      </c>
      <c r="B369" s="8" t="s">
        <v>2306</v>
      </c>
      <c r="C369" s="8" t="s">
        <v>2307</v>
      </c>
      <c r="D369" s="11" t="n">
        <v>0.00282071759259259</v>
      </c>
      <c r="E369" s="39" t="n">
        <f aca="false">ROUND((D369-$D$5)*86400,2)</f>
        <v>18.68</v>
      </c>
      <c r="F369" s="12" t="n">
        <v>1470</v>
      </c>
      <c r="G369" s="11" t="str">
        <f aca="false">IF(INDEX(選手一覧!$D$5:$D$2736,$F369)="","",INDEX(選手一覧!$D$5:$D$2736,$F369))</f>
        <v/>
      </c>
      <c r="H369" s="12" t="str">
        <f aca="false">IF(INDEX(選手一覧!$E$5:$E$2736,$F369)="","",INDEX(選手一覧!$E$5:$E$2736,$F369))</f>
        <v/>
      </c>
      <c r="I369" s="11" t="str">
        <f aca="false">IF(INDEX(選手一覧!$F$5:$F$2736,$F369)="","",INDEX(選手一覧!$F$5:$F$2736,$F369))</f>
        <v/>
      </c>
      <c r="J369" s="12" t="str">
        <f aca="false">IF(INDEX(選手一覧!$G$5:$G$2736,$F369)="","",INDEX(選手一覧!$G$5:$G$2736,$F369))</f>
        <v/>
      </c>
    </row>
    <row r="370" customFormat="false" ht="15" hidden="false" customHeight="false" outlineLevel="0" collapsed="false">
      <c r="A370" s="21" t="n">
        <v>367</v>
      </c>
      <c r="B370" s="17" t="s">
        <v>37</v>
      </c>
      <c r="C370" s="17" t="s">
        <v>28</v>
      </c>
      <c r="D370" s="20" t="n">
        <v>0.00282071759259259</v>
      </c>
      <c r="E370" s="40" t="n">
        <f aca="false">ROUND((D370-$D$5)*86400,2)</f>
        <v>18.68</v>
      </c>
      <c r="F370" s="21" t="n">
        <v>10</v>
      </c>
      <c r="G370" s="20" t="n">
        <f aca="false">IF(INDEX(選手一覧!$D$5:$D$2736,$F370)="","",INDEX(選手一覧!$D$5:$D$2736,$F370))</f>
        <v>0.00986527777777778</v>
      </c>
      <c r="H370" s="21" t="n">
        <f aca="false">IF(INDEX(選手一覧!$E$5:$E$2736,$F370)="","",INDEX(選手一覧!$E$5:$E$2736,$F370))</f>
        <v>10</v>
      </c>
      <c r="I370" s="20" t="str">
        <f aca="false">IF(INDEX(選手一覧!$F$5:$F$2736,$F370)="","",INDEX(選手一覧!$F$5:$F$2736,$F370))</f>
        <v/>
      </c>
      <c r="J370" s="21" t="str">
        <f aca="false">IF(INDEX(選手一覧!$G$5:$G$2736,$F370)="","",INDEX(選手一覧!$G$5:$G$2736,$F370))</f>
        <v/>
      </c>
    </row>
    <row r="371" customFormat="false" ht="15" hidden="false" customHeight="false" outlineLevel="0" collapsed="false">
      <c r="A371" s="12" t="n">
        <v>368</v>
      </c>
      <c r="B371" s="8" t="s">
        <v>242</v>
      </c>
      <c r="C371" s="8" t="s">
        <v>1335</v>
      </c>
      <c r="D371" s="11" t="n">
        <v>0.00282083333333333</v>
      </c>
      <c r="E371" s="39" t="n">
        <f aca="false">ROUND((D371-$D$5)*86400,2)</f>
        <v>18.69</v>
      </c>
      <c r="F371" s="12" t="n">
        <v>118</v>
      </c>
      <c r="G371" s="11" t="n">
        <f aca="false">IF(INDEX(選手一覧!$D$5:$D$2736,$F371)="","",INDEX(選手一覧!$D$5:$D$2736,$F371))</f>
        <v>0.0102386574074074</v>
      </c>
      <c r="H371" s="12" t="n">
        <f aca="false">IF(INDEX(選手一覧!$E$5:$E$2736,$F371)="","",INDEX(選手一覧!$E$5:$E$2736,$F371))</f>
        <v>119</v>
      </c>
      <c r="I371" s="11" t="str">
        <f aca="false">IF(INDEX(選手一覧!$F$5:$F$2736,$F371)="","",INDEX(選手一覧!$F$5:$F$2736,$F371))</f>
        <v/>
      </c>
      <c r="J371" s="12" t="str">
        <f aca="false">IF(INDEX(選手一覧!$G$5:$G$2736,$F371)="","",INDEX(選手一覧!$G$5:$G$2736,$F371))</f>
        <v/>
      </c>
    </row>
    <row r="372" customFormat="false" ht="15" hidden="false" customHeight="false" outlineLevel="0" collapsed="false">
      <c r="A372" s="12" t="n">
        <v>369</v>
      </c>
      <c r="B372" s="8" t="s">
        <v>591</v>
      </c>
      <c r="C372" s="8" t="s">
        <v>592</v>
      </c>
      <c r="D372" s="11" t="n">
        <v>0.00282106481481482</v>
      </c>
      <c r="E372" s="39" t="n">
        <f aca="false">ROUND((D372-$D$5)*86400,2)</f>
        <v>18.71</v>
      </c>
      <c r="F372" s="12" t="n">
        <v>320</v>
      </c>
      <c r="G372" s="11" t="n">
        <f aca="false">IF(INDEX(選手一覧!$D$5:$D$2736,$F372)="","",INDEX(選手一覧!$D$5:$D$2736,$F372))</f>
        <v>0.0104758101851852</v>
      </c>
      <c r="H372" s="12" t="n">
        <f aca="false">IF(INDEX(選手一覧!$E$5:$E$2736,$F372)="","",INDEX(選手一覧!$E$5:$E$2736,$F372))</f>
        <v>321</v>
      </c>
      <c r="I372" s="11" t="n">
        <f aca="false">IF(INDEX(選手一覧!$F$5:$F$2736,$F372)="","",INDEX(選手一覧!$F$5:$F$2736,$F372))</f>
        <v>0.0064306712962963</v>
      </c>
      <c r="J372" s="12" t="n">
        <f aca="false">IF(INDEX(選手一覧!$G$5:$G$2736,$F372)="","",INDEX(選手一覧!$G$5:$G$2736,$F372))</f>
        <v>21</v>
      </c>
    </row>
    <row r="373" customFormat="false" ht="15" hidden="false" customHeight="false" outlineLevel="0" collapsed="false">
      <c r="A373" s="12" t="n">
        <v>370</v>
      </c>
      <c r="B373" s="8" t="s">
        <v>1050</v>
      </c>
      <c r="C373" s="8" t="s">
        <v>433</v>
      </c>
      <c r="D373" s="11" t="n">
        <v>0.00282118055555556</v>
      </c>
      <c r="E373" s="39" t="n">
        <f aca="false">ROUND((D373-$D$5)*86400,2)</f>
        <v>18.72</v>
      </c>
      <c r="F373" s="12" t="n">
        <v>618</v>
      </c>
      <c r="G373" s="11" t="n">
        <f aca="false">IF(INDEX(選手一覧!$D$5:$D$2736,$F373)="","",INDEX(選手一覧!$D$5:$D$2736,$F373))</f>
        <v>0.0107232638888889</v>
      </c>
      <c r="H373" s="12" t="n">
        <f aca="false">IF(INDEX(選手一覧!$E$5:$E$2736,$F373)="","",INDEX(選手一覧!$E$5:$E$2736,$F373))</f>
        <v>619</v>
      </c>
      <c r="I373" s="11" t="n">
        <f aca="false">IF(INDEX(選手一覧!$F$5:$F$2736,$F373)="","",INDEX(選手一覧!$F$5:$F$2736,$F373))</f>
        <v>0.00677303240740741</v>
      </c>
      <c r="J373" s="12" t="n">
        <f aca="false">IF(INDEX(選手一覧!$G$5:$G$2736,$F373)="","",INDEX(選手一覧!$G$5:$G$2736,$F373))</f>
        <v>150</v>
      </c>
    </row>
    <row r="374" customFormat="false" ht="15" hidden="false" customHeight="false" outlineLevel="0" collapsed="false">
      <c r="A374" s="12" t="n">
        <v>371</v>
      </c>
      <c r="B374" s="8" t="s">
        <v>1071</v>
      </c>
      <c r="C374" s="8" t="s">
        <v>274</v>
      </c>
      <c r="D374" s="11" t="n">
        <v>0.00282118055555556</v>
      </c>
      <c r="E374" s="39" t="n">
        <f aca="false">ROUND((D374-$D$5)*86400,2)</f>
        <v>18.72</v>
      </c>
      <c r="F374" s="12" t="n">
        <v>633</v>
      </c>
      <c r="G374" s="11" t="n">
        <f aca="false">IF(INDEX(選手一覧!$D$5:$D$2736,$F374)="","",INDEX(選手一覧!$D$5:$D$2736,$F374))</f>
        <v>0.0107315972222222</v>
      </c>
      <c r="H374" s="12" t="n">
        <f aca="false">IF(INDEX(選手一覧!$E$5:$E$2736,$F374)="","",INDEX(選手一覧!$E$5:$E$2736,$F374))</f>
        <v>634</v>
      </c>
      <c r="I374" s="11" t="str">
        <f aca="false">IF(INDEX(選手一覧!$F$5:$F$2736,$F374)="","",INDEX(選手一覧!$F$5:$F$2736,$F374))</f>
        <v/>
      </c>
      <c r="J374" s="12" t="str">
        <f aca="false">IF(INDEX(選手一覧!$G$5:$G$2736,$F374)="","",INDEX(選手一覧!$G$5:$G$2736,$F374))</f>
        <v/>
      </c>
    </row>
    <row r="375" customFormat="false" ht="15" hidden="false" customHeight="false" outlineLevel="0" collapsed="false">
      <c r="A375" s="21" t="n">
        <v>372</v>
      </c>
      <c r="B375" s="17" t="s">
        <v>403</v>
      </c>
      <c r="C375" s="17" t="s">
        <v>221</v>
      </c>
      <c r="D375" s="20" t="n">
        <v>0.00282152777777778</v>
      </c>
      <c r="E375" s="40" t="n">
        <f aca="false">ROUND((D375-$D$5)*86400,2)</f>
        <v>18.75</v>
      </c>
      <c r="F375" s="21" t="n">
        <v>205</v>
      </c>
      <c r="G375" s="20" t="n">
        <f aca="false">IF(INDEX(選手一覧!$D$5:$D$2736,$F375)="","",INDEX(選手一覧!$D$5:$D$2736,$F375))</f>
        <v>0.0103516203703704</v>
      </c>
      <c r="H375" s="21" t="n">
        <f aca="false">IF(INDEX(選手一覧!$E$5:$E$2736,$F375)="","",INDEX(選手一覧!$E$5:$E$2736,$F375))</f>
        <v>206</v>
      </c>
      <c r="I375" s="20" t="str">
        <f aca="false">IF(INDEX(選手一覧!$F$5:$F$2736,$F375)="","",INDEX(選手一覧!$F$5:$F$2736,$F375))</f>
        <v/>
      </c>
      <c r="J375" s="21" t="str">
        <f aca="false">IF(INDEX(選手一覧!$G$5:$G$2736,$F375)="","",INDEX(選手一覧!$G$5:$G$2736,$F375))</f>
        <v/>
      </c>
    </row>
    <row r="376" customFormat="false" ht="15" hidden="false" customHeight="false" outlineLevel="0" collapsed="false">
      <c r="A376" s="12" t="n">
        <v>373</v>
      </c>
      <c r="B376" s="8" t="s">
        <v>460</v>
      </c>
      <c r="C376" s="8" t="s">
        <v>143</v>
      </c>
      <c r="D376" s="11" t="n">
        <v>0.00282164351851852</v>
      </c>
      <c r="E376" s="39" t="n">
        <f aca="false">ROUND((D376-$D$5)*86400,2)</f>
        <v>18.76</v>
      </c>
      <c r="F376" s="12" t="n">
        <v>238</v>
      </c>
      <c r="G376" s="11" t="n">
        <f aca="false">IF(INDEX(選手一覧!$D$5:$D$2736,$F376)="","",INDEX(選手一覧!$D$5:$D$2736,$F376))</f>
        <v>0.0103777777777778</v>
      </c>
      <c r="H376" s="12" t="n">
        <f aca="false">IF(INDEX(選手一覧!$E$5:$E$2736,$F376)="","",INDEX(選手一覧!$E$5:$E$2736,$F376))</f>
        <v>239</v>
      </c>
      <c r="I376" s="11" t="str">
        <f aca="false">IF(INDEX(選手一覧!$F$5:$F$2736,$F376)="","",INDEX(選手一覧!$F$5:$F$2736,$F376))</f>
        <v/>
      </c>
      <c r="J376" s="12" t="str">
        <f aca="false">IF(INDEX(選手一覧!$G$5:$G$2736,$F376)="","",INDEX(選手一覧!$G$5:$G$2736,$F376))</f>
        <v/>
      </c>
    </row>
    <row r="377" customFormat="false" ht="15" hidden="false" customHeight="false" outlineLevel="0" collapsed="false">
      <c r="A377" s="12" t="n">
        <v>374</v>
      </c>
      <c r="B377" s="8" t="s">
        <v>2315</v>
      </c>
      <c r="C377" s="8" t="s">
        <v>1248</v>
      </c>
      <c r="D377" s="11" t="n">
        <v>0.00282199074074074</v>
      </c>
      <c r="E377" s="39" t="n">
        <f aca="false">ROUND((D377-$D$5)*86400,2)</f>
        <v>18.79</v>
      </c>
      <c r="F377" s="12" t="n">
        <v>1475</v>
      </c>
      <c r="G377" s="11" t="str">
        <f aca="false">IF(INDEX(選手一覧!$D$5:$D$2736,$F377)="","",INDEX(選手一覧!$D$5:$D$2736,$F377))</f>
        <v/>
      </c>
      <c r="H377" s="12" t="str">
        <f aca="false">IF(INDEX(選手一覧!$E$5:$E$2736,$F377)="","",INDEX(選手一覧!$E$5:$E$2736,$F377))</f>
        <v/>
      </c>
      <c r="I377" s="11" t="str">
        <f aca="false">IF(INDEX(選手一覧!$F$5:$F$2736,$F377)="","",INDEX(選手一覧!$F$5:$F$2736,$F377))</f>
        <v/>
      </c>
      <c r="J377" s="12" t="str">
        <f aca="false">IF(INDEX(選手一覧!$G$5:$G$2736,$F377)="","",INDEX(選手一覧!$G$5:$G$2736,$F377))</f>
        <v/>
      </c>
    </row>
    <row r="378" customFormat="false" ht="15" hidden="false" customHeight="false" outlineLevel="0" collapsed="false">
      <c r="A378" s="12" t="n">
        <v>375</v>
      </c>
      <c r="B378" s="8" t="s">
        <v>196</v>
      </c>
      <c r="C378" s="8" t="s">
        <v>197</v>
      </c>
      <c r="D378" s="11" t="n">
        <v>0.00282222222222222</v>
      </c>
      <c r="E378" s="39" t="n">
        <f aca="false">ROUND((D378-$D$5)*86400,2)</f>
        <v>18.81</v>
      </c>
      <c r="F378" s="12" t="n">
        <v>92</v>
      </c>
      <c r="G378" s="11" t="n">
        <f aca="false">IF(INDEX(選手一覧!$D$5:$D$2736,$F378)="","",INDEX(選手一覧!$D$5:$D$2736,$F378))</f>
        <v>0.0101918981481482</v>
      </c>
      <c r="H378" s="12" t="n">
        <f aca="false">IF(INDEX(選手一覧!$E$5:$E$2736,$F378)="","",INDEX(選手一覧!$E$5:$E$2736,$F378))</f>
        <v>93</v>
      </c>
      <c r="I378" s="11" t="str">
        <f aca="false">IF(INDEX(選手一覧!$F$5:$F$2736,$F378)="","",INDEX(選手一覧!$F$5:$F$2736,$F378))</f>
        <v/>
      </c>
      <c r="J378" s="12" t="str">
        <f aca="false">IF(INDEX(選手一覧!$G$5:$G$2736,$F378)="","",INDEX(選手一覧!$G$5:$G$2736,$F378))</f>
        <v/>
      </c>
    </row>
    <row r="379" customFormat="false" ht="15" hidden="false" customHeight="false" outlineLevel="0" collapsed="false">
      <c r="A379" s="12" t="n">
        <v>376</v>
      </c>
      <c r="B379" s="8" t="s">
        <v>1158</v>
      </c>
      <c r="C379" s="8" t="s">
        <v>1159</v>
      </c>
      <c r="D379" s="11" t="n">
        <v>0.00282233796296296</v>
      </c>
      <c r="E379" s="39" t="n">
        <f aca="false">ROUND((D379-$D$5)*86400,2)</f>
        <v>18.82</v>
      </c>
      <c r="F379" s="12" t="n">
        <v>690</v>
      </c>
      <c r="G379" s="11" t="n">
        <f aca="false">IF(INDEX(選手一覧!$D$5:$D$2736,$F379)="","",INDEX(選手一覧!$D$5:$D$2736,$F379))</f>
        <v>0.010765162037037</v>
      </c>
      <c r="H379" s="12" t="n">
        <f aca="false">IF(INDEX(選手一覧!$E$5:$E$2736,$F379)="","",INDEX(選手一覧!$E$5:$E$2736,$F379))</f>
        <v>691</v>
      </c>
      <c r="I379" s="11" t="str">
        <f aca="false">IF(INDEX(選手一覧!$F$5:$F$2736,$F379)="","",INDEX(選手一覧!$F$5:$F$2736,$F379))</f>
        <v/>
      </c>
      <c r="J379" s="12" t="str">
        <f aca="false">IF(INDEX(選手一覧!$G$5:$G$2736,$F379)="","",INDEX(選手一覧!$G$5:$G$2736,$F379))</f>
        <v/>
      </c>
    </row>
    <row r="380" customFormat="false" ht="15" hidden="false" customHeight="false" outlineLevel="0" collapsed="false">
      <c r="A380" s="12" t="n">
        <v>377</v>
      </c>
      <c r="B380" s="8" t="s">
        <v>2317</v>
      </c>
      <c r="C380" s="8" t="s">
        <v>878</v>
      </c>
      <c r="D380" s="11" t="n">
        <v>0.00282233796296296</v>
      </c>
      <c r="E380" s="39" t="n">
        <f aca="false">ROUND((D380-$D$5)*86400,2)</f>
        <v>18.82</v>
      </c>
      <c r="F380" s="12" t="n">
        <v>1477</v>
      </c>
      <c r="G380" s="11" t="str">
        <f aca="false">IF(INDEX(選手一覧!$D$5:$D$2736,$F380)="","",INDEX(選手一覧!$D$5:$D$2736,$F380))</f>
        <v/>
      </c>
      <c r="H380" s="12" t="str">
        <f aca="false">IF(INDEX(選手一覧!$E$5:$E$2736,$F380)="","",INDEX(選手一覧!$E$5:$E$2736,$F380))</f>
        <v/>
      </c>
      <c r="I380" s="11" t="str">
        <f aca="false">IF(INDEX(選手一覧!$F$5:$F$2736,$F380)="","",INDEX(選手一覧!$F$5:$F$2736,$F380))</f>
        <v/>
      </c>
      <c r="J380" s="12" t="str">
        <f aca="false">IF(INDEX(選手一覧!$G$5:$G$2736,$F380)="","",INDEX(選手一覧!$G$5:$G$2736,$F380))</f>
        <v/>
      </c>
    </row>
    <row r="381" customFormat="false" ht="15" hidden="false" customHeight="false" outlineLevel="0" collapsed="false">
      <c r="A381" s="12" t="n">
        <v>378</v>
      </c>
      <c r="B381" s="8" t="s">
        <v>621</v>
      </c>
      <c r="C381" s="8" t="s">
        <v>622</v>
      </c>
      <c r="D381" s="11" t="n">
        <v>0.00282233796296296</v>
      </c>
      <c r="E381" s="39" t="n">
        <f aca="false">ROUND((D381-$D$5)*86400,2)</f>
        <v>18.82</v>
      </c>
      <c r="F381" s="12" t="n">
        <v>339</v>
      </c>
      <c r="G381" s="11" t="n">
        <f aca="false">IF(INDEX(選手一覧!$D$5:$D$2736,$F381)="","",INDEX(選手一覧!$D$5:$D$2736,$F381))</f>
        <v>0.010499537037037</v>
      </c>
      <c r="H381" s="12" t="n">
        <f aca="false">IF(INDEX(選手一覧!$E$5:$E$2736,$F381)="","",INDEX(選手一覧!$E$5:$E$2736,$F381))</f>
        <v>340</v>
      </c>
      <c r="I381" s="11" t="n">
        <f aca="false">IF(INDEX(選手一覧!$F$5:$F$2736,$F381)="","",INDEX(選手一覧!$F$5:$F$2736,$F381))</f>
        <v>0.00748032407407407</v>
      </c>
      <c r="J381" s="12" t="n">
        <f aca="false">IF(INDEX(選手一覧!$G$5:$G$2736,$F381)="","",INDEX(選手一覧!$G$5:$G$2736,$F381))</f>
        <v>869</v>
      </c>
    </row>
    <row r="382" customFormat="false" ht="15" hidden="false" customHeight="false" outlineLevel="0" collapsed="false">
      <c r="A382" s="12" t="n">
        <v>379</v>
      </c>
      <c r="B382" s="8" t="s">
        <v>352</v>
      </c>
      <c r="C382" s="8" t="s">
        <v>353</v>
      </c>
      <c r="D382" s="11" t="n">
        <v>0.00282268518518519</v>
      </c>
      <c r="E382" s="39" t="n">
        <f aca="false">ROUND((D382-$D$5)*86400,2)</f>
        <v>18.85</v>
      </c>
      <c r="F382" s="12" t="n">
        <v>175</v>
      </c>
      <c r="G382" s="11" t="n">
        <f aca="false">IF(INDEX(選手一覧!$D$5:$D$2736,$F382)="","",INDEX(選手一覧!$D$5:$D$2736,$F382))</f>
        <v>0.0103251157407407</v>
      </c>
      <c r="H382" s="12" t="n">
        <f aca="false">IF(INDEX(選手一覧!$E$5:$E$2736,$F382)="","",INDEX(選手一覧!$E$5:$E$2736,$F382))</f>
        <v>176</v>
      </c>
      <c r="I382" s="11" t="str">
        <f aca="false">IF(INDEX(選手一覧!$F$5:$F$2736,$F382)="","",INDEX(選手一覧!$F$5:$F$2736,$F382))</f>
        <v/>
      </c>
      <c r="J382" s="12" t="str">
        <f aca="false">IF(INDEX(選手一覧!$G$5:$G$2736,$F382)="","",INDEX(選手一覧!$G$5:$G$2736,$F382))</f>
        <v/>
      </c>
    </row>
    <row r="383" customFormat="false" ht="15" hidden="false" customHeight="false" outlineLevel="0" collapsed="false">
      <c r="A383" s="12" t="n">
        <v>380</v>
      </c>
      <c r="B383" s="8" t="s">
        <v>2322</v>
      </c>
      <c r="C383" s="8" t="s">
        <v>2044</v>
      </c>
      <c r="D383" s="11" t="n">
        <v>0.00282280092592593</v>
      </c>
      <c r="E383" s="39" t="n">
        <f aca="false">ROUND((D383-$D$5)*86400,2)</f>
        <v>18.86</v>
      </c>
      <c r="F383" s="12" t="n">
        <v>1480</v>
      </c>
      <c r="G383" s="11" t="str">
        <f aca="false">IF(INDEX(選手一覧!$D$5:$D$2736,$F383)="","",INDEX(選手一覧!$D$5:$D$2736,$F383))</f>
        <v/>
      </c>
      <c r="H383" s="12" t="str">
        <f aca="false">IF(INDEX(選手一覧!$E$5:$E$2736,$F383)="","",INDEX(選手一覧!$E$5:$E$2736,$F383))</f>
        <v/>
      </c>
      <c r="I383" s="11" t="str">
        <f aca="false">IF(INDEX(選手一覧!$F$5:$F$2736,$F383)="","",INDEX(選手一覧!$F$5:$F$2736,$F383))</f>
        <v/>
      </c>
      <c r="J383" s="12" t="str">
        <f aca="false">IF(INDEX(選手一覧!$G$5:$G$2736,$F383)="","",INDEX(選手一覧!$G$5:$G$2736,$F383))</f>
        <v/>
      </c>
    </row>
    <row r="384" customFormat="false" ht="15" hidden="false" customHeight="false" outlineLevel="0" collapsed="false">
      <c r="A384" s="12" t="n">
        <v>381</v>
      </c>
      <c r="B384" s="8" t="s">
        <v>531</v>
      </c>
      <c r="C384" s="8" t="s">
        <v>23</v>
      </c>
      <c r="D384" s="11" t="n">
        <v>0.00282280092592593</v>
      </c>
      <c r="E384" s="39" t="n">
        <f aca="false">ROUND((D384-$D$5)*86400,2)</f>
        <v>18.86</v>
      </c>
      <c r="F384" s="12" t="n">
        <v>284</v>
      </c>
      <c r="G384" s="11" t="n">
        <f aca="false">IF(INDEX(選手一覧!$D$5:$D$2736,$F384)="","",INDEX(選手一覧!$D$5:$D$2736,$F384))</f>
        <v>0.0104209490740741</v>
      </c>
      <c r="H384" s="12" t="n">
        <f aca="false">IF(INDEX(選手一覧!$E$5:$E$2736,$F384)="","",INDEX(選手一覧!$E$5:$E$2736,$F384))</f>
        <v>285</v>
      </c>
      <c r="I384" s="11" t="str">
        <f aca="false">IF(INDEX(選手一覧!$F$5:$F$2736,$F384)="","",INDEX(選手一覧!$F$5:$F$2736,$F384))</f>
        <v/>
      </c>
      <c r="J384" s="12" t="str">
        <f aca="false">IF(INDEX(選手一覧!$G$5:$G$2736,$F384)="","",INDEX(選手一覧!$G$5:$G$2736,$F384))</f>
        <v/>
      </c>
    </row>
    <row r="385" customFormat="false" ht="15" hidden="false" customHeight="false" outlineLevel="0" collapsed="false">
      <c r="A385" s="12" t="n">
        <v>382</v>
      </c>
      <c r="B385" s="8" t="s">
        <v>365</v>
      </c>
      <c r="C385" s="8" t="s">
        <v>70</v>
      </c>
      <c r="D385" s="11" t="n">
        <v>0.00282314814814815</v>
      </c>
      <c r="E385" s="39" t="n">
        <f aca="false">ROUND((D385-$D$5)*86400,2)</f>
        <v>18.89</v>
      </c>
      <c r="F385" s="12" t="n">
        <v>183</v>
      </c>
      <c r="G385" s="11" t="n">
        <f aca="false">IF(INDEX(選手一覧!$D$5:$D$2736,$F385)="","",INDEX(選手一覧!$D$5:$D$2736,$F385))</f>
        <v>0.0103328703703704</v>
      </c>
      <c r="H385" s="12" t="n">
        <f aca="false">IF(INDEX(選手一覧!$E$5:$E$2736,$F385)="","",INDEX(選手一覧!$E$5:$E$2736,$F385))</f>
        <v>184</v>
      </c>
      <c r="I385" s="11" t="str">
        <f aca="false">IF(INDEX(選手一覧!$F$5:$F$2736,$F385)="","",INDEX(選手一覧!$F$5:$F$2736,$F385))</f>
        <v/>
      </c>
      <c r="J385" s="12" t="str">
        <f aca="false">IF(INDEX(選手一覧!$G$5:$G$2736,$F385)="","",INDEX(選手一覧!$G$5:$G$2736,$F385))</f>
        <v/>
      </c>
    </row>
    <row r="386" customFormat="false" ht="15" hidden="false" customHeight="false" outlineLevel="0" collapsed="false">
      <c r="A386" s="12" t="n">
        <v>383</v>
      </c>
      <c r="B386" s="8" t="s">
        <v>2326</v>
      </c>
      <c r="C386" s="8" t="s">
        <v>2327</v>
      </c>
      <c r="D386" s="11" t="n">
        <v>0.00282326388888889</v>
      </c>
      <c r="E386" s="39" t="n">
        <f aca="false">ROUND((D386-$D$5)*86400,2)</f>
        <v>18.9</v>
      </c>
      <c r="F386" s="12" t="n">
        <v>1483</v>
      </c>
      <c r="G386" s="11" t="str">
        <f aca="false">IF(INDEX(選手一覧!$D$5:$D$2736,$F386)="","",INDEX(選手一覧!$D$5:$D$2736,$F386))</f>
        <v/>
      </c>
      <c r="H386" s="12" t="str">
        <f aca="false">IF(INDEX(選手一覧!$E$5:$E$2736,$F386)="","",INDEX(選手一覧!$E$5:$E$2736,$F386))</f>
        <v/>
      </c>
      <c r="I386" s="11" t="str">
        <f aca="false">IF(INDEX(選手一覧!$F$5:$F$2736,$F386)="","",INDEX(選手一覧!$F$5:$F$2736,$F386))</f>
        <v/>
      </c>
      <c r="J386" s="12" t="str">
        <f aca="false">IF(INDEX(選手一覧!$G$5:$G$2736,$F386)="","",INDEX(選手一覧!$G$5:$G$2736,$F386))</f>
        <v/>
      </c>
    </row>
    <row r="387" customFormat="false" ht="15" hidden="false" customHeight="false" outlineLevel="0" collapsed="false">
      <c r="A387" s="12" t="n">
        <v>384</v>
      </c>
      <c r="B387" s="8" t="s">
        <v>2330</v>
      </c>
      <c r="C387" s="8" t="s">
        <v>704</v>
      </c>
      <c r="D387" s="11" t="n">
        <v>0.00282361111111111</v>
      </c>
      <c r="E387" s="39" t="n">
        <f aca="false">ROUND((D387-$D$5)*86400,2)</f>
        <v>18.93</v>
      </c>
      <c r="F387" s="12" t="n">
        <v>1485</v>
      </c>
      <c r="G387" s="11" t="str">
        <f aca="false">IF(INDEX(選手一覧!$D$5:$D$2736,$F387)="","",INDEX(選手一覧!$D$5:$D$2736,$F387))</f>
        <v/>
      </c>
      <c r="H387" s="12" t="str">
        <f aca="false">IF(INDEX(選手一覧!$E$5:$E$2736,$F387)="","",INDEX(選手一覧!$E$5:$E$2736,$F387))</f>
        <v/>
      </c>
      <c r="I387" s="11" t="str">
        <f aca="false">IF(INDEX(選手一覧!$F$5:$F$2736,$F387)="","",INDEX(選手一覧!$F$5:$F$2736,$F387))</f>
        <v/>
      </c>
      <c r="J387" s="12" t="str">
        <f aca="false">IF(INDEX(選手一覧!$G$5:$G$2736,$F387)="","",INDEX(選手一覧!$G$5:$G$2736,$F387))</f>
        <v/>
      </c>
    </row>
    <row r="388" customFormat="false" ht="15" hidden="false" customHeight="false" outlineLevel="0" collapsed="false">
      <c r="A388" s="12" t="n">
        <v>385</v>
      </c>
      <c r="B388" s="8" t="s">
        <v>1665</v>
      </c>
      <c r="C388" s="8" t="s">
        <v>584</v>
      </c>
      <c r="D388" s="11" t="n">
        <v>0.00282372685185185</v>
      </c>
      <c r="E388" s="39" t="n">
        <f aca="false">ROUND((D388-$D$5)*86400,2)</f>
        <v>18.94</v>
      </c>
      <c r="F388" s="12" t="n">
        <v>1031</v>
      </c>
      <c r="G388" s="11" t="n">
        <f aca="false">IF(INDEX(選手一覧!$D$5:$D$2736,$F388)="","",INDEX(選手一覧!$D$5:$D$2736,$F388))</f>
        <v>0.0109680555555556</v>
      </c>
      <c r="H388" s="12" t="n">
        <f aca="false">IF(INDEX(選手一覧!$E$5:$E$2736,$F388)="","",INDEX(選手一覧!$E$5:$E$2736,$F388))</f>
        <v>1032</v>
      </c>
      <c r="I388" s="11" t="str">
        <f aca="false">IF(INDEX(選手一覧!$F$5:$F$2736,$F388)="","",INDEX(選手一覧!$F$5:$F$2736,$F388))</f>
        <v/>
      </c>
      <c r="J388" s="12" t="str">
        <f aca="false">IF(INDEX(選手一覧!$G$5:$G$2736,$F388)="","",INDEX(選手一覧!$G$5:$G$2736,$F388))</f>
        <v/>
      </c>
    </row>
    <row r="389" customFormat="false" ht="15" hidden="false" customHeight="false" outlineLevel="0" collapsed="false">
      <c r="A389" s="12" t="n">
        <v>386</v>
      </c>
      <c r="B389" s="8" t="s">
        <v>1757</v>
      </c>
      <c r="C389" s="8" t="s">
        <v>1758</v>
      </c>
      <c r="D389" s="11" t="n">
        <v>0.00282384259259259</v>
      </c>
      <c r="E389" s="39" t="n">
        <f aca="false">ROUND((D389-$D$5)*86400,2)</f>
        <v>18.95</v>
      </c>
      <c r="F389" s="12" t="n">
        <v>1092</v>
      </c>
      <c r="G389" s="11" t="n">
        <f aca="false">IF(INDEX(選手一覧!$D$5:$D$2736,$F389)="","",INDEX(選手一覧!$D$5:$D$2736,$F389))</f>
        <v>0.0109971064814815</v>
      </c>
      <c r="H389" s="12" t="n">
        <f aca="false">IF(INDEX(選手一覧!$E$5:$E$2736,$F389)="","",INDEX(選手一覧!$E$5:$E$2736,$F389))</f>
        <v>1093</v>
      </c>
      <c r="I389" s="11" t="str">
        <f aca="false">IF(INDEX(選手一覧!$F$5:$F$2736,$F389)="","",INDEX(選手一覧!$F$5:$F$2736,$F389))</f>
        <v/>
      </c>
      <c r="J389" s="12" t="str">
        <f aca="false">IF(INDEX(選手一覧!$G$5:$G$2736,$F389)="","",INDEX(選手一覧!$G$5:$G$2736,$F389))</f>
        <v/>
      </c>
    </row>
    <row r="390" customFormat="false" ht="15" hidden="false" customHeight="false" outlineLevel="0" collapsed="false">
      <c r="A390" s="12" t="n">
        <v>387</v>
      </c>
      <c r="B390" s="8" t="s">
        <v>522</v>
      </c>
      <c r="C390" s="8" t="s">
        <v>523</v>
      </c>
      <c r="D390" s="11" t="n">
        <v>0.00282395833333333</v>
      </c>
      <c r="E390" s="39" t="n">
        <f aca="false">ROUND((D390-$D$5)*86400,2)</f>
        <v>18.96</v>
      </c>
      <c r="F390" s="12" t="n">
        <v>279</v>
      </c>
      <c r="G390" s="11" t="n">
        <f aca="false">IF(INDEX(選手一覧!$D$5:$D$2736,$F390)="","",INDEX(選手一覧!$D$5:$D$2736,$F390))</f>
        <v>0.0104148148148148</v>
      </c>
      <c r="H390" s="12" t="n">
        <f aca="false">IF(INDEX(選手一覧!$E$5:$E$2736,$F390)="","",INDEX(選手一覧!$E$5:$E$2736,$F390))</f>
        <v>280</v>
      </c>
      <c r="I390" s="11" t="str">
        <f aca="false">IF(INDEX(選手一覧!$F$5:$F$2736,$F390)="","",INDEX(選手一覧!$F$5:$F$2736,$F390))</f>
        <v/>
      </c>
      <c r="J390" s="12" t="str">
        <f aca="false">IF(INDEX(選手一覧!$G$5:$G$2736,$F390)="","",INDEX(選手一覧!$G$5:$G$2736,$F390))</f>
        <v/>
      </c>
    </row>
    <row r="391" customFormat="false" ht="15" hidden="false" customHeight="false" outlineLevel="0" collapsed="false">
      <c r="A391" s="12" t="n">
        <v>388</v>
      </c>
      <c r="B391" s="8" t="s">
        <v>2334</v>
      </c>
      <c r="C391" s="8" t="s">
        <v>891</v>
      </c>
      <c r="D391" s="11" t="n">
        <v>0.00282407407407407</v>
      </c>
      <c r="E391" s="39" t="n">
        <f aca="false">ROUND((D391-$D$5)*86400,2)</f>
        <v>18.97</v>
      </c>
      <c r="F391" s="12" t="n">
        <v>1489</v>
      </c>
      <c r="G391" s="11" t="str">
        <f aca="false">IF(INDEX(選手一覧!$D$5:$D$2736,$F391)="","",INDEX(選手一覧!$D$5:$D$2736,$F391))</f>
        <v/>
      </c>
      <c r="H391" s="12" t="str">
        <f aca="false">IF(INDEX(選手一覧!$E$5:$E$2736,$F391)="","",INDEX(選手一覧!$E$5:$E$2736,$F391))</f>
        <v/>
      </c>
      <c r="I391" s="11" t="str">
        <f aca="false">IF(INDEX(選手一覧!$F$5:$F$2736,$F391)="","",INDEX(選手一覧!$F$5:$F$2736,$F391))</f>
        <v/>
      </c>
      <c r="J391" s="12" t="str">
        <f aca="false">IF(INDEX(選手一覧!$G$5:$G$2736,$F391)="","",INDEX(選手一覧!$G$5:$G$2736,$F391))</f>
        <v/>
      </c>
    </row>
    <row r="392" customFormat="false" ht="15" hidden="false" customHeight="false" outlineLevel="0" collapsed="false">
      <c r="A392" s="12" t="n">
        <v>389</v>
      </c>
      <c r="B392" s="8" t="s">
        <v>356</v>
      </c>
      <c r="C392" s="8" t="s">
        <v>120</v>
      </c>
      <c r="D392" s="11" t="n">
        <v>0.00282430555555556</v>
      </c>
      <c r="E392" s="39" t="n">
        <f aca="false">ROUND((D392-$D$5)*86400,2)</f>
        <v>18.99</v>
      </c>
      <c r="F392" s="12" t="n">
        <v>177</v>
      </c>
      <c r="G392" s="11" t="n">
        <f aca="false">IF(INDEX(選手一覧!$D$5:$D$2736,$F392)="","",INDEX(選手一覧!$D$5:$D$2736,$F392))</f>
        <v>0.0103260416666667</v>
      </c>
      <c r="H392" s="12" t="n">
        <f aca="false">IF(INDEX(選手一覧!$E$5:$E$2736,$F392)="","",INDEX(選手一覧!$E$5:$E$2736,$F392))</f>
        <v>178</v>
      </c>
      <c r="I392" s="11" t="str">
        <f aca="false">IF(INDEX(選手一覧!$F$5:$F$2736,$F392)="","",INDEX(選手一覧!$F$5:$F$2736,$F392))</f>
        <v/>
      </c>
      <c r="J392" s="12" t="str">
        <f aca="false">IF(INDEX(選手一覧!$G$5:$G$2736,$F392)="","",INDEX(選手一覧!$G$5:$G$2736,$F392))</f>
        <v/>
      </c>
    </row>
    <row r="393" customFormat="false" ht="15" hidden="false" customHeight="false" outlineLevel="0" collapsed="false">
      <c r="A393" s="12" t="n">
        <v>390</v>
      </c>
      <c r="B393" s="8" t="s">
        <v>1596</v>
      </c>
      <c r="C393" s="8" t="s">
        <v>1597</v>
      </c>
      <c r="D393" s="11" t="n">
        <v>0.00282465277777778</v>
      </c>
      <c r="E393" s="39" t="n">
        <f aca="false">ROUND((D393-$D$5)*86400,2)</f>
        <v>19.02</v>
      </c>
      <c r="F393" s="12" t="n">
        <v>981</v>
      </c>
      <c r="G393" s="11" t="n">
        <f aca="false">IF(INDEX(選手一覧!$D$5:$D$2736,$F393)="","",INDEX(選手一覧!$D$5:$D$2736,$F393))</f>
        <v>0.0109412037037037</v>
      </c>
      <c r="H393" s="12" t="n">
        <f aca="false">IF(INDEX(選手一覧!$E$5:$E$2736,$F393)="","",INDEX(選手一覧!$E$5:$E$2736,$F393))</f>
        <v>982</v>
      </c>
      <c r="I393" s="11" t="str">
        <f aca="false">IF(INDEX(選手一覧!$F$5:$F$2736,$F393)="","",INDEX(選手一覧!$F$5:$F$2736,$F393))</f>
        <v/>
      </c>
      <c r="J393" s="12" t="str">
        <f aca="false">IF(INDEX(選手一覧!$G$5:$G$2736,$F393)="","",INDEX(選手一覧!$G$5:$G$2736,$F393))</f>
        <v/>
      </c>
    </row>
    <row r="394" customFormat="false" ht="15" hidden="false" customHeight="false" outlineLevel="0" collapsed="false">
      <c r="A394" s="12" t="n">
        <v>391</v>
      </c>
      <c r="B394" s="8" t="s">
        <v>289</v>
      </c>
      <c r="C394" s="8" t="s">
        <v>290</v>
      </c>
      <c r="D394" s="11" t="n">
        <v>0.00282476851851852</v>
      </c>
      <c r="E394" s="39" t="n">
        <f aca="false">ROUND((D394-$D$5)*86400,2)</f>
        <v>19.03</v>
      </c>
      <c r="F394" s="12" t="n">
        <v>141</v>
      </c>
      <c r="G394" s="11" t="n">
        <f aca="false">IF(INDEX(選手一覧!$D$5:$D$2736,$F394)="","",INDEX(選手一覧!$D$5:$D$2736,$F394))</f>
        <v>0.0102767361111111</v>
      </c>
      <c r="H394" s="12" t="n">
        <f aca="false">IF(INDEX(選手一覧!$E$5:$E$2736,$F394)="","",INDEX(選手一覧!$E$5:$E$2736,$F394))</f>
        <v>142</v>
      </c>
      <c r="I394" s="11" t="str">
        <f aca="false">IF(INDEX(選手一覧!$F$5:$F$2736,$F394)="","",INDEX(選手一覧!$F$5:$F$2736,$F394))</f>
        <v/>
      </c>
      <c r="J394" s="12" t="str">
        <f aca="false">IF(INDEX(選手一覧!$G$5:$G$2736,$F394)="","",INDEX(選手一覧!$G$5:$G$2736,$F394))</f>
        <v/>
      </c>
    </row>
    <row r="395" customFormat="false" ht="15" hidden="false" customHeight="false" outlineLevel="0" collapsed="false">
      <c r="A395" s="12" t="n">
        <v>392</v>
      </c>
      <c r="B395" s="8" t="s">
        <v>2338</v>
      </c>
      <c r="C395" s="8" t="s">
        <v>2339</v>
      </c>
      <c r="D395" s="11" t="n">
        <v>0.00282488425925926</v>
      </c>
      <c r="E395" s="39" t="n">
        <f aca="false">ROUND((D395-$D$5)*86400,2)</f>
        <v>19.04</v>
      </c>
      <c r="F395" s="12" t="n">
        <v>1493</v>
      </c>
      <c r="G395" s="11" t="str">
        <f aca="false">IF(INDEX(選手一覧!$D$5:$D$2736,$F395)="","",INDEX(選手一覧!$D$5:$D$2736,$F395))</f>
        <v/>
      </c>
      <c r="H395" s="12" t="str">
        <f aca="false">IF(INDEX(選手一覧!$E$5:$E$2736,$F395)="","",INDEX(選手一覧!$E$5:$E$2736,$F395))</f>
        <v/>
      </c>
      <c r="I395" s="11" t="str">
        <f aca="false">IF(INDEX(選手一覧!$F$5:$F$2736,$F395)="","",INDEX(選手一覧!$F$5:$F$2736,$F395))</f>
        <v/>
      </c>
      <c r="J395" s="12" t="str">
        <f aca="false">IF(INDEX(選手一覧!$G$5:$G$2736,$F395)="","",INDEX(選手一覧!$G$5:$G$2736,$F395))</f>
        <v/>
      </c>
    </row>
    <row r="396" customFormat="false" ht="15" hidden="false" customHeight="false" outlineLevel="0" collapsed="false">
      <c r="A396" s="12" t="n">
        <v>393</v>
      </c>
      <c r="B396" s="8" t="s">
        <v>1540</v>
      </c>
      <c r="C396" s="8" t="s">
        <v>1541</v>
      </c>
      <c r="D396" s="11" t="n">
        <v>0.00282488425925926</v>
      </c>
      <c r="E396" s="39" t="n">
        <f aca="false">ROUND((D396-$D$5)*86400,2)</f>
        <v>19.04</v>
      </c>
      <c r="F396" s="12" t="n">
        <v>945</v>
      </c>
      <c r="G396" s="11" t="n">
        <f aca="false">IF(INDEX(選手一覧!$D$5:$D$2736,$F396)="","",INDEX(選手一覧!$D$5:$D$2736,$F396))</f>
        <v>0.0109144675925926</v>
      </c>
      <c r="H396" s="12" t="n">
        <f aca="false">IF(INDEX(選手一覧!$E$5:$E$2736,$F396)="","",INDEX(選手一覧!$E$5:$E$2736,$F396))</f>
        <v>946</v>
      </c>
      <c r="I396" s="11" t="str">
        <f aca="false">IF(INDEX(選手一覧!$F$5:$F$2736,$F396)="","",INDEX(選手一覧!$F$5:$F$2736,$F396))</f>
        <v/>
      </c>
      <c r="J396" s="12" t="str">
        <f aca="false">IF(INDEX(選手一覧!$G$5:$G$2736,$F396)="","",INDEX(選手一覧!$G$5:$G$2736,$F396))</f>
        <v/>
      </c>
    </row>
    <row r="397" customFormat="false" ht="15" hidden="false" customHeight="false" outlineLevel="0" collapsed="false">
      <c r="A397" s="12" t="n">
        <v>394</v>
      </c>
      <c r="B397" s="8" t="s">
        <v>1514</v>
      </c>
      <c r="C397" s="8" t="s">
        <v>1515</v>
      </c>
      <c r="D397" s="11" t="n">
        <v>0.00282511574074074</v>
      </c>
      <c r="E397" s="39" t="n">
        <f aca="false">ROUND((D397-$D$5)*86400,2)</f>
        <v>19.06</v>
      </c>
      <c r="F397" s="12" t="n">
        <v>926</v>
      </c>
      <c r="G397" s="11" t="n">
        <f aca="false">IF(INDEX(選手一覧!$D$5:$D$2736,$F397)="","",INDEX(選手一覧!$D$5:$D$2736,$F397))</f>
        <v>0.0109045138888889</v>
      </c>
      <c r="H397" s="12" t="n">
        <f aca="false">IF(INDEX(選手一覧!$E$5:$E$2736,$F397)="","",INDEX(選手一覧!$E$5:$E$2736,$F397))</f>
        <v>927</v>
      </c>
      <c r="I397" s="11" t="str">
        <f aca="false">IF(INDEX(選手一覧!$F$5:$F$2736,$F397)="","",INDEX(選手一覧!$F$5:$F$2736,$F397))</f>
        <v/>
      </c>
      <c r="J397" s="12" t="str">
        <f aca="false">IF(INDEX(選手一覧!$G$5:$G$2736,$F397)="","",INDEX(選手一覧!$G$5:$G$2736,$F397))</f>
        <v/>
      </c>
    </row>
    <row r="398" customFormat="false" ht="15" hidden="false" customHeight="false" outlineLevel="0" collapsed="false">
      <c r="A398" s="12" t="n">
        <v>395</v>
      </c>
      <c r="B398" s="8" t="s">
        <v>254</v>
      </c>
      <c r="C398" s="8" t="s">
        <v>255</v>
      </c>
      <c r="D398" s="11" t="n">
        <v>0.00282534722222222</v>
      </c>
      <c r="E398" s="39" t="n">
        <f aca="false">ROUND((D398-$D$5)*86400,2)</f>
        <v>19.08</v>
      </c>
      <c r="F398" s="12" t="n">
        <v>123</v>
      </c>
      <c r="G398" s="11" t="n">
        <f aca="false">IF(INDEX(選手一覧!$D$5:$D$2736,$F398)="","",INDEX(選手一覧!$D$5:$D$2736,$F398))</f>
        <v>0.0102439814814815</v>
      </c>
      <c r="H398" s="12" t="n">
        <f aca="false">IF(INDEX(選手一覧!$E$5:$E$2736,$F398)="","",INDEX(選手一覧!$E$5:$E$2736,$F398))</f>
        <v>124</v>
      </c>
      <c r="I398" s="11" t="str">
        <f aca="false">IF(INDEX(選手一覧!$F$5:$F$2736,$F398)="","",INDEX(選手一覧!$F$5:$F$2736,$F398))</f>
        <v/>
      </c>
      <c r="J398" s="12" t="str">
        <f aca="false">IF(INDEX(選手一覧!$G$5:$G$2736,$F398)="","",INDEX(選手一覧!$G$5:$G$2736,$F398))</f>
        <v/>
      </c>
    </row>
    <row r="399" customFormat="false" ht="15" hidden="false" customHeight="false" outlineLevel="0" collapsed="false">
      <c r="A399" s="12" t="n">
        <v>396</v>
      </c>
      <c r="B399" s="8" t="s">
        <v>1334</v>
      </c>
      <c r="C399" s="8" t="s">
        <v>1335</v>
      </c>
      <c r="D399" s="11" t="n">
        <v>0.00282546296296296</v>
      </c>
      <c r="E399" s="39" t="n">
        <f aca="false">ROUND((D399-$D$5)*86400,2)</f>
        <v>19.09</v>
      </c>
      <c r="F399" s="12" t="n">
        <v>809</v>
      </c>
      <c r="G399" s="11" t="n">
        <f aca="false">IF(INDEX(選手一覧!$D$5:$D$2736,$F399)="","",INDEX(選手一覧!$D$5:$D$2736,$F399))</f>
        <v>0.0108386574074074</v>
      </c>
      <c r="H399" s="12" t="n">
        <f aca="false">IF(INDEX(選手一覧!$E$5:$E$2736,$F399)="","",INDEX(選手一覧!$E$5:$E$2736,$F399))</f>
        <v>810</v>
      </c>
      <c r="I399" s="11" t="str">
        <f aca="false">IF(INDEX(選手一覧!$F$5:$F$2736,$F399)="","",INDEX(選手一覧!$F$5:$F$2736,$F399))</f>
        <v/>
      </c>
      <c r="J399" s="12" t="str">
        <f aca="false">IF(INDEX(選手一覧!$G$5:$G$2736,$F399)="","",INDEX(選手一覧!$G$5:$G$2736,$F399))</f>
        <v/>
      </c>
    </row>
    <row r="400" customFormat="false" ht="15" hidden="false" customHeight="false" outlineLevel="0" collapsed="false">
      <c r="A400" s="12" t="n">
        <v>397</v>
      </c>
      <c r="B400" s="8" t="s">
        <v>2344</v>
      </c>
      <c r="C400" s="8" t="s">
        <v>566</v>
      </c>
      <c r="D400" s="11" t="n">
        <v>0.00282581018518519</v>
      </c>
      <c r="E400" s="39" t="n">
        <f aca="false">ROUND((D400-$D$5)*86400,2)</f>
        <v>19.12</v>
      </c>
      <c r="F400" s="12" t="n">
        <v>1496</v>
      </c>
      <c r="G400" s="11" t="str">
        <f aca="false">IF(INDEX(選手一覧!$D$5:$D$2736,$F400)="","",INDEX(選手一覧!$D$5:$D$2736,$F400))</f>
        <v/>
      </c>
      <c r="H400" s="12" t="str">
        <f aca="false">IF(INDEX(選手一覧!$E$5:$E$2736,$F400)="","",INDEX(選手一覧!$E$5:$E$2736,$F400))</f>
        <v/>
      </c>
      <c r="I400" s="11" t="str">
        <f aca="false">IF(INDEX(選手一覧!$F$5:$F$2736,$F400)="","",INDEX(選手一覧!$F$5:$F$2736,$F400))</f>
        <v/>
      </c>
      <c r="J400" s="12" t="str">
        <f aca="false">IF(INDEX(選手一覧!$G$5:$G$2736,$F400)="","",INDEX(選手一覧!$G$5:$G$2736,$F400))</f>
        <v/>
      </c>
    </row>
    <row r="401" customFormat="false" ht="15" hidden="false" customHeight="false" outlineLevel="0" collapsed="false">
      <c r="A401" s="12" t="n">
        <v>398</v>
      </c>
      <c r="B401" s="8" t="s">
        <v>492</v>
      </c>
      <c r="C401" s="8" t="s">
        <v>233</v>
      </c>
      <c r="D401" s="11" t="n">
        <v>0.00282592592592593</v>
      </c>
      <c r="E401" s="39" t="n">
        <f aca="false">ROUND((D401-$D$5)*86400,2)</f>
        <v>19.13</v>
      </c>
      <c r="F401" s="12" t="n">
        <v>260</v>
      </c>
      <c r="G401" s="11" t="n">
        <f aca="false">IF(INDEX(選手一覧!$D$5:$D$2736,$F401)="","",INDEX(選手一覧!$D$5:$D$2736,$F401))</f>
        <v>0.0103976851851852</v>
      </c>
      <c r="H401" s="12" t="n">
        <f aca="false">IF(INDEX(選手一覧!$E$5:$E$2736,$F401)="","",INDEX(選手一覧!$E$5:$E$2736,$F401))</f>
        <v>261</v>
      </c>
      <c r="I401" s="11" t="str">
        <f aca="false">IF(INDEX(選手一覧!$F$5:$F$2736,$F401)="","",INDEX(選手一覧!$F$5:$F$2736,$F401))</f>
        <v/>
      </c>
      <c r="J401" s="12" t="str">
        <f aca="false">IF(INDEX(選手一覧!$G$5:$G$2736,$F401)="","",INDEX(選手一覧!$G$5:$G$2736,$F401))</f>
        <v/>
      </c>
    </row>
    <row r="402" customFormat="false" ht="15" hidden="false" customHeight="false" outlineLevel="0" collapsed="false">
      <c r="A402" s="12" t="n">
        <v>399</v>
      </c>
      <c r="B402" s="8" t="s">
        <v>1092</v>
      </c>
      <c r="C402" s="8" t="s">
        <v>578</v>
      </c>
      <c r="D402" s="11" t="n">
        <v>0.00282615740740741</v>
      </c>
      <c r="E402" s="39" t="n">
        <f aca="false">ROUND((D402-$D$5)*86400,2)</f>
        <v>19.15</v>
      </c>
      <c r="F402" s="12" t="n">
        <v>649</v>
      </c>
      <c r="G402" s="11" t="n">
        <f aca="false">IF(INDEX(選手一覧!$D$5:$D$2736,$F402)="","",INDEX(選手一覧!$D$5:$D$2736,$F402))</f>
        <v>0.0107380787037037</v>
      </c>
      <c r="H402" s="12" t="n">
        <f aca="false">IF(INDEX(選手一覧!$E$5:$E$2736,$F402)="","",INDEX(選手一覧!$E$5:$E$2736,$F402))</f>
        <v>650</v>
      </c>
      <c r="I402" s="11" t="n">
        <f aca="false">IF(INDEX(選手一覧!$F$5:$F$2736,$F402)="","",INDEX(選手一覧!$F$5:$F$2736,$F402))</f>
        <v>0.00681689814814815</v>
      </c>
      <c r="J402" s="12" t="n">
        <f aca="false">IF(INDEX(選手一覧!$G$5:$G$2736,$F402)="","",INDEX(選手一覧!$G$5:$G$2736,$F402))</f>
        <v>183</v>
      </c>
    </row>
    <row r="403" customFormat="false" ht="15" hidden="false" customHeight="false" outlineLevel="0" collapsed="false">
      <c r="A403" s="12" t="n">
        <v>400</v>
      </c>
      <c r="B403" s="8" t="s">
        <v>2347</v>
      </c>
      <c r="C403" s="8" t="s">
        <v>2253</v>
      </c>
      <c r="D403" s="11" t="n">
        <v>0.00282627314814815</v>
      </c>
      <c r="E403" s="39" t="n">
        <f aca="false">ROUND((D403-$D$5)*86400,2)</f>
        <v>19.16</v>
      </c>
      <c r="F403" s="12" t="n">
        <v>1499</v>
      </c>
      <c r="G403" s="11" t="str">
        <f aca="false">IF(INDEX(選手一覧!$D$5:$D$2736,$F403)="","",INDEX(選手一覧!$D$5:$D$2736,$F403))</f>
        <v/>
      </c>
      <c r="H403" s="12" t="str">
        <f aca="false">IF(INDEX(選手一覧!$E$5:$E$2736,$F403)="","",INDEX(選手一覧!$E$5:$E$2736,$F403))</f>
        <v/>
      </c>
      <c r="I403" s="11" t="str">
        <f aca="false">IF(INDEX(選手一覧!$F$5:$F$2736,$F403)="","",INDEX(選手一覧!$F$5:$F$2736,$F403))</f>
        <v/>
      </c>
      <c r="J403" s="12" t="str">
        <f aca="false">IF(INDEX(選手一覧!$G$5:$G$2736,$F403)="","",INDEX(選手一覧!$G$5:$G$2736,$F403))</f>
        <v/>
      </c>
    </row>
    <row r="404" customFormat="false" ht="15" hidden="false" customHeight="false" outlineLevel="0" collapsed="false">
      <c r="A404" s="12" t="n">
        <v>401</v>
      </c>
      <c r="B404" s="8" t="s">
        <v>583</v>
      </c>
      <c r="C404" s="8" t="s">
        <v>584</v>
      </c>
      <c r="D404" s="11" t="n">
        <v>0.00282638888888889</v>
      </c>
      <c r="E404" s="39" t="n">
        <f aca="false">ROUND((D404-$D$5)*86400,2)</f>
        <v>19.17</v>
      </c>
      <c r="F404" s="12" t="n">
        <v>316</v>
      </c>
      <c r="G404" s="11" t="n">
        <f aca="false">IF(INDEX(選手一覧!$D$5:$D$2736,$F404)="","",INDEX(選手一覧!$D$5:$D$2736,$F404))</f>
        <v>0.0104688657407407</v>
      </c>
      <c r="H404" s="12" t="n">
        <f aca="false">IF(INDEX(選手一覧!$E$5:$E$2736,$F404)="","",INDEX(選手一覧!$E$5:$E$2736,$F404))</f>
        <v>317</v>
      </c>
      <c r="I404" s="11" t="str">
        <f aca="false">IF(INDEX(選手一覧!$F$5:$F$2736,$F404)="","",INDEX(選手一覧!$F$5:$F$2736,$F404))</f>
        <v/>
      </c>
      <c r="J404" s="12" t="str">
        <f aca="false">IF(INDEX(選手一覧!$G$5:$G$2736,$F404)="","",INDEX(選手一覧!$G$5:$G$2736,$F404))</f>
        <v/>
      </c>
    </row>
    <row r="405" customFormat="false" ht="15" hidden="false" customHeight="false" outlineLevel="0" collapsed="false">
      <c r="A405" s="12" t="n">
        <v>402</v>
      </c>
      <c r="B405" s="8" t="s">
        <v>849</v>
      </c>
      <c r="C405" s="8" t="s">
        <v>558</v>
      </c>
      <c r="D405" s="11" t="n">
        <v>0.00282650462962963</v>
      </c>
      <c r="E405" s="39" t="n">
        <f aca="false">ROUND((D405-$D$5)*86400,2)</f>
        <v>19.18</v>
      </c>
      <c r="F405" s="12" t="n">
        <v>487</v>
      </c>
      <c r="G405" s="11" t="n">
        <f aca="false">IF(INDEX(選手一覧!$D$5:$D$2736,$F405)="","",INDEX(選手一覧!$D$5:$D$2736,$F405))</f>
        <v>0.010616087962963</v>
      </c>
      <c r="H405" s="12" t="n">
        <f aca="false">IF(INDEX(選手一覧!$E$5:$E$2736,$F405)="","",INDEX(選手一覧!$E$5:$E$2736,$F405))</f>
        <v>488</v>
      </c>
      <c r="I405" s="11" t="str">
        <f aca="false">IF(INDEX(選手一覧!$F$5:$F$2736,$F405)="","",INDEX(選手一覧!$F$5:$F$2736,$F405))</f>
        <v/>
      </c>
      <c r="J405" s="12" t="str">
        <f aca="false">IF(INDEX(選手一覧!$G$5:$G$2736,$F405)="","",INDEX(選手一覧!$G$5:$G$2736,$F405))</f>
        <v/>
      </c>
    </row>
    <row r="406" customFormat="false" ht="15" hidden="false" customHeight="false" outlineLevel="0" collapsed="false">
      <c r="A406" s="12" t="n">
        <v>403</v>
      </c>
      <c r="B406" s="8" t="s">
        <v>470</v>
      </c>
      <c r="C406" s="8" t="s">
        <v>471</v>
      </c>
      <c r="D406" s="11" t="n">
        <v>0.00282662037037037</v>
      </c>
      <c r="E406" s="39" t="n">
        <f aca="false">ROUND((D406-$D$5)*86400,2)</f>
        <v>19.19</v>
      </c>
      <c r="F406" s="12" t="n">
        <v>246</v>
      </c>
      <c r="G406" s="11" t="n">
        <f aca="false">IF(INDEX(選手一覧!$D$5:$D$2736,$F406)="","",INDEX(選手一覧!$D$5:$D$2736,$F406))</f>
        <v>0.0103861111111111</v>
      </c>
      <c r="H406" s="12" t="n">
        <f aca="false">IF(INDEX(選手一覧!$E$5:$E$2736,$F406)="","",INDEX(選手一覧!$E$5:$E$2736,$F406))</f>
        <v>247</v>
      </c>
      <c r="I406" s="11" t="str">
        <f aca="false">IF(INDEX(選手一覧!$F$5:$F$2736,$F406)="","",INDEX(選手一覧!$F$5:$F$2736,$F406))</f>
        <v/>
      </c>
      <c r="J406" s="12" t="str">
        <f aca="false">IF(INDEX(選手一覧!$G$5:$G$2736,$F406)="","",INDEX(選手一覧!$G$5:$G$2736,$F406))</f>
        <v/>
      </c>
    </row>
    <row r="407" customFormat="false" ht="15" hidden="false" customHeight="false" outlineLevel="0" collapsed="false">
      <c r="A407" s="12" t="n">
        <v>404</v>
      </c>
      <c r="B407" s="8" t="s">
        <v>2353</v>
      </c>
      <c r="C407" s="8" t="s">
        <v>2354</v>
      </c>
      <c r="D407" s="11" t="n">
        <v>0.00282696759259259</v>
      </c>
      <c r="E407" s="39" t="n">
        <f aca="false">ROUND((D407-$D$5)*86400,2)</f>
        <v>19.22</v>
      </c>
      <c r="F407" s="12" t="n">
        <v>1503</v>
      </c>
      <c r="G407" s="11" t="str">
        <f aca="false">IF(INDEX(選手一覧!$D$5:$D$2736,$F407)="","",INDEX(選手一覧!$D$5:$D$2736,$F407))</f>
        <v/>
      </c>
      <c r="H407" s="12" t="str">
        <f aca="false">IF(INDEX(選手一覧!$E$5:$E$2736,$F407)="","",INDEX(選手一覧!$E$5:$E$2736,$F407))</f>
        <v/>
      </c>
      <c r="I407" s="11" t="str">
        <f aca="false">IF(INDEX(選手一覧!$F$5:$F$2736,$F407)="","",INDEX(選手一覧!$F$5:$F$2736,$F407))</f>
        <v/>
      </c>
      <c r="J407" s="12" t="str">
        <f aca="false">IF(INDEX(選手一覧!$G$5:$G$2736,$F407)="","",INDEX(選手一覧!$G$5:$G$2736,$F407))</f>
        <v/>
      </c>
    </row>
    <row r="408" customFormat="false" ht="15" hidden="false" customHeight="false" outlineLevel="0" collapsed="false">
      <c r="A408" s="12" t="n">
        <v>405</v>
      </c>
      <c r="B408" s="8" t="s">
        <v>1346</v>
      </c>
      <c r="C408" s="8" t="s">
        <v>1347</v>
      </c>
      <c r="D408" s="11" t="n">
        <v>0.00282708333333333</v>
      </c>
      <c r="E408" s="39" t="n">
        <f aca="false">ROUND((D408-$D$5)*86400,2)</f>
        <v>19.23</v>
      </c>
      <c r="F408" s="12" t="n">
        <v>817</v>
      </c>
      <c r="G408" s="11" t="n">
        <f aca="false">IF(INDEX(選手一覧!$D$5:$D$2736,$F408)="","",INDEX(選手一覧!$D$5:$D$2736,$F408))</f>
        <v>0.0108424768518519</v>
      </c>
      <c r="H408" s="12" t="n">
        <f aca="false">IF(INDEX(選手一覧!$E$5:$E$2736,$F408)="","",INDEX(選手一覧!$E$5:$E$2736,$F408))</f>
        <v>818</v>
      </c>
      <c r="I408" s="11" t="str">
        <f aca="false">IF(INDEX(選手一覧!$F$5:$F$2736,$F408)="","",INDEX(選手一覧!$F$5:$F$2736,$F408))</f>
        <v/>
      </c>
      <c r="J408" s="12" t="str">
        <f aca="false">IF(INDEX(選手一覧!$G$5:$G$2736,$F408)="","",INDEX(選手一覧!$G$5:$G$2736,$F408))</f>
        <v/>
      </c>
    </row>
    <row r="409" customFormat="false" ht="15" hidden="false" customHeight="false" outlineLevel="0" collapsed="false">
      <c r="A409" s="12" t="n">
        <v>406</v>
      </c>
      <c r="B409" s="8" t="s">
        <v>476</v>
      </c>
      <c r="C409" s="8" t="s">
        <v>477</v>
      </c>
      <c r="D409" s="11" t="n">
        <v>0.00282719907407407</v>
      </c>
      <c r="E409" s="39" t="n">
        <f aca="false">ROUND((D409-$D$5)*86400,2)</f>
        <v>19.24</v>
      </c>
      <c r="F409" s="12" t="n">
        <v>249</v>
      </c>
      <c r="G409" s="11" t="n">
        <f aca="false">IF(INDEX(選手一覧!$D$5:$D$2736,$F409)="","",INDEX(選手一覧!$D$5:$D$2736,$F409))</f>
        <v>0.0103887731481482</v>
      </c>
      <c r="H409" s="12" t="n">
        <f aca="false">IF(INDEX(選手一覧!$E$5:$E$2736,$F409)="","",INDEX(選手一覧!$E$5:$E$2736,$F409))</f>
        <v>250</v>
      </c>
      <c r="I409" s="11" t="str">
        <f aca="false">IF(INDEX(選手一覧!$F$5:$F$2736,$F409)="","",INDEX(選手一覧!$F$5:$F$2736,$F409))</f>
        <v/>
      </c>
      <c r="J409" s="12" t="str">
        <f aca="false">IF(INDEX(選手一覧!$G$5:$G$2736,$F409)="","",INDEX(選手一覧!$G$5:$G$2736,$F409))</f>
        <v/>
      </c>
    </row>
    <row r="410" customFormat="false" ht="15" hidden="false" customHeight="false" outlineLevel="0" collapsed="false">
      <c r="A410" s="12" t="n">
        <v>407</v>
      </c>
      <c r="B410" s="8" t="s">
        <v>2356</v>
      </c>
      <c r="C410" s="8" t="s">
        <v>2357</v>
      </c>
      <c r="D410" s="11" t="n">
        <v>0.00282719907407407</v>
      </c>
      <c r="E410" s="39" t="n">
        <f aca="false">ROUND((D410-$D$5)*86400,2)</f>
        <v>19.24</v>
      </c>
      <c r="F410" s="12" t="n">
        <v>1505</v>
      </c>
      <c r="G410" s="11" t="str">
        <f aca="false">IF(INDEX(選手一覧!$D$5:$D$2736,$F410)="","",INDEX(選手一覧!$D$5:$D$2736,$F410))</f>
        <v/>
      </c>
      <c r="H410" s="12" t="str">
        <f aca="false">IF(INDEX(選手一覧!$E$5:$E$2736,$F410)="","",INDEX(選手一覧!$E$5:$E$2736,$F410))</f>
        <v/>
      </c>
      <c r="I410" s="11" t="str">
        <f aca="false">IF(INDEX(選手一覧!$F$5:$F$2736,$F410)="","",INDEX(選手一覧!$F$5:$F$2736,$F410))</f>
        <v/>
      </c>
      <c r="J410" s="12" t="str">
        <f aca="false">IF(INDEX(選手一覧!$G$5:$G$2736,$F410)="","",INDEX(選手一覧!$G$5:$G$2736,$F410))</f>
        <v/>
      </c>
    </row>
    <row r="411" customFormat="false" ht="15" hidden="false" customHeight="false" outlineLevel="0" collapsed="false">
      <c r="A411" s="12" t="n">
        <v>408</v>
      </c>
      <c r="B411" s="8" t="s">
        <v>2359</v>
      </c>
      <c r="C411" s="8" t="s">
        <v>2360</v>
      </c>
      <c r="D411" s="11" t="n">
        <v>0.00282777777777778</v>
      </c>
      <c r="E411" s="39" t="n">
        <f aca="false">ROUND((D411-$D$5)*86400,2)</f>
        <v>19.29</v>
      </c>
      <c r="F411" s="12" t="n">
        <v>1507</v>
      </c>
      <c r="G411" s="11" t="str">
        <f aca="false">IF(INDEX(選手一覧!$D$5:$D$2736,$F411)="","",INDEX(選手一覧!$D$5:$D$2736,$F411))</f>
        <v/>
      </c>
      <c r="H411" s="12" t="str">
        <f aca="false">IF(INDEX(選手一覧!$E$5:$E$2736,$F411)="","",INDEX(選手一覧!$E$5:$E$2736,$F411))</f>
        <v/>
      </c>
      <c r="I411" s="11" t="str">
        <f aca="false">IF(INDEX(選手一覧!$F$5:$F$2736,$F411)="","",INDEX(選手一覧!$F$5:$F$2736,$F411))</f>
        <v/>
      </c>
      <c r="J411" s="12" t="str">
        <f aca="false">IF(INDEX(選手一覧!$G$5:$G$2736,$F411)="","",INDEX(選手一覧!$G$5:$G$2736,$F411))</f>
        <v/>
      </c>
    </row>
    <row r="412" customFormat="false" ht="15" hidden="false" customHeight="false" outlineLevel="0" collapsed="false">
      <c r="A412" s="12" t="n">
        <v>409</v>
      </c>
      <c r="B412" s="8" t="s">
        <v>1287</v>
      </c>
      <c r="C412" s="8" t="s">
        <v>375</v>
      </c>
      <c r="D412" s="11" t="n">
        <v>0.00282800925925926</v>
      </c>
      <c r="E412" s="39" t="n">
        <f aca="false">ROUND((D412-$D$5)*86400,2)</f>
        <v>19.31</v>
      </c>
      <c r="F412" s="12" t="n">
        <v>775</v>
      </c>
      <c r="G412" s="11" t="n">
        <f aca="false">IF(INDEX(選手一覧!$D$5:$D$2736,$F412)="","",INDEX(選手一覧!$D$5:$D$2736,$F412))</f>
        <v>0.01081875</v>
      </c>
      <c r="H412" s="12" t="n">
        <f aca="false">IF(INDEX(選手一覧!$E$5:$E$2736,$F412)="","",INDEX(選手一覧!$E$5:$E$2736,$F412))</f>
        <v>776</v>
      </c>
      <c r="I412" s="11" t="str">
        <f aca="false">IF(INDEX(選手一覧!$F$5:$F$2736,$F412)="","",INDEX(選手一覧!$F$5:$F$2736,$F412))</f>
        <v/>
      </c>
      <c r="J412" s="12" t="str">
        <f aca="false">IF(INDEX(選手一覧!$G$5:$G$2736,$F412)="","",INDEX(選手一覧!$G$5:$G$2736,$F412))</f>
        <v/>
      </c>
    </row>
    <row r="413" customFormat="false" ht="15" hidden="false" customHeight="false" outlineLevel="0" collapsed="false">
      <c r="A413" s="12" t="n">
        <v>410</v>
      </c>
      <c r="B413" s="8" t="s">
        <v>1366</v>
      </c>
      <c r="C413" s="8" t="s">
        <v>160</v>
      </c>
      <c r="D413" s="11" t="n">
        <v>0.00282800925925926</v>
      </c>
      <c r="E413" s="39" t="n">
        <f aca="false">ROUND((D413-$D$5)*86400,2)</f>
        <v>19.31</v>
      </c>
      <c r="F413" s="12" t="n">
        <v>829</v>
      </c>
      <c r="G413" s="11" t="n">
        <f aca="false">IF(INDEX(選手一覧!$D$5:$D$2736,$F413)="","",INDEX(選手一覧!$D$5:$D$2736,$F413))</f>
        <v>0.0108479166666667</v>
      </c>
      <c r="H413" s="12" t="n">
        <f aca="false">IF(INDEX(選手一覧!$E$5:$E$2736,$F413)="","",INDEX(選手一覧!$E$5:$E$2736,$F413))</f>
        <v>830</v>
      </c>
      <c r="I413" s="11" t="n">
        <f aca="false">IF(INDEX(選手一覧!$F$5:$F$2736,$F413)="","",INDEX(選手一覧!$F$5:$F$2736,$F413))</f>
        <v>0.00685613425925926</v>
      </c>
      <c r="J413" s="12" t="n">
        <f aca="false">IF(INDEX(選手一覧!$G$5:$G$2736,$F413)="","",INDEX(選手一覧!$G$5:$G$2736,$F413))</f>
        <v>206</v>
      </c>
    </row>
    <row r="414" customFormat="false" ht="15" hidden="false" customHeight="false" outlineLevel="0" collapsed="false">
      <c r="A414" s="12" t="n">
        <v>411</v>
      </c>
      <c r="B414" s="8" t="s">
        <v>2365</v>
      </c>
      <c r="C414" s="8" t="s">
        <v>2366</v>
      </c>
      <c r="D414" s="11" t="n">
        <v>0.002828125</v>
      </c>
      <c r="E414" s="39" t="n">
        <f aca="false">ROUND((D414-$D$5)*86400,2)</f>
        <v>19.32</v>
      </c>
      <c r="F414" s="12" t="n">
        <v>1510</v>
      </c>
      <c r="G414" s="11" t="str">
        <f aca="false">IF(INDEX(選手一覧!$D$5:$D$2736,$F414)="","",INDEX(選手一覧!$D$5:$D$2736,$F414))</f>
        <v/>
      </c>
      <c r="H414" s="12" t="str">
        <f aca="false">IF(INDEX(選手一覧!$E$5:$E$2736,$F414)="","",INDEX(選手一覧!$E$5:$E$2736,$F414))</f>
        <v/>
      </c>
      <c r="I414" s="11" t="str">
        <f aca="false">IF(INDEX(選手一覧!$F$5:$F$2736,$F414)="","",INDEX(選手一覧!$F$5:$F$2736,$F414))</f>
        <v/>
      </c>
      <c r="J414" s="12" t="str">
        <f aca="false">IF(INDEX(選手一覧!$G$5:$G$2736,$F414)="","",INDEX(選手一覧!$G$5:$G$2736,$F414))</f>
        <v/>
      </c>
    </row>
    <row r="415" customFormat="false" ht="15" hidden="false" customHeight="false" outlineLevel="0" collapsed="false">
      <c r="A415" s="12" t="n">
        <v>412</v>
      </c>
      <c r="B415" s="8" t="s">
        <v>1343</v>
      </c>
      <c r="C415" s="8" t="s">
        <v>233</v>
      </c>
      <c r="D415" s="11" t="n">
        <v>0.002828125</v>
      </c>
      <c r="E415" s="39" t="n">
        <f aca="false">ROUND((D415-$D$5)*86400,2)</f>
        <v>19.32</v>
      </c>
      <c r="F415" s="12" t="n">
        <v>814</v>
      </c>
      <c r="G415" s="11" t="n">
        <f aca="false">IF(INDEX(選手一覧!$D$5:$D$2736,$F415)="","",INDEX(選手一覧!$D$5:$D$2736,$F415))</f>
        <v>0.0108413194444445</v>
      </c>
      <c r="H415" s="12" t="n">
        <f aca="false">IF(INDEX(選手一覧!$E$5:$E$2736,$F415)="","",INDEX(選手一覧!$E$5:$E$2736,$F415))</f>
        <v>815</v>
      </c>
      <c r="I415" s="11" t="n">
        <f aca="false">IF(INDEX(選手一覧!$F$5:$F$2736,$F415)="","",INDEX(選手一覧!$F$5:$F$2736,$F415))</f>
        <v>0.00699918981481482</v>
      </c>
      <c r="J415" s="12" t="n">
        <f aca="false">IF(INDEX(選手一覧!$G$5:$G$2736,$F415)="","",INDEX(選手一覧!$G$5:$G$2736,$F415))</f>
        <v>334</v>
      </c>
    </row>
    <row r="416" customFormat="false" ht="15" hidden="false" customHeight="false" outlineLevel="0" collapsed="false">
      <c r="A416" s="12" t="n">
        <v>413</v>
      </c>
      <c r="B416" s="8" t="s">
        <v>580</v>
      </c>
      <c r="C416" s="8" t="s">
        <v>134</v>
      </c>
      <c r="D416" s="11" t="n">
        <v>0.00282824074074074</v>
      </c>
      <c r="E416" s="39" t="n">
        <f aca="false">ROUND((D416-$D$5)*86400,2)</f>
        <v>19.33</v>
      </c>
      <c r="F416" s="12" t="n">
        <v>314</v>
      </c>
      <c r="G416" s="11" t="n">
        <f aca="false">IF(INDEX(選手一覧!$D$5:$D$2736,$F416)="","",INDEX(選手一覧!$D$5:$D$2736,$F416))</f>
        <v>0.010465162037037</v>
      </c>
      <c r="H416" s="12" t="n">
        <f aca="false">IF(INDEX(選手一覧!$E$5:$E$2736,$F416)="","",INDEX(選手一覧!$E$5:$E$2736,$F416))</f>
        <v>315</v>
      </c>
      <c r="I416" s="11" t="n">
        <f aca="false">IF(INDEX(選手一覧!$F$5:$F$2736,$F416)="","",INDEX(選手一覧!$F$5:$F$2736,$F416))</f>
        <v>0.00664930555555556</v>
      </c>
      <c r="J416" s="12" t="n">
        <f aca="false">IF(INDEX(選手一覧!$G$5:$G$2736,$F416)="","",INDEX(選手一覧!$G$5:$G$2736,$F416))</f>
        <v>82</v>
      </c>
    </row>
    <row r="417" customFormat="false" ht="15" hidden="false" customHeight="false" outlineLevel="0" collapsed="false">
      <c r="A417" s="12" t="n">
        <v>414</v>
      </c>
      <c r="B417" s="8" t="s">
        <v>567</v>
      </c>
      <c r="C417" s="8" t="s">
        <v>568</v>
      </c>
      <c r="D417" s="11" t="n">
        <v>0.00282835648148148</v>
      </c>
      <c r="E417" s="39" t="n">
        <f aca="false">ROUND((D417-$D$5)*86400,2)</f>
        <v>19.34</v>
      </c>
      <c r="F417" s="12" t="n">
        <v>306</v>
      </c>
      <c r="G417" s="11" t="n">
        <f aca="false">IF(INDEX(選手一覧!$D$5:$D$2736,$F417)="","",INDEX(選手一覧!$D$5:$D$2736,$F417))</f>
        <v>0.0104564814814815</v>
      </c>
      <c r="H417" s="12" t="n">
        <f aca="false">IF(INDEX(選手一覧!$E$5:$E$2736,$F417)="","",INDEX(選手一覧!$E$5:$E$2736,$F417))</f>
        <v>307</v>
      </c>
      <c r="I417" s="11" t="str">
        <f aca="false">IF(INDEX(選手一覧!$F$5:$F$2736,$F417)="","",INDEX(選手一覧!$F$5:$F$2736,$F417))</f>
        <v/>
      </c>
      <c r="J417" s="12" t="str">
        <f aca="false">IF(INDEX(選手一覧!$G$5:$G$2736,$F417)="","",INDEX(選手一覧!$G$5:$G$2736,$F417))</f>
        <v/>
      </c>
    </row>
    <row r="418" customFormat="false" ht="15" hidden="false" customHeight="false" outlineLevel="0" collapsed="false">
      <c r="A418" s="12" t="n">
        <v>415</v>
      </c>
      <c r="B418" s="8" t="s">
        <v>2370</v>
      </c>
      <c r="C418" s="8" t="s">
        <v>2371</v>
      </c>
      <c r="D418" s="11" t="n">
        <v>0.00282858796296296</v>
      </c>
      <c r="E418" s="39" t="n">
        <f aca="false">ROUND((D418-$D$5)*86400,2)</f>
        <v>19.36</v>
      </c>
      <c r="F418" s="12" t="n">
        <v>1514</v>
      </c>
      <c r="G418" s="11" t="str">
        <f aca="false">IF(INDEX(選手一覧!$D$5:$D$2736,$F418)="","",INDEX(選手一覧!$D$5:$D$2736,$F418))</f>
        <v/>
      </c>
      <c r="H418" s="12" t="str">
        <f aca="false">IF(INDEX(選手一覧!$E$5:$E$2736,$F418)="","",INDEX(選手一覧!$E$5:$E$2736,$F418))</f>
        <v/>
      </c>
      <c r="I418" s="11" t="str">
        <f aca="false">IF(INDEX(選手一覧!$F$5:$F$2736,$F418)="","",INDEX(選手一覧!$F$5:$F$2736,$F418))</f>
        <v/>
      </c>
      <c r="J418" s="12" t="str">
        <f aca="false">IF(INDEX(選手一覧!$G$5:$G$2736,$F418)="","",INDEX(選手一覧!$G$5:$G$2736,$F418))</f>
        <v/>
      </c>
    </row>
    <row r="419" customFormat="false" ht="15" hidden="false" customHeight="false" outlineLevel="0" collapsed="false">
      <c r="A419" s="12" t="n">
        <v>416</v>
      </c>
      <c r="B419" s="8" t="s">
        <v>777</v>
      </c>
      <c r="C419" s="8" t="s">
        <v>778</v>
      </c>
      <c r="D419" s="11" t="n">
        <v>0.0028287037037037</v>
      </c>
      <c r="E419" s="39" t="n">
        <f aca="false">ROUND((D419-$D$5)*86400,2)</f>
        <v>19.37</v>
      </c>
      <c r="F419" s="12" t="n">
        <v>439</v>
      </c>
      <c r="G419" s="11" t="n">
        <f aca="false">IF(INDEX(選手一覧!$D$5:$D$2736,$F419)="","",INDEX(選手一覧!$D$5:$D$2736,$F419))</f>
        <v>0.0105834490740741</v>
      </c>
      <c r="H419" s="12" t="n">
        <f aca="false">IF(INDEX(選手一覧!$E$5:$E$2736,$F419)="","",INDEX(選手一覧!$E$5:$E$2736,$F419))</f>
        <v>440</v>
      </c>
      <c r="I419" s="11" t="str">
        <f aca="false">IF(INDEX(選手一覧!$F$5:$F$2736,$F419)="","",INDEX(選手一覧!$F$5:$F$2736,$F419))</f>
        <v/>
      </c>
      <c r="J419" s="12" t="str">
        <f aca="false">IF(INDEX(選手一覧!$G$5:$G$2736,$F419)="","",INDEX(選手一覧!$G$5:$G$2736,$F419))</f>
        <v/>
      </c>
    </row>
    <row r="420" customFormat="false" ht="15" hidden="false" customHeight="false" outlineLevel="0" collapsed="false">
      <c r="A420" s="12" t="n">
        <v>417</v>
      </c>
      <c r="B420" s="8" t="s">
        <v>2376</v>
      </c>
      <c r="C420" s="8" t="s">
        <v>2377</v>
      </c>
      <c r="D420" s="11" t="n">
        <v>0.00282881944444445</v>
      </c>
      <c r="E420" s="39" t="n">
        <f aca="false">ROUND((D420-$D$5)*86400,2)</f>
        <v>19.38</v>
      </c>
      <c r="F420" s="12" t="n">
        <v>1517</v>
      </c>
      <c r="G420" s="11" t="str">
        <f aca="false">IF(INDEX(選手一覧!$D$5:$D$2736,$F420)="","",INDEX(選手一覧!$D$5:$D$2736,$F420))</f>
        <v/>
      </c>
      <c r="H420" s="12" t="str">
        <f aca="false">IF(INDEX(選手一覧!$E$5:$E$2736,$F420)="","",INDEX(選手一覧!$E$5:$E$2736,$F420))</f>
        <v/>
      </c>
      <c r="I420" s="11" t="str">
        <f aca="false">IF(INDEX(選手一覧!$F$5:$F$2736,$F420)="","",INDEX(選手一覧!$F$5:$F$2736,$F420))</f>
        <v/>
      </c>
      <c r="J420" s="12" t="str">
        <f aca="false">IF(INDEX(選手一覧!$G$5:$G$2736,$F420)="","",INDEX(選手一覧!$G$5:$G$2736,$F420))</f>
        <v/>
      </c>
    </row>
    <row r="421" customFormat="false" ht="15" hidden="false" customHeight="false" outlineLevel="0" collapsed="false">
      <c r="A421" s="12" t="n">
        <v>418</v>
      </c>
      <c r="B421" s="8" t="s">
        <v>906</v>
      </c>
      <c r="C421" s="8" t="s">
        <v>616</v>
      </c>
      <c r="D421" s="11" t="n">
        <v>0.00282881944444445</v>
      </c>
      <c r="E421" s="39" t="n">
        <f aca="false">ROUND((D421-$D$5)*86400,2)</f>
        <v>19.38</v>
      </c>
      <c r="F421" s="12" t="n">
        <v>519</v>
      </c>
      <c r="G421" s="11" t="n">
        <f aca="false">IF(INDEX(選手一覧!$D$5:$D$2736,$F421)="","",INDEX(選手一覧!$D$5:$D$2736,$F421))</f>
        <v>0.0106479166666667</v>
      </c>
      <c r="H421" s="12" t="n">
        <f aca="false">IF(INDEX(選手一覧!$E$5:$E$2736,$F421)="","",INDEX(選手一覧!$E$5:$E$2736,$F421))</f>
        <v>520</v>
      </c>
      <c r="I421" s="11" t="str">
        <f aca="false">IF(INDEX(選手一覧!$F$5:$F$2736,$F421)="","",INDEX(選手一覧!$F$5:$F$2736,$F421))</f>
        <v/>
      </c>
      <c r="J421" s="12" t="str">
        <f aca="false">IF(INDEX(選手一覧!$G$5:$G$2736,$F421)="","",INDEX(選手一覧!$G$5:$G$2736,$F421))</f>
        <v/>
      </c>
    </row>
    <row r="422" customFormat="false" ht="15" hidden="false" customHeight="false" outlineLevel="0" collapsed="false">
      <c r="A422" s="12" t="n">
        <v>419</v>
      </c>
      <c r="B422" s="8" t="s">
        <v>609</v>
      </c>
      <c r="C422" s="8" t="s">
        <v>558</v>
      </c>
      <c r="D422" s="11" t="n">
        <v>0.00282905092592593</v>
      </c>
      <c r="E422" s="39" t="n">
        <f aca="false">ROUND((D422-$D$5)*86400,2)</f>
        <v>19.4</v>
      </c>
      <c r="F422" s="12" t="n">
        <v>332</v>
      </c>
      <c r="G422" s="11" t="n">
        <f aca="false">IF(INDEX(選手一覧!$D$5:$D$2736,$F422)="","",INDEX(選手一覧!$D$5:$D$2736,$F422))</f>
        <v>0.0104903935185185</v>
      </c>
      <c r="H422" s="12" t="n">
        <f aca="false">IF(INDEX(選手一覧!$E$5:$E$2736,$F422)="","",INDEX(選手一覧!$E$5:$E$2736,$F422))</f>
        <v>333</v>
      </c>
      <c r="I422" s="11" t="n">
        <f aca="false">IF(INDEX(選手一覧!$F$5:$F$2736,$F422)="","",INDEX(選手一覧!$F$5:$F$2736,$F422))</f>
        <v>0.00670543981481482</v>
      </c>
      <c r="J422" s="12" t="n">
        <f aca="false">IF(INDEX(選手一覧!$G$5:$G$2736,$F422)="","",INDEX(選手一覧!$G$5:$G$2736,$F422))</f>
        <v>111</v>
      </c>
    </row>
    <row r="423" customFormat="false" ht="15" hidden="false" customHeight="false" outlineLevel="0" collapsed="false">
      <c r="A423" s="12" t="n">
        <v>420</v>
      </c>
      <c r="B423" s="8" t="s">
        <v>429</v>
      </c>
      <c r="C423" s="8" t="s">
        <v>108</v>
      </c>
      <c r="D423" s="11" t="n">
        <v>0.00282905092592593</v>
      </c>
      <c r="E423" s="39" t="n">
        <f aca="false">ROUND((D423-$D$5)*86400,2)</f>
        <v>19.4</v>
      </c>
      <c r="F423" s="12" t="n">
        <v>223</v>
      </c>
      <c r="G423" s="11" t="n">
        <f aca="false">IF(INDEX(選手一覧!$D$5:$D$2736,$F423)="","",INDEX(選手一覧!$D$5:$D$2736,$F423))</f>
        <v>0.010369212962963</v>
      </c>
      <c r="H423" s="12" t="n">
        <f aca="false">IF(INDEX(選手一覧!$E$5:$E$2736,$F423)="","",INDEX(選手一覧!$E$5:$E$2736,$F423))</f>
        <v>224</v>
      </c>
      <c r="I423" s="11" t="str">
        <f aca="false">IF(INDEX(選手一覧!$F$5:$F$2736,$F423)="","",INDEX(選手一覧!$F$5:$F$2736,$F423))</f>
        <v/>
      </c>
      <c r="J423" s="12" t="str">
        <f aca="false">IF(INDEX(選手一覧!$G$5:$G$2736,$F423)="","",INDEX(選手一覧!$G$5:$G$2736,$F423))</f>
        <v/>
      </c>
    </row>
    <row r="424" customFormat="false" ht="15" hidden="false" customHeight="false" outlineLevel="0" collapsed="false">
      <c r="A424" s="12" t="n">
        <v>421</v>
      </c>
      <c r="B424" s="8" t="s">
        <v>2038</v>
      </c>
      <c r="C424" s="8" t="s">
        <v>2039</v>
      </c>
      <c r="D424" s="11" t="n">
        <v>0.00282916666666667</v>
      </c>
      <c r="E424" s="39" t="n">
        <f aca="false">ROUND((D424-$D$5)*86400,2)</f>
        <v>19.41</v>
      </c>
      <c r="F424" s="12" t="n">
        <v>1295</v>
      </c>
      <c r="G424" s="11" t="str">
        <f aca="false">IF(INDEX(選手一覧!$D$5:$D$2736,$F424)="","",INDEX(選手一覧!$D$5:$D$2736,$F424))</f>
        <v/>
      </c>
      <c r="H424" s="12" t="str">
        <f aca="false">IF(INDEX(選手一覧!$E$5:$E$2736,$F424)="","",INDEX(選手一覧!$E$5:$E$2736,$F424))</f>
        <v/>
      </c>
      <c r="I424" s="11" t="n">
        <f aca="false">IF(INDEX(選手一覧!$F$5:$F$2736,$F424)="","",INDEX(選手一覧!$F$5:$F$2736,$F424))</f>
        <v>0.00658125</v>
      </c>
      <c r="J424" s="12" t="n">
        <f aca="false">IF(INDEX(選手一覧!$G$5:$G$2736,$F424)="","",INDEX(選手一覧!$G$5:$G$2736,$F424))</f>
        <v>63</v>
      </c>
    </row>
    <row r="425" customFormat="false" ht="15" hidden="false" customHeight="false" outlineLevel="0" collapsed="false">
      <c r="A425" s="12" t="n">
        <v>422</v>
      </c>
      <c r="B425" s="8" t="s">
        <v>2380</v>
      </c>
      <c r="C425" s="8" t="s">
        <v>1790</v>
      </c>
      <c r="D425" s="11" t="n">
        <v>0.00282928240740741</v>
      </c>
      <c r="E425" s="39" t="n">
        <f aca="false">ROUND((D425-$D$5)*86400,2)</f>
        <v>19.42</v>
      </c>
      <c r="F425" s="12" t="n">
        <v>1520</v>
      </c>
      <c r="G425" s="11" t="str">
        <f aca="false">IF(INDEX(選手一覧!$D$5:$D$2736,$F425)="","",INDEX(選手一覧!$D$5:$D$2736,$F425))</f>
        <v/>
      </c>
      <c r="H425" s="12" t="str">
        <f aca="false">IF(INDEX(選手一覧!$E$5:$E$2736,$F425)="","",INDEX(選手一覧!$E$5:$E$2736,$F425))</f>
        <v/>
      </c>
      <c r="I425" s="11" t="str">
        <f aca="false">IF(INDEX(選手一覧!$F$5:$F$2736,$F425)="","",INDEX(選手一覧!$F$5:$F$2736,$F425))</f>
        <v/>
      </c>
      <c r="J425" s="12" t="str">
        <f aca="false">IF(INDEX(選手一覧!$G$5:$G$2736,$F425)="","",INDEX(選手一覧!$G$5:$G$2736,$F425))</f>
        <v/>
      </c>
    </row>
    <row r="426" customFormat="false" ht="15" hidden="false" customHeight="false" outlineLevel="0" collapsed="false">
      <c r="A426" s="12" t="n">
        <v>423</v>
      </c>
      <c r="B426" s="8" t="s">
        <v>2381</v>
      </c>
      <c r="C426" s="8" t="s">
        <v>202</v>
      </c>
      <c r="D426" s="11" t="n">
        <v>0.00282939814814815</v>
      </c>
      <c r="E426" s="39" t="n">
        <f aca="false">ROUND((D426-$D$5)*86400,2)</f>
        <v>19.43</v>
      </c>
      <c r="F426" s="12" t="n">
        <v>1521</v>
      </c>
      <c r="G426" s="11" t="str">
        <f aca="false">IF(INDEX(選手一覧!$D$5:$D$2736,$F426)="","",INDEX(選手一覧!$D$5:$D$2736,$F426))</f>
        <v/>
      </c>
      <c r="H426" s="12" t="str">
        <f aca="false">IF(INDEX(選手一覧!$E$5:$E$2736,$F426)="","",INDEX(選手一覧!$E$5:$E$2736,$F426))</f>
        <v/>
      </c>
      <c r="I426" s="11" t="n">
        <f aca="false">IF(INDEX(選手一覧!$F$5:$F$2736,$F426)="","",INDEX(選手一覧!$F$5:$F$2736,$F426))</f>
        <v>0.00794456018518519</v>
      </c>
      <c r="J426" s="12" t="n">
        <f aca="false">IF(INDEX(選手一覧!$G$5:$G$2736,$F426)="","",INDEX(選手一覧!$G$5:$G$2736,$F426))</f>
        <v>1178</v>
      </c>
    </row>
    <row r="427" customFormat="false" ht="15" hidden="false" customHeight="false" outlineLevel="0" collapsed="false">
      <c r="A427" s="12" t="n">
        <v>424</v>
      </c>
      <c r="B427" s="8" t="s">
        <v>1232</v>
      </c>
      <c r="C427" s="8" t="s">
        <v>143</v>
      </c>
      <c r="D427" s="11" t="n">
        <v>0.00282962962962963</v>
      </c>
      <c r="E427" s="39" t="n">
        <f aca="false">ROUND((D427-$D$5)*86400,2)</f>
        <v>19.45</v>
      </c>
      <c r="F427" s="12" t="n">
        <v>738</v>
      </c>
      <c r="G427" s="11" t="n">
        <f aca="false">IF(INDEX(選手一覧!$D$5:$D$2736,$F427)="","",INDEX(選手一覧!$D$5:$D$2736,$F427))</f>
        <v>0.0107994212962963</v>
      </c>
      <c r="H427" s="12" t="n">
        <f aca="false">IF(INDEX(選手一覧!$E$5:$E$2736,$F427)="","",INDEX(選手一覧!$E$5:$E$2736,$F427))</f>
        <v>739</v>
      </c>
      <c r="I427" s="11" t="n">
        <f aca="false">IF(INDEX(選手一覧!$F$5:$F$2736,$F427)="","",INDEX(選手一覧!$F$5:$F$2736,$F427))</f>
        <v>0.00673020833333333</v>
      </c>
      <c r="J427" s="12" t="n">
        <f aca="false">IF(INDEX(選手一覧!$G$5:$G$2736,$F427)="","",INDEX(選手一覧!$G$5:$G$2736,$F427))</f>
        <v>120</v>
      </c>
    </row>
    <row r="428" customFormat="false" ht="15" hidden="false" customHeight="false" outlineLevel="0" collapsed="false">
      <c r="A428" s="12" t="n">
        <v>425</v>
      </c>
      <c r="B428" s="8" t="s">
        <v>2386</v>
      </c>
      <c r="C428" s="8" t="s">
        <v>2387</v>
      </c>
      <c r="D428" s="11" t="n">
        <v>0.00282962962962963</v>
      </c>
      <c r="E428" s="39" t="n">
        <f aca="false">ROUND((D428-$D$5)*86400,2)</f>
        <v>19.45</v>
      </c>
      <c r="F428" s="12" t="n">
        <v>1525</v>
      </c>
      <c r="G428" s="11" t="str">
        <f aca="false">IF(INDEX(選手一覧!$D$5:$D$2736,$F428)="","",INDEX(選手一覧!$D$5:$D$2736,$F428))</f>
        <v/>
      </c>
      <c r="H428" s="12" t="str">
        <f aca="false">IF(INDEX(選手一覧!$E$5:$E$2736,$F428)="","",INDEX(選手一覧!$E$5:$E$2736,$F428))</f>
        <v/>
      </c>
      <c r="I428" s="11" t="str">
        <f aca="false">IF(INDEX(選手一覧!$F$5:$F$2736,$F428)="","",INDEX(選手一覧!$F$5:$F$2736,$F428))</f>
        <v/>
      </c>
      <c r="J428" s="12" t="str">
        <f aca="false">IF(INDEX(選手一覧!$G$5:$G$2736,$F428)="","",INDEX(選手一覧!$G$5:$G$2736,$F428))</f>
        <v/>
      </c>
    </row>
    <row r="429" customFormat="false" ht="15" hidden="false" customHeight="false" outlineLevel="0" collapsed="false">
      <c r="A429" s="12" t="n">
        <v>426</v>
      </c>
      <c r="B429" s="8" t="s">
        <v>1015</v>
      </c>
      <c r="C429" s="8" t="s">
        <v>130</v>
      </c>
      <c r="D429" s="11" t="n">
        <v>0.00282974537037037</v>
      </c>
      <c r="E429" s="39" t="n">
        <f aca="false">ROUND((D429-$D$5)*86400,2)</f>
        <v>19.46</v>
      </c>
      <c r="F429" s="12" t="n">
        <v>591</v>
      </c>
      <c r="G429" s="11" t="n">
        <f aca="false">IF(INDEX(選手一覧!$D$5:$D$2736,$F429)="","",INDEX(選手一覧!$D$5:$D$2736,$F429))</f>
        <v>0.0107072916666667</v>
      </c>
      <c r="H429" s="12" t="n">
        <f aca="false">IF(INDEX(選手一覧!$E$5:$E$2736,$F429)="","",INDEX(選手一覧!$E$5:$E$2736,$F429))</f>
        <v>592</v>
      </c>
      <c r="I429" s="11" t="n">
        <f aca="false">IF(INDEX(選手一覧!$F$5:$F$2736,$F429)="","",INDEX(選手一覧!$F$5:$F$2736,$F429))</f>
        <v>0.0071912037037037</v>
      </c>
      <c r="J429" s="12" t="n">
        <f aca="false">IF(INDEX(選手一覧!$G$5:$G$2736,$F429)="","",INDEX(選手一覧!$G$5:$G$2736,$F429))</f>
        <v>529</v>
      </c>
    </row>
    <row r="430" customFormat="false" ht="15" hidden="false" customHeight="false" outlineLevel="0" collapsed="false">
      <c r="A430" s="12" t="n">
        <v>427</v>
      </c>
      <c r="B430" s="8" t="s">
        <v>842</v>
      </c>
      <c r="C430" s="8" t="s">
        <v>373</v>
      </c>
      <c r="D430" s="11" t="n">
        <v>0.00282997685185185</v>
      </c>
      <c r="E430" s="39" t="n">
        <f aca="false">ROUND((D430-$D$5)*86400,2)</f>
        <v>19.48</v>
      </c>
      <c r="F430" s="12" t="n">
        <v>482</v>
      </c>
      <c r="G430" s="11" t="n">
        <f aca="false">IF(INDEX(選手一覧!$D$5:$D$2736,$F430)="","",INDEX(選手一覧!$D$5:$D$2736,$F430))</f>
        <v>0.0106130787037037</v>
      </c>
      <c r="H430" s="12" t="n">
        <f aca="false">IF(INDEX(選手一覧!$E$5:$E$2736,$F430)="","",INDEX(選手一覧!$E$5:$E$2736,$F430))</f>
        <v>483</v>
      </c>
      <c r="I430" s="11" t="str">
        <f aca="false">IF(INDEX(選手一覧!$F$5:$F$2736,$F430)="","",INDEX(選手一覧!$F$5:$F$2736,$F430))</f>
        <v/>
      </c>
      <c r="J430" s="12" t="str">
        <f aca="false">IF(INDEX(選手一覧!$G$5:$G$2736,$F430)="","",INDEX(選手一覧!$G$5:$G$2736,$F430))</f>
        <v/>
      </c>
    </row>
    <row r="431" customFormat="false" ht="15" hidden="false" customHeight="false" outlineLevel="0" collapsed="false">
      <c r="A431" s="12" t="n">
        <v>428</v>
      </c>
      <c r="B431" s="8" t="s">
        <v>1301</v>
      </c>
      <c r="C431" s="8" t="s">
        <v>390</v>
      </c>
      <c r="D431" s="11" t="n">
        <v>0.00283009259259259</v>
      </c>
      <c r="E431" s="39" t="n">
        <f aca="false">ROUND((D431-$D$5)*86400,2)</f>
        <v>19.49</v>
      </c>
      <c r="F431" s="12" t="n">
        <v>787</v>
      </c>
      <c r="G431" s="11" t="n">
        <f aca="false">IF(INDEX(選手一覧!$D$5:$D$2736,$F431)="","",INDEX(選手一覧!$D$5:$D$2736,$F431))</f>
        <v>0.0108291666666667</v>
      </c>
      <c r="H431" s="12" t="n">
        <f aca="false">IF(INDEX(選手一覧!$E$5:$E$2736,$F431)="","",INDEX(選手一覧!$E$5:$E$2736,$F431))</f>
        <v>788</v>
      </c>
      <c r="I431" s="11" t="str">
        <f aca="false">IF(INDEX(選手一覧!$F$5:$F$2736,$F431)="","",INDEX(選手一覧!$F$5:$F$2736,$F431))</f>
        <v/>
      </c>
      <c r="J431" s="12" t="str">
        <f aca="false">IF(INDEX(選手一覧!$G$5:$G$2736,$F431)="","",INDEX(選手一覧!$G$5:$G$2736,$F431))</f>
        <v/>
      </c>
    </row>
    <row r="432" customFormat="false" ht="15" hidden="false" customHeight="false" outlineLevel="0" collapsed="false">
      <c r="A432" s="12" t="n">
        <v>429</v>
      </c>
      <c r="B432" s="8" t="s">
        <v>335</v>
      </c>
      <c r="C432" s="8" t="s">
        <v>76</v>
      </c>
      <c r="D432" s="11" t="n">
        <v>0.00283043981481482</v>
      </c>
      <c r="E432" s="39" t="n">
        <f aca="false">ROUND((D432-$D$5)*86400,2)</f>
        <v>19.52</v>
      </c>
      <c r="F432" s="12" t="n">
        <v>165</v>
      </c>
      <c r="G432" s="11" t="n">
        <f aca="false">IF(INDEX(選手一覧!$D$5:$D$2736,$F432)="","",INDEX(選手一覧!$D$5:$D$2736,$F432))</f>
        <v>0.0103112268518519</v>
      </c>
      <c r="H432" s="12" t="n">
        <f aca="false">IF(INDEX(選手一覧!$E$5:$E$2736,$F432)="","",INDEX(選手一覧!$E$5:$E$2736,$F432))</f>
        <v>166</v>
      </c>
      <c r="I432" s="11" t="str">
        <f aca="false">IF(INDEX(選手一覧!$F$5:$F$2736,$F432)="","",INDEX(選手一覧!$F$5:$F$2736,$F432))</f>
        <v/>
      </c>
      <c r="J432" s="12" t="str">
        <f aca="false">IF(INDEX(選手一覧!$G$5:$G$2736,$F432)="","",INDEX(選手一覧!$G$5:$G$2736,$F432))</f>
        <v/>
      </c>
    </row>
    <row r="433" customFormat="false" ht="15" hidden="false" customHeight="false" outlineLevel="0" collapsed="false">
      <c r="A433" s="12" t="n">
        <v>430</v>
      </c>
      <c r="B433" s="8" t="s">
        <v>2064</v>
      </c>
      <c r="C433" s="8" t="s">
        <v>2065</v>
      </c>
      <c r="D433" s="11" t="n">
        <v>0.0028306712962963</v>
      </c>
      <c r="E433" s="39" t="n">
        <f aca="false">ROUND((D433-$D$5)*86400,2)</f>
        <v>19.54</v>
      </c>
      <c r="F433" s="12" t="n">
        <v>1314</v>
      </c>
      <c r="G433" s="11" t="str">
        <f aca="false">IF(INDEX(選手一覧!$D$5:$D$2736,$F433)="","",INDEX(選手一覧!$D$5:$D$2736,$F433))</f>
        <v/>
      </c>
      <c r="H433" s="12" t="str">
        <f aca="false">IF(INDEX(選手一覧!$E$5:$E$2736,$F433)="","",INDEX(選手一覧!$E$5:$E$2736,$F433))</f>
        <v/>
      </c>
      <c r="I433" s="11" t="n">
        <f aca="false">IF(INDEX(選手一覧!$F$5:$F$2736,$F433)="","",INDEX(選手一覧!$F$5:$F$2736,$F433))</f>
        <v>0.00675428240740741</v>
      </c>
      <c r="J433" s="12" t="n">
        <f aca="false">IF(INDEX(選手一覧!$G$5:$G$2736,$F433)="","",INDEX(選手一覧!$G$5:$G$2736,$F433))</f>
        <v>131</v>
      </c>
    </row>
    <row r="434" customFormat="false" ht="15" hidden="false" customHeight="false" outlineLevel="0" collapsed="false">
      <c r="A434" s="12" t="n">
        <v>431</v>
      </c>
      <c r="B434" s="8" t="s">
        <v>844</v>
      </c>
      <c r="C434" s="8" t="s">
        <v>845</v>
      </c>
      <c r="D434" s="11" t="n">
        <v>0.0028306712962963</v>
      </c>
      <c r="E434" s="39" t="n">
        <f aca="false">ROUND((D434-$D$5)*86400,2)</f>
        <v>19.54</v>
      </c>
      <c r="F434" s="12" t="n">
        <v>484</v>
      </c>
      <c r="G434" s="11" t="n">
        <f aca="false">IF(INDEX(選手一覧!$D$5:$D$2736,$F434)="","",INDEX(選手一覧!$D$5:$D$2736,$F434))</f>
        <v>0.0106138888888889</v>
      </c>
      <c r="H434" s="12" t="n">
        <f aca="false">IF(INDEX(選手一覧!$E$5:$E$2736,$F434)="","",INDEX(選手一覧!$E$5:$E$2736,$F434))</f>
        <v>485</v>
      </c>
      <c r="I434" s="11" t="str">
        <f aca="false">IF(INDEX(選手一覧!$F$5:$F$2736,$F434)="","",INDEX(選手一覧!$F$5:$F$2736,$F434))</f>
        <v/>
      </c>
      <c r="J434" s="12" t="str">
        <f aca="false">IF(INDEX(選手一覧!$G$5:$G$2736,$F434)="","",INDEX(選手一覧!$G$5:$G$2736,$F434))</f>
        <v/>
      </c>
    </row>
    <row r="435" customFormat="false" ht="15" hidden="false" customHeight="false" outlineLevel="0" collapsed="false">
      <c r="A435" s="12" t="n">
        <v>432</v>
      </c>
      <c r="B435" s="8" t="s">
        <v>1284</v>
      </c>
      <c r="C435" s="8" t="s">
        <v>1285</v>
      </c>
      <c r="D435" s="11" t="n">
        <v>0.00283078703703704</v>
      </c>
      <c r="E435" s="39" t="n">
        <f aca="false">ROUND((D435-$D$5)*86400,2)</f>
        <v>19.55</v>
      </c>
      <c r="F435" s="12" t="n">
        <v>773</v>
      </c>
      <c r="G435" s="11" t="n">
        <f aca="false">IF(INDEX(選手一覧!$D$5:$D$2736,$F435)="","",INDEX(選手一覧!$D$5:$D$2736,$F435))</f>
        <v>0.0108181712962963</v>
      </c>
      <c r="H435" s="12" t="n">
        <f aca="false">IF(INDEX(選手一覧!$E$5:$E$2736,$F435)="","",INDEX(選手一覧!$E$5:$E$2736,$F435))</f>
        <v>774</v>
      </c>
      <c r="I435" s="11" t="str">
        <f aca="false">IF(INDEX(選手一覧!$F$5:$F$2736,$F435)="","",INDEX(選手一覧!$F$5:$F$2736,$F435))</f>
        <v/>
      </c>
      <c r="J435" s="12" t="str">
        <f aca="false">IF(INDEX(選手一覧!$G$5:$G$2736,$F435)="","",INDEX(選手一覧!$G$5:$G$2736,$F435))</f>
        <v/>
      </c>
    </row>
    <row r="436" customFormat="false" ht="15" hidden="false" customHeight="false" outlineLevel="0" collapsed="false">
      <c r="A436" s="12" t="n">
        <v>433</v>
      </c>
      <c r="B436" s="8" t="s">
        <v>2394</v>
      </c>
      <c r="C436" s="8" t="s">
        <v>120</v>
      </c>
      <c r="D436" s="11" t="n">
        <v>0.00283101851851852</v>
      </c>
      <c r="E436" s="39" t="n">
        <f aca="false">ROUND((D436-$D$5)*86400,2)</f>
        <v>19.57</v>
      </c>
      <c r="F436" s="12" t="n">
        <v>1530</v>
      </c>
      <c r="G436" s="11" t="str">
        <f aca="false">IF(INDEX(選手一覧!$D$5:$D$2736,$F436)="","",INDEX(選手一覧!$D$5:$D$2736,$F436))</f>
        <v/>
      </c>
      <c r="H436" s="12" t="str">
        <f aca="false">IF(INDEX(選手一覧!$E$5:$E$2736,$F436)="","",INDEX(選手一覧!$E$5:$E$2736,$F436))</f>
        <v/>
      </c>
      <c r="I436" s="11" t="str">
        <f aca="false">IF(INDEX(選手一覧!$F$5:$F$2736,$F436)="","",INDEX(選手一覧!$F$5:$F$2736,$F436))</f>
        <v/>
      </c>
      <c r="J436" s="12" t="str">
        <f aca="false">IF(INDEX(選手一覧!$G$5:$G$2736,$F436)="","",INDEX(選手一覧!$G$5:$G$2736,$F436))</f>
        <v/>
      </c>
    </row>
    <row r="437" customFormat="false" ht="15" hidden="false" customHeight="false" outlineLevel="0" collapsed="false">
      <c r="A437" s="12" t="n">
        <v>434</v>
      </c>
      <c r="B437" s="8" t="s">
        <v>2397</v>
      </c>
      <c r="C437" s="8" t="s">
        <v>1277</v>
      </c>
      <c r="D437" s="11" t="n">
        <v>0.00283159722222222</v>
      </c>
      <c r="E437" s="39" t="n">
        <f aca="false">ROUND((D437-$D$5)*86400,2)</f>
        <v>19.62</v>
      </c>
      <c r="F437" s="12" t="n">
        <v>1532</v>
      </c>
      <c r="G437" s="11" t="str">
        <f aca="false">IF(INDEX(選手一覧!$D$5:$D$2736,$F437)="","",INDEX(選手一覧!$D$5:$D$2736,$F437))</f>
        <v/>
      </c>
      <c r="H437" s="12" t="str">
        <f aca="false">IF(INDEX(選手一覧!$E$5:$E$2736,$F437)="","",INDEX(選手一覧!$E$5:$E$2736,$F437))</f>
        <v/>
      </c>
      <c r="I437" s="11" t="str">
        <f aca="false">IF(INDEX(選手一覧!$F$5:$F$2736,$F437)="","",INDEX(選手一覧!$F$5:$F$2736,$F437))</f>
        <v/>
      </c>
      <c r="J437" s="12" t="str">
        <f aca="false">IF(INDEX(選手一覧!$G$5:$G$2736,$F437)="","",INDEX(選手一覧!$G$5:$G$2736,$F437))</f>
        <v/>
      </c>
    </row>
    <row r="438" customFormat="false" ht="15" hidden="false" customHeight="false" outlineLevel="0" collapsed="false">
      <c r="A438" s="12" t="n">
        <v>435</v>
      </c>
      <c r="B438" s="8" t="s">
        <v>1833</v>
      </c>
      <c r="C438" s="8" t="s">
        <v>113</v>
      </c>
      <c r="D438" s="11" t="n">
        <v>0.00283159722222222</v>
      </c>
      <c r="E438" s="39" t="n">
        <f aca="false">ROUND((D438-$D$5)*86400,2)</f>
        <v>19.62</v>
      </c>
      <c r="F438" s="12" t="n">
        <v>1143</v>
      </c>
      <c r="G438" s="11" t="n">
        <f aca="false">IF(INDEX(選手一覧!$D$5:$D$2736,$F438)="","",INDEX(選手一覧!$D$5:$D$2736,$F438))</f>
        <v>0.0110269675925926</v>
      </c>
      <c r="H438" s="12" t="n">
        <f aca="false">IF(INDEX(選手一覧!$E$5:$E$2736,$F438)="","",INDEX(選手一覧!$E$5:$E$2736,$F438))</f>
        <v>1144</v>
      </c>
      <c r="I438" s="11" t="str">
        <f aca="false">IF(INDEX(選手一覧!$F$5:$F$2736,$F438)="","",INDEX(選手一覧!$F$5:$F$2736,$F438))</f>
        <v/>
      </c>
      <c r="J438" s="12" t="str">
        <f aca="false">IF(INDEX(選手一覧!$G$5:$G$2736,$F438)="","",INDEX(選手一覧!$G$5:$G$2736,$F438))</f>
        <v/>
      </c>
    </row>
    <row r="439" customFormat="false" ht="15" hidden="false" customHeight="false" outlineLevel="0" collapsed="false">
      <c r="A439" s="12" t="n">
        <v>436</v>
      </c>
      <c r="B439" s="8" t="s">
        <v>748</v>
      </c>
      <c r="C439" s="8" t="s">
        <v>150</v>
      </c>
      <c r="D439" s="11" t="n">
        <v>0.00283171296296296</v>
      </c>
      <c r="E439" s="39" t="n">
        <f aca="false">ROUND((D439-$D$5)*86400,2)</f>
        <v>19.63</v>
      </c>
      <c r="F439" s="12" t="n">
        <v>419</v>
      </c>
      <c r="G439" s="11" t="n">
        <f aca="false">IF(INDEX(選手一覧!$D$5:$D$2736,$F439)="","",INDEX(選手一覧!$D$5:$D$2736,$F439))</f>
        <v>0.0105658564814815</v>
      </c>
      <c r="H439" s="12" t="n">
        <f aca="false">IF(INDEX(選手一覧!$E$5:$E$2736,$F439)="","",INDEX(選手一覧!$E$5:$E$2736,$F439))</f>
        <v>420</v>
      </c>
      <c r="I439" s="11" t="str">
        <f aca="false">IF(INDEX(選手一覧!$F$5:$F$2736,$F439)="","",INDEX(選手一覧!$F$5:$F$2736,$F439))</f>
        <v/>
      </c>
      <c r="J439" s="12" t="str">
        <f aca="false">IF(INDEX(選手一覧!$G$5:$G$2736,$F439)="","",INDEX(選手一覧!$G$5:$G$2736,$F439))</f>
        <v/>
      </c>
    </row>
    <row r="440" customFormat="false" ht="15" hidden="false" customHeight="false" outlineLevel="0" collapsed="false">
      <c r="A440" s="12" t="n">
        <v>437</v>
      </c>
      <c r="B440" s="8" t="s">
        <v>1403</v>
      </c>
      <c r="C440" s="8" t="s">
        <v>197</v>
      </c>
      <c r="D440" s="11" t="n">
        <v>0.00283171296296296</v>
      </c>
      <c r="E440" s="39" t="n">
        <f aca="false">ROUND((D440-$D$5)*86400,2)</f>
        <v>19.63</v>
      </c>
      <c r="F440" s="12" t="n">
        <v>854</v>
      </c>
      <c r="G440" s="11" t="n">
        <f aca="false">IF(INDEX(選手一覧!$D$5:$D$2736,$F440)="","",INDEX(選手一覧!$D$5:$D$2736,$F440))</f>
        <v>0.0108622685185185</v>
      </c>
      <c r="H440" s="12" t="n">
        <f aca="false">IF(INDEX(選手一覧!$E$5:$E$2736,$F440)="","",INDEX(選手一覧!$E$5:$E$2736,$F440))</f>
        <v>855</v>
      </c>
      <c r="I440" s="11" t="str">
        <f aca="false">IF(INDEX(選手一覧!$F$5:$F$2736,$F440)="","",INDEX(選手一覧!$F$5:$F$2736,$F440))</f>
        <v/>
      </c>
      <c r="J440" s="12" t="str">
        <f aca="false">IF(INDEX(選手一覧!$G$5:$G$2736,$F440)="","",INDEX(選手一覧!$G$5:$G$2736,$F440))</f>
        <v/>
      </c>
    </row>
    <row r="441" customFormat="false" ht="15" hidden="false" customHeight="false" outlineLevel="0" collapsed="false">
      <c r="A441" s="12" t="n">
        <v>438</v>
      </c>
      <c r="B441" s="8" t="s">
        <v>2400</v>
      </c>
      <c r="C441" s="8" t="s">
        <v>188</v>
      </c>
      <c r="D441" s="11" t="n">
        <v>0.0028318287037037</v>
      </c>
      <c r="E441" s="39" t="n">
        <f aca="false">ROUND((D441-$D$5)*86400,2)</f>
        <v>19.64</v>
      </c>
      <c r="F441" s="12" t="n">
        <v>1535</v>
      </c>
      <c r="G441" s="11" t="str">
        <f aca="false">IF(INDEX(選手一覧!$D$5:$D$2736,$F441)="","",INDEX(選手一覧!$D$5:$D$2736,$F441))</f>
        <v/>
      </c>
      <c r="H441" s="12" t="str">
        <f aca="false">IF(INDEX(選手一覧!$E$5:$E$2736,$F441)="","",INDEX(選手一覧!$E$5:$E$2736,$F441))</f>
        <v/>
      </c>
      <c r="I441" s="11" t="str">
        <f aca="false">IF(INDEX(選手一覧!$F$5:$F$2736,$F441)="","",INDEX(選手一覧!$F$5:$F$2736,$F441))</f>
        <v/>
      </c>
      <c r="J441" s="12" t="str">
        <f aca="false">IF(INDEX(選手一覧!$G$5:$G$2736,$F441)="","",INDEX(選手一覧!$G$5:$G$2736,$F441))</f>
        <v/>
      </c>
    </row>
    <row r="442" customFormat="false" ht="15" hidden="false" customHeight="false" outlineLevel="0" collapsed="false">
      <c r="A442" s="12" t="n">
        <v>439</v>
      </c>
      <c r="B442" s="8" t="s">
        <v>2402</v>
      </c>
      <c r="C442" s="8" t="s">
        <v>1099</v>
      </c>
      <c r="D442" s="11" t="n">
        <v>0.00283194444444445</v>
      </c>
      <c r="E442" s="39" t="n">
        <f aca="false">ROUND((D442-$D$5)*86400,2)</f>
        <v>19.65</v>
      </c>
      <c r="F442" s="12" t="n">
        <v>1537</v>
      </c>
      <c r="G442" s="11" t="str">
        <f aca="false">IF(INDEX(選手一覧!$D$5:$D$2736,$F442)="","",INDEX(選手一覧!$D$5:$D$2736,$F442))</f>
        <v/>
      </c>
      <c r="H442" s="12" t="str">
        <f aca="false">IF(INDEX(選手一覧!$E$5:$E$2736,$F442)="","",INDEX(選手一覧!$E$5:$E$2736,$F442))</f>
        <v/>
      </c>
      <c r="I442" s="11" t="str">
        <f aca="false">IF(INDEX(選手一覧!$F$5:$F$2736,$F442)="","",INDEX(選手一覧!$F$5:$F$2736,$F442))</f>
        <v/>
      </c>
      <c r="J442" s="12" t="str">
        <f aca="false">IF(INDEX(選手一覧!$G$5:$G$2736,$F442)="","",INDEX(選手一覧!$G$5:$G$2736,$F442))</f>
        <v/>
      </c>
    </row>
    <row r="443" customFormat="false" ht="15" hidden="false" customHeight="false" outlineLevel="0" collapsed="false">
      <c r="A443" s="12" t="n">
        <v>440</v>
      </c>
      <c r="B443" s="8" t="s">
        <v>2404</v>
      </c>
      <c r="C443" s="8" t="s">
        <v>1405</v>
      </c>
      <c r="D443" s="11" t="n">
        <v>0.00283217592592593</v>
      </c>
      <c r="E443" s="39" t="n">
        <f aca="false">ROUND((D443-$D$5)*86400,2)</f>
        <v>19.67</v>
      </c>
      <c r="F443" s="12" t="n">
        <v>1539</v>
      </c>
      <c r="G443" s="11" t="str">
        <f aca="false">IF(INDEX(選手一覧!$D$5:$D$2736,$F443)="","",INDEX(選手一覧!$D$5:$D$2736,$F443))</f>
        <v/>
      </c>
      <c r="H443" s="12" t="str">
        <f aca="false">IF(INDEX(選手一覧!$E$5:$E$2736,$F443)="","",INDEX(選手一覧!$E$5:$E$2736,$F443))</f>
        <v/>
      </c>
      <c r="I443" s="11" t="str">
        <f aca="false">IF(INDEX(選手一覧!$F$5:$F$2736,$F443)="","",INDEX(選手一覧!$F$5:$F$2736,$F443))</f>
        <v/>
      </c>
      <c r="J443" s="12" t="str">
        <f aca="false">IF(INDEX(選手一覧!$G$5:$G$2736,$F443)="","",INDEX(選手一覧!$G$5:$G$2736,$F443))</f>
        <v/>
      </c>
    </row>
    <row r="444" customFormat="false" ht="15" hidden="false" customHeight="false" outlineLevel="0" collapsed="false">
      <c r="A444" s="12" t="n">
        <v>441</v>
      </c>
      <c r="B444" s="8" t="s">
        <v>1589</v>
      </c>
      <c r="C444" s="8" t="s">
        <v>70</v>
      </c>
      <c r="D444" s="11" t="n">
        <v>0.00283229166666667</v>
      </c>
      <c r="E444" s="39" t="n">
        <f aca="false">ROUND((D444-$D$5)*86400,2)</f>
        <v>19.68</v>
      </c>
      <c r="F444" s="12" t="n">
        <v>977</v>
      </c>
      <c r="G444" s="11" t="n">
        <f aca="false">IF(INDEX(選手一覧!$D$5:$D$2736,$F444)="","",INDEX(選手一覧!$D$5:$D$2736,$F444))</f>
        <v>0.0109368055555556</v>
      </c>
      <c r="H444" s="12" t="n">
        <f aca="false">IF(INDEX(選手一覧!$E$5:$E$2736,$F444)="","",INDEX(選手一覧!$E$5:$E$2736,$F444))</f>
        <v>978</v>
      </c>
      <c r="I444" s="11" t="str">
        <f aca="false">IF(INDEX(選手一覧!$F$5:$F$2736,$F444)="","",INDEX(選手一覧!$F$5:$F$2736,$F444))</f>
        <v/>
      </c>
      <c r="J444" s="12" t="str">
        <f aca="false">IF(INDEX(選手一覧!$G$5:$G$2736,$F444)="","",INDEX(選手一覧!$G$5:$G$2736,$F444))</f>
        <v/>
      </c>
    </row>
    <row r="445" customFormat="false" ht="15" hidden="false" customHeight="false" outlineLevel="0" collapsed="false">
      <c r="A445" s="12" t="n">
        <v>442</v>
      </c>
      <c r="B445" s="8" t="s">
        <v>1593</v>
      </c>
      <c r="C445" s="8" t="s">
        <v>249</v>
      </c>
      <c r="D445" s="11" t="n">
        <v>0.00283229166666667</v>
      </c>
      <c r="E445" s="39" t="n">
        <f aca="false">ROUND((D445-$D$5)*86400,2)</f>
        <v>19.68</v>
      </c>
      <c r="F445" s="12" t="n">
        <v>979</v>
      </c>
      <c r="G445" s="11" t="n">
        <f aca="false">IF(INDEX(選手一覧!$D$5:$D$2736,$F445)="","",INDEX(選手一覧!$D$5:$D$2736,$F445))</f>
        <v>0.0109390046296296</v>
      </c>
      <c r="H445" s="12" t="n">
        <f aca="false">IF(INDEX(選手一覧!$E$5:$E$2736,$F445)="","",INDEX(選手一覧!$E$5:$E$2736,$F445))</f>
        <v>980</v>
      </c>
      <c r="I445" s="11" t="n">
        <f aca="false">IF(INDEX(選手一覧!$F$5:$F$2736,$F445)="","",INDEX(選手一覧!$F$5:$F$2736,$F445))</f>
        <v>0.0067556712962963</v>
      </c>
      <c r="J445" s="12" t="n">
        <f aca="false">IF(INDEX(選手一覧!$G$5:$G$2736,$F445)="","",INDEX(選手一覧!$G$5:$G$2736,$F445))</f>
        <v>133</v>
      </c>
    </row>
    <row r="446" customFormat="false" ht="15" hidden="false" customHeight="false" outlineLevel="0" collapsed="false">
      <c r="A446" s="12" t="n">
        <v>443</v>
      </c>
      <c r="B446" s="8" t="s">
        <v>818</v>
      </c>
      <c r="C446" s="8" t="s">
        <v>594</v>
      </c>
      <c r="D446" s="11" t="n">
        <v>0.00283263888888889</v>
      </c>
      <c r="E446" s="39" t="n">
        <f aca="false">ROUND((D446-$D$5)*86400,2)</f>
        <v>19.71</v>
      </c>
      <c r="F446" s="12" t="n">
        <v>466</v>
      </c>
      <c r="G446" s="11" t="n">
        <f aca="false">IF(INDEX(選手一覧!$D$5:$D$2736,$F446)="","",INDEX(選手一覧!$D$5:$D$2736,$F446))</f>
        <v>0.0106041666666667</v>
      </c>
      <c r="H446" s="12" t="n">
        <f aca="false">IF(INDEX(選手一覧!$E$5:$E$2736,$F446)="","",INDEX(選手一覧!$E$5:$E$2736,$F446))</f>
        <v>467</v>
      </c>
      <c r="I446" s="11" t="str">
        <f aca="false">IF(INDEX(選手一覧!$F$5:$F$2736,$F446)="","",INDEX(選手一覧!$F$5:$F$2736,$F446))</f>
        <v/>
      </c>
      <c r="J446" s="12" t="str">
        <f aca="false">IF(INDEX(選手一覧!$G$5:$G$2736,$F446)="","",INDEX(選手一覧!$G$5:$G$2736,$F446))</f>
        <v/>
      </c>
    </row>
    <row r="447" customFormat="false" ht="15" hidden="false" customHeight="false" outlineLevel="0" collapsed="false">
      <c r="A447" s="12" t="n">
        <v>444</v>
      </c>
      <c r="B447" s="8" t="s">
        <v>867</v>
      </c>
      <c r="C447" s="8" t="s">
        <v>868</v>
      </c>
      <c r="D447" s="11" t="n">
        <v>0.00283263888888889</v>
      </c>
      <c r="E447" s="39" t="n">
        <f aca="false">ROUND((D447-$D$5)*86400,2)</f>
        <v>19.71</v>
      </c>
      <c r="F447" s="12" t="n">
        <v>497</v>
      </c>
      <c r="G447" s="11" t="n">
        <f aca="false">IF(INDEX(選手一覧!$D$5:$D$2736,$F447)="","",INDEX(選手一覧!$D$5:$D$2736,$F447))</f>
        <v>0.0106210648148148</v>
      </c>
      <c r="H447" s="12" t="n">
        <f aca="false">IF(INDEX(選手一覧!$E$5:$E$2736,$F447)="","",INDEX(選手一覧!$E$5:$E$2736,$F447))</f>
        <v>498</v>
      </c>
      <c r="I447" s="11" t="str">
        <f aca="false">IF(INDEX(選手一覧!$F$5:$F$2736,$F447)="","",INDEX(選手一覧!$F$5:$F$2736,$F447))</f>
        <v/>
      </c>
      <c r="J447" s="12" t="str">
        <f aca="false">IF(INDEX(選手一覧!$G$5:$G$2736,$F447)="","",INDEX(選手一覧!$G$5:$G$2736,$F447))</f>
        <v/>
      </c>
    </row>
    <row r="448" customFormat="false" ht="15" hidden="false" customHeight="false" outlineLevel="0" collapsed="false">
      <c r="A448" s="12" t="n">
        <v>445</v>
      </c>
      <c r="B448" s="8" t="s">
        <v>2408</v>
      </c>
      <c r="C448" s="8" t="s">
        <v>683</v>
      </c>
      <c r="D448" s="11" t="n">
        <v>0.00283298611111111</v>
      </c>
      <c r="E448" s="39" t="n">
        <f aca="false">ROUND((D448-$D$5)*86400,2)</f>
        <v>19.74</v>
      </c>
      <c r="F448" s="12" t="n">
        <v>1542</v>
      </c>
      <c r="G448" s="11" t="str">
        <f aca="false">IF(INDEX(選手一覧!$D$5:$D$2736,$F448)="","",INDEX(選手一覧!$D$5:$D$2736,$F448))</f>
        <v/>
      </c>
      <c r="H448" s="12" t="str">
        <f aca="false">IF(INDEX(選手一覧!$E$5:$E$2736,$F448)="","",INDEX(選手一覧!$E$5:$E$2736,$F448))</f>
        <v/>
      </c>
      <c r="I448" s="11" t="str">
        <f aca="false">IF(INDEX(選手一覧!$F$5:$F$2736,$F448)="","",INDEX(選手一覧!$F$5:$F$2736,$F448))</f>
        <v/>
      </c>
      <c r="J448" s="12" t="str">
        <f aca="false">IF(INDEX(選手一覧!$G$5:$G$2736,$F448)="","",INDEX(選手一覧!$G$5:$G$2736,$F448))</f>
        <v/>
      </c>
    </row>
    <row r="449" customFormat="false" ht="15" hidden="false" customHeight="false" outlineLevel="0" collapsed="false">
      <c r="A449" s="12" t="n">
        <v>446</v>
      </c>
      <c r="B449" s="8" t="s">
        <v>1152</v>
      </c>
      <c r="C449" s="8" t="s">
        <v>1153</v>
      </c>
      <c r="D449" s="11" t="n">
        <v>0.00283310185185185</v>
      </c>
      <c r="E449" s="39" t="n">
        <f aca="false">ROUND((D449-$D$5)*86400,2)</f>
        <v>19.75</v>
      </c>
      <c r="F449" s="12" t="n">
        <v>686</v>
      </c>
      <c r="G449" s="11" t="n">
        <f aca="false">IF(INDEX(選手一覧!$D$5:$D$2736,$F449)="","",INDEX(選手一覧!$D$5:$D$2736,$F449))</f>
        <v>0.0107634259259259</v>
      </c>
      <c r="H449" s="12" t="n">
        <f aca="false">IF(INDEX(選手一覧!$E$5:$E$2736,$F449)="","",INDEX(選手一覧!$E$5:$E$2736,$F449))</f>
        <v>687</v>
      </c>
      <c r="I449" s="11" t="str">
        <f aca="false">IF(INDEX(選手一覧!$F$5:$F$2736,$F449)="","",INDEX(選手一覧!$F$5:$F$2736,$F449))</f>
        <v/>
      </c>
      <c r="J449" s="12" t="str">
        <f aca="false">IF(INDEX(選手一覧!$G$5:$G$2736,$F449)="","",INDEX(選手一覧!$G$5:$G$2736,$F449))</f>
        <v/>
      </c>
    </row>
    <row r="450" customFormat="false" ht="15" hidden="false" customHeight="false" outlineLevel="0" collapsed="false">
      <c r="A450" s="12" t="n">
        <v>447</v>
      </c>
      <c r="B450" s="8" t="s">
        <v>1889</v>
      </c>
      <c r="C450" s="8" t="s">
        <v>552</v>
      </c>
      <c r="D450" s="11" t="n">
        <v>0.00283356481481482</v>
      </c>
      <c r="E450" s="39" t="n">
        <f aca="false">ROUND((D450-$D$5)*86400,2)</f>
        <v>19.79</v>
      </c>
      <c r="F450" s="12" t="n">
        <v>1180</v>
      </c>
      <c r="G450" s="11" t="n">
        <f aca="false">IF(INDEX(選手一覧!$D$5:$D$2736,$F450)="","",INDEX(選手一覧!$D$5:$D$2736,$F450))</f>
        <v>0.011041087962963</v>
      </c>
      <c r="H450" s="12" t="n">
        <f aca="false">IF(INDEX(選手一覧!$E$5:$E$2736,$F450)="","",INDEX(選手一覧!$E$5:$E$2736,$F450))</f>
        <v>1181</v>
      </c>
      <c r="I450" s="11" t="n">
        <f aca="false">IF(INDEX(選手一覧!$F$5:$F$2736,$F450)="","",INDEX(選手一覧!$F$5:$F$2736,$F450))</f>
        <v>0.00696898148148148</v>
      </c>
      <c r="J450" s="12" t="n">
        <f aca="false">IF(INDEX(選手一覧!$G$5:$G$2736,$F450)="","",INDEX(選手一覧!$G$5:$G$2736,$F450))</f>
        <v>304</v>
      </c>
    </row>
    <row r="451" customFormat="false" ht="15" hidden="false" customHeight="false" outlineLevel="0" collapsed="false">
      <c r="A451" s="12" t="n">
        <v>448</v>
      </c>
      <c r="B451" s="8" t="s">
        <v>2385</v>
      </c>
      <c r="C451" s="8" t="s">
        <v>61</v>
      </c>
      <c r="D451" s="11" t="n">
        <v>0.00283368055555556</v>
      </c>
      <c r="E451" s="39" t="n">
        <f aca="false">ROUND((D451-$D$5)*86400,2)</f>
        <v>19.8</v>
      </c>
      <c r="F451" s="12" t="n">
        <v>1524</v>
      </c>
      <c r="G451" s="11" t="str">
        <f aca="false">IF(INDEX(選手一覧!$D$5:$D$2736,$F451)="","",INDEX(選手一覧!$D$5:$D$2736,$F451))</f>
        <v/>
      </c>
      <c r="H451" s="12" t="str">
        <f aca="false">IF(INDEX(選手一覧!$E$5:$E$2736,$F451)="","",INDEX(選手一覧!$E$5:$E$2736,$F451))</f>
        <v/>
      </c>
      <c r="I451" s="11" t="n">
        <f aca="false">IF(INDEX(選手一覧!$F$5:$F$2736,$F451)="","",INDEX(選手一覧!$F$5:$F$2736,$F451))</f>
        <v>0.00707777777777778</v>
      </c>
      <c r="J451" s="12" t="n">
        <f aca="false">IF(INDEX(選手一覧!$G$5:$G$2736,$F451)="","",INDEX(選手一覧!$G$5:$G$2736,$F451))</f>
        <v>425</v>
      </c>
    </row>
    <row r="452" customFormat="false" ht="15" hidden="false" customHeight="false" outlineLevel="0" collapsed="false">
      <c r="A452" s="12" t="n">
        <v>449</v>
      </c>
      <c r="B452" s="8" t="s">
        <v>2413</v>
      </c>
      <c r="C452" s="8" t="s">
        <v>982</v>
      </c>
      <c r="D452" s="11" t="n">
        <v>0.00283391203703704</v>
      </c>
      <c r="E452" s="39" t="n">
        <f aca="false">ROUND((D452-$D$5)*86400,2)</f>
        <v>19.82</v>
      </c>
      <c r="F452" s="12" t="n">
        <v>1546</v>
      </c>
      <c r="G452" s="11" t="str">
        <f aca="false">IF(INDEX(選手一覧!$D$5:$D$2736,$F452)="","",INDEX(選手一覧!$D$5:$D$2736,$F452))</f>
        <v/>
      </c>
      <c r="H452" s="12" t="str">
        <f aca="false">IF(INDEX(選手一覧!$E$5:$E$2736,$F452)="","",INDEX(選手一覧!$E$5:$E$2736,$F452))</f>
        <v/>
      </c>
      <c r="I452" s="11" t="str">
        <f aca="false">IF(INDEX(選手一覧!$F$5:$F$2736,$F452)="","",INDEX(選手一覧!$F$5:$F$2736,$F452))</f>
        <v/>
      </c>
      <c r="J452" s="12" t="str">
        <f aca="false">IF(INDEX(選手一覧!$G$5:$G$2736,$F452)="","",INDEX(選手一覧!$G$5:$G$2736,$F452))</f>
        <v/>
      </c>
    </row>
    <row r="453" customFormat="false" ht="15" hidden="false" customHeight="false" outlineLevel="0" collapsed="false">
      <c r="A453" s="12" t="n">
        <v>450</v>
      </c>
      <c r="B453" s="8" t="s">
        <v>2415</v>
      </c>
      <c r="C453" s="8" t="s">
        <v>1335</v>
      </c>
      <c r="D453" s="11" t="n">
        <v>0.00283414351851852</v>
      </c>
      <c r="E453" s="39" t="n">
        <f aca="false">ROUND((D453-$D$5)*86400,2)</f>
        <v>19.84</v>
      </c>
      <c r="F453" s="12" t="n">
        <v>1548</v>
      </c>
      <c r="G453" s="11" t="str">
        <f aca="false">IF(INDEX(選手一覧!$D$5:$D$2736,$F453)="","",INDEX(選手一覧!$D$5:$D$2736,$F453))</f>
        <v/>
      </c>
      <c r="H453" s="12" t="str">
        <f aca="false">IF(INDEX(選手一覧!$E$5:$E$2736,$F453)="","",INDEX(選手一覧!$E$5:$E$2736,$F453))</f>
        <v/>
      </c>
      <c r="I453" s="11" t="str">
        <f aca="false">IF(INDEX(選手一覧!$F$5:$F$2736,$F453)="","",INDEX(選手一覧!$F$5:$F$2736,$F453))</f>
        <v/>
      </c>
      <c r="J453" s="12" t="str">
        <f aca="false">IF(INDEX(選手一覧!$G$5:$G$2736,$F453)="","",INDEX(選手一覧!$G$5:$G$2736,$F453))</f>
        <v/>
      </c>
    </row>
    <row r="454" customFormat="false" ht="15" hidden="false" customHeight="false" outlineLevel="0" collapsed="false">
      <c r="A454" s="12" t="n">
        <v>451</v>
      </c>
      <c r="B454" s="8" t="s">
        <v>638</v>
      </c>
      <c r="C454" s="8" t="s">
        <v>238</v>
      </c>
      <c r="D454" s="11" t="n">
        <v>0.00283414351851852</v>
      </c>
      <c r="E454" s="39" t="n">
        <f aca="false">ROUND((D454-$D$5)*86400,2)</f>
        <v>19.84</v>
      </c>
      <c r="F454" s="12" t="n">
        <v>351</v>
      </c>
      <c r="G454" s="11" t="n">
        <f aca="false">IF(INDEX(選手一覧!$D$5:$D$2736,$F454)="","",INDEX(選手一覧!$D$5:$D$2736,$F454))</f>
        <v>0.0105116898148148</v>
      </c>
      <c r="H454" s="12" t="n">
        <f aca="false">IF(INDEX(選手一覧!$E$5:$E$2736,$F454)="","",INDEX(選手一覧!$E$5:$E$2736,$F454))</f>
        <v>352</v>
      </c>
      <c r="I454" s="11" t="n">
        <f aca="false">IF(INDEX(選手一覧!$F$5:$F$2736,$F454)="","",INDEX(選手一覧!$F$5:$F$2736,$F454))</f>
        <v>0.00655925925925926</v>
      </c>
      <c r="J454" s="12" t="n">
        <f aca="false">IF(INDEX(選手一覧!$G$5:$G$2736,$F454)="","",INDEX(選手一覧!$G$5:$G$2736,$F454))</f>
        <v>46</v>
      </c>
    </row>
    <row r="455" customFormat="false" ht="15" hidden="false" customHeight="false" outlineLevel="0" collapsed="false">
      <c r="A455" s="12" t="n">
        <v>452</v>
      </c>
      <c r="B455" s="8" t="s">
        <v>1416</v>
      </c>
      <c r="C455" s="8" t="s">
        <v>427</v>
      </c>
      <c r="D455" s="11" t="n">
        <v>0.002834375</v>
      </c>
      <c r="E455" s="39" t="n">
        <f aca="false">ROUND((D455-$D$5)*86400,2)</f>
        <v>19.86</v>
      </c>
      <c r="F455" s="12" t="n">
        <v>862</v>
      </c>
      <c r="G455" s="11" t="n">
        <f aca="false">IF(INDEX(選手一覧!$D$5:$D$2736,$F455)="","",INDEX(選手一覧!$D$5:$D$2736,$F455))</f>
        <v>0.0108665509259259</v>
      </c>
      <c r="H455" s="12" t="n">
        <f aca="false">IF(INDEX(選手一覧!$E$5:$E$2736,$F455)="","",INDEX(選手一覧!$E$5:$E$2736,$F455))</f>
        <v>863</v>
      </c>
      <c r="I455" s="11" t="str">
        <f aca="false">IF(INDEX(選手一覧!$F$5:$F$2736,$F455)="","",INDEX(選手一覧!$F$5:$F$2736,$F455))</f>
        <v/>
      </c>
      <c r="J455" s="12" t="str">
        <f aca="false">IF(INDEX(選手一覧!$G$5:$G$2736,$F455)="","",INDEX(選手一覧!$G$5:$G$2736,$F455))</f>
        <v/>
      </c>
    </row>
    <row r="456" customFormat="false" ht="15" hidden="false" customHeight="false" outlineLevel="0" collapsed="false">
      <c r="A456" s="12" t="n">
        <v>453</v>
      </c>
      <c r="B456" s="8" t="s">
        <v>681</v>
      </c>
      <c r="C456" s="8" t="s">
        <v>148</v>
      </c>
      <c r="D456" s="11" t="n">
        <v>0.00283449074074074</v>
      </c>
      <c r="E456" s="39" t="n">
        <f aca="false">ROUND((D456-$D$5)*86400,2)</f>
        <v>19.87</v>
      </c>
      <c r="F456" s="12" t="n">
        <v>378</v>
      </c>
      <c r="G456" s="11" t="n">
        <f aca="false">IF(INDEX(選手一覧!$D$5:$D$2736,$F456)="","",INDEX(選手一覧!$D$5:$D$2736,$F456))</f>
        <v>0.0105353009259259</v>
      </c>
      <c r="H456" s="12" t="n">
        <f aca="false">IF(INDEX(選手一覧!$E$5:$E$2736,$F456)="","",INDEX(選手一覧!$E$5:$E$2736,$F456))</f>
        <v>379</v>
      </c>
      <c r="I456" s="11" t="str">
        <f aca="false">IF(INDEX(選手一覧!$F$5:$F$2736,$F456)="","",INDEX(選手一覧!$F$5:$F$2736,$F456))</f>
        <v/>
      </c>
      <c r="J456" s="12" t="str">
        <f aca="false">IF(INDEX(選手一覧!$G$5:$G$2736,$F456)="","",INDEX(選手一覧!$G$5:$G$2736,$F456))</f>
        <v/>
      </c>
    </row>
    <row r="457" customFormat="false" ht="15" hidden="false" customHeight="false" outlineLevel="0" collapsed="false">
      <c r="A457" s="12" t="n">
        <v>454</v>
      </c>
      <c r="B457" s="8" t="s">
        <v>2241</v>
      </c>
      <c r="C457" s="8" t="s">
        <v>152</v>
      </c>
      <c r="D457" s="11" t="n">
        <v>0.00283460648148148</v>
      </c>
      <c r="E457" s="39" t="n">
        <f aca="false">ROUND((D457-$D$5)*86400,2)</f>
        <v>19.88</v>
      </c>
      <c r="F457" s="12" t="n">
        <v>1432</v>
      </c>
      <c r="G457" s="11" t="str">
        <f aca="false">IF(INDEX(選手一覧!$D$5:$D$2736,$F457)="","",INDEX(選手一覧!$D$5:$D$2736,$F457))</f>
        <v/>
      </c>
      <c r="H457" s="12" t="str">
        <f aca="false">IF(INDEX(選手一覧!$E$5:$E$2736,$F457)="","",INDEX(選手一覧!$E$5:$E$2736,$F457))</f>
        <v/>
      </c>
      <c r="I457" s="11" t="n">
        <f aca="false">IF(INDEX(選手一覧!$F$5:$F$2736,$F457)="","",INDEX(選手一覧!$F$5:$F$2736,$F457))</f>
        <v>0.00698356481481482</v>
      </c>
      <c r="J457" s="12" t="n">
        <f aca="false">IF(INDEX(選手一覧!$G$5:$G$2736,$F457)="","",INDEX(選手一覧!$G$5:$G$2736,$F457))</f>
        <v>319</v>
      </c>
    </row>
    <row r="458" customFormat="false" ht="15" hidden="false" customHeight="false" outlineLevel="0" collapsed="false">
      <c r="A458" s="12" t="n">
        <v>455</v>
      </c>
      <c r="B458" s="8" t="s">
        <v>898</v>
      </c>
      <c r="C458" s="8" t="s">
        <v>896</v>
      </c>
      <c r="D458" s="11" t="n">
        <v>0.00283460648148148</v>
      </c>
      <c r="E458" s="39" t="n">
        <f aca="false">ROUND((D458-$D$5)*86400,2)</f>
        <v>19.88</v>
      </c>
      <c r="F458" s="12" t="n">
        <v>515</v>
      </c>
      <c r="G458" s="11" t="n">
        <f aca="false">IF(INDEX(選手一覧!$D$5:$D$2736,$F458)="","",INDEX(選手一覧!$D$5:$D$2736,$F458))</f>
        <v>0.0106438657407407</v>
      </c>
      <c r="H458" s="12" t="n">
        <f aca="false">IF(INDEX(選手一覧!$E$5:$E$2736,$F458)="","",INDEX(選手一覧!$E$5:$E$2736,$F458))</f>
        <v>516</v>
      </c>
      <c r="I458" s="11" t="str">
        <f aca="false">IF(INDEX(選手一覧!$F$5:$F$2736,$F458)="","",INDEX(選手一覧!$F$5:$F$2736,$F458))</f>
        <v/>
      </c>
      <c r="J458" s="12" t="str">
        <f aca="false">IF(INDEX(選手一覧!$G$5:$G$2736,$F458)="","",INDEX(選手一覧!$G$5:$G$2736,$F458))</f>
        <v/>
      </c>
    </row>
    <row r="459" customFormat="false" ht="15" hidden="false" customHeight="false" outlineLevel="0" collapsed="false">
      <c r="A459" s="12" t="n">
        <v>456</v>
      </c>
      <c r="B459" s="8" t="s">
        <v>501</v>
      </c>
      <c r="C459" s="8" t="s">
        <v>238</v>
      </c>
      <c r="D459" s="11" t="n">
        <v>0.00283460648148148</v>
      </c>
      <c r="E459" s="39" t="n">
        <f aca="false">ROUND((D459-$D$5)*86400,2)</f>
        <v>19.88</v>
      </c>
      <c r="F459" s="12" t="n">
        <v>266</v>
      </c>
      <c r="G459" s="11" t="n">
        <f aca="false">IF(INDEX(選手一覧!$D$5:$D$2736,$F459)="","",INDEX(選手一覧!$D$5:$D$2736,$F459))</f>
        <v>0.0104005787037037</v>
      </c>
      <c r="H459" s="12" t="n">
        <f aca="false">IF(INDEX(選手一覧!$E$5:$E$2736,$F459)="","",INDEX(選手一覧!$E$5:$E$2736,$F459))</f>
        <v>267</v>
      </c>
      <c r="I459" s="11" t="n">
        <f aca="false">IF(INDEX(選手一覧!$F$5:$F$2736,$F459)="","",INDEX(選手一覧!$F$5:$F$2736,$F459))</f>
        <v>0.00673564814814815</v>
      </c>
      <c r="J459" s="12" t="n">
        <f aca="false">IF(INDEX(選手一覧!$G$5:$G$2736,$F459)="","",INDEX(選手一覧!$G$5:$G$2736,$F459))</f>
        <v>122</v>
      </c>
    </row>
    <row r="460" customFormat="false" ht="15" hidden="false" customHeight="false" outlineLevel="0" collapsed="false">
      <c r="A460" s="12" t="n">
        <v>457</v>
      </c>
      <c r="B460" s="8" t="s">
        <v>1461</v>
      </c>
      <c r="C460" s="8" t="s">
        <v>1462</v>
      </c>
      <c r="D460" s="11" t="n">
        <v>0.00283472222222222</v>
      </c>
      <c r="E460" s="39" t="n">
        <f aca="false">ROUND((D460-$D$5)*86400,2)</f>
        <v>19.89</v>
      </c>
      <c r="F460" s="12" t="n">
        <v>890</v>
      </c>
      <c r="G460" s="11" t="n">
        <f aca="false">IF(INDEX(選手一覧!$D$5:$D$2736,$F460)="","",INDEX(選手一覧!$D$5:$D$2736,$F460))</f>
        <v>0.0108811342592593</v>
      </c>
      <c r="H460" s="12" t="n">
        <f aca="false">IF(INDEX(選手一覧!$E$5:$E$2736,$F460)="","",INDEX(選手一覧!$E$5:$E$2736,$F460))</f>
        <v>891</v>
      </c>
      <c r="I460" s="11" t="str">
        <f aca="false">IF(INDEX(選手一覧!$F$5:$F$2736,$F460)="","",INDEX(選手一覧!$F$5:$F$2736,$F460))</f>
        <v/>
      </c>
      <c r="J460" s="12" t="str">
        <f aca="false">IF(INDEX(選手一覧!$G$5:$G$2736,$F460)="","",INDEX(選手一覧!$G$5:$G$2736,$F460))</f>
        <v/>
      </c>
    </row>
    <row r="461" customFormat="false" ht="15" hidden="false" customHeight="false" outlineLevel="0" collapsed="false">
      <c r="A461" s="12" t="n">
        <v>458</v>
      </c>
      <c r="B461" s="8" t="s">
        <v>1063</v>
      </c>
      <c r="C461" s="8" t="s">
        <v>1064</v>
      </c>
      <c r="D461" s="11" t="n">
        <v>0.00283472222222222</v>
      </c>
      <c r="E461" s="39" t="n">
        <f aca="false">ROUND((D461-$D$5)*86400,2)</f>
        <v>19.89</v>
      </c>
      <c r="F461" s="12" t="n">
        <v>627</v>
      </c>
      <c r="G461" s="11" t="n">
        <f aca="false">IF(INDEX(選手一覧!$D$5:$D$2736,$F461)="","",INDEX(選手一覧!$D$5:$D$2736,$F461))</f>
        <v>0.0107280092592593</v>
      </c>
      <c r="H461" s="12" t="n">
        <f aca="false">IF(INDEX(選手一覧!$E$5:$E$2736,$F461)="","",INDEX(選手一覧!$E$5:$E$2736,$F461))</f>
        <v>628</v>
      </c>
      <c r="I461" s="11" t="str">
        <f aca="false">IF(INDEX(選手一覧!$F$5:$F$2736,$F461)="","",INDEX(選手一覧!$F$5:$F$2736,$F461))</f>
        <v/>
      </c>
      <c r="J461" s="12" t="str">
        <f aca="false">IF(INDEX(選手一覧!$G$5:$G$2736,$F461)="","",INDEX(選手一覧!$G$5:$G$2736,$F461))</f>
        <v/>
      </c>
    </row>
    <row r="462" customFormat="false" ht="15" hidden="false" customHeight="false" outlineLevel="0" collapsed="false">
      <c r="A462" s="12" t="n">
        <v>459</v>
      </c>
      <c r="B462" s="8" t="s">
        <v>966</v>
      </c>
      <c r="C462" s="8" t="s">
        <v>440</v>
      </c>
      <c r="D462" s="11" t="n">
        <v>0.00283483796296296</v>
      </c>
      <c r="E462" s="39" t="n">
        <f aca="false">ROUND((D462-$D$5)*86400,2)</f>
        <v>19.9</v>
      </c>
      <c r="F462" s="12" t="n">
        <v>558</v>
      </c>
      <c r="G462" s="11" t="n">
        <f aca="false">IF(INDEX(選手一覧!$D$5:$D$2736,$F462)="","",INDEX(選手一覧!$D$5:$D$2736,$F462))</f>
        <v>0.0106834490740741</v>
      </c>
      <c r="H462" s="12" t="n">
        <f aca="false">IF(INDEX(選手一覧!$E$5:$E$2736,$F462)="","",INDEX(選手一覧!$E$5:$E$2736,$F462))</f>
        <v>559</v>
      </c>
      <c r="I462" s="11" t="str">
        <f aca="false">IF(INDEX(選手一覧!$F$5:$F$2736,$F462)="","",INDEX(選手一覧!$F$5:$F$2736,$F462))</f>
        <v/>
      </c>
      <c r="J462" s="12" t="str">
        <f aca="false">IF(INDEX(選手一覧!$G$5:$G$2736,$F462)="","",INDEX(選手一覧!$G$5:$G$2736,$F462))</f>
        <v/>
      </c>
    </row>
    <row r="463" customFormat="false" ht="15" hidden="false" customHeight="false" outlineLevel="0" collapsed="false">
      <c r="A463" s="12" t="n">
        <v>460</v>
      </c>
      <c r="B463" s="8" t="s">
        <v>1481</v>
      </c>
      <c r="C463" s="8" t="s">
        <v>812</v>
      </c>
      <c r="D463" s="11" t="n">
        <v>0.0028349537037037</v>
      </c>
      <c r="E463" s="39" t="n">
        <f aca="false">ROUND((D463-$D$5)*86400,2)</f>
        <v>19.91</v>
      </c>
      <c r="F463" s="12" t="n">
        <v>905</v>
      </c>
      <c r="G463" s="11" t="n">
        <f aca="false">IF(INDEX(選手一覧!$D$5:$D$2736,$F463)="","",INDEX(選手一覧!$D$5:$D$2736,$F463))</f>
        <v>0.0108916666666667</v>
      </c>
      <c r="H463" s="12" t="n">
        <f aca="false">IF(INDEX(選手一覧!$E$5:$E$2736,$F463)="","",INDEX(選手一覧!$E$5:$E$2736,$F463))</f>
        <v>906</v>
      </c>
      <c r="I463" s="11" t="str">
        <f aca="false">IF(INDEX(選手一覧!$F$5:$F$2736,$F463)="","",INDEX(選手一覧!$F$5:$F$2736,$F463))</f>
        <v/>
      </c>
      <c r="J463" s="12" t="str">
        <f aca="false">IF(INDEX(選手一覧!$G$5:$G$2736,$F463)="","",INDEX(選手一覧!$G$5:$G$2736,$F463))</f>
        <v/>
      </c>
    </row>
    <row r="464" customFormat="false" ht="15" hidden="false" customHeight="false" outlineLevel="0" collapsed="false">
      <c r="A464" s="12" t="n">
        <v>461</v>
      </c>
      <c r="B464" s="8" t="s">
        <v>398</v>
      </c>
      <c r="C464" s="8" t="s">
        <v>399</v>
      </c>
      <c r="D464" s="11" t="n">
        <v>0.0028349537037037</v>
      </c>
      <c r="E464" s="39" t="n">
        <f aca="false">ROUND((D464-$D$5)*86400,2)</f>
        <v>19.91</v>
      </c>
      <c r="F464" s="12" t="n">
        <v>203</v>
      </c>
      <c r="G464" s="11" t="n">
        <f aca="false">IF(INDEX(選手一覧!$D$5:$D$2736,$F464)="","",INDEX(選手一覧!$D$5:$D$2736,$F464))</f>
        <v>0.0103506944444444</v>
      </c>
      <c r="H464" s="12" t="n">
        <f aca="false">IF(INDEX(選手一覧!$E$5:$E$2736,$F464)="","",INDEX(選手一覧!$E$5:$E$2736,$F464))</f>
        <v>204</v>
      </c>
      <c r="I464" s="11" t="str">
        <f aca="false">IF(INDEX(選手一覧!$F$5:$F$2736,$F464)="","",INDEX(選手一覧!$F$5:$F$2736,$F464))</f>
        <v/>
      </c>
      <c r="J464" s="12" t="str">
        <f aca="false">IF(INDEX(選手一覧!$G$5:$G$2736,$F464)="","",INDEX(選手一覧!$G$5:$G$2736,$F464))</f>
        <v/>
      </c>
    </row>
    <row r="465" customFormat="false" ht="15" hidden="false" customHeight="false" outlineLevel="0" collapsed="false">
      <c r="A465" s="12" t="n">
        <v>462</v>
      </c>
      <c r="B465" s="8" t="s">
        <v>553</v>
      </c>
      <c r="C465" s="8" t="s">
        <v>554</v>
      </c>
      <c r="D465" s="11" t="n">
        <v>0.00283518518518519</v>
      </c>
      <c r="E465" s="39" t="n">
        <f aca="false">ROUND((D465-$D$5)*86400,2)</f>
        <v>19.93</v>
      </c>
      <c r="F465" s="12" t="n">
        <v>299</v>
      </c>
      <c r="G465" s="11" t="n">
        <f aca="false">IF(INDEX(選手一覧!$D$5:$D$2736,$F465)="","",INDEX(選手一覧!$D$5:$D$2736,$F465))</f>
        <v>0.0104451388888889</v>
      </c>
      <c r="H465" s="12" t="n">
        <f aca="false">IF(INDEX(選手一覧!$E$5:$E$2736,$F465)="","",INDEX(選手一覧!$E$5:$E$2736,$F465))</f>
        <v>300</v>
      </c>
      <c r="I465" s="11" t="str">
        <f aca="false">IF(INDEX(選手一覧!$F$5:$F$2736,$F465)="","",INDEX(選手一覧!$F$5:$F$2736,$F465))</f>
        <v/>
      </c>
      <c r="J465" s="12" t="str">
        <f aca="false">IF(INDEX(選手一覧!$G$5:$G$2736,$F465)="","",INDEX(選手一覧!$G$5:$G$2736,$F465))</f>
        <v/>
      </c>
    </row>
    <row r="466" customFormat="false" ht="15" hidden="false" customHeight="false" outlineLevel="0" collapsed="false">
      <c r="A466" s="12" t="n">
        <v>463</v>
      </c>
      <c r="B466" s="8" t="s">
        <v>2023</v>
      </c>
      <c r="C466" s="8" t="s">
        <v>52</v>
      </c>
      <c r="D466" s="11" t="n">
        <v>0.00283518518518519</v>
      </c>
      <c r="E466" s="39" t="n">
        <f aca="false">ROUND((D466-$D$5)*86400,2)</f>
        <v>19.93</v>
      </c>
      <c r="F466" s="12" t="n">
        <v>1283</v>
      </c>
      <c r="G466" s="11" t="n">
        <f aca="false">IF(INDEX(選手一覧!$D$5:$D$2736,$F466)="","",INDEX(選手一覧!$D$5:$D$2736,$F466))</f>
        <v>0.0111173611111111</v>
      </c>
      <c r="H466" s="12" t="n">
        <f aca="false">IF(INDEX(選手一覧!$E$5:$E$2736,$F466)="","",INDEX(選手一覧!$E$5:$E$2736,$F466))</f>
        <v>1284</v>
      </c>
      <c r="I466" s="11" t="str">
        <f aca="false">IF(INDEX(選手一覧!$F$5:$F$2736,$F466)="","",INDEX(選手一覧!$F$5:$F$2736,$F466))</f>
        <v/>
      </c>
      <c r="J466" s="12" t="str">
        <f aca="false">IF(INDEX(選手一覧!$G$5:$G$2736,$F466)="","",INDEX(選手一覧!$G$5:$G$2736,$F466))</f>
        <v/>
      </c>
    </row>
    <row r="467" customFormat="false" ht="15" hidden="false" customHeight="false" outlineLevel="0" collapsed="false">
      <c r="A467" s="12" t="n">
        <v>464</v>
      </c>
      <c r="B467" s="8" t="s">
        <v>1074</v>
      </c>
      <c r="C467" s="8" t="s">
        <v>52</v>
      </c>
      <c r="D467" s="11" t="n">
        <v>0.00283530092592593</v>
      </c>
      <c r="E467" s="39" t="n">
        <f aca="false">ROUND((D467-$D$5)*86400,2)</f>
        <v>19.94</v>
      </c>
      <c r="F467" s="12" t="n">
        <v>636</v>
      </c>
      <c r="G467" s="11" t="n">
        <f aca="false">IF(INDEX(選手一覧!$D$5:$D$2736,$F467)="","",INDEX(選手一覧!$D$5:$D$2736,$F467))</f>
        <v>0.0107318287037037</v>
      </c>
      <c r="H467" s="12" t="n">
        <f aca="false">IF(INDEX(選手一覧!$E$5:$E$2736,$F467)="","",INDEX(選手一覧!$E$5:$E$2736,$F467))</f>
        <v>637</v>
      </c>
      <c r="I467" s="11" t="n">
        <f aca="false">IF(INDEX(選手一覧!$F$5:$F$2736,$F467)="","",INDEX(選手一覧!$F$5:$F$2736,$F467))</f>
        <v>0.00700451388888889</v>
      </c>
      <c r="J467" s="12" t="n">
        <f aca="false">IF(INDEX(選手一覧!$G$5:$G$2736,$F467)="","",INDEX(選手一覧!$G$5:$G$2736,$F467))</f>
        <v>341</v>
      </c>
    </row>
    <row r="468" customFormat="false" ht="15" hidden="false" customHeight="false" outlineLevel="0" collapsed="false">
      <c r="A468" s="12" t="n">
        <v>465</v>
      </c>
      <c r="B468" s="8" t="s">
        <v>2427</v>
      </c>
      <c r="C468" s="8" t="s">
        <v>2428</v>
      </c>
      <c r="D468" s="11" t="n">
        <v>0.00283541666666667</v>
      </c>
      <c r="E468" s="39" t="n">
        <f aca="false">ROUND((D468-$D$5)*86400,2)</f>
        <v>19.95</v>
      </c>
      <c r="F468" s="12" t="n">
        <v>1555</v>
      </c>
      <c r="G468" s="11" t="str">
        <f aca="false">IF(INDEX(選手一覧!$D$5:$D$2736,$F468)="","",INDEX(選手一覧!$D$5:$D$2736,$F468))</f>
        <v/>
      </c>
      <c r="H468" s="12" t="str">
        <f aca="false">IF(INDEX(選手一覧!$E$5:$E$2736,$F468)="","",INDEX(選手一覧!$E$5:$E$2736,$F468))</f>
        <v/>
      </c>
      <c r="I468" s="11" t="str">
        <f aca="false">IF(INDEX(選手一覧!$F$5:$F$2736,$F468)="","",INDEX(選手一覧!$F$5:$F$2736,$F468))</f>
        <v/>
      </c>
      <c r="J468" s="12" t="str">
        <f aca="false">IF(INDEX(選手一覧!$G$5:$G$2736,$F468)="","",INDEX(選手一覧!$G$5:$G$2736,$F468))</f>
        <v/>
      </c>
    </row>
    <row r="469" customFormat="false" ht="15" hidden="false" customHeight="false" outlineLevel="0" collapsed="false">
      <c r="A469" s="12" t="n">
        <v>466</v>
      </c>
      <c r="B469" s="8" t="s">
        <v>1377</v>
      </c>
      <c r="C469" s="8" t="s">
        <v>1378</v>
      </c>
      <c r="D469" s="11" t="n">
        <v>0.00283553240740741</v>
      </c>
      <c r="E469" s="39" t="n">
        <f aca="false">ROUND((D469-$D$5)*86400,2)</f>
        <v>19.96</v>
      </c>
      <c r="F469" s="12" t="n">
        <v>837</v>
      </c>
      <c r="G469" s="11" t="n">
        <f aca="false">IF(INDEX(選手一覧!$D$5:$D$2736,$F469)="","",INDEX(選手一覧!$D$5:$D$2736,$F469))</f>
        <v>0.010850462962963</v>
      </c>
      <c r="H469" s="12" t="n">
        <f aca="false">IF(INDEX(選手一覧!$E$5:$E$2736,$F469)="","",INDEX(選手一覧!$E$5:$E$2736,$F469))</f>
        <v>838</v>
      </c>
      <c r="I469" s="11" t="str">
        <f aca="false">IF(INDEX(選手一覧!$F$5:$F$2736,$F469)="","",INDEX(選手一覧!$F$5:$F$2736,$F469))</f>
        <v/>
      </c>
      <c r="J469" s="12" t="str">
        <f aca="false">IF(INDEX(選手一覧!$G$5:$G$2736,$F469)="","",INDEX(選手一覧!$G$5:$G$2736,$F469))</f>
        <v/>
      </c>
    </row>
    <row r="470" customFormat="false" ht="15" hidden="false" customHeight="false" outlineLevel="0" collapsed="false">
      <c r="A470" s="12" t="n">
        <v>467</v>
      </c>
      <c r="B470" s="8" t="s">
        <v>2433</v>
      </c>
      <c r="C470" s="8" t="s">
        <v>2434</v>
      </c>
      <c r="D470" s="11" t="n">
        <v>0.00283564814814815</v>
      </c>
      <c r="E470" s="39" t="n">
        <f aca="false">ROUND((D470-$D$5)*86400,2)</f>
        <v>19.97</v>
      </c>
      <c r="F470" s="12" t="n">
        <v>1558</v>
      </c>
      <c r="G470" s="11" t="str">
        <f aca="false">IF(INDEX(選手一覧!$D$5:$D$2736,$F470)="","",INDEX(選手一覧!$D$5:$D$2736,$F470))</f>
        <v/>
      </c>
      <c r="H470" s="12" t="str">
        <f aca="false">IF(INDEX(選手一覧!$E$5:$E$2736,$F470)="","",INDEX(選手一覧!$E$5:$E$2736,$F470))</f>
        <v/>
      </c>
      <c r="I470" s="11" t="str">
        <f aca="false">IF(INDEX(選手一覧!$F$5:$F$2736,$F470)="","",INDEX(選手一覧!$F$5:$F$2736,$F470))</f>
        <v/>
      </c>
      <c r="J470" s="12" t="str">
        <f aca="false">IF(INDEX(選手一覧!$G$5:$G$2736,$F470)="","",INDEX(選手一覧!$G$5:$G$2736,$F470))</f>
        <v/>
      </c>
    </row>
    <row r="471" customFormat="false" ht="15" hidden="false" customHeight="false" outlineLevel="0" collapsed="false">
      <c r="A471" s="12" t="n">
        <v>468</v>
      </c>
      <c r="B471" s="8" t="s">
        <v>340</v>
      </c>
      <c r="C471" s="8" t="s">
        <v>341</v>
      </c>
      <c r="D471" s="11" t="n">
        <v>0.00283576388888889</v>
      </c>
      <c r="E471" s="39" t="n">
        <f aca="false">ROUND((D471-$D$5)*86400,2)</f>
        <v>19.98</v>
      </c>
      <c r="F471" s="12" t="n">
        <v>168</v>
      </c>
      <c r="G471" s="11" t="n">
        <f aca="false">IF(INDEX(選手一覧!$D$5:$D$2736,$F471)="","",INDEX(選手一覧!$D$5:$D$2736,$F471))</f>
        <v>0.0103164351851852</v>
      </c>
      <c r="H471" s="12" t="n">
        <f aca="false">IF(INDEX(選手一覧!$E$5:$E$2736,$F471)="","",INDEX(選手一覧!$E$5:$E$2736,$F471))</f>
        <v>169</v>
      </c>
      <c r="I471" s="11" t="str">
        <f aca="false">IF(INDEX(選手一覧!$F$5:$F$2736,$F471)="","",INDEX(選手一覧!$F$5:$F$2736,$F471))</f>
        <v/>
      </c>
      <c r="J471" s="12" t="str">
        <f aca="false">IF(INDEX(選手一覧!$G$5:$G$2736,$F471)="","",INDEX(選手一覧!$G$5:$G$2736,$F471))</f>
        <v/>
      </c>
    </row>
    <row r="472" customFormat="false" ht="15" hidden="false" customHeight="false" outlineLevel="0" collapsed="false">
      <c r="A472" s="12" t="n">
        <v>469</v>
      </c>
      <c r="B472" s="8" t="s">
        <v>1026</v>
      </c>
      <c r="C472" s="8" t="s">
        <v>192</v>
      </c>
      <c r="D472" s="11" t="n">
        <v>0.00283576388888889</v>
      </c>
      <c r="E472" s="39" t="n">
        <f aca="false">ROUND((D472-$D$5)*86400,2)</f>
        <v>19.98</v>
      </c>
      <c r="F472" s="12" t="n">
        <v>599</v>
      </c>
      <c r="G472" s="11" t="n">
        <f aca="false">IF(INDEX(選手一覧!$D$5:$D$2736,$F472)="","",INDEX(選手一覧!$D$5:$D$2736,$F472))</f>
        <v>0.0107121527777778</v>
      </c>
      <c r="H472" s="12" t="n">
        <f aca="false">IF(INDEX(選手一覧!$E$5:$E$2736,$F472)="","",INDEX(選手一覧!$E$5:$E$2736,$F472))</f>
        <v>600</v>
      </c>
      <c r="I472" s="11" t="str">
        <f aca="false">IF(INDEX(選手一覧!$F$5:$F$2736,$F472)="","",INDEX(選手一覧!$F$5:$F$2736,$F472))</f>
        <v/>
      </c>
      <c r="J472" s="12" t="str">
        <f aca="false">IF(INDEX(選手一覧!$G$5:$G$2736,$F472)="","",INDEX(選手一覧!$G$5:$G$2736,$F472))</f>
        <v/>
      </c>
    </row>
    <row r="473" customFormat="false" ht="15" hidden="false" customHeight="false" outlineLevel="0" collapsed="false">
      <c r="A473" s="12" t="n">
        <v>470</v>
      </c>
      <c r="B473" s="8" t="s">
        <v>1201</v>
      </c>
      <c r="C473" s="8" t="s">
        <v>1202</v>
      </c>
      <c r="D473" s="11" t="n">
        <v>0.00283587962962963</v>
      </c>
      <c r="E473" s="39" t="n">
        <f aca="false">ROUND((D473-$D$5)*86400,2)</f>
        <v>19.99</v>
      </c>
      <c r="F473" s="12" t="n">
        <v>719</v>
      </c>
      <c r="G473" s="11" t="n">
        <f aca="false">IF(INDEX(選手一覧!$D$5:$D$2736,$F473)="","",INDEX(選手一覧!$D$5:$D$2736,$F473))</f>
        <v>0.0107890046296296</v>
      </c>
      <c r="H473" s="12" t="n">
        <f aca="false">IF(INDEX(選手一覧!$E$5:$E$2736,$F473)="","",INDEX(選手一覧!$E$5:$E$2736,$F473))</f>
        <v>720</v>
      </c>
      <c r="I473" s="11" t="str">
        <f aca="false">IF(INDEX(選手一覧!$F$5:$F$2736,$F473)="","",INDEX(選手一覧!$F$5:$F$2736,$F473))</f>
        <v/>
      </c>
      <c r="J473" s="12" t="str">
        <f aca="false">IF(INDEX(選手一覧!$G$5:$G$2736,$F473)="","",INDEX(選手一覧!$G$5:$G$2736,$F473))</f>
        <v/>
      </c>
    </row>
    <row r="474" customFormat="false" ht="15" hidden="false" customHeight="false" outlineLevel="0" collapsed="false">
      <c r="A474" s="12" t="n">
        <v>471</v>
      </c>
      <c r="B474" s="8" t="s">
        <v>1005</v>
      </c>
      <c r="C474" s="8" t="s">
        <v>326</v>
      </c>
      <c r="D474" s="11" t="n">
        <v>0.00283611111111111</v>
      </c>
      <c r="E474" s="39" t="n">
        <f aca="false">ROUND((D474-$D$5)*86400,2)</f>
        <v>20.01</v>
      </c>
      <c r="F474" s="12" t="n">
        <v>584</v>
      </c>
      <c r="G474" s="11" t="n">
        <f aca="false">IF(INDEX(選手一覧!$D$5:$D$2736,$F474)="","",INDEX(選手一覧!$D$5:$D$2736,$F474))</f>
        <v>0.0107009259259259</v>
      </c>
      <c r="H474" s="12" t="n">
        <f aca="false">IF(INDEX(選手一覧!$E$5:$E$2736,$F474)="","",INDEX(選手一覧!$E$5:$E$2736,$F474))</f>
        <v>585</v>
      </c>
      <c r="I474" s="11" t="str">
        <f aca="false">IF(INDEX(選手一覧!$F$5:$F$2736,$F474)="","",INDEX(選手一覧!$F$5:$F$2736,$F474))</f>
        <v/>
      </c>
      <c r="J474" s="12" t="str">
        <f aca="false">IF(INDEX(選手一覧!$G$5:$G$2736,$F474)="","",INDEX(選手一覧!$G$5:$G$2736,$F474))</f>
        <v/>
      </c>
    </row>
    <row r="475" customFormat="false" ht="15" hidden="false" customHeight="false" outlineLevel="0" collapsed="false">
      <c r="A475" s="12" t="n">
        <v>472</v>
      </c>
      <c r="B475" s="8" t="s">
        <v>1834</v>
      </c>
      <c r="C475" s="8" t="s">
        <v>1835</v>
      </c>
      <c r="D475" s="11" t="n">
        <v>0.00283611111111111</v>
      </c>
      <c r="E475" s="39" t="n">
        <f aca="false">ROUND((D475-$D$5)*86400,2)</f>
        <v>20.01</v>
      </c>
      <c r="F475" s="12" t="n">
        <v>1144</v>
      </c>
      <c r="G475" s="11" t="n">
        <f aca="false">IF(INDEX(選手一覧!$D$5:$D$2736,$F475)="","",INDEX(選手一覧!$D$5:$D$2736,$F475))</f>
        <v>0.0110271990740741</v>
      </c>
      <c r="H475" s="12" t="n">
        <f aca="false">IF(INDEX(選手一覧!$E$5:$E$2736,$F475)="","",INDEX(選手一覧!$E$5:$E$2736,$F475))</f>
        <v>1145</v>
      </c>
      <c r="I475" s="11" t="str">
        <f aca="false">IF(INDEX(選手一覧!$F$5:$F$2736,$F475)="","",INDEX(選手一覧!$F$5:$F$2736,$F475))</f>
        <v/>
      </c>
      <c r="J475" s="12" t="str">
        <f aca="false">IF(INDEX(選手一覧!$G$5:$G$2736,$F475)="","",INDEX(選手一覧!$G$5:$G$2736,$F475))</f>
        <v/>
      </c>
    </row>
    <row r="476" customFormat="false" ht="15" hidden="false" customHeight="false" outlineLevel="0" collapsed="false">
      <c r="A476" s="12" t="n">
        <v>473</v>
      </c>
      <c r="B476" s="8" t="s">
        <v>2443</v>
      </c>
      <c r="C476" s="8" t="s">
        <v>274</v>
      </c>
      <c r="D476" s="11" t="n">
        <v>0.00283634259259259</v>
      </c>
      <c r="E476" s="39" t="n">
        <f aca="false">ROUND((D476-$D$5)*86400,2)</f>
        <v>20.03</v>
      </c>
      <c r="F476" s="12" t="n">
        <v>1564</v>
      </c>
      <c r="G476" s="11" t="str">
        <f aca="false">IF(INDEX(選手一覧!$D$5:$D$2736,$F476)="","",INDEX(選手一覧!$D$5:$D$2736,$F476))</f>
        <v/>
      </c>
      <c r="H476" s="12" t="str">
        <f aca="false">IF(INDEX(選手一覧!$E$5:$E$2736,$F476)="","",INDEX(選手一覧!$E$5:$E$2736,$F476))</f>
        <v/>
      </c>
      <c r="I476" s="11" t="str">
        <f aca="false">IF(INDEX(選手一覧!$F$5:$F$2736,$F476)="","",INDEX(選手一覧!$F$5:$F$2736,$F476))</f>
        <v/>
      </c>
      <c r="J476" s="12" t="str">
        <f aca="false">IF(INDEX(選手一覧!$G$5:$G$2736,$F476)="","",INDEX(選手一覧!$G$5:$G$2736,$F476))</f>
        <v/>
      </c>
    </row>
    <row r="477" customFormat="false" ht="15" hidden="false" customHeight="false" outlineLevel="0" collapsed="false">
      <c r="A477" s="12" t="n">
        <v>474</v>
      </c>
      <c r="B477" s="8" t="s">
        <v>1864</v>
      </c>
      <c r="C477" s="8" t="s">
        <v>471</v>
      </c>
      <c r="D477" s="11" t="n">
        <v>0.00283645833333333</v>
      </c>
      <c r="E477" s="39" t="n">
        <f aca="false">ROUND((D477-$D$5)*86400,2)</f>
        <v>20.04</v>
      </c>
      <c r="F477" s="12" t="n">
        <v>1163</v>
      </c>
      <c r="G477" s="11" t="n">
        <f aca="false">IF(INDEX(選手一覧!$D$5:$D$2736,$F477)="","",INDEX(選手一覧!$D$5:$D$2736,$F477))</f>
        <v>0.0110353009259259</v>
      </c>
      <c r="H477" s="12" t="n">
        <f aca="false">IF(INDEX(選手一覧!$E$5:$E$2736,$F477)="","",INDEX(選手一覧!$E$5:$E$2736,$F477))</f>
        <v>1164</v>
      </c>
      <c r="I477" s="11" t="str">
        <f aca="false">IF(INDEX(選手一覧!$F$5:$F$2736,$F477)="","",INDEX(選手一覧!$F$5:$F$2736,$F477))</f>
        <v/>
      </c>
      <c r="J477" s="12" t="str">
        <f aca="false">IF(INDEX(選手一覧!$G$5:$G$2736,$F477)="","",INDEX(選手一覧!$G$5:$G$2736,$F477))</f>
        <v/>
      </c>
    </row>
    <row r="478" customFormat="false" ht="15" hidden="false" customHeight="false" outlineLevel="0" collapsed="false">
      <c r="A478" s="12" t="n">
        <v>475</v>
      </c>
      <c r="B478" s="8" t="s">
        <v>2079</v>
      </c>
      <c r="C478" s="8" t="s">
        <v>612</v>
      </c>
      <c r="D478" s="11" t="n">
        <v>0.00283680555555556</v>
      </c>
      <c r="E478" s="39" t="n">
        <f aca="false">ROUND((D478-$D$5)*86400,2)</f>
        <v>20.07</v>
      </c>
      <c r="F478" s="12" t="n">
        <v>1324</v>
      </c>
      <c r="G478" s="11" t="str">
        <f aca="false">IF(INDEX(選手一覧!$D$5:$D$2736,$F478)="","",INDEX(選手一覧!$D$5:$D$2736,$F478))</f>
        <v/>
      </c>
      <c r="H478" s="12" t="str">
        <f aca="false">IF(INDEX(選手一覧!$E$5:$E$2736,$F478)="","",INDEX(選手一覧!$E$5:$E$2736,$F478))</f>
        <v/>
      </c>
      <c r="I478" s="11" t="n">
        <f aca="false">IF(INDEX(選手一覧!$F$5:$F$2736,$F478)="","",INDEX(選手一覧!$F$5:$F$2736,$F478))</f>
        <v>0.00678472222222222</v>
      </c>
      <c r="J478" s="12" t="n">
        <f aca="false">IF(INDEX(選手一覧!$G$5:$G$2736,$F478)="","",INDEX(選手一覧!$G$5:$G$2736,$F478))</f>
        <v>161</v>
      </c>
    </row>
    <row r="479" customFormat="false" ht="15" hidden="false" customHeight="false" outlineLevel="0" collapsed="false">
      <c r="A479" s="12" t="n">
        <v>476</v>
      </c>
      <c r="B479" s="8" t="s">
        <v>1677</v>
      </c>
      <c r="C479" s="8" t="s">
        <v>886</v>
      </c>
      <c r="D479" s="11" t="n">
        <v>0.00283680555555556</v>
      </c>
      <c r="E479" s="39" t="n">
        <f aca="false">ROUND((D479-$D$5)*86400,2)</f>
        <v>20.07</v>
      </c>
      <c r="F479" s="12" t="n">
        <v>1039</v>
      </c>
      <c r="G479" s="11" t="n">
        <f aca="false">IF(INDEX(選手一覧!$D$5:$D$2736,$F479)="","",INDEX(選手一覧!$D$5:$D$2736,$F479))</f>
        <v>0.0109703703703704</v>
      </c>
      <c r="H479" s="12" t="n">
        <f aca="false">IF(INDEX(選手一覧!$E$5:$E$2736,$F479)="","",INDEX(選手一覧!$E$5:$E$2736,$F479))</f>
        <v>1040</v>
      </c>
      <c r="I479" s="11" t="n">
        <f aca="false">IF(INDEX(選手一覧!$F$5:$F$2736,$F479)="","",INDEX(選手一覧!$F$5:$F$2736,$F479))</f>
        <v>0.00664293981481482</v>
      </c>
      <c r="J479" s="12" t="n">
        <f aca="false">IF(INDEX(選手一覧!$G$5:$G$2736,$F479)="","",INDEX(選手一覧!$G$5:$G$2736,$F479))</f>
        <v>80</v>
      </c>
    </row>
    <row r="480" customFormat="false" ht="15" hidden="false" customHeight="false" outlineLevel="0" collapsed="false">
      <c r="A480" s="12" t="n">
        <v>477</v>
      </c>
      <c r="B480" s="8" t="s">
        <v>2449</v>
      </c>
      <c r="C480" s="8" t="s">
        <v>2364</v>
      </c>
      <c r="D480" s="11" t="n">
        <v>0.00283680555555556</v>
      </c>
      <c r="E480" s="39" t="n">
        <f aca="false">ROUND((D480-$D$5)*86400,2)</f>
        <v>20.07</v>
      </c>
      <c r="F480" s="12" t="n">
        <v>1568</v>
      </c>
      <c r="G480" s="11" t="str">
        <f aca="false">IF(INDEX(選手一覧!$D$5:$D$2736,$F480)="","",INDEX(選手一覧!$D$5:$D$2736,$F480))</f>
        <v/>
      </c>
      <c r="H480" s="12" t="str">
        <f aca="false">IF(INDEX(選手一覧!$E$5:$E$2736,$F480)="","",INDEX(選手一覧!$E$5:$E$2736,$F480))</f>
        <v/>
      </c>
      <c r="I480" s="11" t="str">
        <f aca="false">IF(INDEX(選手一覧!$F$5:$F$2736,$F480)="","",INDEX(選手一覧!$F$5:$F$2736,$F480))</f>
        <v/>
      </c>
      <c r="J480" s="12" t="str">
        <f aca="false">IF(INDEX(選手一覧!$G$5:$G$2736,$F480)="","",INDEX(選手一覧!$G$5:$G$2736,$F480))</f>
        <v/>
      </c>
    </row>
    <row r="481" customFormat="false" ht="15" hidden="false" customHeight="false" outlineLevel="0" collapsed="false">
      <c r="A481" s="12" t="n">
        <v>478</v>
      </c>
      <c r="B481" s="8" t="s">
        <v>897</v>
      </c>
      <c r="C481" s="8" t="s">
        <v>344</v>
      </c>
      <c r="D481" s="11" t="n">
        <v>0.0028369212962963</v>
      </c>
      <c r="E481" s="39" t="n">
        <f aca="false">ROUND((D481-$D$5)*86400,2)</f>
        <v>20.08</v>
      </c>
      <c r="F481" s="12" t="n">
        <v>514</v>
      </c>
      <c r="G481" s="11" t="n">
        <f aca="false">IF(INDEX(選手一覧!$D$5:$D$2736,$F481)="","",INDEX(選手一覧!$D$5:$D$2736,$F481))</f>
        <v>0.0106431712962963</v>
      </c>
      <c r="H481" s="12" t="n">
        <f aca="false">IF(INDEX(選手一覧!$E$5:$E$2736,$F481)="","",INDEX(選手一覧!$E$5:$E$2736,$F481))</f>
        <v>515</v>
      </c>
      <c r="I481" s="11" t="str">
        <f aca="false">IF(INDEX(選手一覧!$F$5:$F$2736,$F481)="","",INDEX(選手一覧!$F$5:$F$2736,$F481))</f>
        <v/>
      </c>
      <c r="J481" s="12" t="str">
        <f aca="false">IF(INDEX(選手一覧!$G$5:$G$2736,$F481)="","",INDEX(選手一覧!$G$5:$G$2736,$F481))</f>
        <v/>
      </c>
    </row>
    <row r="482" customFormat="false" ht="15" hidden="false" customHeight="false" outlineLevel="0" collapsed="false">
      <c r="A482" s="12" t="n">
        <v>479</v>
      </c>
      <c r="B482" s="8" t="s">
        <v>461</v>
      </c>
      <c r="C482" s="8" t="s">
        <v>462</v>
      </c>
      <c r="D482" s="11" t="n">
        <v>0.0028369212962963</v>
      </c>
      <c r="E482" s="39" t="n">
        <f aca="false">ROUND((D482-$D$5)*86400,2)</f>
        <v>20.08</v>
      </c>
      <c r="F482" s="12" t="n">
        <v>239</v>
      </c>
      <c r="G482" s="11" t="n">
        <f aca="false">IF(INDEX(選手一覧!$D$5:$D$2736,$F482)="","",INDEX(選手一覧!$D$5:$D$2736,$F482))</f>
        <v>0.0103777777777778</v>
      </c>
      <c r="H482" s="12" t="n">
        <f aca="false">IF(INDEX(選手一覧!$E$5:$E$2736,$F482)="","",INDEX(選手一覧!$E$5:$E$2736,$F482))</f>
        <v>240</v>
      </c>
      <c r="I482" s="11" t="str">
        <f aca="false">IF(INDEX(選手一覧!$F$5:$F$2736,$F482)="","",INDEX(選手一覧!$F$5:$F$2736,$F482))</f>
        <v/>
      </c>
      <c r="J482" s="12" t="str">
        <f aca="false">IF(INDEX(選手一覧!$G$5:$G$2736,$F482)="","",INDEX(選手一覧!$G$5:$G$2736,$F482))</f>
        <v/>
      </c>
    </row>
    <row r="483" customFormat="false" ht="15" hidden="false" customHeight="false" outlineLevel="0" collapsed="false">
      <c r="A483" s="12" t="n">
        <v>480</v>
      </c>
      <c r="B483" s="8" t="s">
        <v>2455</v>
      </c>
      <c r="C483" s="8" t="s">
        <v>1956</v>
      </c>
      <c r="D483" s="11" t="n">
        <v>0.00283726851851852</v>
      </c>
      <c r="E483" s="39" t="n">
        <f aca="false">ROUND((D483-$D$5)*86400,2)</f>
        <v>20.11</v>
      </c>
      <c r="F483" s="12" t="n">
        <v>1572</v>
      </c>
      <c r="G483" s="11" t="str">
        <f aca="false">IF(INDEX(選手一覧!$D$5:$D$2736,$F483)="","",INDEX(選手一覧!$D$5:$D$2736,$F483))</f>
        <v/>
      </c>
      <c r="H483" s="12" t="str">
        <f aca="false">IF(INDEX(選手一覧!$E$5:$E$2736,$F483)="","",INDEX(選手一覧!$E$5:$E$2736,$F483))</f>
        <v/>
      </c>
      <c r="I483" s="11" t="str">
        <f aca="false">IF(INDEX(選手一覧!$F$5:$F$2736,$F483)="","",INDEX(選手一覧!$F$5:$F$2736,$F483))</f>
        <v/>
      </c>
      <c r="J483" s="12" t="str">
        <f aca="false">IF(INDEX(選手一覧!$G$5:$G$2736,$F483)="","",INDEX(選手一覧!$G$5:$G$2736,$F483))</f>
        <v/>
      </c>
    </row>
    <row r="484" customFormat="false" ht="15" hidden="false" customHeight="false" outlineLevel="0" collapsed="false">
      <c r="A484" s="12" t="n">
        <v>481</v>
      </c>
      <c r="B484" s="8" t="s">
        <v>2458</v>
      </c>
      <c r="C484" s="8" t="s">
        <v>2459</v>
      </c>
      <c r="D484" s="11" t="n">
        <v>0.0028375</v>
      </c>
      <c r="E484" s="39" t="n">
        <f aca="false">ROUND((D484-$D$5)*86400,2)</f>
        <v>20.13</v>
      </c>
      <c r="F484" s="12" t="n">
        <v>1574</v>
      </c>
      <c r="G484" s="11" t="str">
        <f aca="false">IF(INDEX(選手一覧!$D$5:$D$2736,$F484)="","",INDEX(選手一覧!$D$5:$D$2736,$F484))</f>
        <v/>
      </c>
      <c r="H484" s="12" t="str">
        <f aca="false">IF(INDEX(選手一覧!$E$5:$E$2736,$F484)="","",INDEX(選手一覧!$E$5:$E$2736,$F484))</f>
        <v/>
      </c>
      <c r="I484" s="11" t="str">
        <f aca="false">IF(INDEX(選手一覧!$F$5:$F$2736,$F484)="","",INDEX(選手一覧!$F$5:$F$2736,$F484))</f>
        <v/>
      </c>
      <c r="J484" s="12" t="str">
        <f aca="false">IF(INDEX(選手一覧!$G$5:$G$2736,$F484)="","",INDEX(選手一覧!$G$5:$G$2736,$F484))</f>
        <v/>
      </c>
    </row>
    <row r="485" customFormat="false" ht="15" hidden="false" customHeight="false" outlineLevel="0" collapsed="false">
      <c r="A485" s="12" t="n">
        <v>482</v>
      </c>
      <c r="B485" s="8" t="s">
        <v>759</v>
      </c>
      <c r="C485" s="8" t="s">
        <v>760</v>
      </c>
      <c r="D485" s="11" t="n">
        <v>0.00283784722222222</v>
      </c>
      <c r="E485" s="39" t="n">
        <f aca="false">ROUND((D485-$D$5)*86400,2)</f>
        <v>20.16</v>
      </c>
      <c r="F485" s="12" t="n">
        <v>427</v>
      </c>
      <c r="G485" s="11" t="n">
        <f aca="false">IF(INDEX(選手一覧!$D$5:$D$2736,$F485)="","",INDEX(選手一覧!$D$5:$D$2736,$F485))</f>
        <v>0.0105734953703704</v>
      </c>
      <c r="H485" s="12" t="n">
        <f aca="false">IF(INDEX(選手一覧!$E$5:$E$2736,$F485)="","",INDEX(選手一覧!$E$5:$E$2736,$F485))</f>
        <v>428</v>
      </c>
      <c r="I485" s="11" t="str">
        <f aca="false">IF(INDEX(選手一覧!$F$5:$F$2736,$F485)="","",INDEX(選手一覧!$F$5:$F$2736,$F485))</f>
        <v/>
      </c>
      <c r="J485" s="12" t="str">
        <f aca="false">IF(INDEX(選手一覧!$G$5:$G$2736,$F485)="","",INDEX(選手一覧!$G$5:$G$2736,$F485))</f>
        <v/>
      </c>
    </row>
    <row r="486" customFormat="false" ht="15" hidden="false" customHeight="false" outlineLevel="0" collapsed="false">
      <c r="A486" s="12" t="n">
        <v>483</v>
      </c>
      <c r="B486" s="8" t="s">
        <v>2036</v>
      </c>
      <c r="C486" s="8" t="s">
        <v>2037</v>
      </c>
      <c r="D486" s="11" t="n">
        <v>0.0028380787037037</v>
      </c>
      <c r="E486" s="39" t="n">
        <f aca="false">ROUND((D486-$D$5)*86400,2)</f>
        <v>20.18</v>
      </c>
      <c r="F486" s="12" t="n">
        <v>1294</v>
      </c>
      <c r="G486" s="11" t="str">
        <f aca="false">IF(INDEX(選手一覧!$D$5:$D$2736,$F486)="","",INDEX(選手一覧!$D$5:$D$2736,$F486))</f>
        <v/>
      </c>
      <c r="H486" s="12" t="str">
        <f aca="false">IF(INDEX(選手一覧!$E$5:$E$2736,$F486)="","",INDEX(選手一覧!$E$5:$E$2736,$F486))</f>
        <v/>
      </c>
      <c r="I486" s="11" t="n">
        <f aca="false">IF(INDEX(選手一覧!$F$5:$F$2736,$F486)="","",INDEX(選手一覧!$F$5:$F$2736,$F486))</f>
        <v>0.00656701388888889</v>
      </c>
      <c r="J486" s="12" t="n">
        <f aca="false">IF(INDEX(選手一覧!$G$5:$G$2736,$F486)="","",INDEX(選手一覧!$G$5:$G$2736,$F486))</f>
        <v>56</v>
      </c>
    </row>
    <row r="487" customFormat="false" ht="15" hidden="false" customHeight="false" outlineLevel="0" collapsed="false">
      <c r="A487" s="12" t="n">
        <v>484</v>
      </c>
      <c r="B487" s="8" t="s">
        <v>2464</v>
      </c>
      <c r="C487" s="8" t="s">
        <v>2465</v>
      </c>
      <c r="D487" s="11" t="n">
        <v>0.0028380787037037</v>
      </c>
      <c r="E487" s="39" t="n">
        <f aca="false">ROUND((D487-$D$5)*86400,2)</f>
        <v>20.18</v>
      </c>
      <c r="F487" s="12" t="n">
        <v>1578</v>
      </c>
      <c r="G487" s="11" t="str">
        <f aca="false">IF(INDEX(選手一覧!$D$5:$D$2736,$F487)="","",INDEX(選手一覧!$D$5:$D$2736,$F487))</f>
        <v/>
      </c>
      <c r="H487" s="12" t="str">
        <f aca="false">IF(INDEX(選手一覧!$E$5:$E$2736,$F487)="","",INDEX(選手一覧!$E$5:$E$2736,$F487))</f>
        <v/>
      </c>
      <c r="I487" s="11" t="str">
        <f aca="false">IF(INDEX(選手一覧!$F$5:$F$2736,$F487)="","",INDEX(選手一覧!$F$5:$F$2736,$F487))</f>
        <v/>
      </c>
      <c r="J487" s="12" t="str">
        <f aca="false">IF(INDEX(選手一覧!$G$5:$G$2736,$F487)="","",INDEX(選手一覧!$G$5:$G$2736,$F487))</f>
        <v/>
      </c>
    </row>
    <row r="488" customFormat="false" ht="15" hidden="false" customHeight="false" outlineLevel="0" collapsed="false">
      <c r="A488" s="12" t="n">
        <v>485</v>
      </c>
      <c r="B488" s="8" t="s">
        <v>716</v>
      </c>
      <c r="C488" s="8" t="s">
        <v>508</v>
      </c>
      <c r="D488" s="11" t="n">
        <v>0.00283819444444444</v>
      </c>
      <c r="E488" s="39" t="n">
        <f aca="false">ROUND((D488-$D$5)*86400,2)</f>
        <v>20.19</v>
      </c>
      <c r="F488" s="12" t="n">
        <v>401</v>
      </c>
      <c r="G488" s="11" t="n">
        <f aca="false">IF(INDEX(選手一覧!$D$5:$D$2736,$F488)="","",INDEX(選手一覧!$D$5:$D$2736,$F488))</f>
        <v>0.0105515046296296</v>
      </c>
      <c r="H488" s="12" t="n">
        <f aca="false">IF(INDEX(選手一覧!$E$5:$E$2736,$F488)="","",INDEX(選手一覧!$E$5:$E$2736,$F488))</f>
        <v>402</v>
      </c>
      <c r="I488" s="11" t="str">
        <f aca="false">IF(INDEX(選手一覧!$F$5:$F$2736,$F488)="","",INDEX(選手一覧!$F$5:$F$2736,$F488))</f>
        <v/>
      </c>
      <c r="J488" s="12" t="str">
        <f aca="false">IF(INDEX(選手一覧!$G$5:$G$2736,$F488)="","",INDEX(選手一覧!$G$5:$G$2736,$F488))</f>
        <v/>
      </c>
    </row>
    <row r="489" customFormat="false" ht="15" hidden="false" customHeight="false" outlineLevel="0" collapsed="false">
      <c r="A489" s="12" t="n">
        <v>486</v>
      </c>
      <c r="B489" s="8" t="s">
        <v>863</v>
      </c>
      <c r="C489" s="8" t="s">
        <v>290</v>
      </c>
      <c r="D489" s="11" t="n">
        <v>0.00283831018518519</v>
      </c>
      <c r="E489" s="39" t="n">
        <f aca="false">ROUND((D489-$D$5)*86400,2)</f>
        <v>20.2</v>
      </c>
      <c r="F489" s="12" t="n">
        <v>495</v>
      </c>
      <c r="G489" s="11" t="n">
        <f aca="false">IF(INDEX(選手一覧!$D$5:$D$2736,$F489)="","",INDEX(選手一覧!$D$5:$D$2736,$F489))</f>
        <v>0.0106185185185185</v>
      </c>
      <c r="H489" s="12" t="n">
        <f aca="false">IF(INDEX(選手一覧!$E$5:$E$2736,$F489)="","",INDEX(選手一覧!$E$5:$E$2736,$F489))</f>
        <v>496</v>
      </c>
      <c r="I489" s="11" t="str">
        <f aca="false">IF(INDEX(選手一覧!$F$5:$F$2736,$F489)="","",INDEX(選手一覧!$F$5:$F$2736,$F489))</f>
        <v/>
      </c>
      <c r="J489" s="12" t="str">
        <f aca="false">IF(INDEX(選手一覧!$G$5:$G$2736,$F489)="","",INDEX(選手一覧!$G$5:$G$2736,$F489))</f>
        <v/>
      </c>
    </row>
    <row r="490" customFormat="false" ht="15" hidden="false" customHeight="false" outlineLevel="0" collapsed="false">
      <c r="A490" s="12" t="n">
        <v>487</v>
      </c>
      <c r="B490" s="8" t="s">
        <v>2469</v>
      </c>
      <c r="C490" s="8" t="s">
        <v>570</v>
      </c>
      <c r="D490" s="11" t="n">
        <v>0.00283888888888889</v>
      </c>
      <c r="E490" s="39" t="n">
        <f aca="false">ROUND((D490-$D$5)*86400,2)</f>
        <v>20.25</v>
      </c>
      <c r="F490" s="12" t="n">
        <v>1582</v>
      </c>
      <c r="G490" s="11" t="str">
        <f aca="false">IF(INDEX(選手一覧!$D$5:$D$2736,$F490)="","",INDEX(選手一覧!$D$5:$D$2736,$F490))</f>
        <v/>
      </c>
      <c r="H490" s="12" t="str">
        <f aca="false">IF(INDEX(選手一覧!$E$5:$E$2736,$F490)="","",INDEX(選手一覧!$E$5:$E$2736,$F490))</f>
        <v/>
      </c>
      <c r="I490" s="11" t="str">
        <f aca="false">IF(INDEX(選手一覧!$F$5:$F$2736,$F490)="","",INDEX(選手一覧!$F$5:$F$2736,$F490))</f>
        <v/>
      </c>
      <c r="J490" s="12" t="str">
        <f aca="false">IF(INDEX(選手一覧!$G$5:$G$2736,$F490)="","",INDEX(選手一覧!$G$5:$G$2736,$F490))</f>
        <v/>
      </c>
    </row>
    <row r="491" customFormat="false" ht="15" hidden="false" customHeight="false" outlineLevel="0" collapsed="false">
      <c r="A491" s="12" t="n">
        <v>488</v>
      </c>
      <c r="B491" s="8" t="s">
        <v>2219</v>
      </c>
      <c r="C491" s="8" t="s">
        <v>2220</v>
      </c>
      <c r="D491" s="11" t="n">
        <v>0.00283912037037037</v>
      </c>
      <c r="E491" s="39" t="n">
        <f aca="false">ROUND((D491-$D$5)*86400,2)</f>
        <v>20.27</v>
      </c>
      <c r="F491" s="12" t="n">
        <v>1419</v>
      </c>
      <c r="G491" s="11" t="str">
        <f aca="false">IF(INDEX(選手一覧!$D$5:$D$2736,$F491)="","",INDEX(選手一覧!$D$5:$D$2736,$F491))</f>
        <v/>
      </c>
      <c r="H491" s="12" t="str">
        <f aca="false">IF(INDEX(選手一覧!$E$5:$E$2736,$F491)="","",INDEX(選手一覧!$E$5:$E$2736,$F491))</f>
        <v/>
      </c>
      <c r="I491" s="11" t="n">
        <f aca="false">IF(INDEX(選手一覧!$F$5:$F$2736,$F491)="","",INDEX(選手一覧!$F$5:$F$2736,$F491))</f>
        <v>0.00696678240740741</v>
      </c>
      <c r="J491" s="12" t="n">
        <f aca="false">IF(INDEX(選手一覧!$G$5:$G$2736,$F491)="","",INDEX(選手一覧!$G$5:$G$2736,$F491))</f>
        <v>299</v>
      </c>
    </row>
    <row r="492" customFormat="false" ht="15" hidden="false" customHeight="false" outlineLevel="0" collapsed="false">
      <c r="A492" s="12" t="n">
        <v>489</v>
      </c>
      <c r="B492" s="8" t="s">
        <v>2472</v>
      </c>
      <c r="C492" s="8" t="s">
        <v>2310</v>
      </c>
      <c r="D492" s="11" t="n">
        <v>0.00283912037037037</v>
      </c>
      <c r="E492" s="39" t="n">
        <f aca="false">ROUND((D492-$D$5)*86400,2)</f>
        <v>20.27</v>
      </c>
      <c r="F492" s="12" t="n">
        <v>1584</v>
      </c>
      <c r="G492" s="11" t="str">
        <f aca="false">IF(INDEX(選手一覧!$D$5:$D$2736,$F492)="","",INDEX(選手一覧!$D$5:$D$2736,$F492))</f>
        <v/>
      </c>
      <c r="H492" s="12" t="str">
        <f aca="false">IF(INDEX(選手一覧!$E$5:$E$2736,$F492)="","",INDEX(選手一覧!$E$5:$E$2736,$F492))</f>
        <v/>
      </c>
      <c r="I492" s="11" t="n">
        <f aca="false">IF(INDEX(選手一覧!$F$5:$F$2736,$F492)="","",INDEX(選手一覧!$F$5:$F$2736,$F492))</f>
        <v>0.00741527777777778</v>
      </c>
      <c r="J492" s="12" t="n">
        <f aca="false">IF(INDEX(選手一覧!$G$5:$G$2736,$F492)="","",INDEX(選手一覧!$G$5:$G$2736,$F492))</f>
        <v>788</v>
      </c>
    </row>
    <row r="493" customFormat="false" ht="15" hidden="false" customHeight="false" outlineLevel="0" collapsed="false">
      <c r="A493" s="12" t="n">
        <v>490</v>
      </c>
      <c r="B493" s="8" t="s">
        <v>1359</v>
      </c>
      <c r="C493" s="8" t="s">
        <v>1360</v>
      </c>
      <c r="D493" s="11" t="n">
        <v>0.00283935185185185</v>
      </c>
      <c r="E493" s="39" t="n">
        <f aca="false">ROUND((D493-$D$5)*86400,2)</f>
        <v>20.29</v>
      </c>
      <c r="F493" s="12" t="n">
        <v>825</v>
      </c>
      <c r="G493" s="11" t="n">
        <f aca="false">IF(INDEX(選手一覧!$D$5:$D$2736,$F493)="","",INDEX(選手一覧!$D$5:$D$2736,$F493))</f>
        <v>0.0108450231481482</v>
      </c>
      <c r="H493" s="12" t="n">
        <f aca="false">IF(INDEX(選手一覧!$E$5:$E$2736,$F493)="","",INDEX(選手一覧!$E$5:$E$2736,$F493))</f>
        <v>826</v>
      </c>
      <c r="I493" s="11" t="str">
        <f aca="false">IF(INDEX(選手一覧!$F$5:$F$2736,$F493)="","",INDEX(選手一覧!$F$5:$F$2736,$F493))</f>
        <v/>
      </c>
      <c r="J493" s="12" t="str">
        <f aca="false">IF(INDEX(選手一覧!$G$5:$G$2736,$F493)="","",INDEX(選手一覧!$G$5:$G$2736,$F493))</f>
        <v/>
      </c>
    </row>
    <row r="494" customFormat="false" ht="15" hidden="false" customHeight="false" outlineLevel="0" collapsed="false">
      <c r="A494" s="21" t="n">
        <v>491</v>
      </c>
      <c r="B494" s="17" t="s">
        <v>46</v>
      </c>
      <c r="C494" s="17" t="s">
        <v>41</v>
      </c>
      <c r="D494" s="20" t="n">
        <v>0.00283935185185185</v>
      </c>
      <c r="E494" s="40" t="n">
        <f aca="false">ROUND((D494-$D$5)*86400,2)</f>
        <v>20.29</v>
      </c>
      <c r="F494" s="21" t="n">
        <v>14</v>
      </c>
      <c r="G494" s="20" t="n">
        <f aca="false">IF(INDEX(選手一覧!$D$5:$D$2736,$F494)="","",INDEX(選手一覧!$D$5:$D$2736,$F494))</f>
        <v>0.00990787037037037</v>
      </c>
      <c r="H494" s="21" t="n">
        <f aca="false">IF(INDEX(選手一覧!$E$5:$E$2736,$F494)="","",INDEX(選手一覧!$E$5:$E$2736,$F494))</f>
        <v>15</v>
      </c>
      <c r="I494" s="20" t="str">
        <f aca="false">IF(INDEX(選手一覧!$F$5:$F$2736,$F494)="","",INDEX(選手一覧!$F$5:$F$2736,$F494))</f>
        <v/>
      </c>
      <c r="J494" s="21" t="str">
        <f aca="false">IF(INDEX(選手一覧!$G$5:$G$2736,$F494)="","",INDEX(選手一覧!$G$5:$G$2736,$F494))</f>
        <v/>
      </c>
    </row>
    <row r="495" customFormat="false" ht="15" hidden="false" customHeight="false" outlineLevel="0" collapsed="false">
      <c r="A495" s="12" t="n">
        <v>492</v>
      </c>
      <c r="B495" s="8" t="s">
        <v>127</v>
      </c>
      <c r="C495" s="8" t="s">
        <v>128</v>
      </c>
      <c r="D495" s="11" t="n">
        <v>0.00283935185185185</v>
      </c>
      <c r="E495" s="39" t="n">
        <f aca="false">ROUND((D495-$D$5)*86400,2)</f>
        <v>20.29</v>
      </c>
      <c r="F495" s="12" t="n">
        <v>54</v>
      </c>
      <c r="G495" s="11" t="n">
        <f aca="false">IF(INDEX(選手一覧!$D$5:$D$2736,$F495)="","",INDEX(選手一覧!$D$5:$D$2736,$F495))</f>
        <v>0.01010625</v>
      </c>
      <c r="H495" s="12" t="n">
        <f aca="false">IF(INDEX(選手一覧!$E$5:$E$2736,$F495)="","",INDEX(選手一覧!$E$5:$E$2736,$F495))</f>
        <v>55</v>
      </c>
      <c r="I495" s="11" t="str">
        <f aca="false">IF(INDEX(選手一覧!$F$5:$F$2736,$F495)="","",INDEX(選手一覧!$F$5:$F$2736,$F495))</f>
        <v/>
      </c>
      <c r="J495" s="12" t="str">
        <f aca="false">IF(INDEX(選手一覧!$G$5:$G$2736,$F495)="","",INDEX(選手一覧!$G$5:$G$2736,$F495))</f>
        <v/>
      </c>
    </row>
    <row r="496" customFormat="false" ht="15" hidden="false" customHeight="false" outlineLevel="0" collapsed="false">
      <c r="A496" s="12" t="n">
        <v>493</v>
      </c>
      <c r="B496" s="8" t="s">
        <v>1492</v>
      </c>
      <c r="C496" s="8" t="s">
        <v>1493</v>
      </c>
      <c r="D496" s="11" t="n">
        <v>0.00283946759259259</v>
      </c>
      <c r="E496" s="39" t="n">
        <f aca="false">ROUND((D496-$D$5)*86400,2)</f>
        <v>20.3</v>
      </c>
      <c r="F496" s="12" t="n">
        <v>912</v>
      </c>
      <c r="G496" s="11" t="n">
        <f aca="false">IF(INDEX(選手一覧!$D$5:$D$2736,$F496)="","",INDEX(選手一覧!$D$5:$D$2736,$F496))</f>
        <v>0.0108951388888889</v>
      </c>
      <c r="H496" s="12" t="n">
        <f aca="false">IF(INDEX(選手一覧!$E$5:$E$2736,$F496)="","",INDEX(選手一覧!$E$5:$E$2736,$F496))</f>
        <v>913</v>
      </c>
      <c r="I496" s="11" t="str">
        <f aca="false">IF(INDEX(選手一覧!$F$5:$F$2736,$F496)="","",INDEX(選手一覧!$F$5:$F$2736,$F496))</f>
        <v/>
      </c>
      <c r="J496" s="12" t="str">
        <f aca="false">IF(INDEX(選手一覧!$G$5:$G$2736,$F496)="","",INDEX(選手一覧!$G$5:$G$2736,$F496))</f>
        <v/>
      </c>
    </row>
    <row r="497" customFormat="false" ht="15" hidden="false" customHeight="false" outlineLevel="0" collapsed="false">
      <c r="A497" s="12" t="n">
        <v>494</v>
      </c>
      <c r="B497" s="8" t="s">
        <v>1299</v>
      </c>
      <c r="C497" s="8" t="s">
        <v>588</v>
      </c>
      <c r="D497" s="11" t="n">
        <v>0.00283958333333333</v>
      </c>
      <c r="E497" s="39" t="n">
        <f aca="false">ROUND((D497-$D$5)*86400,2)</f>
        <v>20.31</v>
      </c>
      <c r="F497" s="12" t="n">
        <v>785</v>
      </c>
      <c r="G497" s="11" t="n">
        <f aca="false">IF(INDEX(選手一覧!$D$5:$D$2736,$F497)="","",INDEX(選手一覧!$D$5:$D$2736,$F497))</f>
        <v>0.0108262731481482</v>
      </c>
      <c r="H497" s="12" t="n">
        <f aca="false">IF(INDEX(選手一覧!$E$5:$E$2736,$F497)="","",INDEX(選手一覧!$E$5:$E$2736,$F497))</f>
        <v>786</v>
      </c>
      <c r="I497" s="11" t="str">
        <f aca="false">IF(INDEX(選手一覧!$F$5:$F$2736,$F497)="","",INDEX(選手一覧!$F$5:$F$2736,$F497))</f>
        <v/>
      </c>
      <c r="J497" s="12" t="str">
        <f aca="false">IF(INDEX(選手一覧!$G$5:$G$2736,$F497)="","",INDEX(選手一覧!$G$5:$G$2736,$F497))</f>
        <v/>
      </c>
    </row>
    <row r="498" customFormat="false" ht="15" hidden="false" customHeight="false" outlineLevel="0" collapsed="false">
      <c r="A498" s="12" t="n">
        <v>495</v>
      </c>
      <c r="B498" s="8" t="s">
        <v>1970</v>
      </c>
      <c r="C498" s="8" t="s">
        <v>1308</v>
      </c>
      <c r="D498" s="11" t="n">
        <v>0.00283981481481482</v>
      </c>
      <c r="E498" s="39" t="n">
        <f aca="false">ROUND((D498-$D$5)*86400,2)</f>
        <v>20.33</v>
      </c>
      <c r="F498" s="12" t="n">
        <v>1240</v>
      </c>
      <c r="G498" s="11" t="n">
        <f aca="false">IF(INDEX(選手一覧!$D$5:$D$2736,$F498)="","",INDEX(選手一覧!$D$5:$D$2736,$F498))</f>
        <v>0.0110730324074074</v>
      </c>
      <c r="H498" s="12" t="n">
        <f aca="false">IF(INDEX(選手一覧!$E$5:$E$2736,$F498)="","",INDEX(選手一覧!$E$5:$E$2736,$F498))</f>
        <v>1241</v>
      </c>
      <c r="I498" s="11" t="str">
        <f aca="false">IF(INDEX(選手一覧!$F$5:$F$2736,$F498)="","",INDEX(選手一覧!$F$5:$F$2736,$F498))</f>
        <v/>
      </c>
      <c r="J498" s="12" t="str">
        <f aca="false">IF(INDEX(選手一覧!$G$5:$G$2736,$F498)="","",INDEX(選手一覧!$G$5:$G$2736,$F498))</f>
        <v/>
      </c>
    </row>
    <row r="499" customFormat="false" ht="15" hidden="false" customHeight="false" outlineLevel="0" collapsed="false">
      <c r="A499" s="12" t="n">
        <v>496</v>
      </c>
      <c r="B499" s="8" t="s">
        <v>655</v>
      </c>
      <c r="C499" s="8" t="s">
        <v>56</v>
      </c>
      <c r="D499" s="11" t="n">
        <v>0.00283993055555556</v>
      </c>
      <c r="E499" s="39" t="n">
        <f aca="false">ROUND((D499-$D$5)*86400,2)</f>
        <v>20.34</v>
      </c>
      <c r="F499" s="12" t="n">
        <v>362</v>
      </c>
      <c r="G499" s="11" t="n">
        <f aca="false">IF(INDEX(選手一覧!$D$5:$D$2736,$F499)="","",INDEX(選手一覧!$D$5:$D$2736,$F499))</f>
        <v>0.0105200231481482</v>
      </c>
      <c r="H499" s="12" t="n">
        <f aca="false">IF(INDEX(選手一覧!$E$5:$E$2736,$F499)="","",INDEX(選手一覧!$E$5:$E$2736,$F499))</f>
        <v>363</v>
      </c>
      <c r="I499" s="11" t="n">
        <f aca="false">IF(INDEX(選手一覧!$F$5:$F$2736,$F499)="","",INDEX(選手一覧!$F$5:$F$2736,$F499))</f>
        <v>0.00666423611111111</v>
      </c>
      <c r="J499" s="12" t="n">
        <f aca="false">IF(INDEX(選手一覧!$G$5:$G$2736,$F499)="","",INDEX(選手一覧!$G$5:$G$2736,$F499))</f>
        <v>89</v>
      </c>
    </row>
    <row r="500" customFormat="false" ht="15" hidden="false" customHeight="false" outlineLevel="0" collapsed="false">
      <c r="A500" s="12" t="n">
        <v>497</v>
      </c>
      <c r="B500" s="8" t="s">
        <v>1186</v>
      </c>
      <c r="C500" s="8" t="s">
        <v>200</v>
      </c>
      <c r="D500" s="11" t="n">
        <v>0.0028400462962963</v>
      </c>
      <c r="E500" s="39" t="n">
        <f aca="false">ROUND((D500-$D$5)*86400,2)</f>
        <v>20.35</v>
      </c>
      <c r="F500" s="12" t="n">
        <v>708</v>
      </c>
      <c r="G500" s="11" t="n">
        <f aca="false">IF(INDEX(選手一覧!$D$5:$D$2736,$F500)="","",INDEX(選手一覧!$D$5:$D$2736,$F500))</f>
        <v>0.0107821759259259</v>
      </c>
      <c r="H500" s="12" t="n">
        <f aca="false">IF(INDEX(選手一覧!$E$5:$E$2736,$F500)="","",INDEX(選手一覧!$E$5:$E$2736,$F500))</f>
        <v>709</v>
      </c>
      <c r="I500" s="11" t="str">
        <f aca="false">IF(INDEX(選手一覧!$F$5:$F$2736,$F500)="","",INDEX(選手一覧!$F$5:$F$2736,$F500))</f>
        <v/>
      </c>
      <c r="J500" s="12" t="str">
        <f aca="false">IF(INDEX(選手一覧!$G$5:$G$2736,$F500)="","",INDEX(選手一覧!$G$5:$G$2736,$F500))</f>
        <v/>
      </c>
    </row>
    <row r="501" customFormat="false" ht="15" hidden="false" customHeight="false" outlineLevel="0" collapsed="false">
      <c r="A501" s="12" t="n">
        <v>498</v>
      </c>
      <c r="B501" s="8" t="s">
        <v>1145</v>
      </c>
      <c r="C501" s="8" t="s">
        <v>817</v>
      </c>
      <c r="D501" s="11" t="n">
        <v>0.00284027777777778</v>
      </c>
      <c r="E501" s="39" t="n">
        <f aca="false">ROUND((D501-$D$5)*86400,2)</f>
        <v>20.37</v>
      </c>
      <c r="F501" s="12" t="n">
        <v>682</v>
      </c>
      <c r="G501" s="11" t="n">
        <f aca="false">IF(INDEX(選手一覧!$D$5:$D$2736,$F501)="","",INDEX(選手一覧!$D$5:$D$2736,$F501))</f>
        <v>0.0107611111111111</v>
      </c>
      <c r="H501" s="12" t="n">
        <f aca="false">IF(INDEX(選手一覧!$E$5:$E$2736,$F501)="","",INDEX(選手一覧!$E$5:$E$2736,$F501))</f>
        <v>683</v>
      </c>
      <c r="I501" s="11" t="n">
        <f aca="false">IF(INDEX(選手一覧!$F$5:$F$2736,$F501)="","",INDEX(選手一覧!$F$5:$F$2736,$F501))</f>
        <v>0.00724259259259259</v>
      </c>
      <c r="J501" s="12" t="n">
        <f aca="false">IF(INDEX(選手一覧!$G$5:$G$2736,$F501)="","",INDEX(選手一覧!$G$5:$G$2736,$F501))</f>
        <v>588</v>
      </c>
    </row>
    <row r="502" customFormat="false" ht="15" hidden="false" customHeight="false" outlineLevel="0" collapsed="false">
      <c r="A502" s="12" t="n">
        <v>499</v>
      </c>
      <c r="B502" s="8" t="s">
        <v>1123</v>
      </c>
      <c r="C502" s="8" t="s">
        <v>1124</v>
      </c>
      <c r="D502" s="11" t="n">
        <v>0.00284027777777778</v>
      </c>
      <c r="E502" s="39" t="n">
        <f aca="false">ROUND((D502-$D$5)*86400,2)</f>
        <v>20.37</v>
      </c>
      <c r="F502" s="12" t="n">
        <v>670</v>
      </c>
      <c r="G502" s="11" t="n">
        <f aca="false">IF(INDEX(選手一覧!$D$5:$D$2736,$F502)="","",INDEX(選手一覧!$D$5:$D$2736,$F502))</f>
        <v>0.010752662037037</v>
      </c>
      <c r="H502" s="12" t="n">
        <f aca="false">IF(INDEX(選手一覧!$E$5:$E$2736,$F502)="","",INDEX(選手一覧!$E$5:$E$2736,$F502))</f>
        <v>671</v>
      </c>
      <c r="I502" s="11" t="str">
        <f aca="false">IF(INDEX(選手一覧!$F$5:$F$2736,$F502)="","",INDEX(選手一覧!$F$5:$F$2736,$F502))</f>
        <v/>
      </c>
      <c r="J502" s="12" t="str">
        <f aca="false">IF(INDEX(選手一覧!$G$5:$G$2736,$F502)="","",INDEX(選手一覧!$G$5:$G$2736,$F502))</f>
        <v/>
      </c>
    </row>
    <row r="503" customFormat="false" ht="15" hidden="false" customHeight="false" outlineLevel="0" collapsed="false">
      <c r="A503" s="12" t="n">
        <v>500</v>
      </c>
      <c r="B503" s="8" t="s">
        <v>1465</v>
      </c>
      <c r="C503" s="8" t="s">
        <v>23</v>
      </c>
      <c r="D503" s="11" t="n">
        <v>0.00284027777777778</v>
      </c>
      <c r="E503" s="39" t="n">
        <f aca="false">ROUND((D503-$D$5)*86400,2)</f>
        <v>20.37</v>
      </c>
      <c r="F503" s="12" t="n">
        <v>893</v>
      </c>
      <c r="G503" s="11" t="n">
        <f aca="false">IF(INDEX(選手一覧!$D$5:$D$2736,$F503)="","",INDEX(選手一覧!$D$5:$D$2736,$F503))</f>
        <v>0.0108827546296296</v>
      </c>
      <c r="H503" s="12" t="n">
        <f aca="false">IF(INDEX(選手一覧!$E$5:$E$2736,$F503)="","",INDEX(選手一覧!$E$5:$E$2736,$F503))</f>
        <v>894</v>
      </c>
      <c r="I503" s="11" t="str">
        <f aca="false">IF(INDEX(選手一覧!$F$5:$F$2736,$F503)="","",INDEX(選手一覧!$F$5:$F$2736,$F503))</f>
        <v/>
      </c>
      <c r="J503" s="12" t="str">
        <f aca="false">IF(INDEX(選手一覧!$G$5:$G$2736,$F503)="","",INDEX(選手一覧!$G$5:$G$2736,$F503))</f>
        <v/>
      </c>
    </row>
    <row r="504" customFormat="false" ht="15" hidden="false" customHeight="false" outlineLevel="0" collapsed="false">
      <c r="A504" s="12" t="n">
        <v>501</v>
      </c>
      <c r="B504" s="8" t="s">
        <v>565</v>
      </c>
      <c r="C504" s="8" t="s">
        <v>566</v>
      </c>
      <c r="D504" s="11" t="n">
        <v>0.002840625</v>
      </c>
      <c r="E504" s="39" t="n">
        <f aca="false">ROUND((D504-$D$5)*86400,2)</f>
        <v>20.4</v>
      </c>
      <c r="F504" s="12" t="n">
        <v>305</v>
      </c>
      <c r="G504" s="11" t="n">
        <f aca="false">IF(INDEX(選手一覧!$D$5:$D$2736,$F504)="","",INDEX(選手一覧!$D$5:$D$2736,$F504))</f>
        <v>0.0104540509259259</v>
      </c>
      <c r="H504" s="12" t="n">
        <f aca="false">IF(INDEX(選手一覧!$E$5:$E$2736,$F504)="","",INDEX(選手一覧!$E$5:$E$2736,$F504))</f>
        <v>306</v>
      </c>
      <c r="I504" s="11" t="str">
        <f aca="false">IF(INDEX(選手一覧!$F$5:$F$2736,$F504)="","",INDEX(選手一覧!$F$5:$F$2736,$F504))</f>
        <v/>
      </c>
      <c r="J504" s="12" t="str">
        <f aca="false">IF(INDEX(選手一覧!$G$5:$G$2736,$F504)="","",INDEX(選手一覧!$G$5:$G$2736,$F504))</f>
        <v/>
      </c>
    </row>
    <row r="505" customFormat="false" ht="15" hidden="false" customHeight="false" outlineLevel="0" collapsed="false">
      <c r="A505" s="12" t="n">
        <v>502</v>
      </c>
      <c r="B505" s="8" t="s">
        <v>2225</v>
      </c>
      <c r="C505" s="8" t="s">
        <v>2226</v>
      </c>
      <c r="D505" s="11" t="n">
        <v>0.002840625</v>
      </c>
      <c r="E505" s="39" t="n">
        <f aca="false">ROUND((D505-$D$5)*86400,2)</f>
        <v>20.4</v>
      </c>
      <c r="F505" s="12" t="n">
        <v>1423</v>
      </c>
      <c r="G505" s="11" t="str">
        <f aca="false">IF(INDEX(選手一覧!$D$5:$D$2736,$F505)="","",INDEX(選手一覧!$D$5:$D$2736,$F505))</f>
        <v/>
      </c>
      <c r="H505" s="12" t="str">
        <f aca="false">IF(INDEX(選手一覧!$E$5:$E$2736,$F505)="","",INDEX(選手一覧!$E$5:$E$2736,$F505))</f>
        <v/>
      </c>
      <c r="I505" s="11" t="n">
        <f aca="false">IF(INDEX(選手一覧!$F$5:$F$2736,$F505)="","",INDEX(選手一覧!$F$5:$F$2736,$F505))</f>
        <v>0.0069712962962963</v>
      </c>
      <c r="J505" s="12" t="n">
        <f aca="false">IF(INDEX(選手一覧!$G$5:$G$2736,$F505)="","",INDEX(選手一覧!$G$5:$G$2736,$F505))</f>
        <v>307</v>
      </c>
    </row>
    <row r="506" customFormat="false" ht="15" hidden="false" customHeight="false" outlineLevel="0" collapsed="false">
      <c r="A506" s="12" t="n">
        <v>503</v>
      </c>
      <c r="B506" s="8" t="s">
        <v>487</v>
      </c>
      <c r="C506" s="8" t="s">
        <v>52</v>
      </c>
      <c r="D506" s="11" t="n">
        <v>0.00284085648148148</v>
      </c>
      <c r="E506" s="39" t="n">
        <f aca="false">ROUND((D506-$D$5)*86400,2)</f>
        <v>20.42</v>
      </c>
      <c r="F506" s="12" t="n">
        <v>256</v>
      </c>
      <c r="G506" s="11" t="n">
        <f aca="false">IF(INDEX(選手一覧!$D$5:$D$2736,$F506)="","",INDEX(選手一覧!$D$5:$D$2736,$F506))</f>
        <v>0.0103967592592593</v>
      </c>
      <c r="H506" s="12" t="n">
        <f aca="false">IF(INDEX(選手一覧!$E$5:$E$2736,$F506)="","",INDEX(選手一覧!$E$5:$E$2736,$F506))</f>
        <v>257</v>
      </c>
      <c r="I506" s="11" t="str">
        <f aca="false">IF(INDEX(選手一覧!$F$5:$F$2736,$F506)="","",INDEX(選手一覧!$F$5:$F$2736,$F506))</f>
        <v/>
      </c>
      <c r="J506" s="12" t="str">
        <f aca="false">IF(INDEX(選手一覧!$G$5:$G$2736,$F506)="","",INDEX(選手一覧!$G$5:$G$2736,$F506))</f>
        <v/>
      </c>
    </row>
    <row r="507" customFormat="false" ht="15" hidden="false" customHeight="false" outlineLevel="0" collapsed="false">
      <c r="A507" s="12" t="n">
        <v>504</v>
      </c>
      <c r="B507" s="8" t="s">
        <v>1477</v>
      </c>
      <c r="C507" s="8" t="s">
        <v>704</v>
      </c>
      <c r="D507" s="11" t="n">
        <v>0.00284085648148148</v>
      </c>
      <c r="E507" s="39" t="n">
        <f aca="false">ROUND((D507-$D$5)*86400,2)</f>
        <v>20.42</v>
      </c>
      <c r="F507" s="12" t="n">
        <v>901</v>
      </c>
      <c r="G507" s="11" t="n">
        <f aca="false">IF(INDEX(選手一覧!$D$5:$D$2736,$F507)="","",INDEX(選手一覧!$D$5:$D$2736,$F507))</f>
        <v>0.0108868055555556</v>
      </c>
      <c r="H507" s="12" t="n">
        <f aca="false">IF(INDEX(選手一覧!$E$5:$E$2736,$F507)="","",INDEX(選手一覧!$E$5:$E$2736,$F507))</f>
        <v>902</v>
      </c>
      <c r="I507" s="11" t="str">
        <f aca="false">IF(INDEX(選手一覧!$F$5:$F$2736,$F507)="","",INDEX(選手一覧!$F$5:$F$2736,$F507))</f>
        <v/>
      </c>
      <c r="J507" s="12" t="str">
        <f aca="false">IF(INDEX(選手一覧!$G$5:$G$2736,$F507)="","",INDEX(選手一覧!$G$5:$G$2736,$F507))</f>
        <v/>
      </c>
    </row>
    <row r="508" customFormat="false" ht="15" hidden="false" customHeight="false" outlineLevel="0" collapsed="false">
      <c r="A508" s="12" t="n">
        <v>505</v>
      </c>
      <c r="B508" s="8" t="s">
        <v>611</v>
      </c>
      <c r="C508" s="8" t="s">
        <v>612</v>
      </c>
      <c r="D508" s="11" t="n">
        <v>0.00284085648148148</v>
      </c>
      <c r="E508" s="39" t="n">
        <f aca="false">ROUND((D508-$D$5)*86400,2)</f>
        <v>20.42</v>
      </c>
      <c r="F508" s="12" t="n">
        <v>334</v>
      </c>
      <c r="G508" s="11" t="n">
        <f aca="false">IF(INDEX(選手一覧!$D$5:$D$2736,$F508)="","",INDEX(選手一覧!$D$5:$D$2736,$F508))</f>
        <v>0.0104908564814815</v>
      </c>
      <c r="H508" s="12" t="n">
        <f aca="false">IF(INDEX(選手一覧!$E$5:$E$2736,$F508)="","",INDEX(選手一覧!$E$5:$E$2736,$F508))</f>
        <v>335</v>
      </c>
      <c r="I508" s="11" t="str">
        <f aca="false">IF(INDEX(選手一覧!$F$5:$F$2736,$F508)="","",INDEX(選手一覧!$F$5:$F$2736,$F508))</f>
        <v/>
      </c>
      <c r="J508" s="12" t="str">
        <f aca="false">IF(INDEX(選手一覧!$G$5:$G$2736,$F508)="","",INDEX(選手一覧!$G$5:$G$2736,$F508))</f>
        <v/>
      </c>
    </row>
    <row r="509" customFormat="false" ht="15" hidden="false" customHeight="false" outlineLevel="0" collapsed="false">
      <c r="A509" s="12" t="n">
        <v>506</v>
      </c>
      <c r="B509" s="8" t="s">
        <v>1412</v>
      </c>
      <c r="C509" s="8" t="s">
        <v>1413</v>
      </c>
      <c r="D509" s="11" t="n">
        <v>0.00284097222222222</v>
      </c>
      <c r="E509" s="39" t="n">
        <f aca="false">ROUND((D509-$D$5)*86400,2)</f>
        <v>20.43</v>
      </c>
      <c r="F509" s="12" t="n">
        <v>859</v>
      </c>
      <c r="G509" s="11" t="n">
        <f aca="false">IF(INDEX(選手一覧!$D$5:$D$2736,$F509)="","",INDEX(選手一覧!$D$5:$D$2736,$F509))</f>
        <v>0.0108645833333333</v>
      </c>
      <c r="H509" s="12" t="n">
        <f aca="false">IF(INDEX(選手一覧!$E$5:$E$2736,$F509)="","",INDEX(選手一覧!$E$5:$E$2736,$F509))</f>
        <v>860</v>
      </c>
      <c r="I509" s="11" t="n">
        <f aca="false">IF(INDEX(選手一覧!$F$5:$F$2736,$F509)="","",INDEX(選手一覧!$F$5:$F$2736,$F509))</f>
        <v>0.00684953703703704</v>
      </c>
      <c r="J509" s="12" t="n">
        <f aca="false">IF(INDEX(選手一覧!$G$5:$G$2736,$F509)="","",INDEX(選手一覧!$G$5:$G$2736,$F509))</f>
        <v>203</v>
      </c>
    </row>
    <row r="510" customFormat="false" ht="15" hidden="false" customHeight="false" outlineLevel="0" collapsed="false">
      <c r="A510" s="12" t="n">
        <v>507</v>
      </c>
      <c r="B510" s="8" t="s">
        <v>1725</v>
      </c>
      <c r="C510" s="8" t="s">
        <v>1726</v>
      </c>
      <c r="D510" s="11" t="n">
        <v>0.00284097222222222</v>
      </c>
      <c r="E510" s="39" t="n">
        <f aca="false">ROUND((D510-$D$5)*86400,2)</f>
        <v>20.43</v>
      </c>
      <c r="F510" s="12" t="n">
        <v>1071</v>
      </c>
      <c r="G510" s="11" t="n">
        <f aca="false">IF(INDEX(選手一覧!$D$5:$D$2736,$F510)="","",INDEX(選手一覧!$D$5:$D$2736,$F510))</f>
        <v>0.0109864583333333</v>
      </c>
      <c r="H510" s="12" t="n">
        <f aca="false">IF(INDEX(選手一覧!$E$5:$E$2736,$F510)="","",INDEX(選手一覧!$E$5:$E$2736,$F510))</f>
        <v>1072</v>
      </c>
      <c r="I510" s="11" t="str">
        <f aca="false">IF(INDEX(選手一覧!$F$5:$F$2736,$F510)="","",INDEX(選手一覧!$F$5:$F$2736,$F510))</f>
        <v/>
      </c>
      <c r="J510" s="12" t="str">
        <f aca="false">IF(INDEX(選手一覧!$G$5:$G$2736,$F510)="","",INDEX(選手一覧!$G$5:$G$2736,$F510))</f>
        <v/>
      </c>
    </row>
    <row r="511" customFormat="false" ht="15" hidden="false" customHeight="false" outlineLevel="0" collapsed="false">
      <c r="A511" s="12" t="n">
        <v>508</v>
      </c>
      <c r="B511" s="8" t="s">
        <v>2024</v>
      </c>
      <c r="C511" s="8" t="s">
        <v>179</v>
      </c>
      <c r="D511" s="11" t="n">
        <v>0.00284097222222222</v>
      </c>
      <c r="E511" s="39" t="n">
        <f aca="false">ROUND((D511-$D$5)*86400,2)</f>
        <v>20.43</v>
      </c>
      <c r="F511" s="12" t="n">
        <v>1284</v>
      </c>
      <c r="G511" s="11" t="n">
        <f aca="false">IF(INDEX(選手一覧!$D$5:$D$2736,$F511)="","",INDEX(選手一覧!$D$5:$D$2736,$F511))</f>
        <v>0.0111184027777778</v>
      </c>
      <c r="H511" s="12" t="n">
        <f aca="false">IF(INDEX(選手一覧!$E$5:$E$2736,$F511)="","",INDEX(選手一覧!$E$5:$E$2736,$F511))</f>
        <v>1285</v>
      </c>
      <c r="I511" s="11" t="str">
        <f aca="false">IF(INDEX(選手一覧!$F$5:$F$2736,$F511)="","",INDEX(選手一覧!$F$5:$F$2736,$F511))</f>
        <v/>
      </c>
      <c r="J511" s="12" t="str">
        <f aca="false">IF(INDEX(選手一覧!$G$5:$G$2736,$F511)="","",INDEX(選手一覧!$G$5:$G$2736,$F511))</f>
        <v/>
      </c>
    </row>
    <row r="512" customFormat="false" ht="15" hidden="false" customHeight="false" outlineLevel="0" collapsed="false">
      <c r="A512" s="12" t="n">
        <v>509</v>
      </c>
      <c r="B512" s="8" t="s">
        <v>1978</v>
      </c>
      <c r="C512" s="8" t="s">
        <v>1643</v>
      </c>
      <c r="D512" s="11" t="n">
        <v>0.00284108796296296</v>
      </c>
      <c r="E512" s="39" t="n">
        <f aca="false">ROUND((D512-$D$5)*86400,2)</f>
        <v>20.44</v>
      </c>
      <c r="F512" s="12" t="n">
        <v>1246</v>
      </c>
      <c r="G512" s="11" t="n">
        <f aca="false">IF(INDEX(選手一覧!$D$5:$D$2736,$F512)="","",INDEX(選手一覧!$D$5:$D$2736,$F512))</f>
        <v>0.0110782407407407</v>
      </c>
      <c r="H512" s="12" t="n">
        <f aca="false">IF(INDEX(選手一覧!$E$5:$E$2736,$F512)="","",INDEX(選手一覧!$E$5:$E$2736,$F512))</f>
        <v>1247</v>
      </c>
      <c r="I512" s="11" t="str">
        <f aca="false">IF(INDEX(選手一覧!$F$5:$F$2736,$F512)="","",INDEX(選手一覧!$F$5:$F$2736,$F512))</f>
        <v/>
      </c>
      <c r="J512" s="12" t="str">
        <f aca="false">IF(INDEX(選手一覧!$G$5:$G$2736,$F512)="","",INDEX(選手一覧!$G$5:$G$2736,$F512))</f>
        <v/>
      </c>
    </row>
    <row r="513" customFormat="false" ht="15" hidden="false" customHeight="false" outlineLevel="0" collapsed="false">
      <c r="A513" s="12" t="n">
        <v>510</v>
      </c>
      <c r="B513" s="8" t="s">
        <v>2502</v>
      </c>
      <c r="C513" s="8" t="s">
        <v>154</v>
      </c>
      <c r="D513" s="11" t="n">
        <v>0.00284143518518519</v>
      </c>
      <c r="E513" s="39" t="n">
        <f aca="false">ROUND((D513-$D$5)*86400,2)</f>
        <v>20.47</v>
      </c>
      <c r="F513" s="12" t="n">
        <v>1601</v>
      </c>
      <c r="G513" s="11" t="str">
        <f aca="false">IF(INDEX(選手一覧!$D$5:$D$2736,$F513)="","",INDEX(選手一覧!$D$5:$D$2736,$F513))</f>
        <v/>
      </c>
      <c r="H513" s="12" t="str">
        <f aca="false">IF(INDEX(選手一覧!$E$5:$E$2736,$F513)="","",INDEX(選手一覧!$E$5:$E$2736,$F513))</f>
        <v/>
      </c>
      <c r="I513" s="11" t="str">
        <f aca="false">IF(INDEX(選手一覧!$F$5:$F$2736,$F513)="","",INDEX(選手一覧!$F$5:$F$2736,$F513))</f>
        <v/>
      </c>
      <c r="J513" s="12" t="str">
        <f aca="false">IF(INDEX(選手一覧!$G$5:$G$2736,$F513)="","",INDEX(選手一覧!$G$5:$G$2736,$F513))</f>
        <v/>
      </c>
    </row>
    <row r="514" customFormat="false" ht="15" hidden="false" customHeight="false" outlineLevel="0" collapsed="false">
      <c r="A514" s="12" t="n">
        <v>511</v>
      </c>
      <c r="B514" s="8" t="s">
        <v>684</v>
      </c>
      <c r="C514" s="8" t="s">
        <v>685</v>
      </c>
      <c r="D514" s="11" t="n">
        <v>0.00284155092592593</v>
      </c>
      <c r="E514" s="39" t="n">
        <f aca="false">ROUND((D514-$D$5)*86400,2)</f>
        <v>20.48</v>
      </c>
      <c r="F514" s="12" t="n">
        <v>380</v>
      </c>
      <c r="G514" s="11" t="n">
        <f aca="false">IF(INDEX(選手一覧!$D$5:$D$2736,$F514)="","",INDEX(選手一覧!$D$5:$D$2736,$F514))</f>
        <v>0.0105368055555556</v>
      </c>
      <c r="H514" s="12" t="n">
        <f aca="false">IF(INDEX(選手一覧!$E$5:$E$2736,$F514)="","",INDEX(選手一覧!$E$5:$E$2736,$F514))</f>
        <v>381</v>
      </c>
      <c r="I514" s="11" t="str">
        <f aca="false">IF(INDEX(選手一覧!$F$5:$F$2736,$F514)="","",INDEX(選手一覧!$F$5:$F$2736,$F514))</f>
        <v/>
      </c>
      <c r="J514" s="12" t="str">
        <f aca="false">IF(INDEX(選手一覧!$G$5:$G$2736,$F514)="","",INDEX(選手一覧!$G$5:$G$2736,$F514))</f>
        <v/>
      </c>
    </row>
    <row r="515" customFormat="false" ht="15" hidden="false" customHeight="false" outlineLevel="0" collapsed="false">
      <c r="A515" s="12" t="n">
        <v>512</v>
      </c>
      <c r="B515" s="8" t="s">
        <v>2505</v>
      </c>
      <c r="C515" s="8" t="s">
        <v>2506</v>
      </c>
      <c r="D515" s="11" t="n">
        <v>0.00284224537037037</v>
      </c>
      <c r="E515" s="39" t="n">
        <f aca="false">ROUND((D515-$D$5)*86400,2)</f>
        <v>20.54</v>
      </c>
      <c r="F515" s="12" t="n">
        <v>1603</v>
      </c>
      <c r="G515" s="11" t="str">
        <f aca="false">IF(INDEX(選手一覧!$D$5:$D$2736,$F515)="","",INDEX(選手一覧!$D$5:$D$2736,$F515))</f>
        <v/>
      </c>
      <c r="H515" s="12" t="str">
        <f aca="false">IF(INDEX(選手一覧!$E$5:$E$2736,$F515)="","",INDEX(選手一覧!$E$5:$E$2736,$F515))</f>
        <v/>
      </c>
      <c r="I515" s="11" t="n">
        <f aca="false">IF(INDEX(選手一覧!$F$5:$F$2736,$F515)="","",INDEX(選手一覧!$F$5:$F$2736,$F515))</f>
        <v>0.00752025462962963</v>
      </c>
      <c r="J515" s="12" t="n">
        <f aca="false">IF(INDEX(選手一覧!$G$5:$G$2736,$F515)="","",INDEX(選手一覧!$G$5:$G$2736,$F515))</f>
        <v>919</v>
      </c>
    </row>
    <row r="516" customFormat="false" ht="15" hidden="false" customHeight="false" outlineLevel="0" collapsed="false">
      <c r="A516" s="12" t="n">
        <v>513</v>
      </c>
      <c r="B516" s="8" t="s">
        <v>918</v>
      </c>
      <c r="C516" s="8" t="s">
        <v>23</v>
      </c>
      <c r="D516" s="11" t="n">
        <v>0.00284259259259259</v>
      </c>
      <c r="E516" s="39" t="n">
        <f aca="false">ROUND((D516-$D$5)*86400,2)</f>
        <v>20.57</v>
      </c>
      <c r="F516" s="12" t="n">
        <v>527</v>
      </c>
      <c r="G516" s="11" t="n">
        <f aca="false">IF(INDEX(選手一覧!$D$5:$D$2736,$F516)="","",INDEX(選手一覧!$D$5:$D$2736,$F516))</f>
        <v>0.0106527777777778</v>
      </c>
      <c r="H516" s="12" t="n">
        <f aca="false">IF(INDEX(選手一覧!$E$5:$E$2736,$F516)="","",INDEX(選手一覧!$E$5:$E$2736,$F516))</f>
        <v>528</v>
      </c>
      <c r="I516" s="11" t="str">
        <f aca="false">IF(INDEX(選手一覧!$F$5:$F$2736,$F516)="","",INDEX(選手一覧!$F$5:$F$2736,$F516))</f>
        <v/>
      </c>
      <c r="J516" s="12" t="str">
        <f aca="false">IF(INDEX(選手一覧!$G$5:$G$2736,$F516)="","",INDEX(選手一覧!$G$5:$G$2736,$F516))</f>
        <v/>
      </c>
    </row>
    <row r="517" customFormat="false" ht="15" hidden="false" customHeight="false" outlineLevel="0" collapsed="false">
      <c r="A517" s="12" t="n">
        <v>514</v>
      </c>
      <c r="B517" s="8" t="s">
        <v>1302</v>
      </c>
      <c r="C517" s="8" t="s">
        <v>1303</v>
      </c>
      <c r="D517" s="11" t="n">
        <v>0.00284259259259259</v>
      </c>
      <c r="E517" s="39" t="n">
        <f aca="false">ROUND((D517-$D$5)*86400,2)</f>
        <v>20.57</v>
      </c>
      <c r="F517" s="12" t="n">
        <v>788</v>
      </c>
      <c r="G517" s="11" t="n">
        <f aca="false">IF(INDEX(選手一覧!$D$5:$D$2736,$F517)="","",INDEX(選手一覧!$D$5:$D$2736,$F517))</f>
        <v>0.0108291666666667</v>
      </c>
      <c r="H517" s="12" t="n">
        <f aca="false">IF(INDEX(選手一覧!$E$5:$E$2736,$F517)="","",INDEX(選手一覧!$E$5:$E$2736,$F517))</f>
        <v>789</v>
      </c>
      <c r="I517" s="11" t="str">
        <f aca="false">IF(INDEX(選手一覧!$F$5:$F$2736,$F517)="","",INDEX(選手一覧!$F$5:$F$2736,$F517))</f>
        <v/>
      </c>
      <c r="J517" s="12" t="str">
        <f aca="false">IF(INDEX(選手一覧!$G$5:$G$2736,$F517)="","",INDEX(選手一覧!$G$5:$G$2736,$F517))</f>
        <v/>
      </c>
    </row>
    <row r="518" customFormat="false" ht="15" hidden="false" customHeight="false" outlineLevel="0" collapsed="false">
      <c r="A518" s="12" t="n">
        <v>515</v>
      </c>
      <c r="B518" s="8" t="s">
        <v>430</v>
      </c>
      <c r="C518" s="8" t="s">
        <v>431</v>
      </c>
      <c r="D518" s="11" t="n">
        <v>0.00284270833333333</v>
      </c>
      <c r="E518" s="39" t="n">
        <f aca="false">ROUND((D518-$D$5)*86400,2)</f>
        <v>20.58</v>
      </c>
      <c r="F518" s="12" t="n">
        <v>224</v>
      </c>
      <c r="G518" s="11" t="n">
        <f aca="false">IF(INDEX(選手一覧!$D$5:$D$2736,$F518)="","",INDEX(選手一覧!$D$5:$D$2736,$F518))</f>
        <v>0.0103697916666667</v>
      </c>
      <c r="H518" s="12" t="n">
        <f aca="false">IF(INDEX(選手一覧!$E$5:$E$2736,$F518)="","",INDEX(選手一覧!$E$5:$E$2736,$F518))</f>
        <v>225</v>
      </c>
      <c r="I518" s="11" t="str">
        <f aca="false">IF(INDEX(選手一覧!$F$5:$F$2736,$F518)="","",INDEX(選手一覧!$F$5:$F$2736,$F518))</f>
        <v/>
      </c>
      <c r="J518" s="12" t="str">
        <f aca="false">IF(INDEX(選手一覧!$G$5:$G$2736,$F518)="","",INDEX(選手一覧!$G$5:$G$2736,$F518))</f>
        <v/>
      </c>
    </row>
    <row r="519" customFormat="false" ht="15" hidden="false" customHeight="false" outlineLevel="0" collapsed="false">
      <c r="A519" s="12" t="n">
        <v>516</v>
      </c>
      <c r="B519" s="8" t="s">
        <v>855</v>
      </c>
      <c r="C519" s="8" t="s">
        <v>89</v>
      </c>
      <c r="D519" s="11" t="n">
        <v>0.00284305555555556</v>
      </c>
      <c r="E519" s="39" t="n">
        <f aca="false">ROUND((D519-$D$5)*86400,2)</f>
        <v>20.61</v>
      </c>
      <c r="F519" s="12" t="n">
        <v>491</v>
      </c>
      <c r="G519" s="11" t="n">
        <f aca="false">IF(INDEX(選手一覧!$D$5:$D$2736,$F519)="","",INDEX(選手一覧!$D$5:$D$2736,$F519))</f>
        <v>0.0106173611111111</v>
      </c>
      <c r="H519" s="12" t="n">
        <f aca="false">IF(INDEX(選手一覧!$E$5:$E$2736,$F519)="","",INDEX(選手一覧!$E$5:$E$2736,$F519))</f>
        <v>492</v>
      </c>
      <c r="I519" s="11" t="str">
        <f aca="false">IF(INDEX(選手一覧!$F$5:$F$2736,$F519)="","",INDEX(選手一覧!$F$5:$F$2736,$F519))</f>
        <v/>
      </c>
      <c r="J519" s="12" t="str">
        <f aca="false">IF(INDEX(選手一覧!$G$5:$G$2736,$F519)="","",INDEX(選手一覧!$G$5:$G$2736,$F519))</f>
        <v/>
      </c>
    </row>
    <row r="520" customFormat="false" ht="15" hidden="false" customHeight="false" outlineLevel="0" collapsed="false">
      <c r="A520" s="21" t="n">
        <v>517</v>
      </c>
      <c r="B520" s="17" t="s">
        <v>140</v>
      </c>
      <c r="C520" s="17" t="s">
        <v>89</v>
      </c>
      <c r="D520" s="20" t="n">
        <v>0.0028431712962963</v>
      </c>
      <c r="E520" s="40" t="n">
        <f aca="false">ROUND((D520-$D$5)*86400,2)</f>
        <v>20.62</v>
      </c>
      <c r="F520" s="21" t="n">
        <v>62</v>
      </c>
      <c r="G520" s="20" t="n">
        <f aca="false">IF(INDEX(選手一覧!$D$5:$D$2736,$F520)="","",INDEX(選手一覧!$D$5:$D$2736,$F520))</f>
        <v>0.0101351851851852</v>
      </c>
      <c r="H520" s="21" t="n">
        <f aca="false">IF(INDEX(選手一覧!$E$5:$E$2736,$F520)="","",INDEX(選手一覧!$E$5:$E$2736,$F520))</f>
        <v>63</v>
      </c>
      <c r="I520" s="20" t="str">
        <f aca="false">IF(INDEX(選手一覧!$F$5:$F$2736,$F520)="","",INDEX(選手一覧!$F$5:$F$2736,$F520))</f>
        <v/>
      </c>
      <c r="J520" s="21" t="str">
        <f aca="false">IF(INDEX(選手一覧!$G$5:$G$2736,$F520)="","",INDEX(選手一覧!$G$5:$G$2736,$F520))</f>
        <v/>
      </c>
    </row>
    <row r="521" customFormat="false" ht="15" hidden="false" customHeight="false" outlineLevel="0" collapsed="false">
      <c r="A521" s="12" t="n">
        <v>518</v>
      </c>
      <c r="B521" s="8" t="s">
        <v>395</v>
      </c>
      <c r="C521" s="8" t="s">
        <v>23</v>
      </c>
      <c r="D521" s="11" t="n">
        <v>0.0028431712962963</v>
      </c>
      <c r="E521" s="39" t="n">
        <f aca="false">ROUND((D521-$D$5)*86400,2)</f>
        <v>20.62</v>
      </c>
      <c r="F521" s="12" t="n">
        <v>201</v>
      </c>
      <c r="G521" s="11" t="n">
        <f aca="false">IF(INDEX(選手一覧!$D$5:$D$2736,$F521)="","",INDEX(選手一覧!$D$5:$D$2736,$F521))</f>
        <v>0.0103487268518519</v>
      </c>
      <c r="H521" s="12" t="n">
        <f aca="false">IF(INDEX(選手一覧!$E$5:$E$2736,$F521)="","",INDEX(選手一覧!$E$5:$E$2736,$F521))</f>
        <v>202</v>
      </c>
      <c r="I521" s="11" t="n">
        <f aca="false">IF(INDEX(選手一覧!$F$5:$F$2736,$F521)="","",INDEX(選手一覧!$F$5:$F$2736,$F521))</f>
        <v>0.00709699074074074</v>
      </c>
      <c r="J521" s="12" t="n">
        <f aca="false">IF(INDEX(選手一覧!$G$5:$G$2736,$F521)="","",INDEX(選手一覧!$G$5:$G$2736,$F521))</f>
        <v>444</v>
      </c>
    </row>
    <row r="522" customFormat="false" ht="15" hidden="false" customHeight="false" outlineLevel="0" collapsed="false">
      <c r="A522" s="12" t="n">
        <v>519</v>
      </c>
      <c r="B522" s="8" t="s">
        <v>1197</v>
      </c>
      <c r="C522" s="8" t="s">
        <v>1189</v>
      </c>
      <c r="D522" s="11" t="n">
        <v>0.00284340277777778</v>
      </c>
      <c r="E522" s="39" t="n">
        <f aca="false">ROUND((D522-$D$5)*86400,2)</f>
        <v>20.64</v>
      </c>
      <c r="F522" s="12" t="n">
        <v>716</v>
      </c>
      <c r="G522" s="11" t="n">
        <f aca="false">IF(INDEX(選手一覧!$D$5:$D$2736,$F522)="","",INDEX(選手一覧!$D$5:$D$2736,$F522))</f>
        <v>0.0107876157407407</v>
      </c>
      <c r="H522" s="12" t="n">
        <f aca="false">IF(INDEX(選手一覧!$E$5:$E$2736,$F522)="","",INDEX(選手一覧!$E$5:$E$2736,$F522))</f>
        <v>717</v>
      </c>
      <c r="I522" s="11" t="str">
        <f aca="false">IF(INDEX(選手一覧!$F$5:$F$2736,$F522)="","",INDEX(選手一覧!$F$5:$F$2736,$F522))</f>
        <v/>
      </c>
      <c r="J522" s="12" t="str">
        <f aca="false">IF(INDEX(選手一覧!$G$5:$G$2736,$F522)="","",INDEX(選手一覧!$G$5:$G$2736,$F522))</f>
        <v/>
      </c>
    </row>
    <row r="523" customFormat="false" ht="15" hidden="false" customHeight="false" outlineLevel="0" collapsed="false">
      <c r="A523" s="12" t="n">
        <v>520</v>
      </c>
      <c r="B523" s="8" t="s">
        <v>79</v>
      </c>
      <c r="C523" s="8" t="s">
        <v>80</v>
      </c>
      <c r="D523" s="11" t="n">
        <v>0.00284363425925926</v>
      </c>
      <c r="E523" s="39" t="n">
        <f aca="false">ROUND((D523-$D$5)*86400,2)</f>
        <v>20.66</v>
      </c>
      <c r="F523" s="12" t="n">
        <v>29</v>
      </c>
      <c r="G523" s="11" t="n">
        <f aca="false">IF(INDEX(選手一覧!$D$5:$D$2736,$F523)="","",INDEX(選手一覧!$D$5:$D$2736,$F523))</f>
        <v>0.010040162037037</v>
      </c>
      <c r="H523" s="12" t="n">
        <f aca="false">IF(INDEX(選手一覧!$E$5:$E$2736,$F523)="","",INDEX(選手一覧!$E$5:$E$2736,$F523))</f>
        <v>30</v>
      </c>
      <c r="I523" s="11" t="str">
        <f aca="false">IF(INDEX(選手一覧!$F$5:$F$2736,$F523)="","",INDEX(選手一覧!$F$5:$F$2736,$F523))</f>
        <v/>
      </c>
      <c r="J523" s="12" t="str">
        <f aca="false">IF(INDEX(選手一覧!$G$5:$G$2736,$F523)="","",INDEX(選手一覧!$G$5:$G$2736,$F523))</f>
        <v/>
      </c>
    </row>
    <row r="524" customFormat="false" ht="15" hidden="false" customHeight="false" outlineLevel="0" collapsed="false">
      <c r="A524" s="12" t="n">
        <v>521</v>
      </c>
      <c r="B524" s="8" t="s">
        <v>1472</v>
      </c>
      <c r="C524" s="8" t="s">
        <v>89</v>
      </c>
      <c r="D524" s="11" t="n">
        <v>0.00284363425925926</v>
      </c>
      <c r="E524" s="39" t="n">
        <f aca="false">ROUND((D524-$D$5)*86400,2)</f>
        <v>20.66</v>
      </c>
      <c r="F524" s="12" t="n">
        <v>898</v>
      </c>
      <c r="G524" s="11" t="n">
        <f aca="false">IF(INDEX(選手一覧!$D$5:$D$2736,$F524)="","",INDEX(選手一覧!$D$5:$D$2736,$F524))</f>
        <v>0.0108835648148148</v>
      </c>
      <c r="H524" s="12" t="n">
        <f aca="false">IF(INDEX(選手一覧!$E$5:$E$2736,$F524)="","",INDEX(選手一覧!$E$5:$E$2736,$F524))</f>
        <v>899</v>
      </c>
      <c r="I524" s="11" t="n">
        <f aca="false">IF(INDEX(選手一覧!$F$5:$F$2736,$F524)="","",INDEX(選手一覧!$F$5:$F$2736,$F524))</f>
        <v>0.00708460648148148</v>
      </c>
      <c r="J524" s="12" t="n">
        <f aca="false">IF(INDEX(選手一覧!$G$5:$G$2736,$F524)="","",INDEX(選手一覧!$G$5:$G$2736,$F524))</f>
        <v>432</v>
      </c>
    </row>
    <row r="525" customFormat="false" ht="15" hidden="false" customHeight="false" outlineLevel="0" collapsed="false">
      <c r="A525" s="12" t="n">
        <v>522</v>
      </c>
      <c r="B525" s="8" t="s">
        <v>169</v>
      </c>
      <c r="C525" s="8" t="s">
        <v>28</v>
      </c>
      <c r="D525" s="11" t="n">
        <v>0.00284363425925926</v>
      </c>
      <c r="E525" s="39" t="n">
        <f aca="false">ROUND((D525-$D$5)*86400,2)</f>
        <v>20.66</v>
      </c>
      <c r="F525" s="12" t="n">
        <v>77</v>
      </c>
      <c r="G525" s="11" t="n">
        <f aca="false">IF(INDEX(選手一覧!$D$5:$D$2736,$F525)="","",INDEX(選手一覧!$D$5:$D$2736,$F525))</f>
        <v>0.0101642361111111</v>
      </c>
      <c r="H525" s="12" t="n">
        <f aca="false">IF(INDEX(選手一覧!$E$5:$E$2736,$F525)="","",INDEX(選手一覧!$E$5:$E$2736,$F525))</f>
        <v>78</v>
      </c>
      <c r="I525" s="11" t="n">
        <f aca="false">IF(INDEX(選手一覧!$F$5:$F$2736,$F525)="","",INDEX(選手一覧!$F$5:$F$2736,$F525))</f>
        <v>0.00702662037037037</v>
      </c>
      <c r="J525" s="12" t="n">
        <f aca="false">IF(INDEX(選手一覧!$G$5:$G$2736,$F525)="","",INDEX(選手一覧!$G$5:$G$2736,$F525))</f>
        <v>360</v>
      </c>
    </row>
    <row r="526" customFormat="false" ht="15" hidden="false" customHeight="false" outlineLevel="0" collapsed="false">
      <c r="A526" s="12" t="n">
        <v>523</v>
      </c>
      <c r="B526" s="8" t="s">
        <v>1804</v>
      </c>
      <c r="C526" s="8" t="s">
        <v>1805</v>
      </c>
      <c r="D526" s="11" t="n">
        <v>0.00284386574074074</v>
      </c>
      <c r="E526" s="39" t="n">
        <f aca="false">ROUND((D526-$D$5)*86400,2)</f>
        <v>20.68</v>
      </c>
      <c r="F526" s="12" t="n">
        <v>1123</v>
      </c>
      <c r="G526" s="11" t="n">
        <f aca="false">IF(INDEX(選手一覧!$D$5:$D$2736,$F526)="","",INDEX(選手一覧!$D$5:$D$2736,$F526))</f>
        <v>0.0110175925925926</v>
      </c>
      <c r="H526" s="12" t="n">
        <f aca="false">IF(INDEX(選手一覧!$E$5:$E$2736,$F526)="","",INDEX(選手一覧!$E$5:$E$2736,$F526))</f>
        <v>1124</v>
      </c>
      <c r="I526" s="11" t="n">
        <f aca="false">IF(INDEX(選手一覧!$F$5:$F$2736,$F526)="","",INDEX(選手一覧!$F$5:$F$2736,$F526))</f>
        <v>0.00741400462962963</v>
      </c>
      <c r="J526" s="12" t="n">
        <f aca="false">IF(INDEX(選手一覧!$G$5:$G$2736,$F526)="","",INDEX(選手一覧!$G$5:$G$2736,$F526))</f>
        <v>786</v>
      </c>
    </row>
    <row r="527" customFormat="false" ht="15" hidden="false" customHeight="false" outlineLevel="0" collapsed="false">
      <c r="A527" s="12" t="n">
        <v>524</v>
      </c>
      <c r="B527" s="8" t="s">
        <v>1088</v>
      </c>
      <c r="C527" s="8" t="s">
        <v>1089</v>
      </c>
      <c r="D527" s="11" t="n">
        <v>0.00284386574074074</v>
      </c>
      <c r="E527" s="39" t="n">
        <f aca="false">ROUND((D527-$D$5)*86400,2)</f>
        <v>20.68</v>
      </c>
      <c r="F527" s="12" t="n">
        <v>646</v>
      </c>
      <c r="G527" s="11" t="n">
        <f aca="false">IF(INDEX(選手一覧!$D$5:$D$2736,$F527)="","",INDEX(選手一覧!$D$5:$D$2736,$F527))</f>
        <v>0.0107369212962963</v>
      </c>
      <c r="H527" s="12" t="n">
        <f aca="false">IF(INDEX(選手一覧!$E$5:$E$2736,$F527)="","",INDEX(選手一覧!$E$5:$E$2736,$F527))</f>
        <v>647</v>
      </c>
      <c r="I527" s="11" t="str">
        <f aca="false">IF(INDEX(選手一覧!$F$5:$F$2736,$F527)="","",INDEX(選手一覧!$F$5:$F$2736,$F527))</f>
        <v/>
      </c>
      <c r="J527" s="12" t="str">
        <f aca="false">IF(INDEX(選手一覧!$G$5:$G$2736,$F527)="","",INDEX(選手一覧!$G$5:$G$2736,$F527))</f>
        <v/>
      </c>
    </row>
    <row r="528" customFormat="false" ht="15" hidden="false" customHeight="false" outlineLevel="0" collapsed="false">
      <c r="A528" s="12" t="n">
        <v>525</v>
      </c>
      <c r="B528" s="8" t="s">
        <v>2527</v>
      </c>
      <c r="C528" s="8" t="s">
        <v>1905</v>
      </c>
      <c r="D528" s="11" t="n">
        <v>0.00284386574074074</v>
      </c>
      <c r="E528" s="39" t="n">
        <f aca="false">ROUND((D528-$D$5)*86400,2)</f>
        <v>20.68</v>
      </c>
      <c r="F528" s="12" t="n">
        <v>1616</v>
      </c>
      <c r="G528" s="11" t="str">
        <f aca="false">IF(INDEX(選手一覧!$D$5:$D$2736,$F528)="","",INDEX(選手一覧!$D$5:$D$2736,$F528))</f>
        <v/>
      </c>
      <c r="H528" s="12" t="str">
        <f aca="false">IF(INDEX(選手一覧!$E$5:$E$2736,$F528)="","",INDEX(選手一覧!$E$5:$E$2736,$F528))</f>
        <v/>
      </c>
      <c r="I528" s="11" t="str">
        <f aca="false">IF(INDEX(選手一覧!$F$5:$F$2736,$F528)="","",INDEX(選手一覧!$F$5:$F$2736,$F528))</f>
        <v/>
      </c>
      <c r="J528" s="12" t="str">
        <f aca="false">IF(INDEX(選手一覧!$G$5:$G$2736,$F528)="","",INDEX(選手一覧!$G$5:$G$2736,$F528))</f>
        <v/>
      </c>
    </row>
    <row r="529" customFormat="false" ht="15" hidden="false" customHeight="false" outlineLevel="0" collapsed="false">
      <c r="A529" s="12" t="n">
        <v>526</v>
      </c>
      <c r="B529" s="8" t="s">
        <v>604</v>
      </c>
      <c r="C529" s="8" t="s">
        <v>120</v>
      </c>
      <c r="D529" s="11" t="n">
        <v>0.00284398148148148</v>
      </c>
      <c r="E529" s="39" t="n">
        <f aca="false">ROUND((D529-$D$5)*86400,2)</f>
        <v>20.69</v>
      </c>
      <c r="F529" s="12" t="n">
        <v>329</v>
      </c>
      <c r="G529" s="11" t="n">
        <f aca="false">IF(INDEX(選手一覧!$D$5:$D$2736,$F529)="","",INDEX(選手一覧!$D$5:$D$2736,$F529))</f>
        <v>0.0104890046296296</v>
      </c>
      <c r="H529" s="12" t="n">
        <f aca="false">IF(INDEX(選手一覧!$E$5:$E$2736,$F529)="","",INDEX(選手一覧!$E$5:$E$2736,$F529))</f>
        <v>330</v>
      </c>
      <c r="I529" s="11" t="str">
        <f aca="false">IF(INDEX(選手一覧!$F$5:$F$2736,$F529)="","",INDEX(選手一覧!$F$5:$F$2736,$F529))</f>
        <v/>
      </c>
      <c r="J529" s="12" t="str">
        <f aca="false">IF(INDEX(選手一覧!$G$5:$G$2736,$F529)="","",INDEX(選手一覧!$G$5:$G$2736,$F529))</f>
        <v/>
      </c>
    </row>
    <row r="530" customFormat="false" ht="15" hidden="false" customHeight="false" outlineLevel="0" collapsed="false">
      <c r="A530" s="12" t="n">
        <v>527</v>
      </c>
      <c r="B530" s="8" t="s">
        <v>1710</v>
      </c>
      <c r="C530" s="8" t="s">
        <v>1177</v>
      </c>
      <c r="D530" s="11" t="n">
        <v>0.00284421296296296</v>
      </c>
      <c r="E530" s="39" t="n">
        <f aca="false">ROUND((D530-$D$5)*86400,2)</f>
        <v>20.71</v>
      </c>
      <c r="F530" s="12" t="n">
        <v>1061</v>
      </c>
      <c r="G530" s="11" t="n">
        <f aca="false">IF(INDEX(選手一覧!$D$5:$D$2736,$F530)="","",INDEX(選手一覧!$D$5:$D$2736,$F530))</f>
        <v>0.0109819444444445</v>
      </c>
      <c r="H530" s="12" t="n">
        <f aca="false">IF(INDEX(選手一覧!$E$5:$E$2736,$F530)="","",INDEX(選手一覧!$E$5:$E$2736,$F530))</f>
        <v>1062</v>
      </c>
      <c r="I530" s="11" t="n">
        <f aca="false">IF(INDEX(選手一覧!$F$5:$F$2736,$F530)="","",INDEX(選手一覧!$F$5:$F$2736,$F530))</f>
        <v>0.00695462962962963</v>
      </c>
      <c r="J530" s="12" t="n">
        <f aca="false">IF(INDEX(選手一覧!$G$5:$G$2736,$F530)="","",INDEX(選手一覧!$G$5:$G$2736,$F530))</f>
        <v>289</v>
      </c>
    </row>
    <row r="531" customFormat="false" ht="15" hidden="false" customHeight="false" outlineLevel="0" collapsed="false">
      <c r="A531" s="12" t="n">
        <v>528</v>
      </c>
      <c r="B531" s="8" t="s">
        <v>850</v>
      </c>
      <c r="C531" s="8" t="s">
        <v>851</v>
      </c>
      <c r="D531" s="11" t="n">
        <v>0.00284421296296296</v>
      </c>
      <c r="E531" s="39" t="n">
        <f aca="false">ROUND((D531-$D$5)*86400,2)</f>
        <v>20.71</v>
      </c>
      <c r="F531" s="12" t="n">
        <v>488</v>
      </c>
      <c r="G531" s="11" t="n">
        <f aca="false">IF(INDEX(選手一覧!$D$5:$D$2736,$F531)="","",INDEX(選手一覧!$D$5:$D$2736,$F531))</f>
        <v>0.0106162037037037</v>
      </c>
      <c r="H531" s="12" t="n">
        <f aca="false">IF(INDEX(選手一覧!$E$5:$E$2736,$F531)="","",INDEX(選手一覧!$E$5:$E$2736,$F531))</f>
        <v>489</v>
      </c>
      <c r="I531" s="11" t="n">
        <f aca="false">IF(INDEX(選手一覧!$F$5:$F$2736,$F531)="","",INDEX(選手一覧!$F$5:$F$2736,$F531))</f>
        <v>0.00656377314814815</v>
      </c>
      <c r="J531" s="12" t="n">
        <f aca="false">IF(INDEX(選手一覧!$G$5:$G$2736,$F531)="","",INDEX(選手一覧!$G$5:$G$2736,$F531))</f>
        <v>51</v>
      </c>
    </row>
    <row r="532" customFormat="false" ht="15" hidden="false" customHeight="false" outlineLevel="0" collapsed="false">
      <c r="A532" s="12" t="n">
        <v>529</v>
      </c>
      <c r="B532" s="8" t="s">
        <v>323</v>
      </c>
      <c r="C532" s="8" t="s">
        <v>238</v>
      </c>
      <c r="D532" s="11" t="n">
        <v>0.0028443287037037</v>
      </c>
      <c r="E532" s="39" t="n">
        <f aca="false">ROUND((D532-$D$5)*86400,2)</f>
        <v>20.72</v>
      </c>
      <c r="F532" s="12" t="n">
        <v>159</v>
      </c>
      <c r="G532" s="11" t="n">
        <f aca="false">IF(INDEX(選手一覧!$D$5:$D$2736,$F532)="","",INDEX(選手一覧!$D$5:$D$2736,$F532))</f>
        <v>0.0103002314814815</v>
      </c>
      <c r="H532" s="12" t="n">
        <f aca="false">IF(INDEX(選手一覧!$E$5:$E$2736,$F532)="","",INDEX(選手一覧!$E$5:$E$2736,$F532))</f>
        <v>160</v>
      </c>
      <c r="I532" s="11" t="n">
        <f aca="false">IF(INDEX(選手一覧!$F$5:$F$2736,$F532)="","",INDEX(選手一覧!$F$5:$F$2736,$F532))</f>
        <v>0.00701736111111111</v>
      </c>
      <c r="J532" s="12" t="n">
        <f aca="false">IF(INDEX(選手一覧!$G$5:$G$2736,$F532)="","",INDEX(選手一覧!$G$5:$G$2736,$F532))</f>
        <v>354</v>
      </c>
    </row>
    <row r="533" customFormat="false" ht="15" hidden="false" customHeight="false" outlineLevel="0" collapsed="false">
      <c r="A533" s="12" t="n">
        <v>530</v>
      </c>
      <c r="B533" s="8" t="s">
        <v>1935</v>
      </c>
      <c r="C533" s="8" t="s">
        <v>1936</v>
      </c>
      <c r="D533" s="11" t="n">
        <v>0.00284444444444444</v>
      </c>
      <c r="E533" s="39" t="n">
        <f aca="false">ROUND((D533-$D$5)*86400,2)</f>
        <v>20.73</v>
      </c>
      <c r="F533" s="12" t="n">
        <v>1215</v>
      </c>
      <c r="G533" s="11" t="n">
        <f aca="false">IF(INDEX(選手一覧!$D$5:$D$2736,$F533)="","",INDEX(選手一覧!$D$5:$D$2736,$F533))</f>
        <v>0.0110606481481482</v>
      </c>
      <c r="H533" s="12" t="n">
        <f aca="false">IF(INDEX(選手一覧!$E$5:$E$2736,$F533)="","",INDEX(選手一覧!$E$5:$E$2736,$F533))</f>
        <v>1216</v>
      </c>
      <c r="I533" s="11" t="str">
        <f aca="false">IF(INDEX(選手一覧!$F$5:$F$2736,$F533)="","",INDEX(選手一覧!$F$5:$F$2736,$F533))</f>
        <v/>
      </c>
      <c r="J533" s="12" t="str">
        <f aca="false">IF(INDEX(選手一覧!$G$5:$G$2736,$F533)="","",INDEX(選手一覧!$G$5:$G$2736,$F533))</f>
        <v/>
      </c>
    </row>
    <row r="534" customFormat="false" ht="15" hidden="false" customHeight="false" outlineLevel="0" collapsed="false">
      <c r="A534" s="12" t="n">
        <v>531</v>
      </c>
      <c r="B534" s="8" t="s">
        <v>652</v>
      </c>
      <c r="C534" s="8" t="s">
        <v>390</v>
      </c>
      <c r="D534" s="11" t="n">
        <v>0.00284456018518519</v>
      </c>
      <c r="E534" s="39" t="n">
        <f aca="false">ROUND((D534-$D$5)*86400,2)</f>
        <v>20.74</v>
      </c>
      <c r="F534" s="12" t="n">
        <v>359</v>
      </c>
      <c r="G534" s="11" t="n">
        <f aca="false">IF(INDEX(選手一覧!$D$5:$D$2736,$F534)="","",INDEX(選手一覧!$D$5:$D$2736,$F534))</f>
        <v>0.0105166666666667</v>
      </c>
      <c r="H534" s="12" t="n">
        <f aca="false">IF(INDEX(選手一覧!$E$5:$E$2736,$F534)="","",INDEX(選手一覧!$E$5:$E$2736,$F534))</f>
        <v>360</v>
      </c>
      <c r="I534" s="11" t="n">
        <f aca="false">IF(INDEX(選手一覧!$F$5:$F$2736,$F534)="","",INDEX(選手一覧!$F$5:$F$2736,$F534))</f>
        <v>0.00671261574074074</v>
      </c>
      <c r="J534" s="12" t="n">
        <f aca="false">IF(INDEX(選手一覧!$G$5:$G$2736,$F534)="","",INDEX(選手一覧!$G$5:$G$2736,$F534))</f>
        <v>112</v>
      </c>
    </row>
    <row r="535" customFormat="false" ht="15" hidden="false" customHeight="false" outlineLevel="0" collapsed="false">
      <c r="A535" s="12" t="n">
        <v>532</v>
      </c>
      <c r="B535" s="8" t="s">
        <v>794</v>
      </c>
      <c r="C535" s="8" t="s">
        <v>795</v>
      </c>
      <c r="D535" s="11" t="n">
        <v>0.00284467592592593</v>
      </c>
      <c r="E535" s="39" t="n">
        <f aca="false">ROUND((D535-$D$5)*86400,2)</f>
        <v>20.75</v>
      </c>
      <c r="F535" s="12" t="n">
        <v>450</v>
      </c>
      <c r="G535" s="11" t="n">
        <f aca="false">IF(INDEX(選手一覧!$D$5:$D$2736,$F535)="","",INDEX(選手一覧!$D$5:$D$2736,$F535))</f>
        <v>0.0105877314814815</v>
      </c>
      <c r="H535" s="12" t="n">
        <f aca="false">IF(INDEX(選手一覧!$E$5:$E$2736,$F535)="","",INDEX(選手一覧!$E$5:$E$2736,$F535))</f>
        <v>451</v>
      </c>
      <c r="I535" s="11" t="n">
        <f aca="false">IF(INDEX(選手一覧!$F$5:$F$2736,$F535)="","",INDEX(選手一覧!$F$5:$F$2736,$F535))</f>
        <v>0.00641585648148148</v>
      </c>
      <c r="J535" s="12" t="n">
        <f aca="false">IF(INDEX(選手一覧!$G$5:$G$2736,$F535)="","",INDEX(選手一覧!$G$5:$G$2736,$F535))</f>
        <v>18</v>
      </c>
    </row>
    <row r="536" customFormat="false" ht="15" hidden="false" customHeight="false" outlineLevel="0" collapsed="false">
      <c r="A536" s="12" t="n">
        <v>533</v>
      </c>
      <c r="B536" s="8" t="s">
        <v>414</v>
      </c>
      <c r="C536" s="8" t="s">
        <v>160</v>
      </c>
      <c r="D536" s="11" t="n">
        <v>0.00284479166666667</v>
      </c>
      <c r="E536" s="39" t="n">
        <f aca="false">ROUND((D536-$D$5)*86400,2)</f>
        <v>20.76</v>
      </c>
      <c r="F536" s="12" t="n">
        <v>213</v>
      </c>
      <c r="G536" s="11" t="n">
        <f aca="false">IF(INDEX(選手一覧!$D$5:$D$2736,$F536)="","",INDEX(選手一覧!$D$5:$D$2736,$F536))</f>
        <v>0.0103591435185185</v>
      </c>
      <c r="H536" s="12" t="n">
        <f aca="false">IF(INDEX(選手一覧!$E$5:$E$2736,$F536)="","",INDEX(選手一覧!$E$5:$E$2736,$F536))</f>
        <v>214</v>
      </c>
      <c r="I536" s="11" t="str">
        <f aca="false">IF(INDEX(選手一覧!$F$5:$F$2736,$F536)="","",INDEX(選手一覧!$F$5:$F$2736,$F536))</f>
        <v/>
      </c>
      <c r="J536" s="12" t="str">
        <f aca="false">IF(INDEX(選手一覧!$G$5:$G$2736,$F536)="","",INDEX(選手一覧!$G$5:$G$2736,$F536))</f>
        <v/>
      </c>
    </row>
    <row r="537" customFormat="false" ht="15" hidden="false" customHeight="false" outlineLevel="0" collapsed="false">
      <c r="A537" s="12" t="n">
        <v>534</v>
      </c>
      <c r="B537" s="8" t="s">
        <v>1952</v>
      </c>
      <c r="C537" s="8" t="s">
        <v>1953</v>
      </c>
      <c r="D537" s="11" t="n">
        <v>0.00284479166666667</v>
      </c>
      <c r="E537" s="39" t="n">
        <f aca="false">ROUND((D537-$D$5)*86400,2)</f>
        <v>20.76</v>
      </c>
      <c r="F537" s="12" t="n">
        <v>1227</v>
      </c>
      <c r="G537" s="11" t="n">
        <f aca="false">IF(INDEX(選手一覧!$D$5:$D$2736,$F537)="","",INDEX(選手一覧!$D$5:$D$2736,$F537))</f>
        <v>0.0110662037037037</v>
      </c>
      <c r="H537" s="12" t="n">
        <f aca="false">IF(INDEX(選手一覧!$E$5:$E$2736,$F537)="","",INDEX(選手一覧!$E$5:$E$2736,$F537))</f>
        <v>1228</v>
      </c>
      <c r="I537" s="11" t="str">
        <f aca="false">IF(INDEX(選手一覧!$F$5:$F$2736,$F537)="","",INDEX(選手一覧!$F$5:$F$2736,$F537))</f>
        <v/>
      </c>
      <c r="J537" s="12" t="str">
        <f aca="false">IF(INDEX(選手一覧!$G$5:$G$2736,$F537)="","",INDEX(選手一覧!$G$5:$G$2736,$F537))</f>
        <v/>
      </c>
    </row>
    <row r="538" customFormat="false" ht="15" hidden="false" customHeight="false" outlineLevel="0" collapsed="false">
      <c r="A538" s="12" t="n">
        <v>535</v>
      </c>
      <c r="B538" s="8" t="s">
        <v>248</v>
      </c>
      <c r="C538" s="8" t="s">
        <v>249</v>
      </c>
      <c r="D538" s="11" t="n">
        <v>0.00284490740740741</v>
      </c>
      <c r="E538" s="39" t="n">
        <f aca="false">ROUND((D538-$D$5)*86400,2)</f>
        <v>20.77</v>
      </c>
      <c r="F538" s="12" t="n">
        <v>120</v>
      </c>
      <c r="G538" s="11" t="n">
        <f aca="false">IF(INDEX(選手一覧!$D$5:$D$2736,$F538)="","",INDEX(選手一覧!$D$5:$D$2736,$F538))</f>
        <v>0.0102405092592593</v>
      </c>
      <c r="H538" s="12" t="n">
        <f aca="false">IF(INDEX(選手一覧!$E$5:$E$2736,$F538)="","",INDEX(選手一覧!$E$5:$E$2736,$F538))</f>
        <v>121</v>
      </c>
      <c r="I538" s="11" t="str">
        <f aca="false">IF(INDEX(選手一覧!$F$5:$F$2736,$F538)="","",INDEX(選手一覧!$F$5:$F$2736,$F538))</f>
        <v/>
      </c>
      <c r="J538" s="12" t="str">
        <f aca="false">IF(INDEX(選手一覧!$G$5:$G$2736,$F538)="","",INDEX(選手一覧!$G$5:$G$2736,$F538))</f>
        <v/>
      </c>
    </row>
    <row r="539" customFormat="false" ht="15" hidden="false" customHeight="false" outlineLevel="0" collapsed="false">
      <c r="A539" s="12" t="n">
        <v>536</v>
      </c>
      <c r="B539" s="8" t="s">
        <v>2539</v>
      </c>
      <c r="C539" s="8" t="s">
        <v>408</v>
      </c>
      <c r="D539" s="11" t="n">
        <v>0.00284490740740741</v>
      </c>
      <c r="E539" s="39" t="n">
        <f aca="false">ROUND((D539-$D$5)*86400,2)</f>
        <v>20.77</v>
      </c>
      <c r="F539" s="12" t="n">
        <v>1626</v>
      </c>
      <c r="G539" s="11" t="str">
        <f aca="false">IF(INDEX(選手一覧!$D$5:$D$2736,$F539)="","",INDEX(選手一覧!$D$5:$D$2736,$F539))</f>
        <v/>
      </c>
      <c r="H539" s="12" t="str">
        <f aca="false">IF(INDEX(選手一覧!$E$5:$E$2736,$F539)="","",INDEX(選手一覧!$E$5:$E$2736,$F539))</f>
        <v/>
      </c>
      <c r="I539" s="11" t="str">
        <f aca="false">IF(INDEX(選手一覧!$F$5:$F$2736,$F539)="","",INDEX(選手一覧!$F$5:$F$2736,$F539))</f>
        <v/>
      </c>
      <c r="J539" s="12" t="str">
        <f aca="false">IF(INDEX(選手一覧!$G$5:$G$2736,$F539)="","",INDEX(選手一覧!$G$5:$G$2736,$F539))</f>
        <v/>
      </c>
    </row>
    <row r="540" customFormat="false" ht="15" hidden="false" customHeight="false" outlineLevel="0" collapsed="false">
      <c r="A540" s="12" t="n">
        <v>537</v>
      </c>
      <c r="B540" s="8" t="s">
        <v>2541</v>
      </c>
      <c r="C540" s="8" t="s">
        <v>554</v>
      </c>
      <c r="D540" s="11" t="n">
        <v>0.00284513888888889</v>
      </c>
      <c r="E540" s="39" t="n">
        <f aca="false">ROUND((D540-$D$5)*86400,2)</f>
        <v>20.79</v>
      </c>
      <c r="F540" s="12" t="n">
        <v>1628</v>
      </c>
      <c r="G540" s="11" t="str">
        <f aca="false">IF(INDEX(選手一覧!$D$5:$D$2736,$F540)="","",INDEX(選手一覧!$D$5:$D$2736,$F540))</f>
        <v/>
      </c>
      <c r="H540" s="12" t="str">
        <f aca="false">IF(INDEX(選手一覧!$E$5:$E$2736,$F540)="","",INDEX(選手一覧!$E$5:$E$2736,$F540))</f>
        <v/>
      </c>
      <c r="I540" s="11" t="str">
        <f aca="false">IF(INDEX(選手一覧!$F$5:$F$2736,$F540)="","",INDEX(選手一覧!$F$5:$F$2736,$F540))</f>
        <v/>
      </c>
      <c r="J540" s="12" t="str">
        <f aca="false">IF(INDEX(選手一覧!$G$5:$G$2736,$F540)="","",INDEX(選手一覧!$G$5:$G$2736,$F540))</f>
        <v/>
      </c>
    </row>
    <row r="541" customFormat="false" ht="15" hidden="false" customHeight="false" outlineLevel="0" collapsed="false">
      <c r="A541" s="12" t="n">
        <v>538</v>
      </c>
      <c r="B541" s="8" t="s">
        <v>1384</v>
      </c>
      <c r="C541" s="8" t="s">
        <v>1385</v>
      </c>
      <c r="D541" s="11" t="n">
        <v>0.00284525462962963</v>
      </c>
      <c r="E541" s="39" t="n">
        <f aca="false">ROUND((D541-$D$5)*86400,2)</f>
        <v>20.8</v>
      </c>
      <c r="F541" s="12" t="n">
        <v>843</v>
      </c>
      <c r="G541" s="11" t="n">
        <f aca="false">IF(INDEX(選手一覧!$D$5:$D$2736,$F541)="","",INDEX(選手一覧!$D$5:$D$2736,$F541))</f>
        <v>0.01085625</v>
      </c>
      <c r="H541" s="12" t="n">
        <f aca="false">IF(INDEX(選手一覧!$E$5:$E$2736,$F541)="","",INDEX(選手一覧!$E$5:$E$2736,$F541))</f>
        <v>844</v>
      </c>
      <c r="I541" s="11" t="n">
        <f aca="false">IF(INDEX(選手一覧!$F$5:$F$2736,$F541)="","",INDEX(選手一覧!$F$5:$F$2736,$F541))</f>
        <v>0.00656909722222222</v>
      </c>
      <c r="J541" s="12" t="n">
        <f aca="false">IF(INDEX(選手一覧!$G$5:$G$2736,$F541)="","",INDEX(選手一覧!$G$5:$G$2736,$F541))</f>
        <v>58</v>
      </c>
    </row>
    <row r="542" customFormat="false" ht="15" hidden="false" customHeight="false" outlineLevel="0" collapsed="false">
      <c r="A542" s="12" t="n">
        <v>539</v>
      </c>
      <c r="B542" s="8" t="s">
        <v>598</v>
      </c>
      <c r="C542" s="8" t="s">
        <v>52</v>
      </c>
      <c r="D542" s="11" t="n">
        <v>0.00284537037037037</v>
      </c>
      <c r="E542" s="39" t="n">
        <f aca="false">ROUND((D542-$D$5)*86400,2)</f>
        <v>20.81</v>
      </c>
      <c r="F542" s="12" t="n">
        <v>324</v>
      </c>
      <c r="G542" s="11" t="n">
        <f aca="false">IF(INDEX(選手一覧!$D$5:$D$2736,$F542)="","",INDEX(選手一覧!$D$5:$D$2736,$F542))</f>
        <v>0.01048125</v>
      </c>
      <c r="H542" s="12" t="n">
        <f aca="false">IF(INDEX(選手一覧!$E$5:$E$2736,$F542)="","",INDEX(選手一覧!$E$5:$E$2736,$F542))</f>
        <v>325</v>
      </c>
      <c r="I542" s="11" t="str">
        <f aca="false">IF(INDEX(選手一覧!$F$5:$F$2736,$F542)="","",INDEX(選手一覧!$F$5:$F$2736,$F542))</f>
        <v/>
      </c>
      <c r="J542" s="12" t="str">
        <f aca="false">IF(INDEX(選手一覧!$G$5:$G$2736,$F542)="","",INDEX(選手一覧!$G$5:$G$2736,$F542))</f>
        <v/>
      </c>
    </row>
    <row r="543" customFormat="false" ht="15" hidden="false" customHeight="false" outlineLevel="0" collapsed="false">
      <c r="A543" s="12" t="n">
        <v>540</v>
      </c>
      <c r="B543" s="8" t="s">
        <v>2546</v>
      </c>
      <c r="C543" s="8" t="s">
        <v>2547</v>
      </c>
      <c r="D543" s="11" t="n">
        <v>0.00284594907407407</v>
      </c>
      <c r="E543" s="39" t="n">
        <f aca="false">ROUND((D543-$D$5)*86400,2)</f>
        <v>20.86</v>
      </c>
      <c r="F543" s="12" t="n">
        <v>1632</v>
      </c>
      <c r="G543" s="11" t="str">
        <f aca="false">IF(INDEX(選手一覧!$D$5:$D$2736,$F543)="","",INDEX(選手一覧!$D$5:$D$2736,$F543))</f>
        <v/>
      </c>
      <c r="H543" s="12" t="str">
        <f aca="false">IF(INDEX(選手一覧!$E$5:$E$2736,$F543)="","",INDEX(選手一覧!$E$5:$E$2736,$F543))</f>
        <v/>
      </c>
      <c r="I543" s="11" t="str">
        <f aca="false">IF(INDEX(選手一覧!$F$5:$F$2736,$F543)="","",INDEX(選手一覧!$F$5:$F$2736,$F543))</f>
        <v/>
      </c>
      <c r="J543" s="12" t="str">
        <f aca="false">IF(INDEX(選手一覧!$G$5:$G$2736,$F543)="","",INDEX(選手一覧!$G$5:$G$2736,$F543))</f>
        <v/>
      </c>
    </row>
    <row r="544" customFormat="false" ht="15" hidden="false" customHeight="false" outlineLevel="0" collapsed="false">
      <c r="A544" s="12" t="n">
        <v>541</v>
      </c>
      <c r="B544" s="8" t="s">
        <v>2548</v>
      </c>
      <c r="C544" s="8" t="s">
        <v>2549</v>
      </c>
      <c r="D544" s="11" t="n">
        <v>0.00284606481481482</v>
      </c>
      <c r="E544" s="39" t="n">
        <f aca="false">ROUND((D544-$D$5)*86400,2)</f>
        <v>20.87</v>
      </c>
      <c r="F544" s="12" t="n">
        <v>1633</v>
      </c>
      <c r="G544" s="11" t="str">
        <f aca="false">IF(INDEX(選手一覧!$D$5:$D$2736,$F544)="","",INDEX(選手一覧!$D$5:$D$2736,$F544))</f>
        <v/>
      </c>
      <c r="H544" s="12" t="str">
        <f aca="false">IF(INDEX(選手一覧!$E$5:$E$2736,$F544)="","",INDEX(選手一覧!$E$5:$E$2736,$F544))</f>
        <v/>
      </c>
      <c r="I544" s="11" t="str">
        <f aca="false">IF(INDEX(選手一覧!$F$5:$F$2736,$F544)="","",INDEX(選手一覧!$F$5:$F$2736,$F544))</f>
        <v/>
      </c>
      <c r="J544" s="12" t="str">
        <f aca="false">IF(INDEX(選手一覧!$G$5:$G$2736,$F544)="","",INDEX(選手一覧!$G$5:$G$2736,$F544))</f>
        <v/>
      </c>
    </row>
    <row r="545" customFormat="false" ht="15" hidden="false" customHeight="false" outlineLevel="0" collapsed="false">
      <c r="A545" s="12" t="n">
        <v>542</v>
      </c>
      <c r="B545" s="8" t="s">
        <v>1061</v>
      </c>
      <c r="C545" s="8" t="s">
        <v>1062</v>
      </c>
      <c r="D545" s="11" t="n">
        <v>0.00284606481481482</v>
      </c>
      <c r="E545" s="39" t="n">
        <f aca="false">ROUND((D545-$D$5)*86400,2)</f>
        <v>20.87</v>
      </c>
      <c r="F545" s="12" t="n">
        <v>626</v>
      </c>
      <c r="G545" s="11" t="n">
        <f aca="false">IF(INDEX(選手一覧!$D$5:$D$2736,$F545)="","",INDEX(選手一覧!$D$5:$D$2736,$F545))</f>
        <v>0.0107275462962963</v>
      </c>
      <c r="H545" s="12" t="n">
        <f aca="false">IF(INDEX(選手一覧!$E$5:$E$2736,$F545)="","",INDEX(選手一覧!$E$5:$E$2736,$F545))</f>
        <v>627</v>
      </c>
      <c r="I545" s="11" t="str">
        <f aca="false">IF(INDEX(選手一覧!$F$5:$F$2736,$F545)="","",INDEX(選手一覧!$F$5:$F$2736,$F545))</f>
        <v/>
      </c>
      <c r="J545" s="12" t="str">
        <f aca="false">IF(INDEX(選手一覧!$G$5:$G$2736,$F545)="","",INDEX(選手一覧!$G$5:$G$2736,$F545))</f>
        <v/>
      </c>
    </row>
    <row r="546" customFormat="false" ht="15" hidden="false" customHeight="false" outlineLevel="0" collapsed="false">
      <c r="A546" s="12" t="n">
        <v>543</v>
      </c>
      <c r="B546" s="8" t="s">
        <v>822</v>
      </c>
      <c r="C546" s="8" t="s">
        <v>823</v>
      </c>
      <c r="D546" s="11" t="n">
        <v>0.00284606481481482</v>
      </c>
      <c r="E546" s="39" t="n">
        <f aca="false">ROUND((D546-$D$5)*86400,2)</f>
        <v>20.87</v>
      </c>
      <c r="F546" s="12" t="n">
        <v>469</v>
      </c>
      <c r="G546" s="11" t="n">
        <f aca="false">IF(INDEX(選手一覧!$D$5:$D$2736,$F546)="","",INDEX(選手一覧!$D$5:$D$2736,$F546))</f>
        <v>0.01060625</v>
      </c>
      <c r="H546" s="12" t="n">
        <f aca="false">IF(INDEX(選手一覧!$E$5:$E$2736,$F546)="","",INDEX(選手一覧!$E$5:$E$2736,$F546))</f>
        <v>470</v>
      </c>
      <c r="I546" s="11" t="str">
        <f aca="false">IF(INDEX(選手一覧!$F$5:$F$2736,$F546)="","",INDEX(選手一覧!$F$5:$F$2736,$F546))</f>
        <v/>
      </c>
      <c r="J546" s="12" t="str">
        <f aca="false">IF(INDEX(選手一覧!$G$5:$G$2736,$F546)="","",INDEX(選手一覧!$G$5:$G$2736,$F546))</f>
        <v/>
      </c>
    </row>
    <row r="547" customFormat="false" ht="15" hidden="false" customHeight="false" outlineLevel="0" collapsed="false">
      <c r="A547" s="12" t="n">
        <v>544</v>
      </c>
      <c r="B547" s="8" t="s">
        <v>2349</v>
      </c>
      <c r="C547" s="8" t="s">
        <v>2350</v>
      </c>
      <c r="D547" s="11" t="n">
        <v>0.00284606481481482</v>
      </c>
      <c r="E547" s="39" t="n">
        <f aca="false">ROUND((D547-$D$5)*86400,2)</f>
        <v>20.87</v>
      </c>
      <c r="F547" s="12" t="n">
        <v>1501</v>
      </c>
      <c r="G547" s="11" t="str">
        <f aca="false">IF(INDEX(選手一覧!$D$5:$D$2736,$F547)="","",INDEX(選手一覧!$D$5:$D$2736,$F547))</f>
        <v/>
      </c>
      <c r="H547" s="12" t="str">
        <f aca="false">IF(INDEX(選手一覧!$E$5:$E$2736,$F547)="","",INDEX(選手一覧!$E$5:$E$2736,$F547))</f>
        <v/>
      </c>
      <c r="I547" s="11" t="n">
        <f aca="false">IF(INDEX(選手一覧!$F$5:$F$2736,$F547)="","",INDEX(選手一覧!$F$5:$F$2736,$F547))</f>
        <v>0.00706284722222222</v>
      </c>
      <c r="J547" s="12" t="n">
        <f aca="false">IF(INDEX(選手一覧!$G$5:$G$2736,$F547)="","",INDEX(選手一覧!$G$5:$G$2736,$F547))</f>
        <v>402</v>
      </c>
    </row>
    <row r="548" customFormat="false" ht="15" hidden="false" customHeight="false" outlineLevel="0" collapsed="false">
      <c r="A548" s="12" t="n">
        <v>545</v>
      </c>
      <c r="B548" s="8" t="s">
        <v>1286</v>
      </c>
      <c r="C548" s="8" t="s">
        <v>839</v>
      </c>
      <c r="D548" s="11" t="n">
        <v>0.00284618055555556</v>
      </c>
      <c r="E548" s="39" t="n">
        <f aca="false">ROUND((D548-$D$5)*86400,2)</f>
        <v>20.88</v>
      </c>
      <c r="F548" s="12" t="n">
        <v>774</v>
      </c>
      <c r="G548" s="11" t="n">
        <f aca="false">IF(INDEX(選手一覧!$D$5:$D$2736,$F548)="","",INDEX(選手一覧!$D$5:$D$2736,$F548))</f>
        <v>0.01081875</v>
      </c>
      <c r="H548" s="12" t="n">
        <f aca="false">IF(INDEX(選手一覧!$E$5:$E$2736,$F548)="","",INDEX(選手一覧!$E$5:$E$2736,$F548))</f>
        <v>775</v>
      </c>
      <c r="I548" s="11" t="str">
        <f aca="false">IF(INDEX(選手一覧!$F$5:$F$2736,$F548)="","",INDEX(選手一覧!$F$5:$F$2736,$F548))</f>
        <v/>
      </c>
      <c r="J548" s="12" t="str">
        <f aca="false">IF(INDEX(選手一覧!$G$5:$G$2736,$F548)="","",INDEX(選手一覧!$G$5:$G$2736,$F548))</f>
        <v/>
      </c>
    </row>
    <row r="549" customFormat="false" ht="15" hidden="false" customHeight="false" outlineLevel="0" collapsed="false">
      <c r="A549" s="12" t="n">
        <v>546</v>
      </c>
      <c r="B549" s="8" t="s">
        <v>959</v>
      </c>
      <c r="C549" s="8" t="s">
        <v>508</v>
      </c>
      <c r="D549" s="11" t="n">
        <v>0.0028462962962963</v>
      </c>
      <c r="E549" s="39" t="n">
        <f aca="false">ROUND((D549-$D$5)*86400,2)</f>
        <v>20.89</v>
      </c>
      <c r="F549" s="12" t="n">
        <v>553</v>
      </c>
      <c r="G549" s="11" t="n">
        <f aca="false">IF(INDEX(選手一覧!$D$5:$D$2736,$F549)="","",INDEX(選手一覧!$D$5:$D$2736,$F549))</f>
        <v>0.0106741898148148</v>
      </c>
      <c r="H549" s="12" t="n">
        <f aca="false">IF(INDEX(選手一覧!$E$5:$E$2736,$F549)="","",INDEX(選手一覧!$E$5:$E$2736,$F549))</f>
        <v>554</v>
      </c>
      <c r="I549" s="11" t="str">
        <f aca="false">IF(INDEX(選手一覧!$F$5:$F$2736,$F549)="","",INDEX(選手一覧!$F$5:$F$2736,$F549))</f>
        <v/>
      </c>
      <c r="J549" s="12" t="str">
        <f aca="false">IF(INDEX(選手一覧!$G$5:$G$2736,$F549)="","",INDEX(選手一覧!$G$5:$G$2736,$F549))</f>
        <v/>
      </c>
    </row>
    <row r="550" customFormat="false" ht="15" hidden="false" customHeight="false" outlineLevel="0" collapsed="false">
      <c r="A550" s="12" t="n">
        <v>547</v>
      </c>
      <c r="B550" s="8" t="s">
        <v>2557</v>
      </c>
      <c r="C550" s="8" t="s">
        <v>704</v>
      </c>
      <c r="D550" s="11" t="n">
        <v>0.00284641203703704</v>
      </c>
      <c r="E550" s="39" t="n">
        <f aca="false">ROUND((D550-$D$5)*86400,2)</f>
        <v>20.9</v>
      </c>
      <c r="F550" s="12" t="n">
        <v>1638</v>
      </c>
      <c r="G550" s="11" t="str">
        <f aca="false">IF(INDEX(選手一覧!$D$5:$D$2736,$F550)="","",INDEX(選手一覧!$D$5:$D$2736,$F550))</f>
        <v/>
      </c>
      <c r="H550" s="12" t="str">
        <f aca="false">IF(INDEX(選手一覧!$E$5:$E$2736,$F550)="","",INDEX(選手一覧!$E$5:$E$2736,$F550))</f>
        <v/>
      </c>
      <c r="I550" s="11" t="str">
        <f aca="false">IF(INDEX(選手一覧!$F$5:$F$2736,$F550)="","",INDEX(選手一覧!$F$5:$F$2736,$F550))</f>
        <v/>
      </c>
      <c r="J550" s="12" t="str">
        <f aca="false">IF(INDEX(選手一覧!$G$5:$G$2736,$F550)="","",INDEX(選手一覧!$G$5:$G$2736,$F550))</f>
        <v/>
      </c>
    </row>
    <row r="551" customFormat="false" ht="15" hidden="false" customHeight="false" outlineLevel="0" collapsed="false">
      <c r="A551" s="12" t="n">
        <v>548</v>
      </c>
      <c r="B551" s="8" t="s">
        <v>2559</v>
      </c>
      <c r="C551" s="8" t="s">
        <v>2560</v>
      </c>
      <c r="D551" s="11" t="n">
        <v>0.00284652777777778</v>
      </c>
      <c r="E551" s="39" t="n">
        <f aca="false">ROUND((D551-$D$5)*86400,2)</f>
        <v>20.91</v>
      </c>
      <c r="F551" s="12" t="n">
        <v>1640</v>
      </c>
      <c r="G551" s="11" t="str">
        <f aca="false">IF(INDEX(選手一覧!$D$5:$D$2736,$F551)="","",INDEX(選手一覧!$D$5:$D$2736,$F551))</f>
        <v/>
      </c>
      <c r="H551" s="12" t="str">
        <f aca="false">IF(INDEX(選手一覧!$E$5:$E$2736,$F551)="","",INDEX(選手一覧!$E$5:$E$2736,$F551))</f>
        <v/>
      </c>
      <c r="I551" s="11" t="str">
        <f aca="false">IF(INDEX(選手一覧!$F$5:$F$2736,$F551)="","",INDEX(選手一覧!$F$5:$F$2736,$F551))</f>
        <v/>
      </c>
      <c r="J551" s="12" t="str">
        <f aca="false">IF(INDEX(選手一覧!$G$5:$G$2736,$F551)="","",INDEX(選手一覧!$G$5:$G$2736,$F551))</f>
        <v/>
      </c>
    </row>
    <row r="552" customFormat="false" ht="15" hidden="false" customHeight="false" outlineLevel="0" collapsed="false">
      <c r="A552" s="12" t="n">
        <v>549</v>
      </c>
      <c r="B552" s="8" t="s">
        <v>2563</v>
      </c>
      <c r="C552" s="8" t="s">
        <v>2564</v>
      </c>
      <c r="D552" s="11" t="n">
        <v>0.00284675925925926</v>
      </c>
      <c r="E552" s="39" t="n">
        <f aca="false">ROUND((D552-$D$5)*86400,2)</f>
        <v>20.93</v>
      </c>
      <c r="F552" s="12" t="n">
        <v>1642</v>
      </c>
      <c r="G552" s="11" t="str">
        <f aca="false">IF(INDEX(選手一覧!$D$5:$D$2736,$F552)="","",INDEX(選手一覧!$D$5:$D$2736,$F552))</f>
        <v/>
      </c>
      <c r="H552" s="12" t="str">
        <f aca="false">IF(INDEX(選手一覧!$E$5:$E$2736,$F552)="","",INDEX(選手一覧!$E$5:$E$2736,$F552))</f>
        <v/>
      </c>
      <c r="I552" s="11" t="str">
        <f aca="false">IF(INDEX(選手一覧!$F$5:$F$2736,$F552)="","",INDEX(選手一覧!$F$5:$F$2736,$F552))</f>
        <v/>
      </c>
      <c r="J552" s="12" t="str">
        <f aca="false">IF(INDEX(選手一覧!$G$5:$G$2736,$F552)="","",INDEX(選手一覧!$G$5:$G$2736,$F552))</f>
        <v/>
      </c>
    </row>
    <row r="553" customFormat="false" ht="15" hidden="false" customHeight="false" outlineLevel="0" collapsed="false">
      <c r="A553" s="12" t="n">
        <v>550</v>
      </c>
      <c r="B553" s="8" t="s">
        <v>2565</v>
      </c>
      <c r="C553" s="8" t="s">
        <v>2566</v>
      </c>
      <c r="D553" s="11" t="n">
        <v>0.00284675925925926</v>
      </c>
      <c r="E553" s="39" t="n">
        <f aca="false">ROUND((D553-$D$5)*86400,2)</f>
        <v>20.93</v>
      </c>
      <c r="F553" s="12" t="n">
        <v>1643</v>
      </c>
      <c r="G553" s="11" t="str">
        <f aca="false">IF(INDEX(選手一覧!$D$5:$D$2736,$F553)="","",INDEX(選手一覧!$D$5:$D$2736,$F553))</f>
        <v/>
      </c>
      <c r="H553" s="12" t="str">
        <f aca="false">IF(INDEX(選手一覧!$E$5:$E$2736,$F553)="","",INDEX(選手一覧!$E$5:$E$2736,$F553))</f>
        <v/>
      </c>
      <c r="I553" s="11" t="str">
        <f aca="false">IF(INDEX(選手一覧!$F$5:$F$2736,$F553)="","",INDEX(選手一覧!$F$5:$F$2736,$F553))</f>
        <v/>
      </c>
      <c r="J553" s="12" t="str">
        <f aca="false">IF(INDEX(選手一覧!$G$5:$G$2736,$F553)="","",INDEX(選手一覧!$G$5:$G$2736,$F553))</f>
        <v/>
      </c>
    </row>
    <row r="554" customFormat="false" ht="15" hidden="false" customHeight="false" outlineLevel="0" collapsed="false">
      <c r="A554" s="12" t="n">
        <v>551</v>
      </c>
      <c r="B554" s="8" t="s">
        <v>1571</v>
      </c>
      <c r="C554" s="8" t="s">
        <v>1572</v>
      </c>
      <c r="D554" s="11" t="n">
        <v>0.002846875</v>
      </c>
      <c r="E554" s="39" t="n">
        <f aca="false">ROUND((D554-$D$5)*86400,2)</f>
        <v>20.94</v>
      </c>
      <c r="F554" s="12" t="n">
        <v>966</v>
      </c>
      <c r="G554" s="11" t="n">
        <f aca="false">IF(INDEX(選手一覧!$D$5:$D$2736,$F554)="","",INDEX(選手一覧!$D$5:$D$2736,$F554))</f>
        <v>0.0109299768518519</v>
      </c>
      <c r="H554" s="12" t="n">
        <f aca="false">IF(INDEX(選手一覧!$E$5:$E$2736,$F554)="","",INDEX(選手一覧!$E$5:$E$2736,$F554))</f>
        <v>967</v>
      </c>
      <c r="I554" s="11" t="str">
        <f aca="false">IF(INDEX(選手一覧!$F$5:$F$2736,$F554)="","",INDEX(選手一覧!$F$5:$F$2736,$F554))</f>
        <v/>
      </c>
      <c r="J554" s="12" t="str">
        <f aca="false">IF(INDEX(選手一覧!$G$5:$G$2736,$F554)="","",INDEX(選手一覧!$G$5:$G$2736,$F554))</f>
        <v/>
      </c>
    </row>
    <row r="555" customFormat="false" ht="15" hidden="false" customHeight="false" outlineLevel="0" collapsed="false">
      <c r="A555" s="12" t="n">
        <v>552</v>
      </c>
      <c r="B555" s="8" t="s">
        <v>1180</v>
      </c>
      <c r="C555" s="8" t="s">
        <v>1181</v>
      </c>
      <c r="D555" s="11" t="n">
        <v>0.00284722222222222</v>
      </c>
      <c r="E555" s="39" t="n">
        <f aca="false">ROUND((D555-$D$5)*86400,2)</f>
        <v>20.97</v>
      </c>
      <c r="F555" s="12" t="n">
        <v>705</v>
      </c>
      <c r="G555" s="11" t="n">
        <f aca="false">IF(INDEX(選手一覧!$D$5:$D$2736,$F555)="","",INDEX(選手一覧!$D$5:$D$2736,$F555))</f>
        <v>0.0107795138888889</v>
      </c>
      <c r="H555" s="12" t="n">
        <f aca="false">IF(INDEX(選手一覧!$E$5:$E$2736,$F555)="","",INDEX(選手一覧!$E$5:$E$2736,$F555))</f>
        <v>706</v>
      </c>
      <c r="I555" s="11" t="n">
        <f aca="false">IF(INDEX(選手一覧!$F$5:$F$2736,$F555)="","",INDEX(選手一覧!$F$5:$F$2736,$F555))</f>
        <v>0.00684710648148148</v>
      </c>
      <c r="J555" s="12" t="n">
        <f aca="false">IF(INDEX(選手一覧!$G$5:$G$2736,$F555)="","",INDEX(選手一覧!$G$5:$G$2736,$F555))</f>
        <v>201</v>
      </c>
    </row>
    <row r="556" customFormat="false" ht="15" hidden="false" customHeight="false" outlineLevel="0" collapsed="false">
      <c r="A556" s="12" t="n">
        <v>553</v>
      </c>
      <c r="B556" s="8" t="s">
        <v>2055</v>
      </c>
      <c r="C556" s="8" t="s">
        <v>2056</v>
      </c>
      <c r="D556" s="11" t="n">
        <v>0.00284722222222222</v>
      </c>
      <c r="E556" s="39" t="n">
        <f aca="false">ROUND((D556-$D$5)*86400,2)</f>
        <v>20.97</v>
      </c>
      <c r="F556" s="12" t="n">
        <v>1307</v>
      </c>
      <c r="G556" s="11" t="str">
        <f aca="false">IF(INDEX(選手一覧!$D$5:$D$2736,$F556)="","",INDEX(選手一覧!$D$5:$D$2736,$F556))</f>
        <v/>
      </c>
      <c r="H556" s="12" t="str">
        <f aca="false">IF(INDEX(選手一覧!$E$5:$E$2736,$F556)="","",INDEX(選手一覧!$E$5:$E$2736,$F556))</f>
        <v/>
      </c>
      <c r="I556" s="11" t="n">
        <f aca="false">IF(INDEX(選手一覧!$F$5:$F$2736,$F556)="","",INDEX(選手一覧!$F$5:$F$2736,$F556))</f>
        <v>0.00669270833333333</v>
      </c>
      <c r="J556" s="12" t="n">
        <f aca="false">IF(INDEX(選手一覧!$G$5:$G$2736,$F556)="","",INDEX(選手一覧!$G$5:$G$2736,$F556))</f>
        <v>105</v>
      </c>
    </row>
    <row r="557" customFormat="false" ht="15" hidden="false" customHeight="false" outlineLevel="0" collapsed="false">
      <c r="A557" s="12" t="n">
        <v>554</v>
      </c>
      <c r="B557" s="8" t="s">
        <v>660</v>
      </c>
      <c r="C557" s="8" t="s">
        <v>661</v>
      </c>
      <c r="D557" s="11" t="n">
        <v>0.00284733796296296</v>
      </c>
      <c r="E557" s="39" t="n">
        <f aca="false">ROUND((D557-$D$5)*86400,2)</f>
        <v>20.98</v>
      </c>
      <c r="F557" s="12" t="n">
        <v>366</v>
      </c>
      <c r="G557" s="11" t="n">
        <f aca="false">IF(INDEX(選手一覧!$D$5:$D$2736,$F557)="","",INDEX(選手一覧!$D$5:$D$2736,$F557))</f>
        <v>0.010525462962963</v>
      </c>
      <c r="H557" s="12" t="n">
        <f aca="false">IF(INDEX(選手一覧!$E$5:$E$2736,$F557)="","",INDEX(選手一覧!$E$5:$E$2736,$F557))</f>
        <v>367</v>
      </c>
      <c r="I557" s="11" t="str">
        <f aca="false">IF(INDEX(選手一覧!$F$5:$F$2736,$F557)="","",INDEX(選手一覧!$F$5:$F$2736,$F557))</f>
        <v/>
      </c>
      <c r="J557" s="12" t="str">
        <f aca="false">IF(INDEX(選手一覧!$G$5:$G$2736,$F557)="","",INDEX(選手一覧!$G$5:$G$2736,$F557))</f>
        <v/>
      </c>
    </row>
    <row r="558" customFormat="false" ht="15" hidden="false" customHeight="false" outlineLevel="0" collapsed="false">
      <c r="A558" s="12" t="n">
        <v>555</v>
      </c>
      <c r="B558" s="8" t="s">
        <v>550</v>
      </c>
      <c r="C558" s="8" t="s">
        <v>390</v>
      </c>
      <c r="D558" s="11" t="n">
        <v>0.00284768518518519</v>
      </c>
      <c r="E558" s="39" t="n">
        <f aca="false">ROUND((D558-$D$5)*86400,2)</f>
        <v>21.01</v>
      </c>
      <c r="F558" s="12" t="n">
        <v>297</v>
      </c>
      <c r="G558" s="11" t="n">
        <f aca="false">IF(INDEX(選手一覧!$D$5:$D$2736,$F558)="","",INDEX(選手一覧!$D$5:$D$2736,$F558))</f>
        <v>0.0104372685185185</v>
      </c>
      <c r="H558" s="12" t="n">
        <f aca="false">IF(INDEX(選手一覧!$E$5:$E$2736,$F558)="","",INDEX(選手一覧!$E$5:$E$2736,$F558))</f>
        <v>298</v>
      </c>
      <c r="I558" s="11" t="str">
        <f aca="false">IF(INDEX(選手一覧!$F$5:$F$2736,$F558)="","",INDEX(選手一覧!$F$5:$F$2736,$F558))</f>
        <v/>
      </c>
      <c r="J558" s="12" t="str">
        <f aca="false">IF(INDEX(選手一覧!$G$5:$G$2736,$F558)="","",INDEX(選手一覧!$G$5:$G$2736,$F558))</f>
        <v/>
      </c>
    </row>
    <row r="559" customFormat="false" ht="15" hidden="false" customHeight="false" outlineLevel="0" collapsed="false">
      <c r="A559" s="12" t="n">
        <v>556</v>
      </c>
      <c r="B559" s="8" t="s">
        <v>2577</v>
      </c>
      <c r="C559" s="8" t="s">
        <v>1684</v>
      </c>
      <c r="D559" s="11" t="n">
        <v>0.00284814814814815</v>
      </c>
      <c r="E559" s="39" t="n">
        <f aca="false">ROUND((D559-$D$5)*86400,2)</f>
        <v>21.05</v>
      </c>
      <c r="F559" s="12" t="n">
        <v>1650</v>
      </c>
      <c r="G559" s="11" t="str">
        <f aca="false">IF(INDEX(選手一覧!$D$5:$D$2736,$F559)="","",INDEX(選手一覧!$D$5:$D$2736,$F559))</f>
        <v/>
      </c>
      <c r="H559" s="12" t="str">
        <f aca="false">IF(INDEX(選手一覧!$E$5:$E$2736,$F559)="","",INDEX(選手一覧!$E$5:$E$2736,$F559))</f>
        <v/>
      </c>
      <c r="I559" s="11" t="str">
        <f aca="false">IF(INDEX(選手一覧!$F$5:$F$2736,$F559)="","",INDEX(選手一覧!$F$5:$F$2736,$F559))</f>
        <v/>
      </c>
      <c r="J559" s="12" t="str">
        <f aca="false">IF(INDEX(選手一覧!$G$5:$G$2736,$F559)="","",INDEX(選手一覧!$G$5:$G$2736,$F559))</f>
        <v/>
      </c>
    </row>
    <row r="560" customFormat="false" ht="15" hidden="false" customHeight="false" outlineLevel="0" collapsed="false">
      <c r="A560" s="12" t="n">
        <v>557</v>
      </c>
      <c r="B560" s="8" t="s">
        <v>1136</v>
      </c>
      <c r="C560" s="8" t="s">
        <v>1137</v>
      </c>
      <c r="D560" s="11" t="n">
        <v>0.00284837962962963</v>
      </c>
      <c r="E560" s="39" t="n">
        <f aca="false">ROUND((D560-$D$5)*86400,2)</f>
        <v>21.07</v>
      </c>
      <c r="F560" s="12" t="n">
        <v>677</v>
      </c>
      <c r="G560" s="11" t="n">
        <f aca="false">IF(INDEX(選手一覧!$D$5:$D$2736,$F560)="","",INDEX(選手一覧!$D$5:$D$2736,$F560))</f>
        <v>0.0107594907407407</v>
      </c>
      <c r="H560" s="12" t="n">
        <f aca="false">IF(INDEX(選手一覧!$E$5:$E$2736,$F560)="","",INDEX(選手一覧!$E$5:$E$2736,$F560))</f>
        <v>678</v>
      </c>
      <c r="I560" s="11" t="str">
        <f aca="false">IF(INDEX(選手一覧!$F$5:$F$2736,$F560)="","",INDEX(選手一覧!$F$5:$F$2736,$F560))</f>
        <v/>
      </c>
      <c r="J560" s="12" t="str">
        <f aca="false">IF(INDEX(選手一覧!$G$5:$G$2736,$F560)="","",INDEX(選手一覧!$G$5:$G$2736,$F560))</f>
        <v/>
      </c>
    </row>
    <row r="561" customFormat="false" ht="15" hidden="false" customHeight="false" outlineLevel="0" collapsed="false">
      <c r="A561" s="12" t="n">
        <v>558</v>
      </c>
      <c r="B561" s="8" t="s">
        <v>1210</v>
      </c>
      <c r="C561" s="8" t="s">
        <v>1211</v>
      </c>
      <c r="D561" s="11" t="n">
        <v>0.00284861111111111</v>
      </c>
      <c r="E561" s="39" t="n">
        <f aca="false">ROUND((D561-$D$5)*86400,2)</f>
        <v>21.09</v>
      </c>
      <c r="F561" s="12" t="n">
        <v>724</v>
      </c>
      <c r="G561" s="11" t="n">
        <f aca="false">IF(INDEX(選手一覧!$D$5:$D$2736,$F561)="","",INDEX(選手一覧!$D$5:$D$2736,$F561))</f>
        <v>0.0107909722222222</v>
      </c>
      <c r="H561" s="12" t="n">
        <f aca="false">IF(INDEX(選手一覧!$E$5:$E$2736,$F561)="","",INDEX(選手一覧!$E$5:$E$2736,$F561))</f>
        <v>725</v>
      </c>
      <c r="I561" s="11" t="n">
        <f aca="false">IF(INDEX(選手一覧!$F$5:$F$2736,$F561)="","",INDEX(選手一覧!$F$5:$F$2736,$F561))</f>
        <v>0.00711053240740741</v>
      </c>
      <c r="J561" s="12" t="n">
        <f aca="false">IF(INDEX(選手一覧!$G$5:$G$2736,$F561)="","",INDEX(選手一覧!$G$5:$G$2736,$F561))</f>
        <v>456</v>
      </c>
    </row>
    <row r="562" customFormat="false" ht="15" hidden="false" customHeight="false" outlineLevel="0" collapsed="false">
      <c r="A562" s="12" t="n">
        <v>559</v>
      </c>
      <c r="B562" s="8" t="s">
        <v>556</v>
      </c>
      <c r="C562" s="8" t="s">
        <v>118</v>
      </c>
      <c r="D562" s="11" t="n">
        <v>0.00284861111111111</v>
      </c>
      <c r="E562" s="39" t="n">
        <f aca="false">ROUND((D562-$D$5)*86400,2)</f>
        <v>21.09</v>
      </c>
      <c r="F562" s="12" t="n">
        <v>300</v>
      </c>
      <c r="G562" s="11" t="n">
        <f aca="false">IF(INDEX(選手一覧!$D$5:$D$2736,$F562)="","",INDEX(選手一覧!$D$5:$D$2736,$F562))</f>
        <v>0.0104480324074074</v>
      </c>
      <c r="H562" s="12" t="n">
        <f aca="false">IF(INDEX(選手一覧!$E$5:$E$2736,$F562)="","",INDEX(選手一覧!$E$5:$E$2736,$F562))</f>
        <v>301</v>
      </c>
      <c r="I562" s="11" t="n">
        <f aca="false">IF(INDEX(選手一覧!$F$5:$F$2736,$F562)="","",INDEX(選手一覧!$F$5:$F$2736,$F562))</f>
        <v>0.00657083333333333</v>
      </c>
      <c r="J562" s="12" t="n">
        <f aca="false">IF(INDEX(選手一覧!$G$5:$G$2736,$F562)="","",INDEX(選手一覧!$G$5:$G$2736,$F562))</f>
        <v>59</v>
      </c>
    </row>
    <row r="563" customFormat="false" ht="15" hidden="false" customHeight="false" outlineLevel="0" collapsed="false">
      <c r="A563" s="12" t="n">
        <v>560</v>
      </c>
      <c r="B563" s="8" t="s">
        <v>699</v>
      </c>
      <c r="C563" s="8" t="s">
        <v>700</v>
      </c>
      <c r="D563" s="11" t="n">
        <v>0.00284861111111111</v>
      </c>
      <c r="E563" s="39" t="n">
        <f aca="false">ROUND((D563-$D$5)*86400,2)</f>
        <v>21.09</v>
      </c>
      <c r="F563" s="12" t="n">
        <v>391</v>
      </c>
      <c r="G563" s="11" t="n">
        <f aca="false">IF(INDEX(選手一覧!$D$5:$D$2736,$F563)="","",INDEX(選手一覧!$D$5:$D$2736,$F563))</f>
        <v>0.010544212962963</v>
      </c>
      <c r="H563" s="12" t="n">
        <f aca="false">IF(INDEX(選手一覧!$E$5:$E$2736,$F563)="","",INDEX(選手一覧!$E$5:$E$2736,$F563))</f>
        <v>392</v>
      </c>
      <c r="I563" s="11" t="str">
        <f aca="false">IF(INDEX(選手一覧!$F$5:$F$2736,$F563)="","",INDEX(選手一覧!$F$5:$F$2736,$F563))</f>
        <v/>
      </c>
      <c r="J563" s="12" t="str">
        <f aca="false">IF(INDEX(選手一覧!$G$5:$G$2736,$F563)="","",INDEX(選手一覧!$G$5:$G$2736,$F563))</f>
        <v/>
      </c>
    </row>
    <row r="564" customFormat="false" ht="15" hidden="false" customHeight="false" outlineLevel="0" collapsed="false">
      <c r="A564" s="12" t="n">
        <v>561</v>
      </c>
      <c r="B564" s="8" t="s">
        <v>1215</v>
      </c>
      <c r="C564" s="8" t="s">
        <v>1042</v>
      </c>
      <c r="D564" s="11" t="n">
        <v>0.00284884259259259</v>
      </c>
      <c r="E564" s="39" t="n">
        <f aca="false">ROUND((D564-$D$5)*86400,2)</f>
        <v>21.11</v>
      </c>
      <c r="F564" s="12" t="n">
        <v>727</v>
      </c>
      <c r="G564" s="11" t="n">
        <f aca="false">IF(INDEX(選手一覧!$D$5:$D$2736,$F564)="","",INDEX(選手一覧!$D$5:$D$2736,$F564))</f>
        <v>0.0107917824074074</v>
      </c>
      <c r="H564" s="12" t="n">
        <f aca="false">IF(INDEX(選手一覧!$E$5:$E$2736,$F564)="","",INDEX(選手一覧!$E$5:$E$2736,$F564))</f>
        <v>728</v>
      </c>
      <c r="I564" s="11" t="str">
        <f aca="false">IF(INDEX(選手一覧!$F$5:$F$2736,$F564)="","",INDEX(選手一覧!$F$5:$F$2736,$F564))</f>
        <v/>
      </c>
      <c r="J564" s="12" t="str">
        <f aca="false">IF(INDEX(選手一覧!$G$5:$G$2736,$F564)="","",INDEX(選手一覧!$G$5:$G$2736,$F564))</f>
        <v/>
      </c>
    </row>
    <row r="565" customFormat="false" ht="15" hidden="false" customHeight="false" outlineLevel="0" collapsed="false">
      <c r="A565" s="12" t="n">
        <v>562</v>
      </c>
      <c r="B565" s="8" t="s">
        <v>2585</v>
      </c>
      <c r="C565" s="8" t="s">
        <v>2586</v>
      </c>
      <c r="D565" s="11" t="n">
        <v>0.00284884259259259</v>
      </c>
      <c r="E565" s="39" t="n">
        <f aca="false">ROUND((D565-$D$5)*86400,2)</f>
        <v>21.11</v>
      </c>
      <c r="F565" s="12" t="n">
        <v>1656</v>
      </c>
      <c r="G565" s="11" t="str">
        <f aca="false">IF(INDEX(選手一覧!$D$5:$D$2736,$F565)="","",INDEX(選手一覧!$D$5:$D$2736,$F565))</f>
        <v/>
      </c>
      <c r="H565" s="12" t="str">
        <f aca="false">IF(INDEX(選手一覧!$E$5:$E$2736,$F565)="","",INDEX(選手一覧!$E$5:$E$2736,$F565))</f>
        <v/>
      </c>
      <c r="I565" s="11" t="str">
        <f aca="false">IF(INDEX(選手一覧!$F$5:$F$2736,$F565)="","",INDEX(選手一覧!$F$5:$F$2736,$F565))</f>
        <v/>
      </c>
      <c r="J565" s="12" t="str">
        <f aca="false">IF(INDEX(選手一覧!$G$5:$G$2736,$F565)="","",INDEX(選手一覧!$G$5:$G$2736,$F565))</f>
        <v/>
      </c>
    </row>
    <row r="566" customFormat="false" ht="15" hidden="false" customHeight="false" outlineLevel="0" collapsed="false">
      <c r="A566" s="12" t="n">
        <v>563</v>
      </c>
      <c r="B566" s="8" t="s">
        <v>2589</v>
      </c>
      <c r="C566" s="8" t="s">
        <v>2590</v>
      </c>
      <c r="D566" s="11" t="n">
        <v>0.00284884259259259</v>
      </c>
      <c r="E566" s="39" t="n">
        <f aca="false">ROUND((D566-$D$5)*86400,2)</f>
        <v>21.11</v>
      </c>
      <c r="F566" s="12" t="n">
        <v>1658</v>
      </c>
      <c r="G566" s="11" t="str">
        <f aca="false">IF(INDEX(選手一覧!$D$5:$D$2736,$F566)="","",INDEX(選手一覧!$D$5:$D$2736,$F566))</f>
        <v/>
      </c>
      <c r="H566" s="12" t="str">
        <f aca="false">IF(INDEX(選手一覧!$E$5:$E$2736,$F566)="","",INDEX(選手一覧!$E$5:$E$2736,$F566))</f>
        <v/>
      </c>
      <c r="I566" s="11" t="str">
        <f aca="false">IF(INDEX(選手一覧!$F$5:$F$2736,$F566)="","",INDEX(選手一覧!$F$5:$F$2736,$F566))</f>
        <v/>
      </c>
      <c r="J566" s="12" t="str">
        <f aca="false">IF(INDEX(選手一覧!$G$5:$G$2736,$F566)="","",INDEX(選手一覧!$G$5:$G$2736,$F566))</f>
        <v/>
      </c>
    </row>
    <row r="567" customFormat="false" ht="15" hidden="false" customHeight="false" outlineLevel="0" collapsed="false">
      <c r="A567" s="12" t="n">
        <v>564</v>
      </c>
      <c r="B567" s="8" t="s">
        <v>1958</v>
      </c>
      <c r="C567" s="8" t="s">
        <v>641</v>
      </c>
      <c r="D567" s="11" t="n">
        <v>0.00284895833333333</v>
      </c>
      <c r="E567" s="39" t="n">
        <f aca="false">ROUND((D567-$D$5)*86400,2)</f>
        <v>21.12</v>
      </c>
      <c r="F567" s="12" t="n">
        <v>1231</v>
      </c>
      <c r="G567" s="11" t="n">
        <f aca="false">IF(INDEX(選手一覧!$D$5:$D$2736,$F567)="","",INDEX(選手一覧!$D$5:$D$2736,$F567))</f>
        <v>0.0110673611111111</v>
      </c>
      <c r="H567" s="12" t="n">
        <f aca="false">IF(INDEX(選手一覧!$E$5:$E$2736,$F567)="","",INDEX(選手一覧!$E$5:$E$2736,$F567))</f>
        <v>1232</v>
      </c>
      <c r="I567" s="11" t="str">
        <f aca="false">IF(INDEX(選手一覧!$F$5:$F$2736,$F567)="","",INDEX(選手一覧!$F$5:$F$2736,$F567))</f>
        <v/>
      </c>
      <c r="J567" s="12" t="str">
        <f aca="false">IF(INDEX(選手一覧!$G$5:$G$2736,$F567)="","",INDEX(選手一覧!$G$5:$G$2736,$F567))</f>
        <v/>
      </c>
    </row>
    <row r="568" customFormat="false" ht="15" hidden="false" customHeight="false" outlineLevel="0" collapsed="false">
      <c r="A568" s="12" t="n">
        <v>565</v>
      </c>
      <c r="B568" s="8" t="s">
        <v>2593</v>
      </c>
      <c r="C568" s="8" t="s">
        <v>1923</v>
      </c>
      <c r="D568" s="11" t="n">
        <v>0.00284895833333333</v>
      </c>
      <c r="E568" s="39" t="n">
        <f aca="false">ROUND((D568-$D$5)*86400,2)</f>
        <v>21.12</v>
      </c>
      <c r="F568" s="12" t="n">
        <v>1660</v>
      </c>
      <c r="G568" s="11" t="str">
        <f aca="false">IF(INDEX(選手一覧!$D$5:$D$2736,$F568)="","",INDEX(選手一覧!$D$5:$D$2736,$F568))</f>
        <v/>
      </c>
      <c r="H568" s="12" t="str">
        <f aca="false">IF(INDEX(選手一覧!$E$5:$E$2736,$F568)="","",INDEX(選手一覧!$E$5:$E$2736,$F568))</f>
        <v/>
      </c>
      <c r="I568" s="11" t="str">
        <f aca="false">IF(INDEX(選手一覧!$F$5:$F$2736,$F568)="","",INDEX(選手一覧!$F$5:$F$2736,$F568))</f>
        <v/>
      </c>
      <c r="J568" s="12" t="str">
        <f aca="false">IF(INDEX(選手一覧!$G$5:$G$2736,$F568)="","",INDEX(選手一覧!$G$5:$G$2736,$F568))</f>
        <v/>
      </c>
    </row>
    <row r="569" customFormat="false" ht="15" hidden="false" customHeight="false" outlineLevel="0" collapsed="false">
      <c r="A569" s="12" t="n">
        <v>566</v>
      </c>
      <c r="B569" s="8" t="s">
        <v>2595</v>
      </c>
      <c r="C569" s="8" t="s">
        <v>2434</v>
      </c>
      <c r="D569" s="11" t="n">
        <v>0.00284907407407407</v>
      </c>
      <c r="E569" s="39" t="n">
        <f aca="false">ROUND((D569-$D$5)*86400,2)</f>
        <v>21.13</v>
      </c>
      <c r="F569" s="12" t="n">
        <v>1662</v>
      </c>
      <c r="G569" s="11" t="str">
        <f aca="false">IF(INDEX(選手一覧!$D$5:$D$2736,$F569)="","",INDEX(選手一覧!$D$5:$D$2736,$F569))</f>
        <v/>
      </c>
      <c r="H569" s="12" t="str">
        <f aca="false">IF(INDEX(選手一覧!$E$5:$E$2736,$F569)="","",INDEX(選手一覧!$E$5:$E$2736,$F569))</f>
        <v/>
      </c>
      <c r="I569" s="11" t="str">
        <f aca="false">IF(INDEX(選手一覧!$F$5:$F$2736,$F569)="","",INDEX(選手一覧!$F$5:$F$2736,$F569))</f>
        <v/>
      </c>
      <c r="J569" s="12" t="str">
        <f aca="false">IF(INDEX(選手一覧!$G$5:$G$2736,$F569)="","",INDEX(選手一覧!$G$5:$G$2736,$F569))</f>
        <v/>
      </c>
    </row>
    <row r="570" customFormat="false" ht="15" hidden="false" customHeight="false" outlineLevel="0" collapsed="false">
      <c r="A570" s="12" t="n">
        <v>567</v>
      </c>
      <c r="B570" s="8" t="s">
        <v>1500</v>
      </c>
      <c r="C570" s="8" t="s">
        <v>96</v>
      </c>
      <c r="D570" s="11" t="n">
        <v>0.00284930555555556</v>
      </c>
      <c r="E570" s="39" t="n">
        <f aca="false">ROUND((D570-$D$5)*86400,2)</f>
        <v>21.15</v>
      </c>
      <c r="F570" s="12" t="n">
        <v>917</v>
      </c>
      <c r="G570" s="11" t="n">
        <f aca="false">IF(INDEX(選手一覧!$D$5:$D$2736,$F570)="","",INDEX(選手一覧!$D$5:$D$2736,$F570))</f>
        <v>0.0108980324074074</v>
      </c>
      <c r="H570" s="12" t="n">
        <f aca="false">IF(INDEX(選手一覧!$E$5:$E$2736,$F570)="","",INDEX(選手一覧!$E$5:$E$2736,$F570))</f>
        <v>918</v>
      </c>
      <c r="I570" s="11" t="str">
        <f aca="false">IF(INDEX(選手一覧!$F$5:$F$2736,$F570)="","",INDEX(選手一覧!$F$5:$F$2736,$F570))</f>
        <v/>
      </c>
      <c r="J570" s="12" t="str">
        <f aca="false">IF(INDEX(選手一覧!$G$5:$G$2736,$F570)="","",INDEX(選手一覧!$G$5:$G$2736,$F570))</f>
        <v/>
      </c>
    </row>
    <row r="571" customFormat="false" ht="15" hidden="false" customHeight="false" outlineLevel="0" collapsed="false">
      <c r="A571" s="12" t="n">
        <v>568</v>
      </c>
      <c r="B571" s="8" t="s">
        <v>1974</v>
      </c>
      <c r="C571" s="8" t="s">
        <v>1975</v>
      </c>
      <c r="D571" s="11" t="n">
        <v>0.0028494212962963</v>
      </c>
      <c r="E571" s="39" t="n">
        <f aca="false">ROUND((D571-$D$5)*86400,2)</f>
        <v>21.16</v>
      </c>
      <c r="F571" s="12" t="n">
        <v>1244</v>
      </c>
      <c r="G571" s="11" t="n">
        <f aca="false">IF(INDEX(選手一覧!$D$5:$D$2736,$F571)="","",INDEX(選手一覧!$D$5:$D$2736,$F571))</f>
        <v>0.0110770833333333</v>
      </c>
      <c r="H571" s="12" t="n">
        <f aca="false">IF(INDEX(選手一覧!$E$5:$E$2736,$F571)="","",INDEX(選手一覧!$E$5:$E$2736,$F571))</f>
        <v>1245</v>
      </c>
      <c r="I571" s="11" t="n">
        <f aca="false">IF(INDEX(選手一覧!$F$5:$F$2736,$F571)="","",INDEX(選手一覧!$F$5:$F$2736,$F571))</f>
        <v>0.00696886574074074</v>
      </c>
      <c r="J571" s="12" t="n">
        <f aca="false">IF(INDEX(選手一覧!$G$5:$G$2736,$F571)="","",INDEX(選手一覧!$G$5:$G$2736,$F571))</f>
        <v>303</v>
      </c>
    </row>
    <row r="572" customFormat="false" ht="15" hidden="false" customHeight="false" outlineLevel="0" collapsed="false">
      <c r="A572" s="12" t="n">
        <v>569</v>
      </c>
      <c r="B572" s="8" t="s">
        <v>315</v>
      </c>
      <c r="C572" s="8" t="s">
        <v>316</v>
      </c>
      <c r="D572" s="11" t="n">
        <v>0.00284988425925926</v>
      </c>
      <c r="E572" s="39" t="n">
        <f aca="false">ROUND((D572-$D$5)*86400,2)</f>
        <v>21.2</v>
      </c>
      <c r="F572" s="12" t="n">
        <v>154</v>
      </c>
      <c r="G572" s="11" t="n">
        <f aca="false">IF(INDEX(選手一覧!$D$5:$D$2736,$F572)="","",INDEX(選手一覧!$D$5:$D$2736,$F572))</f>
        <v>0.0102916666666667</v>
      </c>
      <c r="H572" s="12" t="n">
        <f aca="false">IF(INDEX(選手一覧!$E$5:$E$2736,$F572)="","",INDEX(選手一覧!$E$5:$E$2736,$F572))</f>
        <v>155</v>
      </c>
      <c r="I572" s="11" t="n">
        <f aca="false">IF(INDEX(選手一覧!$F$5:$F$2736,$F572)="","",INDEX(選手一覧!$F$5:$F$2736,$F572))</f>
        <v>0.00632650462962963</v>
      </c>
      <c r="J572" s="12" t="n">
        <f aca="false">IF(INDEX(選手一覧!$G$5:$G$2736,$F572)="","",INDEX(選手一覧!$G$5:$G$2736,$F572))</f>
        <v>5</v>
      </c>
    </row>
    <row r="573" customFormat="false" ht="15" hidden="false" customHeight="false" outlineLevel="0" collapsed="false">
      <c r="A573" s="12" t="n">
        <v>570</v>
      </c>
      <c r="B573" s="8" t="s">
        <v>734</v>
      </c>
      <c r="C573" s="8" t="s">
        <v>735</v>
      </c>
      <c r="D573" s="11" t="n">
        <v>0.00284988425925926</v>
      </c>
      <c r="E573" s="39" t="n">
        <f aca="false">ROUND((D573-$D$5)*86400,2)</f>
        <v>21.2</v>
      </c>
      <c r="F573" s="12" t="n">
        <v>411</v>
      </c>
      <c r="G573" s="11" t="n">
        <f aca="false">IF(INDEX(選手一覧!$D$5:$D$2736,$F573)="","",INDEX(選手一覧!$D$5:$D$2736,$F573))</f>
        <v>0.0105601851851852</v>
      </c>
      <c r="H573" s="12" t="n">
        <f aca="false">IF(INDEX(選手一覧!$E$5:$E$2736,$F573)="","",INDEX(選手一覧!$E$5:$E$2736,$F573))</f>
        <v>412</v>
      </c>
      <c r="I573" s="11" t="str">
        <f aca="false">IF(INDEX(選手一覧!$F$5:$F$2736,$F573)="","",INDEX(選手一覧!$F$5:$F$2736,$F573))</f>
        <v/>
      </c>
      <c r="J573" s="12" t="str">
        <f aca="false">IF(INDEX(選手一覧!$G$5:$G$2736,$F573)="","",INDEX(選手一覧!$G$5:$G$2736,$F573))</f>
        <v/>
      </c>
    </row>
    <row r="574" customFormat="false" ht="15" hidden="false" customHeight="false" outlineLevel="0" collapsed="false">
      <c r="A574" s="12" t="n">
        <v>571</v>
      </c>
      <c r="B574" s="8" t="s">
        <v>449</v>
      </c>
      <c r="C574" s="8" t="s">
        <v>450</v>
      </c>
      <c r="D574" s="11" t="n">
        <v>0.00285034722222222</v>
      </c>
      <c r="E574" s="39" t="n">
        <f aca="false">ROUND((D574-$D$5)*86400,2)</f>
        <v>21.24</v>
      </c>
      <c r="F574" s="12" t="n">
        <v>233</v>
      </c>
      <c r="G574" s="11" t="n">
        <f aca="false">IF(INDEX(選手一覧!$D$5:$D$2736,$F574)="","",INDEX(選手一覧!$D$5:$D$2736,$F574))</f>
        <v>0.0103759259259259</v>
      </c>
      <c r="H574" s="12" t="n">
        <f aca="false">IF(INDEX(選手一覧!$E$5:$E$2736,$F574)="","",INDEX(選手一覧!$E$5:$E$2736,$F574))</f>
        <v>234</v>
      </c>
      <c r="I574" s="11" t="str">
        <f aca="false">IF(INDEX(選手一覧!$F$5:$F$2736,$F574)="","",INDEX(選手一覧!$F$5:$F$2736,$F574))</f>
        <v/>
      </c>
      <c r="J574" s="12" t="str">
        <f aca="false">IF(INDEX(選手一覧!$G$5:$G$2736,$F574)="","",INDEX(選手一覧!$G$5:$G$2736,$F574))</f>
        <v/>
      </c>
    </row>
    <row r="575" customFormat="false" ht="15" hidden="false" customHeight="false" outlineLevel="0" collapsed="false">
      <c r="A575" s="12" t="n">
        <v>572</v>
      </c>
      <c r="B575" s="8" t="s">
        <v>1906</v>
      </c>
      <c r="C575" s="8" t="s">
        <v>1689</v>
      </c>
      <c r="D575" s="11" t="n">
        <v>0.0028505787037037</v>
      </c>
      <c r="E575" s="39" t="n">
        <f aca="false">ROUND((D575-$D$5)*86400,2)</f>
        <v>21.26</v>
      </c>
      <c r="F575" s="12" t="n">
        <v>1193</v>
      </c>
      <c r="G575" s="11" t="n">
        <f aca="false">IF(INDEX(選手一覧!$D$5:$D$2736,$F575)="","",INDEX(選手一覧!$D$5:$D$2736,$F575))</f>
        <v>0.011046875</v>
      </c>
      <c r="H575" s="12" t="n">
        <f aca="false">IF(INDEX(選手一覧!$E$5:$E$2736,$F575)="","",INDEX(選手一覧!$E$5:$E$2736,$F575))</f>
        <v>1194</v>
      </c>
      <c r="I575" s="11" t="str">
        <f aca="false">IF(INDEX(選手一覧!$F$5:$F$2736,$F575)="","",INDEX(選手一覧!$F$5:$F$2736,$F575))</f>
        <v/>
      </c>
      <c r="J575" s="12" t="str">
        <f aca="false">IF(INDEX(選手一覧!$G$5:$G$2736,$F575)="","",INDEX(選手一覧!$G$5:$G$2736,$F575))</f>
        <v/>
      </c>
    </row>
    <row r="576" customFormat="false" ht="15" hidden="false" customHeight="false" outlineLevel="0" collapsed="false">
      <c r="A576" s="12" t="n">
        <v>573</v>
      </c>
      <c r="B576" s="8" t="s">
        <v>2606</v>
      </c>
      <c r="C576" s="8" t="s">
        <v>283</v>
      </c>
      <c r="D576" s="11" t="n">
        <v>0.00285069444444445</v>
      </c>
      <c r="E576" s="39" t="n">
        <f aca="false">ROUND((D576-$D$5)*86400,2)</f>
        <v>21.27</v>
      </c>
      <c r="F576" s="12" t="n">
        <v>1670</v>
      </c>
      <c r="G576" s="11" t="str">
        <f aca="false">IF(INDEX(選手一覧!$D$5:$D$2736,$F576)="","",INDEX(選手一覧!$D$5:$D$2736,$F576))</f>
        <v/>
      </c>
      <c r="H576" s="12" t="str">
        <f aca="false">IF(INDEX(選手一覧!$E$5:$E$2736,$F576)="","",INDEX(選手一覧!$E$5:$E$2736,$F576))</f>
        <v/>
      </c>
      <c r="I576" s="11" t="str">
        <f aca="false">IF(INDEX(選手一覧!$F$5:$F$2736,$F576)="","",INDEX(選手一覧!$F$5:$F$2736,$F576))</f>
        <v/>
      </c>
      <c r="J576" s="12" t="str">
        <f aca="false">IF(INDEX(選手一覧!$G$5:$G$2736,$F576)="","",INDEX(選手一覧!$G$5:$G$2736,$F576))</f>
        <v/>
      </c>
    </row>
    <row r="577" customFormat="false" ht="15" hidden="false" customHeight="false" outlineLevel="0" collapsed="false">
      <c r="A577" s="12" t="n">
        <v>574</v>
      </c>
      <c r="B577" s="8" t="s">
        <v>988</v>
      </c>
      <c r="C577" s="8" t="s">
        <v>989</v>
      </c>
      <c r="D577" s="11" t="n">
        <v>0.00285069444444445</v>
      </c>
      <c r="E577" s="39" t="n">
        <f aca="false">ROUND((D577-$D$5)*86400,2)</f>
        <v>21.27</v>
      </c>
      <c r="F577" s="12" t="n">
        <v>573</v>
      </c>
      <c r="G577" s="11" t="n">
        <f aca="false">IF(INDEX(選手一覧!$D$5:$D$2736,$F577)="","",INDEX(選手一覧!$D$5:$D$2736,$F577))</f>
        <v>0.0106959490740741</v>
      </c>
      <c r="H577" s="12" t="n">
        <f aca="false">IF(INDEX(選手一覧!$E$5:$E$2736,$F577)="","",INDEX(選手一覧!$E$5:$E$2736,$F577))</f>
        <v>574</v>
      </c>
      <c r="I577" s="11" t="n">
        <f aca="false">IF(INDEX(選手一覧!$F$5:$F$2736,$F577)="","",INDEX(選手一覧!$F$5:$F$2736,$F577))</f>
        <v>0.00675868055555556</v>
      </c>
      <c r="J577" s="12" t="n">
        <f aca="false">IF(INDEX(選手一覧!$G$5:$G$2736,$F577)="","",INDEX(選手一覧!$G$5:$G$2736,$F577))</f>
        <v>134</v>
      </c>
    </row>
    <row r="578" customFormat="false" ht="15" hidden="false" customHeight="false" outlineLevel="0" collapsed="false">
      <c r="A578" s="12" t="n">
        <v>575</v>
      </c>
      <c r="B578" s="8" t="s">
        <v>2607</v>
      </c>
      <c r="C578" s="8" t="s">
        <v>2608</v>
      </c>
      <c r="D578" s="11" t="n">
        <v>0.00285092592592593</v>
      </c>
      <c r="E578" s="39" t="n">
        <f aca="false">ROUND((D578-$D$5)*86400,2)</f>
        <v>21.29</v>
      </c>
      <c r="F578" s="12" t="n">
        <v>1671</v>
      </c>
      <c r="G578" s="11" t="str">
        <f aca="false">IF(INDEX(選手一覧!$D$5:$D$2736,$F578)="","",INDEX(選手一覧!$D$5:$D$2736,$F578))</f>
        <v/>
      </c>
      <c r="H578" s="12" t="str">
        <f aca="false">IF(INDEX(選手一覧!$E$5:$E$2736,$F578)="","",INDEX(選手一覧!$E$5:$E$2736,$F578))</f>
        <v/>
      </c>
      <c r="I578" s="11" t="str">
        <f aca="false">IF(INDEX(選手一覧!$F$5:$F$2736,$F578)="","",INDEX(選手一覧!$F$5:$F$2736,$F578))</f>
        <v/>
      </c>
      <c r="J578" s="12" t="str">
        <f aca="false">IF(INDEX(選手一覧!$G$5:$G$2736,$F578)="","",INDEX(選手一覧!$G$5:$G$2736,$F578))</f>
        <v/>
      </c>
    </row>
    <row r="579" customFormat="false" ht="15" hidden="false" customHeight="false" outlineLevel="0" collapsed="false">
      <c r="A579" s="12" t="n">
        <v>576</v>
      </c>
      <c r="B579" s="8" t="s">
        <v>1018</v>
      </c>
      <c r="C579" s="8" t="s">
        <v>616</v>
      </c>
      <c r="D579" s="11" t="n">
        <v>0.00285115740740741</v>
      </c>
      <c r="E579" s="39" t="n">
        <f aca="false">ROUND((D579-$D$5)*86400,2)</f>
        <v>21.31</v>
      </c>
      <c r="F579" s="12" t="n">
        <v>594</v>
      </c>
      <c r="G579" s="11" t="n">
        <f aca="false">IF(INDEX(選手一覧!$D$5:$D$2736,$F579)="","",INDEX(選手一覧!$D$5:$D$2736,$F579))</f>
        <v>0.0107081018518519</v>
      </c>
      <c r="H579" s="12" t="n">
        <f aca="false">IF(INDEX(選手一覧!$E$5:$E$2736,$F579)="","",INDEX(選手一覧!$E$5:$E$2736,$F579))</f>
        <v>595</v>
      </c>
      <c r="I579" s="11" t="str">
        <f aca="false">IF(INDEX(選手一覧!$F$5:$F$2736,$F579)="","",INDEX(選手一覧!$F$5:$F$2736,$F579))</f>
        <v/>
      </c>
      <c r="J579" s="12" t="str">
        <f aca="false">IF(INDEX(選手一覧!$G$5:$G$2736,$F579)="","",INDEX(選手一覧!$G$5:$G$2736,$F579))</f>
        <v/>
      </c>
    </row>
    <row r="580" customFormat="false" ht="15" hidden="false" customHeight="false" outlineLevel="0" collapsed="false">
      <c r="A580" s="12" t="n">
        <v>577</v>
      </c>
      <c r="B580" s="8" t="s">
        <v>2610</v>
      </c>
      <c r="C580" s="8" t="s">
        <v>2611</v>
      </c>
      <c r="D580" s="11" t="n">
        <v>0.00285127314814815</v>
      </c>
      <c r="E580" s="39" t="n">
        <f aca="false">ROUND((D580-$D$5)*86400,2)</f>
        <v>21.32</v>
      </c>
      <c r="F580" s="12" t="n">
        <v>1673</v>
      </c>
      <c r="G580" s="11" t="str">
        <f aca="false">IF(INDEX(選手一覧!$D$5:$D$2736,$F580)="","",INDEX(選手一覧!$D$5:$D$2736,$F580))</f>
        <v/>
      </c>
      <c r="H580" s="12" t="str">
        <f aca="false">IF(INDEX(選手一覧!$E$5:$E$2736,$F580)="","",INDEX(選手一覧!$E$5:$E$2736,$F580))</f>
        <v/>
      </c>
      <c r="I580" s="11" t="str">
        <f aca="false">IF(INDEX(選手一覧!$F$5:$F$2736,$F580)="","",INDEX(選手一覧!$F$5:$F$2736,$F580))</f>
        <v/>
      </c>
      <c r="J580" s="12" t="str">
        <f aca="false">IF(INDEX(選手一覧!$G$5:$G$2736,$F580)="","",INDEX(選手一覧!$G$5:$G$2736,$F580))</f>
        <v/>
      </c>
    </row>
    <row r="581" customFormat="false" ht="15" hidden="false" customHeight="false" outlineLevel="0" collapsed="false">
      <c r="A581" s="12" t="n">
        <v>578</v>
      </c>
      <c r="B581" s="8" t="s">
        <v>1636</v>
      </c>
      <c r="C581" s="8" t="s">
        <v>584</v>
      </c>
      <c r="D581" s="11" t="n">
        <v>0.00285138888888889</v>
      </c>
      <c r="E581" s="39" t="n">
        <f aca="false">ROUND((D581-$D$5)*86400,2)</f>
        <v>21.33</v>
      </c>
      <c r="F581" s="12" t="n">
        <v>1011</v>
      </c>
      <c r="G581" s="11" t="n">
        <f aca="false">IF(INDEX(選手一覧!$D$5:$D$2736,$F581)="","",INDEX(選手一覧!$D$5:$D$2736,$F581))</f>
        <v>0.0109541666666667</v>
      </c>
      <c r="H581" s="12" t="n">
        <f aca="false">IF(INDEX(選手一覧!$E$5:$E$2736,$F581)="","",INDEX(選手一覧!$E$5:$E$2736,$F581))</f>
        <v>1012</v>
      </c>
      <c r="I581" s="11" t="n">
        <f aca="false">IF(INDEX(選手一覧!$F$5:$F$2736,$F581)="","",INDEX(選手一覧!$F$5:$F$2736,$F581))</f>
        <v>0.0069162037037037</v>
      </c>
      <c r="J581" s="12" t="n">
        <f aca="false">IF(INDEX(選手一覧!$G$5:$G$2736,$F581)="","",INDEX(選手一覧!$G$5:$G$2736,$F581))</f>
        <v>252</v>
      </c>
    </row>
    <row r="582" customFormat="false" ht="15" hidden="false" customHeight="false" outlineLevel="0" collapsed="false">
      <c r="A582" s="12" t="n">
        <v>579</v>
      </c>
      <c r="B582" s="8" t="s">
        <v>765</v>
      </c>
      <c r="C582" s="8" t="s">
        <v>344</v>
      </c>
      <c r="D582" s="11" t="n">
        <v>0.00285173611111111</v>
      </c>
      <c r="E582" s="39" t="n">
        <f aca="false">ROUND((D582-$D$5)*86400,2)</f>
        <v>21.36</v>
      </c>
      <c r="F582" s="12" t="n">
        <v>431</v>
      </c>
      <c r="G582" s="11" t="n">
        <f aca="false">IF(INDEX(選手一覧!$D$5:$D$2736,$F582)="","",INDEX(選手一覧!$D$5:$D$2736,$F582))</f>
        <v>0.0105770833333333</v>
      </c>
      <c r="H582" s="12" t="n">
        <f aca="false">IF(INDEX(選手一覧!$E$5:$E$2736,$F582)="","",INDEX(選手一覧!$E$5:$E$2736,$F582))</f>
        <v>432</v>
      </c>
      <c r="I582" s="11" t="str">
        <f aca="false">IF(INDEX(選手一覧!$F$5:$F$2736,$F582)="","",INDEX(選手一覧!$F$5:$F$2736,$F582))</f>
        <v/>
      </c>
      <c r="J582" s="12" t="str">
        <f aca="false">IF(INDEX(選手一覧!$G$5:$G$2736,$F582)="","",INDEX(選手一覧!$G$5:$G$2736,$F582))</f>
        <v/>
      </c>
    </row>
    <row r="583" customFormat="false" ht="15" hidden="false" customHeight="false" outlineLevel="0" collapsed="false">
      <c r="A583" s="12" t="n">
        <v>580</v>
      </c>
      <c r="B583" s="8" t="s">
        <v>2617</v>
      </c>
      <c r="C583" s="8" t="s">
        <v>1308</v>
      </c>
      <c r="D583" s="11" t="n">
        <v>0.00285185185185185</v>
      </c>
      <c r="E583" s="39" t="n">
        <f aca="false">ROUND((D583-$D$5)*86400,2)</f>
        <v>21.37</v>
      </c>
      <c r="F583" s="12" t="n">
        <v>1677</v>
      </c>
      <c r="G583" s="11" t="str">
        <f aca="false">IF(INDEX(選手一覧!$D$5:$D$2736,$F583)="","",INDEX(選手一覧!$D$5:$D$2736,$F583))</f>
        <v/>
      </c>
      <c r="H583" s="12" t="str">
        <f aca="false">IF(INDEX(選手一覧!$E$5:$E$2736,$F583)="","",INDEX(選手一覧!$E$5:$E$2736,$F583))</f>
        <v/>
      </c>
      <c r="I583" s="11" t="str">
        <f aca="false">IF(INDEX(選手一覧!$F$5:$F$2736,$F583)="","",INDEX(選手一覧!$F$5:$F$2736,$F583))</f>
        <v/>
      </c>
      <c r="J583" s="12" t="str">
        <f aca="false">IF(INDEX(選手一覧!$G$5:$G$2736,$F583)="","",INDEX(選手一覧!$G$5:$G$2736,$F583))</f>
        <v/>
      </c>
    </row>
    <row r="584" customFormat="false" ht="15" hidden="false" customHeight="false" outlineLevel="0" collapsed="false">
      <c r="A584" s="12" t="n">
        <v>581</v>
      </c>
      <c r="B584" s="8" t="s">
        <v>225</v>
      </c>
      <c r="C584" s="8" t="s">
        <v>148</v>
      </c>
      <c r="D584" s="11" t="n">
        <v>0.00285231481481482</v>
      </c>
      <c r="E584" s="39" t="n">
        <f aca="false">ROUND((D584-$D$5)*86400,2)</f>
        <v>21.41</v>
      </c>
      <c r="F584" s="12" t="n">
        <v>109</v>
      </c>
      <c r="G584" s="11" t="n">
        <f aca="false">IF(INDEX(選手一覧!$D$5:$D$2736,$F584)="","",INDEX(選手一覧!$D$5:$D$2736,$F584))</f>
        <v>0.0102280092592593</v>
      </c>
      <c r="H584" s="12" t="n">
        <f aca="false">IF(INDEX(選手一覧!$E$5:$E$2736,$F584)="","",INDEX(選手一覧!$E$5:$E$2736,$F584))</f>
        <v>110</v>
      </c>
      <c r="I584" s="11" t="str">
        <f aca="false">IF(INDEX(選手一覧!$F$5:$F$2736,$F584)="","",INDEX(選手一覧!$F$5:$F$2736,$F584))</f>
        <v/>
      </c>
      <c r="J584" s="12" t="str">
        <f aca="false">IF(INDEX(選手一覧!$G$5:$G$2736,$F584)="","",INDEX(選手一覧!$G$5:$G$2736,$F584))</f>
        <v/>
      </c>
    </row>
    <row r="585" customFormat="false" ht="15" hidden="false" customHeight="false" outlineLevel="0" collapsed="false">
      <c r="A585" s="12" t="n">
        <v>582</v>
      </c>
      <c r="B585" s="8" t="s">
        <v>774</v>
      </c>
      <c r="C585" s="8" t="s">
        <v>508</v>
      </c>
      <c r="D585" s="11" t="n">
        <v>0.00285243055555556</v>
      </c>
      <c r="E585" s="39" t="n">
        <f aca="false">ROUND((D585-$D$5)*86400,2)</f>
        <v>21.42</v>
      </c>
      <c r="F585" s="12" t="n">
        <v>436</v>
      </c>
      <c r="G585" s="11" t="n">
        <f aca="false">IF(INDEX(選手一覧!$D$5:$D$2736,$F585)="","",INDEX(選手一覧!$D$5:$D$2736,$F585))</f>
        <v>0.0105821759259259</v>
      </c>
      <c r="H585" s="12" t="n">
        <f aca="false">IF(INDEX(選手一覧!$E$5:$E$2736,$F585)="","",INDEX(選手一覧!$E$5:$E$2736,$F585))</f>
        <v>437</v>
      </c>
      <c r="I585" s="11" t="n">
        <f aca="false">IF(INDEX(選手一覧!$F$5:$F$2736,$F585)="","",INDEX(選手一覧!$F$5:$F$2736,$F585))</f>
        <v>0.00698576388888889</v>
      </c>
      <c r="J585" s="12" t="n">
        <f aca="false">IF(INDEX(選手一覧!$G$5:$G$2736,$F585)="","",INDEX(選手一覧!$G$5:$G$2736,$F585))</f>
        <v>320</v>
      </c>
    </row>
    <row r="586" customFormat="false" ht="15" hidden="false" customHeight="false" outlineLevel="0" collapsed="false">
      <c r="A586" s="12" t="n">
        <v>583</v>
      </c>
      <c r="B586" s="8" t="s">
        <v>947</v>
      </c>
      <c r="C586" s="8" t="s">
        <v>530</v>
      </c>
      <c r="D586" s="11" t="n">
        <v>0.0028525462962963</v>
      </c>
      <c r="E586" s="39" t="n">
        <f aca="false">ROUND((D586-$D$5)*86400,2)</f>
        <v>21.43</v>
      </c>
      <c r="F586" s="12" t="n">
        <v>544</v>
      </c>
      <c r="G586" s="11" t="n">
        <f aca="false">IF(INDEX(選手一覧!$D$5:$D$2736,$F586)="","",INDEX(選手一覧!$D$5:$D$2736,$F586))</f>
        <v>0.0106689814814815</v>
      </c>
      <c r="H586" s="12" t="n">
        <f aca="false">IF(INDEX(選手一覧!$E$5:$E$2736,$F586)="","",INDEX(選手一覧!$E$5:$E$2736,$F586))</f>
        <v>545</v>
      </c>
      <c r="I586" s="11" t="n">
        <f aca="false">IF(INDEX(選手一覧!$F$5:$F$2736,$F586)="","",INDEX(選手一覧!$F$5:$F$2736,$F586))</f>
        <v>0.0068630787037037</v>
      </c>
      <c r="J586" s="12" t="n">
        <f aca="false">IF(INDEX(選手一覧!$G$5:$G$2736,$F586)="","",INDEX(選手一覧!$G$5:$G$2736,$F586))</f>
        <v>214</v>
      </c>
    </row>
    <row r="587" customFormat="false" ht="15" hidden="false" customHeight="false" outlineLevel="0" collapsed="false">
      <c r="A587" s="12" t="n">
        <v>584</v>
      </c>
      <c r="B587" s="8" t="s">
        <v>720</v>
      </c>
      <c r="C587" s="8" t="s">
        <v>721</v>
      </c>
      <c r="D587" s="11" t="n">
        <v>0.00285266203703704</v>
      </c>
      <c r="E587" s="39" t="n">
        <f aca="false">ROUND((D587-$D$5)*86400,2)</f>
        <v>21.44</v>
      </c>
      <c r="F587" s="12" t="n">
        <v>404</v>
      </c>
      <c r="G587" s="11" t="n">
        <f aca="false">IF(INDEX(選手一覧!$D$5:$D$2736,$F587)="","",INDEX(選手一覧!$D$5:$D$2736,$F587))</f>
        <v>0.0105543981481482</v>
      </c>
      <c r="H587" s="12" t="n">
        <f aca="false">IF(INDEX(選手一覧!$E$5:$E$2736,$F587)="","",INDEX(選手一覧!$E$5:$E$2736,$F587))</f>
        <v>405</v>
      </c>
      <c r="I587" s="11" t="str">
        <f aca="false">IF(INDEX(選手一覧!$F$5:$F$2736,$F587)="","",INDEX(選手一覧!$F$5:$F$2736,$F587))</f>
        <v/>
      </c>
      <c r="J587" s="12" t="str">
        <f aca="false">IF(INDEX(選手一覧!$G$5:$G$2736,$F587)="","",INDEX(選手一覧!$G$5:$G$2736,$F587))</f>
        <v/>
      </c>
    </row>
    <row r="588" customFormat="false" ht="15" hidden="false" customHeight="false" outlineLevel="0" collapsed="false">
      <c r="A588" s="12" t="n">
        <v>585</v>
      </c>
      <c r="B588" s="8" t="s">
        <v>1885</v>
      </c>
      <c r="C588" s="8" t="s">
        <v>1697</v>
      </c>
      <c r="D588" s="11" t="n">
        <v>0.00285289351851852</v>
      </c>
      <c r="E588" s="39" t="n">
        <f aca="false">ROUND((D588-$D$5)*86400,2)</f>
        <v>21.46</v>
      </c>
      <c r="F588" s="12" t="n">
        <v>1177</v>
      </c>
      <c r="G588" s="11" t="n">
        <f aca="false">IF(INDEX(選手一覧!$D$5:$D$2736,$F588)="","",INDEX(選手一覧!$D$5:$D$2736,$F588))</f>
        <v>0.0110403935185185</v>
      </c>
      <c r="H588" s="12" t="n">
        <f aca="false">IF(INDEX(選手一覧!$E$5:$E$2736,$F588)="","",INDEX(選手一覧!$E$5:$E$2736,$F588))</f>
        <v>1178</v>
      </c>
      <c r="I588" s="11" t="str">
        <f aca="false">IF(INDEX(選手一覧!$F$5:$F$2736,$F588)="","",INDEX(選手一覧!$F$5:$F$2736,$F588))</f>
        <v/>
      </c>
      <c r="J588" s="12" t="str">
        <f aca="false">IF(INDEX(選手一覧!$G$5:$G$2736,$F588)="","",INDEX(選手一覧!$G$5:$G$2736,$F588))</f>
        <v/>
      </c>
    </row>
    <row r="589" customFormat="false" ht="15" hidden="false" customHeight="false" outlineLevel="0" collapsed="false">
      <c r="A589" s="12" t="n">
        <v>586</v>
      </c>
      <c r="B589" s="8" t="s">
        <v>1172</v>
      </c>
      <c r="C589" s="8" t="s">
        <v>704</v>
      </c>
      <c r="D589" s="11" t="n">
        <v>0.00285300925925926</v>
      </c>
      <c r="E589" s="39" t="n">
        <f aca="false">ROUND((D589-$D$5)*86400,2)</f>
        <v>21.47</v>
      </c>
      <c r="F589" s="12" t="n">
        <v>700</v>
      </c>
      <c r="G589" s="11" t="n">
        <f aca="false">IF(INDEX(選手一覧!$D$5:$D$2736,$F589)="","",INDEX(選手一覧!$D$5:$D$2736,$F589))</f>
        <v>0.010772337962963</v>
      </c>
      <c r="H589" s="12" t="n">
        <f aca="false">IF(INDEX(選手一覧!$E$5:$E$2736,$F589)="","",INDEX(選手一覧!$E$5:$E$2736,$F589))</f>
        <v>701</v>
      </c>
      <c r="I589" s="11" t="str">
        <f aca="false">IF(INDEX(選手一覧!$F$5:$F$2736,$F589)="","",INDEX(選手一覧!$F$5:$F$2736,$F589))</f>
        <v/>
      </c>
      <c r="J589" s="12" t="str">
        <f aca="false">IF(INDEX(選手一覧!$G$5:$G$2736,$F589)="","",INDEX(選手一覧!$G$5:$G$2736,$F589))</f>
        <v/>
      </c>
    </row>
    <row r="590" customFormat="false" ht="15" hidden="false" customHeight="false" outlineLevel="0" collapsed="false">
      <c r="A590" s="12" t="n">
        <v>587</v>
      </c>
      <c r="B590" s="8" t="s">
        <v>2061</v>
      </c>
      <c r="C590" s="8" t="s">
        <v>788</v>
      </c>
      <c r="D590" s="11" t="n">
        <v>0.00285335648148148</v>
      </c>
      <c r="E590" s="39" t="n">
        <f aca="false">ROUND((D590-$D$5)*86400,2)</f>
        <v>21.5</v>
      </c>
      <c r="F590" s="12" t="n">
        <v>1311</v>
      </c>
      <c r="G590" s="11" t="str">
        <f aca="false">IF(INDEX(選手一覧!$D$5:$D$2736,$F590)="","",INDEX(選手一覧!$D$5:$D$2736,$F590))</f>
        <v/>
      </c>
      <c r="H590" s="12" t="str">
        <f aca="false">IF(INDEX(選手一覧!$E$5:$E$2736,$F590)="","",INDEX(選手一覧!$E$5:$E$2736,$F590))</f>
        <v/>
      </c>
      <c r="I590" s="11" t="n">
        <f aca="false">IF(INDEX(選手一覧!$F$5:$F$2736,$F590)="","",INDEX(選手一覧!$F$5:$F$2736,$F590))</f>
        <v>0.00672592592592593</v>
      </c>
      <c r="J590" s="12" t="n">
        <f aca="false">IF(INDEX(選手一覧!$G$5:$G$2736,$F590)="","",INDEX(選手一覧!$G$5:$G$2736,$F590))</f>
        <v>117</v>
      </c>
    </row>
    <row r="591" customFormat="false" ht="15" hidden="false" customHeight="false" outlineLevel="0" collapsed="false">
      <c r="A591" s="12" t="n">
        <v>588</v>
      </c>
      <c r="B591" s="8" t="s">
        <v>384</v>
      </c>
      <c r="C591" s="8" t="s">
        <v>238</v>
      </c>
      <c r="D591" s="11" t="n">
        <v>0.00285347222222222</v>
      </c>
      <c r="E591" s="39" t="n">
        <f aca="false">ROUND((D591-$D$5)*86400,2)</f>
        <v>21.51</v>
      </c>
      <c r="F591" s="12" t="n">
        <v>194</v>
      </c>
      <c r="G591" s="11" t="n">
        <f aca="false">IF(INDEX(選手一覧!$D$5:$D$2736,$F591)="","",INDEX(選手一覧!$D$5:$D$2736,$F591))</f>
        <v>0.0103414351851852</v>
      </c>
      <c r="H591" s="12" t="n">
        <f aca="false">IF(INDEX(選手一覧!$E$5:$E$2736,$F591)="","",INDEX(選手一覧!$E$5:$E$2736,$F591))</f>
        <v>195</v>
      </c>
      <c r="I591" s="11" t="str">
        <f aca="false">IF(INDEX(選手一覧!$F$5:$F$2736,$F591)="","",INDEX(選手一覧!$F$5:$F$2736,$F591))</f>
        <v/>
      </c>
      <c r="J591" s="12" t="str">
        <f aca="false">IF(INDEX(選手一覧!$G$5:$G$2736,$F591)="","",INDEX(選手一覧!$G$5:$G$2736,$F591))</f>
        <v/>
      </c>
    </row>
    <row r="592" customFormat="false" ht="15" hidden="false" customHeight="false" outlineLevel="0" collapsed="false">
      <c r="A592" s="12" t="n">
        <v>589</v>
      </c>
      <c r="B592" s="8" t="s">
        <v>824</v>
      </c>
      <c r="C592" s="8" t="s">
        <v>431</v>
      </c>
      <c r="D592" s="11" t="n">
        <v>0.00285358796296296</v>
      </c>
      <c r="E592" s="39" t="n">
        <f aca="false">ROUND((D592-$D$5)*86400,2)</f>
        <v>21.52</v>
      </c>
      <c r="F592" s="12" t="n">
        <v>470</v>
      </c>
      <c r="G592" s="11" t="n">
        <f aca="false">IF(INDEX(選手一覧!$D$5:$D$2736,$F592)="","",INDEX(選手一覧!$D$5:$D$2736,$F592))</f>
        <v>0.0106065972222222</v>
      </c>
      <c r="H592" s="12" t="n">
        <f aca="false">IF(INDEX(選手一覧!$E$5:$E$2736,$F592)="","",INDEX(選手一覧!$E$5:$E$2736,$F592))</f>
        <v>471</v>
      </c>
      <c r="I592" s="11" t="str">
        <f aca="false">IF(INDEX(選手一覧!$F$5:$F$2736,$F592)="","",INDEX(選手一覧!$F$5:$F$2736,$F592))</f>
        <v/>
      </c>
      <c r="J592" s="12" t="str">
        <f aca="false">IF(INDEX(選手一覧!$G$5:$G$2736,$F592)="","",INDEX(選手一覧!$G$5:$G$2736,$F592))</f>
        <v/>
      </c>
    </row>
    <row r="593" customFormat="false" ht="15" hidden="false" customHeight="false" outlineLevel="0" collapsed="false">
      <c r="A593" s="12" t="n">
        <v>590</v>
      </c>
      <c r="B593" s="8" t="s">
        <v>218</v>
      </c>
      <c r="C593" s="8" t="s">
        <v>52</v>
      </c>
      <c r="D593" s="11" t="n">
        <v>0.00285358796296296</v>
      </c>
      <c r="E593" s="39" t="n">
        <f aca="false">ROUND((D593-$D$5)*86400,2)</f>
        <v>21.52</v>
      </c>
      <c r="F593" s="12" t="n">
        <v>104</v>
      </c>
      <c r="G593" s="11" t="n">
        <f aca="false">IF(INDEX(選手一覧!$D$5:$D$2736,$F593)="","",INDEX(選手一覧!$D$5:$D$2736,$F593))</f>
        <v>0.010215625</v>
      </c>
      <c r="H593" s="12" t="n">
        <f aca="false">IF(INDEX(選手一覧!$E$5:$E$2736,$F593)="","",INDEX(選手一覧!$E$5:$E$2736,$F593))</f>
        <v>105</v>
      </c>
      <c r="I593" s="11" t="str">
        <f aca="false">IF(INDEX(選手一覧!$F$5:$F$2736,$F593)="","",INDEX(選手一覧!$F$5:$F$2736,$F593))</f>
        <v/>
      </c>
      <c r="J593" s="12" t="str">
        <f aca="false">IF(INDEX(選手一覧!$G$5:$G$2736,$F593)="","",INDEX(選手一覧!$G$5:$G$2736,$F593))</f>
        <v/>
      </c>
    </row>
    <row r="594" customFormat="false" ht="15" hidden="false" customHeight="false" outlineLevel="0" collapsed="false">
      <c r="A594" s="12" t="n">
        <v>591</v>
      </c>
      <c r="B594" s="8" t="s">
        <v>1836</v>
      </c>
      <c r="C594" s="8" t="s">
        <v>1837</v>
      </c>
      <c r="D594" s="11" t="n">
        <v>0.00285358796296296</v>
      </c>
      <c r="E594" s="39" t="n">
        <f aca="false">ROUND((D594-$D$5)*86400,2)</f>
        <v>21.52</v>
      </c>
      <c r="F594" s="12" t="n">
        <v>1145</v>
      </c>
      <c r="G594" s="11" t="n">
        <f aca="false">IF(INDEX(選手一覧!$D$5:$D$2736,$F594)="","",INDEX(選手一覧!$D$5:$D$2736,$F594))</f>
        <v>0.0110280092592593</v>
      </c>
      <c r="H594" s="12" t="n">
        <f aca="false">IF(INDEX(選手一覧!$E$5:$E$2736,$F594)="","",INDEX(選手一覧!$E$5:$E$2736,$F594))</f>
        <v>1146</v>
      </c>
      <c r="I594" s="11" t="str">
        <f aca="false">IF(INDEX(選手一覧!$F$5:$F$2736,$F594)="","",INDEX(選手一覧!$F$5:$F$2736,$F594))</f>
        <v/>
      </c>
      <c r="J594" s="12" t="str">
        <f aca="false">IF(INDEX(選手一覧!$G$5:$G$2736,$F594)="","",INDEX(選手一覧!$G$5:$G$2736,$F594))</f>
        <v/>
      </c>
    </row>
    <row r="595" customFormat="false" ht="15" hidden="false" customHeight="false" outlineLevel="0" collapsed="false">
      <c r="A595" s="12" t="n">
        <v>592</v>
      </c>
      <c r="B595" s="8" t="s">
        <v>1331</v>
      </c>
      <c r="C595" s="8" t="s">
        <v>1332</v>
      </c>
      <c r="D595" s="11" t="n">
        <v>0.00285393518518519</v>
      </c>
      <c r="E595" s="39" t="n">
        <f aca="false">ROUND((D595-$D$5)*86400,2)</f>
        <v>21.55</v>
      </c>
      <c r="F595" s="12" t="n">
        <v>807</v>
      </c>
      <c r="G595" s="11" t="n">
        <f aca="false">IF(INDEX(選手一覧!$D$5:$D$2736,$F595)="","",INDEX(選手一覧!$D$5:$D$2736,$F595))</f>
        <v>0.0108384259259259</v>
      </c>
      <c r="H595" s="12" t="n">
        <f aca="false">IF(INDEX(選手一覧!$E$5:$E$2736,$F595)="","",INDEX(選手一覧!$E$5:$E$2736,$F595))</f>
        <v>808</v>
      </c>
      <c r="I595" s="11" t="n">
        <f aca="false">IF(INDEX(選手一覧!$F$5:$F$2736,$F595)="","",INDEX(選手一覧!$F$5:$F$2736,$F595))</f>
        <v>0.00706446759259259</v>
      </c>
      <c r="J595" s="12" t="n">
        <f aca="false">IF(INDEX(選手一覧!$G$5:$G$2736,$F595)="","",INDEX(選手一覧!$G$5:$G$2736,$F595))</f>
        <v>407</v>
      </c>
    </row>
    <row r="596" customFormat="false" ht="15" hidden="false" customHeight="false" outlineLevel="0" collapsed="false">
      <c r="A596" s="12" t="n">
        <v>593</v>
      </c>
      <c r="B596" s="8" t="s">
        <v>256</v>
      </c>
      <c r="C596" s="8" t="s">
        <v>41</v>
      </c>
      <c r="D596" s="11" t="n">
        <v>0.00285393518518519</v>
      </c>
      <c r="E596" s="39" t="n">
        <f aca="false">ROUND((D596-$D$5)*86400,2)</f>
        <v>21.55</v>
      </c>
      <c r="F596" s="12" t="n">
        <v>124</v>
      </c>
      <c r="G596" s="11" t="n">
        <f aca="false">IF(INDEX(選手一覧!$D$5:$D$2736,$F596)="","",INDEX(選手一覧!$D$5:$D$2736,$F596))</f>
        <v>0.0102445601851852</v>
      </c>
      <c r="H596" s="12" t="n">
        <f aca="false">IF(INDEX(選手一覧!$E$5:$E$2736,$F596)="","",INDEX(選手一覧!$E$5:$E$2736,$F596))</f>
        <v>125</v>
      </c>
      <c r="I596" s="11" t="str">
        <f aca="false">IF(INDEX(選手一覧!$F$5:$F$2736,$F596)="","",INDEX(選手一覧!$F$5:$F$2736,$F596))</f>
        <v/>
      </c>
      <c r="J596" s="12" t="str">
        <f aca="false">IF(INDEX(選手一覧!$G$5:$G$2736,$F596)="","",INDEX(選手一覧!$G$5:$G$2736,$F596))</f>
        <v/>
      </c>
    </row>
    <row r="597" customFormat="false" ht="15" hidden="false" customHeight="false" outlineLevel="0" collapsed="false">
      <c r="A597" s="12" t="n">
        <v>594</v>
      </c>
      <c r="B597" s="8" t="s">
        <v>2633</v>
      </c>
      <c r="C597" s="8" t="s">
        <v>2634</v>
      </c>
      <c r="D597" s="11" t="n">
        <v>0.00285405092592593</v>
      </c>
      <c r="E597" s="39" t="n">
        <f aca="false">ROUND((D597-$D$5)*86400,2)</f>
        <v>21.56</v>
      </c>
      <c r="F597" s="12" t="n">
        <v>1689</v>
      </c>
      <c r="G597" s="11" t="str">
        <f aca="false">IF(INDEX(選手一覧!$D$5:$D$2736,$F597)="","",INDEX(選手一覧!$D$5:$D$2736,$F597))</f>
        <v/>
      </c>
      <c r="H597" s="12" t="str">
        <f aca="false">IF(INDEX(選手一覧!$E$5:$E$2736,$F597)="","",INDEX(選手一覧!$E$5:$E$2736,$F597))</f>
        <v/>
      </c>
      <c r="I597" s="11" t="str">
        <f aca="false">IF(INDEX(選手一覧!$F$5:$F$2736,$F597)="","",INDEX(選手一覧!$F$5:$F$2736,$F597))</f>
        <v/>
      </c>
      <c r="J597" s="12" t="str">
        <f aca="false">IF(INDEX(選手一覧!$G$5:$G$2736,$F597)="","",INDEX(選手一覧!$G$5:$G$2736,$F597))</f>
        <v/>
      </c>
    </row>
    <row r="598" customFormat="false" ht="15" hidden="false" customHeight="false" outlineLevel="0" collapsed="false">
      <c r="A598" s="12" t="n">
        <v>595</v>
      </c>
      <c r="B598" s="8" t="s">
        <v>2637</v>
      </c>
      <c r="C598" s="8" t="s">
        <v>2638</v>
      </c>
      <c r="D598" s="11" t="n">
        <v>0.00285405092592593</v>
      </c>
      <c r="E598" s="39" t="n">
        <f aca="false">ROUND((D598-$D$5)*86400,2)</f>
        <v>21.56</v>
      </c>
      <c r="F598" s="12" t="n">
        <v>1691</v>
      </c>
      <c r="G598" s="11" t="str">
        <f aca="false">IF(INDEX(選手一覧!$D$5:$D$2736,$F598)="","",INDEX(選手一覧!$D$5:$D$2736,$F598))</f>
        <v/>
      </c>
      <c r="H598" s="12" t="str">
        <f aca="false">IF(INDEX(選手一覧!$E$5:$E$2736,$F598)="","",INDEX(選手一覧!$E$5:$E$2736,$F598))</f>
        <v/>
      </c>
      <c r="I598" s="11" t="str">
        <f aca="false">IF(INDEX(選手一覧!$F$5:$F$2736,$F598)="","",INDEX(選手一覧!$F$5:$F$2736,$F598))</f>
        <v/>
      </c>
      <c r="J598" s="12" t="str">
        <f aca="false">IF(INDEX(選手一覧!$G$5:$G$2736,$F598)="","",INDEX(選手一覧!$G$5:$G$2736,$F598))</f>
        <v/>
      </c>
    </row>
    <row r="599" customFormat="false" ht="15" hidden="false" customHeight="false" outlineLevel="0" collapsed="false">
      <c r="A599" s="12" t="n">
        <v>596</v>
      </c>
      <c r="B599" s="8" t="s">
        <v>411</v>
      </c>
      <c r="C599" s="8" t="s">
        <v>28</v>
      </c>
      <c r="D599" s="11" t="n">
        <v>0.00285416666666667</v>
      </c>
      <c r="E599" s="39" t="n">
        <f aca="false">ROUND((D599-$D$5)*86400,2)</f>
        <v>21.57</v>
      </c>
      <c r="F599" s="12" t="n">
        <v>210</v>
      </c>
      <c r="G599" s="11" t="n">
        <f aca="false">IF(INDEX(選手一覧!$D$5:$D$2736,$F599)="","",INDEX(選手一覧!$D$5:$D$2736,$F599))</f>
        <v>0.0103571759259259</v>
      </c>
      <c r="H599" s="12" t="n">
        <f aca="false">IF(INDEX(選手一覧!$E$5:$E$2736,$F599)="","",INDEX(選手一覧!$E$5:$E$2736,$F599))</f>
        <v>211</v>
      </c>
      <c r="I599" s="11" t="str">
        <f aca="false">IF(INDEX(選手一覧!$F$5:$F$2736,$F599)="","",INDEX(選手一覧!$F$5:$F$2736,$F599))</f>
        <v/>
      </c>
      <c r="J599" s="12" t="str">
        <f aca="false">IF(INDEX(選手一覧!$G$5:$G$2736,$F599)="","",INDEX(選手一覧!$G$5:$G$2736,$F599))</f>
        <v/>
      </c>
    </row>
    <row r="600" customFormat="false" ht="15" hidden="false" customHeight="false" outlineLevel="0" collapsed="false">
      <c r="A600" s="12" t="n">
        <v>597</v>
      </c>
      <c r="B600" s="8" t="s">
        <v>923</v>
      </c>
      <c r="C600" s="8" t="s">
        <v>252</v>
      </c>
      <c r="D600" s="11" t="n">
        <v>0.00285520833333333</v>
      </c>
      <c r="E600" s="39" t="n">
        <f aca="false">ROUND((D600-$D$5)*86400,2)</f>
        <v>21.66</v>
      </c>
      <c r="F600" s="12" t="n">
        <v>531</v>
      </c>
      <c r="G600" s="11" t="n">
        <f aca="false">IF(INDEX(選手一覧!$D$5:$D$2736,$F600)="","",INDEX(選手一覧!$D$5:$D$2736,$F600))</f>
        <v>0.0106579861111111</v>
      </c>
      <c r="H600" s="12" t="n">
        <f aca="false">IF(INDEX(選手一覧!$E$5:$E$2736,$F600)="","",INDEX(選手一覧!$E$5:$E$2736,$F600))</f>
        <v>532</v>
      </c>
      <c r="I600" s="11" t="str">
        <f aca="false">IF(INDEX(選手一覧!$F$5:$F$2736,$F600)="","",INDEX(選手一覧!$F$5:$F$2736,$F600))</f>
        <v/>
      </c>
      <c r="J600" s="12" t="str">
        <f aca="false">IF(INDEX(選手一覧!$G$5:$G$2736,$F600)="","",INDEX(選手一覧!$G$5:$G$2736,$F600))</f>
        <v/>
      </c>
    </row>
    <row r="601" customFormat="false" ht="15" hidden="false" customHeight="false" outlineLevel="0" collapsed="false">
      <c r="A601" s="12" t="n">
        <v>598</v>
      </c>
      <c r="B601" s="8" t="s">
        <v>348</v>
      </c>
      <c r="C601" s="8" t="s">
        <v>179</v>
      </c>
      <c r="D601" s="11" t="n">
        <v>0.00285532407407407</v>
      </c>
      <c r="E601" s="39" t="n">
        <f aca="false">ROUND((D601-$D$5)*86400,2)</f>
        <v>21.67</v>
      </c>
      <c r="F601" s="12" t="n">
        <v>172</v>
      </c>
      <c r="G601" s="11" t="n">
        <f aca="false">IF(INDEX(選手一覧!$D$5:$D$2736,$F601)="","",INDEX(選手一覧!$D$5:$D$2736,$F601))</f>
        <v>0.01031875</v>
      </c>
      <c r="H601" s="12" t="n">
        <f aca="false">IF(INDEX(選手一覧!$E$5:$E$2736,$F601)="","",INDEX(選手一覧!$E$5:$E$2736,$F601))</f>
        <v>173</v>
      </c>
      <c r="I601" s="11" t="str">
        <f aca="false">IF(INDEX(選手一覧!$F$5:$F$2736,$F601)="","",INDEX(選手一覧!$F$5:$F$2736,$F601))</f>
        <v/>
      </c>
      <c r="J601" s="12" t="str">
        <f aca="false">IF(INDEX(選手一覧!$G$5:$G$2736,$F601)="","",INDEX(選手一覧!$G$5:$G$2736,$F601))</f>
        <v/>
      </c>
    </row>
    <row r="602" customFormat="false" ht="15" hidden="false" customHeight="false" outlineLevel="0" collapsed="false">
      <c r="A602" s="12" t="n">
        <v>599</v>
      </c>
      <c r="B602" s="8" t="s">
        <v>833</v>
      </c>
      <c r="C602" s="8" t="s">
        <v>721</v>
      </c>
      <c r="D602" s="11" t="n">
        <v>0.00285543981481482</v>
      </c>
      <c r="E602" s="39" t="n">
        <f aca="false">ROUND((D602-$D$5)*86400,2)</f>
        <v>21.68</v>
      </c>
      <c r="F602" s="12" t="n">
        <v>477</v>
      </c>
      <c r="G602" s="11" t="n">
        <f aca="false">IF(INDEX(選手一覧!$D$5:$D$2736,$F602)="","",INDEX(選手一覧!$D$5:$D$2736,$F602))</f>
        <v>0.0106114583333333</v>
      </c>
      <c r="H602" s="12" t="n">
        <f aca="false">IF(INDEX(選手一覧!$E$5:$E$2736,$F602)="","",INDEX(選手一覧!$E$5:$E$2736,$F602))</f>
        <v>478</v>
      </c>
      <c r="I602" s="11" t="str">
        <f aca="false">IF(INDEX(選手一覧!$F$5:$F$2736,$F602)="","",INDEX(選手一覧!$F$5:$F$2736,$F602))</f>
        <v/>
      </c>
      <c r="J602" s="12" t="str">
        <f aca="false">IF(INDEX(選手一覧!$G$5:$G$2736,$F602)="","",INDEX(選手一覧!$G$5:$G$2736,$F602))</f>
        <v/>
      </c>
    </row>
    <row r="603" customFormat="false" ht="15" hidden="false" customHeight="false" outlineLevel="0" collapsed="false">
      <c r="A603" s="12" t="n">
        <v>600</v>
      </c>
      <c r="B603" s="8" t="s">
        <v>1119</v>
      </c>
      <c r="C603" s="8" t="s">
        <v>1120</v>
      </c>
      <c r="D603" s="11" t="n">
        <v>0.00285555555555556</v>
      </c>
      <c r="E603" s="39" t="n">
        <f aca="false">ROUND((D603-$D$5)*86400,2)</f>
        <v>21.69</v>
      </c>
      <c r="F603" s="12" t="n">
        <v>667</v>
      </c>
      <c r="G603" s="11" t="n">
        <f aca="false">IF(INDEX(選手一覧!$D$5:$D$2736,$F603)="","",INDEX(選手一覧!$D$5:$D$2736,$F603))</f>
        <v>0.0107510416666667</v>
      </c>
      <c r="H603" s="12" t="n">
        <f aca="false">IF(INDEX(選手一覧!$E$5:$E$2736,$F603)="","",INDEX(選手一覧!$E$5:$E$2736,$F603))</f>
        <v>668</v>
      </c>
      <c r="I603" s="11" t="n">
        <f aca="false">IF(INDEX(選手一覧!$F$5:$F$2736,$F603)="","",INDEX(選手一覧!$F$5:$F$2736,$F603))</f>
        <v>0.00711990740740741</v>
      </c>
      <c r="J603" s="12" t="n">
        <f aca="false">IF(INDEX(選手一覧!$G$5:$G$2736,$F603)="","",INDEX(選手一覧!$G$5:$G$2736,$F603))</f>
        <v>465</v>
      </c>
    </row>
    <row r="604" customFormat="false" ht="15" hidden="false" customHeight="false" outlineLevel="0" collapsed="false">
      <c r="A604" s="12" t="n">
        <v>601</v>
      </c>
      <c r="B604" s="8" t="s">
        <v>1720</v>
      </c>
      <c r="C604" s="8" t="s">
        <v>1721</v>
      </c>
      <c r="D604" s="11" t="n">
        <v>0.0028556712962963</v>
      </c>
      <c r="E604" s="39" t="n">
        <f aca="false">ROUND((D604-$D$5)*86400,2)</f>
        <v>21.7</v>
      </c>
      <c r="F604" s="12" t="n">
        <v>1068</v>
      </c>
      <c r="G604" s="11" t="n">
        <f aca="false">IF(INDEX(選手一覧!$D$5:$D$2736,$F604)="","",INDEX(選手一覧!$D$5:$D$2736,$F604))</f>
        <v>0.0109855324074074</v>
      </c>
      <c r="H604" s="12" t="n">
        <f aca="false">IF(INDEX(選手一覧!$E$5:$E$2736,$F604)="","",INDEX(選手一覧!$E$5:$E$2736,$F604))</f>
        <v>1069</v>
      </c>
      <c r="I604" s="11" t="n">
        <f aca="false">IF(INDEX(選手一覧!$F$5:$F$2736,$F604)="","",INDEX(選手一覧!$F$5:$F$2736,$F604))</f>
        <v>0.00734363425925926</v>
      </c>
      <c r="J604" s="12" t="n">
        <f aca="false">IF(INDEX(選手一覧!$G$5:$G$2736,$F604)="","",INDEX(選手一覧!$G$5:$G$2736,$F604))</f>
        <v>700</v>
      </c>
    </row>
    <row r="605" customFormat="false" ht="15" hidden="false" customHeight="false" outlineLevel="0" collapsed="false">
      <c r="A605" s="12" t="n">
        <v>602</v>
      </c>
      <c r="B605" s="8" t="s">
        <v>1249</v>
      </c>
      <c r="C605" s="8" t="s">
        <v>70</v>
      </c>
      <c r="D605" s="11" t="n">
        <v>0.0028556712962963</v>
      </c>
      <c r="E605" s="39" t="n">
        <f aca="false">ROUND((D605-$D$5)*86400,2)</f>
        <v>21.7</v>
      </c>
      <c r="F605" s="12" t="n">
        <v>749</v>
      </c>
      <c r="G605" s="11" t="n">
        <f aca="false">IF(INDEX(選手一覧!$D$5:$D$2736,$F605)="","",INDEX(選手一覧!$D$5:$D$2736,$F605))</f>
        <v>0.0108045138888889</v>
      </c>
      <c r="H605" s="12" t="n">
        <f aca="false">IF(INDEX(選手一覧!$E$5:$E$2736,$F605)="","",INDEX(選手一覧!$E$5:$E$2736,$F605))</f>
        <v>750</v>
      </c>
      <c r="I605" s="11" t="str">
        <f aca="false">IF(INDEX(選手一覧!$F$5:$F$2736,$F605)="","",INDEX(選手一覧!$F$5:$F$2736,$F605))</f>
        <v/>
      </c>
      <c r="J605" s="12" t="str">
        <f aca="false">IF(INDEX(選手一覧!$G$5:$G$2736,$F605)="","",INDEX(選手一覧!$G$5:$G$2736,$F605))</f>
        <v/>
      </c>
    </row>
    <row r="606" customFormat="false" ht="15" hidden="false" customHeight="false" outlineLevel="0" collapsed="false">
      <c r="A606" s="12" t="n">
        <v>603</v>
      </c>
      <c r="B606" s="8" t="s">
        <v>1410</v>
      </c>
      <c r="C606" s="8" t="s">
        <v>1411</v>
      </c>
      <c r="D606" s="11" t="n">
        <v>0.0028556712962963</v>
      </c>
      <c r="E606" s="39" t="n">
        <f aca="false">ROUND((D606-$D$5)*86400,2)</f>
        <v>21.7</v>
      </c>
      <c r="F606" s="12" t="n">
        <v>858</v>
      </c>
      <c r="G606" s="11" t="n">
        <f aca="false">IF(INDEX(選手一覧!$D$5:$D$2736,$F606)="","",INDEX(選手一覧!$D$5:$D$2736,$F606))</f>
        <v>0.0108643518518519</v>
      </c>
      <c r="H606" s="12" t="n">
        <f aca="false">IF(INDEX(選手一覧!$E$5:$E$2736,$F606)="","",INDEX(選手一覧!$E$5:$E$2736,$F606))</f>
        <v>859</v>
      </c>
      <c r="I606" s="11" t="n">
        <f aca="false">IF(INDEX(選手一覧!$F$5:$F$2736,$F606)="","",INDEX(選手一覧!$F$5:$F$2736,$F606))</f>
        <v>0.00756539351851852</v>
      </c>
      <c r="J606" s="12" t="n">
        <f aca="false">IF(INDEX(選手一覧!$G$5:$G$2736,$F606)="","",INDEX(選手一覧!$G$5:$G$2736,$F606))</f>
        <v>971</v>
      </c>
    </row>
    <row r="607" customFormat="false" ht="15" hidden="false" customHeight="false" outlineLevel="0" collapsed="false">
      <c r="A607" s="12" t="n">
        <v>604</v>
      </c>
      <c r="B607" s="8" t="s">
        <v>1550</v>
      </c>
      <c r="C607" s="8" t="s">
        <v>1551</v>
      </c>
      <c r="D607" s="11" t="n">
        <v>0.00285578703703704</v>
      </c>
      <c r="E607" s="39" t="n">
        <f aca="false">ROUND((D607-$D$5)*86400,2)</f>
        <v>21.71</v>
      </c>
      <c r="F607" s="12" t="n">
        <v>952</v>
      </c>
      <c r="G607" s="11" t="n">
        <f aca="false">IF(INDEX(選手一覧!$D$5:$D$2736,$F607)="","",INDEX(選手一覧!$D$5:$D$2736,$F607))</f>
        <v>0.0109225694444444</v>
      </c>
      <c r="H607" s="12" t="n">
        <f aca="false">IF(INDEX(選手一覧!$E$5:$E$2736,$F607)="","",INDEX(選手一覧!$E$5:$E$2736,$F607))</f>
        <v>953</v>
      </c>
      <c r="I607" s="11" t="str">
        <f aca="false">IF(INDEX(選手一覧!$F$5:$F$2736,$F607)="","",INDEX(選手一覧!$F$5:$F$2736,$F607))</f>
        <v/>
      </c>
      <c r="J607" s="12" t="str">
        <f aca="false">IF(INDEX(選手一覧!$G$5:$G$2736,$F607)="","",INDEX(選手一覧!$G$5:$G$2736,$F607))</f>
        <v/>
      </c>
    </row>
    <row r="608" customFormat="false" ht="15" hidden="false" customHeight="false" outlineLevel="0" collapsed="false">
      <c r="A608" s="12" t="n">
        <v>605</v>
      </c>
      <c r="B608" s="8" t="s">
        <v>237</v>
      </c>
      <c r="C608" s="8" t="s">
        <v>238</v>
      </c>
      <c r="D608" s="11" t="n">
        <v>0.00285590277777778</v>
      </c>
      <c r="E608" s="39" t="n">
        <f aca="false">ROUND((D608-$D$5)*86400,2)</f>
        <v>21.72</v>
      </c>
      <c r="F608" s="12" t="n">
        <v>116</v>
      </c>
      <c r="G608" s="11" t="n">
        <f aca="false">IF(INDEX(選手一覧!$D$5:$D$2736,$F608)="","",INDEX(選手一覧!$D$5:$D$2736,$F608))</f>
        <v>0.0102376157407407</v>
      </c>
      <c r="H608" s="12" t="n">
        <f aca="false">IF(INDEX(選手一覧!$E$5:$E$2736,$F608)="","",INDEX(選手一覧!$E$5:$E$2736,$F608))</f>
        <v>117</v>
      </c>
      <c r="I608" s="11" t="str">
        <f aca="false">IF(INDEX(選手一覧!$F$5:$F$2736,$F608)="","",INDEX(選手一覧!$F$5:$F$2736,$F608))</f>
        <v/>
      </c>
      <c r="J608" s="12" t="str">
        <f aca="false">IF(INDEX(選手一覧!$G$5:$G$2736,$F608)="","",INDEX(選手一覧!$G$5:$G$2736,$F608))</f>
        <v/>
      </c>
    </row>
    <row r="609" customFormat="false" ht="15" hidden="false" customHeight="false" outlineLevel="0" collapsed="false">
      <c r="A609" s="12" t="n">
        <v>606</v>
      </c>
      <c r="B609" s="8" t="s">
        <v>2652</v>
      </c>
      <c r="C609" s="8" t="s">
        <v>2613</v>
      </c>
      <c r="D609" s="11" t="n">
        <v>0.00285590277777778</v>
      </c>
      <c r="E609" s="39" t="n">
        <f aca="false">ROUND((D609-$D$5)*86400,2)</f>
        <v>21.72</v>
      </c>
      <c r="F609" s="12" t="n">
        <v>1702</v>
      </c>
      <c r="G609" s="11" t="str">
        <f aca="false">IF(INDEX(選手一覧!$D$5:$D$2736,$F609)="","",INDEX(選手一覧!$D$5:$D$2736,$F609))</f>
        <v/>
      </c>
      <c r="H609" s="12" t="str">
        <f aca="false">IF(INDEX(選手一覧!$E$5:$E$2736,$F609)="","",INDEX(選手一覧!$E$5:$E$2736,$F609))</f>
        <v/>
      </c>
      <c r="I609" s="11" t="str">
        <f aca="false">IF(INDEX(選手一覧!$F$5:$F$2736,$F609)="","",INDEX(選手一覧!$F$5:$F$2736,$F609))</f>
        <v/>
      </c>
      <c r="J609" s="12" t="str">
        <f aca="false">IF(INDEX(選手一覧!$G$5:$G$2736,$F609)="","",INDEX(選手一覧!$G$5:$G$2736,$F609))</f>
        <v/>
      </c>
    </row>
    <row r="610" customFormat="false" ht="15" hidden="false" customHeight="false" outlineLevel="0" collapsed="false">
      <c r="A610" s="21" t="n">
        <v>607</v>
      </c>
      <c r="B610" s="17" t="s">
        <v>153</v>
      </c>
      <c r="C610" s="17" t="s">
        <v>154</v>
      </c>
      <c r="D610" s="20" t="n">
        <v>0.00285590277777778</v>
      </c>
      <c r="E610" s="40" t="n">
        <f aca="false">ROUND((D610-$D$5)*86400,2)</f>
        <v>21.72</v>
      </c>
      <c r="F610" s="21" t="n">
        <v>68</v>
      </c>
      <c r="G610" s="20" t="n">
        <f aca="false">IF(INDEX(選手一覧!$D$5:$D$2736,$F610)="","",INDEX(選手一覧!$D$5:$D$2736,$F610))</f>
        <v>0.0101414351851852</v>
      </c>
      <c r="H610" s="21" t="n">
        <f aca="false">IF(INDEX(選手一覧!$E$5:$E$2736,$F610)="","",INDEX(選手一覧!$E$5:$E$2736,$F610))</f>
        <v>69</v>
      </c>
      <c r="I610" s="20" t="str">
        <f aca="false">IF(INDEX(選手一覧!$F$5:$F$2736,$F610)="","",INDEX(選手一覧!$F$5:$F$2736,$F610))</f>
        <v/>
      </c>
      <c r="J610" s="21" t="str">
        <f aca="false">IF(INDEX(選手一覧!$G$5:$G$2736,$F610)="","",INDEX(選手一覧!$G$5:$G$2736,$F610))</f>
        <v/>
      </c>
    </row>
    <row r="611" customFormat="false" ht="15" hidden="false" customHeight="false" outlineLevel="0" collapsed="false">
      <c r="A611" s="21" t="n">
        <v>608</v>
      </c>
      <c r="B611" s="17" t="s">
        <v>105</v>
      </c>
      <c r="C611" s="17" t="s">
        <v>89</v>
      </c>
      <c r="D611" s="20" t="n">
        <v>0.00285601851851852</v>
      </c>
      <c r="E611" s="40" t="n">
        <f aca="false">ROUND((D611-$D$5)*86400,2)</f>
        <v>21.73</v>
      </c>
      <c r="F611" s="21" t="n">
        <v>43</v>
      </c>
      <c r="G611" s="20" t="n">
        <f aca="false">IF(INDEX(選手一覧!$D$5:$D$2736,$F611)="","",INDEX(選手一覧!$D$5:$D$2736,$F611))</f>
        <v>0.010080787037037</v>
      </c>
      <c r="H611" s="21" t="n">
        <f aca="false">IF(INDEX(選手一覧!$E$5:$E$2736,$F611)="","",INDEX(選手一覧!$E$5:$E$2736,$F611))</f>
        <v>44</v>
      </c>
      <c r="I611" s="20" t="str">
        <f aca="false">IF(INDEX(選手一覧!$F$5:$F$2736,$F611)="","",INDEX(選手一覧!$F$5:$F$2736,$F611))</f>
        <v/>
      </c>
      <c r="J611" s="21" t="str">
        <f aca="false">IF(INDEX(選手一覧!$G$5:$G$2736,$F611)="","",INDEX(選手一覧!$G$5:$G$2736,$F611))</f>
        <v/>
      </c>
    </row>
    <row r="612" customFormat="false" ht="15" hidden="false" customHeight="false" outlineLevel="0" collapsed="false">
      <c r="A612" s="12" t="n">
        <v>609</v>
      </c>
      <c r="B612" s="8" t="s">
        <v>1673</v>
      </c>
      <c r="C612" s="8" t="s">
        <v>1674</v>
      </c>
      <c r="D612" s="11" t="n">
        <v>0.00285625</v>
      </c>
      <c r="E612" s="39" t="n">
        <f aca="false">ROUND((D612-$D$5)*86400,2)</f>
        <v>21.75</v>
      </c>
      <c r="F612" s="12" t="n">
        <v>1037</v>
      </c>
      <c r="G612" s="11" t="n">
        <f aca="false">IF(INDEX(選手一覧!$D$5:$D$2736,$F612)="","",INDEX(選手一覧!$D$5:$D$2736,$F612))</f>
        <v>0.0109695601851852</v>
      </c>
      <c r="H612" s="12" t="n">
        <f aca="false">IF(INDEX(選手一覧!$E$5:$E$2736,$F612)="","",INDEX(選手一覧!$E$5:$E$2736,$F612))</f>
        <v>1038</v>
      </c>
      <c r="I612" s="11" t="str">
        <f aca="false">IF(INDEX(選手一覧!$F$5:$F$2736,$F612)="","",INDEX(選手一覧!$F$5:$F$2736,$F612))</f>
        <v/>
      </c>
      <c r="J612" s="12" t="str">
        <f aca="false">IF(INDEX(選手一覧!$G$5:$G$2736,$F612)="","",INDEX(選手一覧!$G$5:$G$2736,$F612))</f>
        <v/>
      </c>
    </row>
    <row r="613" customFormat="false" ht="15" hidden="false" customHeight="false" outlineLevel="0" collapsed="false">
      <c r="A613" s="12" t="n">
        <v>610</v>
      </c>
      <c r="B613" s="8" t="s">
        <v>224</v>
      </c>
      <c r="C613" s="8" t="s">
        <v>23</v>
      </c>
      <c r="D613" s="11" t="n">
        <v>0.00285625</v>
      </c>
      <c r="E613" s="39" t="n">
        <f aca="false">ROUND((D613-$D$5)*86400,2)</f>
        <v>21.75</v>
      </c>
      <c r="F613" s="12" t="n">
        <v>108</v>
      </c>
      <c r="G613" s="11" t="n">
        <f aca="false">IF(INDEX(選手一覧!$D$5:$D$2736,$F613)="","",INDEX(選手一覧!$D$5:$D$2736,$F613))</f>
        <v>0.0102216435185185</v>
      </c>
      <c r="H613" s="12" t="n">
        <f aca="false">IF(INDEX(選手一覧!$E$5:$E$2736,$F613)="","",INDEX(選手一覧!$E$5:$E$2736,$F613))</f>
        <v>109</v>
      </c>
      <c r="I613" s="11" t="str">
        <f aca="false">IF(INDEX(選手一覧!$F$5:$F$2736,$F613)="","",INDEX(選手一覧!$F$5:$F$2736,$F613))</f>
        <v/>
      </c>
      <c r="J613" s="12" t="str">
        <f aca="false">IF(INDEX(選手一覧!$G$5:$G$2736,$F613)="","",INDEX(選手一覧!$G$5:$G$2736,$F613))</f>
        <v/>
      </c>
    </row>
    <row r="614" customFormat="false" ht="15" hidden="false" customHeight="false" outlineLevel="0" collapsed="false">
      <c r="A614" s="12" t="n">
        <v>611</v>
      </c>
      <c r="B614" s="8" t="s">
        <v>1820</v>
      </c>
      <c r="C614" s="8" t="s">
        <v>1821</v>
      </c>
      <c r="D614" s="11" t="n">
        <v>0.00285625</v>
      </c>
      <c r="E614" s="39" t="n">
        <f aca="false">ROUND((D614-$D$5)*86400,2)</f>
        <v>21.75</v>
      </c>
      <c r="F614" s="12" t="n">
        <v>1133</v>
      </c>
      <c r="G614" s="11" t="n">
        <f aca="false">IF(INDEX(選手一覧!$D$5:$D$2736,$F614)="","",INDEX(選手一覧!$D$5:$D$2736,$F614))</f>
        <v>0.0110221064814815</v>
      </c>
      <c r="H614" s="12" t="n">
        <f aca="false">IF(INDEX(選手一覧!$E$5:$E$2736,$F614)="","",INDEX(選手一覧!$E$5:$E$2736,$F614))</f>
        <v>1134</v>
      </c>
      <c r="I614" s="11" t="str">
        <f aca="false">IF(INDEX(選手一覧!$F$5:$F$2736,$F614)="","",INDEX(選手一覧!$F$5:$F$2736,$F614))</f>
        <v/>
      </c>
      <c r="J614" s="12" t="str">
        <f aca="false">IF(INDEX(選手一覧!$G$5:$G$2736,$F614)="","",INDEX(選手一覧!$G$5:$G$2736,$F614))</f>
        <v/>
      </c>
    </row>
    <row r="615" customFormat="false" ht="15" hidden="false" customHeight="false" outlineLevel="0" collapsed="false">
      <c r="A615" s="12" t="n">
        <v>612</v>
      </c>
      <c r="B615" s="8" t="s">
        <v>527</v>
      </c>
      <c r="C615" s="8" t="s">
        <v>100</v>
      </c>
      <c r="D615" s="11" t="n">
        <v>0.00285671296296296</v>
      </c>
      <c r="E615" s="39" t="n">
        <f aca="false">ROUND((D615-$D$5)*86400,2)</f>
        <v>21.79</v>
      </c>
      <c r="F615" s="12" t="n">
        <v>282</v>
      </c>
      <c r="G615" s="11" t="n">
        <f aca="false">IF(INDEX(選手一覧!$D$5:$D$2736,$F615)="","",INDEX(選手一覧!$D$5:$D$2736,$F615))</f>
        <v>0.0104184027777778</v>
      </c>
      <c r="H615" s="12" t="n">
        <f aca="false">IF(INDEX(選手一覧!$E$5:$E$2736,$F615)="","",INDEX(選手一覧!$E$5:$E$2736,$F615))</f>
        <v>283</v>
      </c>
      <c r="I615" s="11" t="n">
        <f aca="false">IF(INDEX(選手一覧!$F$5:$F$2736,$F615)="","",INDEX(選手一覧!$F$5:$F$2736,$F615))</f>
        <v>0.00663900462962963</v>
      </c>
      <c r="J615" s="12" t="n">
        <f aca="false">IF(INDEX(選手一覧!$G$5:$G$2736,$F615)="","",INDEX(選手一覧!$G$5:$G$2736,$F615))</f>
        <v>78</v>
      </c>
    </row>
    <row r="616" customFormat="false" ht="15" hidden="false" customHeight="false" outlineLevel="0" collapsed="false">
      <c r="A616" s="12" t="n">
        <v>613</v>
      </c>
      <c r="B616" s="8" t="s">
        <v>1212</v>
      </c>
      <c r="C616" s="8" t="s">
        <v>1213</v>
      </c>
      <c r="D616" s="11" t="n">
        <v>0.00285671296296296</v>
      </c>
      <c r="E616" s="39" t="n">
        <f aca="false">ROUND((D616-$D$5)*86400,2)</f>
        <v>21.79</v>
      </c>
      <c r="F616" s="12" t="n">
        <v>725</v>
      </c>
      <c r="G616" s="11" t="n">
        <f aca="false">IF(INDEX(選手一覧!$D$5:$D$2736,$F616)="","",INDEX(選手一覧!$D$5:$D$2736,$F616))</f>
        <v>0.0107912037037037</v>
      </c>
      <c r="H616" s="12" t="n">
        <f aca="false">IF(INDEX(選手一覧!$E$5:$E$2736,$F616)="","",INDEX(選手一覧!$E$5:$E$2736,$F616))</f>
        <v>726</v>
      </c>
      <c r="I616" s="11" t="str">
        <f aca="false">IF(INDEX(選手一覧!$F$5:$F$2736,$F616)="","",INDEX(選手一覧!$F$5:$F$2736,$F616))</f>
        <v/>
      </c>
      <c r="J616" s="12" t="str">
        <f aca="false">IF(INDEX(選手一覧!$G$5:$G$2736,$F616)="","",INDEX(選手一覧!$G$5:$G$2736,$F616))</f>
        <v/>
      </c>
    </row>
    <row r="617" customFormat="false" ht="15" hidden="false" customHeight="false" outlineLevel="0" collapsed="false">
      <c r="A617" s="12" t="n">
        <v>614</v>
      </c>
      <c r="B617" s="8" t="s">
        <v>805</v>
      </c>
      <c r="C617" s="8" t="s">
        <v>41</v>
      </c>
      <c r="D617" s="11" t="n">
        <v>0.0028568287037037</v>
      </c>
      <c r="E617" s="39" t="n">
        <f aca="false">ROUND((D617-$D$5)*86400,2)</f>
        <v>21.8</v>
      </c>
      <c r="F617" s="12" t="n">
        <v>459</v>
      </c>
      <c r="G617" s="11" t="n">
        <f aca="false">IF(INDEX(選手一覧!$D$5:$D$2736,$F617)="","",INDEX(選手一覧!$D$5:$D$2736,$F617))</f>
        <v>0.0105972222222222</v>
      </c>
      <c r="H617" s="12" t="n">
        <f aca="false">IF(INDEX(選手一覧!$E$5:$E$2736,$F617)="","",INDEX(選手一覧!$E$5:$E$2736,$F617))</f>
        <v>460</v>
      </c>
      <c r="I617" s="11" t="str">
        <f aca="false">IF(INDEX(選手一覧!$F$5:$F$2736,$F617)="","",INDEX(選手一覧!$F$5:$F$2736,$F617))</f>
        <v/>
      </c>
      <c r="J617" s="12" t="str">
        <f aca="false">IF(INDEX(選手一覧!$G$5:$G$2736,$F617)="","",INDEX(選手一覧!$G$5:$G$2736,$F617))</f>
        <v/>
      </c>
    </row>
    <row r="618" customFormat="false" ht="15" hidden="false" customHeight="false" outlineLevel="0" collapsed="false">
      <c r="A618" s="12" t="n">
        <v>615</v>
      </c>
      <c r="B618" s="8" t="s">
        <v>2668</v>
      </c>
      <c r="C618" s="8" t="s">
        <v>1451</v>
      </c>
      <c r="D618" s="11" t="n">
        <v>0.0028568287037037</v>
      </c>
      <c r="E618" s="39" t="n">
        <f aca="false">ROUND((D618-$D$5)*86400,2)</f>
        <v>21.8</v>
      </c>
      <c r="F618" s="12" t="n">
        <v>1712</v>
      </c>
      <c r="G618" s="11" t="str">
        <f aca="false">IF(INDEX(選手一覧!$D$5:$D$2736,$F618)="","",INDEX(選手一覧!$D$5:$D$2736,$F618))</f>
        <v/>
      </c>
      <c r="H618" s="12" t="str">
        <f aca="false">IF(INDEX(選手一覧!$E$5:$E$2736,$F618)="","",INDEX(選手一覧!$E$5:$E$2736,$F618))</f>
        <v/>
      </c>
      <c r="I618" s="11" t="str">
        <f aca="false">IF(INDEX(選手一覧!$F$5:$F$2736,$F618)="","",INDEX(選手一覧!$F$5:$F$2736,$F618))</f>
        <v/>
      </c>
      <c r="J618" s="12" t="str">
        <f aca="false">IF(INDEX(選手一覧!$G$5:$G$2736,$F618)="","",INDEX(選手一覧!$G$5:$G$2736,$F618))</f>
        <v/>
      </c>
    </row>
    <row r="619" customFormat="false" ht="15" hidden="false" customHeight="false" outlineLevel="0" collapsed="false">
      <c r="A619" s="12" t="n">
        <v>616</v>
      </c>
      <c r="B619" s="8" t="s">
        <v>883</v>
      </c>
      <c r="C619" s="8" t="s">
        <v>735</v>
      </c>
      <c r="D619" s="11" t="n">
        <v>0.00285717592592593</v>
      </c>
      <c r="E619" s="39" t="n">
        <f aca="false">ROUND((D619-$D$5)*86400,2)</f>
        <v>21.83</v>
      </c>
      <c r="F619" s="12" t="n">
        <v>506</v>
      </c>
      <c r="G619" s="11" t="n">
        <f aca="false">IF(INDEX(選手一覧!$D$5:$D$2736,$F619)="","",INDEX(選手一覧!$D$5:$D$2736,$F619))</f>
        <v>0.0106331018518519</v>
      </c>
      <c r="H619" s="12" t="n">
        <f aca="false">IF(INDEX(選手一覧!$E$5:$E$2736,$F619)="","",INDEX(選手一覧!$E$5:$E$2736,$F619))</f>
        <v>507</v>
      </c>
      <c r="I619" s="11" t="str">
        <f aca="false">IF(INDEX(選手一覧!$F$5:$F$2736,$F619)="","",INDEX(選手一覧!$F$5:$F$2736,$F619))</f>
        <v/>
      </c>
      <c r="J619" s="12" t="str">
        <f aca="false">IF(INDEX(選手一覧!$G$5:$G$2736,$F619)="","",INDEX(選手一覧!$G$5:$G$2736,$F619))</f>
        <v/>
      </c>
    </row>
    <row r="620" customFormat="false" ht="15" hidden="false" customHeight="false" outlineLevel="0" collapsed="false">
      <c r="A620" s="12" t="n">
        <v>617</v>
      </c>
      <c r="B620" s="8" t="s">
        <v>1980</v>
      </c>
      <c r="C620" s="8" t="s">
        <v>160</v>
      </c>
      <c r="D620" s="11" t="n">
        <v>0.00285729166666667</v>
      </c>
      <c r="E620" s="39" t="n">
        <f aca="false">ROUND((D620-$D$5)*86400,2)</f>
        <v>21.84</v>
      </c>
      <c r="F620" s="12" t="n">
        <v>1248</v>
      </c>
      <c r="G620" s="11" t="n">
        <f aca="false">IF(INDEX(選手一覧!$D$5:$D$2736,$F620)="","",INDEX(選手一覧!$D$5:$D$2736,$F620))</f>
        <v>0.0110791666666667</v>
      </c>
      <c r="H620" s="12" t="n">
        <f aca="false">IF(INDEX(選手一覧!$E$5:$E$2736,$F620)="","",INDEX(選手一覧!$E$5:$E$2736,$F620))</f>
        <v>1249</v>
      </c>
      <c r="I620" s="11" t="n">
        <f aca="false">IF(INDEX(選手一覧!$F$5:$F$2736,$F620)="","",INDEX(選手一覧!$F$5:$F$2736,$F620))</f>
        <v>0.00676053240740741</v>
      </c>
      <c r="J620" s="12" t="n">
        <f aca="false">IF(INDEX(選手一覧!$G$5:$G$2736,$F620)="","",INDEX(選手一覧!$G$5:$G$2736,$F620))</f>
        <v>135</v>
      </c>
    </row>
    <row r="621" customFormat="false" ht="15" hidden="false" customHeight="false" outlineLevel="0" collapsed="false">
      <c r="A621" s="12" t="n">
        <v>618</v>
      </c>
      <c r="B621" s="8" t="s">
        <v>1613</v>
      </c>
      <c r="C621" s="8" t="s">
        <v>1364</v>
      </c>
      <c r="D621" s="11" t="n">
        <v>0.00285740740740741</v>
      </c>
      <c r="E621" s="39" t="n">
        <f aca="false">ROUND((D621-$D$5)*86400,2)</f>
        <v>21.85</v>
      </c>
      <c r="F621" s="12" t="n">
        <v>995</v>
      </c>
      <c r="G621" s="11" t="n">
        <f aca="false">IF(INDEX(選手一覧!$D$5:$D$2736,$F621)="","",INDEX(選手一覧!$D$5:$D$2736,$F621))</f>
        <v>0.0109490740740741</v>
      </c>
      <c r="H621" s="12" t="n">
        <f aca="false">IF(INDEX(選手一覧!$E$5:$E$2736,$F621)="","",INDEX(選手一覧!$E$5:$E$2736,$F621))</f>
        <v>996</v>
      </c>
      <c r="I621" s="11" t="n">
        <f aca="false">IF(INDEX(選手一覧!$F$5:$F$2736,$F621)="","",INDEX(選手一覧!$F$5:$F$2736,$F621))</f>
        <v>0.00645844907407407</v>
      </c>
      <c r="J621" s="12" t="n">
        <f aca="false">IF(INDEX(選手一覧!$G$5:$G$2736,$F621)="","",INDEX(選手一覧!$G$5:$G$2736,$F621))</f>
        <v>24</v>
      </c>
    </row>
    <row r="622" customFormat="false" ht="15" hidden="false" customHeight="false" outlineLevel="0" collapsed="false">
      <c r="A622" s="12" t="n">
        <v>619</v>
      </c>
      <c r="B622" s="8" t="s">
        <v>2677</v>
      </c>
      <c r="C622" s="8" t="s">
        <v>2678</v>
      </c>
      <c r="D622" s="11" t="n">
        <v>0.00285740740740741</v>
      </c>
      <c r="E622" s="39" t="n">
        <f aca="false">ROUND((D622-$D$5)*86400,2)</f>
        <v>21.85</v>
      </c>
      <c r="F622" s="12" t="n">
        <v>1717</v>
      </c>
      <c r="G622" s="11" t="str">
        <f aca="false">IF(INDEX(選手一覧!$D$5:$D$2736,$F622)="","",INDEX(選手一覧!$D$5:$D$2736,$F622))</f>
        <v/>
      </c>
      <c r="H622" s="12" t="str">
        <f aca="false">IF(INDEX(選手一覧!$E$5:$E$2736,$F622)="","",INDEX(選手一覧!$E$5:$E$2736,$F622))</f>
        <v/>
      </c>
      <c r="I622" s="11" t="str">
        <f aca="false">IF(INDEX(選手一覧!$F$5:$F$2736,$F622)="","",INDEX(選手一覧!$F$5:$F$2736,$F622))</f>
        <v/>
      </c>
      <c r="J622" s="12" t="str">
        <f aca="false">IF(INDEX(選手一覧!$G$5:$G$2736,$F622)="","",INDEX(選手一覧!$G$5:$G$2736,$F622))</f>
        <v/>
      </c>
    </row>
    <row r="623" customFormat="false" ht="15" hidden="false" customHeight="false" outlineLevel="0" collapsed="false">
      <c r="A623" s="12" t="n">
        <v>620</v>
      </c>
      <c r="B623" s="8" t="s">
        <v>1888</v>
      </c>
      <c r="C623" s="8" t="s">
        <v>1147</v>
      </c>
      <c r="D623" s="11" t="n">
        <v>0.00285763888888889</v>
      </c>
      <c r="E623" s="39" t="n">
        <f aca="false">ROUND((D623-$D$5)*86400,2)</f>
        <v>21.87</v>
      </c>
      <c r="F623" s="12" t="n">
        <v>1179</v>
      </c>
      <c r="G623" s="11" t="n">
        <f aca="false">IF(INDEX(選手一覧!$D$5:$D$2736,$F623)="","",INDEX(選手一覧!$D$5:$D$2736,$F623))</f>
        <v>0.0110408564814815</v>
      </c>
      <c r="H623" s="12" t="n">
        <f aca="false">IF(INDEX(選手一覧!$E$5:$E$2736,$F623)="","",INDEX(選手一覧!$E$5:$E$2736,$F623))</f>
        <v>1180</v>
      </c>
      <c r="I623" s="11" t="str">
        <f aca="false">IF(INDEX(選手一覧!$F$5:$F$2736,$F623)="","",INDEX(選手一覧!$F$5:$F$2736,$F623))</f>
        <v/>
      </c>
      <c r="J623" s="12" t="str">
        <f aca="false">IF(INDEX(選手一覧!$G$5:$G$2736,$F623)="","",INDEX(選手一覧!$G$5:$G$2736,$F623))</f>
        <v/>
      </c>
    </row>
    <row r="624" customFormat="false" ht="15" hidden="false" customHeight="false" outlineLevel="0" collapsed="false">
      <c r="A624" s="12" t="n">
        <v>621</v>
      </c>
      <c r="B624" s="8" t="s">
        <v>1765</v>
      </c>
      <c r="C624" s="8" t="s">
        <v>120</v>
      </c>
      <c r="D624" s="11" t="n">
        <v>0.00285775462962963</v>
      </c>
      <c r="E624" s="39" t="n">
        <f aca="false">ROUND((D624-$D$5)*86400,2)</f>
        <v>21.88</v>
      </c>
      <c r="F624" s="12" t="n">
        <v>1097</v>
      </c>
      <c r="G624" s="11" t="n">
        <f aca="false">IF(INDEX(選手一覧!$D$5:$D$2736,$F624)="","",INDEX(選手一覧!$D$5:$D$2736,$F624))</f>
        <v>0.0110020833333333</v>
      </c>
      <c r="H624" s="12" t="n">
        <f aca="false">IF(INDEX(選手一覧!$E$5:$E$2736,$F624)="","",INDEX(選手一覧!$E$5:$E$2736,$F624))</f>
        <v>1098</v>
      </c>
      <c r="I624" s="11" t="n">
        <f aca="false">IF(INDEX(選手一覧!$F$5:$F$2736,$F624)="","",INDEX(選手一覧!$F$5:$F$2736,$F624))</f>
        <v>0.00689513888888889</v>
      </c>
      <c r="J624" s="12" t="n">
        <f aca="false">IF(INDEX(選手一覧!$G$5:$G$2736,$F624)="","",INDEX(選手一覧!$G$5:$G$2736,$F624))</f>
        <v>235</v>
      </c>
    </row>
    <row r="625" customFormat="false" ht="15" hidden="false" customHeight="false" outlineLevel="0" collapsed="false">
      <c r="A625" s="12" t="n">
        <v>622</v>
      </c>
      <c r="B625" s="8" t="s">
        <v>1045</v>
      </c>
      <c r="C625" s="8" t="s">
        <v>34</v>
      </c>
      <c r="D625" s="11" t="n">
        <v>0.00285810185185185</v>
      </c>
      <c r="E625" s="39" t="n">
        <f aca="false">ROUND((D625-$D$5)*86400,2)</f>
        <v>21.91</v>
      </c>
      <c r="F625" s="12" t="n">
        <v>614</v>
      </c>
      <c r="G625" s="11" t="n">
        <f aca="false">IF(INDEX(選手一覧!$D$5:$D$2736,$F625)="","",INDEX(選手一覧!$D$5:$D$2736,$F625))</f>
        <v>0.0107228009259259</v>
      </c>
      <c r="H625" s="12" t="n">
        <f aca="false">IF(INDEX(選手一覧!$E$5:$E$2736,$F625)="","",INDEX(選手一覧!$E$5:$E$2736,$F625))</f>
        <v>615</v>
      </c>
      <c r="I625" s="11" t="n">
        <f aca="false">IF(INDEX(選手一覧!$F$5:$F$2736,$F625)="","",INDEX(選手一覧!$F$5:$F$2736,$F625))</f>
        <v>0.00667372685185185</v>
      </c>
      <c r="J625" s="12" t="n">
        <f aca="false">IF(INDEX(選手一覧!$G$5:$G$2736,$F625)="","",INDEX(選手一覧!$G$5:$G$2736,$F625))</f>
        <v>93</v>
      </c>
    </row>
    <row r="626" customFormat="false" ht="15" hidden="false" customHeight="false" outlineLevel="0" collapsed="false">
      <c r="A626" s="12" t="n">
        <v>623</v>
      </c>
      <c r="B626" s="8" t="s">
        <v>546</v>
      </c>
      <c r="C626" s="8" t="s">
        <v>431</v>
      </c>
      <c r="D626" s="11" t="n">
        <v>0.00285821759259259</v>
      </c>
      <c r="E626" s="39" t="n">
        <f aca="false">ROUND((D626-$D$5)*86400,2)</f>
        <v>21.92</v>
      </c>
      <c r="F626" s="12" t="n">
        <v>294</v>
      </c>
      <c r="G626" s="11" t="n">
        <f aca="false">IF(INDEX(選手一覧!$D$5:$D$2736,$F626)="","",INDEX(選手一覧!$D$5:$D$2736,$F626))</f>
        <v>0.0104319444444445</v>
      </c>
      <c r="H626" s="12" t="n">
        <f aca="false">IF(INDEX(選手一覧!$E$5:$E$2736,$F626)="","",INDEX(選手一覧!$E$5:$E$2736,$F626))</f>
        <v>295</v>
      </c>
      <c r="I626" s="11" t="n">
        <f aca="false">IF(INDEX(選手一覧!$F$5:$F$2736,$F626)="","",INDEX(選手一覧!$F$5:$F$2736,$F626))</f>
        <v>0.00650046296296296</v>
      </c>
      <c r="J626" s="12" t="n">
        <f aca="false">IF(INDEX(選手一覧!$G$5:$G$2736,$F626)="","",INDEX(選手一覧!$G$5:$G$2736,$F626))</f>
        <v>36</v>
      </c>
    </row>
    <row r="627" customFormat="false" ht="15" hidden="false" customHeight="false" outlineLevel="0" collapsed="false">
      <c r="A627" s="12" t="n">
        <v>624</v>
      </c>
      <c r="B627" s="8" t="s">
        <v>1529</v>
      </c>
      <c r="C627" s="8" t="s">
        <v>94</v>
      </c>
      <c r="D627" s="11" t="n">
        <v>0.00285833333333333</v>
      </c>
      <c r="E627" s="39" t="n">
        <f aca="false">ROUND((D627-$D$5)*86400,2)</f>
        <v>21.93</v>
      </c>
      <c r="F627" s="12" t="n">
        <v>936</v>
      </c>
      <c r="G627" s="11" t="n">
        <f aca="false">IF(INDEX(選手一覧!$D$5:$D$2736,$F627)="","",INDEX(選手一覧!$D$5:$D$2736,$F627))</f>
        <v>0.0109090277777778</v>
      </c>
      <c r="H627" s="12" t="n">
        <f aca="false">IF(INDEX(選手一覧!$E$5:$E$2736,$F627)="","",INDEX(選手一覧!$E$5:$E$2736,$F627))</f>
        <v>937</v>
      </c>
      <c r="I627" s="11" t="n">
        <f aca="false">IF(INDEX(選手一覧!$F$5:$F$2736,$F627)="","",INDEX(選手一覧!$F$5:$F$2736,$F627))</f>
        <v>0.0069212962962963</v>
      </c>
      <c r="J627" s="12" t="n">
        <f aca="false">IF(INDEX(選手一覧!$G$5:$G$2736,$F627)="","",INDEX(選手一覧!$G$5:$G$2736,$F627))</f>
        <v>259</v>
      </c>
    </row>
    <row r="628" customFormat="false" ht="15" hidden="false" customHeight="false" outlineLevel="0" collapsed="false">
      <c r="A628" s="12" t="n">
        <v>625</v>
      </c>
      <c r="B628" s="8" t="s">
        <v>2685</v>
      </c>
      <c r="C628" s="8" t="s">
        <v>484</v>
      </c>
      <c r="D628" s="11" t="n">
        <v>0.00285868055555556</v>
      </c>
      <c r="E628" s="39" t="n">
        <f aca="false">ROUND((D628-$D$5)*86400,2)</f>
        <v>21.96</v>
      </c>
      <c r="F628" s="12" t="n">
        <v>1722</v>
      </c>
      <c r="G628" s="11" t="str">
        <f aca="false">IF(INDEX(選手一覧!$D$5:$D$2736,$F628)="","",INDEX(選手一覧!$D$5:$D$2736,$F628))</f>
        <v/>
      </c>
      <c r="H628" s="12" t="str">
        <f aca="false">IF(INDEX(選手一覧!$E$5:$E$2736,$F628)="","",INDEX(選手一覧!$E$5:$E$2736,$F628))</f>
        <v/>
      </c>
      <c r="I628" s="11" t="str">
        <f aca="false">IF(INDEX(選手一覧!$F$5:$F$2736,$F628)="","",INDEX(選手一覧!$F$5:$F$2736,$F628))</f>
        <v/>
      </c>
      <c r="J628" s="12" t="str">
        <f aca="false">IF(INDEX(選手一覧!$G$5:$G$2736,$F628)="","",INDEX(選手一覧!$G$5:$G$2736,$F628))</f>
        <v/>
      </c>
    </row>
    <row r="629" customFormat="false" ht="15" hidden="false" customHeight="false" outlineLevel="0" collapsed="false">
      <c r="A629" s="12" t="n">
        <v>626</v>
      </c>
      <c r="B629" s="8" t="s">
        <v>2687</v>
      </c>
      <c r="C629" s="8" t="s">
        <v>2117</v>
      </c>
      <c r="D629" s="11" t="n">
        <v>0.0028587962962963</v>
      </c>
      <c r="E629" s="39" t="n">
        <f aca="false">ROUND((D629-$D$5)*86400,2)</f>
        <v>21.97</v>
      </c>
      <c r="F629" s="12" t="n">
        <v>1724</v>
      </c>
      <c r="G629" s="11" t="str">
        <f aca="false">IF(INDEX(選手一覧!$D$5:$D$2736,$F629)="","",INDEX(選手一覧!$D$5:$D$2736,$F629))</f>
        <v/>
      </c>
      <c r="H629" s="12" t="str">
        <f aca="false">IF(INDEX(選手一覧!$E$5:$E$2736,$F629)="","",INDEX(選手一覧!$E$5:$E$2736,$F629))</f>
        <v/>
      </c>
      <c r="I629" s="11" t="str">
        <f aca="false">IF(INDEX(選手一覧!$F$5:$F$2736,$F629)="","",INDEX(選手一覧!$F$5:$F$2736,$F629))</f>
        <v/>
      </c>
      <c r="J629" s="12" t="str">
        <f aca="false">IF(INDEX(選手一覧!$G$5:$G$2736,$F629)="","",INDEX(選手一覧!$G$5:$G$2736,$F629))</f>
        <v/>
      </c>
    </row>
    <row r="630" customFormat="false" ht="15" hidden="false" customHeight="false" outlineLevel="0" collapsed="false">
      <c r="A630" s="12" t="n">
        <v>627</v>
      </c>
      <c r="B630" s="8" t="s">
        <v>1188</v>
      </c>
      <c r="C630" s="8" t="s">
        <v>1189</v>
      </c>
      <c r="D630" s="11" t="n">
        <v>0.0028587962962963</v>
      </c>
      <c r="E630" s="39" t="n">
        <f aca="false">ROUND((D630-$D$5)*86400,2)</f>
        <v>21.97</v>
      </c>
      <c r="F630" s="12" t="n">
        <v>710</v>
      </c>
      <c r="G630" s="11" t="n">
        <f aca="false">IF(INDEX(選手一覧!$D$5:$D$2736,$F630)="","",INDEX(選手一覧!$D$5:$D$2736,$F630))</f>
        <v>0.010783912037037</v>
      </c>
      <c r="H630" s="12" t="n">
        <f aca="false">IF(INDEX(選手一覧!$E$5:$E$2736,$F630)="","",INDEX(選手一覧!$E$5:$E$2736,$F630))</f>
        <v>711</v>
      </c>
      <c r="I630" s="11" t="str">
        <f aca="false">IF(INDEX(選手一覧!$F$5:$F$2736,$F630)="","",INDEX(選手一覧!$F$5:$F$2736,$F630))</f>
        <v/>
      </c>
      <c r="J630" s="12" t="str">
        <f aca="false">IF(INDEX(選手一覧!$G$5:$G$2736,$F630)="","",INDEX(選手一覧!$G$5:$G$2736,$F630))</f>
        <v/>
      </c>
    </row>
    <row r="631" customFormat="false" ht="15" hidden="false" customHeight="false" outlineLevel="0" collapsed="false">
      <c r="A631" s="12" t="n">
        <v>628</v>
      </c>
      <c r="B631" s="8" t="s">
        <v>1227</v>
      </c>
      <c r="C631" s="8" t="s">
        <v>616</v>
      </c>
      <c r="D631" s="11" t="n">
        <v>0.0028587962962963</v>
      </c>
      <c r="E631" s="39" t="n">
        <f aca="false">ROUND((D631-$D$5)*86400,2)</f>
        <v>21.97</v>
      </c>
      <c r="F631" s="12" t="n">
        <v>735</v>
      </c>
      <c r="G631" s="11" t="n">
        <f aca="false">IF(INDEX(選手一覧!$D$5:$D$2736,$F631)="","",INDEX(選手一覧!$D$5:$D$2736,$F631))</f>
        <v>0.010796875</v>
      </c>
      <c r="H631" s="12" t="n">
        <f aca="false">IF(INDEX(選手一覧!$E$5:$E$2736,$F631)="","",INDEX(選手一覧!$E$5:$E$2736,$F631))</f>
        <v>736</v>
      </c>
      <c r="I631" s="11" t="str">
        <f aca="false">IF(INDEX(選手一覧!$F$5:$F$2736,$F631)="","",INDEX(選手一覧!$F$5:$F$2736,$F631))</f>
        <v/>
      </c>
      <c r="J631" s="12" t="str">
        <f aca="false">IF(INDEX(選手一覧!$G$5:$G$2736,$F631)="","",INDEX(選手一覧!$G$5:$G$2736,$F631))</f>
        <v/>
      </c>
    </row>
    <row r="632" customFormat="false" ht="15" hidden="false" customHeight="false" outlineLevel="0" collapsed="false">
      <c r="A632" s="12" t="n">
        <v>629</v>
      </c>
      <c r="B632" s="8" t="s">
        <v>2691</v>
      </c>
      <c r="C632" s="8" t="s">
        <v>2533</v>
      </c>
      <c r="D632" s="11" t="n">
        <v>0.00285914351851852</v>
      </c>
      <c r="E632" s="39" t="n">
        <f aca="false">ROUND((D632-$D$5)*86400,2)</f>
        <v>22</v>
      </c>
      <c r="F632" s="12" t="n">
        <v>1727</v>
      </c>
      <c r="G632" s="11" t="str">
        <f aca="false">IF(INDEX(選手一覧!$D$5:$D$2736,$F632)="","",INDEX(選手一覧!$D$5:$D$2736,$F632))</f>
        <v/>
      </c>
      <c r="H632" s="12" t="str">
        <f aca="false">IF(INDEX(選手一覧!$E$5:$E$2736,$F632)="","",INDEX(選手一覧!$E$5:$E$2736,$F632))</f>
        <v/>
      </c>
      <c r="I632" s="11" t="str">
        <f aca="false">IF(INDEX(選手一覧!$F$5:$F$2736,$F632)="","",INDEX(選手一覧!$F$5:$F$2736,$F632))</f>
        <v/>
      </c>
      <c r="J632" s="12" t="str">
        <f aca="false">IF(INDEX(選手一覧!$G$5:$G$2736,$F632)="","",INDEX(選手一覧!$G$5:$G$2736,$F632))</f>
        <v/>
      </c>
    </row>
    <row r="633" customFormat="false" ht="15" hidden="false" customHeight="false" outlineLevel="0" collapsed="false">
      <c r="A633" s="12" t="n">
        <v>630</v>
      </c>
      <c r="B633" s="8" t="s">
        <v>214</v>
      </c>
      <c r="C633" s="8" t="s">
        <v>154</v>
      </c>
      <c r="D633" s="11" t="n">
        <v>0.00285925925925926</v>
      </c>
      <c r="E633" s="39" t="n">
        <f aca="false">ROUND((D633-$D$5)*86400,2)</f>
        <v>22.01</v>
      </c>
      <c r="F633" s="12" t="n">
        <v>101</v>
      </c>
      <c r="G633" s="11" t="n">
        <f aca="false">IF(INDEX(選手一覧!$D$5:$D$2736,$F633)="","",INDEX(選手一覧!$D$5:$D$2736,$F633))</f>
        <v>0.0102140046296296</v>
      </c>
      <c r="H633" s="12" t="n">
        <f aca="false">IF(INDEX(選手一覧!$E$5:$E$2736,$F633)="","",INDEX(選手一覧!$E$5:$E$2736,$F633))</f>
        <v>102</v>
      </c>
      <c r="I633" s="11" t="n">
        <f aca="false">IF(INDEX(選手一覧!$F$5:$F$2736,$F633)="","",INDEX(選手一覧!$F$5:$F$2736,$F633))</f>
        <v>0.00633553240740741</v>
      </c>
      <c r="J633" s="12" t="n">
        <f aca="false">IF(INDEX(選手一覧!$G$5:$G$2736,$F633)="","",INDEX(選手一覧!$G$5:$G$2736,$F633))</f>
        <v>6</v>
      </c>
    </row>
    <row r="634" customFormat="false" ht="15" hidden="false" customHeight="false" outlineLevel="0" collapsed="false">
      <c r="A634" s="12" t="n">
        <v>631</v>
      </c>
      <c r="B634" s="8" t="s">
        <v>2694</v>
      </c>
      <c r="C634" s="8" t="s">
        <v>866</v>
      </c>
      <c r="D634" s="11" t="n">
        <v>0.00285925925925926</v>
      </c>
      <c r="E634" s="39" t="n">
        <f aca="false">ROUND((D634-$D$5)*86400,2)</f>
        <v>22.01</v>
      </c>
      <c r="F634" s="12" t="n">
        <v>1729</v>
      </c>
      <c r="G634" s="11" t="str">
        <f aca="false">IF(INDEX(選手一覧!$D$5:$D$2736,$F634)="","",INDEX(選手一覧!$D$5:$D$2736,$F634))</f>
        <v/>
      </c>
      <c r="H634" s="12" t="str">
        <f aca="false">IF(INDEX(選手一覧!$E$5:$E$2736,$F634)="","",INDEX(選手一覧!$E$5:$E$2736,$F634))</f>
        <v/>
      </c>
      <c r="I634" s="11" t="str">
        <f aca="false">IF(INDEX(選手一覧!$F$5:$F$2736,$F634)="","",INDEX(選手一覧!$F$5:$F$2736,$F634))</f>
        <v/>
      </c>
      <c r="J634" s="12" t="str">
        <f aca="false">IF(INDEX(選手一覧!$G$5:$G$2736,$F634)="","",INDEX(選手一覧!$G$5:$G$2736,$F634))</f>
        <v/>
      </c>
    </row>
    <row r="635" customFormat="false" ht="15" hidden="false" customHeight="false" outlineLevel="0" collapsed="false">
      <c r="A635" s="12" t="n">
        <v>632</v>
      </c>
      <c r="B635" s="8" t="s">
        <v>1729</v>
      </c>
      <c r="C635" s="8" t="s">
        <v>1730</v>
      </c>
      <c r="D635" s="11" t="n">
        <v>0.00285983796296296</v>
      </c>
      <c r="E635" s="39" t="n">
        <f aca="false">ROUND((D635-$D$5)*86400,2)</f>
        <v>22.06</v>
      </c>
      <c r="F635" s="12" t="n">
        <v>1073</v>
      </c>
      <c r="G635" s="11" t="n">
        <f aca="false">IF(INDEX(選手一覧!$D$5:$D$2736,$F635)="","",INDEX(選手一覧!$D$5:$D$2736,$F635))</f>
        <v>0.0109866898148148</v>
      </c>
      <c r="H635" s="12" t="n">
        <f aca="false">IF(INDEX(選手一覧!$E$5:$E$2736,$F635)="","",INDEX(選手一覧!$E$5:$E$2736,$F635))</f>
        <v>1074</v>
      </c>
      <c r="I635" s="11" t="n">
        <f aca="false">IF(INDEX(選手一覧!$F$5:$F$2736,$F635)="","",INDEX(選手一覧!$F$5:$F$2736,$F635))</f>
        <v>0.00723148148148148</v>
      </c>
      <c r="J635" s="12" t="n">
        <f aca="false">IF(INDEX(選手一覧!$G$5:$G$2736,$F635)="","",INDEX(選手一覧!$G$5:$G$2736,$F635))</f>
        <v>575</v>
      </c>
    </row>
    <row r="636" customFormat="false" ht="15" hidden="false" customHeight="false" outlineLevel="0" collapsed="false">
      <c r="A636" s="12" t="n">
        <v>633</v>
      </c>
      <c r="B636" s="8" t="s">
        <v>880</v>
      </c>
      <c r="C636" s="8" t="s">
        <v>881</v>
      </c>
      <c r="D636" s="11" t="n">
        <v>0.00285983796296296</v>
      </c>
      <c r="E636" s="39" t="n">
        <f aca="false">ROUND((D636-$D$5)*86400,2)</f>
        <v>22.06</v>
      </c>
      <c r="F636" s="12" t="n">
        <v>504</v>
      </c>
      <c r="G636" s="11" t="n">
        <f aca="false">IF(INDEX(選手一覧!$D$5:$D$2736,$F636)="","",INDEX(選手一覧!$D$5:$D$2736,$F636))</f>
        <v>0.01063125</v>
      </c>
      <c r="H636" s="12" t="n">
        <f aca="false">IF(INDEX(選手一覧!$E$5:$E$2736,$F636)="","",INDEX(選手一覧!$E$5:$E$2736,$F636))</f>
        <v>505</v>
      </c>
      <c r="I636" s="11" t="n">
        <f aca="false">IF(INDEX(選手一覧!$F$5:$F$2736,$F636)="","",INDEX(選手一覧!$F$5:$F$2736,$F636))</f>
        <v>0.00687268518518519</v>
      </c>
      <c r="J636" s="12" t="n">
        <f aca="false">IF(INDEX(選手一覧!$G$5:$G$2736,$F636)="","",INDEX(選手一覧!$G$5:$G$2736,$F636))</f>
        <v>221</v>
      </c>
    </row>
    <row r="637" customFormat="false" ht="15" hidden="false" customHeight="false" outlineLevel="0" collapsed="false">
      <c r="A637" s="12" t="n">
        <v>634</v>
      </c>
      <c r="B637" s="8" t="s">
        <v>1770</v>
      </c>
      <c r="C637" s="8" t="s">
        <v>1583</v>
      </c>
      <c r="D637" s="11" t="n">
        <v>0.0028599537037037</v>
      </c>
      <c r="E637" s="39" t="n">
        <f aca="false">ROUND((D637-$D$5)*86400,2)</f>
        <v>22.07</v>
      </c>
      <c r="F637" s="12" t="n">
        <v>1100</v>
      </c>
      <c r="G637" s="11" t="n">
        <f aca="false">IF(INDEX(選手一覧!$D$5:$D$2736,$F637)="","",INDEX(選手一覧!$D$5:$D$2736,$F637))</f>
        <v>0.0110046296296296</v>
      </c>
      <c r="H637" s="12" t="n">
        <f aca="false">IF(INDEX(選手一覧!$E$5:$E$2736,$F637)="","",INDEX(選手一覧!$E$5:$E$2736,$F637))</f>
        <v>1101</v>
      </c>
      <c r="I637" s="11" t="str">
        <f aca="false">IF(INDEX(選手一覧!$F$5:$F$2736,$F637)="","",INDEX(選手一覧!$F$5:$F$2736,$F637))</f>
        <v/>
      </c>
      <c r="J637" s="12" t="str">
        <f aca="false">IF(INDEX(選手一覧!$G$5:$G$2736,$F637)="","",INDEX(選手一覧!$G$5:$G$2736,$F637))</f>
        <v/>
      </c>
    </row>
    <row r="638" customFormat="false" ht="15" hidden="false" customHeight="false" outlineLevel="0" collapsed="false">
      <c r="A638" s="12" t="n">
        <v>635</v>
      </c>
      <c r="B638" s="8" t="s">
        <v>800</v>
      </c>
      <c r="C638" s="8" t="s">
        <v>523</v>
      </c>
      <c r="D638" s="11" t="n">
        <v>0.00286006944444445</v>
      </c>
      <c r="E638" s="39" t="n">
        <f aca="false">ROUND((D638-$D$5)*86400,2)</f>
        <v>22.08</v>
      </c>
      <c r="F638" s="12" t="n">
        <v>455</v>
      </c>
      <c r="G638" s="11" t="n">
        <f aca="false">IF(INDEX(選手一覧!$D$5:$D$2736,$F638)="","",INDEX(選手一覧!$D$5:$D$2736,$F638))</f>
        <v>0.0105909722222222</v>
      </c>
      <c r="H638" s="12" t="n">
        <f aca="false">IF(INDEX(選手一覧!$E$5:$E$2736,$F638)="","",INDEX(選手一覧!$E$5:$E$2736,$F638))</f>
        <v>456</v>
      </c>
      <c r="I638" s="11" t="str">
        <f aca="false">IF(INDEX(選手一覧!$F$5:$F$2736,$F638)="","",INDEX(選手一覧!$F$5:$F$2736,$F638))</f>
        <v/>
      </c>
      <c r="J638" s="12" t="str">
        <f aca="false">IF(INDEX(選手一覧!$G$5:$G$2736,$F638)="","",INDEX(選手一覧!$G$5:$G$2736,$F638))</f>
        <v/>
      </c>
    </row>
    <row r="639" customFormat="false" ht="15" hidden="false" customHeight="false" outlineLevel="0" collapsed="false">
      <c r="A639" s="12" t="n">
        <v>636</v>
      </c>
      <c r="B639" s="8" t="s">
        <v>955</v>
      </c>
      <c r="C639" s="8" t="s">
        <v>89</v>
      </c>
      <c r="D639" s="11" t="n">
        <v>0.00286006944444445</v>
      </c>
      <c r="E639" s="39" t="n">
        <f aca="false">ROUND((D639-$D$5)*86400,2)</f>
        <v>22.08</v>
      </c>
      <c r="F639" s="12" t="n">
        <v>551</v>
      </c>
      <c r="G639" s="11" t="n">
        <f aca="false">IF(INDEX(選手一覧!$D$5:$D$2736,$F639)="","",INDEX(選手一覧!$D$5:$D$2736,$F639))</f>
        <v>0.0106728009259259</v>
      </c>
      <c r="H639" s="12" t="n">
        <f aca="false">IF(INDEX(選手一覧!$E$5:$E$2736,$F639)="","",INDEX(選手一覧!$E$5:$E$2736,$F639))</f>
        <v>552</v>
      </c>
      <c r="I639" s="11" t="n">
        <f aca="false">IF(INDEX(選手一覧!$F$5:$F$2736,$F639)="","",INDEX(選手一覧!$F$5:$F$2736,$F639))</f>
        <v>0.00665798611111111</v>
      </c>
      <c r="J639" s="12" t="n">
        <f aca="false">IF(INDEX(選手一覧!$G$5:$G$2736,$F639)="","",INDEX(選手一覧!$G$5:$G$2736,$F639))</f>
        <v>86</v>
      </c>
    </row>
    <row r="640" customFormat="false" ht="15" hidden="false" customHeight="false" outlineLevel="0" collapsed="false">
      <c r="A640" s="12" t="n">
        <v>637</v>
      </c>
      <c r="B640" s="8" t="s">
        <v>919</v>
      </c>
      <c r="C640" s="8" t="s">
        <v>721</v>
      </c>
      <c r="D640" s="11" t="n">
        <v>0.00286041666666667</v>
      </c>
      <c r="E640" s="39" t="n">
        <f aca="false">ROUND((D640-$D$5)*86400,2)</f>
        <v>22.11</v>
      </c>
      <c r="F640" s="12" t="n">
        <v>528</v>
      </c>
      <c r="G640" s="11" t="n">
        <f aca="false">IF(INDEX(選手一覧!$D$5:$D$2736,$F640)="","",INDEX(選手一覧!$D$5:$D$2736,$F640))</f>
        <v>0.0106528935185185</v>
      </c>
      <c r="H640" s="12" t="n">
        <f aca="false">IF(INDEX(選手一覧!$E$5:$E$2736,$F640)="","",INDEX(選手一覧!$E$5:$E$2736,$F640))</f>
        <v>529</v>
      </c>
      <c r="I640" s="11" t="str">
        <f aca="false">IF(INDEX(選手一覧!$F$5:$F$2736,$F640)="","",INDEX(選手一覧!$F$5:$F$2736,$F640))</f>
        <v/>
      </c>
      <c r="J640" s="12" t="str">
        <f aca="false">IF(INDEX(選手一覧!$G$5:$G$2736,$F640)="","",INDEX(選手一覧!$G$5:$G$2736,$F640))</f>
        <v/>
      </c>
    </row>
    <row r="641" customFormat="false" ht="15" hidden="false" customHeight="false" outlineLevel="0" collapsed="false">
      <c r="A641" s="12" t="n">
        <v>638</v>
      </c>
      <c r="B641" s="8" t="s">
        <v>2705</v>
      </c>
      <c r="C641" s="8" t="s">
        <v>1901</v>
      </c>
      <c r="D641" s="11" t="n">
        <v>0.00286087962962963</v>
      </c>
      <c r="E641" s="39" t="n">
        <f aca="false">ROUND((D641-$D$5)*86400,2)</f>
        <v>22.15</v>
      </c>
      <c r="F641" s="12" t="n">
        <v>1737</v>
      </c>
      <c r="G641" s="11" t="str">
        <f aca="false">IF(INDEX(選手一覧!$D$5:$D$2736,$F641)="","",INDEX(選手一覧!$D$5:$D$2736,$F641))</f>
        <v/>
      </c>
      <c r="H641" s="12" t="str">
        <f aca="false">IF(INDEX(選手一覧!$E$5:$E$2736,$F641)="","",INDEX(選手一覧!$E$5:$E$2736,$F641))</f>
        <v/>
      </c>
      <c r="I641" s="11" t="str">
        <f aca="false">IF(INDEX(選手一覧!$F$5:$F$2736,$F641)="","",INDEX(選手一覧!$F$5:$F$2736,$F641))</f>
        <v/>
      </c>
      <c r="J641" s="12" t="str">
        <f aca="false">IF(INDEX(選手一覧!$G$5:$G$2736,$F641)="","",INDEX(選手一覧!$G$5:$G$2736,$F641))</f>
        <v/>
      </c>
    </row>
    <row r="642" customFormat="false" ht="15" hidden="false" customHeight="false" outlineLevel="0" collapsed="false">
      <c r="A642" s="12" t="n">
        <v>639</v>
      </c>
      <c r="B642" s="8" t="s">
        <v>2707</v>
      </c>
      <c r="C642" s="8" t="s">
        <v>197</v>
      </c>
      <c r="D642" s="11" t="n">
        <v>0.00286099537037037</v>
      </c>
      <c r="E642" s="39" t="n">
        <f aca="false">ROUND((D642-$D$5)*86400,2)</f>
        <v>22.16</v>
      </c>
      <c r="F642" s="12" t="n">
        <v>1739</v>
      </c>
      <c r="G642" s="11" t="str">
        <f aca="false">IF(INDEX(選手一覧!$D$5:$D$2736,$F642)="","",INDEX(選手一覧!$D$5:$D$2736,$F642))</f>
        <v/>
      </c>
      <c r="H642" s="12" t="str">
        <f aca="false">IF(INDEX(選手一覧!$E$5:$E$2736,$F642)="","",INDEX(選手一覧!$E$5:$E$2736,$F642))</f>
        <v/>
      </c>
      <c r="I642" s="11" t="str">
        <f aca="false">IF(INDEX(選手一覧!$F$5:$F$2736,$F642)="","",INDEX(選手一覧!$F$5:$F$2736,$F642))</f>
        <v/>
      </c>
      <c r="J642" s="12" t="str">
        <f aca="false">IF(INDEX(選手一覧!$G$5:$G$2736,$F642)="","",INDEX(選手一覧!$G$5:$G$2736,$F642))</f>
        <v/>
      </c>
    </row>
    <row r="643" customFormat="false" ht="15" hidden="false" customHeight="false" outlineLevel="0" collapsed="false">
      <c r="A643" s="12" t="n">
        <v>640</v>
      </c>
      <c r="B643" s="8" t="s">
        <v>405</v>
      </c>
      <c r="C643" s="8" t="s">
        <v>28</v>
      </c>
      <c r="D643" s="11" t="n">
        <v>0.00286099537037037</v>
      </c>
      <c r="E643" s="39" t="n">
        <f aca="false">ROUND((D643-$D$5)*86400,2)</f>
        <v>22.16</v>
      </c>
      <c r="F643" s="12" t="n">
        <v>206</v>
      </c>
      <c r="G643" s="11" t="n">
        <f aca="false">IF(INDEX(選手一覧!$D$5:$D$2736,$F643)="","",INDEX(選手一覧!$D$5:$D$2736,$F643))</f>
        <v>0.0103527777777778</v>
      </c>
      <c r="H643" s="12" t="n">
        <f aca="false">IF(INDEX(選手一覧!$E$5:$E$2736,$F643)="","",INDEX(選手一覧!$E$5:$E$2736,$F643))</f>
        <v>207</v>
      </c>
      <c r="I643" s="11" t="str">
        <f aca="false">IF(INDEX(選手一覧!$F$5:$F$2736,$F643)="","",INDEX(選手一覧!$F$5:$F$2736,$F643))</f>
        <v/>
      </c>
      <c r="J643" s="12" t="str">
        <f aca="false">IF(INDEX(選手一覧!$G$5:$G$2736,$F643)="","",INDEX(選手一覧!$G$5:$G$2736,$F643))</f>
        <v/>
      </c>
    </row>
    <row r="644" customFormat="false" ht="15" hidden="false" customHeight="false" outlineLevel="0" collapsed="false">
      <c r="A644" s="12" t="n">
        <v>641</v>
      </c>
      <c r="B644" s="8" t="s">
        <v>1342</v>
      </c>
      <c r="C644" s="8" t="s">
        <v>447</v>
      </c>
      <c r="D644" s="11" t="n">
        <v>0.00286111111111111</v>
      </c>
      <c r="E644" s="39" t="n">
        <f aca="false">ROUND((D644-$D$5)*86400,2)</f>
        <v>22.17</v>
      </c>
      <c r="F644" s="12" t="n">
        <v>813</v>
      </c>
      <c r="G644" s="11" t="n">
        <f aca="false">IF(INDEX(選手一覧!$D$5:$D$2736,$F644)="","",INDEX(選手一覧!$D$5:$D$2736,$F644))</f>
        <v>0.0108413194444445</v>
      </c>
      <c r="H644" s="12" t="n">
        <f aca="false">IF(INDEX(選手一覧!$E$5:$E$2736,$F644)="","",INDEX(選手一覧!$E$5:$E$2736,$F644))</f>
        <v>814</v>
      </c>
      <c r="I644" s="11" t="str">
        <f aca="false">IF(INDEX(選手一覧!$F$5:$F$2736,$F644)="","",INDEX(選手一覧!$F$5:$F$2736,$F644))</f>
        <v/>
      </c>
      <c r="J644" s="12" t="str">
        <f aca="false">IF(INDEX(選手一覧!$G$5:$G$2736,$F644)="","",INDEX(選手一覧!$G$5:$G$2736,$F644))</f>
        <v/>
      </c>
    </row>
    <row r="645" customFormat="false" ht="15" hidden="false" customHeight="false" outlineLevel="0" collapsed="false">
      <c r="A645" s="12" t="n">
        <v>642</v>
      </c>
      <c r="B645" s="8" t="s">
        <v>2714</v>
      </c>
      <c r="C645" s="8" t="s">
        <v>2715</v>
      </c>
      <c r="D645" s="11" t="n">
        <v>0.00286134259259259</v>
      </c>
      <c r="E645" s="39" t="n">
        <f aca="false">ROUND((D645-$D$5)*86400,2)</f>
        <v>22.19</v>
      </c>
      <c r="F645" s="12" t="n">
        <v>1743</v>
      </c>
      <c r="G645" s="11" t="str">
        <f aca="false">IF(INDEX(選手一覧!$D$5:$D$2736,$F645)="","",INDEX(選手一覧!$D$5:$D$2736,$F645))</f>
        <v/>
      </c>
      <c r="H645" s="12" t="str">
        <f aca="false">IF(INDEX(選手一覧!$E$5:$E$2736,$F645)="","",INDEX(選手一覧!$E$5:$E$2736,$F645))</f>
        <v/>
      </c>
      <c r="I645" s="11" t="str">
        <f aca="false">IF(INDEX(選手一覧!$F$5:$F$2736,$F645)="","",INDEX(選手一覧!$F$5:$F$2736,$F645))</f>
        <v/>
      </c>
      <c r="J645" s="12" t="str">
        <f aca="false">IF(INDEX(選手一覧!$G$5:$G$2736,$F645)="","",INDEX(選手一覧!$G$5:$G$2736,$F645))</f>
        <v/>
      </c>
    </row>
    <row r="646" customFormat="false" ht="15" hidden="false" customHeight="false" outlineLevel="0" collapsed="false">
      <c r="A646" s="12" t="n">
        <v>643</v>
      </c>
      <c r="B646" s="8" t="s">
        <v>191</v>
      </c>
      <c r="C646" s="8" t="s">
        <v>192</v>
      </c>
      <c r="D646" s="11" t="n">
        <v>0.00286180555555556</v>
      </c>
      <c r="E646" s="39" t="n">
        <f aca="false">ROUND((D646-$D$5)*86400,2)</f>
        <v>22.23</v>
      </c>
      <c r="F646" s="12" t="n">
        <v>88</v>
      </c>
      <c r="G646" s="11" t="n">
        <f aca="false">IF(INDEX(選手一覧!$D$5:$D$2736,$F646)="","",INDEX(選手一覧!$D$5:$D$2736,$F646))</f>
        <v>0.0101872685185185</v>
      </c>
      <c r="H646" s="12" t="n">
        <f aca="false">IF(INDEX(選手一覧!$E$5:$E$2736,$F646)="","",INDEX(選手一覧!$E$5:$E$2736,$F646))</f>
        <v>89</v>
      </c>
      <c r="I646" s="11" t="str">
        <f aca="false">IF(INDEX(選手一覧!$F$5:$F$2736,$F646)="","",INDEX(選手一覧!$F$5:$F$2736,$F646))</f>
        <v/>
      </c>
      <c r="J646" s="12" t="str">
        <f aca="false">IF(INDEX(選手一覧!$G$5:$G$2736,$F646)="","",INDEX(選手一覧!$G$5:$G$2736,$F646))</f>
        <v/>
      </c>
    </row>
    <row r="647" customFormat="false" ht="15" hidden="false" customHeight="false" outlineLevel="0" collapsed="false">
      <c r="A647" s="12" t="n">
        <v>644</v>
      </c>
      <c r="B647" s="8" t="s">
        <v>1311</v>
      </c>
      <c r="C647" s="8" t="s">
        <v>554</v>
      </c>
      <c r="D647" s="11" t="n">
        <v>0.00286180555555556</v>
      </c>
      <c r="E647" s="39" t="n">
        <f aca="false">ROUND((D647-$D$5)*86400,2)</f>
        <v>22.23</v>
      </c>
      <c r="F647" s="12" t="n">
        <v>795</v>
      </c>
      <c r="G647" s="11" t="n">
        <f aca="false">IF(INDEX(選手一覧!$D$5:$D$2736,$F647)="","",INDEX(選手一覧!$D$5:$D$2736,$F647))</f>
        <v>0.0108318287037037</v>
      </c>
      <c r="H647" s="12" t="n">
        <f aca="false">IF(INDEX(選手一覧!$E$5:$E$2736,$F647)="","",INDEX(選手一覧!$E$5:$E$2736,$F647))</f>
        <v>796</v>
      </c>
      <c r="I647" s="11" t="str">
        <f aca="false">IF(INDEX(選手一覧!$F$5:$F$2736,$F647)="","",INDEX(選手一覧!$F$5:$F$2736,$F647))</f>
        <v/>
      </c>
      <c r="J647" s="12" t="str">
        <f aca="false">IF(INDEX(選手一覧!$G$5:$G$2736,$F647)="","",INDEX(選手一覧!$G$5:$G$2736,$F647))</f>
        <v/>
      </c>
    </row>
    <row r="648" customFormat="false" ht="15" hidden="false" customHeight="false" outlineLevel="0" collapsed="false">
      <c r="A648" s="12" t="n">
        <v>645</v>
      </c>
      <c r="B648" s="8" t="s">
        <v>2721</v>
      </c>
      <c r="C648" s="8" t="s">
        <v>2231</v>
      </c>
      <c r="D648" s="11" t="n">
        <v>0.0028619212962963</v>
      </c>
      <c r="E648" s="39" t="n">
        <f aca="false">ROUND((D648-$D$5)*86400,2)</f>
        <v>22.24</v>
      </c>
      <c r="F648" s="12" t="n">
        <v>1747</v>
      </c>
      <c r="G648" s="11" t="str">
        <f aca="false">IF(INDEX(選手一覧!$D$5:$D$2736,$F648)="","",INDEX(選手一覧!$D$5:$D$2736,$F648))</f>
        <v/>
      </c>
      <c r="H648" s="12" t="str">
        <f aca="false">IF(INDEX(選手一覧!$E$5:$E$2736,$F648)="","",INDEX(選手一覧!$E$5:$E$2736,$F648))</f>
        <v/>
      </c>
      <c r="I648" s="11" t="str">
        <f aca="false">IF(INDEX(選手一覧!$F$5:$F$2736,$F648)="","",INDEX(選手一覧!$F$5:$F$2736,$F648))</f>
        <v/>
      </c>
      <c r="J648" s="12" t="str">
        <f aca="false">IF(INDEX(選手一覧!$G$5:$G$2736,$F648)="","",INDEX(選手一覧!$G$5:$G$2736,$F648))</f>
        <v/>
      </c>
    </row>
    <row r="649" customFormat="false" ht="15" hidden="false" customHeight="false" outlineLevel="0" collapsed="false">
      <c r="A649" s="12" t="n">
        <v>646</v>
      </c>
      <c r="B649" s="8" t="s">
        <v>2722</v>
      </c>
      <c r="C649" s="8" t="s">
        <v>2723</v>
      </c>
      <c r="D649" s="11" t="n">
        <v>0.00286215277777778</v>
      </c>
      <c r="E649" s="39" t="n">
        <f aca="false">ROUND((D649-$D$5)*86400,2)</f>
        <v>22.26</v>
      </c>
      <c r="F649" s="12" t="n">
        <v>1748</v>
      </c>
      <c r="G649" s="11" t="str">
        <f aca="false">IF(INDEX(選手一覧!$D$5:$D$2736,$F649)="","",INDEX(選手一覧!$D$5:$D$2736,$F649))</f>
        <v/>
      </c>
      <c r="H649" s="12" t="str">
        <f aca="false">IF(INDEX(選手一覧!$E$5:$E$2736,$F649)="","",INDEX(選手一覧!$E$5:$E$2736,$F649))</f>
        <v/>
      </c>
      <c r="I649" s="11" t="str">
        <f aca="false">IF(INDEX(選手一覧!$F$5:$F$2736,$F649)="","",INDEX(選手一覧!$F$5:$F$2736,$F649))</f>
        <v/>
      </c>
      <c r="J649" s="12" t="str">
        <f aca="false">IF(INDEX(選手一覧!$G$5:$G$2736,$F649)="","",INDEX(選手一覧!$G$5:$G$2736,$F649))</f>
        <v/>
      </c>
    </row>
    <row r="650" customFormat="false" ht="15" hidden="false" customHeight="false" outlineLevel="0" collapsed="false">
      <c r="A650" s="12" t="n">
        <v>647</v>
      </c>
      <c r="B650" s="8" t="s">
        <v>1367</v>
      </c>
      <c r="C650" s="8" t="s">
        <v>375</v>
      </c>
      <c r="D650" s="11" t="n">
        <v>0.00286215277777778</v>
      </c>
      <c r="E650" s="39" t="n">
        <f aca="false">ROUND((D650-$D$5)*86400,2)</f>
        <v>22.26</v>
      </c>
      <c r="F650" s="12" t="n">
        <v>830</v>
      </c>
      <c r="G650" s="11" t="n">
        <f aca="false">IF(INDEX(選手一覧!$D$5:$D$2736,$F650)="","",INDEX(選手一覧!$D$5:$D$2736,$F650))</f>
        <v>0.0108479166666667</v>
      </c>
      <c r="H650" s="12" t="n">
        <f aca="false">IF(INDEX(選手一覧!$E$5:$E$2736,$F650)="","",INDEX(選手一覧!$E$5:$E$2736,$F650))</f>
        <v>831</v>
      </c>
      <c r="I650" s="11" t="str">
        <f aca="false">IF(INDEX(選手一覧!$F$5:$F$2736,$F650)="","",INDEX(選手一覧!$F$5:$F$2736,$F650))</f>
        <v/>
      </c>
      <c r="J650" s="12" t="str">
        <f aca="false">IF(INDEX(選手一覧!$G$5:$G$2736,$F650)="","",INDEX(選手一覧!$G$5:$G$2736,$F650))</f>
        <v/>
      </c>
    </row>
    <row r="651" customFormat="false" ht="15" hidden="false" customHeight="false" outlineLevel="0" collapsed="false">
      <c r="A651" s="12" t="n">
        <v>648</v>
      </c>
      <c r="B651" s="8" t="s">
        <v>780</v>
      </c>
      <c r="C651" s="8" t="s">
        <v>781</v>
      </c>
      <c r="D651" s="11" t="n">
        <v>0.00286226851851852</v>
      </c>
      <c r="E651" s="39" t="n">
        <f aca="false">ROUND((D651-$D$5)*86400,2)</f>
        <v>22.27</v>
      </c>
      <c r="F651" s="12" t="n">
        <v>440</v>
      </c>
      <c r="G651" s="11" t="n">
        <f aca="false">IF(INDEX(選手一覧!$D$5:$D$2736,$F651)="","",INDEX(選手一覧!$D$5:$D$2736,$F651))</f>
        <v>0.0105841435185185</v>
      </c>
      <c r="H651" s="12" t="n">
        <f aca="false">IF(INDEX(選手一覧!$E$5:$E$2736,$F651)="","",INDEX(選手一覧!$E$5:$E$2736,$F651))</f>
        <v>441</v>
      </c>
      <c r="I651" s="11" t="str">
        <f aca="false">IF(INDEX(選手一覧!$F$5:$F$2736,$F651)="","",INDEX(選手一覧!$F$5:$F$2736,$F651))</f>
        <v/>
      </c>
      <c r="J651" s="12" t="str">
        <f aca="false">IF(INDEX(選手一覧!$G$5:$G$2736,$F651)="","",INDEX(選手一覧!$G$5:$G$2736,$F651))</f>
        <v/>
      </c>
    </row>
    <row r="652" customFormat="false" ht="15" hidden="false" customHeight="false" outlineLevel="0" collapsed="false">
      <c r="A652" s="12" t="n">
        <v>649</v>
      </c>
      <c r="B652" s="8" t="s">
        <v>1672</v>
      </c>
      <c r="C652" s="8" t="s">
        <v>368</v>
      </c>
      <c r="D652" s="11" t="n">
        <v>0.00286226851851852</v>
      </c>
      <c r="E652" s="39" t="n">
        <f aca="false">ROUND((D652-$D$5)*86400,2)</f>
        <v>22.27</v>
      </c>
      <c r="F652" s="12" t="n">
        <v>1036</v>
      </c>
      <c r="G652" s="11" t="n">
        <f aca="false">IF(INDEX(選手一覧!$D$5:$D$2736,$F652)="","",INDEX(選手一覧!$D$5:$D$2736,$F652))</f>
        <v>0.0109695601851852</v>
      </c>
      <c r="H652" s="12" t="n">
        <f aca="false">IF(INDEX(選手一覧!$E$5:$E$2736,$F652)="","",INDEX(選手一覧!$E$5:$E$2736,$F652))</f>
        <v>1037</v>
      </c>
      <c r="I652" s="11" t="str">
        <f aca="false">IF(INDEX(選手一覧!$F$5:$F$2736,$F652)="","",INDEX(選手一覧!$F$5:$F$2736,$F652))</f>
        <v/>
      </c>
      <c r="J652" s="12" t="str">
        <f aca="false">IF(INDEX(選手一覧!$G$5:$G$2736,$F652)="","",INDEX(選手一覧!$G$5:$G$2736,$F652))</f>
        <v/>
      </c>
    </row>
    <row r="653" customFormat="false" ht="15" hidden="false" customHeight="false" outlineLevel="0" collapsed="false">
      <c r="A653" s="12" t="n">
        <v>650</v>
      </c>
      <c r="B653" s="8" t="s">
        <v>1391</v>
      </c>
      <c r="C653" s="8" t="s">
        <v>1392</v>
      </c>
      <c r="D653" s="11" t="n">
        <v>0.00286238425925926</v>
      </c>
      <c r="E653" s="39" t="n">
        <f aca="false">ROUND((D653-$D$5)*86400,2)</f>
        <v>22.28</v>
      </c>
      <c r="F653" s="12" t="n">
        <v>846</v>
      </c>
      <c r="G653" s="11" t="n">
        <f aca="false">IF(INDEX(選手一覧!$D$5:$D$2736,$F653)="","",INDEX(選手一覧!$D$5:$D$2736,$F653))</f>
        <v>0.0108596064814815</v>
      </c>
      <c r="H653" s="12" t="n">
        <f aca="false">IF(INDEX(選手一覧!$E$5:$E$2736,$F653)="","",INDEX(選手一覧!$E$5:$E$2736,$F653))</f>
        <v>847</v>
      </c>
      <c r="I653" s="11" t="n">
        <f aca="false">IF(INDEX(選手一覧!$F$5:$F$2736,$F653)="","",INDEX(選手一覧!$F$5:$F$2736,$F653))</f>
        <v>0.00684479166666667</v>
      </c>
      <c r="J653" s="12" t="n">
        <f aca="false">IF(INDEX(選手一覧!$G$5:$G$2736,$F653)="","",INDEX(選手一覧!$G$5:$G$2736,$F653))</f>
        <v>200</v>
      </c>
    </row>
    <row r="654" customFormat="false" ht="15" hidden="false" customHeight="false" outlineLevel="0" collapsed="false">
      <c r="A654" s="12" t="n">
        <v>651</v>
      </c>
      <c r="B654" s="8" t="s">
        <v>1336</v>
      </c>
      <c r="C654" s="8" t="s">
        <v>1337</v>
      </c>
      <c r="D654" s="11" t="n">
        <v>0.0028625</v>
      </c>
      <c r="E654" s="39" t="n">
        <f aca="false">ROUND((D654-$D$5)*86400,2)</f>
        <v>22.29</v>
      </c>
      <c r="F654" s="12" t="n">
        <v>810</v>
      </c>
      <c r="G654" s="11" t="n">
        <f aca="false">IF(INDEX(選手一覧!$D$5:$D$2736,$F654)="","",INDEX(選手一覧!$D$5:$D$2736,$F654))</f>
        <v>0.0108391203703704</v>
      </c>
      <c r="H654" s="12" t="n">
        <f aca="false">IF(INDEX(選手一覧!$E$5:$E$2736,$F654)="","",INDEX(選手一覧!$E$5:$E$2736,$F654))</f>
        <v>811</v>
      </c>
      <c r="I654" s="11" t="str">
        <f aca="false">IF(INDEX(選手一覧!$F$5:$F$2736,$F654)="","",INDEX(選手一覧!$F$5:$F$2736,$F654))</f>
        <v/>
      </c>
      <c r="J654" s="12" t="str">
        <f aca="false">IF(INDEX(選手一覧!$G$5:$G$2736,$F654)="","",INDEX(選手一覧!$G$5:$G$2736,$F654))</f>
        <v/>
      </c>
    </row>
    <row r="655" customFormat="false" ht="15" hidden="false" customHeight="false" outlineLevel="0" collapsed="false">
      <c r="A655" s="12" t="n">
        <v>652</v>
      </c>
      <c r="B655" s="8" t="s">
        <v>1310</v>
      </c>
      <c r="C655" s="8" t="s">
        <v>410</v>
      </c>
      <c r="D655" s="11" t="n">
        <v>0.00286261574074074</v>
      </c>
      <c r="E655" s="39" t="n">
        <f aca="false">ROUND((D655-$D$5)*86400,2)</f>
        <v>22.3</v>
      </c>
      <c r="F655" s="12" t="n">
        <v>794</v>
      </c>
      <c r="G655" s="11" t="n">
        <f aca="false">IF(INDEX(選手一覧!$D$5:$D$2736,$F655)="","",INDEX(選手一覧!$D$5:$D$2736,$F655))</f>
        <v>0.0108318287037037</v>
      </c>
      <c r="H655" s="12" t="n">
        <f aca="false">IF(INDEX(選手一覧!$E$5:$E$2736,$F655)="","",INDEX(選手一覧!$E$5:$E$2736,$F655))</f>
        <v>795</v>
      </c>
      <c r="I655" s="11" t="str">
        <f aca="false">IF(INDEX(選手一覧!$F$5:$F$2736,$F655)="","",INDEX(選手一覧!$F$5:$F$2736,$F655))</f>
        <v/>
      </c>
      <c r="J655" s="12" t="str">
        <f aca="false">IF(INDEX(選手一覧!$G$5:$G$2736,$F655)="","",INDEX(選手一覧!$G$5:$G$2736,$F655))</f>
        <v/>
      </c>
    </row>
    <row r="656" customFormat="false" ht="15" hidden="false" customHeight="false" outlineLevel="0" collapsed="false">
      <c r="A656" s="12" t="n">
        <v>653</v>
      </c>
      <c r="B656" s="8" t="s">
        <v>1816</v>
      </c>
      <c r="C656" s="8" t="s">
        <v>592</v>
      </c>
      <c r="D656" s="11" t="n">
        <v>0.00286261574074074</v>
      </c>
      <c r="E656" s="39" t="n">
        <f aca="false">ROUND((D656-$D$5)*86400,2)</f>
        <v>22.3</v>
      </c>
      <c r="F656" s="12" t="n">
        <v>1130</v>
      </c>
      <c r="G656" s="11" t="n">
        <f aca="false">IF(INDEX(選手一覧!$D$5:$D$2736,$F656)="","",INDEX(選手一覧!$D$5:$D$2736,$F656))</f>
        <v>0.0110209490740741</v>
      </c>
      <c r="H656" s="12" t="n">
        <f aca="false">IF(INDEX(選手一覧!$E$5:$E$2736,$F656)="","",INDEX(選手一覧!$E$5:$E$2736,$F656))</f>
        <v>1131</v>
      </c>
      <c r="I656" s="11" t="n">
        <f aca="false">IF(INDEX(選手一覧!$F$5:$F$2736,$F656)="","",INDEX(選手一覧!$F$5:$F$2736,$F656))</f>
        <v>0.00698761574074074</v>
      </c>
      <c r="J656" s="12" t="n">
        <f aca="false">IF(INDEX(選手一覧!$G$5:$G$2736,$F656)="","",INDEX(選手一覧!$G$5:$G$2736,$F656))</f>
        <v>322</v>
      </c>
    </row>
    <row r="657" customFormat="false" ht="15" hidden="false" customHeight="false" outlineLevel="0" collapsed="false">
      <c r="A657" s="12" t="n">
        <v>654</v>
      </c>
      <c r="B657" s="8" t="s">
        <v>217</v>
      </c>
      <c r="C657" s="8" t="s">
        <v>52</v>
      </c>
      <c r="D657" s="11" t="n">
        <v>0.00286273148148148</v>
      </c>
      <c r="E657" s="39" t="n">
        <f aca="false">ROUND((D657-$D$5)*86400,2)</f>
        <v>22.31</v>
      </c>
      <c r="F657" s="12" t="n">
        <v>103</v>
      </c>
      <c r="G657" s="11" t="n">
        <f aca="false">IF(INDEX(選手一覧!$D$5:$D$2736,$F657)="","",INDEX(選手一覧!$D$5:$D$2736,$F657))</f>
        <v>0.0102148148148148</v>
      </c>
      <c r="H657" s="12" t="n">
        <f aca="false">IF(INDEX(選手一覧!$E$5:$E$2736,$F657)="","",INDEX(選手一覧!$E$5:$E$2736,$F657))</f>
        <v>104</v>
      </c>
      <c r="I657" s="11" t="n">
        <f aca="false">IF(INDEX(選手一覧!$F$5:$F$2736,$F657)="","",INDEX(選手一覧!$F$5:$F$2736,$F657))</f>
        <v>0.00623865740740741</v>
      </c>
      <c r="J657" s="12" t="n">
        <f aca="false">IF(INDEX(選手一覧!$G$5:$G$2736,$F657)="","",INDEX(選手一覧!$G$5:$G$2736,$F657))</f>
        <v>1</v>
      </c>
    </row>
    <row r="658" customFormat="false" ht="15" hidden="false" customHeight="false" outlineLevel="0" collapsed="false">
      <c r="A658" s="12" t="n">
        <v>655</v>
      </c>
      <c r="B658" s="8" t="s">
        <v>1315</v>
      </c>
      <c r="C658" s="8" t="s">
        <v>857</v>
      </c>
      <c r="D658" s="11" t="n">
        <v>0.00286273148148148</v>
      </c>
      <c r="E658" s="39" t="n">
        <f aca="false">ROUND((D658-$D$5)*86400,2)</f>
        <v>22.31</v>
      </c>
      <c r="F658" s="12" t="n">
        <v>798</v>
      </c>
      <c r="G658" s="11" t="n">
        <f aca="false">IF(INDEX(選手一覧!$D$5:$D$2736,$F658)="","",INDEX(選手一覧!$D$5:$D$2736,$F658))</f>
        <v>0.0108329861111111</v>
      </c>
      <c r="H658" s="12" t="n">
        <f aca="false">IF(INDEX(選手一覧!$E$5:$E$2736,$F658)="","",INDEX(選手一覧!$E$5:$E$2736,$F658))</f>
        <v>799</v>
      </c>
      <c r="I658" s="11" t="n">
        <f aca="false">IF(INDEX(選手一覧!$F$5:$F$2736,$F658)="","",INDEX(選手一覧!$F$5:$F$2736,$F658))</f>
        <v>0.00678356481481482</v>
      </c>
      <c r="J658" s="12" t="n">
        <f aca="false">IF(INDEX(選手一覧!$G$5:$G$2736,$F658)="","",INDEX(選手一覧!$G$5:$G$2736,$F658))</f>
        <v>158</v>
      </c>
    </row>
    <row r="659" customFormat="false" ht="15" hidden="false" customHeight="false" outlineLevel="0" collapsed="false">
      <c r="A659" s="21" t="n">
        <v>656</v>
      </c>
      <c r="B659" s="17" t="s">
        <v>51</v>
      </c>
      <c r="C659" s="17" t="s">
        <v>52</v>
      </c>
      <c r="D659" s="20" t="n">
        <v>0.0028630787037037</v>
      </c>
      <c r="E659" s="40" t="n">
        <f aca="false">ROUND((D659-$D$5)*86400,2)</f>
        <v>22.34</v>
      </c>
      <c r="F659" s="21" t="n">
        <v>16</v>
      </c>
      <c r="G659" s="20" t="n">
        <f aca="false">IF(INDEX(選手一覧!$D$5:$D$2736,$F659)="","",INDEX(選手一覧!$D$5:$D$2736,$F659))</f>
        <v>0.00994131944444444</v>
      </c>
      <c r="H659" s="21" t="n">
        <f aca="false">IF(INDEX(選手一覧!$E$5:$E$2736,$F659)="","",INDEX(選手一覧!$E$5:$E$2736,$F659))</f>
        <v>17</v>
      </c>
      <c r="I659" s="20" t="str">
        <f aca="false">IF(INDEX(選手一覧!$F$5:$F$2736,$F659)="","",INDEX(選手一覧!$F$5:$F$2736,$F659))</f>
        <v/>
      </c>
      <c r="J659" s="21" t="str">
        <f aca="false">IF(INDEX(選手一覧!$G$5:$G$2736,$F659)="","",INDEX(選手一覧!$G$5:$G$2736,$F659))</f>
        <v/>
      </c>
    </row>
    <row r="660" customFormat="false" ht="15" hidden="false" customHeight="false" outlineLevel="0" collapsed="false">
      <c r="A660" s="12" t="n">
        <v>657</v>
      </c>
      <c r="B660" s="8" t="s">
        <v>2736</v>
      </c>
      <c r="C660" s="8" t="s">
        <v>120</v>
      </c>
      <c r="D660" s="11" t="n">
        <v>0.00286342592592593</v>
      </c>
      <c r="E660" s="39" t="n">
        <f aca="false">ROUND((D660-$D$5)*86400,2)</f>
        <v>22.37</v>
      </c>
      <c r="F660" s="12" t="n">
        <v>1756</v>
      </c>
      <c r="G660" s="11" t="str">
        <f aca="false">IF(INDEX(選手一覧!$D$5:$D$2736,$F660)="","",INDEX(選手一覧!$D$5:$D$2736,$F660))</f>
        <v/>
      </c>
      <c r="H660" s="12" t="str">
        <f aca="false">IF(INDEX(選手一覧!$E$5:$E$2736,$F660)="","",INDEX(選手一覧!$E$5:$E$2736,$F660))</f>
        <v/>
      </c>
      <c r="I660" s="11" t="str">
        <f aca="false">IF(INDEX(選手一覧!$F$5:$F$2736,$F660)="","",INDEX(選手一覧!$F$5:$F$2736,$F660))</f>
        <v/>
      </c>
      <c r="J660" s="12" t="str">
        <f aca="false">IF(INDEX(選手一覧!$G$5:$G$2736,$F660)="","",INDEX(選手一覧!$G$5:$G$2736,$F660))</f>
        <v/>
      </c>
    </row>
    <row r="661" customFormat="false" ht="15" hidden="false" customHeight="false" outlineLevel="0" collapsed="false">
      <c r="A661" s="12" t="n">
        <v>658</v>
      </c>
      <c r="B661" s="8" t="s">
        <v>915</v>
      </c>
      <c r="C661" s="8" t="s">
        <v>390</v>
      </c>
      <c r="D661" s="11" t="n">
        <v>0.00286354166666667</v>
      </c>
      <c r="E661" s="39" t="n">
        <f aca="false">ROUND((D661-$D$5)*86400,2)</f>
        <v>22.38</v>
      </c>
      <c r="F661" s="12" t="n">
        <v>525</v>
      </c>
      <c r="G661" s="11" t="n">
        <f aca="false">IF(INDEX(選手一覧!$D$5:$D$2736,$F661)="","",INDEX(選手一覧!$D$5:$D$2736,$F661))</f>
        <v>0.0106502314814815</v>
      </c>
      <c r="H661" s="12" t="n">
        <f aca="false">IF(INDEX(選手一覧!$E$5:$E$2736,$F661)="","",INDEX(選手一覧!$E$5:$E$2736,$F661))</f>
        <v>526</v>
      </c>
      <c r="I661" s="11" t="str">
        <f aca="false">IF(INDEX(選手一覧!$F$5:$F$2736,$F661)="","",INDEX(選手一覧!$F$5:$F$2736,$F661))</f>
        <v/>
      </c>
      <c r="J661" s="12" t="str">
        <f aca="false">IF(INDEX(選手一覧!$G$5:$G$2736,$F661)="","",INDEX(選手一覧!$G$5:$G$2736,$F661))</f>
        <v/>
      </c>
    </row>
    <row r="662" customFormat="false" ht="15" hidden="false" customHeight="false" outlineLevel="0" collapsed="false">
      <c r="A662" s="12" t="n">
        <v>659</v>
      </c>
      <c r="B662" s="8" t="s">
        <v>1683</v>
      </c>
      <c r="C662" s="8" t="s">
        <v>1684</v>
      </c>
      <c r="D662" s="11" t="n">
        <v>0.00286377314814815</v>
      </c>
      <c r="E662" s="39" t="n">
        <f aca="false">ROUND((D662-$D$5)*86400,2)</f>
        <v>22.4</v>
      </c>
      <c r="F662" s="12" t="n">
        <v>1043</v>
      </c>
      <c r="G662" s="11" t="n">
        <f aca="false">IF(INDEX(選手一覧!$D$5:$D$2736,$F662)="","",INDEX(選手一覧!$D$5:$D$2736,$F662))</f>
        <v>0.0109716435185185</v>
      </c>
      <c r="H662" s="12" t="n">
        <f aca="false">IF(INDEX(選手一覧!$E$5:$E$2736,$F662)="","",INDEX(選手一覧!$E$5:$E$2736,$F662))</f>
        <v>1044</v>
      </c>
      <c r="I662" s="11" t="str">
        <f aca="false">IF(INDEX(選手一覧!$F$5:$F$2736,$F662)="","",INDEX(選手一覧!$F$5:$F$2736,$F662))</f>
        <v/>
      </c>
      <c r="J662" s="12" t="str">
        <f aca="false">IF(INDEX(選手一覧!$G$5:$G$2736,$F662)="","",INDEX(選手一覧!$G$5:$G$2736,$F662))</f>
        <v/>
      </c>
    </row>
    <row r="663" customFormat="false" ht="15" hidden="false" customHeight="false" outlineLevel="0" collapsed="false">
      <c r="A663" s="12" t="n">
        <v>660</v>
      </c>
      <c r="B663" s="8" t="s">
        <v>2740</v>
      </c>
      <c r="C663" s="8" t="s">
        <v>1630</v>
      </c>
      <c r="D663" s="11" t="n">
        <v>0.00286400462962963</v>
      </c>
      <c r="E663" s="39" t="n">
        <f aca="false">ROUND((D663-$D$5)*86400,2)</f>
        <v>22.42</v>
      </c>
      <c r="F663" s="12" t="n">
        <v>1760</v>
      </c>
      <c r="G663" s="11" t="str">
        <f aca="false">IF(INDEX(選手一覧!$D$5:$D$2736,$F663)="","",INDEX(選手一覧!$D$5:$D$2736,$F663))</f>
        <v/>
      </c>
      <c r="H663" s="12" t="str">
        <f aca="false">IF(INDEX(選手一覧!$E$5:$E$2736,$F663)="","",INDEX(選手一覧!$E$5:$E$2736,$F663))</f>
        <v/>
      </c>
      <c r="I663" s="11" t="str">
        <f aca="false">IF(INDEX(選手一覧!$F$5:$F$2736,$F663)="","",INDEX(選手一覧!$F$5:$F$2736,$F663))</f>
        <v/>
      </c>
      <c r="J663" s="12" t="str">
        <f aca="false">IF(INDEX(選手一覧!$G$5:$G$2736,$F663)="","",INDEX(選手一覧!$G$5:$G$2736,$F663))</f>
        <v/>
      </c>
    </row>
    <row r="664" customFormat="false" ht="15" hidden="false" customHeight="false" outlineLevel="0" collapsed="false">
      <c r="A664" s="12" t="n">
        <v>661</v>
      </c>
      <c r="B664" s="8" t="s">
        <v>1101</v>
      </c>
      <c r="C664" s="8" t="s">
        <v>344</v>
      </c>
      <c r="D664" s="11" t="n">
        <v>0.00286423611111111</v>
      </c>
      <c r="E664" s="39" t="n">
        <f aca="false">ROUND((D664-$D$5)*86400,2)</f>
        <v>22.44</v>
      </c>
      <c r="F664" s="12" t="n">
        <v>656</v>
      </c>
      <c r="G664" s="11" t="n">
        <f aca="false">IF(INDEX(選手一覧!$D$5:$D$2736,$F664)="","",INDEX(選手一覧!$D$5:$D$2736,$F664))</f>
        <v>0.0107427083333333</v>
      </c>
      <c r="H664" s="12" t="n">
        <f aca="false">IF(INDEX(選手一覧!$E$5:$E$2736,$F664)="","",INDEX(選手一覧!$E$5:$E$2736,$F664))</f>
        <v>657</v>
      </c>
      <c r="I664" s="11" t="n">
        <f aca="false">IF(INDEX(選手一覧!$F$5:$F$2736,$F664)="","",INDEX(選手一覧!$F$5:$F$2736,$F664))</f>
        <v>0.00656342592592593</v>
      </c>
      <c r="J664" s="12" t="n">
        <f aca="false">IF(INDEX(選手一覧!$G$5:$G$2736,$F664)="","",INDEX(選手一覧!$G$5:$G$2736,$F664))</f>
        <v>49</v>
      </c>
    </row>
    <row r="665" customFormat="false" ht="15" hidden="false" customHeight="false" outlineLevel="0" collapsed="false">
      <c r="A665" s="12" t="n">
        <v>662</v>
      </c>
      <c r="B665" s="8" t="s">
        <v>2744</v>
      </c>
      <c r="C665" s="8" t="s">
        <v>2556</v>
      </c>
      <c r="D665" s="11" t="n">
        <v>0.00286446759259259</v>
      </c>
      <c r="E665" s="39" t="n">
        <f aca="false">ROUND((D665-$D$5)*86400,2)</f>
        <v>22.46</v>
      </c>
      <c r="F665" s="12" t="n">
        <v>1763</v>
      </c>
      <c r="G665" s="11" t="str">
        <f aca="false">IF(INDEX(選手一覧!$D$5:$D$2736,$F665)="","",INDEX(選手一覧!$D$5:$D$2736,$F665))</f>
        <v/>
      </c>
      <c r="H665" s="12" t="str">
        <f aca="false">IF(INDEX(選手一覧!$E$5:$E$2736,$F665)="","",INDEX(選手一覧!$E$5:$E$2736,$F665))</f>
        <v/>
      </c>
      <c r="I665" s="11" t="str">
        <f aca="false">IF(INDEX(選手一覧!$F$5:$F$2736,$F665)="","",INDEX(選手一覧!$F$5:$F$2736,$F665))</f>
        <v/>
      </c>
      <c r="J665" s="12" t="str">
        <f aca="false">IF(INDEX(選手一覧!$G$5:$G$2736,$F665)="","",INDEX(選手一覧!$G$5:$G$2736,$F665))</f>
        <v/>
      </c>
    </row>
    <row r="666" customFormat="false" ht="15" hidden="false" customHeight="false" outlineLevel="0" collapsed="false">
      <c r="A666" s="12" t="n">
        <v>663</v>
      </c>
      <c r="B666" s="8" t="s">
        <v>480</v>
      </c>
      <c r="C666" s="8" t="s">
        <v>481</v>
      </c>
      <c r="D666" s="11" t="n">
        <v>0.00286458333333333</v>
      </c>
      <c r="E666" s="39" t="n">
        <f aca="false">ROUND((D666-$D$5)*86400,2)</f>
        <v>22.47</v>
      </c>
      <c r="F666" s="12" t="n">
        <v>251</v>
      </c>
      <c r="G666" s="11" t="n">
        <f aca="false">IF(INDEX(選手一覧!$D$5:$D$2736,$F666)="","",INDEX(選手一覧!$D$5:$D$2736,$F666))</f>
        <v>0.0103917824074074</v>
      </c>
      <c r="H666" s="12" t="n">
        <f aca="false">IF(INDEX(選手一覧!$E$5:$E$2736,$F666)="","",INDEX(選手一覧!$E$5:$E$2736,$F666))</f>
        <v>252</v>
      </c>
      <c r="I666" s="11" t="n">
        <f aca="false">IF(INDEX(選手一覧!$F$5:$F$2736,$F666)="","",INDEX(選手一覧!$F$5:$F$2736,$F666))</f>
        <v>0.00646053240740741</v>
      </c>
      <c r="J666" s="12" t="n">
        <f aca="false">IF(INDEX(選手一覧!$G$5:$G$2736,$F666)="","",INDEX(選手一覧!$G$5:$G$2736,$F666))</f>
        <v>25</v>
      </c>
    </row>
    <row r="667" customFormat="false" ht="15" hidden="false" customHeight="false" outlineLevel="0" collapsed="false">
      <c r="A667" s="12" t="n">
        <v>664</v>
      </c>
      <c r="B667" s="8" t="s">
        <v>2016</v>
      </c>
      <c r="C667" s="8" t="s">
        <v>1458</v>
      </c>
      <c r="D667" s="11" t="n">
        <v>0.00286469907407407</v>
      </c>
      <c r="E667" s="39" t="n">
        <f aca="false">ROUND((D667-$D$5)*86400,2)</f>
        <v>22.48</v>
      </c>
      <c r="F667" s="12" t="n">
        <v>1278</v>
      </c>
      <c r="G667" s="11" t="n">
        <f aca="false">IF(INDEX(選手一覧!$D$5:$D$2736,$F667)="","",INDEX(選手一覧!$D$5:$D$2736,$F667))</f>
        <v>0.0111123842592593</v>
      </c>
      <c r="H667" s="12" t="n">
        <f aca="false">IF(INDEX(選手一覧!$E$5:$E$2736,$F667)="","",INDEX(選手一覧!$E$5:$E$2736,$F667))</f>
        <v>1279</v>
      </c>
      <c r="I667" s="11" t="str">
        <f aca="false">IF(INDEX(選手一覧!$F$5:$F$2736,$F667)="","",INDEX(選手一覧!$F$5:$F$2736,$F667))</f>
        <v/>
      </c>
      <c r="J667" s="12" t="str">
        <f aca="false">IF(INDEX(選手一覧!$G$5:$G$2736,$F667)="","",INDEX(選手一覧!$G$5:$G$2736,$F667))</f>
        <v/>
      </c>
    </row>
    <row r="668" customFormat="false" ht="15" hidden="false" customHeight="false" outlineLevel="0" collapsed="false">
      <c r="A668" s="12" t="n">
        <v>665</v>
      </c>
      <c r="B668" s="8" t="s">
        <v>2747</v>
      </c>
      <c r="C668" s="8" t="s">
        <v>2748</v>
      </c>
      <c r="D668" s="11" t="n">
        <v>0.00286481481481482</v>
      </c>
      <c r="E668" s="39" t="n">
        <f aca="false">ROUND((D668-$D$5)*86400,2)</f>
        <v>22.49</v>
      </c>
      <c r="F668" s="12" t="n">
        <v>1766</v>
      </c>
      <c r="G668" s="11" t="str">
        <f aca="false">IF(INDEX(選手一覧!$D$5:$D$2736,$F668)="","",INDEX(選手一覧!$D$5:$D$2736,$F668))</f>
        <v/>
      </c>
      <c r="H668" s="12" t="str">
        <f aca="false">IF(INDEX(選手一覧!$E$5:$E$2736,$F668)="","",INDEX(選手一覧!$E$5:$E$2736,$F668))</f>
        <v/>
      </c>
      <c r="I668" s="11" t="str">
        <f aca="false">IF(INDEX(選手一覧!$F$5:$F$2736,$F668)="","",INDEX(選手一覧!$F$5:$F$2736,$F668))</f>
        <v/>
      </c>
      <c r="J668" s="12" t="str">
        <f aca="false">IF(INDEX(選手一覧!$G$5:$G$2736,$F668)="","",INDEX(選手一覧!$G$5:$G$2736,$F668))</f>
        <v/>
      </c>
    </row>
    <row r="669" customFormat="false" ht="15" hidden="false" customHeight="false" outlineLevel="0" collapsed="false">
      <c r="A669" s="12" t="n">
        <v>666</v>
      </c>
      <c r="B669" s="8" t="s">
        <v>526</v>
      </c>
      <c r="C669" s="8" t="s">
        <v>130</v>
      </c>
      <c r="D669" s="11" t="n">
        <v>0.0028650462962963</v>
      </c>
      <c r="E669" s="39" t="n">
        <f aca="false">ROUND((D669-$D$5)*86400,2)</f>
        <v>22.51</v>
      </c>
      <c r="F669" s="12" t="n">
        <v>281</v>
      </c>
      <c r="G669" s="11" t="n">
        <f aca="false">IF(INDEX(選手一覧!$D$5:$D$2736,$F669)="","",INDEX(選手一覧!$D$5:$D$2736,$F669))</f>
        <v>0.010418287037037</v>
      </c>
      <c r="H669" s="12" t="n">
        <f aca="false">IF(INDEX(選手一覧!$E$5:$E$2736,$F669)="","",INDEX(選手一覧!$E$5:$E$2736,$F669))</f>
        <v>282</v>
      </c>
      <c r="I669" s="11" t="str">
        <f aca="false">IF(INDEX(選手一覧!$F$5:$F$2736,$F669)="","",INDEX(選手一覧!$F$5:$F$2736,$F669))</f>
        <v/>
      </c>
      <c r="J669" s="12" t="str">
        <f aca="false">IF(INDEX(選手一覧!$G$5:$G$2736,$F669)="","",INDEX(選手一覧!$G$5:$G$2736,$F669))</f>
        <v/>
      </c>
    </row>
    <row r="670" customFormat="false" ht="15" hidden="false" customHeight="false" outlineLevel="0" collapsed="false">
      <c r="A670" s="12" t="n">
        <v>667</v>
      </c>
      <c r="B670" s="8" t="s">
        <v>2753</v>
      </c>
      <c r="C670" s="8" t="s">
        <v>2271</v>
      </c>
      <c r="D670" s="11" t="n">
        <v>0.00286539351851852</v>
      </c>
      <c r="E670" s="39" t="n">
        <f aca="false">ROUND((D670-$D$5)*86400,2)</f>
        <v>22.54</v>
      </c>
      <c r="F670" s="12" t="n">
        <v>1769</v>
      </c>
      <c r="G670" s="11" t="str">
        <f aca="false">IF(INDEX(選手一覧!$D$5:$D$2736,$F670)="","",INDEX(選手一覧!$D$5:$D$2736,$F670))</f>
        <v/>
      </c>
      <c r="H670" s="12" t="str">
        <f aca="false">IF(INDEX(選手一覧!$E$5:$E$2736,$F670)="","",INDEX(選手一覧!$E$5:$E$2736,$F670))</f>
        <v/>
      </c>
      <c r="I670" s="11" t="str">
        <f aca="false">IF(INDEX(選手一覧!$F$5:$F$2736,$F670)="","",INDEX(選手一覧!$F$5:$F$2736,$F670))</f>
        <v/>
      </c>
      <c r="J670" s="12" t="str">
        <f aca="false">IF(INDEX(選手一覧!$G$5:$G$2736,$F670)="","",INDEX(選手一覧!$G$5:$G$2736,$F670))</f>
        <v/>
      </c>
    </row>
    <row r="671" customFormat="false" ht="15" hidden="false" customHeight="false" outlineLevel="0" collapsed="false">
      <c r="A671" s="12" t="n">
        <v>668</v>
      </c>
      <c r="B671" s="8" t="s">
        <v>183</v>
      </c>
      <c r="C671" s="8" t="s">
        <v>25</v>
      </c>
      <c r="D671" s="11" t="n">
        <v>0.002865625</v>
      </c>
      <c r="E671" s="39" t="n">
        <f aca="false">ROUND((D671-$D$5)*86400,2)</f>
        <v>22.56</v>
      </c>
      <c r="F671" s="12" t="n">
        <v>84</v>
      </c>
      <c r="G671" s="11" t="n">
        <f aca="false">IF(INDEX(選手一覧!$D$5:$D$2736,$F671)="","",INDEX(選手一覧!$D$5:$D$2736,$F671))</f>
        <v>0.0101798611111111</v>
      </c>
      <c r="H671" s="12" t="n">
        <f aca="false">IF(INDEX(選手一覧!$E$5:$E$2736,$F671)="","",INDEX(選手一覧!$E$5:$E$2736,$F671))</f>
        <v>85</v>
      </c>
      <c r="I671" s="11" t="str">
        <f aca="false">IF(INDEX(選手一覧!$F$5:$F$2736,$F671)="","",INDEX(選手一覧!$F$5:$F$2736,$F671))</f>
        <v/>
      </c>
      <c r="J671" s="12" t="str">
        <f aca="false">IF(INDEX(選手一覧!$G$5:$G$2736,$F671)="","",INDEX(選手一覧!$G$5:$G$2736,$F671))</f>
        <v/>
      </c>
    </row>
    <row r="672" customFormat="false" ht="15" hidden="false" customHeight="false" outlineLevel="0" collapsed="false">
      <c r="A672" s="12" t="n">
        <v>669</v>
      </c>
      <c r="B672" s="8" t="s">
        <v>889</v>
      </c>
      <c r="C672" s="8" t="s">
        <v>134</v>
      </c>
      <c r="D672" s="11" t="n">
        <v>0.00286574074074074</v>
      </c>
      <c r="E672" s="39" t="n">
        <f aca="false">ROUND((D672-$D$5)*86400,2)</f>
        <v>22.57</v>
      </c>
      <c r="F672" s="12" t="n">
        <v>509</v>
      </c>
      <c r="G672" s="11" t="n">
        <f aca="false">IF(INDEX(選手一覧!$D$5:$D$2736,$F672)="","",INDEX(選手一覧!$D$5:$D$2736,$F672))</f>
        <v>0.0106398148148148</v>
      </c>
      <c r="H672" s="12" t="n">
        <f aca="false">IF(INDEX(選手一覧!$E$5:$E$2736,$F672)="","",INDEX(選手一覧!$E$5:$E$2736,$F672))</f>
        <v>510</v>
      </c>
      <c r="I672" s="11" t="n">
        <f aca="false">IF(INDEX(選手一覧!$F$5:$F$2736,$F672)="","",INDEX(選手一覧!$F$5:$F$2736,$F672))</f>
        <v>0.00703703703703704</v>
      </c>
      <c r="J672" s="12" t="n">
        <f aca="false">IF(INDEX(選手一覧!$G$5:$G$2736,$F672)="","",INDEX(選手一覧!$G$5:$G$2736,$F672))</f>
        <v>368</v>
      </c>
    </row>
    <row r="673" customFormat="false" ht="15" hidden="false" customHeight="false" outlineLevel="0" collapsed="false">
      <c r="A673" s="12" t="n">
        <v>670</v>
      </c>
      <c r="B673" s="8" t="s">
        <v>359</v>
      </c>
      <c r="C673" s="8" t="s">
        <v>70</v>
      </c>
      <c r="D673" s="11" t="n">
        <v>0.00286608796296296</v>
      </c>
      <c r="E673" s="39" t="n">
        <f aca="false">ROUND((D673-$D$5)*86400,2)</f>
        <v>22.6</v>
      </c>
      <c r="F673" s="12" t="n">
        <v>179</v>
      </c>
      <c r="G673" s="11" t="n">
        <f aca="false">IF(INDEX(選手一覧!$D$5:$D$2736,$F673)="","",INDEX(選手一覧!$D$5:$D$2736,$F673))</f>
        <v>0.0103270833333333</v>
      </c>
      <c r="H673" s="12" t="n">
        <f aca="false">IF(INDEX(選手一覧!$E$5:$E$2736,$F673)="","",INDEX(選手一覧!$E$5:$E$2736,$F673))</f>
        <v>180</v>
      </c>
      <c r="I673" s="11" t="n">
        <f aca="false">IF(INDEX(選手一覧!$F$5:$F$2736,$F673)="","",INDEX(選手一覧!$F$5:$F$2736,$F673))</f>
        <v>0.00692604166666667</v>
      </c>
      <c r="J673" s="12" t="n">
        <f aca="false">IF(INDEX(選手一覧!$G$5:$G$2736,$F673)="","",INDEX(選手一覧!$G$5:$G$2736,$F673))</f>
        <v>266</v>
      </c>
    </row>
    <row r="674" customFormat="false" ht="15" hidden="false" customHeight="false" outlineLevel="0" collapsed="false">
      <c r="A674" s="12" t="n">
        <v>671</v>
      </c>
      <c r="B674" s="8" t="s">
        <v>2171</v>
      </c>
      <c r="C674" s="8" t="s">
        <v>1087</v>
      </c>
      <c r="D674" s="11" t="n">
        <v>0.0028662037037037</v>
      </c>
      <c r="E674" s="39" t="n">
        <f aca="false">ROUND((D674-$D$5)*86400,2)</f>
        <v>22.61</v>
      </c>
      <c r="F674" s="12" t="n">
        <v>1385</v>
      </c>
      <c r="G674" s="11" t="str">
        <f aca="false">IF(INDEX(選手一覧!$D$5:$D$2736,$F674)="","",INDEX(選手一覧!$D$5:$D$2736,$F674))</f>
        <v/>
      </c>
      <c r="H674" s="12" t="str">
        <f aca="false">IF(INDEX(選手一覧!$E$5:$E$2736,$F674)="","",INDEX(選手一覧!$E$5:$E$2736,$F674))</f>
        <v/>
      </c>
      <c r="I674" s="11" t="n">
        <f aca="false">IF(INDEX(選手一覧!$F$5:$F$2736,$F674)="","",INDEX(選手一覧!$F$5:$F$2736,$F674))</f>
        <v>0.0069193287037037</v>
      </c>
      <c r="J674" s="12" t="n">
        <f aca="false">IF(INDEX(選手一覧!$G$5:$G$2736,$F674)="","",INDEX(選手一覧!$G$5:$G$2736,$F674))</f>
        <v>255</v>
      </c>
    </row>
    <row r="675" customFormat="false" ht="15" hidden="false" customHeight="false" outlineLevel="0" collapsed="false">
      <c r="A675" s="12" t="n">
        <v>672</v>
      </c>
      <c r="B675" s="8" t="s">
        <v>2760</v>
      </c>
      <c r="C675" s="8" t="s">
        <v>2761</v>
      </c>
      <c r="D675" s="11" t="n">
        <v>0.00286643518518519</v>
      </c>
      <c r="E675" s="39" t="n">
        <f aca="false">ROUND((D675-$D$5)*86400,2)</f>
        <v>22.63</v>
      </c>
      <c r="F675" s="12" t="n">
        <v>1774</v>
      </c>
      <c r="G675" s="11" t="str">
        <f aca="false">IF(INDEX(選手一覧!$D$5:$D$2736,$F675)="","",INDEX(選手一覧!$D$5:$D$2736,$F675))</f>
        <v/>
      </c>
      <c r="H675" s="12" t="str">
        <f aca="false">IF(INDEX(選手一覧!$E$5:$E$2736,$F675)="","",INDEX(選手一覧!$E$5:$E$2736,$F675))</f>
        <v/>
      </c>
      <c r="I675" s="11" t="str">
        <f aca="false">IF(INDEX(選手一覧!$F$5:$F$2736,$F675)="","",INDEX(選手一覧!$F$5:$F$2736,$F675))</f>
        <v/>
      </c>
      <c r="J675" s="12" t="str">
        <f aca="false">IF(INDEX(選手一覧!$G$5:$G$2736,$F675)="","",INDEX(選手一覧!$G$5:$G$2736,$F675))</f>
        <v/>
      </c>
    </row>
    <row r="676" customFormat="false" ht="15" hidden="false" customHeight="false" outlineLevel="0" collapsed="false">
      <c r="A676" s="12" t="n">
        <v>673</v>
      </c>
      <c r="B676" s="8" t="s">
        <v>1096</v>
      </c>
      <c r="C676" s="8" t="s">
        <v>1097</v>
      </c>
      <c r="D676" s="11" t="n">
        <v>0.00286643518518519</v>
      </c>
      <c r="E676" s="39" t="n">
        <f aca="false">ROUND((D676-$D$5)*86400,2)</f>
        <v>22.63</v>
      </c>
      <c r="F676" s="12" t="n">
        <v>653</v>
      </c>
      <c r="G676" s="11" t="n">
        <f aca="false">IF(INDEX(選手一覧!$D$5:$D$2736,$F676)="","",INDEX(選手一覧!$D$5:$D$2736,$F676))</f>
        <v>0.010740625</v>
      </c>
      <c r="H676" s="12" t="n">
        <f aca="false">IF(INDEX(選手一覧!$E$5:$E$2736,$F676)="","",INDEX(選手一覧!$E$5:$E$2736,$F676))</f>
        <v>654</v>
      </c>
      <c r="I676" s="11" t="str">
        <f aca="false">IF(INDEX(選手一覧!$F$5:$F$2736,$F676)="","",INDEX(選手一覧!$F$5:$F$2736,$F676))</f>
        <v/>
      </c>
      <c r="J676" s="12" t="str">
        <f aca="false">IF(INDEX(選手一覧!$G$5:$G$2736,$F676)="","",INDEX(選手一覧!$G$5:$G$2736,$F676))</f>
        <v/>
      </c>
    </row>
    <row r="677" customFormat="false" ht="15" hidden="false" customHeight="false" outlineLevel="0" collapsed="false">
      <c r="A677" s="12" t="n">
        <v>674</v>
      </c>
      <c r="B677" s="8" t="s">
        <v>2766</v>
      </c>
      <c r="C677" s="8" t="s">
        <v>2214</v>
      </c>
      <c r="D677" s="11" t="n">
        <v>0.00286678240740741</v>
      </c>
      <c r="E677" s="39" t="n">
        <f aca="false">ROUND((D677-$D$5)*86400,2)</f>
        <v>22.66</v>
      </c>
      <c r="F677" s="12" t="n">
        <v>1777</v>
      </c>
      <c r="G677" s="11" t="str">
        <f aca="false">IF(INDEX(選手一覧!$D$5:$D$2736,$F677)="","",INDEX(選手一覧!$D$5:$D$2736,$F677))</f>
        <v/>
      </c>
      <c r="H677" s="12" t="str">
        <f aca="false">IF(INDEX(選手一覧!$E$5:$E$2736,$F677)="","",INDEX(選手一覧!$E$5:$E$2736,$F677))</f>
        <v/>
      </c>
      <c r="I677" s="11" t="str">
        <f aca="false">IF(INDEX(選手一覧!$F$5:$F$2736,$F677)="","",INDEX(選手一覧!$F$5:$F$2736,$F677))</f>
        <v/>
      </c>
      <c r="J677" s="12" t="str">
        <f aca="false">IF(INDEX(選手一覧!$G$5:$G$2736,$F677)="","",INDEX(選手一覧!$G$5:$G$2736,$F677))</f>
        <v/>
      </c>
    </row>
    <row r="678" customFormat="false" ht="15" hidden="false" customHeight="false" outlineLevel="0" collapsed="false">
      <c r="A678" s="12" t="n">
        <v>675</v>
      </c>
      <c r="B678" s="8" t="s">
        <v>2769</v>
      </c>
      <c r="C678" s="8" t="s">
        <v>2770</v>
      </c>
      <c r="D678" s="11" t="n">
        <v>0.00286712962962963</v>
      </c>
      <c r="E678" s="39" t="n">
        <f aca="false">ROUND((D678-$D$5)*86400,2)</f>
        <v>22.69</v>
      </c>
      <c r="F678" s="12" t="n">
        <v>1779</v>
      </c>
      <c r="G678" s="11" t="str">
        <f aca="false">IF(INDEX(選手一覧!$D$5:$D$2736,$F678)="","",INDEX(選手一覧!$D$5:$D$2736,$F678))</f>
        <v/>
      </c>
      <c r="H678" s="12" t="str">
        <f aca="false">IF(INDEX(選手一覧!$E$5:$E$2736,$F678)="","",INDEX(選手一覧!$E$5:$E$2736,$F678))</f>
        <v/>
      </c>
      <c r="I678" s="11" t="str">
        <f aca="false">IF(INDEX(選手一覧!$F$5:$F$2736,$F678)="","",INDEX(選手一覧!$F$5:$F$2736,$F678))</f>
        <v/>
      </c>
      <c r="J678" s="12" t="str">
        <f aca="false">IF(INDEX(選手一覧!$G$5:$G$2736,$F678)="","",INDEX(選手一覧!$G$5:$G$2736,$F678))</f>
        <v/>
      </c>
    </row>
    <row r="679" customFormat="false" ht="15" hidden="false" customHeight="false" outlineLevel="0" collapsed="false">
      <c r="A679" s="12" t="n">
        <v>676</v>
      </c>
      <c r="B679" s="8" t="s">
        <v>1271</v>
      </c>
      <c r="C679" s="8" t="s">
        <v>750</v>
      </c>
      <c r="D679" s="11" t="n">
        <v>0.00286712962962963</v>
      </c>
      <c r="E679" s="39" t="n">
        <f aca="false">ROUND((D679-$D$5)*86400,2)</f>
        <v>22.69</v>
      </c>
      <c r="F679" s="12" t="n">
        <v>763</v>
      </c>
      <c r="G679" s="11" t="n">
        <f aca="false">IF(INDEX(選手一覧!$D$5:$D$2736,$F679)="","",INDEX(選手一覧!$D$5:$D$2736,$F679))</f>
        <v>0.0108100694444445</v>
      </c>
      <c r="H679" s="12" t="n">
        <f aca="false">IF(INDEX(選手一覧!$E$5:$E$2736,$F679)="","",INDEX(選手一覧!$E$5:$E$2736,$F679))</f>
        <v>764</v>
      </c>
      <c r="I679" s="11" t="str">
        <f aca="false">IF(INDEX(選手一覧!$F$5:$F$2736,$F679)="","",INDEX(選手一覧!$F$5:$F$2736,$F679))</f>
        <v/>
      </c>
      <c r="J679" s="12" t="str">
        <f aca="false">IF(INDEX(選手一覧!$G$5:$G$2736,$F679)="","",INDEX(選手一覧!$G$5:$G$2736,$F679))</f>
        <v/>
      </c>
    </row>
    <row r="680" customFormat="false" ht="15" hidden="false" customHeight="false" outlineLevel="0" collapsed="false">
      <c r="A680" s="12" t="n">
        <v>677</v>
      </c>
      <c r="B680" s="8" t="s">
        <v>2775</v>
      </c>
      <c r="C680" s="8" t="s">
        <v>2514</v>
      </c>
      <c r="D680" s="11" t="n">
        <v>0.00286724537037037</v>
      </c>
      <c r="E680" s="39" t="n">
        <f aca="false">ROUND((D680-$D$5)*86400,2)</f>
        <v>22.7</v>
      </c>
      <c r="F680" s="12" t="n">
        <v>1782</v>
      </c>
      <c r="G680" s="11" t="str">
        <f aca="false">IF(INDEX(選手一覧!$D$5:$D$2736,$F680)="","",INDEX(選手一覧!$D$5:$D$2736,$F680))</f>
        <v/>
      </c>
      <c r="H680" s="12" t="str">
        <f aca="false">IF(INDEX(選手一覧!$E$5:$E$2736,$F680)="","",INDEX(選手一覧!$E$5:$E$2736,$F680))</f>
        <v/>
      </c>
      <c r="I680" s="11" t="str">
        <f aca="false">IF(INDEX(選手一覧!$F$5:$F$2736,$F680)="","",INDEX(選手一覧!$F$5:$F$2736,$F680))</f>
        <v/>
      </c>
      <c r="J680" s="12" t="str">
        <f aca="false">IF(INDEX(選手一覧!$G$5:$G$2736,$F680)="","",INDEX(選手一覧!$G$5:$G$2736,$F680))</f>
        <v/>
      </c>
    </row>
    <row r="681" customFormat="false" ht="15" hidden="false" customHeight="false" outlineLevel="0" collapsed="false">
      <c r="A681" s="12" t="n">
        <v>678</v>
      </c>
      <c r="B681" s="8" t="s">
        <v>2778</v>
      </c>
      <c r="C681" s="8" t="s">
        <v>2779</v>
      </c>
      <c r="D681" s="11" t="n">
        <v>0.00286724537037037</v>
      </c>
      <c r="E681" s="39" t="n">
        <f aca="false">ROUND((D681-$D$5)*86400,2)</f>
        <v>22.7</v>
      </c>
      <c r="F681" s="12" t="n">
        <v>1784</v>
      </c>
      <c r="G681" s="11" t="str">
        <f aca="false">IF(INDEX(選手一覧!$D$5:$D$2736,$F681)="","",INDEX(選手一覧!$D$5:$D$2736,$F681))</f>
        <v/>
      </c>
      <c r="H681" s="12" t="str">
        <f aca="false">IF(INDEX(選手一覧!$E$5:$E$2736,$F681)="","",INDEX(選手一覧!$E$5:$E$2736,$F681))</f>
        <v/>
      </c>
      <c r="I681" s="11" t="str">
        <f aca="false">IF(INDEX(選手一覧!$F$5:$F$2736,$F681)="","",INDEX(選手一覧!$F$5:$F$2736,$F681))</f>
        <v/>
      </c>
      <c r="J681" s="12" t="str">
        <f aca="false">IF(INDEX(選手一覧!$G$5:$G$2736,$F681)="","",INDEX(選手一覧!$G$5:$G$2736,$F681))</f>
        <v/>
      </c>
    </row>
    <row r="682" customFormat="false" ht="15" hidden="false" customHeight="false" outlineLevel="0" collapsed="false">
      <c r="A682" s="12" t="n">
        <v>679</v>
      </c>
      <c r="B682" s="8" t="s">
        <v>930</v>
      </c>
      <c r="C682" s="8" t="s">
        <v>108</v>
      </c>
      <c r="D682" s="11" t="n">
        <v>0.00286793981481482</v>
      </c>
      <c r="E682" s="39" t="n">
        <f aca="false">ROUND((D682-$D$5)*86400,2)</f>
        <v>22.76</v>
      </c>
      <c r="F682" s="12" t="n">
        <v>534</v>
      </c>
      <c r="G682" s="11" t="n">
        <f aca="false">IF(INDEX(選手一覧!$D$5:$D$2736,$F682)="","",INDEX(選手一覧!$D$5:$D$2736,$F682))</f>
        <v>0.0106601851851852</v>
      </c>
      <c r="H682" s="12" t="n">
        <f aca="false">IF(INDEX(選手一覧!$E$5:$E$2736,$F682)="","",INDEX(選手一覧!$E$5:$E$2736,$F682))</f>
        <v>535</v>
      </c>
      <c r="I682" s="11" t="str">
        <f aca="false">IF(INDEX(選手一覧!$F$5:$F$2736,$F682)="","",INDEX(選手一覧!$F$5:$F$2736,$F682))</f>
        <v/>
      </c>
      <c r="J682" s="12" t="str">
        <f aca="false">IF(INDEX(選手一覧!$G$5:$G$2736,$F682)="","",INDEX(選手一覧!$G$5:$G$2736,$F682))</f>
        <v/>
      </c>
    </row>
    <row r="683" customFormat="false" ht="15" hidden="false" customHeight="false" outlineLevel="0" collapsed="false">
      <c r="A683" s="12" t="n">
        <v>680</v>
      </c>
      <c r="B683" s="8" t="s">
        <v>821</v>
      </c>
      <c r="C683" s="8" t="s">
        <v>431</v>
      </c>
      <c r="D683" s="11" t="n">
        <v>0.00286805555555556</v>
      </c>
      <c r="E683" s="39" t="n">
        <f aca="false">ROUND((D683-$D$5)*86400,2)</f>
        <v>22.77</v>
      </c>
      <c r="F683" s="12" t="n">
        <v>468</v>
      </c>
      <c r="G683" s="11" t="n">
        <f aca="false">IF(INDEX(選手一覧!$D$5:$D$2736,$F683)="","",INDEX(選手一覧!$D$5:$D$2736,$F683))</f>
        <v>0.0106054398148148</v>
      </c>
      <c r="H683" s="12" t="n">
        <f aca="false">IF(INDEX(選手一覧!$E$5:$E$2736,$F683)="","",INDEX(選手一覧!$E$5:$E$2736,$F683))</f>
        <v>469</v>
      </c>
      <c r="I683" s="11" t="str">
        <f aca="false">IF(INDEX(選手一覧!$F$5:$F$2736,$F683)="","",INDEX(選手一覧!$F$5:$F$2736,$F683))</f>
        <v/>
      </c>
      <c r="J683" s="12" t="str">
        <f aca="false">IF(INDEX(選手一覧!$G$5:$G$2736,$F683)="","",INDEX(選手一覧!$G$5:$G$2736,$F683))</f>
        <v/>
      </c>
    </row>
    <row r="684" customFormat="false" ht="15" hidden="false" customHeight="false" outlineLevel="0" collapsed="false">
      <c r="A684" s="12" t="n">
        <v>681</v>
      </c>
      <c r="B684" s="8" t="s">
        <v>2782</v>
      </c>
      <c r="C684" s="8" t="s">
        <v>2783</v>
      </c>
      <c r="D684" s="11" t="n">
        <v>0.00286805555555556</v>
      </c>
      <c r="E684" s="39" t="n">
        <f aca="false">ROUND((D684-$D$5)*86400,2)</f>
        <v>22.77</v>
      </c>
      <c r="F684" s="12" t="n">
        <v>1787</v>
      </c>
      <c r="G684" s="11" t="str">
        <f aca="false">IF(INDEX(選手一覧!$D$5:$D$2736,$F684)="","",INDEX(選手一覧!$D$5:$D$2736,$F684))</f>
        <v/>
      </c>
      <c r="H684" s="12" t="str">
        <f aca="false">IF(INDEX(選手一覧!$E$5:$E$2736,$F684)="","",INDEX(選手一覧!$E$5:$E$2736,$F684))</f>
        <v/>
      </c>
      <c r="I684" s="11" t="str">
        <f aca="false">IF(INDEX(選手一覧!$F$5:$F$2736,$F684)="","",INDEX(選手一覧!$F$5:$F$2736,$F684))</f>
        <v/>
      </c>
      <c r="J684" s="12" t="str">
        <f aca="false">IF(INDEX(選手一覧!$G$5:$G$2736,$F684)="","",INDEX(選手一覧!$G$5:$G$2736,$F684))</f>
        <v/>
      </c>
    </row>
    <row r="685" customFormat="false" ht="15" hidden="false" customHeight="false" outlineLevel="0" collapsed="false">
      <c r="A685" s="12" t="n">
        <v>682</v>
      </c>
      <c r="B685" s="8" t="s">
        <v>1646</v>
      </c>
      <c r="C685" s="8" t="s">
        <v>1042</v>
      </c>
      <c r="D685" s="11" t="n">
        <v>0.0028681712962963</v>
      </c>
      <c r="E685" s="39" t="n">
        <f aca="false">ROUND((D685-$D$5)*86400,2)</f>
        <v>22.78</v>
      </c>
      <c r="F685" s="12" t="n">
        <v>1018</v>
      </c>
      <c r="G685" s="11" t="n">
        <f aca="false">IF(INDEX(選手一覧!$D$5:$D$2736,$F685)="","",INDEX(選手一覧!$D$5:$D$2736,$F685))</f>
        <v>0.0109579861111111</v>
      </c>
      <c r="H685" s="12" t="n">
        <f aca="false">IF(INDEX(選手一覧!$E$5:$E$2736,$F685)="","",INDEX(選手一覧!$E$5:$E$2736,$F685))</f>
        <v>1019</v>
      </c>
      <c r="I685" s="11" t="n">
        <f aca="false">IF(INDEX(選手一覧!$F$5:$F$2736,$F685)="","",INDEX(選手一覧!$F$5:$F$2736,$F685))</f>
        <v>0.00743009259259259</v>
      </c>
      <c r="J685" s="12" t="n">
        <f aca="false">IF(INDEX(選手一覧!$G$5:$G$2736,$F685)="","",INDEX(選手一覧!$G$5:$G$2736,$F685))</f>
        <v>805</v>
      </c>
    </row>
    <row r="686" customFormat="false" ht="15" hidden="false" customHeight="false" outlineLevel="0" collapsed="false">
      <c r="A686" s="12" t="n">
        <v>683</v>
      </c>
      <c r="B686" s="8" t="s">
        <v>2787</v>
      </c>
      <c r="C686" s="8" t="s">
        <v>2579</v>
      </c>
      <c r="D686" s="11" t="n">
        <v>0.00286828703703704</v>
      </c>
      <c r="E686" s="39" t="n">
        <f aca="false">ROUND((D686-$D$5)*86400,2)</f>
        <v>22.79</v>
      </c>
      <c r="F686" s="12" t="n">
        <v>1790</v>
      </c>
      <c r="G686" s="11" t="str">
        <f aca="false">IF(INDEX(選手一覧!$D$5:$D$2736,$F686)="","",INDEX(選手一覧!$D$5:$D$2736,$F686))</f>
        <v/>
      </c>
      <c r="H686" s="12" t="str">
        <f aca="false">IF(INDEX(選手一覧!$E$5:$E$2736,$F686)="","",INDEX(選手一覧!$E$5:$E$2736,$F686))</f>
        <v/>
      </c>
      <c r="I686" s="11" t="str">
        <f aca="false">IF(INDEX(選手一覧!$F$5:$F$2736,$F686)="","",INDEX(選手一覧!$F$5:$F$2736,$F686))</f>
        <v/>
      </c>
      <c r="J686" s="12" t="str">
        <f aca="false">IF(INDEX(選手一覧!$G$5:$G$2736,$F686)="","",INDEX(選手一覧!$G$5:$G$2736,$F686))</f>
        <v/>
      </c>
    </row>
    <row r="687" customFormat="false" ht="15" hidden="false" customHeight="false" outlineLevel="0" collapsed="false">
      <c r="A687" s="12" t="n">
        <v>684</v>
      </c>
      <c r="B687" s="8" t="s">
        <v>1093</v>
      </c>
      <c r="C687" s="8" t="s">
        <v>373</v>
      </c>
      <c r="D687" s="11" t="n">
        <v>0.00286828703703704</v>
      </c>
      <c r="E687" s="39" t="n">
        <f aca="false">ROUND((D687-$D$5)*86400,2)</f>
        <v>22.79</v>
      </c>
      <c r="F687" s="12" t="n">
        <v>650</v>
      </c>
      <c r="G687" s="11" t="n">
        <f aca="false">IF(INDEX(選手一覧!$D$5:$D$2736,$F687)="","",INDEX(選手一覧!$D$5:$D$2736,$F687))</f>
        <v>0.0107394675925926</v>
      </c>
      <c r="H687" s="12" t="n">
        <f aca="false">IF(INDEX(選手一覧!$E$5:$E$2736,$F687)="","",INDEX(選手一覧!$E$5:$E$2736,$F687))</f>
        <v>651</v>
      </c>
      <c r="I687" s="11" t="n">
        <f aca="false">IF(INDEX(選手一覧!$F$5:$F$2736,$F687)="","",INDEX(選手一覧!$F$5:$F$2736,$F687))</f>
        <v>0.00688576388888889</v>
      </c>
      <c r="J687" s="12" t="n">
        <f aca="false">IF(INDEX(選手一覧!$G$5:$G$2736,$F687)="","",INDEX(選手一覧!$G$5:$G$2736,$F687))</f>
        <v>226</v>
      </c>
    </row>
    <row r="688" customFormat="false" ht="15" hidden="false" customHeight="false" outlineLevel="0" collapsed="false">
      <c r="A688" s="12" t="n">
        <v>685</v>
      </c>
      <c r="B688" s="8" t="s">
        <v>514</v>
      </c>
      <c r="C688" s="8" t="s">
        <v>515</v>
      </c>
      <c r="D688" s="11" t="n">
        <v>0.00286875</v>
      </c>
      <c r="E688" s="39" t="n">
        <f aca="false">ROUND((D688-$D$5)*86400,2)</f>
        <v>22.83</v>
      </c>
      <c r="F688" s="12" t="n">
        <v>275</v>
      </c>
      <c r="G688" s="11" t="n">
        <f aca="false">IF(INDEX(選手一覧!$D$5:$D$2736,$F688)="","",INDEX(選手一覧!$D$5:$D$2736,$F688))</f>
        <v>0.0104104166666667</v>
      </c>
      <c r="H688" s="12" t="n">
        <f aca="false">IF(INDEX(選手一覧!$E$5:$E$2736,$F688)="","",INDEX(選手一覧!$E$5:$E$2736,$F688))</f>
        <v>276</v>
      </c>
      <c r="I688" s="11" t="str">
        <f aca="false">IF(INDEX(選手一覧!$F$5:$F$2736,$F688)="","",INDEX(選手一覧!$F$5:$F$2736,$F688))</f>
        <v/>
      </c>
      <c r="J688" s="12" t="str">
        <f aca="false">IF(INDEX(選手一覧!$G$5:$G$2736,$F688)="","",INDEX(選手一覧!$G$5:$G$2736,$F688))</f>
        <v/>
      </c>
    </row>
    <row r="689" customFormat="false" ht="15" hidden="false" customHeight="false" outlineLevel="0" collapsed="false">
      <c r="A689" s="12" t="n">
        <v>686</v>
      </c>
      <c r="B689" s="8" t="s">
        <v>1030</v>
      </c>
      <c r="C689" s="8" t="s">
        <v>283</v>
      </c>
      <c r="D689" s="11" t="n">
        <v>0.00286875</v>
      </c>
      <c r="E689" s="39" t="n">
        <f aca="false">ROUND((D689-$D$5)*86400,2)</f>
        <v>22.83</v>
      </c>
      <c r="F689" s="12" t="n">
        <v>602</v>
      </c>
      <c r="G689" s="11" t="n">
        <f aca="false">IF(INDEX(選手一覧!$D$5:$D$2736,$F689)="","",INDEX(選手一覧!$D$5:$D$2736,$F689))</f>
        <v>0.0107142361111111</v>
      </c>
      <c r="H689" s="12" t="n">
        <f aca="false">IF(INDEX(選手一覧!$E$5:$E$2736,$F689)="","",INDEX(選手一覧!$E$5:$E$2736,$F689))</f>
        <v>603</v>
      </c>
      <c r="I689" s="11" t="n">
        <f aca="false">IF(INDEX(選手一覧!$F$5:$F$2736,$F689)="","",INDEX(選手一覧!$F$5:$F$2736,$F689))</f>
        <v>0.00700081018518519</v>
      </c>
      <c r="J689" s="12" t="n">
        <f aca="false">IF(INDEX(選手一覧!$G$5:$G$2736,$F689)="","",INDEX(選手一覧!$G$5:$G$2736,$F689))</f>
        <v>338</v>
      </c>
    </row>
    <row r="690" customFormat="false" ht="15" hidden="false" customHeight="false" outlineLevel="0" collapsed="false">
      <c r="A690" s="12" t="n">
        <v>687</v>
      </c>
      <c r="B690" s="8" t="s">
        <v>388</v>
      </c>
      <c r="C690" s="8" t="s">
        <v>373</v>
      </c>
      <c r="D690" s="11" t="n">
        <v>0.00286898148148148</v>
      </c>
      <c r="E690" s="39" t="n">
        <f aca="false">ROUND((D690-$D$5)*86400,2)</f>
        <v>22.85</v>
      </c>
      <c r="F690" s="12" t="n">
        <v>196</v>
      </c>
      <c r="G690" s="11" t="n">
        <f aca="false">IF(INDEX(選手一覧!$D$5:$D$2736,$F690)="","",INDEX(選手一覧!$D$5:$D$2736,$F690))</f>
        <v>0.0103466435185185</v>
      </c>
      <c r="H690" s="12" t="n">
        <f aca="false">IF(INDEX(選手一覧!$E$5:$E$2736,$F690)="","",INDEX(選手一覧!$E$5:$E$2736,$F690))</f>
        <v>197</v>
      </c>
      <c r="I690" s="11" t="str">
        <f aca="false">IF(INDEX(選手一覧!$F$5:$F$2736,$F690)="","",INDEX(選手一覧!$F$5:$F$2736,$F690))</f>
        <v/>
      </c>
      <c r="J690" s="12" t="str">
        <f aca="false">IF(INDEX(選手一覧!$G$5:$G$2736,$F690)="","",INDEX(選手一覧!$G$5:$G$2736,$F690))</f>
        <v/>
      </c>
    </row>
    <row r="691" customFormat="false" ht="15" hidden="false" customHeight="false" outlineLevel="0" collapsed="false">
      <c r="A691" s="12" t="n">
        <v>688</v>
      </c>
      <c r="B691" s="8" t="s">
        <v>2208</v>
      </c>
      <c r="C691" s="8" t="s">
        <v>2209</v>
      </c>
      <c r="D691" s="11" t="n">
        <v>0.00286909722222222</v>
      </c>
      <c r="E691" s="39" t="n">
        <f aca="false">ROUND((D691-$D$5)*86400,2)</f>
        <v>22.86</v>
      </c>
      <c r="F691" s="12" t="n">
        <v>1412</v>
      </c>
      <c r="G691" s="11" t="str">
        <f aca="false">IF(INDEX(選手一覧!$D$5:$D$2736,$F691)="","",INDEX(選手一覧!$D$5:$D$2736,$F691))</f>
        <v/>
      </c>
      <c r="H691" s="12" t="str">
        <f aca="false">IF(INDEX(選手一覧!$E$5:$E$2736,$F691)="","",INDEX(選手一覧!$E$5:$E$2736,$F691))</f>
        <v/>
      </c>
      <c r="I691" s="11" t="n">
        <f aca="false">IF(INDEX(選手一覧!$F$5:$F$2736,$F691)="","",INDEX(選手一覧!$F$5:$F$2736,$F691))</f>
        <v>0.00695127314814815</v>
      </c>
      <c r="J691" s="12" t="n">
        <f aca="false">IF(INDEX(選手一覧!$G$5:$G$2736,$F691)="","",INDEX(選手一覧!$G$5:$G$2736,$F691))</f>
        <v>286</v>
      </c>
    </row>
    <row r="692" customFormat="false" ht="15" hidden="false" customHeight="false" outlineLevel="0" collapsed="false">
      <c r="A692" s="12" t="n">
        <v>689</v>
      </c>
      <c r="B692" s="8" t="s">
        <v>1737</v>
      </c>
      <c r="C692" s="8" t="s">
        <v>1738</v>
      </c>
      <c r="D692" s="11" t="n">
        <v>0.0028693287037037</v>
      </c>
      <c r="E692" s="39" t="n">
        <f aca="false">ROUND((D692-$D$5)*86400,2)</f>
        <v>22.88</v>
      </c>
      <c r="F692" s="12" t="n">
        <v>1079</v>
      </c>
      <c r="G692" s="11" t="n">
        <f aca="false">IF(INDEX(選手一覧!$D$5:$D$2736,$F692)="","",INDEX(選手一覧!$D$5:$D$2736,$F692))</f>
        <v>0.0109907407407407</v>
      </c>
      <c r="H692" s="12" t="n">
        <f aca="false">IF(INDEX(選手一覧!$E$5:$E$2736,$F692)="","",INDEX(選手一覧!$E$5:$E$2736,$F692))</f>
        <v>1080</v>
      </c>
      <c r="I692" s="11" t="str">
        <f aca="false">IF(INDEX(選手一覧!$F$5:$F$2736,$F692)="","",INDEX(選手一覧!$F$5:$F$2736,$F692))</f>
        <v/>
      </c>
      <c r="J692" s="12" t="str">
        <f aca="false">IF(INDEX(選手一覧!$G$5:$G$2736,$F692)="","",INDEX(選手一覧!$G$5:$G$2736,$F692))</f>
        <v/>
      </c>
    </row>
    <row r="693" customFormat="false" ht="15" hidden="false" customHeight="false" outlineLevel="0" collapsed="false">
      <c r="A693" s="12" t="n">
        <v>690</v>
      </c>
      <c r="B693" s="8" t="s">
        <v>2346</v>
      </c>
      <c r="C693" s="8" t="s">
        <v>1708</v>
      </c>
      <c r="D693" s="11" t="n">
        <v>0.00286956018518519</v>
      </c>
      <c r="E693" s="39" t="n">
        <f aca="false">ROUND((D693-$D$5)*86400,2)</f>
        <v>22.9</v>
      </c>
      <c r="F693" s="12" t="n">
        <v>1498</v>
      </c>
      <c r="G693" s="11" t="str">
        <f aca="false">IF(INDEX(選手一覧!$D$5:$D$2736,$F693)="","",INDEX(選手一覧!$D$5:$D$2736,$F693))</f>
        <v/>
      </c>
      <c r="H693" s="12" t="str">
        <f aca="false">IF(INDEX(選手一覧!$E$5:$E$2736,$F693)="","",INDEX(選手一覧!$E$5:$E$2736,$F693))</f>
        <v/>
      </c>
      <c r="I693" s="11" t="n">
        <f aca="false">IF(INDEX(選手一覧!$F$5:$F$2736,$F693)="","",INDEX(選手一覧!$F$5:$F$2736,$F693))</f>
        <v>0.00705925925925926</v>
      </c>
      <c r="J693" s="12" t="n">
        <f aca="false">IF(INDEX(選手一覧!$G$5:$G$2736,$F693)="","",INDEX(選手一覧!$G$5:$G$2736,$F693))</f>
        <v>400</v>
      </c>
    </row>
    <row r="694" customFormat="false" ht="15" hidden="false" customHeight="false" outlineLevel="0" collapsed="false">
      <c r="A694" s="12" t="n">
        <v>691</v>
      </c>
      <c r="B694" s="8" t="s">
        <v>557</v>
      </c>
      <c r="C694" s="8" t="s">
        <v>558</v>
      </c>
      <c r="D694" s="11" t="n">
        <v>0.00286956018518519</v>
      </c>
      <c r="E694" s="39" t="n">
        <f aca="false">ROUND((D694-$D$5)*86400,2)</f>
        <v>22.9</v>
      </c>
      <c r="F694" s="12" t="n">
        <v>301</v>
      </c>
      <c r="G694" s="11" t="n">
        <f aca="false">IF(INDEX(選手一覧!$D$5:$D$2736,$F694)="","",INDEX(選手一覧!$D$5:$D$2736,$F694))</f>
        <v>0.0104483796296296</v>
      </c>
      <c r="H694" s="12" t="n">
        <f aca="false">IF(INDEX(選手一覧!$E$5:$E$2736,$F694)="","",INDEX(選手一覧!$E$5:$E$2736,$F694))</f>
        <v>302</v>
      </c>
      <c r="I694" s="11" t="n">
        <f aca="false">IF(INDEX(選手一覧!$F$5:$F$2736,$F694)="","",INDEX(選手一覧!$F$5:$F$2736,$F694))</f>
        <v>0.00723009259259259</v>
      </c>
      <c r="J694" s="12" t="n">
        <f aca="false">IF(INDEX(選手一覧!$G$5:$G$2736,$F694)="","",INDEX(選手一覧!$G$5:$G$2736,$F694))</f>
        <v>574</v>
      </c>
    </row>
    <row r="695" customFormat="false" ht="15" hidden="false" customHeight="false" outlineLevel="0" collapsed="false">
      <c r="A695" s="12" t="n">
        <v>692</v>
      </c>
      <c r="B695" s="8" t="s">
        <v>2133</v>
      </c>
      <c r="C695" s="8" t="s">
        <v>1131</v>
      </c>
      <c r="D695" s="11" t="n">
        <v>0.00286956018518519</v>
      </c>
      <c r="E695" s="39" t="n">
        <f aca="false">ROUND((D695-$D$5)*86400,2)</f>
        <v>22.9</v>
      </c>
      <c r="F695" s="12" t="n">
        <v>1358</v>
      </c>
      <c r="G695" s="11" t="str">
        <f aca="false">IF(INDEX(選手一覧!$D$5:$D$2736,$F695)="","",INDEX(選手一覧!$D$5:$D$2736,$F695))</f>
        <v/>
      </c>
      <c r="H695" s="12" t="str">
        <f aca="false">IF(INDEX(選手一覧!$E$5:$E$2736,$F695)="","",INDEX(選手一覧!$E$5:$E$2736,$F695))</f>
        <v/>
      </c>
      <c r="I695" s="11" t="n">
        <f aca="false">IF(INDEX(選手一覧!$F$5:$F$2736,$F695)="","",INDEX(選手一覧!$F$5:$F$2736,$F695))</f>
        <v>0.00687916666666667</v>
      </c>
      <c r="J695" s="12" t="n">
        <f aca="false">IF(INDEX(選手一覧!$G$5:$G$2736,$F695)="","",INDEX(選手一覧!$G$5:$G$2736,$F695))</f>
        <v>222</v>
      </c>
    </row>
    <row r="696" customFormat="false" ht="15" hidden="false" customHeight="false" outlineLevel="0" collapsed="false">
      <c r="A696" s="12" t="n">
        <v>693</v>
      </c>
      <c r="B696" s="8" t="s">
        <v>2798</v>
      </c>
      <c r="C696" s="8" t="s">
        <v>2799</v>
      </c>
      <c r="D696" s="11" t="n">
        <v>0.00286956018518519</v>
      </c>
      <c r="E696" s="39" t="n">
        <f aca="false">ROUND((D696-$D$5)*86400,2)</f>
        <v>22.9</v>
      </c>
      <c r="F696" s="12" t="n">
        <v>1798</v>
      </c>
      <c r="G696" s="11" t="str">
        <f aca="false">IF(INDEX(選手一覧!$D$5:$D$2736,$F696)="","",INDEX(選手一覧!$D$5:$D$2736,$F696))</f>
        <v/>
      </c>
      <c r="H696" s="12" t="str">
        <f aca="false">IF(INDEX(選手一覧!$E$5:$E$2736,$F696)="","",INDEX(選手一覧!$E$5:$E$2736,$F696))</f>
        <v/>
      </c>
      <c r="I696" s="11" t="n">
        <f aca="false">IF(INDEX(選手一覧!$F$5:$F$2736,$F696)="","",INDEX(選手一覧!$F$5:$F$2736,$F696))</f>
        <v>0.00734178240740741</v>
      </c>
      <c r="J696" s="12" t="n">
        <f aca="false">IF(INDEX(選手一覧!$G$5:$G$2736,$F696)="","",INDEX(選手一覧!$G$5:$G$2736,$F696))</f>
        <v>698</v>
      </c>
    </row>
    <row r="697" customFormat="false" ht="15" hidden="false" customHeight="false" outlineLevel="0" collapsed="false">
      <c r="A697" s="12" t="n">
        <v>694</v>
      </c>
      <c r="B697" s="8" t="s">
        <v>1774</v>
      </c>
      <c r="C697" s="8" t="s">
        <v>1775</v>
      </c>
      <c r="D697" s="11" t="n">
        <v>0.00286990740740741</v>
      </c>
      <c r="E697" s="39" t="n">
        <f aca="false">ROUND((D697-$D$5)*86400,2)</f>
        <v>22.93</v>
      </c>
      <c r="F697" s="12" t="n">
        <v>1102</v>
      </c>
      <c r="G697" s="11" t="n">
        <f aca="false">IF(INDEX(選手一覧!$D$5:$D$2736,$F697)="","",INDEX(選手一覧!$D$5:$D$2736,$F697))</f>
        <v>0.01100625</v>
      </c>
      <c r="H697" s="12" t="n">
        <f aca="false">IF(INDEX(選手一覧!$E$5:$E$2736,$F697)="","",INDEX(選手一覧!$E$5:$E$2736,$F697))</f>
        <v>1103</v>
      </c>
      <c r="I697" s="11" t="str">
        <f aca="false">IF(INDEX(選手一覧!$F$5:$F$2736,$F697)="","",INDEX(選手一覧!$F$5:$F$2736,$F697))</f>
        <v/>
      </c>
      <c r="J697" s="12" t="str">
        <f aca="false">IF(INDEX(選手一覧!$G$5:$G$2736,$F697)="","",INDEX(選手一覧!$G$5:$G$2736,$F697))</f>
        <v/>
      </c>
    </row>
    <row r="698" customFormat="false" ht="15" hidden="false" customHeight="false" outlineLevel="0" collapsed="false">
      <c r="A698" s="12" t="n">
        <v>695</v>
      </c>
      <c r="B698" s="8" t="s">
        <v>2605</v>
      </c>
      <c r="C698" s="8" t="s">
        <v>1042</v>
      </c>
      <c r="D698" s="11" t="n">
        <v>0.00286990740740741</v>
      </c>
      <c r="E698" s="39" t="n">
        <f aca="false">ROUND((D698-$D$5)*86400,2)</f>
        <v>22.93</v>
      </c>
      <c r="F698" s="12" t="n">
        <v>1669</v>
      </c>
      <c r="G698" s="11" t="str">
        <f aca="false">IF(INDEX(選手一覧!$D$5:$D$2736,$F698)="","",INDEX(選手一覧!$D$5:$D$2736,$F698))</f>
        <v/>
      </c>
      <c r="H698" s="12" t="str">
        <f aca="false">IF(INDEX(選手一覧!$E$5:$E$2736,$F698)="","",INDEX(選手一覧!$E$5:$E$2736,$F698))</f>
        <v/>
      </c>
      <c r="I698" s="11" t="n">
        <f aca="false">IF(INDEX(選手一覧!$F$5:$F$2736,$F698)="","",INDEX(選手一覧!$F$5:$F$2736,$F698))</f>
        <v>0.00722951388888889</v>
      </c>
      <c r="J698" s="12" t="n">
        <f aca="false">IF(INDEX(選手一覧!$G$5:$G$2736,$F698)="","",INDEX(選手一覧!$G$5:$G$2736,$F698))</f>
        <v>573</v>
      </c>
    </row>
    <row r="699" customFormat="false" ht="15" hidden="false" customHeight="false" outlineLevel="0" collapsed="false">
      <c r="A699" s="12" t="n">
        <v>696</v>
      </c>
      <c r="B699" s="8" t="s">
        <v>2805</v>
      </c>
      <c r="C699" s="8" t="s">
        <v>2806</v>
      </c>
      <c r="D699" s="11" t="n">
        <v>0.00287013888888889</v>
      </c>
      <c r="E699" s="39" t="n">
        <f aca="false">ROUND((D699-$D$5)*86400,2)</f>
        <v>22.95</v>
      </c>
      <c r="F699" s="12" t="n">
        <v>1803</v>
      </c>
      <c r="G699" s="11" t="str">
        <f aca="false">IF(INDEX(選手一覧!$D$5:$D$2736,$F699)="","",INDEX(選手一覧!$D$5:$D$2736,$F699))</f>
        <v/>
      </c>
      <c r="H699" s="12" t="str">
        <f aca="false">IF(INDEX(選手一覧!$E$5:$E$2736,$F699)="","",INDEX(選手一覧!$E$5:$E$2736,$F699))</f>
        <v/>
      </c>
      <c r="I699" s="11" t="str">
        <f aca="false">IF(INDEX(選手一覧!$F$5:$F$2736,$F699)="","",INDEX(選手一覧!$F$5:$F$2736,$F699))</f>
        <v/>
      </c>
      <c r="J699" s="12" t="str">
        <f aca="false">IF(INDEX(選手一覧!$G$5:$G$2736,$F699)="","",INDEX(選手一覧!$G$5:$G$2736,$F699))</f>
        <v/>
      </c>
    </row>
    <row r="700" customFormat="false" ht="15" hidden="false" customHeight="false" outlineLevel="0" collapsed="false">
      <c r="A700" s="12" t="n">
        <v>697</v>
      </c>
      <c r="B700" s="8" t="s">
        <v>284</v>
      </c>
      <c r="C700" s="8" t="s">
        <v>18</v>
      </c>
      <c r="D700" s="11" t="n">
        <v>0.00287025462962963</v>
      </c>
      <c r="E700" s="39" t="n">
        <f aca="false">ROUND((D700-$D$5)*86400,2)</f>
        <v>22.96</v>
      </c>
      <c r="F700" s="12" t="n">
        <v>138</v>
      </c>
      <c r="G700" s="11" t="n">
        <f aca="false">IF(INDEX(選手一覧!$D$5:$D$2736,$F700)="","",INDEX(選手一覧!$D$5:$D$2736,$F700))</f>
        <v>0.0102702546296296</v>
      </c>
      <c r="H700" s="12" t="n">
        <f aca="false">IF(INDEX(選手一覧!$E$5:$E$2736,$F700)="","",INDEX(選手一覧!$E$5:$E$2736,$F700))</f>
        <v>139</v>
      </c>
      <c r="I700" s="11" t="str">
        <f aca="false">IF(INDEX(選手一覧!$F$5:$F$2736,$F700)="","",INDEX(選手一覧!$F$5:$F$2736,$F700))</f>
        <v/>
      </c>
      <c r="J700" s="12" t="str">
        <f aca="false">IF(INDEX(選手一覧!$G$5:$G$2736,$F700)="","",INDEX(選手一覧!$G$5:$G$2736,$F700))</f>
        <v/>
      </c>
    </row>
    <row r="701" customFormat="false" ht="15" hidden="false" customHeight="false" outlineLevel="0" collapsed="false">
      <c r="A701" s="12" t="n">
        <v>698</v>
      </c>
      <c r="B701" s="8" t="s">
        <v>1293</v>
      </c>
      <c r="C701" s="8" t="s">
        <v>41</v>
      </c>
      <c r="D701" s="11" t="n">
        <v>0.00287025462962963</v>
      </c>
      <c r="E701" s="39" t="n">
        <f aca="false">ROUND((D701-$D$5)*86400,2)</f>
        <v>22.96</v>
      </c>
      <c r="F701" s="12" t="n">
        <v>781</v>
      </c>
      <c r="G701" s="11" t="n">
        <f aca="false">IF(INDEX(選手一覧!$D$5:$D$2736,$F701)="","",INDEX(選手一覧!$D$5:$D$2736,$F701))</f>
        <v>0.0108236111111111</v>
      </c>
      <c r="H701" s="12" t="n">
        <f aca="false">IF(INDEX(選手一覧!$E$5:$E$2736,$F701)="","",INDEX(選手一覧!$E$5:$E$2736,$F701))</f>
        <v>782</v>
      </c>
      <c r="I701" s="11" t="str">
        <f aca="false">IF(INDEX(選手一覧!$F$5:$F$2736,$F701)="","",INDEX(選手一覧!$F$5:$F$2736,$F701))</f>
        <v/>
      </c>
      <c r="J701" s="12" t="str">
        <f aca="false">IF(INDEX(選手一覧!$G$5:$G$2736,$F701)="","",INDEX(選手一覧!$G$5:$G$2736,$F701))</f>
        <v/>
      </c>
    </row>
    <row r="702" customFormat="false" ht="15" hidden="false" customHeight="false" outlineLevel="0" collapsed="false">
      <c r="A702" s="12" t="n">
        <v>699</v>
      </c>
      <c r="B702" s="8" t="s">
        <v>2809</v>
      </c>
      <c r="C702" s="8" t="s">
        <v>2810</v>
      </c>
      <c r="D702" s="11" t="n">
        <v>0.00287048611111111</v>
      </c>
      <c r="E702" s="39" t="n">
        <f aca="false">ROUND((D702-$D$5)*86400,2)</f>
        <v>22.98</v>
      </c>
      <c r="F702" s="12" t="n">
        <v>1805</v>
      </c>
      <c r="G702" s="11" t="str">
        <f aca="false">IF(INDEX(選手一覧!$D$5:$D$2736,$F702)="","",INDEX(選手一覧!$D$5:$D$2736,$F702))</f>
        <v/>
      </c>
      <c r="H702" s="12" t="str">
        <f aca="false">IF(INDEX(選手一覧!$E$5:$E$2736,$F702)="","",INDEX(選手一覧!$E$5:$E$2736,$F702))</f>
        <v/>
      </c>
      <c r="I702" s="11" t="str">
        <f aca="false">IF(INDEX(選手一覧!$F$5:$F$2736,$F702)="","",INDEX(選手一覧!$F$5:$F$2736,$F702))</f>
        <v/>
      </c>
      <c r="J702" s="12" t="str">
        <f aca="false">IF(INDEX(選手一覧!$G$5:$G$2736,$F702)="","",INDEX(選手一覧!$G$5:$G$2736,$F702))</f>
        <v/>
      </c>
    </row>
    <row r="703" customFormat="false" ht="15" hidden="false" customHeight="false" outlineLevel="0" collapsed="false">
      <c r="A703" s="12" t="n">
        <v>700</v>
      </c>
      <c r="B703" s="8" t="s">
        <v>2811</v>
      </c>
      <c r="C703" s="8" t="s">
        <v>2812</v>
      </c>
      <c r="D703" s="11" t="n">
        <v>0.00287060185185185</v>
      </c>
      <c r="E703" s="39" t="n">
        <f aca="false">ROUND((D703-$D$5)*86400,2)</f>
        <v>22.99</v>
      </c>
      <c r="F703" s="12" t="n">
        <v>1806</v>
      </c>
      <c r="G703" s="11" t="str">
        <f aca="false">IF(INDEX(選手一覧!$D$5:$D$2736,$F703)="","",INDEX(選手一覧!$D$5:$D$2736,$F703))</f>
        <v/>
      </c>
      <c r="H703" s="12" t="str">
        <f aca="false">IF(INDEX(選手一覧!$E$5:$E$2736,$F703)="","",INDEX(選手一覧!$E$5:$E$2736,$F703))</f>
        <v/>
      </c>
      <c r="I703" s="11" t="str">
        <f aca="false">IF(INDEX(選手一覧!$F$5:$F$2736,$F703)="","",INDEX(選手一覧!$F$5:$F$2736,$F703))</f>
        <v/>
      </c>
      <c r="J703" s="12" t="str">
        <f aca="false">IF(INDEX(選手一覧!$G$5:$G$2736,$F703)="","",INDEX(選手一覧!$G$5:$G$2736,$F703))</f>
        <v/>
      </c>
    </row>
    <row r="704" customFormat="false" ht="15" hidden="false" customHeight="false" outlineLevel="0" collapsed="false">
      <c r="A704" s="12" t="n">
        <v>701</v>
      </c>
      <c r="B704" s="8" t="s">
        <v>618</v>
      </c>
      <c r="C704" s="8" t="s">
        <v>207</v>
      </c>
      <c r="D704" s="11" t="n">
        <v>0.00287071759259259</v>
      </c>
      <c r="E704" s="39" t="n">
        <f aca="false">ROUND((D704-$D$5)*86400,2)</f>
        <v>23</v>
      </c>
      <c r="F704" s="12" t="n">
        <v>337</v>
      </c>
      <c r="G704" s="11" t="n">
        <f aca="false">IF(INDEX(選手一覧!$D$5:$D$2736,$F704)="","",INDEX(選手一覧!$D$5:$D$2736,$F704))</f>
        <v>0.0104962962962963</v>
      </c>
      <c r="H704" s="12" t="n">
        <f aca="false">IF(INDEX(選手一覧!$E$5:$E$2736,$F704)="","",INDEX(選手一覧!$E$5:$E$2736,$F704))</f>
        <v>338</v>
      </c>
      <c r="I704" s="11" t="n">
        <f aca="false">IF(INDEX(選手一覧!$F$5:$F$2736,$F704)="","",INDEX(選手一覧!$F$5:$F$2736,$F704))</f>
        <v>0.00663680555555556</v>
      </c>
      <c r="J704" s="12" t="n">
        <f aca="false">IF(INDEX(選手一覧!$G$5:$G$2736,$F704)="","",INDEX(選手一覧!$G$5:$G$2736,$F704))</f>
        <v>76</v>
      </c>
    </row>
    <row r="705" customFormat="false" ht="15" hidden="false" customHeight="false" outlineLevel="0" collapsed="false">
      <c r="A705" s="12" t="n">
        <v>702</v>
      </c>
      <c r="B705" s="8" t="s">
        <v>813</v>
      </c>
      <c r="C705" s="8" t="s">
        <v>814</v>
      </c>
      <c r="D705" s="11" t="n">
        <v>0.00287071759259259</v>
      </c>
      <c r="E705" s="39" t="n">
        <f aca="false">ROUND((D705-$D$5)*86400,2)</f>
        <v>23</v>
      </c>
      <c r="F705" s="12" t="n">
        <v>463</v>
      </c>
      <c r="G705" s="11" t="n">
        <f aca="false">IF(INDEX(選手一覧!$D$5:$D$2736,$F705)="","",INDEX(選手一覧!$D$5:$D$2736,$F705))</f>
        <v>0.010600462962963</v>
      </c>
      <c r="H705" s="12" t="n">
        <f aca="false">IF(INDEX(選手一覧!$E$5:$E$2736,$F705)="","",INDEX(選手一覧!$E$5:$E$2736,$F705))</f>
        <v>464</v>
      </c>
      <c r="I705" s="11" t="n">
        <f aca="false">IF(INDEX(選手一覧!$F$5:$F$2736,$F705)="","",INDEX(選手一覧!$F$5:$F$2736,$F705))</f>
        <v>0.00713217592592593</v>
      </c>
      <c r="J705" s="12" t="n">
        <f aca="false">IF(INDEX(選手一覧!$G$5:$G$2736,$F705)="","",INDEX(選手一覧!$G$5:$G$2736,$F705))</f>
        <v>475</v>
      </c>
    </row>
    <row r="706" customFormat="false" ht="15" hidden="false" customHeight="false" outlineLevel="0" collapsed="false">
      <c r="A706" s="12" t="n">
        <v>703</v>
      </c>
      <c r="B706" s="8" t="s">
        <v>559</v>
      </c>
      <c r="C706" s="8" t="s">
        <v>278</v>
      </c>
      <c r="D706" s="11" t="n">
        <v>0.00287083333333333</v>
      </c>
      <c r="E706" s="39" t="n">
        <f aca="false">ROUND((D706-$D$5)*86400,2)</f>
        <v>23.01</v>
      </c>
      <c r="F706" s="12" t="n">
        <v>302</v>
      </c>
      <c r="G706" s="11" t="n">
        <f aca="false">IF(INDEX(選手一覧!$D$5:$D$2736,$F706)="","",INDEX(選手一覧!$D$5:$D$2736,$F706))</f>
        <v>0.0104486111111111</v>
      </c>
      <c r="H706" s="12" t="n">
        <f aca="false">IF(INDEX(選手一覧!$E$5:$E$2736,$F706)="","",INDEX(選手一覧!$E$5:$E$2736,$F706))</f>
        <v>303</v>
      </c>
      <c r="I706" s="11" t="n">
        <f aca="false">IF(INDEX(選手一覧!$F$5:$F$2736,$F706)="","",INDEX(選手一覧!$F$5:$F$2736,$F706))</f>
        <v>0.00772731481481481</v>
      </c>
      <c r="J706" s="12" t="n">
        <f aca="false">IF(INDEX(選手一覧!$G$5:$G$2736,$F706)="","",INDEX(選手一覧!$G$5:$G$2736,$F706))</f>
        <v>1094</v>
      </c>
    </row>
    <row r="707" customFormat="false" ht="15" hidden="false" customHeight="false" outlineLevel="0" collapsed="false">
      <c r="A707" s="12" t="n">
        <v>704</v>
      </c>
      <c r="B707" s="8" t="s">
        <v>1218</v>
      </c>
      <c r="C707" s="8" t="s">
        <v>508</v>
      </c>
      <c r="D707" s="11" t="n">
        <v>0.00287094907407407</v>
      </c>
      <c r="E707" s="39" t="n">
        <f aca="false">ROUND((D707-$D$5)*86400,2)</f>
        <v>23.02</v>
      </c>
      <c r="F707" s="12" t="n">
        <v>729</v>
      </c>
      <c r="G707" s="11" t="n">
        <f aca="false">IF(INDEX(選手一覧!$D$5:$D$2736,$F707)="","",INDEX(選手一覧!$D$5:$D$2736,$F707))</f>
        <v>0.0107921296296296</v>
      </c>
      <c r="H707" s="12" t="n">
        <f aca="false">IF(INDEX(選手一覧!$E$5:$E$2736,$F707)="","",INDEX(選手一覧!$E$5:$E$2736,$F707))</f>
        <v>730</v>
      </c>
      <c r="I707" s="11" t="n">
        <f aca="false">IF(INDEX(選手一覧!$F$5:$F$2736,$F707)="","",INDEX(選手一覧!$F$5:$F$2736,$F707))</f>
        <v>0.00704074074074074</v>
      </c>
      <c r="J707" s="12" t="n">
        <f aca="false">IF(INDEX(選手一覧!$G$5:$G$2736,$F707)="","",INDEX(選手一覧!$G$5:$G$2736,$F707))</f>
        <v>377</v>
      </c>
    </row>
    <row r="708" customFormat="false" ht="15" hidden="false" customHeight="false" outlineLevel="0" collapsed="false">
      <c r="A708" s="12" t="n">
        <v>705</v>
      </c>
      <c r="B708" s="8" t="s">
        <v>2819</v>
      </c>
      <c r="C708" s="8" t="s">
        <v>1545</v>
      </c>
      <c r="D708" s="11" t="n">
        <v>0.00287094907407407</v>
      </c>
      <c r="E708" s="39" t="n">
        <f aca="false">ROUND((D708-$D$5)*86400,2)</f>
        <v>23.02</v>
      </c>
      <c r="F708" s="12" t="n">
        <v>1811</v>
      </c>
      <c r="G708" s="11" t="str">
        <f aca="false">IF(INDEX(選手一覧!$D$5:$D$2736,$F708)="","",INDEX(選手一覧!$D$5:$D$2736,$F708))</f>
        <v/>
      </c>
      <c r="H708" s="12" t="str">
        <f aca="false">IF(INDEX(選手一覧!$E$5:$E$2736,$F708)="","",INDEX(選手一覧!$E$5:$E$2736,$F708))</f>
        <v/>
      </c>
      <c r="I708" s="11" t="str">
        <f aca="false">IF(INDEX(選手一覧!$F$5:$F$2736,$F708)="","",INDEX(選手一覧!$F$5:$F$2736,$F708))</f>
        <v/>
      </c>
      <c r="J708" s="12" t="str">
        <f aca="false">IF(INDEX(選手一覧!$G$5:$G$2736,$F708)="","",INDEX(選手一覧!$G$5:$G$2736,$F708))</f>
        <v/>
      </c>
    </row>
    <row r="709" customFormat="false" ht="15" hidden="false" customHeight="false" outlineLevel="0" collapsed="false">
      <c r="A709" s="12" t="n">
        <v>706</v>
      </c>
      <c r="B709" s="8" t="s">
        <v>1253</v>
      </c>
      <c r="C709" s="8" t="s">
        <v>3026</v>
      </c>
      <c r="D709" s="11" t="n">
        <v>0.00287106481481482</v>
      </c>
      <c r="E709" s="39" t="n">
        <f aca="false">ROUND((D709-$D$5)*86400,2)</f>
        <v>23.03</v>
      </c>
      <c r="F709" s="12" t="n">
        <v>751</v>
      </c>
      <c r="G709" s="11" t="n">
        <f aca="false">IF(INDEX(選手一覧!$D$5:$D$2736,$F709)="","",INDEX(選手一覧!$D$5:$D$2736,$F709))</f>
        <v>0.0108053240740741</v>
      </c>
      <c r="H709" s="12" t="n">
        <f aca="false">IF(INDEX(選手一覧!$E$5:$E$2736,$F709)="","",INDEX(選手一覧!$E$5:$E$2736,$F709))</f>
        <v>752</v>
      </c>
      <c r="I709" s="11" t="str">
        <f aca="false">IF(INDEX(選手一覧!$F$5:$F$2736,$F709)="","",INDEX(選手一覧!$F$5:$F$2736,$F709))</f>
        <v/>
      </c>
      <c r="J709" s="12" t="str">
        <f aca="false">IF(INDEX(選手一覧!$G$5:$G$2736,$F709)="","",INDEX(選手一覧!$G$5:$G$2736,$F709))</f>
        <v/>
      </c>
    </row>
    <row r="710" customFormat="false" ht="15" hidden="false" customHeight="false" outlineLevel="0" collapsed="false">
      <c r="A710" s="12" t="n">
        <v>707</v>
      </c>
      <c r="B710" s="8" t="s">
        <v>2821</v>
      </c>
      <c r="C710" s="8" t="s">
        <v>1839</v>
      </c>
      <c r="D710" s="11" t="n">
        <v>0.00287106481481482</v>
      </c>
      <c r="E710" s="39" t="n">
        <f aca="false">ROUND((D710-$D$5)*86400,2)</f>
        <v>23.03</v>
      </c>
      <c r="F710" s="12" t="n">
        <v>1813</v>
      </c>
      <c r="G710" s="11" t="str">
        <f aca="false">IF(INDEX(選手一覧!$D$5:$D$2736,$F710)="","",INDEX(選手一覧!$D$5:$D$2736,$F710))</f>
        <v/>
      </c>
      <c r="H710" s="12" t="str">
        <f aca="false">IF(INDEX(選手一覧!$E$5:$E$2736,$F710)="","",INDEX(選手一覧!$E$5:$E$2736,$F710))</f>
        <v/>
      </c>
      <c r="I710" s="11" t="str">
        <f aca="false">IF(INDEX(選手一覧!$F$5:$F$2736,$F710)="","",INDEX(選手一覧!$F$5:$F$2736,$F710))</f>
        <v/>
      </c>
      <c r="J710" s="12" t="str">
        <f aca="false">IF(INDEX(選手一覧!$G$5:$G$2736,$F710)="","",INDEX(選手一覧!$G$5:$G$2736,$F710))</f>
        <v/>
      </c>
    </row>
    <row r="711" customFormat="false" ht="15" hidden="false" customHeight="false" outlineLevel="0" collapsed="false">
      <c r="A711" s="12" t="n">
        <v>708</v>
      </c>
      <c r="B711" s="8" t="s">
        <v>2823</v>
      </c>
      <c r="C711" s="8" t="s">
        <v>450</v>
      </c>
      <c r="D711" s="11" t="n">
        <v>0.00287118055555556</v>
      </c>
      <c r="E711" s="39" t="n">
        <f aca="false">ROUND((D711-$D$5)*86400,2)</f>
        <v>23.04</v>
      </c>
      <c r="F711" s="12" t="n">
        <v>1815</v>
      </c>
      <c r="G711" s="11" t="str">
        <f aca="false">IF(INDEX(選手一覧!$D$5:$D$2736,$F711)="","",INDEX(選手一覧!$D$5:$D$2736,$F711))</f>
        <v/>
      </c>
      <c r="H711" s="12" t="str">
        <f aca="false">IF(INDEX(選手一覧!$E$5:$E$2736,$F711)="","",INDEX(選手一覧!$E$5:$E$2736,$F711))</f>
        <v/>
      </c>
      <c r="I711" s="11" t="str">
        <f aca="false">IF(INDEX(選手一覧!$F$5:$F$2736,$F711)="","",INDEX(選手一覧!$F$5:$F$2736,$F711))</f>
        <v/>
      </c>
      <c r="J711" s="12" t="str">
        <f aca="false">IF(INDEX(選手一覧!$G$5:$G$2736,$F711)="","",INDEX(選手一覧!$G$5:$G$2736,$F711))</f>
        <v/>
      </c>
    </row>
    <row r="712" customFormat="false" ht="15" hidden="false" customHeight="false" outlineLevel="0" collapsed="false">
      <c r="A712" s="12" t="n">
        <v>709</v>
      </c>
      <c r="B712" s="8" t="s">
        <v>346</v>
      </c>
      <c r="C712" s="8" t="s">
        <v>18</v>
      </c>
      <c r="D712" s="11" t="n">
        <v>0.0028712962962963</v>
      </c>
      <c r="E712" s="39" t="n">
        <f aca="false">ROUND((D712-$D$5)*86400,2)</f>
        <v>23.05</v>
      </c>
      <c r="F712" s="12" t="n">
        <v>170</v>
      </c>
      <c r="G712" s="11" t="n">
        <f aca="false">IF(INDEX(選手一覧!$D$5:$D$2736,$F712)="","",INDEX(選手一覧!$D$5:$D$2736,$F712))</f>
        <v>0.0103173611111111</v>
      </c>
      <c r="H712" s="12" t="n">
        <f aca="false">IF(INDEX(選手一覧!$E$5:$E$2736,$F712)="","",INDEX(選手一覧!$E$5:$E$2736,$F712))</f>
        <v>171</v>
      </c>
      <c r="I712" s="11" t="str">
        <f aca="false">IF(INDEX(選手一覧!$F$5:$F$2736,$F712)="","",INDEX(選手一覧!$F$5:$F$2736,$F712))</f>
        <v/>
      </c>
      <c r="J712" s="12" t="str">
        <f aca="false">IF(INDEX(選手一覧!$G$5:$G$2736,$F712)="","",INDEX(選手一覧!$G$5:$G$2736,$F712))</f>
        <v/>
      </c>
    </row>
    <row r="713" customFormat="false" ht="15" hidden="false" customHeight="false" outlineLevel="0" collapsed="false">
      <c r="A713" s="12" t="n">
        <v>710</v>
      </c>
      <c r="B713" s="8" t="s">
        <v>2828</v>
      </c>
      <c r="C713" s="8" t="s">
        <v>34</v>
      </c>
      <c r="D713" s="11" t="n">
        <v>0.00287141203703704</v>
      </c>
      <c r="E713" s="39" t="n">
        <f aca="false">ROUND((D713-$D$5)*86400,2)</f>
        <v>23.06</v>
      </c>
      <c r="F713" s="12" t="n">
        <v>1818</v>
      </c>
      <c r="G713" s="11" t="str">
        <f aca="false">IF(INDEX(選手一覧!$D$5:$D$2736,$F713)="","",INDEX(選手一覧!$D$5:$D$2736,$F713))</f>
        <v/>
      </c>
      <c r="H713" s="12" t="str">
        <f aca="false">IF(INDEX(選手一覧!$E$5:$E$2736,$F713)="","",INDEX(選手一覧!$E$5:$E$2736,$F713))</f>
        <v/>
      </c>
      <c r="I713" s="11" t="str">
        <f aca="false">IF(INDEX(選手一覧!$F$5:$F$2736,$F713)="","",INDEX(選手一覧!$F$5:$F$2736,$F713))</f>
        <v/>
      </c>
      <c r="J713" s="12" t="str">
        <f aca="false">IF(INDEX(選手一覧!$G$5:$G$2736,$F713)="","",INDEX(選手一覧!$G$5:$G$2736,$F713))</f>
        <v/>
      </c>
    </row>
    <row r="714" customFormat="false" ht="15" hidden="false" customHeight="false" outlineLevel="0" collapsed="false">
      <c r="A714" s="12" t="n">
        <v>711</v>
      </c>
      <c r="B714" s="8" t="s">
        <v>1452</v>
      </c>
      <c r="C714" s="8" t="s">
        <v>788</v>
      </c>
      <c r="D714" s="11" t="n">
        <v>0.00287141203703704</v>
      </c>
      <c r="E714" s="39" t="n">
        <f aca="false">ROUND((D714-$D$5)*86400,2)</f>
        <v>23.06</v>
      </c>
      <c r="F714" s="12" t="n">
        <v>884</v>
      </c>
      <c r="G714" s="11" t="n">
        <f aca="false">IF(INDEX(選手一覧!$D$5:$D$2736,$F714)="","",INDEX(選手一覧!$D$5:$D$2736,$F714))</f>
        <v>0.0108788194444444</v>
      </c>
      <c r="H714" s="12" t="n">
        <f aca="false">IF(INDEX(選手一覧!$E$5:$E$2736,$F714)="","",INDEX(選手一覧!$E$5:$E$2736,$F714))</f>
        <v>885</v>
      </c>
      <c r="I714" s="11" t="str">
        <f aca="false">IF(INDEX(選手一覧!$F$5:$F$2736,$F714)="","",INDEX(選手一覧!$F$5:$F$2736,$F714))</f>
        <v/>
      </c>
      <c r="J714" s="12" t="str">
        <f aca="false">IF(INDEX(選手一覧!$G$5:$G$2736,$F714)="","",INDEX(選手一覧!$G$5:$G$2736,$F714))</f>
        <v/>
      </c>
    </row>
    <row r="715" customFormat="false" ht="15" hidden="false" customHeight="false" outlineLevel="0" collapsed="false">
      <c r="A715" s="12" t="n">
        <v>712</v>
      </c>
      <c r="B715" s="8" t="s">
        <v>1430</v>
      </c>
      <c r="C715" s="8" t="s">
        <v>290</v>
      </c>
      <c r="D715" s="11" t="n">
        <v>0.00287152777777778</v>
      </c>
      <c r="E715" s="39" t="n">
        <f aca="false">ROUND((D715-$D$5)*86400,2)</f>
        <v>23.07</v>
      </c>
      <c r="F715" s="12" t="n">
        <v>870</v>
      </c>
      <c r="G715" s="11" t="n">
        <f aca="false">IF(INDEX(選手一覧!$D$5:$D$2736,$F715)="","",INDEX(選手一覧!$D$5:$D$2736,$F715))</f>
        <v>0.0108703703703704</v>
      </c>
      <c r="H715" s="12" t="n">
        <f aca="false">IF(INDEX(選手一覧!$E$5:$E$2736,$F715)="","",INDEX(選手一覧!$E$5:$E$2736,$F715))</f>
        <v>871</v>
      </c>
      <c r="I715" s="11" t="str">
        <f aca="false">IF(INDEX(選手一覧!$F$5:$F$2736,$F715)="","",INDEX(選手一覧!$F$5:$F$2736,$F715))</f>
        <v/>
      </c>
      <c r="J715" s="12" t="str">
        <f aca="false">IF(INDEX(選手一覧!$G$5:$G$2736,$F715)="","",INDEX(選手一覧!$G$5:$G$2736,$F715))</f>
        <v/>
      </c>
    </row>
    <row r="716" customFormat="false" ht="15" hidden="false" customHeight="false" outlineLevel="0" collapsed="false">
      <c r="A716" s="12" t="n">
        <v>713</v>
      </c>
      <c r="B716" s="8" t="s">
        <v>1434</v>
      </c>
      <c r="C716" s="8" t="s">
        <v>1341</v>
      </c>
      <c r="D716" s="11" t="n">
        <v>0.00287164351851852</v>
      </c>
      <c r="E716" s="39" t="n">
        <f aca="false">ROUND((D716-$D$5)*86400,2)</f>
        <v>23.08</v>
      </c>
      <c r="F716" s="12" t="n">
        <v>873</v>
      </c>
      <c r="G716" s="11" t="n">
        <f aca="false">IF(INDEX(選手一覧!$D$5:$D$2736,$F716)="","",INDEX(選手一覧!$D$5:$D$2736,$F716))</f>
        <v>0.0108729166666667</v>
      </c>
      <c r="H716" s="12" t="n">
        <f aca="false">IF(INDEX(選手一覧!$E$5:$E$2736,$F716)="","",INDEX(選手一覧!$E$5:$E$2736,$F716))</f>
        <v>874</v>
      </c>
      <c r="I716" s="11" t="str">
        <f aca="false">IF(INDEX(選手一覧!$F$5:$F$2736,$F716)="","",INDEX(選手一覧!$F$5:$F$2736,$F716))</f>
        <v/>
      </c>
      <c r="J716" s="12" t="str">
        <f aca="false">IF(INDEX(選手一覧!$G$5:$G$2736,$F716)="","",INDEX(選手一覧!$G$5:$G$2736,$F716))</f>
        <v/>
      </c>
    </row>
    <row r="717" customFormat="false" ht="15" hidden="false" customHeight="false" outlineLevel="0" collapsed="false">
      <c r="A717" s="12" t="n">
        <v>714</v>
      </c>
      <c r="B717" s="8" t="s">
        <v>2834</v>
      </c>
      <c r="C717" s="8" t="s">
        <v>1413</v>
      </c>
      <c r="D717" s="11" t="n">
        <v>0.00287164351851852</v>
      </c>
      <c r="E717" s="39" t="n">
        <f aca="false">ROUND((D717-$D$5)*86400,2)</f>
        <v>23.08</v>
      </c>
      <c r="F717" s="12" t="n">
        <v>1822</v>
      </c>
      <c r="G717" s="11" t="str">
        <f aca="false">IF(INDEX(選手一覧!$D$5:$D$2736,$F717)="","",INDEX(選手一覧!$D$5:$D$2736,$F717))</f>
        <v/>
      </c>
      <c r="H717" s="12" t="str">
        <f aca="false">IF(INDEX(選手一覧!$E$5:$E$2736,$F717)="","",INDEX(選手一覧!$E$5:$E$2736,$F717))</f>
        <v/>
      </c>
      <c r="I717" s="11" t="str">
        <f aca="false">IF(INDEX(選手一覧!$F$5:$F$2736,$F717)="","",INDEX(選手一覧!$F$5:$F$2736,$F717))</f>
        <v/>
      </c>
      <c r="J717" s="12" t="str">
        <f aca="false">IF(INDEX(選手一覧!$G$5:$G$2736,$F717)="","",INDEX(選手一覧!$G$5:$G$2736,$F717))</f>
        <v/>
      </c>
    </row>
    <row r="718" customFormat="false" ht="15" hidden="false" customHeight="false" outlineLevel="0" collapsed="false">
      <c r="A718" s="12" t="n">
        <v>715</v>
      </c>
      <c r="B718" s="8" t="s">
        <v>678</v>
      </c>
      <c r="C718" s="8" t="s">
        <v>679</v>
      </c>
      <c r="D718" s="11" t="n">
        <v>0.00287175925925926</v>
      </c>
      <c r="E718" s="39" t="n">
        <f aca="false">ROUND((D718-$D$5)*86400,2)</f>
        <v>23.09</v>
      </c>
      <c r="F718" s="12" t="n">
        <v>377</v>
      </c>
      <c r="G718" s="11" t="n">
        <f aca="false">IF(INDEX(選手一覧!$D$5:$D$2736,$F718)="","",INDEX(選手一覧!$D$5:$D$2736,$F718))</f>
        <v>0.0105351851851852</v>
      </c>
      <c r="H718" s="12" t="n">
        <f aca="false">IF(INDEX(選手一覧!$E$5:$E$2736,$F718)="","",INDEX(選手一覧!$E$5:$E$2736,$F718))</f>
        <v>378</v>
      </c>
      <c r="I718" s="11" t="str">
        <f aca="false">IF(INDEX(選手一覧!$F$5:$F$2736,$F718)="","",INDEX(選手一覧!$F$5:$F$2736,$F718))</f>
        <v/>
      </c>
      <c r="J718" s="12" t="str">
        <f aca="false">IF(INDEX(選手一覧!$G$5:$G$2736,$F718)="","",INDEX(選手一覧!$G$5:$G$2736,$F718))</f>
        <v/>
      </c>
    </row>
    <row r="719" customFormat="false" ht="15" hidden="false" customHeight="false" outlineLevel="0" collapsed="false">
      <c r="A719" s="12" t="n">
        <v>716</v>
      </c>
      <c r="B719" s="8" t="s">
        <v>2006</v>
      </c>
      <c r="C719" s="8" t="s">
        <v>1104</v>
      </c>
      <c r="D719" s="11" t="n">
        <v>0.002871875</v>
      </c>
      <c r="E719" s="39" t="n">
        <f aca="false">ROUND((D719-$D$5)*86400,2)</f>
        <v>23.1</v>
      </c>
      <c r="F719" s="12" t="n">
        <v>1269</v>
      </c>
      <c r="G719" s="11" t="n">
        <f aca="false">IF(INDEX(選手一覧!$D$5:$D$2736,$F719)="","",INDEX(選手一覧!$D$5:$D$2736,$F719))</f>
        <v>0.0110993055555556</v>
      </c>
      <c r="H719" s="12" t="n">
        <f aca="false">IF(INDEX(選手一覧!$E$5:$E$2736,$F719)="","",INDEX(選手一覧!$E$5:$E$2736,$F719))</f>
        <v>1270</v>
      </c>
      <c r="I719" s="11" t="str">
        <f aca="false">IF(INDEX(選手一覧!$F$5:$F$2736,$F719)="","",INDEX(選手一覧!$F$5:$F$2736,$F719))</f>
        <v/>
      </c>
      <c r="J719" s="12" t="str">
        <f aca="false">IF(INDEX(選手一覧!$G$5:$G$2736,$F719)="","",INDEX(選手一覧!$G$5:$G$2736,$F719))</f>
        <v/>
      </c>
    </row>
    <row r="720" customFormat="false" ht="15" hidden="false" customHeight="false" outlineLevel="0" collapsed="false">
      <c r="A720" s="12" t="n">
        <v>717</v>
      </c>
      <c r="B720" s="8" t="s">
        <v>992</v>
      </c>
      <c r="C720" s="8" t="s">
        <v>508</v>
      </c>
      <c r="D720" s="11" t="n">
        <v>0.00287222222222222</v>
      </c>
      <c r="E720" s="39" t="n">
        <f aca="false">ROUND((D720-$D$5)*86400,2)</f>
        <v>23.13</v>
      </c>
      <c r="F720" s="12" t="n">
        <v>576</v>
      </c>
      <c r="G720" s="11" t="n">
        <f aca="false">IF(INDEX(選手一覧!$D$5:$D$2736,$F720)="","",INDEX(選手一覧!$D$5:$D$2736,$F720))</f>
        <v>0.0106961805555556</v>
      </c>
      <c r="H720" s="12" t="n">
        <f aca="false">IF(INDEX(選手一覧!$E$5:$E$2736,$F720)="","",INDEX(選手一覧!$E$5:$E$2736,$F720))</f>
        <v>577</v>
      </c>
      <c r="I720" s="11" t="str">
        <f aca="false">IF(INDEX(選手一覧!$F$5:$F$2736,$F720)="","",INDEX(選手一覧!$F$5:$F$2736,$F720))</f>
        <v/>
      </c>
      <c r="J720" s="12" t="str">
        <f aca="false">IF(INDEX(選手一覧!$G$5:$G$2736,$F720)="","",INDEX(選手一覧!$G$5:$G$2736,$F720))</f>
        <v/>
      </c>
    </row>
    <row r="721" customFormat="false" ht="15" hidden="false" customHeight="false" outlineLevel="0" collapsed="false">
      <c r="A721" s="12" t="n">
        <v>718</v>
      </c>
      <c r="B721" s="8" t="s">
        <v>142</v>
      </c>
      <c r="C721" s="8" t="s">
        <v>143</v>
      </c>
      <c r="D721" s="11" t="n">
        <v>0.0028724537037037</v>
      </c>
      <c r="E721" s="39" t="n">
        <f aca="false">ROUND((D721-$D$5)*86400,2)</f>
        <v>23.15</v>
      </c>
      <c r="F721" s="12" t="n">
        <v>63</v>
      </c>
      <c r="G721" s="11" t="n">
        <f aca="false">IF(INDEX(選手一覧!$D$5:$D$2736,$F721)="","",INDEX(選手一覧!$D$5:$D$2736,$F721))</f>
        <v>0.0101362268518519</v>
      </c>
      <c r="H721" s="12" t="n">
        <f aca="false">IF(INDEX(選手一覧!$E$5:$E$2736,$F721)="","",INDEX(選手一覧!$E$5:$E$2736,$F721))</f>
        <v>64</v>
      </c>
      <c r="I721" s="11" t="n">
        <f aca="false">IF(INDEX(選手一覧!$F$5:$F$2736,$F721)="","",INDEX(選手一覧!$F$5:$F$2736,$F721))</f>
        <v>0.00668483796296296</v>
      </c>
      <c r="J721" s="12" t="n">
        <f aca="false">IF(INDEX(選手一覧!$G$5:$G$2736,$F721)="","",INDEX(選手一覧!$G$5:$G$2736,$F721))</f>
        <v>102</v>
      </c>
    </row>
    <row r="722" customFormat="false" ht="15" hidden="false" customHeight="false" outlineLevel="0" collapsed="false">
      <c r="A722" s="12" t="n">
        <v>719</v>
      </c>
      <c r="B722" s="8" t="s">
        <v>711</v>
      </c>
      <c r="C722" s="8" t="s">
        <v>221</v>
      </c>
      <c r="D722" s="11" t="n">
        <v>0.00287256944444445</v>
      </c>
      <c r="E722" s="39" t="n">
        <f aca="false">ROUND((D722-$D$5)*86400,2)</f>
        <v>23.16</v>
      </c>
      <c r="F722" s="12" t="n">
        <v>398</v>
      </c>
      <c r="G722" s="11" t="n">
        <f aca="false">IF(INDEX(選手一覧!$D$5:$D$2736,$F722)="","",INDEX(選手一覧!$D$5:$D$2736,$F722))</f>
        <v>0.0105503472222222</v>
      </c>
      <c r="H722" s="12" t="n">
        <f aca="false">IF(INDEX(選手一覧!$E$5:$E$2736,$F722)="","",INDEX(選手一覧!$E$5:$E$2736,$F722))</f>
        <v>399</v>
      </c>
      <c r="I722" s="11" t="n">
        <f aca="false">IF(INDEX(選手一覧!$F$5:$F$2736,$F722)="","",INDEX(選手一覧!$F$5:$F$2736,$F722))</f>
        <v>0.00646284722222222</v>
      </c>
      <c r="J722" s="12" t="n">
        <f aca="false">IF(INDEX(選手一覧!$G$5:$G$2736,$F722)="","",INDEX(選手一覧!$G$5:$G$2736,$F722))</f>
        <v>27</v>
      </c>
    </row>
    <row r="723" customFormat="false" ht="15" hidden="false" customHeight="false" outlineLevel="0" collapsed="false">
      <c r="A723" s="12" t="n">
        <v>720</v>
      </c>
      <c r="B723" s="8" t="s">
        <v>1810</v>
      </c>
      <c r="C723" s="8" t="s">
        <v>1811</v>
      </c>
      <c r="D723" s="11" t="n">
        <v>0.00287280092592593</v>
      </c>
      <c r="E723" s="39" t="n">
        <f aca="false">ROUND((D723-$D$5)*86400,2)</f>
        <v>23.18</v>
      </c>
      <c r="F723" s="12" t="n">
        <v>1126</v>
      </c>
      <c r="G723" s="11" t="n">
        <f aca="false">IF(INDEX(選手一覧!$D$5:$D$2736,$F723)="","",INDEX(選手一覧!$D$5:$D$2736,$F723))</f>
        <v>0.01101875</v>
      </c>
      <c r="H723" s="12" t="n">
        <f aca="false">IF(INDEX(選手一覧!$E$5:$E$2736,$F723)="","",INDEX(選手一覧!$E$5:$E$2736,$F723))</f>
        <v>1127</v>
      </c>
      <c r="I723" s="11" t="str">
        <f aca="false">IF(INDEX(選手一覧!$F$5:$F$2736,$F723)="","",INDEX(選手一覧!$F$5:$F$2736,$F723))</f>
        <v/>
      </c>
      <c r="J723" s="12" t="str">
        <f aca="false">IF(INDEX(選手一覧!$G$5:$G$2736,$F723)="","",INDEX(選手一覧!$G$5:$G$2736,$F723))</f>
        <v/>
      </c>
    </row>
    <row r="724" customFormat="false" ht="15" hidden="false" customHeight="false" outlineLevel="0" collapsed="false">
      <c r="A724" s="12" t="n">
        <v>721</v>
      </c>
      <c r="B724" s="8" t="s">
        <v>2163</v>
      </c>
      <c r="C724" s="8" t="s">
        <v>2164</v>
      </c>
      <c r="D724" s="11" t="n">
        <v>0.00287303240740741</v>
      </c>
      <c r="E724" s="39" t="n">
        <f aca="false">ROUND((D724-$D$5)*86400,2)</f>
        <v>23.2</v>
      </c>
      <c r="F724" s="12" t="n">
        <v>1381</v>
      </c>
      <c r="G724" s="11" t="str">
        <f aca="false">IF(INDEX(選手一覧!$D$5:$D$2736,$F724)="","",INDEX(選手一覧!$D$5:$D$2736,$F724))</f>
        <v/>
      </c>
      <c r="H724" s="12" t="str">
        <f aca="false">IF(INDEX(選手一覧!$E$5:$E$2736,$F724)="","",INDEX(選手一覧!$E$5:$E$2736,$F724))</f>
        <v/>
      </c>
      <c r="I724" s="11" t="n">
        <f aca="false">IF(INDEX(選手一覧!$F$5:$F$2736,$F724)="","",INDEX(選手一覧!$F$5:$F$2736,$F724))</f>
        <v>0.00690659722222222</v>
      </c>
      <c r="J724" s="12" t="n">
        <f aca="false">IF(INDEX(選手一覧!$G$5:$G$2736,$F724)="","",INDEX(選手一覧!$G$5:$G$2736,$F724))</f>
        <v>249</v>
      </c>
    </row>
    <row r="725" customFormat="false" ht="15" hidden="false" customHeight="false" outlineLevel="0" collapsed="false">
      <c r="A725" s="12" t="n">
        <v>722</v>
      </c>
      <c r="B725" s="8" t="s">
        <v>2845</v>
      </c>
      <c r="C725" s="8" t="s">
        <v>1503</v>
      </c>
      <c r="D725" s="11" t="n">
        <v>0.00287303240740741</v>
      </c>
      <c r="E725" s="39" t="n">
        <f aca="false">ROUND((D725-$D$5)*86400,2)</f>
        <v>23.2</v>
      </c>
      <c r="F725" s="12" t="n">
        <v>1829</v>
      </c>
      <c r="G725" s="11" t="str">
        <f aca="false">IF(INDEX(選手一覧!$D$5:$D$2736,$F725)="","",INDEX(選手一覧!$D$5:$D$2736,$F725))</f>
        <v/>
      </c>
      <c r="H725" s="12" t="str">
        <f aca="false">IF(INDEX(選手一覧!$E$5:$E$2736,$F725)="","",INDEX(選手一覧!$E$5:$E$2736,$F725))</f>
        <v/>
      </c>
      <c r="I725" s="11" t="str">
        <f aca="false">IF(INDEX(選手一覧!$F$5:$F$2736,$F725)="","",INDEX(選手一覧!$F$5:$F$2736,$F725))</f>
        <v/>
      </c>
      <c r="J725" s="12" t="str">
        <f aca="false">IF(INDEX(選手一覧!$G$5:$G$2736,$F725)="","",INDEX(選手一覧!$G$5:$G$2736,$F725))</f>
        <v/>
      </c>
    </row>
    <row r="726" customFormat="false" ht="15" hidden="false" customHeight="false" outlineLevel="0" collapsed="false">
      <c r="A726" s="12" t="n">
        <v>723</v>
      </c>
      <c r="B726" s="8" t="s">
        <v>2848</v>
      </c>
      <c r="C726" s="8" t="s">
        <v>375</v>
      </c>
      <c r="D726" s="11" t="n">
        <v>0.00287326388888889</v>
      </c>
      <c r="E726" s="39" t="n">
        <f aca="false">ROUND((D726-$D$5)*86400,2)</f>
        <v>23.22</v>
      </c>
      <c r="F726" s="12" t="n">
        <v>1831</v>
      </c>
      <c r="G726" s="11" t="str">
        <f aca="false">IF(INDEX(選手一覧!$D$5:$D$2736,$F726)="","",INDEX(選手一覧!$D$5:$D$2736,$F726))</f>
        <v/>
      </c>
      <c r="H726" s="12" t="str">
        <f aca="false">IF(INDEX(選手一覧!$E$5:$E$2736,$F726)="","",INDEX(選手一覧!$E$5:$E$2736,$F726))</f>
        <v/>
      </c>
      <c r="I726" s="11" t="str">
        <f aca="false">IF(INDEX(選手一覧!$F$5:$F$2736,$F726)="","",INDEX(選手一覧!$F$5:$F$2736,$F726))</f>
        <v/>
      </c>
      <c r="J726" s="12" t="str">
        <f aca="false">IF(INDEX(選手一覧!$G$5:$G$2736,$F726)="","",INDEX(選手一覧!$G$5:$G$2736,$F726))</f>
        <v/>
      </c>
    </row>
    <row r="727" customFormat="false" ht="15" hidden="false" customHeight="false" outlineLevel="0" collapsed="false">
      <c r="A727" s="12" t="n">
        <v>724</v>
      </c>
      <c r="B727" s="8" t="s">
        <v>1528</v>
      </c>
      <c r="C727" s="8" t="s">
        <v>186</v>
      </c>
      <c r="D727" s="11" t="n">
        <v>0.00287349537037037</v>
      </c>
      <c r="E727" s="39" t="n">
        <f aca="false">ROUND((D727-$D$5)*86400,2)</f>
        <v>23.24</v>
      </c>
      <c r="F727" s="12" t="n">
        <v>935</v>
      </c>
      <c r="G727" s="11" t="n">
        <f aca="false">IF(INDEX(選手一覧!$D$5:$D$2736,$F727)="","",INDEX(選手一覧!$D$5:$D$2736,$F727))</f>
        <v>0.0109087962962963</v>
      </c>
      <c r="H727" s="12" t="n">
        <f aca="false">IF(INDEX(選手一覧!$E$5:$E$2736,$F727)="","",INDEX(選手一覧!$E$5:$E$2736,$F727))</f>
        <v>936</v>
      </c>
      <c r="I727" s="11" t="str">
        <f aca="false">IF(INDEX(選手一覧!$F$5:$F$2736,$F727)="","",INDEX(選手一覧!$F$5:$F$2736,$F727))</f>
        <v/>
      </c>
      <c r="J727" s="12" t="str">
        <f aca="false">IF(INDEX(選手一覧!$G$5:$G$2736,$F727)="","",INDEX(選手一覧!$G$5:$G$2736,$F727))</f>
        <v/>
      </c>
    </row>
    <row r="728" customFormat="false" ht="15" hidden="false" customHeight="false" outlineLevel="0" collapsed="false">
      <c r="A728" s="12" t="n">
        <v>725</v>
      </c>
      <c r="B728" s="8" t="s">
        <v>2851</v>
      </c>
      <c r="C728" s="8" t="s">
        <v>2852</v>
      </c>
      <c r="D728" s="11" t="n">
        <v>0.00287372685185185</v>
      </c>
      <c r="E728" s="39" t="n">
        <f aca="false">ROUND((D728-$D$5)*86400,2)</f>
        <v>23.26</v>
      </c>
      <c r="F728" s="12" t="n">
        <v>1833</v>
      </c>
      <c r="G728" s="11" t="str">
        <f aca="false">IF(INDEX(選手一覧!$D$5:$D$2736,$F728)="","",INDEX(選手一覧!$D$5:$D$2736,$F728))</f>
        <v/>
      </c>
      <c r="H728" s="12" t="str">
        <f aca="false">IF(INDEX(選手一覧!$E$5:$E$2736,$F728)="","",INDEX(選手一覧!$E$5:$E$2736,$F728))</f>
        <v/>
      </c>
      <c r="I728" s="11" t="str">
        <f aca="false">IF(INDEX(選手一覧!$F$5:$F$2736,$F728)="","",INDEX(選手一覧!$F$5:$F$2736,$F728))</f>
        <v/>
      </c>
      <c r="J728" s="12" t="str">
        <f aca="false">IF(INDEX(選手一覧!$G$5:$G$2736,$F728)="","",INDEX(選手一覧!$G$5:$G$2736,$F728))</f>
        <v/>
      </c>
    </row>
    <row r="729" customFormat="false" ht="15" hidden="false" customHeight="false" outlineLevel="0" collapsed="false">
      <c r="A729" s="12" t="n">
        <v>726</v>
      </c>
      <c r="B729" s="8" t="s">
        <v>2854</v>
      </c>
      <c r="C729" s="8" t="s">
        <v>817</v>
      </c>
      <c r="D729" s="11" t="n">
        <v>0.00287384259259259</v>
      </c>
      <c r="E729" s="39" t="n">
        <f aca="false">ROUND((D729-$D$5)*86400,2)</f>
        <v>23.27</v>
      </c>
      <c r="F729" s="12" t="n">
        <v>1835</v>
      </c>
      <c r="G729" s="11" t="str">
        <f aca="false">IF(INDEX(選手一覧!$D$5:$D$2736,$F729)="","",INDEX(選手一覧!$D$5:$D$2736,$F729))</f>
        <v/>
      </c>
      <c r="H729" s="12" t="str">
        <f aca="false">IF(INDEX(選手一覧!$E$5:$E$2736,$F729)="","",INDEX(選手一覧!$E$5:$E$2736,$F729))</f>
        <v/>
      </c>
      <c r="I729" s="11" t="str">
        <f aca="false">IF(INDEX(選手一覧!$F$5:$F$2736,$F729)="","",INDEX(選手一覧!$F$5:$F$2736,$F729))</f>
        <v/>
      </c>
      <c r="J729" s="12" t="str">
        <f aca="false">IF(INDEX(選手一覧!$G$5:$G$2736,$F729)="","",INDEX(選手一覧!$G$5:$G$2736,$F729))</f>
        <v/>
      </c>
    </row>
    <row r="730" customFormat="false" ht="15" hidden="false" customHeight="false" outlineLevel="0" collapsed="false">
      <c r="A730" s="12" t="n">
        <v>727</v>
      </c>
      <c r="B730" s="8" t="s">
        <v>1594</v>
      </c>
      <c r="C730" s="8" t="s">
        <v>1595</v>
      </c>
      <c r="D730" s="11" t="n">
        <v>0.00287407407407407</v>
      </c>
      <c r="E730" s="39" t="n">
        <f aca="false">ROUND((D730-$D$5)*86400,2)</f>
        <v>23.29</v>
      </c>
      <c r="F730" s="12" t="n">
        <v>980</v>
      </c>
      <c r="G730" s="11" t="n">
        <f aca="false">IF(INDEX(選手一覧!$D$5:$D$2736,$F730)="","",INDEX(選手一覧!$D$5:$D$2736,$F730))</f>
        <v>0.0109394675925926</v>
      </c>
      <c r="H730" s="12" t="n">
        <f aca="false">IF(INDEX(選手一覧!$E$5:$E$2736,$F730)="","",INDEX(選手一覧!$E$5:$E$2736,$F730))</f>
        <v>981</v>
      </c>
      <c r="I730" s="11" t="n">
        <f aca="false">IF(INDEX(選手一覧!$F$5:$F$2736,$F730)="","",INDEX(選手一覧!$F$5:$F$2736,$F730))</f>
        <v>0.00730428240740741</v>
      </c>
      <c r="J730" s="12" t="n">
        <f aca="false">IF(INDEX(選手一覧!$G$5:$G$2736,$F730)="","",INDEX(選手一覧!$G$5:$G$2736,$F730))</f>
        <v>652</v>
      </c>
    </row>
    <row r="731" customFormat="false" ht="15" hidden="false" customHeight="false" outlineLevel="0" collapsed="false">
      <c r="A731" s="12" t="n">
        <v>728</v>
      </c>
      <c r="B731" s="8" t="s">
        <v>656</v>
      </c>
      <c r="C731" s="8" t="s">
        <v>138</v>
      </c>
      <c r="D731" s="11" t="n">
        <v>0.00287407407407407</v>
      </c>
      <c r="E731" s="39" t="n">
        <f aca="false">ROUND((D731-$D$5)*86400,2)</f>
        <v>23.29</v>
      </c>
      <c r="F731" s="12" t="n">
        <v>363</v>
      </c>
      <c r="G731" s="11" t="n">
        <f aca="false">IF(INDEX(選手一覧!$D$5:$D$2736,$F731)="","",INDEX(選手一覧!$D$5:$D$2736,$F731))</f>
        <v>0.0105216435185185</v>
      </c>
      <c r="H731" s="12" t="n">
        <f aca="false">IF(INDEX(選手一覧!$E$5:$E$2736,$F731)="","",INDEX(選手一覧!$E$5:$E$2736,$F731))</f>
        <v>364</v>
      </c>
      <c r="I731" s="11" t="n">
        <f aca="false">IF(INDEX(選手一覧!$F$5:$F$2736,$F731)="","",INDEX(選手一覧!$F$5:$F$2736,$F731))</f>
        <v>0.00690613425925926</v>
      </c>
      <c r="J731" s="12" t="n">
        <f aca="false">IF(INDEX(選手一覧!$G$5:$G$2736,$F731)="","",INDEX(選手一覧!$G$5:$G$2736,$F731))</f>
        <v>247</v>
      </c>
    </row>
    <row r="732" customFormat="false" ht="15" hidden="false" customHeight="false" outlineLevel="0" collapsed="false">
      <c r="A732" s="12" t="n">
        <v>729</v>
      </c>
      <c r="B732" s="8" t="s">
        <v>2860</v>
      </c>
      <c r="C732" s="8" t="s">
        <v>1159</v>
      </c>
      <c r="D732" s="11" t="n">
        <v>0.00287430555555556</v>
      </c>
      <c r="E732" s="39" t="n">
        <f aca="false">ROUND((D732-$D$5)*86400,2)</f>
        <v>23.31</v>
      </c>
      <c r="F732" s="12" t="n">
        <v>1839</v>
      </c>
      <c r="G732" s="11" t="str">
        <f aca="false">IF(INDEX(選手一覧!$D$5:$D$2736,$F732)="","",INDEX(選手一覧!$D$5:$D$2736,$F732))</f>
        <v/>
      </c>
      <c r="H732" s="12" t="str">
        <f aca="false">IF(INDEX(選手一覧!$E$5:$E$2736,$F732)="","",INDEX(選手一覧!$E$5:$E$2736,$F732))</f>
        <v/>
      </c>
      <c r="I732" s="11" t="str">
        <f aca="false">IF(INDEX(選手一覧!$F$5:$F$2736,$F732)="","",INDEX(選手一覧!$F$5:$F$2736,$F732))</f>
        <v/>
      </c>
      <c r="J732" s="12" t="str">
        <f aca="false">IF(INDEX(選手一覧!$G$5:$G$2736,$F732)="","",INDEX(選手一覧!$G$5:$G$2736,$F732))</f>
        <v/>
      </c>
    </row>
    <row r="733" customFormat="false" ht="15" hidden="false" customHeight="false" outlineLevel="0" collapsed="false">
      <c r="A733" s="12" t="n">
        <v>730</v>
      </c>
      <c r="B733" s="8" t="s">
        <v>2862</v>
      </c>
      <c r="C733" s="8" t="s">
        <v>2863</v>
      </c>
      <c r="D733" s="11" t="n">
        <v>0.00287453703703704</v>
      </c>
      <c r="E733" s="39" t="n">
        <f aca="false">ROUND((D733-$D$5)*86400,2)</f>
        <v>23.33</v>
      </c>
      <c r="F733" s="12" t="n">
        <v>1840</v>
      </c>
      <c r="G733" s="11" t="str">
        <f aca="false">IF(INDEX(選手一覧!$D$5:$D$2736,$F733)="","",INDEX(選手一覧!$D$5:$D$2736,$F733))</f>
        <v/>
      </c>
      <c r="H733" s="12" t="str">
        <f aca="false">IF(INDEX(選手一覧!$E$5:$E$2736,$F733)="","",INDEX(選手一覧!$E$5:$E$2736,$F733))</f>
        <v/>
      </c>
      <c r="I733" s="11" t="n">
        <f aca="false">IF(INDEX(選手一覧!$F$5:$F$2736,$F733)="","",INDEX(選手一覧!$F$5:$F$2736,$F733))</f>
        <v>0.00793425925925926</v>
      </c>
      <c r="J733" s="12" t="n">
        <f aca="false">IF(INDEX(選手一覧!$G$5:$G$2736,$F733)="","",INDEX(選手一覧!$G$5:$G$2736,$F733))</f>
        <v>1174</v>
      </c>
    </row>
    <row r="734" customFormat="false" ht="15" hidden="false" customHeight="false" outlineLevel="0" collapsed="false">
      <c r="A734" s="12" t="n">
        <v>731</v>
      </c>
      <c r="B734" s="8" t="s">
        <v>2868</v>
      </c>
      <c r="C734" s="8" t="s">
        <v>1942</v>
      </c>
      <c r="D734" s="11" t="n">
        <v>0.00287465277777778</v>
      </c>
      <c r="E734" s="39" t="n">
        <f aca="false">ROUND((D734-$D$5)*86400,2)</f>
        <v>23.34</v>
      </c>
      <c r="F734" s="12" t="n">
        <v>1843</v>
      </c>
      <c r="G734" s="11" t="str">
        <f aca="false">IF(INDEX(選手一覧!$D$5:$D$2736,$F734)="","",INDEX(選手一覧!$D$5:$D$2736,$F734))</f>
        <v/>
      </c>
      <c r="H734" s="12" t="str">
        <f aca="false">IF(INDEX(選手一覧!$E$5:$E$2736,$F734)="","",INDEX(選手一覧!$E$5:$E$2736,$F734))</f>
        <v/>
      </c>
      <c r="I734" s="11" t="str">
        <f aca="false">IF(INDEX(選手一覧!$F$5:$F$2736,$F734)="","",INDEX(選手一覧!$F$5:$F$2736,$F734))</f>
        <v/>
      </c>
      <c r="J734" s="12" t="str">
        <f aca="false">IF(INDEX(選手一覧!$G$5:$G$2736,$F734)="","",INDEX(選手一覧!$G$5:$G$2736,$F734))</f>
        <v/>
      </c>
    </row>
    <row r="735" customFormat="false" ht="15" hidden="false" customHeight="false" outlineLevel="0" collapsed="false">
      <c r="A735" s="12" t="n">
        <v>732</v>
      </c>
      <c r="B735" s="8" t="s">
        <v>2074</v>
      </c>
      <c r="C735" s="8" t="s">
        <v>946</v>
      </c>
      <c r="D735" s="11" t="n">
        <v>0.00287476851851852</v>
      </c>
      <c r="E735" s="39" t="n">
        <f aca="false">ROUND((D735-$D$5)*86400,2)</f>
        <v>23.35</v>
      </c>
      <c r="F735" s="12" t="n">
        <v>1320</v>
      </c>
      <c r="G735" s="11" t="str">
        <f aca="false">IF(INDEX(選手一覧!$D$5:$D$2736,$F735)="","",INDEX(選手一覧!$D$5:$D$2736,$F735))</f>
        <v/>
      </c>
      <c r="H735" s="12" t="str">
        <f aca="false">IF(INDEX(選手一覧!$E$5:$E$2736,$F735)="","",INDEX(選手一覧!$E$5:$E$2736,$F735))</f>
        <v/>
      </c>
      <c r="I735" s="11" t="n">
        <f aca="false">IF(INDEX(選手一覧!$F$5:$F$2736,$F735)="","",INDEX(選手一覧!$F$5:$F$2736,$F735))</f>
        <v>0.00677997685185185</v>
      </c>
      <c r="J735" s="12" t="n">
        <f aca="false">IF(INDEX(選手一覧!$G$5:$G$2736,$F735)="","",INDEX(選手一覧!$G$5:$G$2736,$F735))</f>
        <v>155</v>
      </c>
    </row>
    <row r="736" customFormat="false" ht="15" hidden="false" customHeight="false" outlineLevel="0" collapsed="false">
      <c r="A736" s="12" t="n">
        <v>733</v>
      </c>
      <c r="B736" s="8" t="s">
        <v>1398</v>
      </c>
      <c r="C736" s="8" t="s">
        <v>691</v>
      </c>
      <c r="D736" s="11" t="n">
        <v>0.00287476851851852</v>
      </c>
      <c r="E736" s="39" t="n">
        <f aca="false">ROUND((D736-$D$5)*86400,2)</f>
        <v>23.35</v>
      </c>
      <c r="F736" s="12" t="n">
        <v>851</v>
      </c>
      <c r="G736" s="11" t="n">
        <f aca="false">IF(INDEX(選手一覧!$D$5:$D$2736,$F736)="","",INDEX(選手一覧!$D$5:$D$2736,$F736))</f>
        <v>0.0108613425925926</v>
      </c>
      <c r="H736" s="12" t="n">
        <f aca="false">IF(INDEX(選手一覧!$E$5:$E$2736,$F736)="","",INDEX(選手一覧!$E$5:$E$2736,$F736))</f>
        <v>852</v>
      </c>
      <c r="I736" s="11" t="n">
        <f aca="false">IF(INDEX(選手一覧!$F$5:$F$2736,$F736)="","",INDEX(選手一覧!$F$5:$F$2736,$F736))</f>
        <v>0.00705833333333333</v>
      </c>
      <c r="J736" s="12" t="n">
        <f aca="false">IF(INDEX(選手一覧!$G$5:$G$2736,$F736)="","",INDEX(選手一覧!$G$5:$G$2736,$F736))</f>
        <v>399</v>
      </c>
    </row>
    <row r="737" customFormat="false" ht="15" hidden="false" customHeight="false" outlineLevel="0" collapsed="false">
      <c r="A737" s="12" t="n">
        <v>734</v>
      </c>
      <c r="B737" s="8" t="s">
        <v>619</v>
      </c>
      <c r="C737" s="8" t="s">
        <v>554</v>
      </c>
      <c r="D737" s="11" t="n">
        <v>0.00287488425925926</v>
      </c>
      <c r="E737" s="39" t="n">
        <f aca="false">ROUND((D737-$D$5)*86400,2)</f>
        <v>23.36</v>
      </c>
      <c r="F737" s="12" t="n">
        <v>338</v>
      </c>
      <c r="G737" s="11" t="n">
        <f aca="false">IF(INDEX(選手一覧!$D$5:$D$2736,$F737)="","",INDEX(選手一覧!$D$5:$D$2736,$F737))</f>
        <v>0.0104969907407407</v>
      </c>
      <c r="H737" s="12" t="n">
        <f aca="false">IF(INDEX(選手一覧!$E$5:$E$2736,$F737)="","",INDEX(選手一覧!$E$5:$E$2736,$F737))</f>
        <v>339</v>
      </c>
      <c r="I737" s="11" t="str">
        <f aca="false">IF(INDEX(選手一覧!$F$5:$F$2736,$F737)="","",INDEX(選手一覧!$F$5:$F$2736,$F737))</f>
        <v/>
      </c>
      <c r="J737" s="12" t="str">
        <f aca="false">IF(INDEX(選手一覧!$G$5:$G$2736,$F737)="","",INDEX(選手一覧!$G$5:$G$2736,$F737))</f>
        <v/>
      </c>
    </row>
    <row r="738" customFormat="false" ht="15" hidden="false" customHeight="false" outlineLevel="0" collapsed="false">
      <c r="A738" s="12" t="n">
        <v>735</v>
      </c>
      <c r="B738" s="8" t="s">
        <v>2873</v>
      </c>
      <c r="C738" s="8" t="s">
        <v>1205</v>
      </c>
      <c r="D738" s="11" t="n">
        <v>0.002875</v>
      </c>
      <c r="E738" s="39" t="n">
        <f aca="false">ROUND((D738-$D$5)*86400,2)</f>
        <v>23.37</v>
      </c>
      <c r="F738" s="12" t="n">
        <v>1848</v>
      </c>
      <c r="G738" s="11" t="str">
        <f aca="false">IF(INDEX(選手一覧!$D$5:$D$2736,$F738)="","",INDEX(選手一覧!$D$5:$D$2736,$F738))</f>
        <v/>
      </c>
      <c r="H738" s="12" t="str">
        <f aca="false">IF(INDEX(選手一覧!$E$5:$E$2736,$F738)="","",INDEX(選手一覧!$E$5:$E$2736,$F738))</f>
        <v/>
      </c>
      <c r="I738" s="11" t="str">
        <f aca="false">IF(INDEX(選手一覧!$F$5:$F$2736,$F738)="","",INDEX(選手一覧!$F$5:$F$2736,$F738))</f>
        <v/>
      </c>
      <c r="J738" s="12" t="str">
        <f aca="false">IF(INDEX(選手一覧!$G$5:$G$2736,$F738)="","",INDEX(選手一覧!$G$5:$G$2736,$F738))</f>
        <v/>
      </c>
    </row>
    <row r="739" customFormat="false" ht="15" hidden="false" customHeight="false" outlineLevel="0" collapsed="false">
      <c r="A739" s="12" t="n">
        <v>736</v>
      </c>
      <c r="B739" s="8" t="s">
        <v>2876</v>
      </c>
      <c r="C739" s="8" t="s">
        <v>1732</v>
      </c>
      <c r="D739" s="11" t="n">
        <v>0.00287523148148148</v>
      </c>
      <c r="E739" s="39" t="n">
        <f aca="false">ROUND((D739-$D$5)*86400,2)</f>
        <v>23.39</v>
      </c>
      <c r="F739" s="12" t="n">
        <v>1850</v>
      </c>
      <c r="G739" s="11" t="str">
        <f aca="false">IF(INDEX(選手一覧!$D$5:$D$2736,$F739)="","",INDEX(選手一覧!$D$5:$D$2736,$F739))</f>
        <v/>
      </c>
      <c r="H739" s="12" t="str">
        <f aca="false">IF(INDEX(選手一覧!$E$5:$E$2736,$F739)="","",INDEX(選手一覧!$E$5:$E$2736,$F739))</f>
        <v/>
      </c>
      <c r="I739" s="11" t="str">
        <f aca="false">IF(INDEX(選手一覧!$F$5:$F$2736,$F739)="","",INDEX(選手一覧!$F$5:$F$2736,$F739))</f>
        <v/>
      </c>
      <c r="J739" s="12" t="str">
        <f aca="false">IF(INDEX(選手一覧!$G$5:$G$2736,$F739)="","",INDEX(選手一覧!$G$5:$G$2736,$F739))</f>
        <v/>
      </c>
    </row>
    <row r="740" customFormat="false" ht="15" hidden="false" customHeight="false" outlineLevel="0" collapsed="false">
      <c r="A740" s="12" t="n">
        <v>737</v>
      </c>
      <c r="B740" s="8" t="s">
        <v>2877</v>
      </c>
      <c r="C740" s="8" t="s">
        <v>2878</v>
      </c>
      <c r="D740" s="11" t="n">
        <v>0.00287546296296296</v>
      </c>
      <c r="E740" s="39" t="n">
        <f aca="false">ROUND((D740-$D$5)*86400,2)</f>
        <v>23.41</v>
      </c>
      <c r="F740" s="12" t="n">
        <v>1851</v>
      </c>
      <c r="G740" s="11" t="str">
        <f aca="false">IF(INDEX(選手一覧!$D$5:$D$2736,$F740)="","",INDEX(選手一覧!$D$5:$D$2736,$F740))</f>
        <v/>
      </c>
      <c r="H740" s="12" t="str">
        <f aca="false">IF(INDEX(選手一覧!$E$5:$E$2736,$F740)="","",INDEX(選手一覧!$E$5:$E$2736,$F740))</f>
        <v/>
      </c>
      <c r="I740" s="11" t="str">
        <f aca="false">IF(INDEX(選手一覧!$F$5:$F$2736,$F740)="","",INDEX(選手一覧!$F$5:$F$2736,$F740))</f>
        <v/>
      </c>
      <c r="J740" s="12" t="str">
        <f aca="false">IF(INDEX(選手一覧!$G$5:$G$2736,$F740)="","",INDEX(選手一覧!$G$5:$G$2736,$F740))</f>
        <v/>
      </c>
    </row>
    <row r="741" customFormat="false" ht="15" hidden="false" customHeight="false" outlineLevel="0" collapsed="false">
      <c r="A741" s="12" t="n">
        <v>738</v>
      </c>
      <c r="B741" s="8" t="s">
        <v>859</v>
      </c>
      <c r="C741" s="8" t="s">
        <v>172</v>
      </c>
      <c r="D741" s="11" t="n">
        <v>0.00287581018518519</v>
      </c>
      <c r="E741" s="39" t="n">
        <f aca="false">ROUND((D741-$D$5)*86400,2)</f>
        <v>23.44</v>
      </c>
      <c r="F741" s="12" t="n">
        <v>493</v>
      </c>
      <c r="G741" s="11" t="n">
        <f aca="false">IF(INDEX(選手一覧!$D$5:$D$2736,$F741)="","",INDEX(選手一覧!$D$5:$D$2736,$F741))</f>
        <v>0.0106181712962963</v>
      </c>
      <c r="H741" s="12" t="n">
        <f aca="false">IF(INDEX(選手一覧!$E$5:$E$2736,$F741)="","",INDEX(選手一覧!$E$5:$E$2736,$F741))</f>
        <v>494</v>
      </c>
      <c r="I741" s="11" t="str">
        <f aca="false">IF(INDEX(選手一覧!$F$5:$F$2736,$F741)="","",INDEX(選手一覧!$F$5:$F$2736,$F741))</f>
        <v/>
      </c>
      <c r="J741" s="12" t="str">
        <f aca="false">IF(INDEX(選手一覧!$G$5:$G$2736,$F741)="","",INDEX(選手一覧!$G$5:$G$2736,$F741))</f>
        <v/>
      </c>
    </row>
    <row r="742" customFormat="false" ht="15" hidden="false" customHeight="false" outlineLevel="0" collapsed="false">
      <c r="A742" s="12" t="n">
        <v>739</v>
      </c>
      <c r="B742" s="8" t="s">
        <v>2881</v>
      </c>
      <c r="C742" s="8" t="s">
        <v>2882</v>
      </c>
      <c r="D742" s="11" t="n">
        <v>0.00287581018518519</v>
      </c>
      <c r="E742" s="39" t="n">
        <f aca="false">ROUND((D742-$D$5)*86400,2)</f>
        <v>23.44</v>
      </c>
      <c r="F742" s="12" t="n">
        <v>1854</v>
      </c>
      <c r="G742" s="11" t="str">
        <f aca="false">IF(INDEX(選手一覧!$D$5:$D$2736,$F742)="","",INDEX(選手一覧!$D$5:$D$2736,$F742))</f>
        <v/>
      </c>
      <c r="H742" s="12" t="str">
        <f aca="false">IF(INDEX(選手一覧!$E$5:$E$2736,$F742)="","",INDEX(選手一覧!$E$5:$E$2736,$F742))</f>
        <v/>
      </c>
      <c r="I742" s="11" t="str">
        <f aca="false">IF(INDEX(選手一覧!$F$5:$F$2736,$F742)="","",INDEX(選手一覧!$F$5:$F$2736,$F742))</f>
        <v/>
      </c>
      <c r="J742" s="12" t="str">
        <f aca="false">IF(INDEX(選手一覧!$G$5:$G$2736,$F742)="","",INDEX(選手一覧!$G$5:$G$2736,$F742))</f>
        <v/>
      </c>
    </row>
    <row r="743" customFormat="false" ht="15" hidden="false" customHeight="false" outlineLevel="0" collapsed="false">
      <c r="A743" s="12" t="n">
        <v>740</v>
      </c>
      <c r="B743" s="8" t="s">
        <v>2885</v>
      </c>
      <c r="C743" s="8" t="s">
        <v>2886</v>
      </c>
      <c r="D743" s="11" t="n">
        <v>0.00287592592592593</v>
      </c>
      <c r="E743" s="39" t="n">
        <f aca="false">ROUND((D743-$D$5)*86400,2)</f>
        <v>23.45</v>
      </c>
      <c r="F743" s="12" t="n">
        <v>1856</v>
      </c>
      <c r="G743" s="11" t="str">
        <f aca="false">IF(INDEX(選手一覧!$D$5:$D$2736,$F743)="","",INDEX(選手一覧!$D$5:$D$2736,$F743))</f>
        <v/>
      </c>
      <c r="H743" s="12" t="str">
        <f aca="false">IF(INDEX(選手一覧!$E$5:$E$2736,$F743)="","",INDEX(選手一覧!$E$5:$E$2736,$F743))</f>
        <v/>
      </c>
      <c r="I743" s="11" t="str">
        <f aca="false">IF(INDEX(選手一覧!$F$5:$F$2736,$F743)="","",INDEX(選手一覧!$F$5:$F$2736,$F743))</f>
        <v/>
      </c>
      <c r="J743" s="12" t="str">
        <f aca="false">IF(INDEX(選手一覧!$G$5:$G$2736,$F743)="","",INDEX(選手一覧!$G$5:$G$2736,$F743))</f>
        <v/>
      </c>
    </row>
    <row r="744" customFormat="false" ht="15" hidden="false" customHeight="false" outlineLevel="0" collapsed="false">
      <c r="A744" s="12" t="n">
        <v>741</v>
      </c>
      <c r="B744" s="8" t="s">
        <v>261</v>
      </c>
      <c r="C744" s="8" t="s">
        <v>262</v>
      </c>
      <c r="D744" s="11" t="n">
        <v>0.00287627314814815</v>
      </c>
      <c r="E744" s="39" t="n">
        <f aca="false">ROUND((D744-$D$5)*86400,2)</f>
        <v>23.48</v>
      </c>
      <c r="F744" s="12" t="n">
        <v>126</v>
      </c>
      <c r="G744" s="11" t="n">
        <f aca="false">IF(INDEX(選手一覧!$D$5:$D$2736,$F744)="","",INDEX(選手一覧!$D$5:$D$2736,$F744))</f>
        <v>0.0102467592592593</v>
      </c>
      <c r="H744" s="12" t="n">
        <f aca="false">IF(INDEX(選手一覧!$E$5:$E$2736,$F744)="","",INDEX(選手一覧!$E$5:$E$2736,$F744))</f>
        <v>127</v>
      </c>
      <c r="I744" s="11" t="str">
        <f aca="false">IF(INDEX(選手一覧!$F$5:$F$2736,$F744)="","",INDEX(選手一覧!$F$5:$F$2736,$F744))</f>
        <v/>
      </c>
      <c r="J744" s="12" t="str">
        <f aca="false">IF(INDEX(選手一覧!$G$5:$G$2736,$F744)="","",INDEX(選手一覧!$G$5:$G$2736,$F744))</f>
        <v/>
      </c>
    </row>
    <row r="745" customFormat="false" ht="15" hidden="false" customHeight="false" outlineLevel="0" collapsed="false">
      <c r="A745" s="12" t="n">
        <v>742</v>
      </c>
      <c r="B745" s="8" t="s">
        <v>2890</v>
      </c>
      <c r="C745" s="8" t="s">
        <v>2891</v>
      </c>
      <c r="D745" s="11" t="n">
        <v>0.00287638888888889</v>
      </c>
      <c r="E745" s="39" t="n">
        <f aca="false">ROUND((D745-$D$5)*86400,2)</f>
        <v>23.49</v>
      </c>
      <c r="F745" s="12" t="n">
        <v>1859</v>
      </c>
      <c r="G745" s="11" t="str">
        <f aca="false">IF(INDEX(選手一覧!$D$5:$D$2736,$F745)="","",INDEX(選手一覧!$D$5:$D$2736,$F745))</f>
        <v/>
      </c>
      <c r="H745" s="12" t="str">
        <f aca="false">IF(INDEX(選手一覧!$E$5:$E$2736,$F745)="","",INDEX(選手一覧!$E$5:$E$2736,$F745))</f>
        <v/>
      </c>
      <c r="I745" s="11" t="str">
        <f aca="false">IF(INDEX(選手一覧!$F$5:$F$2736,$F745)="","",INDEX(選手一覧!$F$5:$F$2736,$F745))</f>
        <v/>
      </c>
      <c r="J745" s="12" t="str">
        <f aca="false">IF(INDEX(選手一覧!$G$5:$G$2736,$F745)="","",INDEX(選手一覧!$G$5:$G$2736,$F745))</f>
        <v/>
      </c>
    </row>
    <row r="746" customFormat="false" ht="15" hidden="false" customHeight="false" outlineLevel="0" collapsed="false">
      <c r="A746" s="12" t="n">
        <v>743</v>
      </c>
      <c r="B746" s="8" t="s">
        <v>524</v>
      </c>
      <c r="C746" s="8" t="s">
        <v>525</v>
      </c>
      <c r="D746" s="11" t="n">
        <v>0.00287662037037037</v>
      </c>
      <c r="E746" s="39" t="n">
        <f aca="false">ROUND((D746-$D$5)*86400,2)</f>
        <v>23.51</v>
      </c>
      <c r="F746" s="12" t="n">
        <v>280</v>
      </c>
      <c r="G746" s="11" t="n">
        <f aca="false">IF(INDEX(選手一覧!$D$5:$D$2736,$F746)="","",INDEX(選手一覧!$D$5:$D$2736,$F746))</f>
        <v>0.0104148148148148</v>
      </c>
      <c r="H746" s="12" t="n">
        <f aca="false">IF(INDEX(選手一覧!$E$5:$E$2736,$F746)="","",INDEX(選手一覧!$E$5:$E$2736,$F746))</f>
        <v>281</v>
      </c>
      <c r="I746" s="11" t="n">
        <f aca="false">IF(INDEX(選手一覧!$F$5:$F$2736,$F746)="","",INDEX(選手一覧!$F$5:$F$2736,$F746))</f>
        <v>0.00688854166666667</v>
      </c>
      <c r="J746" s="12" t="n">
        <f aca="false">IF(INDEX(選手一覧!$G$5:$G$2736,$F746)="","",INDEX(選手一覧!$G$5:$G$2736,$F746))</f>
        <v>230</v>
      </c>
    </row>
    <row r="747" customFormat="false" ht="15" hidden="false" customHeight="false" outlineLevel="0" collapsed="false">
      <c r="A747" s="12" t="n">
        <v>744</v>
      </c>
      <c r="B747" s="8" t="s">
        <v>2894</v>
      </c>
      <c r="C747" s="8" t="s">
        <v>2895</v>
      </c>
      <c r="D747" s="11" t="n">
        <v>0.00287673611111111</v>
      </c>
      <c r="E747" s="39" t="n">
        <f aca="false">ROUND((D747-$D$5)*86400,2)</f>
        <v>23.52</v>
      </c>
      <c r="F747" s="12" t="n">
        <v>1861</v>
      </c>
      <c r="G747" s="11" t="str">
        <f aca="false">IF(INDEX(選手一覧!$D$5:$D$2736,$F747)="","",INDEX(選手一覧!$D$5:$D$2736,$F747))</f>
        <v/>
      </c>
      <c r="H747" s="12" t="str">
        <f aca="false">IF(INDEX(選手一覧!$E$5:$E$2736,$F747)="","",INDEX(選手一覧!$E$5:$E$2736,$F747))</f>
        <v/>
      </c>
      <c r="I747" s="11" t="str">
        <f aca="false">IF(INDEX(選手一覧!$F$5:$F$2736,$F747)="","",INDEX(選手一覧!$F$5:$F$2736,$F747))</f>
        <v/>
      </c>
      <c r="J747" s="12" t="str">
        <f aca="false">IF(INDEX(選手一覧!$G$5:$G$2736,$F747)="","",INDEX(選手一覧!$G$5:$G$2736,$F747))</f>
        <v/>
      </c>
    </row>
    <row r="748" customFormat="false" ht="15" hidden="false" customHeight="false" outlineLevel="0" collapsed="false">
      <c r="A748" s="12" t="n">
        <v>745</v>
      </c>
      <c r="B748" s="8" t="s">
        <v>1024</v>
      </c>
      <c r="C748" s="8" t="s">
        <v>641</v>
      </c>
      <c r="D748" s="11" t="n">
        <v>0.00287673611111111</v>
      </c>
      <c r="E748" s="39" t="n">
        <f aca="false">ROUND((D748-$D$5)*86400,2)</f>
        <v>23.52</v>
      </c>
      <c r="F748" s="12" t="n">
        <v>597</v>
      </c>
      <c r="G748" s="11" t="n">
        <f aca="false">IF(INDEX(選手一覧!$D$5:$D$2736,$F748)="","",INDEX(選手一覧!$D$5:$D$2736,$F748))</f>
        <v>0.010708912037037</v>
      </c>
      <c r="H748" s="12" t="n">
        <f aca="false">IF(INDEX(選手一覧!$E$5:$E$2736,$F748)="","",INDEX(選手一覧!$E$5:$E$2736,$F748))</f>
        <v>598</v>
      </c>
      <c r="I748" s="11" t="str">
        <f aca="false">IF(INDEX(選手一覧!$F$5:$F$2736,$F748)="","",INDEX(選手一覧!$F$5:$F$2736,$F748))</f>
        <v/>
      </c>
      <c r="J748" s="12" t="str">
        <f aca="false">IF(INDEX(選手一覧!$G$5:$G$2736,$F748)="","",INDEX(選手一覧!$G$5:$G$2736,$F748))</f>
        <v/>
      </c>
    </row>
    <row r="749" customFormat="false" ht="15" hidden="false" customHeight="false" outlineLevel="0" collapsed="false">
      <c r="A749" s="12" t="n">
        <v>746</v>
      </c>
      <c r="B749" s="8" t="s">
        <v>1986</v>
      </c>
      <c r="C749" s="8" t="s">
        <v>188</v>
      </c>
      <c r="D749" s="11" t="n">
        <v>0.00287696759259259</v>
      </c>
      <c r="E749" s="39" t="n">
        <f aca="false">ROUND((D749-$D$5)*86400,2)</f>
        <v>23.54</v>
      </c>
      <c r="F749" s="12" t="n">
        <v>1251</v>
      </c>
      <c r="G749" s="11" t="n">
        <f aca="false">IF(INDEX(選手一覧!$D$5:$D$2736,$F749)="","",INDEX(選手一覧!$D$5:$D$2736,$F749))</f>
        <v>0.011080787037037</v>
      </c>
      <c r="H749" s="12" t="n">
        <f aca="false">IF(INDEX(選手一覧!$E$5:$E$2736,$F749)="","",INDEX(選手一覧!$E$5:$E$2736,$F749))</f>
        <v>1252</v>
      </c>
      <c r="I749" s="11" t="str">
        <f aca="false">IF(INDEX(選手一覧!$F$5:$F$2736,$F749)="","",INDEX(選手一覧!$F$5:$F$2736,$F749))</f>
        <v/>
      </c>
      <c r="J749" s="12" t="str">
        <f aca="false">IF(INDEX(選手一覧!$G$5:$G$2736,$F749)="","",INDEX(選手一覧!$G$5:$G$2736,$F749))</f>
        <v/>
      </c>
    </row>
    <row r="750" customFormat="false" ht="15" hidden="false" customHeight="false" outlineLevel="0" collapsed="false">
      <c r="A750" s="12" t="n">
        <v>747</v>
      </c>
      <c r="B750" s="8" t="s">
        <v>426</v>
      </c>
      <c r="C750" s="8" t="s">
        <v>427</v>
      </c>
      <c r="D750" s="11" t="n">
        <v>0.00287696759259259</v>
      </c>
      <c r="E750" s="39" t="n">
        <f aca="false">ROUND((D750-$D$5)*86400,2)</f>
        <v>23.54</v>
      </c>
      <c r="F750" s="12" t="n">
        <v>222</v>
      </c>
      <c r="G750" s="11" t="n">
        <f aca="false">IF(INDEX(選手一覧!$D$5:$D$2736,$F750)="","",INDEX(選手一覧!$D$5:$D$2736,$F750))</f>
        <v>0.0103679398148148</v>
      </c>
      <c r="H750" s="12" t="n">
        <f aca="false">IF(INDEX(選手一覧!$E$5:$E$2736,$F750)="","",INDEX(選手一覧!$E$5:$E$2736,$F750))</f>
        <v>223</v>
      </c>
      <c r="I750" s="11" t="str">
        <f aca="false">IF(INDEX(選手一覧!$F$5:$F$2736,$F750)="","",INDEX(選手一覧!$F$5:$F$2736,$F750))</f>
        <v/>
      </c>
      <c r="J750" s="12" t="str">
        <f aca="false">IF(INDEX(選手一覧!$G$5:$G$2736,$F750)="","",INDEX(選手一覧!$G$5:$G$2736,$F750))</f>
        <v/>
      </c>
    </row>
    <row r="751" customFormat="false" ht="15" hidden="false" customHeight="false" outlineLevel="0" collapsed="false">
      <c r="A751" s="12" t="n">
        <v>748</v>
      </c>
      <c r="B751" s="8" t="s">
        <v>2902</v>
      </c>
      <c r="C751" s="8" t="s">
        <v>2903</v>
      </c>
      <c r="D751" s="11" t="n">
        <v>0.00287708333333333</v>
      </c>
      <c r="E751" s="39" t="n">
        <f aca="false">ROUND((D751-$D$5)*86400,2)</f>
        <v>23.55</v>
      </c>
      <c r="F751" s="12" t="n">
        <v>1866</v>
      </c>
      <c r="G751" s="11" t="str">
        <f aca="false">IF(INDEX(選手一覧!$D$5:$D$2736,$F751)="","",INDEX(選手一覧!$D$5:$D$2736,$F751))</f>
        <v/>
      </c>
      <c r="H751" s="12" t="str">
        <f aca="false">IF(INDEX(選手一覧!$E$5:$E$2736,$F751)="","",INDEX(選手一覧!$E$5:$E$2736,$F751))</f>
        <v/>
      </c>
      <c r="I751" s="11" t="str">
        <f aca="false">IF(INDEX(選手一覧!$F$5:$F$2736,$F751)="","",INDEX(選手一覧!$F$5:$F$2736,$F751))</f>
        <v/>
      </c>
      <c r="J751" s="12" t="str">
        <f aca="false">IF(INDEX(選手一覧!$G$5:$G$2736,$F751)="","",INDEX(選手一覧!$G$5:$G$2736,$F751))</f>
        <v/>
      </c>
    </row>
    <row r="752" customFormat="false" ht="15" hidden="false" customHeight="false" outlineLevel="0" collapsed="false">
      <c r="A752" s="12" t="n">
        <v>749</v>
      </c>
      <c r="B752" s="8" t="s">
        <v>285</v>
      </c>
      <c r="C752" s="8" t="s">
        <v>221</v>
      </c>
      <c r="D752" s="11" t="n">
        <v>0.00287731481481482</v>
      </c>
      <c r="E752" s="39" t="n">
        <f aca="false">ROUND((D752-$D$5)*86400,2)</f>
        <v>23.57</v>
      </c>
      <c r="F752" s="12" t="n">
        <v>139</v>
      </c>
      <c r="G752" s="11" t="n">
        <f aca="false">IF(INDEX(選手一覧!$D$5:$D$2736,$F752)="","",INDEX(選手一覧!$D$5:$D$2736,$F752))</f>
        <v>0.0102734953703704</v>
      </c>
      <c r="H752" s="12" t="n">
        <f aca="false">IF(INDEX(選手一覧!$E$5:$E$2736,$F752)="","",INDEX(選手一覧!$E$5:$E$2736,$F752))</f>
        <v>140</v>
      </c>
      <c r="I752" s="11" t="str">
        <f aca="false">IF(INDEX(選手一覧!$F$5:$F$2736,$F752)="","",INDEX(選手一覧!$F$5:$F$2736,$F752))</f>
        <v/>
      </c>
      <c r="J752" s="12" t="str">
        <f aca="false">IF(INDEX(選手一覧!$G$5:$G$2736,$F752)="","",INDEX(選手一覧!$G$5:$G$2736,$F752))</f>
        <v/>
      </c>
    </row>
    <row r="753" customFormat="false" ht="15" hidden="false" customHeight="false" outlineLevel="0" collapsed="false">
      <c r="A753" s="12" t="n">
        <v>750</v>
      </c>
      <c r="B753" s="8" t="s">
        <v>2907</v>
      </c>
      <c r="C753" s="8" t="s">
        <v>2908</v>
      </c>
      <c r="D753" s="11" t="n">
        <v>0.00287777777777778</v>
      </c>
      <c r="E753" s="39" t="n">
        <f aca="false">ROUND((D753-$D$5)*86400,2)</f>
        <v>23.61</v>
      </c>
      <c r="F753" s="12" t="n">
        <v>1869</v>
      </c>
      <c r="G753" s="11" t="str">
        <f aca="false">IF(INDEX(選手一覧!$D$5:$D$2736,$F753)="","",INDEX(選手一覧!$D$5:$D$2736,$F753))</f>
        <v/>
      </c>
      <c r="H753" s="12" t="str">
        <f aca="false">IF(INDEX(選手一覧!$E$5:$E$2736,$F753)="","",INDEX(選手一覧!$E$5:$E$2736,$F753))</f>
        <v/>
      </c>
      <c r="I753" s="11" t="str">
        <f aca="false">IF(INDEX(選手一覧!$F$5:$F$2736,$F753)="","",INDEX(選手一覧!$F$5:$F$2736,$F753))</f>
        <v/>
      </c>
      <c r="J753" s="12" t="str">
        <f aca="false">IF(INDEX(選手一覧!$G$5:$G$2736,$F753)="","",INDEX(選手一覧!$G$5:$G$2736,$F753))</f>
        <v/>
      </c>
    </row>
    <row r="754" customFormat="false" ht="15" hidden="false" customHeight="false" outlineLevel="0" collapsed="false">
      <c r="A754" s="12" t="n">
        <v>751</v>
      </c>
      <c r="B754" s="8" t="s">
        <v>1823</v>
      </c>
      <c r="C754" s="8" t="s">
        <v>866</v>
      </c>
      <c r="D754" s="11" t="n">
        <v>0.00287777777777778</v>
      </c>
      <c r="E754" s="39" t="n">
        <f aca="false">ROUND((D754-$D$5)*86400,2)</f>
        <v>23.61</v>
      </c>
      <c r="F754" s="12" t="n">
        <v>1135</v>
      </c>
      <c r="G754" s="11" t="n">
        <f aca="false">IF(INDEX(選手一覧!$D$5:$D$2736,$F754)="","",INDEX(選手一覧!$D$5:$D$2736,$F754))</f>
        <v>0.0110234953703704</v>
      </c>
      <c r="H754" s="12" t="n">
        <f aca="false">IF(INDEX(選手一覧!$E$5:$E$2736,$F754)="","",INDEX(選手一覧!$E$5:$E$2736,$F754))</f>
        <v>1136</v>
      </c>
      <c r="I754" s="11" t="str">
        <f aca="false">IF(INDEX(選手一覧!$F$5:$F$2736,$F754)="","",INDEX(選手一覧!$F$5:$F$2736,$F754))</f>
        <v/>
      </c>
      <c r="J754" s="12" t="str">
        <f aca="false">IF(INDEX(選手一覧!$G$5:$G$2736,$F754)="","",INDEX(選手一覧!$G$5:$G$2736,$F754))</f>
        <v/>
      </c>
    </row>
    <row r="755" customFormat="false" ht="15" hidden="false" customHeight="false" outlineLevel="0" collapsed="false">
      <c r="A755" s="12" t="n">
        <v>752</v>
      </c>
      <c r="B755" s="8" t="s">
        <v>2912</v>
      </c>
      <c r="C755" s="8" t="s">
        <v>2913</v>
      </c>
      <c r="D755" s="11" t="n">
        <v>0.00287789351851852</v>
      </c>
      <c r="E755" s="39" t="n">
        <f aca="false">ROUND((D755-$D$5)*86400,2)</f>
        <v>23.62</v>
      </c>
      <c r="F755" s="12" t="n">
        <v>1872</v>
      </c>
      <c r="G755" s="11" t="str">
        <f aca="false">IF(INDEX(選手一覧!$D$5:$D$2736,$F755)="","",INDEX(選手一覧!$D$5:$D$2736,$F755))</f>
        <v/>
      </c>
      <c r="H755" s="12" t="str">
        <f aca="false">IF(INDEX(選手一覧!$E$5:$E$2736,$F755)="","",INDEX(選手一覧!$E$5:$E$2736,$F755))</f>
        <v/>
      </c>
      <c r="I755" s="11" t="str">
        <f aca="false">IF(INDEX(選手一覧!$F$5:$F$2736,$F755)="","",INDEX(選手一覧!$F$5:$F$2736,$F755))</f>
        <v/>
      </c>
      <c r="J755" s="12" t="str">
        <f aca="false">IF(INDEX(選手一覧!$G$5:$G$2736,$F755)="","",INDEX(選手一覧!$G$5:$G$2736,$F755))</f>
        <v/>
      </c>
    </row>
    <row r="756" customFormat="false" ht="15" hidden="false" customHeight="false" outlineLevel="0" collapsed="false">
      <c r="A756" s="12" t="n">
        <v>753</v>
      </c>
      <c r="B756" s="8" t="s">
        <v>1164</v>
      </c>
      <c r="C756" s="8" t="s">
        <v>243</v>
      </c>
      <c r="D756" s="11" t="n">
        <v>0.00287800925925926</v>
      </c>
      <c r="E756" s="39" t="n">
        <f aca="false">ROUND((D756-$D$5)*86400,2)</f>
        <v>23.63</v>
      </c>
      <c r="F756" s="12" t="n">
        <v>694</v>
      </c>
      <c r="G756" s="11" t="n">
        <f aca="false">IF(INDEX(選手一覧!$D$5:$D$2736,$F756)="","",INDEX(選手一覧!$D$5:$D$2736,$F756))</f>
        <v>0.0107696759259259</v>
      </c>
      <c r="H756" s="12" t="n">
        <f aca="false">IF(INDEX(選手一覧!$E$5:$E$2736,$F756)="","",INDEX(選手一覧!$E$5:$E$2736,$F756))</f>
        <v>695</v>
      </c>
      <c r="I756" s="11" t="str">
        <f aca="false">IF(INDEX(選手一覧!$F$5:$F$2736,$F756)="","",INDEX(選手一覧!$F$5:$F$2736,$F756))</f>
        <v/>
      </c>
      <c r="J756" s="12" t="str">
        <f aca="false">IF(INDEX(選手一覧!$G$5:$G$2736,$F756)="","",INDEX(選手一覧!$G$5:$G$2736,$F756))</f>
        <v/>
      </c>
    </row>
    <row r="757" customFormat="false" ht="15" hidden="false" customHeight="false" outlineLevel="0" collapsed="false">
      <c r="A757" s="12" t="n">
        <v>754</v>
      </c>
      <c r="B757" s="8" t="s">
        <v>2918</v>
      </c>
      <c r="C757" s="8" t="s">
        <v>2919</v>
      </c>
      <c r="D757" s="11" t="n">
        <v>0.002878125</v>
      </c>
      <c r="E757" s="39" t="n">
        <f aca="false">ROUND((D757-$D$5)*86400,2)</f>
        <v>23.64</v>
      </c>
      <c r="F757" s="12" t="n">
        <v>1875</v>
      </c>
      <c r="G757" s="11" t="str">
        <f aca="false">IF(INDEX(選手一覧!$D$5:$D$2736,$F757)="","",INDEX(選手一覧!$D$5:$D$2736,$F757))</f>
        <v/>
      </c>
      <c r="H757" s="12" t="str">
        <f aca="false">IF(INDEX(選手一覧!$E$5:$E$2736,$F757)="","",INDEX(選手一覧!$E$5:$E$2736,$F757))</f>
        <v/>
      </c>
      <c r="I757" s="11" t="str">
        <f aca="false">IF(INDEX(選手一覧!$F$5:$F$2736,$F757)="","",INDEX(選手一覧!$F$5:$F$2736,$F757))</f>
        <v/>
      </c>
      <c r="J757" s="12" t="str">
        <f aca="false">IF(INDEX(選手一覧!$G$5:$G$2736,$F757)="","",INDEX(選手一覧!$G$5:$G$2736,$F757))</f>
        <v/>
      </c>
    </row>
    <row r="758" customFormat="false" ht="15" hidden="false" customHeight="false" outlineLevel="0" collapsed="false">
      <c r="A758" s="12" t="n">
        <v>755</v>
      </c>
      <c r="B758" s="8" t="s">
        <v>1549</v>
      </c>
      <c r="C758" s="8" t="s">
        <v>558</v>
      </c>
      <c r="D758" s="11" t="n">
        <v>0.00287835648148148</v>
      </c>
      <c r="E758" s="39" t="n">
        <f aca="false">ROUND((D758-$D$5)*86400,2)</f>
        <v>23.66</v>
      </c>
      <c r="F758" s="12" t="n">
        <v>951</v>
      </c>
      <c r="G758" s="11" t="n">
        <f aca="false">IF(INDEX(選手一覧!$D$5:$D$2736,$F758)="","",INDEX(選手一覧!$D$5:$D$2736,$F758))</f>
        <v>0.0109219907407407</v>
      </c>
      <c r="H758" s="12" t="n">
        <f aca="false">IF(INDEX(選手一覧!$E$5:$E$2736,$F758)="","",INDEX(選手一覧!$E$5:$E$2736,$F758))</f>
        <v>952</v>
      </c>
      <c r="I758" s="11" t="n">
        <f aca="false">IF(INDEX(選手一覧!$F$5:$F$2736,$F758)="","",INDEX(選手一覧!$F$5:$F$2736,$F758))</f>
        <v>0.00695462962962963</v>
      </c>
      <c r="J758" s="12" t="n">
        <f aca="false">IF(INDEX(選手一覧!$G$5:$G$2736,$F758)="","",INDEX(選手一覧!$G$5:$G$2736,$F758))</f>
        <v>288</v>
      </c>
    </row>
    <row r="759" customFormat="false" ht="15" hidden="false" customHeight="false" outlineLevel="0" collapsed="false">
      <c r="A759" s="12" t="n">
        <v>756</v>
      </c>
      <c r="B759" s="8" t="s">
        <v>1208</v>
      </c>
      <c r="C759" s="8" t="s">
        <v>1209</v>
      </c>
      <c r="D759" s="11" t="n">
        <v>0.00287835648148148</v>
      </c>
      <c r="E759" s="39" t="n">
        <f aca="false">ROUND((D759-$D$5)*86400,2)</f>
        <v>23.66</v>
      </c>
      <c r="F759" s="12" t="n">
        <v>723</v>
      </c>
      <c r="G759" s="11" t="n">
        <f aca="false">IF(INDEX(選手一覧!$D$5:$D$2736,$F759)="","",INDEX(選手一覧!$D$5:$D$2736,$F759))</f>
        <v>0.0107907407407407</v>
      </c>
      <c r="H759" s="12" t="n">
        <f aca="false">IF(INDEX(選手一覧!$E$5:$E$2736,$F759)="","",INDEX(選手一覧!$E$5:$E$2736,$F759))</f>
        <v>724</v>
      </c>
      <c r="I759" s="11" t="str">
        <f aca="false">IF(INDEX(選手一覧!$F$5:$F$2736,$F759)="","",INDEX(選手一覧!$F$5:$F$2736,$F759))</f>
        <v/>
      </c>
      <c r="J759" s="12" t="str">
        <f aca="false">IF(INDEX(選手一覧!$G$5:$G$2736,$F759)="","",INDEX(選手一覧!$G$5:$G$2736,$F759))</f>
        <v/>
      </c>
    </row>
    <row r="760" customFormat="false" ht="15" hidden="false" customHeight="false" outlineLevel="0" collapsed="false">
      <c r="A760" s="12" t="n">
        <v>757</v>
      </c>
      <c r="B760" s="8" t="s">
        <v>771</v>
      </c>
      <c r="C760" s="8" t="s">
        <v>772</v>
      </c>
      <c r="D760" s="11" t="n">
        <v>0.00287847222222222</v>
      </c>
      <c r="E760" s="39" t="n">
        <f aca="false">ROUND((D760-$D$5)*86400,2)</f>
        <v>23.67</v>
      </c>
      <c r="F760" s="12" t="n">
        <v>434</v>
      </c>
      <c r="G760" s="11" t="n">
        <f aca="false">IF(INDEX(選手一覧!$D$5:$D$2736,$F760)="","",INDEX(選手一覧!$D$5:$D$2736,$F760))</f>
        <v>0.0105814814814815</v>
      </c>
      <c r="H760" s="12" t="n">
        <f aca="false">IF(INDEX(選手一覧!$E$5:$E$2736,$F760)="","",INDEX(選手一覧!$E$5:$E$2736,$F760))</f>
        <v>435</v>
      </c>
      <c r="I760" s="11" t="str">
        <f aca="false">IF(INDEX(選手一覧!$F$5:$F$2736,$F760)="","",INDEX(選手一覧!$F$5:$F$2736,$F760))</f>
        <v/>
      </c>
      <c r="J760" s="12" t="str">
        <f aca="false">IF(INDEX(選手一覧!$G$5:$G$2736,$F760)="","",INDEX(選手一覧!$G$5:$G$2736,$F760))</f>
        <v/>
      </c>
    </row>
    <row r="761" customFormat="false" ht="15" hidden="false" customHeight="false" outlineLevel="0" collapsed="false">
      <c r="A761" s="12" t="n">
        <v>758</v>
      </c>
      <c r="B761" s="8" t="s">
        <v>2927</v>
      </c>
      <c r="C761" s="8" t="s">
        <v>2928</v>
      </c>
      <c r="D761" s="11" t="n">
        <v>0.00287847222222222</v>
      </c>
      <c r="E761" s="39" t="n">
        <f aca="false">ROUND((D761-$D$5)*86400,2)</f>
        <v>23.67</v>
      </c>
      <c r="F761" s="12" t="n">
        <v>1880</v>
      </c>
      <c r="G761" s="11" t="str">
        <f aca="false">IF(INDEX(選手一覧!$D$5:$D$2736,$F761)="","",INDEX(選手一覧!$D$5:$D$2736,$F761))</f>
        <v/>
      </c>
      <c r="H761" s="12" t="str">
        <f aca="false">IF(INDEX(選手一覧!$E$5:$E$2736,$F761)="","",INDEX(選手一覧!$E$5:$E$2736,$F761))</f>
        <v/>
      </c>
      <c r="I761" s="11" t="str">
        <f aca="false">IF(INDEX(選手一覧!$F$5:$F$2736,$F761)="","",INDEX(選手一覧!$F$5:$F$2736,$F761))</f>
        <v/>
      </c>
      <c r="J761" s="12" t="str">
        <f aca="false">IF(INDEX(選手一覧!$G$5:$G$2736,$F761)="","",INDEX(選手一覧!$G$5:$G$2736,$F761))</f>
        <v/>
      </c>
    </row>
    <row r="762" customFormat="false" ht="15" hidden="false" customHeight="false" outlineLevel="0" collapsed="false">
      <c r="A762" s="12" t="n">
        <v>759</v>
      </c>
      <c r="B762" s="8" t="s">
        <v>1532</v>
      </c>
      <c r="C762" s="8" t="s">
        <v>1533</v>
      </c>
      <c r="D762" s="11" t="n">
        <v>0.00287858796296296</v>
      </c>
      <c r="E762" s="39" t="n">
        <f aca="false">ROUND((D762-$D$5)*86400,2)</f>
        <v>23.68</v>
      </c>
      <c r="F762" s="12" t="n">
        <v>938</v>
      </c>
      <c r="G762" s="11" t="n">
        <f aca="false">IF(INDEX(選手一覧!$D$5:$D$2736,$F762)="","",INDEX(選手一覧!$D$5:$D$2736,$F762))</f>
        <v>0.0109113425925926</v>
      </c>
      <c r="H762" s="12" t="n">
        <f aca="false">IF(INDEX(選手一覧!$E$5:$E$2736,$F762)="","",INDEX(選手一覧!$E$5:$E$2736,$F762))</f>
        <v>939</v>
      </c>
      <c r="I762" s="11" t="str">
        <f aca="false">IF(INDEX(選手一覧!$F$5:$F$2736,$F762)="","",INDEX(選手一覧!$F$5:$F$2736,$F762))</f>
        <v/>
      </c>
      <c r="J762" s="12" t="str">
        <f aca="false">IF(INDEX(選手一覧!$G$5:$G$2736,$F762)="","",INDEX(選手一覧!$G$5:$G$2736,$F762))</f>
        <v/>
      </c>
    </row>
    <row r="763" customFormat="false" ht="15" hidden="false" customHeight="false" outlineLevel="0" collapsed="false">
      <c r="A763" s="12" t="n">
        <v>760</v>
      </c>
      <c r="B763" s="8" t="s">
        <v>2931</v>
      </c>
      <c r="C763" s="8" t="s">
        <v>2932</v>
      </c>
      <c r="D763" s="11" t="n">
        <v>0.0028787037037037</v>
      </c>
      <c r="E763" s="39" t="n">
        <f aca="false">ROUND((D763-$D$5)*86400,2)</f>
        <v>23.69</v>
      </c>
      <c r="F763" s="12" t="n">
        <v>1882</v>
      </c>
      <c r="G763" s="11" t="str">
        <f aca="false">IF(INDEX(選手一覧!$D$5:$D$2736,$F763)="","",INDEX(選手一覧!$D$5:$D$2736,$F763))</f>
        <v/>
      </c>
      <c r="H763" s="12" t="str">
        <f aca="false">IF(INDEX(選手一覧!$E$5:$E$2736,$F763)="","",INDEX(選手一覧!$E$5:$E$2736,$F763))</f>
        <v/>
      </c>
      <c r="I763" s="11" t="str">
        <f aca="false">IF(INDEX(選手一覧!$F$5:$F$2736,$F763)="","",INDEX(選手一覧!$F$5:$F$2736,$F763))</f>
        <v/>
      </c>
      <c r="J763" s="12" t="str">
        <f aca="false">IF(INDEX(選手一覧!$G$5:$G$2736,$F763)="","",INDEX(選手一覧!$G$5:$G$2736,$F763))</f>
        <v/>
      </c>
    </row>
    <row r="764" customFormat="false" ht="15" hidden="false" customHeight="false" outlineLevel="0" collapsed="false">
      <c r="A764" s="12" t="n">
        <v>761</v>
      </c>
      <c r="B764" s="8" t="s">
        <v>1859</v>
      </c>
      <c r="C764" s="8" t="s">
        <v>150</v>
      </c>
      <c r="D764" s="11" t="n">
        <v>0.00287893518518519</v>
      </c>
      <c r="E764" s="39" t="n">
        <f aca="false">ROUND((D764-$D$5)*86400,2)</f>
        <v>23.71</v>
      </c>
      <c r="F764" s="12" t="n">
        <v>1159</v>
      </c>
      <c r="G764" s="11" t="n">
        <f aca="false">IF(INDEX(選手一覧!$D$5:$D$2736,$F764)="","",INDEX(選手一覧!$D$5:$D$2736,$F764))</f>
        <v>0.0110341435185185</v>
      </c>
      <c r="H764" s="12" t="n">
        <f aca="false">IF(INDEX(選手一覧!$E$5:$E$2736,$F764)="","",INDEX(選手一覧!$E$5:$E$2736,$F764))</f>
        <v>1160</v>
      </c>
      <c r="I764" s="11" t="str">
        <f aca="false">IF(INDEX(選手一覧!$F$5:$F$2736,$F764)="","",INDEX(選手一覧!$F$5:$F$2736,$F764))</f>
        <v/>
      </c>
      <c r="J764" s="12" t="str">
        <f aca="false">IF(INDEX(選手一覧!$G$5:$G$2736,$F764)="","",INDEX(選手一覧!$G$5:$G$2736,$F764))</f>
        <v/>
      </c>
    </row>
    <row r="765" customFormat="false" ht="15" hidden="false" customHeight="false" outlineLevel="0" collapsed="false">
      <c r="A765" s="12" t="n">
        <v>762</v>
      </c>
      <c r="B765" s="8" t="s">
        <v>2935</v>
      </c>
      <c r="C765" s="8" t="s">
        <v>262</v>
      </c>
      <c r="D765" s="11" t="n">
        <v>0.00287905092592593</v>
      </c>
      <c r="E765" s="39" t="n">
        <f aca="false">ROUND((D765-$D$5)*86400,2)</f>
        <v>23.72</v>
      </c>
      <c r="F765" s="12" t="n">
        <v>1885</v>
      </c>
      <c r="G765" s="11" t="str">
        <f aca="false">IF(INDEX(選手一覧!$D$5:$D$2736,$F765)="","",INDEX(選手一覧!$D$5:$D$2736,$F765))</f>
        <v/>
      </c>
      <c r="H765" s="12" t="str">
        <f aca="false">IF(INDEX(選手一覧!$E$5:$E$2736,$F765)="","",INDEX(選手一覧!$E$5:$E$2736,$F765))</f>
        <v/>
      </c>
      <c r="I765" s="11" t="str">
        <f aca="false">IF(INDEX(選手一覧!$F$5:$F$2736,$F765)="","",INDEX(選手一覧!$F$5:$F$2736,$F765))</f>
        <v/>
      </c>
      <c r="J765" s="12" t="str">
        <f aca="false">IF(INDEX(選手一覧!$G$5:$G$2736,$F765)="","",INDEX(選手一覧!$G$5:$G$2736,$F765))</f>
        <v/>
      </c>
    </row>
    <row r="766" customFormat="false" ht="15" hidden="false" customHeight="false" outlineLevel="0" collapsed="false">
      <c r="A766" s="12" t="n">
        <v>763</v>
      </c>
      <c r="B766" s="8" t="s">
        <v>2938</v>
      </c>
      <c r="C766" s="8" t="s">
        <v>973</v>
      </c>
      <c r="D766" s="11" t="n">
        <v>0.00287916666666667</v>
      </c>
      <c r="E766" s="39" t="n">
        <f aca="false">ROUND((D766-$D$5)*86400,2)</f>
        <v>23.73</v>
      </c>
      <c r="F766" s="12" t="n">
        <v>1887</v>
      </c>
      <c r="G766" s="11" t="str">
        <f aca="false">IF(INDEX(選手一覧!$D$5:$D$2736,$F766)="","",INDEX(選手一覧!$D$5:$D$2736,$F766))</f>
        <v/>
      </c>
      <c r="H766" s="12" t="str">
        <f aca="false">IF(INDEX(選手一覧!$E$5:$E$2736,$F766)="","",INDEX(選手一覧!$E$5:$E$2736,$F766))</f>
        <v/>
      </c>
      <c r="I766" s="11" t="str">
        <f aca="false">IF(INDEX(選手一覧!$F$5:$F$2736,$F766)="","",INDEX(選手一覧!$F$5:$F$2736,$F766))</f>
        <v/>
      </c>
      <c r="J766" s="12" t="str">
        <f aca="false">IF(INDEX(選手一覧!$G$5:$G$2736,$F766)="","",INDEX(選手一覧!$G$5:$G$2736,$F766))</f>
        <v/>
      </c>
    </row>
    <row r="767" customFormat="false" ht="15" hidden="false" customHeight="false" outlineLevel="0" collapsed="false">
      <c r="A767" s="12" t="n">
        <v>764</v>
      </c>
      <c r="B767" s="8" t="s">
        <v>2940</v>
      </c>
      <c r="C767" s="8" t="s">
        <v>150</v>
      </c>
      <c r="D767" s="11" t="n">
        <v>0.00287916666666667</v>
      </c>
      <c r="E767" s="39" t="n">
        <f aca="false">ROUND((D767-$D$5)*86400,2)</f>
        <v>23.73</v>
      </c>
      <c r="F767" s="12" t="n">
        <v>1889</v>
      </c>
      <c r="G767" s="11" t="str">
        <f aca="false">IF(INDEX(選手一覧!$D$5:$D$2736,$F767)="","",INDEX(選手一覧!$D$5:$D$2736,$F767))</f>
        <v/>
      </c>
      <c r="H767" s="12" t="str">
        <f aca="false">IF(INDEX(選手一覧!$E$5:$E$2736,$F767)="","",INDEX(選手一覧!$E$5:$E$2736,$F767))</f>
        <v/>
      </c>
      <c r="I767" s="11" t="str">
        <f aca="false">IF(INDEX(選手一覧!$F$5:$F$2736,$F767)="","",INDEX(選手一覧!$F$5:$F$2736,$F767))</f>
        <v/>
      </c>
      <c r="J767" s="12" t="str">
        <f aca="false">IF(INDEX(選手一覧!$G$5:$G$2736,$F767)="","",INDEX(選手一覧!$G$5:$G$2736,$F767))</f>
        <v/>
      </c>
    </row>
    <row r="768" customFormat="false" ht="15" hidden="false" customHeight="false" outlineLevel="0" collapsed="false">
      <c r="A768" s="12" t="n">
        <v>765</v>
      </c>
      <c r="B768" s="8" t="s">
        <v>2941</v>
      </c>
      <c r="C768" s="8" t="s">
        <v>152</v>
      </c>
      <c r="D768" s="11" t="n">
        <v>0.00287951388888889</v>
      </c>
      <c r="E768" s="39" t="n">
        <f aca="false">ROUND((D768-$D$5)*86400,2)</f>
        <v>23.76</v>
      </c>
      <c r="F768" s="12" t="n">
        <v>1890</v>
      </c>
      <c r="G768" s="11" t="str">
        <f aca="false">IF(INDEX(選手一覧!$D$5:$D$2736,$F768)="","",INDEX(選手一覧!$D$5:$D$2736,$F768))</f>
        <v/>
      </c>
      <c r="H768" s="12" t="str">
        <f aca="false">IF(INDEX(選手一覧!$E$5:$E$2736,$F768)="","",INDEX(選手一覧!$E$5:$E$2736,$F768))</f>
        <v/>
      </c>
      <c r="I768" s="11" t="str">
        <f aca="false">IF(INDEX(選手一覧!$F$5:$F$2736,$F768)="","",INDEX(選手一覧!$F$5:$F$2736,$F768))</f>
        <v/>
      </c>
      <c r="J768" s="12" t="str">
        <f aca="false">IF(INDEX(選手一覧!$G$5:$G$2736,$F768)="","",INDEX(選手一覧!$G$5:$G$2736,$F768))</f>
        <v/>
      </c>
    </row>
    <row r="769" customFormat="false" ht="15" hidden="false" customHeight="false" outlineLevel="0" collapsed="false">
      <c r="A769" s="12" t="n">
        <v>766</v>
      </c>
      <c r="B769" s="8" t="s">
        <v>2944</v>
      </c>
      <c r="C769" s="8" t="s">
        <v>283</v>
      </c>
      <c r="D769" s="11" t="n">
        <v>0.00287974537037037</v>
      </c>
      <c r="E769" s="39" t="n">
        <f aca="false">ROUND((D769-$D$5)*86400,2)</f>
        <v>23.78</v>
      </c>
      <c r="F769" s="12" t="n">
        <v>1892</v>
      </c>
      <c r="G769" s="11" t="str">
        <f aca="false">IF(INDEX(選手一覧!$D$5:$D$2736,$F769)="","",INDEX(選手一覧!$D$5:$D$2736,$F769))</f>
        <v/>
      </c>
      <c r="H769" s="12" t="str">
        <f aca="false">IF(INDEX(選手一覧!$E$5:$E$2736,$F769)="","",INDEX(選手一覧!$E$5:$E$2736,$F769))</f>
        <v/>
      </c>
      <c r="I769" s="11" t="str">
        <f aca="false">IF(INDEX(選手一覧!$F$5:$F$2736,$F769)="","",INDEX(選手一覧!$F$5:$F$2736,$F769))</f>
        <v/>
      </c>
      <c r="J769" s="12" t="str">
        <f aca="false">IF(INDEX(選手一覧!$G$5:$G$2736,$F769)="","",INDEX(選手一覧!$G$5:$G$2736,$F769))</f>
        <v/>
      </c>
    </row>
    <row r="770" customFormat="false" ht="15" hidden="false" customHeight="false" outlineLevel="0" collapsed="false">
      <c r="A770" s="12" t="n">
        <v>767</v>
      </c>
      <c r="B770" s="8" t="s">
        <v>2946</v>
      </c>
      <c r="C770" s="8" t="s">
        <v>868</v>
      </c>
      <c r="D770" s="11" t="n">
        <v>0.00287974537037037</v>
      </c>
      <c r="E770" s="39" t="n">
        <f aca="false">ROUND((D770-$D$5)*86400,2)</f>
        <v>23.78</v>
      </c>
      <c r="F770" s="12" t="n">
        <v>1894</v>
      </c>
      <c r="G770" s="11" t="str">
        <f aca="false">IF(INDEX(選手一覧!$D$5:$D$2736,$F770)="","",INDEX(選手一覧!$D$5:$D$2736,$F770))</f>
        <v/>
      </c>
      <c r="H770" s="12" t="str">
        <f aca="false">IF(INDEX(選手一覧!$E$5:$E$2736,$F770)="","",INDEX(選手一覧!$E$5:$E$2736,$F770))</f>
        <v/>
      </c>
      <c r="I770" s="11" t="str">
        <f aca="false">IF(INDEX(選手一覧!$F$5:$F$2736,$F770)="","",INDEX(選手一覧!$F$5:$F$2736,$F770))</f>
        <v/>
      </c>
      <c r="J770" s="12" t="str">
        <f aca="false">IF(INDEX(選手一覧!$G$5:$G$2736,$F770)="","",INDEX(選手一覧!$G$5:$G$2736,$F770))</f>
        <v/>
      </c>
    </row>
    <row r="771" customFormat="false" ht="15" hidden="false" customHeight="false" outlineLevel="0" collapsed="false">
      <c r="A771" s="12" t="n">
        <v>768</v>
      </c>
      <c r="B771" s="8" t="s">
        <v>2832</v>
      </c>
      <c r="C771" s="8" t="s">
        <v>1795</v>
      </c>
      <c r="D771" s="11" t="n">
        <v>0.00287974537037037</v>
      </c>
      <c r="E771" s="39" t="n">
        <f aca="false">ROUND((D771-$D$5)*86400,2)</f>
        <v>23.78</v>
      </c>
      <c r="F771" s="12" t="n">
        <v>1821</v>
      </c>
      <c r="G771" s="11" t="str">
        <f aca="false">IF(INDEX(選手一覧!$D$5:$D$2736,$F771)="","",INDEX(選手一覧!$D$5:$D$2736,$F771))</f>
        <v/>
      </c>
      <c r="H771" s="12" t="str">
        <f aca="false">IF(INDEX(選手一覧!$E$5:$E$2736,$F771)="","",INDEX(選手一覧!$E$5:$E$2736,$F771))</f>
        <v/>
      </c>
      <c r="I771" s="11" t="n">
        <f aca="false">IF(INDEX(選手一覧!$F$5:$F$2736,$F771)="","",INDEX(選手一覧!$F$5:$F$2736,$F771))</f>
        <v>0.00735289351851852</v>
      </c>
      <c r="J771" s="12" t="n">
        <f aca="false">IF(INDEX(選手一覧!$G$5:$G$2736,$F771)="","",INDEX(選手一覧!$G$5:$G$2736,$F771))</f>
        <v>713</v>
      </c>
    </row>
    <row r="772" customFormat="false" ht="15" hidden="false" customHeight="false" outlineLevel="0" collapsed="false">
      <c r="A772" s="12" t="n">
        <v>769</v>
      </c>
      <c r="B772" s="8" t="s">
        <v>767</v>
      </c>
      <c r="C772" s="8" t="s">
        <v>116</v>
      </c>
      <c r="D772" s="11" t="n">
        <v>0.00287986111111111</v>
      </c>
      <c r="E772" s="39" t="n">
        <f aca="false">ROUND((D772-$D$5)*86400,2)</f>
        <v>23.79</v>
      </c>
      <c r="F772" s="12" t="n">
        <v>432</v>
      </c>
      <c r="G772" s="11" t="n">
        <f aca="false">IF(INDEX(選手一覧!$D$5:$D$2736,$F772)="","",INDEX(選手一覧!$D$5:$D$2736,$F772))</f>
        <v>0.0105804398148148</v>
      </c>
      <c r="H772" s="12" t="n">
        <f aca="false">IF(INDEX(選手一覧!$E$5:$E$2736,$F772)="","",INDEX(選手一覧!$E$5:$E$2736,$F772))</f>
        <v>433</v>
      </c>
      <c r="I772" s="11" t="n">
        <f aca="false">IF(INDEX(選手一覧!$F$5:$F$2736,$F772)="","",INDEX(選手一覧!$F$5:$F$2736,$F772))</f>
        <v>0.00656412037037037</v>
      </c>
      <c r="J772" s="12" t="n">
        <f aca="false">IF(INDEX(選手一覧!$G$5:$G$2736,$F772)="","",INDEX(選手一覧!$G$5:$G$2736,$F772))</f>
        <v>53</v>
      </c>
    </row>
    <row r="773" customFormat="false" ht="15" hidden="false" customHeight="false" outlineLevel="0" collapsed="false">
      <c r="A773" s="12" t="n">
        <v>770</v>
      </c>
      <c r="B773" s="8" t="s">
        <v>1073</v>
      </c>
      <c r="C773" s="8" t="s">
        <v>70</v>
      </c>
      <c r="D773" s="11" t="n">
        <v>0.00287986111111111</v>
      </c>
      <c r="E773" s="39" t="n">
        <f aca="false">ROUND((D773-$D$5)*86400,2)</f>
        <v>23.79</v>
      </c>
      <c r="F773" s="12" t="n">
        <v>635</v>
      </c>
      <c r="G773" s="11" t="n">
        <f aca="false">IF(INDEX(選手一覧!$D$5:$D$2736,$F773)="","",INDEX(選手一覧!$D$5:$D$2736,$F773))</f>
        <v>0.0107318287037037</v>
      </c>
      <c r="H773" s="12" t="n">
        <f aca="false">IF(INDEX(選手一覧!$E$5:$E$2736,$F773)="","",INDEX(選手一覧!$E$5:$E$2736,$F773))</f>
        <v>636</v>
      </c>
      <c r="I773" s="11" t="n">
        <f aca="false">IF(INDEX(選手一覧!$F$5:$F$2736,$F773)="","",INDEX(選手一覧!$F$5:$F$2736,$F773))</f>
        <v>0.00653611111111111</v>
      </c>
      <c r="J773" s="12" t="n">
        <f aca="false">IF(INDEX(選手一覧!$G$5:$G$2736,$F773)="","",INDEX(選手一覧!$G$5:$G$2736,$F773))</f>
        <v>41</v>
      </c>
    </row>
    <row r="774" customFormat="false" ht="15" hidden="false" customHeight="false" outlineLevel="0" collapsed="false">
      <c r="A774" s="12" t="n">
        <v>771</v>
      </c>
      <c r="B774" s="8" t="s">
        <v>1453</v>
      </c>
      <c r="C774" s="8" t="s">
        <v>1454</v>
      </c>
      <c r="D774" s="11" t="n">
        <v>0.00287986111111111</v>
      </c>
      <c r="E774" s="39" t="n">
        <f aca="false">ROUND((D774-$D$5)*86400,2)</f>
        <v>23.79</v>
      </c>
      <c r="F774" s="12" t="n">
        <v>885</v>
      </c>
      <c r="G774" s="11" t="n">
        <f aca="false">IF(INDEX(選手一覧!$D$5:$D$2736,$F774)="","",INDEX(選手一覧!$D$5:$D$2736,$F774))</f>
        <v>0.0108791666666667</v>
      </c>
      <c r="H774" s="12" t="n">
        <f aca="false">IF(INDEX(選手一覧!$E$5:$E$2736,$F774)="","",INDEX(選手一覧!$E$5:$E$2736,$F774))</f>
        <v>886</v>
      </c>
      <c r="I774" s="11" t="str">
        <f aca="false">IF(INDEX(選手一覧!$F$5:$F$2736,$F774)="","",INDEX(選手一覧!$F$5:$F$2736,$F774))</f>
        <v/>
      </c>
      <c r="J774" s="12" t="str">
        <f aca="false">IF(INDEX(選手一覧!$G$5:$G$2736,$F774)="","",INDEX(選手一覧!$G$5:$G$2736,$F774))</f>
        <v/>
      </c>
    </row>
    <row r="775" customFormat="false" ht="15" hidden="false" customHeight="false" outlineLevel="0" collapsed="false">
      <c r="A775" s="12" t="n">
        <v>772</v>
      </c>
      <c r="B775" s="8" t="s">
        <v>2955</v>
      </c>
      <c r="C775" s="8" t="s">
        <v>2785</v>
      </c>
      <c r="D775" s="11" t="n">
        <v>0.00288032407407407</v>
      </c>
      <c r="E775" s="39" t="n">
        <f aca="false">ROUND((D775-$D$5)*86400,2)</f>
        <v>23.83</v>
      </c>
      <c r="F775" s="12" t="n">
        <v>1900</v>
      </c>
      <c r="G775" s="11" t="str">
        <f aca="false">IF(INDEX(選手一覧!$D$5:$D$2736,$F775)="","",INDEX(選手一覧!$D$5:$D$2736,$F775))</f>
        <v/>
      </c>
      <c r="H775" s="12" t="str">
        <f aca="false">IF(INDEX(選手一覧!$E$5:$E$2736,$F775)="","",INDEX(選手一覧!$E$5:$E$2736,$F775))</f>
        <v/>
      </c>
      <c r="I775" s="11" t="str">
        <f aca="false">IF(INDEX(選手一覧!$F$5:$F$2736,$F775)="","",INDEX(選手一覧!$F$5:$F$2736,$F775))</f>
        <v/>
      </c>
      <c r="J775" s="12" t="str">
        <f aca="false">IF(INDEX(選手一覧!$G$5:$G$2736,$F775)="","",INDEX(選手一覧!$G$5:$G$2736,$F775))</f>
        <v/>
      </c>
    </row>
    <row r="776" customFormat="false" ht="15" hidden="false" customHeight="false" outlineLevel="0" collapsed="false">
      <c r="A776" s="12" t="n">
        <v>773</v>
      </c>
      <c r="B776" s="8" t="s">
        <v>2956</v>
      </c>
      <c r="C776" s="8" t="s">
        <v>2957</v>
      </c>
      <c r="D776" s="11" t="n">
        <v>0.00288032407407407</v>
      </c>
      <c r="E776" s="39" t="n">
        <f aca="false">ROUND((D776-$D$5)*86400,2)</f>
        <v>23.83</v>
      </c>
      <c r="F776" s="12" t="n">
        <v>1901</v>
      </c>
      <c r="G776" s="11" t="str">
        <f aca="false">IF(INDEX(選手一覧!$D$5:$D$2736,$F776)="","",INDEX(選手一覧!$D$5:$D$2736,$F776))</f>
        <v/>
      </c>
      <c r="H776" s="12" t="str">
        <f aca="false">IF(INDEX(選手一覧!$E$5:$E$2736,$F776)="","",INDEX(選手一覧!$E$5:$E$2736,$F776))</f>
        <v/>
      </c>
      <c r="I776" s="11" t="str">
        <f aca="false">IF(INDEX(選手一覧!$F$5:$F$2736,$F776)="","",INDEX(選手一覧!$F$5:$F$2736,$F776))</f>
        <v/>
      </c>
      <c r="J776" s="12" t="str">
        <f aca="false">IF(INDEX(選手一覧!$G$5:$G$2736,$F776)="","",INDEX(選手一覧!$G$5:$G$2736,$F776))</f>
        <v/>
      </c>
    </row>
    <row r="777" customFormat="false" ht="15" hidden="false" customHeight="false" outlineLevel="0" collapsed="false">
      <c r="A777" s="12" t="n">
        <v>774</v>
      </c>
      <c r="B777" s="8" t="s">
        <v>2960</v>
      </c>
      <c r="C777" s="8" t="s">
        <v>1222</v>
      </c>
      <c r="D777" s="11" t="n">
        <v>0.00288055555555556</v>
      </c>
      <c r="E777" s="39" t="n">
        <f aca="false">ROUND((D777-$D$5)*86400,2)</f>
        <v>23.85</v>
      </c>
      <c r="F777" s="12" t="n">
        <v>1903</v>
      </c>
      <c r="G777" s="11" t="str">
        <f aca="false">IF(INDEX(選手一覧!$D$5:$D$2736,$F777)="","",INDEX(選手一覧!$D$5:$D$2736,$F777))</f>
        <v/>
      </c>
      <c r="H777" s="12" t="str">
        <f aca="false">IF(INDEX(選手一覧!$E$5:$E$2736,$F777)="","",INDEX(選手一覧!$E$5:$E$2736,$F777))</f>
        <v/>
      </c>
      <c r="I777" s="11" t="str">
        <f aca="false">IF(INDEX(選手一覧!$F$5:$F$2736,$F777)="","",INDEX(選手一覧!$F$5:$F$2736,$F777))</f>
        <v/>
      </c>
      <c r="J777" s="12" t="str">
        <f aca="false">IF(INDEX(選手一覧!$G$5:$G$2736,$F777)="","",INDEX(選手一覧!$G$5:$G$2736,$F777))</f>
        <v/>
      </c>
    </row>
    <row r="778" customFormat="false" ht="15" hidden="false" customHeight="false" outlineLevel="0" collapsed="false">
      <c r="A778" s="12" t="n">
        <v>775</v>
      </c>
      <c r="B778" s="8" t="s">
        <v>1577</v>
      </c>
      <c r="C778" s="8" t="s">
        <v>152</v>
      </c>
      <c r="D778" s="11" t="n">
        <v>0.0028806712962963</v>
      </c>
      <c r="E778" s="39" t="n">
        <f aca="false">ROUND((D778-$D$5)*86400,2)</f>
        <v>23.86</v>
      </c>
      <c r="F778" s="12" t="n">
        <v>970</v>
      </c>
      <c r="G778" s="11" t="n">
        <f aca="false">IF(INDEX(選手一覧!$D$5:$D$2736,$F778)="","",INDEX(選手一覧!$D$5:$D$2736,$F778))</f>
        <v>0.0109322916666667</v>
      </c>
      <c r="H778" s="12" t="n">
        <f aca="false">IF(INDEX(選手一覧!$E$5:$E$2736,$F778)="","",INDEX(選手一覧!$E$5:$E$2736,$F778))</f>
        <v>971</v>
      </c>
      <c r="I778" s="11" t="n">
        <f aca="false">IF(INDEX(選手一覧!$F$5:$F$2736,$F778)="","",INDEX(選手一覧!$F$5:$F$2736,$F778))</f>
        <v>0.00676782407407408</v>
      </c>
      <c r="J778" s="12" t="n">
        <f aca="false">IF(INDEX(選手一覧!$G$5:$G$2736,$F778)="","",INDEX(選手一覧!$G$5:$G$2736,$F778))</f>
        <v>146</v>
      </c>
    </row>
    <row r="779" customFormat="false" ht="15" hidden="false" customHeight="false" outlineLevel="0" collapsed="false">
      <c r="A779" s="12" t="n">
        <v>776</v>
      </c>
      <c r="B779" s="8" t="s">
        <v>2964</v>
      </c>
      <c r="C779" s="8" t="s">
        <v>1630</v>
      </c>
      <c r="D779" s="11" t="n">
        <v>0.00288090277777778</v>
      </c>
      <c r="E779" s="39" t="n">
        <f aca="false">ROUND((D779-$D$5)*86400,2)</f>
        <v>23.88</v>
      </c>
      <c r="F779" s="12" t="n">
        <v>1906</v>
      </c>
      <c r="G779" s="11" t="str">
        <f aca="false">IF(INDEX(選手一覧!$D$5:$D$2736,$F779)="","",INDEX(選手一覧!$D$5:$D$2736,$F779))</f>
        <v/>
      </c>
      <c r="H779" s="12" t="str">
        <f aca="false">IF(INDEX(選手一覧!$E$5:$E$2736,$F779)="","",INDEX(選手一覧!$E$5:$E$2736,$F779))</f>
        <v/>
      </c>
      <c r="I779" s="11" t="str">
        <f aca="false">IF(INDEX(選手一覧!$F$5:$F$2736,$F779)="","",INDEX(選手一覧!$F$5:$F$2736,$F779))</f>
        <v/>
      </c>
      <c r="J779" s="12" t="str">
        <f aca="false">IF(INDEX(選手一覧!$G$5:$G$2736,$F779)="","",INDEX(選手一覧!$G$5:$G$2736,$F779))</f>
        <v/>
      </c>
    </row>
    <row r="780" customFormat="false" ht="15" hidden="false" customHeight="false" outlineLevel="0" collapsed="false">
      <c r="A780" s="12" t="n">
        <v>777</v>
      </c>
      <c r="B780" s="8" t="s">
        <v>941</v>
      </c>
      <c r="C780" s="8" t="s">
        <v>942</v>
      </c>
      <c r="D780" s="11" t="n">
        <v>0.00288101851851852</v>
      </c>
      <c r="E780" s="39" t="n">
        <f aca="false">ROUND((D780-$D$5)*86400,2)</f>
        <v>23.89</v>
      </c>
      <c r="F780" s="12" t="n">
        <v>541</v>
      </c>
      <c r="G780" s="11" t="n">
        <f aca="false">IF(INDEX(選手一覧!$D$5:$D$2736,$F780)="","",INDEX(選手一覧!$D$5:$D$2736,$F780))</f>
        <v>0.0106663194444445</v>
      </c>
      <c r="H780" s="12" t="n">
        <f aca="false">IF(INDEX(選手一覧!$E$5:$E$2736,$F780)="","",INDEX(選手一覧!$E$5:$E$2736,$F780))</f>
        <v>542</v>
      </c>
      <c r="I780" s="11" t="str">
        <f aca="false">IF(INDEX(選手一覧!$F$5:$F$2736,$F780)="","",INDEX(選手一覧!$F$5:$F$2736,$F780))</f>
        <v/>
      </c>
      <c r="J780" s="12" t="str">
        <f aca="false">IF(INDEX(選手一覧!$G$5:$G$2736,$F780)="","",INDEX(選手一覧!$G$5:$G$2736,$F780))</f>
        <v/>
      </c>
    </row>
    <row r="781" customFormat="false" ht="15" hidden="false" customHeight="false" outlineLevel="0" collapsed="false">
      <c r="A781" s="12" t="n">
        <v>778</v>
      </c>
      <c r="B781" s="8" t="s">
        <v>302</v>
      </c>
      <c r="C781" s="8" t="s">
        <v>200</v>
      </c>
      <c r="D781" s="11" t="n">
        <v>0.00288113425925926</v>
      </c>
      <c r="E781" s="39" t="n">
        <f aca="false">ROUND((D781-$D$5)*86400,2)</f>
        <v>23.9</v>
      </c>
      <c r="F781" s="12" t="n">
        <v>148</v>
      </c>
      <c r="G781" s="11" t="n">
        <f aca="false">IF(INDEX(選手一覧!$D$5:$D$2736,$F781)="","",INDEX(選手一覧!$D$5:$D$2736,$F781))</f>
        <v>0.0102820601851852</v>
      </c>
      <c r="H781" s="12" t="n">
        <f aca="false">IF(INDEX(選手一覧!$E$5:$E$2736,$F781)="","",INDEX(選手一覧!$E$5:$E$2736,$F781))</f>
        <v>149</v>
      </c>
      <c r="I781" s="11" t="n">
        <f aca="false">IF(INDEX(選手一覧!$F$5:$F$2736,$F781)="","",INDEX(選手一覧!$F$5:$F$2736,$F781))</f>
        <v>0.00693680555555556</v>
      </c>
      <c r="J781" s="12" t="n">
        <f aca="false">IF(INDEX(選手一覧!$G$5:$G$2736,$F781)="","",INDEX(選手一覧!$G$5:$G$2736,$F781))</f>
        <v>280</v>
      </c>
    </row>
    <row r="782" customFormat="false" ht="15" hidden="false" customHeight="false" outlineLevel="0" collapsed="false">
      <c r="A782" s="12" t="n">
        <v>779</v>
      </c>
      <c r="B782" s="8" t="s">
        <v>2968</v>
      </c>
      <c r="C782" s="8" t="s">
        <v>1248</v>
      </c>
      <c r="D782" s="11" t="n">
        <v>0.00288113425925926</v>
      </c>
      <c r="E782" s="39" t="n">
        <f aca="false">ROUND((D782-$D$5)*86400,2)</f>
        <v>23.9</v>
      </c>
      <c r="F782" s="12" t="n">
        <v>1909</v>
      </c>
      <c r="G782" s="11" t="str">
        <f aca="false">IF(INDEX(選手一覧!$D$5:$D$2736,$F782)="","",INDEX(選手一覧!$D$5:$D$2736,$F782))</f>
        <v/>
      </c>
      <c r="H782" s="12" t="str">
        <f aca="false">IF(INDEX(選手一覧!$E$5:$E$2736,$F782)="","",INDEX(選手一覧!$E$5:$E$2736,$F782))</f>
        <v/>
      </c>
      <c r="I782" s="11" t="str">
        <f aca="false">IF(INDEX(選手一覧!$F$5:$F$2736,$F782)="","",INDEX(選手一覧!$F$5:$F$2736,$F782))</f>
        <v/>
      </c>
      <c r="J782" s="12" t="str">
        <f aca="false">IF(INDEX(選手一覧!$G$5:$G$2736,$F782)="","",INDEX(選手一覧!$G$5:$G$2736,$F782))</f>
        <v/>
      </c>
    </row>
    <row r="783" customFormat="false" ht="15" hidden="false" customHeight="false" outlineLevel="0" collapsed="false">
      <c r="A783" s="12" t="n">
        <v>780</v>
      </c>
      <c r="B783" s="8" t="s">
        <v>2970</v>
      </c>
      <c r="C783" s="8" t="s">
        <v>1697</v>
      </c>
      <c r="D783" s="11" t="n">
        <v>0.00288125</v>
      </c>
      <c r="E783" s="39" t="n">
        <f aca="false">ROUND((D783-$D$5)*86400,2)</f>
        <v>23.91</v>
      </c>
      <c r="F783" s="12" t="n">
        <v>1911</v>
      </c>
      <c r="G783" s="11" t="str">
        <f aca="false">IF(INDEX(選手一覧!$D$5:$D$2736,$F783)="","",INDEX(選手一覧!$D$5:$D$2736,$F783))</f>
        <v/>
      </c>
      <c r="H783" s="12" t="str">
        <f aca="false">IF(INDEX(選手一覧!$E$5:$E$2736,$F783)="","",INDEX(選手一覧!$E$5:$E$2736,$F783))</f>
        <v/>
      </c>
      <c r="I783" s="11" t="str">
        <f aca="false">IF(INDEX(選手一覧!$F$5:$F$2736,$F783)="","",INDEX(選手一覧!$F$5:$F$2736,$F783))</f>
        <v/>
      </c>
      <c r="J783" s="12" t="str">
        <f aca="false">IF(INDEX(選手一覧!$G$5:$G$2736,$F783)="","",INDEX(選手一覧!$G$5:$G$2736,$F783))</f>
        <v/>
      </c>
    </row>
    <row r="784" customFormat="false" ht="15" hidden="false" customHeight="false" outlineLevel="0" collapsed="false">
      <c r="A784" s="12" t="n">
        <v>781</v>
      </c>
      <c r="B784" s="8" t="s">
        <v>1585</v>
      </c>
      <c r="C784" s="8" t="s">
        <v>96</v>
      </c>
      <c r="D784" s="11" t="n">
        <v>0.00288136574074074</v>
      </c>
      <c r="E784" s="39" t="n">
        <f aca="false">ROUND((D784-$D$5)*86400,2)</f>
        <v>23.92</v>
      </c>
      <c r="F784" s="12" t="n">
        <v>975</v>
      </c>
      <c r="G784" s="11" t="n">
        <f aca="false">IF(INDEX(選手一覧!$D$5:$D$2736,$F784)="","",INDEX(選手一覧!$D$5:$D$2736,$F784))</f>
        <v>0.0109353009259259</v>
      </c>
      <c r="H784" s="12" t="n">
        <f aca="false">IF(INDEX(選手一覧!$E$5:$E$2736,$F784)="","",INDEX(選手一覧!$E$5:$E$2736,$F784))</f>
        <v>976</v>
      </c>
      <c r="I784" s="11" t="n">
        <f aca="false">IF(INDEX(選手一覧!$F$5:$F$2736,$F784)="","",INDEX(選手一覧!$F$5:$F$2736,$F784))</f>
        <v>0.00680972222222222</v>
      </c>
      <c r="J784" s="12" t="n">
        <f aca="false">IF(INDEX(選手一覧!$G$5:$G$2736,$F784)="","",INDEX(選手一覧!$G$5:$G$2736,$F784))</f>
        <v>180</v>
      </c>
    </row>
    <row r="785" customFormat="false" ht="15" hidden="false" customHeight="false" outlineLevel="0" collapsed="false">
      <c r="A785" s="12" t="n">
        <v>782</v>
      </c>
      <c r="B785" s="8" t="s">
        <v>2972</v>
      </c>
      <c r="C785" s="8" t="s">
        <v>1851</v>
      </c>
      <c r="D785" s="11" t="n">
        <v>0.00288136574074074</v>
      </c>
      <c r="E785" s="39" t="n">
        <f aca="false">ROUND((D785-$D$5)*86400,2)</f>
        <v>23.92</v>
      </c>
      <c r="F785" s="12" t="n">
        <v>1913</v>
      </c>
      <c r="G785" s="11" t="str">
        <f aca="false">IF(INDEX(選手一覧!$D$5:$D$2736,$F785)="","",INDEX(選手一覧!$D$5:$D$2736,$F785))</f>
        <v/>
      </c>
      <c r="H785" s="12" t="str">
        <f aca="false">IF(INDEX(選手一覧!$E$5:$E$2736,$F785)="","",INDEX(選手一覧!$E$5:$E$2736,$F785))</f>
        <v/>
      </c>
      <c r="I785" s="11" t="str">
        <f aca="false">IF(INDEX(選手一覧!$F$5:$F$2736,$F785)="","",INDEX(選手一覧!$F$5:$F$2736,$F785))</f>
        <v/>
      </c>
      <c r="J785" s="12" t="str">
        <f aca="false">IF(INDEX(選手一覧!$G$5:$G$2736,$F785)="","",INDEX(選手一覧!$G$5:$G$2736,$F785))</f>
        <v/>
      </c>
    </row>
    <row r="786" customFormat="false" ht="15" hidden="false" customHeight="false" outlineLevel="0" collapsed="false">
      <c r="A786" s="12" t="n">
        <v>783</v>
      </c>
      <c r="B786" s="8" t="s">
        <v>1536</v>
      </c>
      <c r="C786" s="8" t="s">
        <v>207</v>
      </c>
      <c r="D786" s="11" t="n">
        <v>0.00288148148148148</v>
      </c>
      <c r="E786" s="39" t="n">
        <f aca="false">ROUND((D786-$D$5)*86400,2)</f>
        <v>23.93</v>
      </c>
      <c r="F786" s="12" t="n">
        <v>941</v>
      </c>
      <c r="G786" s="11" t="n">
        <f aca="false">IF(INDEX(選手一覧!$D$5:$D$2736,$F786)="","",INDEX(選手一覧!$D$5:$D$2736,$F786))</f>
        <v>0.0109127314814815</v>
      </c>
      <c r="H786" s="12" t="n">
        <f aca="false">IF(INDEX(選手一覧!$E$5:$E$2736,$F786)="","",INDEX(選手一覧!$E$5:$E$2736,$F786))</f>
        <v>942</v>
      </c>
      <c r="I786" s="11" t="n">
        <f aca="false">IF(INDEX(選手一覧!$F$5:$F$2736,$F786)="","",INDEX(選手一覧!$F$5:$F$2736,$F786))</f>
        <v>0.00679247685185185</v>
      </c>
      <c r="J786" s="12" t="n">
        <f aca="false">IF(INDEX(選手一覧!$G$5:$G$2736,$F786)="","",INDEX(選手一覧!$G$5:$G$2736,$F786))</f>
        <v>164</v>
      </c>
    </row>
    <row r="787" customFormat="false" ht="15" hidden="false" customHeight="false" outlineLevel="0" collapsed="false">
      <c r="A787" s="12" t="n">
        <v>784</v>
      </c>
      <c r="B787" s="8" t="s">
        <v>439</v>
      </c>
      <c r="C787" s="8" t="s">
        <v>440</v>
      </c>
      <c r="D787" s="11" t="n">
        <v>0.00288148148148148</v>
      </c>
      <c r="E787" s="39" t="n">
        <f aca="false">ROUND((D787-$D$5)*86400,2)</f>
        <v>23.93</v>
      </c>
      <c r="F787" s="12" t="n">
        <v>228</v>
      </c>
      <c r="G787" s="11" t="n">
        <f aca="false">IF(INDEX(選手一覧!$D$5:$D$2736,$F787)="","",INDEX(選手一覧!$D$5:$D$2736,$F787))</f>
        <v>0.0103741898148148</v>
      </c>
      <c r="H787" s="12" t="n">
        <f aca="false">IF(INDEX(選手一覧!$E$5:$E$2736,$F787)="","",INDEX(選手一覧!$E$5:$E$2736,$F787))</f>
        <v>229</v>
      </c>
      <c r="I787" s="11" t="n">
        <f aca="false">IF(INDEX(選手一覧!$F$5:$F$2736,$F787)="","",INDEX(選手一覧!$F$5:$F$2736,$F787))</f>
        <v>0.00650520833333333</v>
      </c>
      <c r="J787" s="12" t="n">
        <f aca="false">IF(INDEX(選手一覧!$G$5:$G$2736,$F787)="","",INDEX(選手一覧!$G$5:$G$2736,$F787))</f>
        <v>37</v>
      </c>
    </row>
    <row r="788" customFormat="false" ht="15" hidden="false" customHeight="false" outlineLevel="0" collapsed="false">
      <c r="A788" s="12" t="n">
        <v>785</v>
      </c>
      <c r="B788" s="8" t="s">
        <v>171</v>
      </c>
      <c r="C788" s="8" t="s">
        <v>172</v>
      </c>
      <c r="D788" s="11" t="n">
        <v>0.00288171296296296</v>
      </c>
      <c r="E788" s="39" t="n">
        <f aca="false">ROUND((D788-$D$5)*86400,2)</f>
        <v>23.95</v>
      </c>
      <c r="F788" s="12" t="n">
        <v>78</v>
      </c>
      <c r="G788" s="11" t="n">
        <f aca="false">IF(INDEX(選手一覧!$D$5:$D$2736,$F788)="","",INDEX(選手一覧!$D$5:$D$2736,$F788))</f>
        <v>0.0101675925925926</v>
      </c>
      <c r="H788" s="12" t="n">
        <f aca="false">IF(INDEX(選手一覧!$E$5:$E$2736,$F788)="","",INDEX(選手一覧!$E$5:$E$2736,$F788))</f>
        <v>79</v>
      </c>
      <c r="I788" s="11" t="str">
        <f aca="false">IF(INDEX(選手一覧!$F$5:$F$2736,$F788)="","",INDEX(選手一覧!$F$5:$F$2736,$F788))</f>
        <v/>
      </c>
      <c r="J788" s="12" t="str">
        <f aca="false">IF(INDEX(選手一覧!$G$5:$G$2736,$F788)="","",INDEX(選手一覧!$G$5:$G$2736,$F788))</f>
        <v/>
      </c>
    </row>
    <row r="789" customFormat="false" ht="15" hidden="false" customHeight="false" outlineLevel="0" collapsed="false">
      <c r="A789" s="12" t="n">
        <v>786</v>
      </c>
      <c r="B789" s="8" t="s">
        <v>2977</v>
      </c>
      <c r="C789" s="8" t="s">
        <v>641</v>
      </c>
      <c r="D789" s="11" t="n">
        <v>0.00288171296296296</v>
      </c>
      <c r="E789" s="39" t="n">
        <f aca="false">ROUND((D789-$D$5)*86400,2)</f>
        <v>23.95</v>
      </c>
      <c r="F789" s="12" t="n">
        <v>1917</v>
      </c>
      <c r="G789" s="11" t="str">
        <f aca="false">IF(INDEX(選手一覧!$D$5:$D$2736,$F789)="","",INDEX(選手一覧!$D$5:$D$2736,$F789))</f>
        <v/>
      </c>
      <c r="H789" s="12" t="str">
        <f aca="false">IF(INDEX(選手一覧!$E$5:$E$2736,$F789)="","",INDEX(選手一覧!$E$5:$E$2736,$F789))</f>
        <v/>
      </c>
      <c r="I789" s="11" t="str">
        <f aca="false">IF(INDEX(選手一覧!$F$5:$F$2736,$F789)="","",INDEX(選手一覧!$F$5:$F$2736,$F789))</f>
        <v/>
      </c>
      <c r="J789" s="12" t="str">
        <f aca="false">IF(INDEX(選手一覧!$G$5:$G$2736,$F789)="","",INDEX(選手一覧!$G$5:$G$2736,$F789))</f>
        <v/>
      </c>
    </row>
    <row r="790" customFormat="false" ht="15" hidden="false" customHeight="false" outlineLevel="0" collapsed="false">
      <c r="A790" s="21" t="n">
        <v>787</v>
      </c>
      <c r="B790" s="17" t="s">
        <v>149</v>
      </c>
      <c r="C790" s="17" t="s">
        <v>150</v>
      </c>
      <c r="D790" s="20" t="n">
        <v>0.0028818287037037</v>
      </c>
      <c r="E790" s="40" t="n">
        <f aca="false">ROUND((D790-$D$5)*86400,2)</f>
        <v>23.96</v>
      </c>
      <c r="F790" s="21" t="n">
        <v>66</v>
      </c>
      <c r="G790" s="20" t="n">
        <f aca="false">IF(INDEX(選手一覧!$D$5:$D$2736,$F790)="","",INDEX(選手一覧!$D$5:$D$2736,$F790))</f>
        <v>0.0101377314814815</v>
      </c>
      <c r="H790" s="21" t="n">
        <f aca="false">IF(INDEX(選手一覧!$E$5:$E$2736,$F790)="","",INDEX(選手一覧!$E$5:$E$2736,$F790))</f>
        <v>67</v>
      </c>
      <c r="I790" s="20" t="n">
        <f aca="false">IF(INDEX(選手一覧!$F$5:$F$2736,$F790)="","",INDEX(選手一覧!$F$5:$F$2736,$F790))</f>
        <v>0.00634039351851852</v>
      </c>
      <c r="J790" s="21" t="n">
        <f aca="false">IF(INDEX(選手一覧!$G$5:$G$2736,$F790)="","",INDEX(選手一覧!$G$5:$G$2736,$F790))</f>
        <v>7</v>
      </c>
    </row>
    <row r="791" customFormat="false" ht="15" hidden="false" customHeight="false" outlineLevel="0" collapsed="false">
      <c r="A791" s="12" t="n">
        <v>788</v>
      </c>
      <c r="B791" s="8" t="s">
        <v>2979</v>
      </c>
      <c r="C791" s="8" t="s">
        <v>2564</v>
      </c>
      <c r="D791" s="11" t="n">
        <v>0.00288194444444444</v>
      </c>
      <c r="E791" s="39" t="n">
        <f aca="false">ROUND((D791-$D$5)*86400,2)</f>
        <v>23.97</v>
      </c>
      <c r="F791" s="12" t="n">
        <v>1919</v>
      </c>
      <c r="G791" s="11" t="str">
        <f aca="false">IF(INDEX(選手一覧!$D$5:$D$2736,$F791)="","",INDEX(選手一覧!$D$5:$D$2736,$F791))</f>
        <v/>
      </c>
      <c r="H791" s="12" t="str">
        <f aca="false">IF(INDEX(選手一覧!$E$5:$E$2736,$F791)="","",INDEX(選手一覧!$E$5:$E$2736,$F791))</f>
        <v/>
      </c>
      <c r="I791" s="11" t="str">
        <f aca="false">IF(INDEX(選手一覧!$F$5:$F$2736,$F791)="","",INDEX(選手一覧!$F$5:$F$2736,$F791))</f>
        <v/>
      </c>
      <c r="J791" s="12" t="str">
        <f aca="false">IF(INDEX(選手一覧!$G$5:$G$2736,$F791)="","",INDEX(選手一覧!$G$5:$G$2736,$F791))</f>
        <v/>
      </c>
    </row>
    <row r="792" customFormat="false" ht="15" hidden="false" customHeight="false" outlineLevel="0" collapsed="false">
      <c r="A792" s="12" t="n">
        <v>789</v>
      </c>
      <c r="B792" s="8" t="s">
        <v>2982</v>
      </c>
      <c r="C792" s="8" t="s">
        <v>437</v>
      </c>
      <c r="D792" s="11" t="n">
        <v>0.00288194444444444</v>
      </c>
      <c r="E792" s="39" t="n">
        <f aca="false">ROUND((D792-$D$5)*86400,2)</f>
        <v>23.97</v>
      </c>
      <c r="F792" s="12" t="n">
        <v>1921</v>
      </c>
      <c r="G792" s="11" t="str">
        <f aca="false">IF(INDEX(選手一覧!$D$5:$D$2736,$F792)="","",INDEX(選手一覧!$D$5:$D$2736,$F792))</f>
        <v/>
      </c>
      <c r="H792" s="12" t="str">
        <f aca="false">IF(INDEX(選手一覧!$E$5:$E$2736,$F792)="","",INDEX(選手一覧!$E$5:$E$2736,$F792))</f>
        <v/>
      </c>
      <c r="I792" s="11" t="str">
        <f aca="false">IF(INDEX(選手一覧!$F$5:$F$2736,$F792)="","",INDEX(選手一覧!$F$5:$F$2736,$F792))</f>
        <v/>
      </c>
      <c r="J792" s="12" t="str">
        <f aca="false">IF(INDEX(選手一覧!$G$5:$G$2736,$F792)="","",INDEX(選手一覧!$G$5:$G$2736,$F792))</f>
        <v/>
      </c>
    </row>
    <row r="793" customFormat="false" ht="15" hidden="false" customHeight="false" outlineLevel="0" collapsed="false">
      <c r="A793" s="12" t="n">
        <v>790</v>
      </c>
      <c r="B793" s="8" t="s">
        <v>1913</v>
      </c>
      <c r="C793" s="8" t="s">
        <v>1756</v>
      </c>
      <c r="D793" s="11" t="n">
        <v>0.00288194444444444</v>
      </c>
      <c r="E793" s="39" t="n">
        <f aca="false">ROUND((D793-$D$5)*86400,2)</f>
        <v>23.97</v>
      </c>
      <c r="F793" s="12" t="n">
        <v>1199</v>
      </c>
      <c r="G793" s="11" t="n">
        <f aca="false">IF(INDEX(選手一覧!$D$5:$D$2736,$F793)="","",INDEX(選手一覧!$D$5:$D$2736,$F793))</f>
        <v>0.0110517361111111</v>
      </c>
      <c r="H793" s="12" t="n">
        <f aca="false">IF(INDEX(選手一覧!$E$5:$E$2736,$F793)="","",INDEX(選手一覧!$E$5:$E$2736,$F793))</f>
        <v>1200</v>
      </c>
      <c r="I793" s="11" t="n">
        <f aca="false">IF(INDEX(選手一覧!$F$5:$F$2736,$F793)="","",INDEX(選手一覧!$F$5:$F$2736,$F793))</f>
        <v>0.00734594907407408</v>
      </c>
      <c r="J793" s="12" t="n">
        <f aca="false">IF(INDEX(選手一覧!$G$5:$G$2736,$F793)="","",INDEX(選手一覧!$G$5:$G$2736,$F793))</f>
        <v>706</v>
      </c>
    </row>
    <row r="794" customFormat="false" ht="15" hidden="false" customHeight="false" outlineLevel="0" collapsed="false">
      <c r="A794" s="12" t="n">
        <v>791</v>
      </c>
      <c r="B794" s="8" t="s">
        <v>1245</v>
      </c>
      <c r="C794" s="8" t="s">
        <v>207</v>
      </c>
      <c r="D794" s="11" t="n">
        <v>0.00288194444444444</v>
      </c>
      <c r="E794" s="39" t="n">
        <f aca="false">ROUND((D794-$D$5)*86400,2)</f>
        <v>23.97</v>
      </c>
      <c r="F794" s="12" t="n">
        <v>746</v>
      </c>
      <c r="G794" s="11" t="n">
        <f aca="false">IF(INDEX(選手一覧!$D$5:$D$2736,$F794)="","",INDEX(選手一覧!$D$5:$D$2736,$F794))</f>
        <v>0.0108023148148148</v>
      </c>
      <c r="H794" s="12" t="n">
        <f aca="false">IF(INDEX(選手一覧!$E$5:$E$2736,$F794)="","",INDEX(選手一覧!$E$5:$E$2736,$F794))</f>
        <v>747</v>
      </c>
      <c r="I794" s="11" t="n">
        <f aca="false">IF(INDEX(選手一覧!$F$5:$F$2736,$F794)="","",INDEX(選手一覧!$F$5:$F$2736,$F794))</f>
        <v>0.00692986111111111</v>
      </c>
      <c r="J794" s="12" t="n">
        <f aca="false">IF(INDEX(選手一覧!$G$5:$G$2736,$F794)="","",INDEX(選手一覧!$G$5:$G$2736,$F794))</f>
        <v>273</v>
      </c>
    </row>
    <row r="795" customFormat="false" ht="15" hidden="false" customHeight="false" outlineLevel="0" collapsed="false">
      <c r="A795" s="12" t="n">
        <v>792</v>
      </c>
      <c r="B795" s="8" t="s">
        <v>2987</v>
      </c>
      <c r="C795" s="8" t="s">
        <v>49</v>
      </c>
      <c r="D795" s="11" t="n">
        <v>0.00288194444444444</v>
      </c>
      <c r="E795" s="39" t="n">
        <f aca="false">ROUND((D795-$D$5)*86400,2)</f>
        <v>23.97</v>
      </c>
      <c r="F795" s="12" t="n">
        <v>1925</v>
      </c>
      <c r="G795" s="11" t="str">
        <f aca="false">IF(INDEX(選手一覧!$D$5:$D$2736,$F795)="","",INDEX(選手一覧!$D$5:$D$2736,$F795))</f>
        <v/>
      </c>
      <c r="H795" s="12" t="str">
        <f aca="false">IF(INDEX(選手一覧!$E$5:$E$2736,$F795)="","",INDEX(選手一覧!$E$5:$E$2736,$F795))</f>
        <v/>
      </c>
      <c r="I795" s="11" t="str">
        <f aca="false">IF(INDEX(選手一覧!$F$5:$F$2736,$F795)="","",INDEX(選手一覧!$F$5:$F$2736,$F795))</f>
        <v/>
      </c>
      <c r="J795" s="12" t="str">
        <f aca="false">IF(INDEX(選手一覧!$G$5:$G$2736,$F795)="","",INDEX(選手一覧!$G$5:$G$2736,$F795))</f>
        <v/>
      </c>
    </row>
    <row r="796" customFormat="false" ht="15" hidden="false" customHeight="false" outlineLevel="0" collapsed="false">
      <c r="A796" s="12" t="n">
        <v>793</v>
      </c>
      <c r="B796" s="8" t="s">
        <v>1304</v>
      </c>
      <c r="C796" s="8" t="s">
        <v>685</v>
      </c>
      <c r="D796" s="11" t="n">
        <v>0.00288206018518519</v>
      </c>
      <c r="E796" s="39" t="n">
        <f aca="false">ROUND((D796-$D$5)*86400,2)</f>
        <v>23.98</v>
      </c>
      <c r="F796" s="12" t="n">
        <v>789</v>
      </c>
      <c r="G796" s="11" t="n">
        <f aca="false">IF(INDEX(選手一覧!$D$5:$D$2736,$F796)="","",INDEX(選手一覧!$D$5:$D$2736,$F796))</f>
        <v>0.0108306712962963</v>
      </c>
      <c r="H796" s="12" t="n">
        <f aca="false">IF(INDEX(選手一覧!$E$5:$E$2736,$F796)="","",INDEX(選手一覧!$E$5:$E$2736,$F796))</f>
        <v>790</v>
      </c>
      <c r="I796" s="11" t="str">
        <f aca="false">IF(INDEX(選手一覧!$F$5:$F$2736,$F796)="","",INDEX(選手一覧!$F$5:$F$2736,$F796))</f>
        <v/>
      </c>
      <c r="J796" s="12" t="str">
        <f aca="false">IF(INDEX(選手一覧!$G$5:$G$2736,$F796)="","",INDEX(選手一覧!$G$5:$G$2736,$F796))</f>
        <v/>
      </c>
    </row>
    <row r="797" customFormat="false" ht="15" hidden="false" customHeight="false" outlineLevel="0" collapsed="false">
      <c r="A797" s="12" t="n">
        <v>794</v>
      </c>
      <c r="B797" s="8" t="s">
        <v>2416</v>
      </c>
      <c r="C797" s="8" t="s">
        <v>2417</v>
      </c>
      <c r="D797" s="11" t="n">
        <v>0.00288206018518519</v>
      </c>
      <c r="E797" s="39" t="n">
        <f aca="false">ROUND((D797-$D$5)*86400,2)</f>
        <v>23.98</v>
      </c>
      <c r="F797" s="12" t="n">
        <v>1549</v>
      </c>
      <c r="G797" s="11" t="str">
        <f aca="false">IF(INDEX(選手一覧!$D$5:$D$2736,$F797)="","",INDEX(選手一覧!$D$5:$D$2736,$F797))</f>
        <v/>
      </c>
      <c r="H797" s="12" t="str">
        <f aca="false">IF(INDEX(選手一覧!$E$5:$E$2736,$F797)="","",INDEX(選手一覧!$E$5:$E$2736,$F797))</f>
        <v/>
      </c>
      <c r="I797" s="11" t="n">
        <f aca="false">IF(INDEX(選手一覧!$F$5:$F$2736,$F797)="","",INDEX(選手一覧!$F$5:$F$2736,$F797))</f>
        <v>0.00710266203703704</v>
      </c>
      <c r="J797" s="12" t="n">
        <f aca="false">IF(INDEX(選手一覧!$G$5:$G$2736,$F797)="","",INDEX(選手一覧!$G$5:$G$2736,$F797))</f>
        <v>451</v>
      </c>
    </row>
    <row r="798" customFormat="false" ht="15" hidden="false" customHeight="false" outlineLevel="0" collapsed="false">
      <c r="A798" s="12" t="n">
        <v>795</v>
      </c>
      <c r="B798" s="8" t="s">
        <v>2991</v>
      </c>
      <c r="C798" s="8" t="s">
        <v>290</v>
      </c>
      <c r="D798" s="11" t="n">
        <v>0.00288217592592593</v>
      </c>
      <c r="E798" s="39" t="n">
        <f aca="false">ROUND((D798-$D$5)*86400,2)</f>
        <v>23.99</v>
      </c>
      <c r="F798" s="12" t="n">
        <v>1928</v>
      </c>
      <c r="G798" s="11" t="str">
        <f aca="false">IF(INDEX(選手一覧!$D$5:$D$2736,$F798)="","",INDEX(選手一覧!$D$5:$D$2736,$F798))</f>
        <v/>
      </c>
      <c r="H798" s="12" t="str">
        <f aca="false">IF(INDEX(選手一覧!$E$5:$E$2736,$F798)="","",INDEX(選手一覧!$E$5:$E$2736,$F798))</f>
        <v/>
      </c>
      <c r="I798" s="11" t="str">
        <f aca="false">IF(INDEX(選手一覧!$F$5:$F$2736,$F798)="","",INDEX(選手一覧!$F$5:$F$2736,$F798))</f>
        <v/>
      </c>
      <c r="J798" s="12" t="str">
        <f aca="false">IF(INDEX(選手一覧!$G$5:$G$2736,$F798)="","",INDEX(選手一覧!$G$5:$G$2736,$F798))</f>
        <v/>
      </c>
    </row>
    <row r="799" customFormat="false" ht="15" hidden="false" customHeight="false" outlineLevel="0" collapsed="false">
      <c r="A799" s="12" t="n">
        <v>796</v>
      </c>
      <c r="B799" s="8" t="s">
        <v>2993</v>
      </c>
      <c r="C799" s="8" t="s">
        <v>294</v>
      </c>
      <c r="D799" s="11" t="n">
        <v>0.00288240740740741</v>
      </c>
      <c r="E799" s="39" t="n">
        <f aca="false">ROUND((D799-$D$5)*86400,2)</f>
        <v>24.01</v>
      </c>
      <c r="F799" s="12" t="n">
        <v>1930</v>
      </c>
      <c r="G799" s="11" t="str">
        <f aca="false">IF(INDEX(選手一覧!$D$5:$D$2736,$F799)="","",INDEX(選手一覧!$D$5:$D$2736,$F799))</f>
        <v/>
      </c>
      <c r="H799" s="12" t="str">
        <f aca="false">IF(INDEX(選手一覧!$E$5:$E$2736,$F799)="","",INDEX(選手一覧!$E$5:$E$2736,$F799))</f>
        <v/>
      </c>
      <c r="I799" s="11" t="str">
        <f aca="false">IF(INDEX(選手一覧!$F$5:$F$2736,$F799)="","",INDEX(選手一覧!$F$5:$F$2736,$F799))</f>
        <v/>
      </c>
      <c r="J799" s="12" t="str">
        <f aca="false">IF(INDEX(選手一覧!$G$5:$G$2736,$F799)="","",INDEX(選手一覧!$G$5:$G$2736,$F799))</f>
        <v/>
      </c>
    </row>
    <row r="800" customFormat="false" ht="15" hidden="false" customHeight="false" outlineLevel="0" collapsed="false">
      <c r="A800" s="12" t="n">
        <v>797</v>
      </c>
      <c r="B800" s="8" t="s">
        <v>1165</v>
      </c>
      <c r="C800" s="8" t="s">
        <v>508</v>
      </c>
      <c r="D800" s="11" t="n">
        <v>0.00288263888888889</v>
      </c>
      <c r="E800" s="39" t="n">
        <f aca="false">ROUND((D800-$D$5)*86400,2)</f>
        <v>24.03</v>
      </c>
      <c r="F800" s="12" t="n">
        <v>695</v>
      </c>
      <c r="G800" s="11" t="n">
        <f aca="false">IF(INDEX(選手一覧!$D$5:$D$2736,$F800)="","",INDEX(選手一覧!$D$5:$D$2736,$F800))</f>
        <v>0.0107704861111111</v>
      </c>
      <c r="H800" s="12" t="n">
        <f aca="false">IF(INDEX(選手一覧!$E$5:$E$2736,$F800)="","",INDEX(選手一覧!$E$5:$E$2736,$F800))</f>
        <v>696</v>
      </c>
      <c r="I800" s="11" t="n">
        <f aca="false">IF(INDEX(選手一覧!$F$5:$F$2736,$F800)="","",INDEX(選手一覧!$F$5:$F$2736,$F800))</f>
        <v>0.008159375</v>
      </c>
      <c r="J800" s="12" t="n">
        <f aca="false">IF(INDEX(選手一覧!$G$5:$G$2736,$F800)="","",INDEX(選手一覧!$G$5:$G$2736,$F800))</f>
        <v>1223</v>
      </c>
    </row>
    <row r="801" customFormat="false" ht="15" hidden="false" customHeight="false" outlineLevel="0" collapsed="false">
      <c r="A801" s="12" t="n">
        <v>798</v>
      </c>
      <c r="B801" s="8" t="s">
        <v>577</v>
      </c>
      <c r="C801" s="8" t="s">
        <v>249</v>
      </c>
      <c r="D801" s="11" t="n">
        <v>0.00288263888888889</v>
      </c>
      <c r="E801" s="39" t="n">
        <f aca="false">ROUND((D801-$D$5)*86400,2)</f>
        <v>24.03</v>
      </c>
      <c r="F801" s="12" t="n">
        <v>1932</v>
      </c>
      <c r="G801" s="11" t="str">
        <f aca="false">IF(INDEX(選手一覧!$D$5:$D$2736,$F801)="","",INDEX(選手一覧!$D$5:$D$2736,$F801))</f>
        <v/>
      </c>
      <c r="H801" s="12" t="str">
        <f aca="false">IF(INDEX(選手一覧!$E$5:$E$2736,$F801)="","",INDEX(選手一覧!$E$5:$E$2736,$F801))</f>
        <v/>
      </c>
      <c r="I801" s="11" t="str">
        <f aca="false">IF(INDEX(選手一覧!$F$5:$F$2736,$F801)="","",INDEX(選手一覧!$F$5:$F$2736,$F801))</f>
        <v/>
      </c>
      <c r="J801" s="12" t="str">
        <f aca="false">IF(INDEX(選手一覧!$G$5:$G$2736,$F801)="","",INDEX(選手一覧!$G$5:$G$2736,$F801))</f>
        <v/>
      </c>
    </row>
    <row r="802" customFormat="false" ht="15" hidden="false" customHeight="false" outlineLevel="0" collapsed="false">
      <c r="A802" s="12" t="n">
        <v>799</v>
      </c>
      <c r="B802" s="8" t="s">
        <v>1233</v>
      </c>
      <c r="C802" s="8" t="s">
        <v>1209</v>
      </c>
      <c r="D802" s="11" t="n">
        <v>0.00288263888888889</v>
      </c>
      <c r="E802" s="39" t="n">
        <f aca="false">ROUND((D802-$D$5)*86400,2)</f>
        <v>24.03</v>
      </c>
      <c r="F802" s="12" t="n">
        <v>739</v>
      </c>
      <c r="G802" s="11" t="n">
        <f aca="false">IF(INDEX(選手一覧!$D$5:$D$2736,$F802)="","",INDEX(選手一覧!$D$5:$D$2736,$F802))</f>
        <v>0.0108002314814815</v>
      </c>
      <c r="H802" s="12" t="n">
        <f aca="false">IF(INDEX(選手一覧!$E$5:$E$2736,$F802)="","",INDEX(選手一覧!$E$5:$E$2736,$F802))</f>
        <v>740</v>
      </c>
      <c r="I802" s="11" t="str">
        <f aca="false">IF(INDEX(選手一覧!$F$5:$F$2736,$F802)="","",INDEX(選手一覧!$F$5:$F$2736,$F802))</f>
        <v/>
      </c>
      <c r="J802" s="12" t="str">
        <f aca="false">IF(INDEX(選手一覧!$G$5:$G$2736,$F802)="","",INDEX(選手一覧!$G$5:$G$2736,$F802))</f>
        <v/>
      </c>
    </row>
    <row r="803" customFormat="false" ht="15" hidden="false" customHeight="false" outlineLevel="0" collapsed="false">
      <c r="A803" s="12" t="n">
        <v>800</v>
      </c>
      <c r="B803" s="8" t="s">
        <v>2999</v>
      </c>
      <c r="C803" s="8" t="s">
        <v>61</v>
      </c>
      <c r="D803" s="11" t="n">
        <v>0.00288275462962963</v>
      </c>
      <c r="E803" s="39" t="n">
        <f aca="false">ROUND((D803-$D$5)*86400,2)</f>
        <v>24.04</v>
      </c>
      <c r="F803" s="12" t="n">
        <v>1935</v>
      </c>
      <c r="G803" s="11" t="str">
        <f aca="false">IF(INDEX(選手一覧!$D$5:$D$2736,$F803)="","",INDEX(選手一覧!$D$5:$D$2736,$F803))</f>
        <v/>
      </c>
      <c r="H803" s="12" t="str">
        <f aca="false">IF(INDEX(選手一覧!$E$5:$E$2736,$F803)="","",INDEX(選手一覧!$E$5:$E$2736,$F803))</f>
        <v/>
      </c>
      <c r="I803" s="11" t="str">
        <f aca="false">IF(INDEX(選手一覧!$F$5:$F$2736,$F803)="","",INDEX(選手一覧!$F$5:$F$2736,$F803))</f>
        <v/>
      </c>
      <c r="J803" s="12" t="str">
        <f aca="false">IF(INDEX(選手一覧!$G$5:$G$2736,$F803)="","",INDEX(選手一覧!$G$5:$G$2736,$F803))</f>
        <v/>
      </c>
    </row>
    <row r="804" customFormat="false" ht="15" hidden="false" customHeight="false" outlineLevel="0" collapsed="false">
      <c r="A804" s="12" t="n">
        <v>801</v>
      </c>
      <c r="B804" s="8" t="s">
        <v>1735</v>
      </c>
      <c r="C804" s="8" t="s">
        <v>70</v>
      </c>
      <c r="D804" s="11" t="n">
        <v>0.00288287037037037</v>
      </c>
      <c r="E804" s="39" t="n">
        <f aca="false">ROUND((D804-$D$5)*86400,2)</f>
        <v>24.05</v>
      </c>
      <c r="F804" s="12" t="n">
        <v>1077</v>
      </c>
      <c r="G804" s="11" t="n">
        <f aca="false">IF(INDEX(選手一覧!$D$5:$D$2736,$F804)="","",INDEX(選手一覧!$D$5:$D$2736,$F804))</f>
        <v>0.0109891203703704</v>
      </c>
      <c r="H804" s="12" t="n">
        <f aca="false">IF(INDEX(選手一覧!$E$5:$E$2736,$F804)="","",INDEX(選手一覧!$E$5:$E$2736,$F804))</f>
        <v>1078</v>
      </c>
      <c r="I804" s="11" t="str">
        <f aca="false">IF(INDEX(選手一覧!$F$5:$F$2736,$F804)="","",INDEX(選手一覧!$F$5:$F$2736,$F804))</f>
        <v/>
      </c>
      <c r="J804" s="12" t="str">
        <f aca="false">IF(INDEX(選手一覧!$G$5:$G$2736,$F804)="","",INDEX(選手一覧!$G$5:$G$2736,$F804))</f>
        <v/>
      </c>
    </row>
    <row r="805" customFormat="false" ht="15" hidden="false" customHeight="false" outlineLevel="0" collapsed="false">
      <c r="A805" s="12" t="n">
        <v>802</v>
      </c>
      <c r="B805" s="8" t="s">
        <v>376</v>
      </c>
      <c r="C805" s="8" t="s">
        <v>28</v>
      </c>
      <c r="D805" s="11" t="n">
        <v>0.00288298611111111</v>
      </c>
      <c r="E805" s="39" t="n">
        <f aca="false">ROUND((D805-$D$5)*86400,2)</f>
        <v>24.06</v>
      </c>
      <c r="F805" s="12" t="n">
        <v>188</v>
      </c>
      <c r="G805" s="11" t="n">
        <f aca="false">IF(INDEX(選手一覧!$D$5:$D$2736,$F805)="","",INDEX(選手一覧!$D$5:$D$2736,$F805))</f>
        <v>0.0103387731481482</v>
      </c>
      <c r="H805" s="12" t="n">
        <f aca="false">IF(INDEX(選手一覧!$E$5:$E$2736,$F805)="","",INDEX(選手一覧!$E$5:$E$2736,$F805))</f>
        <v>189</v>
      </c>
      <c r="I805" s="11" t="str">
        <f aca="false">IF(INDEX(選手一覧!$F$5:$F$2736,$F805)="","",INDEX(選手一覧!$F$5:$F$2736,$F805))</f>
        <v/>
      </c>
      <c r="J805" s="12" t="str">
        <f aca="false">IF(INDEX(選手一覧!$G$5:$G$2736,$F805)="","",INDEX(選手一覧!$G$5:$G$2736,$F805))</f>
        <v/>
      </c>
    </row>
    <row r="806" customFormat="false" ht="15" hidden="false" customHeight="false" outlineLevel="0" collapsed="false">
      <c r="A806" s="12" t="n">
        <v>803</v>
      </c>
      <c r="B806" s="8" t="s">
        <v>995</v>
      </c>
      <c r="C806" s="8" t="s">
        <v>283</v>
      </c>
      <c r="D806" s="11" t="n">
        <v>0.00288356481481481</v>
      </c>
      <c r="E806" s="39" t="n">
        <f aca="false">ROUND((D806-$D$5)*86400,2)</f>
        <v>24.11</v>
      </c>
      <c r="F806" s="12" t="n">
        <v>578</v>
      </c>
      <c r="G806" s="11" t="n">
        <f aca="false">IF(INDEX(選手一覧!$D$5:$D$2736,$F806)="","",INDEX(選手一覧!$D$5:$D$2736,$F806))</f>
        <v>0.0106987268518519</v>
      </c>
      <c r="H806" s="12" t="n">
        <f aca="false">IF(INDEX(選手一覧!$E$5:$E$2736,$F806)="","",INDEX(選手一覧!$E$5:$E$2736,$F806))</f>
        <v>579</v>
      </c>
      <c r="I806" s="11" t="n">
        <f aca="false">IF(INDEX(選手一覧!$F$5:$F$2736,$F806)="","",INDEX(選手一覧!$F$5:$F$2736,$F806))</f>
        <v>0.00680717592592593</v>
      </c>
      <c r="J806" s="12" t="n">
        <f aca="false">IF(INDEX(選手一覧!$G$5:$G$2736,$F806)="","",INDEX(選手一覧!$G$5:$G$2736,$F806))</f>
        <v>178</v>
      </c>
    </row>
    <row r="807" customFormat="false" ht="15" hidden="false" customHeight="false" outlineLevel="0" collapsed="false">
      <c r="A807" s="12" t="n">
        <v>804</v>
      </c>
      <c r="B807" s="8" t="s">
        <v>1221</v>
      </c>
      <c r="C807" s="8" t="s">
        <v>1222</v>
      </c>
      <c r="D807" s="11" t="n">
        <v>0.00288356481481481</v>
      </c>
      <c r="E807" s="39" t="n">
        <f aca="false">ROUND((D807-$D$5)*86400,2)</f>
        <v>24.11</v>
      </c>
      <c r="F807" s="12" t="n">
        <v>731</v>
      </c>
      <c r="G807" s="11" t="n">
        <f aca="false">IF(INDEX(選手一覧!$D$5:$D$2736,$F807)="","",INDEX(選手一覧!$D$5:$D$2736,$F807))</f>
        <v>0.0107929398148148</v>
      </c>
      <c r="H807" s="12" t="n">
        <f aca="false">IF(INDEX(選手一覧!$E$5:$E$2736,$F807)="","",INDEX(選手一覧!$E$5:$E$2736,$F807))</f>
        <v>732</v>
      </c>
      <c r="I807" s="11" t="n">
        <f aca="false">IF(INDEX(選手一覧!$F$5:$F$2736,$F807)="","",INDEX(選手一覧!$F$5:$F$2736,$F807))</f>
        <v>0.00706365740740741</v>
      </c>
      <c r="J807" s="12" t="n">
        <f aca="false">IF(INDEX(選手一覧!$G$5:$G$2736,$F807)="","",INDEX(選手一覧!$G$5:$G$2736,$F807))</f>
        <v>406</v>
      </c>
    </row>
    <row r="808" customFormat="false" ht="15" hidden="false" customHeight="false" outlineLevel="0" collapsed="false">
      <c r="A808" s="12" t="n">
        <v>805</v>
      </c>
      <c r="B808" s="8" t="s">
        <v>3005</v>
      </c>
      <c r="C808" s="8" t="s">
        <v>1262</v>
      </c>
      <c r="D808" s="11" t="n">
        <v>0.00288368055555556</v>
      </c>
      <c r="E808" s="39" t="n">
        <f aca="false">ROUND((D808-$D$5)*86400,2)</f>
        <v>24.12</v>
      </c>
      <c r="F808" s="12" t="n">
        <v>1939</v>
      </c>
      <c r="G808" s="11" t="str">
        <f aca="false">IF(INDEX(選手一覧!$D$5:$D$2736,$F808)="","",INDEX(選手一覧!$D$5:$D$2736,$F808))</f>
        <v/>
      </c>
      <c r="H808" s="12" t="str">
        <f aca="false">IF(INDEX(選手一覧!$E$5:$E$2736,$F808)="","",INDEX(選手一覧!$E$5:$E$2736,$F808))</f>
        <v/>
      </c>
      <c r="I808" s="11" t="str">
        <f aca="false">IF(INDEX(選手一覧!$F$5:$F$2736,$F808)="","",INDEX(選手一覧!$F$5:$F$2736,$F808))</f>
        <v/>
      </c>
      <c r="J808" s="12" t="str">
        <f aca="false">IF(INDEX(選手一覧!$G$5:$G$2736,$F808)="","",INDEX(選手一覧!$G$5:$G$2736,$F808))</f>
        <v/>
      </c>
    </row>
    <row r="809" customFormat="false" ht="15" hidden="false" customHeight="false" outlineLevel="0" collapsed="false">
      <c r="A809" s="12" t="n">
        <v>806</v>
      </c>
      <c r="B809" s="8" t="s">
        <v>3007</v>
      </c>
      <c r="C809" s="8" t="s">
        <v>3008</v>
      </c>
      <c r="D809" s="11" t="n">
        <v>0.0028837962962963</v>
      </c>
      <c r="E809" s="39" t="n">
        <f aca="false">ROUND((D809-$D$5)*86400,2)</f>
        <v>24.13</v>
      </c>
      <c r="F809" s="12" t="n">
        <v>1941</v>
      </c>
      <c r="G809" s="11" t="str">
        <f aca="false">IF(INDEX(選手一覧!$D$5:$D$2736,$F809)="","",INDEX(選手一覧!$D$5:$D$2736,$F809))</f>
        <v/>
      </c>
      <c r="H809" s="12" t="str">
        <f aca="false">IF(INDEX(選手一覧!$E$5:$E$2736,$F809)="","",INDEX(選手一覧!$E$5:$E$2736,$F809))</f>
        <v/>
      </c>
      <c r="I809" s="11" t="str">
        <f aca="false">IF(INDEX(選手一覧!$F$5:$F$2736,$F809)="","",INDEX(選手一覧!$F$5:$F$2736,$F809))</f>
        <v/>
      </c>
      <c r="J809" s="12" t="str">
        <f aca="false">IF(INDEX(選手一覧!$G$5:$G$2736,$F809)="","",INDEX(選手一覧!$G$5:$G$2736,$F809))</f>
        <v/>
      </c>
    </row>
    <row r="810" customFormat="false" ht="15" hidden="false" customHeight="false" outlineLevel="0" collapsed="false">
      <c r="A810" s="12" t="n">
        <v>807</v>
      </c>
      <c r="B810" s="8" t="s">
        <v>3011</v>
      </c>
      <c r="C810" s="8" t="s">
        <v>667</v>
      </c>
      <c r="D810" s="11" t="n">
        <v>0.00288391203703704</v>
      </c>
      <c r="E810" s="39" t="n">
        <f aca="false">ROUND((D810-$D$5)*86400,2)</f>
        <v>24.14</v>
      </c>
      <c r="F810" s="12" t="n">
        <v>1943</v>
      </c>
      <c r="G810" s="11" t="str">
        <f aca="false">IF(INDEX(選手一覧!$D$5:$D$2736,$F810)="","",INDEX(選手一覧!$D$5:$D$2736,$F810))</f>
        <v/>
      </c>
      <c r="H810" s="12" t="str">
        <f aca="false">IF(INDEX(選手一覧!$E$5:$E$2736,$F810)="","",INDEX(選手一覧!$E$5:$E$2736,$F810))</f>
        <v/>
      </c>
      <c r="I810" s="11" t="str">
        <f aca="false">IF(INDEX(選手一覧!$F$5:$F$2736,$F810)="","",INDEX(選手一覧!$F$5:$F$2736,$F810))</f>
        <v/>
      </c>
      <c r="J810" s="12" t="str">
        <f aca="false">IF(INDEX(選手一覧!$G$5:$G$2736,$F810)="","",INDEX(選手一覧!$G$5:$G$2736,$F810))</f>
        <v/>
      </c>
    </row>
    <row r="811" customFormat="false" ht="15" hidden="false" customHeight="false" outlineLevel="0" collapsed="false">
      <c r="A811" s="12" t="n">
        <v>808</v>
      </c>
      <c r="B811" s="8" t="s">
        <v>2096</v>
      </c>
      <c r="C811" s="8" t="s">
        <v>2097</v>
      </c>
      <c r="D811" s="11" t="n">
        <v>0.00288391203703704</v>
      </c>
      <c r="E811" s="39" t="n">
        <f aca="false">ROUND((D811-$D$5)*86400,2)</f>
        <v>24.14</v>
      </c>
      <c r="F811" s="12" t="n">
        <v>1336</v>
      </c>
      <c r="G811" s="11" t="str">
        <f aca="false">IF(INDEX(選手一覧!$D$5:$D$2736,$F811)="","",INDEX(選手一覧!$D$5:$D$2736,$F811))</f>
        <v/>
      </c>
      <c r="H811" s="12" t="str">
        <f aca="false">IF(INDEX(選手一覧!$E$5:$E$2736,$F811)="","",INDEX(選手一覧!$E$5:$E$2736,$F811))</f>
        <v/>
      </c>
      <c r="I811" s="11" t="n">
        <f aca="false">IF(INDEX(選手一覧!$F$5:$F$2736,$F811)="","",INDEX(選手一覧!$F$5:$F$2736,$F811))</f>
        <v>0.0068150462962963</v>
      </c>
      <c r="J811" s="12" t="n">
        <f aca="false">IF(INDEX(選手一覧!$G$5:$G$2736,$F811)="","",INDEX(選手一覧!$G$5:$G$2736,$F811))</f>
        <v>182</v>
      </c>
    </row>
    <row r="812" customFormat="false" ht="15" hidden="false" customHeight="false" outlineLevel="0" collapsed="false">
      <c r="A812" s="12" t="n">
        <v>809</v>
      </c>
      <c r="B812" s="8" t="s">
        <v>2017</v>
      </c>
      <c r="C812" s="8" t="s">
        <v>1222</v>
      </c>
      <c r="D812" s="11" t="n">
        <v>0.00288425925925926</v>
      </c>
      <c r="E812" s="39" t="n">
        <f aca="false">ROUND((D812-$D$5)*86400,2)</f>
        <v>24.17</v>
      </c>
      <c r="F812" s="12" t="n">
        <v>1279</v>
      </c>
      <c r="G812" s="11" t="n">
        <f aca="false">IF(INDEX(選手一覧!$D$5:$D$2736,$F812)="","",INDEX(選手一覧!$D$5:$D$2736,$F812))</f>
        <v>0.0111150462962963</v>
      </c>
      <c r="H812" s="12" t="n">
        <f aca="false">IF(INDEX(選手一覧!$E$5:$E$2736,$F812)="","",INDEX(選手一覧!$E$5:$E$2736,$F812))</f>
        <v>1280</v>
      </c>
      <c r="I812" s="11" t="str">
        <f aca="false">IF(INDEX(選手一覧!$F$5:$F$2736,$F812)="","",INDEX(選手一覧!$F$5:$F$2736,$F812))</f>
        <v/>
      </c>
      <c r="J812" s="12" t="str">
        <f aca="false">IF(INDEX(選手一覧!$G$5:$G$2736,$F812)="","",INDEX(選手一覧!$G$5:$G$2736,$F812))</f>
        <v/>
      </c>
    </row>
    <row r="813" customFormat="false" ht="15" hidden="false" customHeight="false" outlineLevel="0" collapsed="false">
      <c r="A813" s="12" t="n">
        <v>810</v>
      </c>
      <c r="B813" s="8" t="s">
        <v>1243</v>
      </c>
      <c r="C813" s="8" t="s">
        <v>973</v>
      </c>
      <c r="D813" s="11" t="n">
        <v>0.00288425925925926</v>
      </c>
      <c r="E813" s="39" t="n">
        <f aca="false">ROUND((D813-$D$5)*86400,2)</f>
        <v>24.17</v>
      </c>
      <c r="F813" s="12" t="n">
        <v>745</v>
      </c>
      <c r="G813" s="11" t="n">
        <f aca="false">IF(INDEX(選手一覧!$D$5:$D$2736,$F813)="","",INDEX(選手一覧!$D$5:$D$2736,$F813))</f>
        <v>0.0108021990740741</v>
      </c>
      <c r="H813" s="12" t="n">
        <f aca="false">IF(INDEX(選手一覧!$E$5:$E$2736,$F813)="","",INDEX(選手一覧!$E$5:$E$2736,$F813))</f>
        <v>746</v>
      </c>
      <c r="I813" s="11" t="str">
        <f aca="false">IF(INDEX(選手一覧!$F$5:$F$2736,$F813)="","",INDEX(選手一覧!$F$5:$F$2736,$F813))</f>
        <v/>
      </c>
      <c r="J813" s="12" t="str">
        <f aca="false">IF(INDEX(選手一覧!$G$5:$G$2736,$F813)="","",INDEX(選手一覧!$G$5:$G$2736,$F813))</f>
        <v/>
      </c>
    </row>
    <row r="814" customFormat="false" ht="15" hidden="false" customHeight="false" outlineLevel="0" collapsed="false">
      <c r="A814" s="12" t="n">
        <v>811</v>
      </c>
      <c r="B814" s="8" t="s">
        <v>887</v>
      </c>
      <c r="C814" s="8" t="s">
        <v>616</v>
      </c>
      <c r="D814" s="11" t="n">
        <v>0.002884375</v>
      </c>
      <c r="E814" s="39" t="n">
        <f aca="false">ROUND((D814-$D$5)*86400,2)</f>
        <v>24.18</v>
      </c>
      <c r="F814" s="12" t="n">
        <v>508</v>
      </c>
      <c r="G814" s="11" t="n">
        <f aca="false">IF(INDEX(選手一覧!$D$5:$D$2736,$F814)="","",INDEX(選手一覧!$D$5:$D$2736,$F814))</f>
        <v>0.0106396990740741</v>
      </c>
      <c r="H814" s="12" t="n">
        <f aca="false">IF(INDEX(選手一覧!$E$5:$E$2736,$F814)="","",INDEX(選手一覧!$E$5:$E$2736,$F814))</f>
        <v>509</v>
      </c>
      <c r="I814" s="11" t="n">
        <f aca="false">IF(INDEX(選手一覧!$F$5:$F$2736,$F814)="","",INDEX(選手一覧!$F$5:$F$2736,$F814))</f>
        <v>0.00661840277777778</v>
      </c>
      <c r="J814" s="12" t="n">
        <f aca="false">IF(INDEX(選手一覧!$G$5:$G$2736,$F814)="","",INDEX(選手一覧!$G$5:$G$2736,$F814))</f>
        <v>71</v>
      </c>
    </row>
    <row r="815" customFormat="false" ht="15" hidden="false" customHeight="false" outlineLevel="0" collapsed="false">
      <c r="A815" s="12" t="n">
        <v>812</v>
      </c>
      <c r="B815" s="8" t="s">
        <v>3022</v>
      </c>
      <c r="C815" s="8" t="s">
        <v>87</v>
      </c>
      <c r="D815" s="11" t="n">
        <v>0.00288460648148148</v>
      </c>
      <c r="E815" s="39" t="n">
        <f aca="false">ROUND((D815-$D$5)*86400,2)</f>
        <v>24.2</v>
      </c>
      <c r="F815" s="12" t="n">
        <v>1949</v>
      </c>
      <c r="G815" s="11" t="str">
        <f aca="false">IF(INDEX(選手一覧!$D$5:$D$2736,$F815)="","",INDEX(選手一覧!$D$5:$D$2736,$F815))</f>
        <v/>
      </c>
      <c r="H815" s="12" t="str">
        <f aca="false">IF(INDEX(選手一覧!$E$5:$E$2736,$F815)="","",INDEX(選手一覧!$E$5:$E$2736,$F815))</f>
        <v/>
      </c>
      <c r="I815" s="11" t="str">
        <f aca="false">IF(INDEX(選手一覧!$F$5:$F$2736,$F815)="","",INDEX(選手一覧!$F$5:$F$2736,$F815))</f>
        <v/>
      </c>
      <c r="J815" s="12" t="str">
        <f aca="false">IF(INDEX(選手一覧!$G$5:$G$2736,$F815)="","",INDEX(選手一覧!$G$5:$G$2736,$F815))</f>
        <v/>
      </c>
    </row>
    <row r="816" customFormat="false" ht="15" hidden="false" customHeight="false" outlineLevel="0" collapsed="false">
      <c r="A816" s="12" t="n">
        <v>813</v>
      </c>
      <c r="B816" s="8" t="s">
        <v>1591</v>
      </c>
      <c r="C816" s="8" t="s">
        <v>1592</v>
      </c>
      <c r="D816" s="11" t="n">
        <v>0.00288472222222222</v>
      </c>
      <c r="E816" s="39" t="n">
        <f aca="false">ROUND((D816-$D$5)*86400,2)</f>
        <v>24.21</v>
      </c>
      <c r="F816" s="12" t="n">
        <v>978</v>
      </c>
      <c r="G816" s="11" t="n">
        <f aca="false">IF(INDEX(選手一覧!$D$5:$D$2736,$F816)="","",INDEX(選手一覧!$D$5:$D$2736,$F816))</f>
        <v>0.0109369212962963</v>
      </c>
      <c r="H816" s="12" t="n">
        <f aca="false">IF(INDEX(選手一覧!$E$5:$E$2736,$F816)="","",INDEX(選手一覧!$E$5:$E$2736,$F816))</f>
        <v>979</v>
      </c>
      <c r="I816" s="11" t="str">
        <f aca="false">IF(INDEX(選手一覧!$F$5:$F$2736,$F816)="","",INDEX(選手一覧!$F$5:$F$2736,$F816))</f>
        <v/>
      </c>
      <c r="J816" s="12" t="str">
        <f aca="false">IF(INDEX(選手一覧!$G$5:$G$2736,$F816)="","",INDEX(選手一覧!$G$5:$G$2736,$F816))</f>
        <v/>
      </c>
    </row>
    <row r="817" customFormat="false" ht="15" hidden="false" customHeight="false" outlineLevel="0" collapsed="false">
      <c r="A817" s="12" t="n">
        <v>814</v>
      </c>
      <c r="B817" s="8" t="s">
        <v>1143</v>
      </c>
      <c r="C817" s="8" t="s">
        <v>1144</v>
      </c>
      <c r="D817" s="11" t="n">
        <v>0.00288472222222222</v>
      </c>
      <c r="E817" s="39" t="n">
        <f aca="false">ROUND((D817-$D$5)*86400,2)</f>
        <v>24.21</v>
      </c>
      <c r="F817" s="12" t="n">
        <v>681</v>
      </c>
      <c r="G817" s="11" t="n">
        <f aca="false">IF(INDEX(選手一覧!$D$5:$D$2736,$F817)="","",INDEX(選手一覧!$D$5:$D$2736,$F817))</f>
        <v>0.0107611111111111</v>
      </c>
      <c r="H817" s="12" t="n">
        <f aca="false">IF(INDEX(選手一覧!$E$5:$E$2736,$F817)="","",INDEX(選手一覧!$E$5:$E$2736,$F817))</f>
        <v>682</v>
      </c>
      <c r="I817" s="11" t="str">
        <f aca="false">IF(INDEX(選手一覧!$F$5:$F$2736,$F817)="","",INDEX(選手一覧!$F$5:$F$2736,$F817))</f>
        <v/>
      </c>
      <c r="J817" s="12" t="str">
        <f aca="false">IF(INDEX(選手一覧!$G$5:$G$2736,$F817)="","",INDEX(選手一覧!$G$5:$G$2736,$F817))</f>
        <v/>
      </c>
    </row>
    <row r="818" customFormat="false" ht="15" hidden="false" customHeight="false" outlineLevel="0" collapsed="false">
      <c r="A818" s="12" t="n">
        <v>815</v>
      </c>
      <c r="B818" s="8" t="s">
        <v>1437</v>
      </c>
      <c r="C818" s="8" t="s">
        <v>1438</v>
      </c>
      <c r="D818" s="11" t="n">
        <v>0.00288483796296296</v>
      </c>
      <c r="E818" s="39" t="n">
        <f aca="false">ROUND((D818-$D$5)*86400,2)</f>
        <v>24.22</v>
      </c>
      <c r="F818" s="12" t="n">
        <v>876</v>
      </c>
      <c r="G818" s="11" t="n">
        <f aca="false">IF(INDEX(選手一覧!$D$5:$D$2736,$F818)="","",INDEX(選手一覧!$D$5:$D$2736,$F818))</f>
        <v>0.0108736111111111</v>
      </c>
      <c r="H818" s="12" t="n">
        <f aca="false">IF(INDEX(選手一覧!$E$5:$E$2736,$F818)="","",INDEX(選手一覧!$E$5:$E$2736,$F818))</f>
        <v>877</v>
      </c>
      <c r="I818" s="11" t="str">
        <f aca="false">IF(INDEX(選手一覧!$F$5:$F$2736,$F818)="","",INDEX(選手一覧!$F$5:$F$2736,$F818))</f>
        <v/>
      </c>
      <c r="J818" s="12" t="str">
        <f aca="false">IF(INDEX(選手一覧!$G$5:$G$2736,$F818)="","",INDEX(選手一覧!$G$5:$G$2736,$F818))</f>
        <v/>
      </c>
    </row>
    <row r="819" customFormat="false" ht="15" hidden="false" customHeight="false" outlineLevel="0" collapsed="false">
      <c r="A819" s="12" t="n">
        <v>816</v>
      </c>
      <c r="B819" s="8" t="s">
        <v>3028</v>
      </c>
      <c r="C819" s="8" t="s">
        <v>2214</v>
      </c>
      <c r="D819" s="11" t="n">
        <v>0.00288506944444444</v>
      </c>
      <c r="E819" s="39" t="n">
        <f aca="false">ROUND((D819-$D$5)*86400,2)</f>
        <v>24.24</v>
      </c>
      <c r="F819" s="12" t="n">
        <v>1954</v>
      </c>
      <c r="G819" s="11" t="str">
        <f aca="false">IF(INDEX(選手一覧!$D$5:$D$2736,$F819)="","",INDEX(選手一覧!$D$5:$D$2736,$F819))</f>
        <v/>
      </c>
      <c r="H819" s="12" t="str">
        <f aca="false">IF(INDEX(選手一覧!$E$5:$E$2736,$F819)="","",INDEX(選手一覧!$E$5:$E$2736,$F819))</f>
        <v/>
      </c>
      <c r="I819" s="11" t="str">
        <f aca="false">IF(INDEX(選手一覧!$F$5:$F$2736,$F819)="","",INDEX(選手一覧!$F$5:$F$2736,$F819))</f>
        <v/>
      </c>
      <c r="J819" s="12" t="str">
        <f aca="false">IF(INDEX(選手一覧!$G$5:$G$2736,$F819)="","",INDEX(選手一覧!$G$5:$G$2736,$F819))</f>
        <v/>
      </c>
    </row>
    <row r="820" customFormat="false" ht="15" hidden="false" customHeight="false" outlineLevel="0" collapsed="false">
      <c r="A820" s="12" t="n">
        <v>817</v>
      </c>
      <c r="B820" s="8" t="s">
        <v>1502</v>
      </c>
      <c r="C820" s="8" t="s">
        <v>1503</v>
      </c>
      <c r="D820" s="11" t="n">
        <v>0.00288506944444444</v>
      </c>
      <c r="E820" s="39" t="n">
        <f aca="false">ROUND((D820-$D$5)*86400,2)</f>
        <v>24.24</v>
      </c>
      <c r="F820" s="12" t="n">
        <v>918</v>
      </c>
      <c r="G820" s="11" t="n">
        <f aca="false">IF(INDEX(選手一覧!$D$5:$D$2736,$F820)="","",INDEX(選手一覧!$D$5:$D$2736,$F820))</f>
        <v>0.0108982638888889</v>
      </c>
      <c r="H820" s="12" t="n">
        <f aca="false">IF(INDEX(選手一覧!$E$5:$E$2736,$F820)="","",INDEX(選手一覧!$E$5:$E$2736,$F820))</f>
        <v>919</v>
      </c>
      <c r="I820" s="11" t="str">
        <f aca="false">IF(INDEX(選手一覧!$F$5:$F$2736,$F820)="","",INDEX(選手一覧!$F$5:$F$2736,$F820))</f>
        <v/>
      </c>
      <c r="J820" s="12" t="str">
        <f aca="false">IF(INDEX(選手一覧!$G$5:$G$2736,$F820)="","",INDEX(選手一覧!$G$5:$G$2736,$F820))</f>
        <v/>
      </c>
    </row>
    <row r="821" customFormat="false" ht="15" hidden="false" customHeight="false" outlineLevel="0" collapsed="false">
      <c r="A821" s="12" t="n">
        <v>818</v>
      </c>
      <c r="B821" s="8" t="s">
        <v>3033</v>
      </c>
      <c r="C821" s="8" t="s">
        <v>1835</v>
      </c>
      <c r="D821" s="11" t="n">
        <v>0.00288518518518519</v>
      </c>
      <c r="E821" s="39" t="n">
        <f aca="false">ROUND((D821-$D$5)*86400,2)</f>
        <v>24.25</v>
      </c>
      <c r="F821" s="12" t="n">
        <v>1957</v>
      </c>
      <c r="G821" s="11" t="str">
        <f aca="false">IF(INDEX(選手一覧!$D$5:$D$2736,$F821)="","",INDEX(選手一覧!$D$5:$D$2736,$F821))</f>
        <v/>
      </c>
      <c r="H821" s="12" t="str">
        <f aca="false">IF(INDEX(選手一覧!$E$5:$E$2736,$F821)="","",INDEX(選手一覧!$E$5:$E$2736,$F821))</f>
        <v/>
      </c>
      <c r="I821" s="11" t="str">
        <f aca="false">IF(INDEX(選手一覧!$F$5:$F$2736,$F821)="","",INDEX(選手一覧!$F$5:$F$2736,$F821))</f>
        <v/>
      </c>
      <c r="J821" s="12" t="str">
        <f aca="false">IF(INDEX(選手一覧!$G$5:$G$2736,$F821)="","",INDEX(選手一覧!$G$5:$G$2736,$F821))</f>
        <v/>
      </c>
    </row>
    <row r="822" customFormat="false" ht="15" hidden="false" customHeight="false" outlineLevel="0" collapsed="false">
      <c r="A822" s="12" t="n">
        <v>819</v>
      </c>
      <c r="B822" s="8" t="s">
        <v>2167</v>
      </c>
      <c r="C822" s="8" t="s">
        <v>2168</v>
      </c>
      <c r="D822" s="11" t="n">
        <v>0.00288518518518519</v>
      </c>
      <c r="E822" s="39" t="n">
        <f aca="false">ROUND((D822-$D$5)*86400,2)</f>
        <v>24.25</v>
      </c>
      <c r="F822" s="12" t="n">
        <v>1383</v>
      </c>
      <c r="G822" s="11" t="str">
        <f aca="false">IF(INDEX(選手一覧!$D$5:$D$2736,$F822)="","",INDEX(選手一覧!$D$5:$D$2736,$F822))</f>
        <v/>
      </c>
      <c r="H822" s="12" t="str">
        <f aca="false">IF(INDEX(選手一覧!$E$5:$E$2736,$F822)="","",INDEX(選手一覧!$E$5:$E$2736,$F822))</f>
        <v/>
      </c>
      <c r="I822" s="11" t="n">
        <f aca="false">IF(INDEX(選手一覧!$F$5:$F$2736,$F822)="","",INDEX(選手一覧!$F$5:$F$2736,$F822))</f>
        <v>0.00691747685185185</v>
      </c>
      <c r="J822" s="12" t="n">
        <f aca="false">IF(INDEX(選手一覧!$G$5:$G$2736,$F822)="","",INDEX(選手一覧!$G$5:$G$2736,$F822))</f>
        <v>253</v>
      </c>
    </row>
    <row r="823" customFormat="false" ht="15" hidden="false" customHeight="false" outlineLevel="0" collapsed="false">
      <c r="A823" s="12" t="n">
        <v>820</v>
      </c>
      <c r="B823" s="8" t="s">
        <v>928</v>
      </c>
      <c r="C823" s="8" t="s">
        <v>929</v>
      </c>
      <c r="D823" s="11" t="n">
        <v>0.00288518518518519</v>
      </c>
      <c r="E823" s="39" t="n">
        <f aca="false">ROUND((D823-$D$5)*86400,2)</f>
        <v>24.25</v>
      </c>
      <c r="F823" s="12" t="n">
        <v>533</v>
      </c>
      <c r="G823" s="11" t="n">
        <f aca="false">IF(INDEX(選手一覧!$D$5:$D$2736,$F823)="","",INDEX(選手一覧!$D$5:$D$2736,$F823))</f>
        <v>0.0106591435185185</v>
      </c>
      <c r="H823" s="12" t="n">
        <f aca="false">IF(INDEX(選手一覧!$E$5:$E$2736,$F823)="","",INDEX(選手一覧!$E$5:$E$2736,$F823))</f>
        <v>534</v>
      </c>
      <c r="I823" s="11" t="n">
        <f aca="false">IF(INDEX(選手一覧!$F$5:$F$2736,$F823)="","",INDEX(選手一覧!$F$5:$F$2736,$F823))</f>
        <v>0.00670185185185185</v>
      </c>
      <c r="J823" s="12" t="n">
        <f aca="false">IF(INDEX(選手一覧!$G$5:$G$2736,$F823)="","",INDEX(選手一覧!$G$5:$G$2736,$F823))</f>
        <v>109</v>
      </c>
    </row>
    <row r="824" customFormat="false" ht="15" hidden="false" customHeight="false" outlineLevel="0" collapsed="false">
      <c r="A824" s="12" t="n">
        <v>821</v>
      </c>
      <c r="B824" s="8" t="s">
        <v>957</v>
      </c>
      <c r="C824" s="8" t="s">
        <v>958</v>
      </c>
      <c r="D824" s="11" t="n">
        <v>0.00288541666666667</v>
      </c>
      <c r="E824" s="39" t="n">
        <f aca="false">ROUND((D824-$D$5)*86400,2)</f>
        <v>24.27</v>
      </c>
      <c r="F824" s="12" t="n">
        <v>552</v>
      </c>
      <c r="G824" s="11" t="n">
        <f aca="false">IF(INDEX(選手一覧!$D$5:$D$2736,$F824)="","",INDEX(選手一覧!$D$5:$D$2736,$F824))</f>
        <v>0.0106737268518519</v>
      </c>
      <c r="H824" s="12" t="n">
        <f aca="false">IF(INDEX(選手一覧!$E$5:$E$2736,$F824)="","",INDEX(選手一覧!$E$5:$E$2736,$F824))</f>
        <v>553</v>
      </c>
      <c r="I824" s="11" t="n">
        <f aca="false">IF(INDEX(選手一覧!$F$5:$F$2736,$F824)="","",INDEX(選手一覧!$F$5:$F$2736,$F824))</f>
        <v>0.00646342592592593</v>
      </c>
      <c r="J824" s="12" t="n">
        <f aca="false">IF(INDEX(選手一覧!$G$5:$G$2736,$F824)="","",INDEX(選手一覧!$G$5:$G$2736,$F824))</f>
        <v>28</v>
      </c>
    </row>
    <row r="825" customFormat="false" ht="15" hidden="false" customHeight="false" outlineLevel="0" collapsed="false">
      <c r="A825" s="12" t="n">
        <v>822</v>
      </c>
      <c r="B825" s="8" t="s">
        <v>358</v>
      </c>
      <c r="C825" s="8" t="s">
        <v>44</v>
      </c>
      <c r="D825" s="11" t="n">
        <v>0.00288576388888889</v>
      </c>
      <c r="E825" s="39" t="n">
        <f aca="false">ROUND((D825-$D$5)*86400,2)</f>
        <v>24.3</v>
      </c>
      <c r="F825" s="12" t="n">
        <v>178</v>
      </c>
      <c r="G825" s="11" t="n">
        <f aca="false">IF(INDEX(選手一覧!$D$5:$D$2736,$F825)="","",INDEX(選手一覧!$D$5:$D$2736,$F825))</f>
        <v>0.0103261574074074</v>
      </c>
      <c r="H825" s="12" t="n">
        <f aca="false">IF(INDEX(選手一覧!$E$5:$E$2736,$F825)="","",INDEX(選手一覧!$E$5:$E$2736,$F825))</f>
        <v>179</v>
      </c>
      <c r="I825" s="11" t="str">
        <f aca="false">IF(INDEX(選手一覧!$F$5:$F$2736,$F825)="","",INDEX(選手一覧!$F$5:$F$2736,$F825))</f>
        <v/>
      </c>
      <c r="J825" s="12" t="str">
        <f aca="false">IF(INDEX(選手一覧!$G$5:$G$2736,$F825)="","",INDEX(選手一覧!$G$5:$G$2736,$F825))</f>
        <v/>
      </c>
    </row>
    <row r="826" customFormat="false" ht="15" hidden="false" customHeight="false" outlineLevel="0" collapsed="false">
      <c r="A826" s="12" t="n">
        <v>823</v>
      </c>
      <c r="B826" s="8" t="s">
        <v>2031</v>
      </c>
      <c r="C826" s="8" t="s">
        <v>594</v>
      </c>
      <c r="D826" s="11" t="n">
        <v>0.00288576388888889</v>
      </c>
      <c r="E826" s="39" t="n">
        <f aca="false">ROUND((D826-$D$5)*86400,2)</f>
        <v>24.3</v>
      </c>
      <c r="F826" s="12" t="n">
        <v>1289</v>
      </c>
      <c r="G826" s="11" t="n">
        <f aca="false">IF(INDEX(選手一覧!$D$5:$D$2736,$F826)="","",INDEX(選手一覧!$D$5:$D$2736,$F826))</f>
        <v>0.0111222222222222</v>
      </c>
      <c r="H826" s="12" t="n">
        <f aca="false">IF(INDEX(選手一覧!$E$5:$E$2736,$F826)="","",INDEX(選手一覧!$E$5:$E$2736,$F826))</f>
        <v>1290</v>
      </c>
      <c r="I826" s="11" t="str">
        <f aca="false">IF(INDEX(選手一覧!$F$5:$F$2736,$F826)="","",INDEX(選手一覧!$F$5:$F$2736,$F826))</f>
        <v/>
      </c>
      <c r="J826" s="12" t="str">
        <f aca="false">IF(INDEX(選手一覧!$G$5:$G$2736,$F826)="","",INDEX(選手一覧!$G$5:$G$2736,$F826))</f>
        <v/>
      </c>
    </row>
    <row r="827" customFormat="false" ht="15" hidden="false" customHeight="false" outlineLevel="0" collapsed="false">
      <c r="A827" s="12" t="n">
        <v>824</v>
      </c>
      <c r="B827" s="8" t="s">
        <v>1433</v>
      </c>
      <c r="C827" s="8" t="s">
        <v>304</v>
      </c>
      <c r="D827" s="11" t="n">
        <v>0.00288599537037037</v>
      </c>
      <c r="E827" s="39" t="n">
        <f aca="false">ROUND((D827-$D$5)*86400,2)</f>
        <v>24.32</v>
      </c>
      <c r="F827" s="12" t="n">
        <v>872</v>
      </c>
      <c r="G827" s="11" t="n">
        <f aca="false">IF(INDEX(選手一覧!$D$5:$D$2736,$F827)="","",INDEX(選手一覧!$D$5:$D$2736,$F827))</f>
        <v>0.0108726851851852</v>
      </c>
      <c r="H827" s="12" t="n">
        <f aca="false">IF(INDEX(選手一覧!$E$5:$E$2736,$F827)="","",INDEX(選手一覧!$E$5:$E$2736,$F827))</f>
        <v>873</v>
      </c>
      <c r="I827" s="11" t="str">
        <f aca="false">IF(INDEX(選手一覧!$F$5:$F$2736,$F827)="","",INDEX(選手一覧!$F$5:$F$2736,$F827))</f>
        <v/>
      </c>
      <c r="J827" s="12" t="str">
        <f aca="false">IF(INDEX(選手一覧!$G$5:$G$2736,$F827)="","",INDEX(選手一覧!$G$5:$G$2736,$F827))</f>
        <v/>
      </c>
    </row>
    <row r="828" customFormat="false" ht="15" hidden="false" customHeight="false" outlineLevel="0" collapsed="false">
      <c r="A828" s="12" t="n">
        <v>825</v>
      </c>
      <c r="B828" s="8" t="s">
        <v>3043</v>
      </c>
      <c r="C828" s="8" t="s">
        <v>197</v>
      </c>
      <c r="D828" s="11" t="n">
        <v>0.00288611111111111</v>
      </c>
      <c r="E828" s="39" t="n">
        <f aca="false">ROUND((D828-$D$5)*86400,2)</f>
        <v>24.33</v>
      </c>
      <c r="F828" s="12" t="n">
        <v>1965</v>
      </c>
      <c r="G828" s="11" t="str">
        <f aca="false">IF(INDEX(選手一覧!$D$5:$D$2736,$F828)="","",INDEX(選手一覧!$D$5:$D$2736,$F828))</f>
        <v/>
      </c>
      <c r="H828" s="12" t="str">
        <f aca="false">IF(INDEX(選手一覧!$E$5:$E$2736,$F828)="","",INDEX(選手一覧!$E$5:$E$2736,$F828))</f>
        <v/>
      </c>
      <c r="I828" s="11" t="str">
        <f aca="false">IF(INDEX(選手一覧!$F$5:$F$2736,$F828)="","",INDEX(選手一覧!$F$5:$F$2736,$F828))</f>
        <v/>
      </c>
      <c r="J828" s="12" t="str">
        <f aca="false">IF(INDEX(選手一覧!$G$5:$G$2736,$F828)="","",INDEX(選手一覧!$G$5:$G$2736,$F828))</f>
        <v/>
      </c>
    </row>
    <row r="829" customFormat="false" ht="15" hidden="false" customHeight="false" outlineLevel="0" collapsed="false">
      <c r="A829" s="12" t="n">
        <v>826</v>
      </c>
      <c r="B829" s="8" t="s">
        <v>379</v>
      </c>
      <c r="C829" s="8" t="s">
        <v>150</v>
      </c>
      <c r="D829" s="11" t="n">
        <v>0.00288611111111111</v>
      </c>
      <c r="E829" s="39" t="n">
        <f aca="false">ROUND((D829-$D$5)*86400,2)</f>
        <v>24.33</v>
      </c>
      <c r="F829" s="12" t="n">
        <v>191</v>
      </c>
      <c r="G829" s="11" t="n">
        <f aca="false">IF(INDEX(選手一覧!$D$5:$D$2736,$F829)="","",INDEX(選手一覧!$D$5:$D$2736,$F829))</f>
        <v>0.010340162037037</v>
      </c>
      <c r="H829" s="12" t="n">
        <f aca="false">IF(INDEX(選手一覧!$E$5:$E$2736,$F829)="","",INDEX(選手一覧!$E$5:$E$2736,$F829))</f>
        <v>192</v>
      </c>
      <c r="I829" s="11" t="str">
        <f aca="false">IF(INDEX(選手一覧!$F$5:$F$2736,$F829)="","",INDEX(選手一覧!$F$5:$F$2736,$F829))</f>
        <v/>
      </c>
      <c r="J829" s="12" t="str">
        <f aca="false">IF(INDEX(選手一覧!$G$5:$G$2736,$F829)="","",INDEX(選手一覧!$G$5:$G$2736,$F829))</f>
        <v/>
      </c>
    </row>
    <row r="830" customFormat="false" ht="15" hidden="false" customHeight="false" outlineLevel="0" collapsed="false">
      <c r="A830" s="12" t="n">
        <v>827</v>
      </c>
      <c r="B830" s="8" t="s">
        <v>3045</v>
      </c>
      <c r="C830" s="8" t="s">
        <v>2106</v>
      </c>
      <c r="D830" s="11" t="n">
        <v>0.00288657407407407</v>
      </c>
      <c r="E830" s="39" t="n">
        <f aca="false">ROUND((D830-$D$5)*86400,2)</f>
        <v>24.37</v>
      </c>
      <c r="F830" s="12" t="n">
        <v>1967</v>
      </c>
      <c r="G830" s="11" t="str">
        <f aca="false">IF(INDEX(選手一覧!$D$5:$D$2736,$F830)="","",INDEX(選手一覧!$D$5:$D$2736,$F830))</f>
        <v/>
      </c>
      <c r="H830" s="12" t="str">
        <f aca="false">IF(INDEX(選手一覧!$E$5:$E$2736,$F830)="","",INDEX(選手一覧!$E$5:$E$2736,$F830))</f>
        <v/>
      </c>
      <c r="I830" s="11" t="n">
        <f aca="false">IF(INDEX(選手一覧!$F$5:$F$2736,$F830)="","",INDEX(選手一覧!$F$5:$F$2736,$F830))</f>
        <v>0.00825486111111111</v>
      </c>
      <c r="J830" s="12" t="n">
        <f aca="false">IF(INDEX(選手一覧!$G$5:$G$2736,$F830)="","",INDEX(選手一覧!$G$5:$G$2736,$F830))</f>
        <v>1244</v>
      </c>
    </row>
    <row r="831" customFormat="false" ht="15" hidden="false" customHeight="false" outlineLevel="0" collapsed="false">
      <c r="A831" s="12" t="n">
        <v>828</v>
      </c>
      <c r="B831" s="8" t="s">
        <v>1468</v>
      </c>
      <c r="C831" s="8" t="s">
        <v>1469</v>
      </c>
      <c r="D831" s="11" t="n">
        <v>0.00288657407407407</v>
      </c>
      <c r="E831" s="39" t="n">
        <f aca="false">ROUND((D831-$D$5)*86400,2)</f>
        <v>24.37</v>
      </c>
      <c r="F831" s="12" t="n">
        <v>896</v>
      </c>
      <c r="G831" s="11" t="n">
        <f aca="false">IF(INDEX(選手一覧!$D$5:$D$2736,$F831)="","",INDEX(選手一覧!$D$5:$D$2736,$F831))</f>
        <v>0.0108834490740741</v>
      </c>
      <c r="H831" s="12" t="n">
        <f aca="false">IF(INDEX(選手一覧!$E$5:$E$2736,$F831)="","",INDEX(選手一覧!$E$5:$E$2736,$F831))</f>
        <v>897</v>
      </c>
      <c r="I831" s="11" t="str">
        <f aca="false">IF(INDEX(選手一覧!$F$5:$F$2736,$F831)="","",INDEX(選手一覧!$F$5:$F$2736,$F831))</f>
        <v/>
      </c>
      <c r="J831" s="12" t="str">
        <f aca="false">IF(INDEX(選手一覧!$G$5:$G$2736,$F831)="","",INDEX(選手一覧!$G$5:$G$2736,$F831))</f>
        <v/>
      </c>
    </row>
    <row r="832" customFormat="false" ht="15" hidden="false" customHeight="false" outlineLevel="0" collapsed="false">
      <c r="A832" s="12" t="n">
        <v>829</v>
      </c>
      <c r="B832" s="8" t="s">
        <v>703</v>
      </c>
      <c r="C832" s="8" t="s">
        <v>704</v>
      </c>
      <c r="D832" s="11" t="n">
        <v>0.00288657407407407</v>
      </c>
      <c r="E832" s="39" t="n">
        <f aca="false">ROUND((D832-$D$5)*86400,2)</f>
        <v>24.37</v>
      </c>
      <c r="F832" s="12" t="n">
        <v>393</v>
      </c>
      <c r="G832" s="11" t="n">
        <f aca="false">IF(INDEX(選手一覧!$D$5:$D$2736,$F832)="","",INDEX(選手一覧!$D$5:$D$2736,$F832))</f>
        <v>0.0105475694444444</v>
      </c>
      <c r="H832" s="12" t="n">
        <f aca="false">IF(INDEX(選手一覧!$E$5:$E$2736,$F832)="","",INDEX(選手一覧!$E$5:$E$2736,$F832))</f>
        <v>394</v>
      </c>
      <c r="I832" s="11" t="str">
        <f aca="false">IF(INDEX(選手一覧!$F$5:$F$2736,$F832)="","",INDEX(選手一覧!$F$5:$F$2736,$F832))</f>
        <v/>
      </c>
      <c r="J832" s="12" t="str">
        <f aca="false">IF(INDEX(選手一覧!$G$5:$G$2736,$F832)="","",INDEX(選手一覧!$G$5:$G$2736,$F832))</f>
        <v/>
      </c>
    </row>
    <row r="833" customFormat="false" ht="15" hidden="false" customHeight="false" outlineLevel="0" collapsed="false">
      <c r="A833" s="12" t="n">
        <v>830</v>
      </c>
      <c r="B833" s="8" t="s">
        <v>3053</v>
      </c>
      <c r="C833" s="8" t="s">
        <v>3054</v>
      </c>
      <c r="D833" s="11" t="n">
        <v>0.00288668981481482</v>
      </c>
      <c r="E833" s="39" t="n">
        <f aca="false">ROUND((D833-$D$5)*86400,2)</f>
        <v>24.38</v>
      </c>
      <c r="F833" s="12" t="n">
        <v>1972</v>
      </c>
      <c r="G833" s="11" t="str">
        <f aca="false">IF(INDEX(選手一覧!$D$5:$D$2736,$F833)="","",INDEX(選手一覧!$D$5:$D$2736,$F833))</f>
        <v/>
      </c>
      <c r="H833" s="12" t="str">
        <f aca="false">IF(INDEX(選手一覧!$E$5:$E$2736,$F833)="","",INDEX(選手一覧!$E$5:$E$2736,$F833))</f>
        <v/>
      </c>
      <c r="I833" s="11" t="str">
        <f aca="false">IF(INDEX(選手一覧!$F$5:$F$2736,$F833)="","",INDEX(選手一覧!$F$5:$F$2736,$F833))</f>
        <v/>
      </c>
      <c r="J833" s="12" t="str">
        <f aca="false">IF(INDEX(選手一覧!$G$5:$G$2736,$F833)="","",INDEX(選手一覧!$G$5:$G$2736,$F833))</f>
        <v/>
      </c>
    </row>
    <row r="834" customFormat="false" ht="15" hidden="false" customHeight="false" outlineLevel="0" collapsed="false">
      <c r="A834" s="12" t="n">
        <v>831</v>
      </c>
      <c r="B834" s="8" t="s">
        <v>3057</v>
      </c>
      <c r="C834" s="8" t="s">
        <v>525</v>
      </c>
      <c r="D834" s="11" t="n">
        <v>0.00288680555555556</v>
      </c>
      <c r="E834" s="39" t="n">
        <f aca="false">ROUND((D834-$D$5)*86400,2)</f>
        <v>24.39</v>
      </c>
      <c r="F834" s="12" t="n">
        <v>1974</v>
      </c>
      <c r="G834" s="11" t="str">
        <f aca="false">IF(INDEX(選手一覧!$D$5:$D$2736,$F834)="","",INDEX(選手一覧!$D$5:$D$2736,$F834))</f>
        <v/>
      </c>
      <c r="H834" s="12" t="str">
        <f aca="false">IF(INDEX(選手一覧!$E$5:$E$2736,$F834)="","",INDEX(選手一覧!$E$5:$E$2736,$F834))</f>
        <v/>
      </c>
      <c r="I834" s="11" t="str">
        <f aca="false">IF(INDEX(選手一覧!$F$5:$F$2736,$F834)="","",INDEX(選手一覧!$F$5:$F$2736,$F834))</f>
        <v/>
      </c>
      <c r="J834" s="12" t="str">
        <f aca="false">IF(INDEX(選手一覧!$G$5:$G$2736,$F834)="","",INDEX(選手一覧!$G$5:$G$2736,$F834))</f>
        <v/>
      </c>
    </row>
    <row r="835" customFormat="false" ht="15" hidden="false" customHeight="false" outlineLevel="0" collapsed="false">
      <c r="A835" s="12" t="n">
        <v>832</v>
      </c>
      <c r="B835" s="8" t="s">
        <v>2751</v>
      </c>
      <c r="C835" s="8" t="s">
        <v>1713</v>
      </c>
      <c r="D835" s="11" t="n">
        <v>0.0028869212962963</v>
      </c>
      <c r="E835" s="39" t="n">
        <f aca="false">ROUND((D835-$D$5)*86400,2)</f>
        <v>24.4</v>
      </c>
      <c r="F835" s="12" t="n">
        <v>1768</v>
      </c>
      <c r="G835" s="11" t="str">
        <f aca="false">IF(INDEX(選手一覧!$D$5:$D$2736,$F835)="","",INDEX(選手一覧!$D$5:$D$2736,$F835))</f>
        <v/>
      </c>
      <c r="H835" s="12" t="str">
        <f aca="false">IF(INDEX(選手一覧!$E$5:$E$2736,$F835)="","",INDEX(選手一覧!$E$5:$E$2736,$F835))</f>
        <v/>
      </c>
      <c r="I835" s="11" t="n">
        <f aca="false">IF(INDEX(選手一覧!$F$5:$F$2736,$F835)="","",INDEX(選手一覧!$F$5:$F$2736,$F835))</f>
        <v>0.00731782407407407</v>
      </c>
      <c r="J835" s="12" t="n">
        <f aca="false">IF(INDEX(選手一覧!$G$5:$G$2736,$F835)="","",INDEX(選手一覧!$G$5:$G$2736,$F835))</f>
        <v>667</v>
      </c>
    </row>
    <row r="836" customFormat="false" ht="15" hidden="false" customHeight="false" outlineLevel="0" collapsed="false">
      <c r="A836" s="12" t="n">
        <v>833</v>
      </c>
      <c r="B836" s="8" t="s">
        <v>1812</v>
      </c>
      <c r="C836" s="8" t="s">
        <v>1813</v>
      </c>
      <c r="D836" s="11" t="n">
        <v>0.0028869212962963</v>
      </c>
      <c r="E836" s="39" t="n">
        <f aca="false">ROUND((D836-$D$5)*86400,2)</f>
        <v>24.4</v>
      </c>
      <c r="F836" s="12" t="n">
        <v>1127</v>
      </c>
      <c r="G836" s="11" t="n">
        <f aca="false">IF(INDEX(選手一覧!$D$5:$D$2736,$F836)="","",INDEX(選手一覧!$D$5:$D$2736,$F836))</f>
        <v>0.0110190972222222</v>
      </c>
      <c r="H836" s="12" t="n">
        <f aca="false">IF(INDEX(選手一覧!$E$5:$E$2736,$F836)="","",INDEX(選手一覧!$E$5:$E$2736,$F836))</f>
        <v>1128</v>
      </c>
      <c r="I836" s="11" t="str">
        <f aca="false">IF(INDEX(選手一覧!$F$5:$F$2736,$F836)="","",INDEX(選手一覧!$F$5:$F$2736,$F836))</f>
        <v/>
      </c>
      <c r="J836" s="12" t="str">
        <f aca="false">IF(INDEX(選手一覧!$G$5:$G$2736,$F836)="","",INDEX(選手一覧!$G$5:$G$2736,$F836))</f>
        <v/>
      </c>
    </row>
    <row r="837" customFormat="false" ht="15" hidden="false" customHeight="false" outlineLevel="0" collapsed="false">
      <c r="A837" s="12" t="n">
        <v>834</v>
      </c>
      <c r="B837" s="8" t="s">
        <v>3062</v>
      </c>
      <c r="C837" s="8" t="s">
        <v>2496</v>
      </c>
      <c r="D837" s="11" t="n">
        <v>0.00288703703703704</v>
      </c>
      <c r="E837" s="39" t="n">
        <f aca="false">ROUND((D837-$D$5)*86400,2)</f>
        <v>24.41</v>
      </c>
      <c r="F837" s="12" t="n">
        <v>1978</v>
      </c>
      <c r="G837" s="11" t="str">
        <f aca="false">IF(INDEX(選手一覧!$D$5:$D$2736,$F837)="","",INDEX(選手一覧!$D$5:$D$2736,$F837))</f>
        <v/>
      </c>
      <c r="H837" s="12" t="str">
        <f aca="false">IF(INDEX(選手一覧!$E$5:$E$2736,$F837)="","",INDEX(選手一覧!$E$5:$E$2736,$F837))</f>
        <v/>
      </c>
      <c r="I837" s="11" t="str">
        <f aca="false">IF(INDEX(選手一覧!$F$5:$F$2736,$F837)="","",INDEX(選手一覧!$F$5:$F$2736,$F837))</f>
        <v/>
      </c>
      <c r="J837" s="12" t="str">
        <f aca="false">IF(INDEX(選手一覧!$G$5:$G$2736,$F837)="","",INDEX(選手一覧!$G$5:$G$2736,$F837))</f>
        <v/>
      </c>
    </row>
    <row r="838" customFormat="false" ht="15" hidden="false" customHeight="false" outlineLevel="0" collapsed="false">
      <c r="A838" s="12" t="n">
        <v>835</v>
      </c>
      <c r="B838" s="8" t="s">
        <v>1196</v>
      </c>
      <c r="C838" s="8" t="s">
        <v>750</v>
      </c>
      <c r="D838" s="11" t="n">
        <v>0.00288703703703704</v>
      </c>
      <c r="E838" s="39" t="n">
        <f aca="false">ROUND((D838-$D$5)*86400,2)</f>
        <v>24.41</v>
      </c>
      <c r="F838" s="12" t="n">
        <v>715</v>
      </c>
      <c r="G838" s="11" t="n">
        <f aca="false">IF(INDEX(選手一覧!$D$5:$D$2736,$F838)="","",INDEX(選手一覧!$D$5:$D$2736,$F838))</f>
        <v>0.0107875</v>
      </c>
      <c r="H838" s="12" t="n">
        <f aca="false">IF(INDEX(選手一覧!$E$5:$E$2736,$F838)="","",INDEX(選手一覧!$E$5:$E$2736,$F838))</f>
        <v>716</v>
      </c>
      <c r="I838" s="11" t="str">
        <f aca="false">IF(INDEX(選手一覧!$F$5:$F$2736,$F838)="","",INDEX(選手一覧!$F$5:$F$2736,$F838))</f>
        <v/>
      </c>
      <c r="J838" s="12" t="str">
        <f aca="false">IF(INDEX(選手一覧!$G$5:$G$2736,$F838)="","",INDEX(選手一覧!$G$5:$G$2736,$F838))</f>
        <v/>
      </c>
    </row>
    <row r="839" customFormat="false" ht="15" hidden="false" customHeight="false" outlineLevel="0" collapsed="false">
      <c r="A839" s="12" t="n">
        <v>836</v>
      </c>
      <c r="B839" s="8" t="s">
        <v>3066</v>
      </c>
      <c r="C839" s="8" t="s">
        <v>145</v>
      </c>
      <c r="D839" s="11" t="n">
        <v>0.00288703703703704</v>
      </c>
      <c r="E839" s="39" t="n">
        <f aca="false">ROUND((D839-$D$5)*86400,2)</f>
        <v>24.41</v>
      </c>
      <c r="F839" s="12" t="n">
        <v>1981</v>
      </c>
      <c r="G839" s="11" t="str">
        <f aca="false">IF(INDEX(選手一覧!$D$5:$D$2736,$F839)="","",INDEX(選手一覧!$D$5:$D$2736,$F839))</f>
        <v/>
      </c>
      <c r="H839" s="12" t="str">
        <f aca="false">IF(INDEX(選手一覧!$E$5:$E$2736,$F839)="","",INDEX(選手一覧!$E$5:$E$2736,$F839))</f>
        <v/>
      </c>
      <c r="I839" s="11" t="str">
        <f aca="false">IF(INDEX(選手一覧!$F$5:$F$2736,$F839)="","",INDEX(選手一覧!$F$5:$F$2736,$F839))</f>
        <v/>
      </c>
      <c r="J839" s="12" t="str">
        <f aca="false">IF(INDEX(選手一覧!$G$5:$G$2736,$F839)="","",INDEX(選手一覧!$G$5:$G$2736,$F839))</f>
        <v/>
      </c>
    </row>
    <row r="840" customFormat="false" ht="15" hidden="false" customHeight="false" outlineLevel="0" collapsed="false">
      <c r="A840" s="12" t="n">
        <v>837</v>
      </c>
      <c r="B840" s="8" t="s">
        <v>925</v>
      </c>
      <c r="C840" s="8" t="s">
        <v>926</v>
      </c>
      <c r="D840" s="11" t="n">
        <v>0.00288715277777778</v>
      </c>
      <c r="E840" s="39" t="n">
        <f aca="false">ROUND((D840-$D$5)*86400,2)</f>
        <v>24.42</v>
      </c>
      <c r="F840" s="12" t="n">
        <v>532</v>
      </c>
      <c r="G840" s="11" t="n">
        <f aca="false">IF(INDEX(選手一覧!$D$5:$D$2736,$F840)="","",INDEX(選手一覧!$D$5:$D$2736,$F840))</f>
        <v>0.0106582175925926</v>
      </c>
      <c r="H840" s="12" t="n">
        <f aca="false">IF(INDEX(選手一覧!$E$5:$E$2736,$F840)="","",INDEX(選手一覧!$E$5:$E$2736,$F840))</f>
        <v>533</v>
      </c>
      <c r="I840" s="11" t="str">
        <f aca="false">IF(INDEX(選手一覧!$F$5:$F$2736,$F840)="","",INDEX(選手一覧!$F$5:$F$2736,$F840))</f>
        <v/>
      </c>
      <c r="J840" s="12" t="str">
        <f aca="false">IF(INDEX(選手一覧!$G$5:$G$2736,$F840)="","",INDEX(選手一覧!$G$5:$G$2736,$F840))</f>
        <v/>
      </c>
    </row>
    <row r="841" customFormat="false" ht="15" hidden="false" customHeight="false" outlineLevel="0" collapsed="false">
      <c r="A841" s="12" t="n">
        <v>838</v>
      </c>
      <c r="B841" s="8" t="s">
        <v>3071</v>
      </c>
      <c r="C841" s="8" t="s">
        <v>1134</v>
      </c>
      <c r="D841" s="11" t="n">
        <v>0.00288738425925926</v>
      </c>
      <c r="E841" s="39" t="n">
        <f aca="false">ROUND((D841-$D$5)*86400,2)</f>
        <v>24.44</v>
      </c>
      <c r="F841" s="12" t="n">
        <v>1984</v>
      </c>
      <c r="G841" s="11" t="str">
        <f aca="false">IF(INDEX(選手一覧!$D$5:$D$2736,$F841)="","",INDEX(選手一覧!$D$5:$D$2736,$F841))</f>
        <v/>
      </c>
      <c r="H841" s="12" t="str">
        <f aca="false">IF(INDEX(選手一覧!$E$5:$E$2736,$F841)="","",INDEX(選手一覧!$E$5:$E$2736,$F841))</f>
        <v/>
      </c>
      <c r="I841" s="11" t="str">
        <f aca="false">IF(INDEX(選手一覧!$F$5:$F$2736,$F841)="","",INDEX(選手一覧!$F$5:$F$2736,$F841))</f>
        <v/>
      </c>
      <c r="J841" s="12" t="str">
        <f aca="false">IF(INDEX(選手一覧!$G$5:$G$2736,$F841)="","",INDEX(選手一覧!$G$5:$G$2736,$F841))</f>
        <v/>
      </c>
    </row>
    <row r="842" customFormat="false" ht="15" hidden="false" customHeight="false" outlineLevel="0" collapsed="false">
      <c r="A842" s="12" t="n">
        <v>839</v>
      </c>
      <c r="B842" s="8" t="s">
        <v>1546</v>
      </c>
      <c r="C842" s="8" t="s">
        <v>433</v>
      </c>
      <c r="D842" s="11" t="n">
        <v>0.0028875</v>
      </c>
      <c r="E842" s="39" t="n">
        <f aca="false">ROUND((D842-$D$5)*86400,2)</f>
        <v>24.45</v>
      </c>
      <c r="F842" s="12" t="n">
        <v>949</v>
      </c>
      <c r="G842" s="11" t="n">
        <f aca="false">IF(INDEX(選手一覧!$D$5:$D$2736,$F842)="","",INDEX(選手一覧!$D$5:$D$2736,$F842))</f>
        <v>0.0109190972222222</v>
      </c>
      <c r="H842" s="12" t="n">
        <f aca="false">IF(INDEX(選手一覧!$E$5:$E$2736,$F842)="","",INDEX(選手一覧!$E$5:$E$2736,$F842))</f>
        <v>950</v>
      </c>
      <c r="I842" s="11" t="str">
        <f aca="false">IF(INDEX(選手一覧!$F$5:$F$2736,$F842)="","",INDEX(選手一覧!$F$5:$F$2736,$F842))</f>
        <v/>
      </c>
      <c r="J842" s="12" t="str">
        <f aca="false">IF(INDEX(選手一覧!$G$5:$G$2736,$F842)="","",INDEX(選手一覧!$G$5:$G$2736,$F842))</f>
        <v/>
      </c>
    </row>
    <row r="843" customFormat="false" ht="15" hidden="false" customHeight="false" outlineLevel="0" collapsed="false">
      <c r="A843" s="12" t="n">
        <v>840</v>
      </c>
      <c r="B843" s="8" t="s">
        <v>2202</v>
      </c>
      <c r="C843" s="8" t="s">
        <v>73</v>
      </c>
      <c r="D843" s="11" t="n">
        <v>0.00288761574074074</v>
      </c>
      <c r="E843" s="39" t="n">
        <f aca="false">ROUND((D843-$D$5)*86400,2)</f>
        <v>24.46</v>
      </c>
      <c r="F843" s="12" t="n">
        <v>1408</v>
      </c>
      <c r="G843" s="11" t="str">
        <f aca="false">IF(INDEX(選手一覧!$D$5:$D$2736,$F843)="","",INDEX(選手一覧!$D$5:$D$2736,$F843))</f>
        <v/>
      </c>
      <c r="H843" s="12" t="str">
        <f aca="false">IF(INDEX(選手一覧!$E$5:$E$2736,$F843)="","",INDEX(選手一覧!$E$5:$E$2736,$F843))</f>
        <v/>
      </c>
      <c r="I843" s="11" t="n">
        <f aca="false">IF(INDEX(選手一覧!$F$5:$F$2736,$F843)="","",INDEX(選手一覧!$F$5:$F$2736,$F843))</f>
        <v>0.00693865740740741</v>
      </c>
      <c r="J843" s="12" t="n">
        <f aca="false">IF(INDEX(選手一覧!$G$5:$G$2736,$F843)="","",INDEX(選手一覧!$G$5:$G$2736,$F843))</f>
        <v>281</v>
      </c>
    </row>
    <row r="844" customFormat="false" ht="15" hidden="false" customHeight="false" outlineLevel="0" collapsed="false">
      <c r="A844" s="12" t="n">
        <v>841</v>
      </c>
      <c r="B844" s="8" t="s">
        <v>1900</v>
      </c>
      <c r="C844" s="8" t="s">
        <v>1901</v>
      </c>
      <c r="D844" s="11" t="n">
        <v>0.00288773148148148</v>
      </c>
      <c r="E844" s="39" t="n">
        <f aca="false">ROUND((D844-$D$5)*86400,2)</f>
        <v>24.47</v>
      </c>
      <c r="F844" s="12" t="n">
        <v>1189</v>
      </c>
      <c r="G844" s="11" t="n">
        <f aca="false">IF(INDEX(選手一覧!$D$5:$D$2736,$F844)="","",INDEX(選手一覧!$D$5:$D$2736,$F844))</f>
        <v>0.0110453703703704</v>
      </c>
      <c r="H844" s="12" t="n">
        <f aca="false">IF(INDEX(選手一覧!$E$5:$E$2736,$F844)="","",INDEX(選手一覧!$E$5:$E$2736,$F844))</f>
        <v>1190</v>
      </c>
      <c r="I844" s="11" t="str">
        <f aca="false">IF(INDEX(選手一覧!$F$5:$F$2736,$F844)="","",INDEX(選手一覧!$F$5:$F$2736,$F844))</f>
        <v/>
      </c>
      <c r="J844" s="12" t="str">
        <f aca="false">IF(INDEX(選手一覧!$G$5:$G$2736,$F844)="","",INDEX(選手一覧!$G$5:$G$2736,$F844))</f>
        <v/>
      </c>
    </row>
    <row r="845" customFormat="false" ht="15" hidden="false" customHeight="false" outlineLevel="0" collapsed="false">
      <c r="A845" s="12" t="n">
        <v>842</v>
      </c>
      <c r="B845" s="8" t="s">
        <v>3076</v>
      </c>
      <c r="C845" s="8" t="s">
        <v>1721</v>
      </c>
      <c r="D845" s="11" t="n">
        <v>0.00288773148148148</v>
      </c>
      <c r="E845" s="39" t="n">
        <f aca="false">ROUND((D845-$D$5)*86400,2)</f>
        <v>24.47</v>
      </c>
      <c r="F845" s="12" t="n">
        <v>1987</v>
      </c>
      <c r="G845" s="11" t="str">
        <f aca="false">IF(INDEX(選手一覧!$D$5:$D$2736,$F845)="","",INDEX(選手一覧!$D$5:$D$2736,$F845))</f>
        <v/>
      </c>
      <c r="H845" s="12" t="str">
        <f aca="false">IF(INDEX(選手一覧!$E$5:$E$2736,$F845)="","",INDEX(選手一覧!$E$5:$E$2736,$F845))</f>
        <v/>
      </c>
      <c r="I845" s="11" t="str">
        <f aca="false">IF(INDEX(選手一覧!$F$5:$F$2736,$F845)="","",INDEX(選手一覧!$F$5:$F$2736,$F845))</f>
        <v/>
      </c>
      <c r="J845" s="12" t="str">
        <f aca="false">IF(INDEX(選手一覧!$G$5:$G$2736,$F845)="","",INDEX(選手一覧!$G$5:$G$2736,$F845))</f>
        <v/>
      </c>
    </row>
    <row r="846" customFormat="false" ht="15" hidden="false" customHeight="false" outlineLevel="0" collapsed="false">
      <c r="A846" s="12" t="n">
        <v>843</v>
      </c>
      <c r="B846" s="8" t="s">
        <v>3078</v>
      </c>
      <c r="C846" s="8" t="s">
        <v>3079</v>
      </c>
      <c r="D846" s="11" t="n">
        <v>0.00288784722222222</v>
      </c>
      <c r="E846" s="39" t="n">
        <f aca="false">ROUND((D846-$D$5)*86400,2)</f>
        <v>24.48</v>
      </c>
      <c r="F846" s="12" t="n">
        <v>1989</v>
      </c>
      <c r="G846" s="11" t="str">
        <f aca="false">IF(INDEX(選手一覧!$D$5:$D$2736,$F846)="","",INDEX(選手一覧!$D$5:$D$2736,$F846))</f>
        <v/>
      </c>
      <c r="H846" s="12" t="str">
        <f aca="false">IF(INDEX(選手一覧!$E$5:$E$2736,$F846)="","",INDEX(選手一覧!$E$5:$E$2736,$F846))</f>
        <v/>
      </c>
      <c r="I846" s="11" t="str">
        <f aca="false">IF(INDEX(選手一覧!$F$5:$F$2736,$F846)="","",INDEX(選手一覧!$F$5:$F$2736,$F846))</f>
        <v/>
      </c>
      <c r="J846" s="12" t="str">
        <f aca="false">IF(INDEX(選手一覧!$G$5:$G$2736,$F846)="","",INDEX(選手一覧!$G$5:$G$2736,$F846))</f>
        <v/>
      </c>
    </row>
    <row r="847" customFormat="false" ht="15" hidden="false" customHeight="false" outlineLevel="0" collapsed="false">
      <c r="A847" s="12" t="n">
        <v>844</v>
      </c>
      <c r="B847" s="8" t="s">
        <v>1617</v>
      </c>
      <c r="C847" s="8" t="s">
        <v>1618</v>
      </c>
      <c r="D847" s="11" t="n">
        <v>0.00288784722222222</v>
      </c>
      <c r="E847" s="39" t="n">
        <f aca="false">ROUND((D847-$D$5)*86400,2)</f>
        <v>24.48</v>
      </c>
      <c r="F847" s="12" t="n">
        <v>998</v>
      </c>
      <c r="G847" s="11" t="n">
        <f aca="false">IF(INDEX(選手一覧!$D$5:$D$2736,$F847)="","",INDEX(選手一覧!$D$5:$D$2736,$F847))</f>
        <v>0.0109497685185185</v>
      </c>
      <c r="H847" s="12" t="n">
        <f aca="false">IF(INDEX(選手一覧!$E$5:$E$2736,$F847)="","",INDEX(選手一覧!$E$5:$E$2736,$F847))</f>
        <v>999</v>
      </c>
      <c r="I847" s="11" t="str">
        <f aca="false">IF(INDEX(選手一覧!$F$5:$F$2736,$F847)="","",INDEX(選手一覧!$F$5:$F$2736,$F847))</f>
        <v/>
      </c>
      <c r="J847" s="12" t="str">
        <f aca="false">IF(INDEX(選手一覧!$G$5:$G$2736,$F847)="","",INDEX(選手一覧!$G$5:$G$2736,$F847))</f>
        <v/>
      </c>
    </row>
    <row r="848" customFormat="false" ht="15" hidden="false" customHeight="false" outlineLevel="0" collapsed="false">
      <c r="A848" s="12" t="n">
        <v>845</v>
      </c>
      <c r="B848" s="8" t="s">
        <v>1094</v>
      </c>
      <c r="C848" s="8" t="s">
        <v>688</v>
      </c>
      <c r="D848" s="11" t="n">
        <v>0.00288784722222222</v>
      </c>
      <c r="E848" s="39" t="n">
        <f aca="false">ROUND((D848-$D$5)*86400,2)</f>
        <v>24.48</v>
      </c>
      <c r="F848" s="12" t="n">
        <v>651</v>
      </c>
      <c r="G848" s="11" t="n">
        <f aca="false">IF(INDEX(選手一覧!$D$5:$D$2736,$F848)="","",INDEX(選手一覧!$D$5:$D$2736,$F848))</f>
        <v>0.0107398148148148</v>
      </c>
      <c r="H848" s="12" t="n">
        <f aca="false">IF(INDEX(選手一覧!$E$5:$E$2736,$F848)="","",INDEX(選手一覧!$E$5:$E$2736,$F848))</f>
        <v>652</v>
      </c>
      <c r="I848" s="11" t="n">
        <f aca="false">IF(INDEX(選手一覧!$F$5:$F$2736,$F848)="","",INDEX(選手一覧!$F$5:$F$2736,$F848))</f>
        <v>0.00695972222222222</v>
      </c>
      <c r="J848" s="12" t="n">
        <f aca="false">IF(INDEX(選手一覧!$G$5:$G$2736,$F848)="","",INDEX(選手一覧!$G$5:$G$2736,$F848))</f>
        <v>293</v>
      </c>
    </row>
    <row r="849" customFormat="false" ht="15" hidden="false" customHeight="false" outlineLevel="0" collapsed="false">
      <c r="A849" s="12" t="n">
        <v>846</v>
      </c>
      <c r="B849" s="8" t="s">
        <v>3084</v>
      </c>
      <c r="C849" s="8" t="s">
        <v>1689</v>
      </c>
      <c r="D849" s="11" t="n">
        <v>0.00288784722222222</v>
      </c>
      <c r="E849" s="39" t="n">
        <f aca="false">ROUND((D849-$D$5)*86400,2)</f>
        <v>24.48</v>
      </c>
      <c r="F849" s="12" t="n">
        <v>1993</v>
      </c>
      <c r="G849" s="11" t="str">
        <f aca="false">IF(INDEX(選手一覧!$D$5:$D$2736,$F849)="","",INDEX(選手一覧!$D$5:$D$2736,$F849))</f>
        <v/>
      </c>
      <c r="H849" s="12" t="str">
        <f aca="false">IF(INDEX(選手一覧!$E$5:$E$2736,$F849)="","",INDEX(選手一覧!$E$5:$E$2736,$F849))</f>
        <v/>
      </c>
      <c r="I849" s="11" t="str">
        <f aca="false">IF(INDEX(選手一覧!$F$5:$F$2736,$F849)="","",INDEX(選手一覧!$F$5:$F$2736,$F849))</f>
        <v/>
      </c>
      <c r="J849" s="12" t="str">
        <f aca="false">IF(INDEX(選手一覧!$G$5:$G$2736,$F849)="","",INDEX(選手一覧!$G$5:$G$2736,$F849))</f>
        <v/>
      </c>
    </row>
    <row r="850" customFormat="false" ht="15" hidden="false" customHeight="false" outlineLevel="0" collapsed="false">
      <c r="A850" s="12" t="n">
        <v>847</v>
      </c>
      <c r="B850" s="8" t="s">
        <v>1653</v>
      </c>
      <c r="C850" s="8" t="s">
        <v>1654</v>
      </c>
      <c r="D850" s="11" t="n">
        <v>0.00288796296296296</v>
      </c>
      <c r="E850" s="39" t="n">
        <f aca="false">ROUND((D850-$D$5)*86400,2)</f>
        <v>24.49</v>
      </c>
      <c r="F850" s="12" t="n">
        <v>1022</v>
      </c>
      <c r="G850" s="11" t="n">
        <f aca="false">IF(INDEX(選手一覧!$D$5:$D$2736,$F850)="","",INDEX(選手一覧!$D$5:$D$2736,$F850))</f>
        <v>0.0109631944444445</v>
      </c>
      <c r="H850" s="12" t="n">
        <f aca="false">IF(INDEX(選手一覧!$E$5:$E$2736,$F850)="","",INDEX(選手一覧!$E$5:$E$2736,$F850))</f>
        <v>1023</v>
      </c>
      <c r="I850" s="11" t="str">
        <f aca="false">IF(INDEX(選手一覧!$F$5:$F$2736,$F850)="","",INDEX(選手一覧!$F$5:$F$2736,$F850))</f>
        <v/>
      </c>
      <c r="J850" s="12" t="str">
        <f aca="false">IF(INDEX(選手一覧!$G$5:$G$2736,$F850)="","",INDEX(選手一覧!$G$5:$G$2736,$F850))</f>
        <v/>
      </c>
    </row>
    <row r="851" customFormat="false" ht="15" hidden="false" customHeight="false" outlineLevel="0" collapsed="false">
      <c r="A851" s="12" t="n">
        <v>848</v>
      </c>
      <c r="B851" s="8" t="s">
        <v>921</v>
      </c>
      <c r="C851" s="8" t="s">
        <v>922</v>
      </c>
      <c r="D851" s="11" t="n">
        <v>0.0028880787037037</v>
      </c>
      <c r="E851" s="39" t="n">
        <f aca="false">ROUND((D851-$D$5)*86400,2)</f>
        <v>24.5</v>
      </c>
      <c r="F851" s="12" t="n">
        <v>530</v>
      </c>
      <c r="G851" s="11" t="n">
        <f aca="false">IF(INDEX(選手一覧!$D$5:$D$2736,$F851)="","",INDEX(選手一覧!$D$5:$D$2736,$F851))</f>
        <v>0.0106542824074074</v>
      </c>
      <c r="H851" s="12" t="n">
        <f aca="false">IF(INDEX(選手一覧!$E$5:$E$2736,$F851)="","",INDEX(選手一覧!$E$5:$E$2736,$F851))</f>
        <v>531</v>
      </c>
      <c r="I851" s="11" t="n">
        <f aca="false">IF(INDEX(選手一覧!$F$5:$F$2736,$F851)="","",INDEX(選手一覧!$F$5:$F$2736,$F851))</f>
        <v>0.00679710648148148</v>
      </c>
      <c r="J851" s="12" t="n">
        <f aca="false">IF(INDEX(選手一覧!$G$5:$G$2736,$F851)="","",INDEX(選手一覧!$G$5:$G$2736,$F851))</f>
        <v>168</v>
      </c>
    </row>
    <row r="852" customFormat="false" ht="15" hidden="false" customHeight="false" outlineLevel="0" collapsed="false">
      <c r="A852" s="12" t="n">
        <v>849</v>
      </c>
      <c r="B852" s="8" t="s">
        <v>3091</v>
      </c>
      <c r="C852" s="8" t="s">
        <v>25</v>
      </c>
      <c r="D852" s="11" t="n">
        <v>0.00288819444444445</v>
      </c>
      <c r="E852" s="39" t="n">
        <f aca="false">ROUND((D852-$D$5)*86400,2)</f>
        <v>24.51</v>
      </c>
      <c r="F852" s="12" t="n">
        <v>1997</v>
      </c>
      <c r="G852" s="11" t="str">
        <f aca="false">IF(INDEX(選手一覧!$D$5:$D$2736,$F852)="","",INDEX(選手一覧!$D$5:$D$2736,$F852))</f>
        <v/>
      </c>
      <c r="H852" s="12" t="str">
        <f aca="false">IF(INDEX(選手一覧!$E$5:$E$2736,$F852)="","",INDEX(選手一覧!$E$5:$E$2736,$F852))</f>
        <v/>
      </c>
      <c r="I852" s="11" t="str">
        <f aca="false">IF(INDEX(選手一覧!$F$5:$F$2736,$F852)="","",INDEX(選手一覧!$F$5:$F$2736,$F852))</f>
        <v/>
      </c>
      <c r="J852" s="12" t="str">
        <f aca="false">IF(INDEX(選手一覧!$G$5:$G$2736,$F852)="","",INDEX(選手一覧!$G$5:$G$2736,$F852))</f>
        <v/>
      </c>
    </row>
    <row r="853" customFormat="false" ht="15" hidden="false" customHeight="false" outlineLevel="0" collapsed="false">
      <c r="A853" s="12" t="n">
        <v>850</v>
      </c>
      <c r="B853" s="8" t="s">
        <v>3093</v>
      </c>
      <c r="C853" s="8" t="s">
        <v>3094</v>
      </c>
      <c r="D853" s="11" t="n">
        <v>0.00288819444444445</v>
      </c>
      <c r="E853" s="39" t="n">
        <f aca="false">ROUND((D853-$D$5)*86400,2)</f>
        <v>24.51</v>
      </c>
      <c r="F853" s="12" t="n">
        <v>1999</v>
      </c>
      <c r="G853" s="11" t="str">
        <f aca="false">IF(INDEX(選手一覧!$D$5:$D$2736,$F853)="","",INDEX(選手一覧!$D$5:$D$2736,$F853))</f>
        <v/>
      </c>
      <c r="H853" s="12" t="str">
        <f aca="false">IF(INDEX(選手一覧!$E$5:$E$2736,$F853)="","",INDEX(選手一覧!$E$5:$E$2736,$F853))</f>
        <v/>
      </c>
      <c r="I853" s="11" t="str">
        <f aca="false">IF(INDEX(選手一覧!$F$5:$F$2736,$F853)="","",INDEX(選手一覧!$F$5:$F$2736,$F853))</f>
        <v/>
      </c>
      <c r="J853" s="12" t="str">
        <f aca="false">IF(INDEX(選手一覧!$G$5:$G$2736,$F853)="","",INDEX(選手一覧!$G$5:$G$2736,$F853))</f>
        <v/>
      </c>
    </row>
    <row r="854" customFormat="false" ht="15" hidden="false" customHeight="false" outlineLevel="0" collapsed="false">
      <c r="A854" s="12" t="n">
        <v>851</v>
      </c>
      <c r="B854" s="8" t="s">
        <v>1142</v>
      </c>
      <c r="C854" s="8" t="s">
        <v>1040</v>
      </c>
      <c r="D854" s="11" t="n">
        <v>0.00288842592592593</v>
      </c>
      <c r="E854" s="39" t="n">
        <f aca="false">ROUND((D854-$D$5)*86400,2)</f>
        <v>24.53</v>
      </c>
      <c r="F854" s="12" t="n">
        <v>680</v>
      </c>
      <c r="G854" s="11" t="n">
        <f aca="false">IF(INDEX(選手一覧!$D$5:$D$2736,$F854)="","",INDEX(選手一覧!$D$5:$D$2736,$F854))</f>
        <v>0.0107609953703704</v>
      </c>
      <c r="H854" s="12" t="n">
        <f aca="false">IF(INDEX(選手一覧!$E$5:$E$2736,$F854)="","",INDEX(選手一覧!$E$5:$E$2736,$F854))</f>
        <v>681</v>
      </c>
      <c r="I854" s="11" t="str">
        <f aca="false">IF(INDEX(選手一覧!$F$5:$F$2736,$F854)="","",INDEX(選手一覧!$F$5:$F$2736,$F854))</f>
        <v/>
      </c>
      <c r="J854" s="12" t="str">
        <f aca="false">IF(INDEX(選手一覧!$G$5:$G$2736,$F854)="","",INDEX(選手一覧!$G$5:$G$2736,$F854))</f>
        <v/>
      </c>
    </row>
    <row r="855" customFormat="false" ht="15" hidden="false" customHeight="false" outlineLevel="0" collapsed="false">
      <c r="A855" s="12" t="n">
        <v>852</v>
      </c>
      <c r="B855" s="8" t="s">
        <v>474</v>
      </c>
      <c r="C855" s="8" t="s">
        <v>120</v>
      </c>
      <c r="D855" s="11" t="n">
        <v>0.00288842592592593</v>
      </c>
      <c r="E855" s="39" t="n">
        <f aca="false">ROUND((D855-$D$5)*86400,2)</f>
        <v>24.53</v>
      </c>
      <c r="F855" s="12" t="n">
        <v>248</v>
      </c>
      <c r="G855" s="11" t="n">
        <f aca="false">IF(INDEX(選手一覧!$D$5:$D$2736,$F855)="","",INDEX(選手一覧!$D$5:$D$2736,$F855))</f>
        <v>0.0103880787037037</v>
      </c>
      <c r="H855" s="12" t="n">
        <f aca="false">IF(INDEX(選手一覧!$E$5:$E$2736,$F855)="","",INDEX(選手一覧!$E$5:$E$2736,$F855))</f>
        <v>249</v>
      </c>
      <c r="I855" s="11" t="str">
        <f aca="false">IF(INDEX(選手一覧!$F$5:$F$2736,$F855)="","",INDEX(選手一覧!$F$5:$F$2736,$F855))</f>
        <v/>
      </c>
      <c r="J855" s="12" t="str">
        <f aca="false">IF(INDEX(選手一覧!$G$5:$G$2736,$F855)="","",INDEX(選手一覧!$G$5:$G$2736,$F855))</f>
        <v/>
      </c>
    </row>
    <row r="856" customFormat="false" ht="15" hidden="false" customHeight="false" outlineLevel="0" collapsed="false">
      <c r="A856" s="12" t="n">
        <v>853</v>
      </c>
      <c r="B856" s="8" t="s">
        <v>773</v>
      </c>
      <c r="C856" s="8" t="s">
        <v>450</v>
      </c>
      <c r="D856" s="11" t="n">
        <v>0.00288854166666667</v>
      </c>
      <c r="E856" s="39" t="n">
        <f aca="false">ROUND((D856-$D$5)*86400,2)</f>
        <v>24.54</v>
      </c>
      <c r="F856" s="12" t="n">
        <v>435</v>
      </c>
      <c r="G856" s="11" t="n">
        <f aca="false">IF(INDEX(選手一覧!$D$5:$D$2736,$F856)="","",INDEX(選手一覧!$D$5:$D$2736,$F856))</f>
        <v>0.0105820601851852</v>
      </c>
      <c r="H856" s="12" t="n">
        <f aca="false">IF(INDEX(選手一覧!$E$5:$E$2736,$F856)="","",INDEX(選手一覧!$E$5:$E$2736,$F856))</f>
        <v>436</v>
      </c>
      <c r="I856" s="11" t="str">
        <f aca="false">IF(INDEX(選手一覧!$F$5:$F$2736,$F856)="","",INDEX(選手一覧!$F$5:$F$2736,$F856))</f>
        <v/>
      </c>
      <c r="J856" s="12" t="str">
        <f aca="false">IF(INDEX(選手一覧!$G$5:$G$2736,$F856)="","",INDEX(選手一覧!$G$5:$G$2736,$F856))</f>
        <v/>
      </c>
    </row>
    <row r="857" customFormat="false" ht="15" hidden="false" customHeight="false" outlineLevel="0" collapsed="false">
      <c r="A857" s="12" t="n">
        <v>854</v>
      </c>
      <c r="B857" s="8" t="s">
        <v>885</v>
      </c>
      <c r="C857" s="8" t="s">
        <v>886</v>
      </c>
      <c r="D857" s="11" t="n">
        <v>0.00288888888888889</v>
      </c>
      <c r="E857" s="39" t="n">
        <f aca="false">ROUND((D857-$D$5)*86400,2)</f>
        <v>24.57</v>
      </c>
      <c r="F857" s="12" t="n">
        <v>507</v>
      </c>
      <c r="G857" s="11" t="n">
        <f aca="false">IF(INDEX(選手一覧!$D$5:$D$2736,$F857)="","",INDEX(選手一覧!$D$5:$D$2736,$F857))</f>
        <v>0.0106396990740741</v>
      </c>
      <c r="H857" s="12" t="n">
        <f aca="false">IF(INDEX(選手一覧!$E$5:$E$2736,$F857)="","",INDEX(選手一覧!$E$5:$E$2736,$F857))</f>
        <v>508</v>
      </c>
      <c r="I857" s="11" t="str">
        <f aca="false">IF(INDEX(選手一覧!$F$5:$F$2736,$F857)="","",INDEX(選手一覧!$F$5:$F$2736,$F857))</f>
        <v/>
      </c>
      <c r="J857" s="12" t="str">
        <f aca="false">IF(INDEX(選手一覧!$G$5:$G$2736,$F857)="","",INDEX(選手一覧!$G$5:$G$2736,$F857))</f>
        <v/>
      </c>
    </row>
    <row r="858" customFormat="false" ht="15" hidden="false" customHeight="false" outlineLevel="0" collapsed="false">
      <c r="A858" s="12" t="n">
        <v>855</v>
      </c>
      <c r="B858" s="8" t="s">
        <v>1666</v>
      </c>
      <c r="C858" s="8" t="s">
        <v>1667</v>
      </c>
      <c r="D858" s="11" t="n">
        <v>0.00288900462962963</v>
      </c>
      <c r="E858" s="39" t="n">
        <f aca="false">ROUND((D858-$D$5)*86400,2)</f>
        <v>24.58</v>
      </c>
      <c r="F858" s="12" t="n">
        <v>1032</v>
      </c>
      <c r="G858" s="11" t="n">
        <f aca="false">IF(INDEX(選手一覧!$D$5:$D$2736,$F858)="","",INDEX(選手一覧!$D$5:$D$2736,$F858))</f>
        <v>0.0109680555555556</v>
      </c>
      <c r="H858" s="12" t="n">
        <f aca="false">IF(INDEX(選手一覧!$E$5:$E$2736,$F858)="","",INDEX(選手一覧!$E$5:$E$2736,$F858))</f>
        <v>1033</v>
      </c>
      <c r="I858" s="11" t="n">
        <f aca="false">IF(INDEX(選手一覧!$F$5:$F$2736,$F858)="","",INDEX(選手一覧!$F$5:$F$2736,$F858))</f>
        <v>0.00723611111111111</v>
      </c>
      <c r="J858" s="12" t="n">
        <f aca="false">IF(INDEX(選手一覧!$G$5:$G$2736,$F858)="","",INDEX(選手一覧!$G$5:$G$2736,$F858))</f>
        <v>581</v>
      </c>
    </row>
    <row r="859" customFormat="false" ht="15" hidden="false" customHeight="false" outlineLevel="0" collapsed="false">
      <c r="A859" s="12" t="n">
        <v>856</v>
      </c>
      <c r="B859" s="8" t="s">
        <v>3104</v>
      </c>
      <c r="C859" s="8" t="s">
        <v>3105</v>
      </c>
      <c r="D859" s="11" t="n">
        <v>0.00288912037037037</v>
      </c>
      <c r="E859" s="39" t="n">
        <f aca="false">ROUND((D859-$D$5)*86400,2)</f>
        <v>24.59</v>
      </c>
      <c r="F859" s="12" t="n">
        <v>2006</v>
      </c>
      <c r="G859" s="11" t="str">
        <f aca="false">IF(INDEX(選手一覧!$D$5:$D$2736,$F859)="","",INDEX(選手一覧!$D$5:$D$2736,$F859))</f>
        <v/>
      </c>
      <c r="H859" s="12" t="str">
        <f aca="false">IF(INDEX(選手一覧!$E$5:$E$2736,$F859)="","",INDEX(選手一覧!$E$5:$E$2736,$F859))</f>
        <v/>
      </c>
      <c r="I859" s="11" t="str">
        <f aca="false">IF(INDEX(選手一覧!$F$5:$F$2736,$F859)="","",INDEX(選手一覧!$F$5:$F$2736,$F859))</f>
        <v/>
      </c>
      <c r="J859" s="12" t="str">
        <f aca="false">IF(INDEX(選手一覧!$G$5:$G$2736,$F859)="","",INDEX(選手一覧!$G$5:$G$2736,$F859))</f>
        <v/>
      </c>
    </row>
    <row r="860" customFormat="false" ht="15" hidden="false" customHeight="false" outlineLevel="0" collapsed="false">
      <c r="A860" s="12" t="n">
        <v>857</v>
      </c>
      <c r="B860" s="8" t="s">
        <v>2372</v>
      </c>
      <c r="C860" s="8" t="s">
        <v>2373</v>
      </c>
      <c r="D860" s="11" t="n">
        <v>0.00288923611111111</v>
      </c>
      <c r="E860" s="39" t="n">
        <f aca="false">ROUND((D860-$D$5)*86400,2)</f>
        <v>24.6</v>
      </c>
      <c r="F860" s="12" t="n">
        <v>1515</v>
      </c>
      <c r="G860" s="11" t="str">
        <f aca="false">IF(INDEX(選手一覧!$D$5:$D$2736,$F860)="","",INDEX(選手一覧!$D$5:$D$2736,$F860))</f>
        <v/>
      </c>
      <c r="H860" s="12" t="str">
        <f aca="false">IF(INDEX(選手一覧!$E$5:$E$2736,$F860)="","",INDEX(選手一覧!$E$5:$E$2736,$F860))</f>
        <v/>
      </c>
      <c r="I860" s="11" t="n">
        <f aca="false">IF(INDEX(選手一覧!$F$5:$F$2736,$F860)="","",INDEX(選手一覧!$F$5:$F$2736,$F860))</f>
        <v>0.00707083333333333</v>
      </c>
      <c r="J860" s="12" t="n">
        <f aca="false">IF(INDEX(選手一覧!$G$5:$G$2736,$F860)="","",INDEX(選手一覧!$G$5:$G$2736,$F860))</f>
        <v>416</v>
      </c>
    </row>
    <row r="861" customFormat="false" ht="15" hidden="false" customHeight="false" outlineLevel="0" collapsed="false">
      <c r="A861" s="12" t="n">
        <v>858</v>
      </c>
      <c r="B861" s="8" t="s">
        <v>689</v>
      </c>
      <c r="C861" s="8" t="s">
        <v>200</v>
      </c>
      <c r="D861" s="11" t="n">
        <v>0.00288923611111111</v>
      </c>
      <c r="E861" s="39" t="n">
        <f aca="false">ROUND((D861-$D$5)*86400,2)</f>
        <v>24.6</v>
      </c>
      <c r="F861" s="12" t="n">
        <v>383</v>
      </c>
      <c r="G861" s="11" t="n">
        <f aca="false">IF(INDEX(選手一覧!$D$5:$D$2736,$F861)="","",INDEX(選手一覧!$D$5:$D$2736,$F861))</f>
        <v>0.0105391203703704</v>
      </c>
      <c r="H861" s="12" t="n">
        <f aca="false">IF(INDEX(選手一覧!$E$5:$E$2736,$F861)="","",INDEX(選手一覧!$E$5:$E$2736,$F861))</f>
        <v>384</v>
      </c>
      <c r="I861" s="11" t="str">
        <f aca="false">IF(INDEX(選手一覧!$F$5:$F$2736,$F861)="","",INDEX(選手一覧!$F$5:$F$2736,$F861))</f>
        <v/>
      </c>
      <c r="J861" s="12" t="str">
        <f aca="false">IF(INDEX(選手一覧!$G$5:$G$2736,$F861)="","",INDEX(選手一覧!$G$5:$G$2736,$F861))</f>
        <v/>
      </c>
    </row>
    <row r="862" customFormat="false" ht="15" hidden="false" customHeight="false" outlineLevel="0" collapsed="false">
      <c r="A862" s="12" t="n">
        <v>859</v>
      </c>
      <c r="B862" s="8" t="s">
        <v>1365</v>
      </c>
      <c r="C862" s="8" t="s">
        <v>116</v>
      </c>
      <c r="D862" s="11" t="n">
        <v>0.00288935185185185</v>
      </c>
      <c r="E862" s="39" t="n">
        <f aca="false">ROUND((D862-$D$5)*86400,2)</f>
        <v>24.61</v>
      </c>
      <c r="F862" s="12" t="n">
        <v>828</v>
      </c>
      <c r="G862" s="11" t="n">
        <f aca="false">IF(INDEX(選手一覧!$D$5:$D$2736,$F862)="","",INDEX(選手一覧!$D$5:$D$2736,$F862))</f>
        <v>0.0108478009259259</v>
      </c>
      <c r="H862" s="12" t="n">
        <f aca="false">IF(INDEX(選手一覧!$E$5:$E$2736,$F862)="","",INDEX(選手一覧!$E$5:$E$2736,$F862))</f>
        <v>829</v>
      </c>
      <c r="I862" s="11" t="str">
        <f aca="false">IF(INDEX(選手一覧!$F$5:$F$2736,$F862)="","",INDEX(選手一覧!$F$5:$F$2736,$F862))</f>
        <v/>
      </c>
      <c r="J862" s="12" t="str">
        <f aca="false">IF(INDEX(選手一覧!$G$5:$G$2736,$F862)="","",INDEX(選手一覧!$G$5:$G$2736,$F862))</f>
        <v/>
      </c>
    </row>
    <row r="863" customFormat="false" ht="15" hidden="false" customHeight="false" outlineLevel="0" collapsed="false">
      <c r="A863" s="12" t="n">
        <v>860</v>
      </c>
      <c r="B863" s="8" t="s">
        <v>3109</v>
      </c>
      <c r="C863" s="8" t="s">
        <v>375</v>
      </c>
      <c r="D863" s="11" t="n">
        <v>0.00288946759259259</v>
      </c>
      <c r="E863" s="39" t="n">
        <f aca="false">ROUND((D863-$D$5)*86400,2)</f>
        <v>24.62</v>
      </c>
      <c r="F863" s="12" t="n">
        <v>2010</v>
      </c>
      <c r="G863" s="11" t="str">
        <f aca="false">IF(INDEX(選手一覧!$D$5:$D$2736,$F863)="","",INDEX(選手一覧!$D$5:$D$2736,$F863))</f>
        <v/>
      </c>
      <c r="H863" s="12" t="str">
        <f aca="false">IF(INDEX(選手一覧!$E$5:$E$2736,$F863)="","",INDEX(選手一覧!$E$5:$E$2736,$F863))</f>
        <v/>
      </c>
      <c r="I863" s="11" t="str">
        <f aca="false">IF(INDEX(選手一覧!$F$5:$F$2736,$F863)="","",INDEX(選手一覧!$F$5:$F$2736,$F863))</f>
        <v/>
      </c>
      <c r="J863" s="12" t="str">
        <f aca="false">IF(INDEX(選手一覧!$G$5:$G$2736,$F863)="","",INDEX(選手一覧!$G$5:$G$2736,$F863))</f>
        <v/>
      </c>
    </row>
    <row r="864" customFormat="false" ht="15" hidden="false" customHeight="false" outlineLevel="0" collapsed="false">
      <c r="A864" s="12" t="n">
        <v>861</v>
      </c>
      <c r="B864" s="8" t="s">
        <v>3111</v>
      </c>
      <c r="C864" s="8" t="s">
        <v>1323</v>
      </c>
      <c r="D864" s="11" t="n">
        <v>0.00288958333333333</v>
      </c>
      <c r="E864" s="39" t="n">
        <f aca="false">ROUND((D864-$D$5)*86400,2)</f>
        <v>24.63</v>
      </c>
      <c r="F864" s="12" t="n">
        <v>2012</v>
      </c>
      <c r="G864" s="11" t="str">
        <f aca="false">IF(INDEX(選手一覧!$D$5:$D$2736,$F864)="","",INDEX(選手一覧!$D$5:$D$2736,$F864))</f>
        <v/>
      </c>
      <c r="H864" s="12" t="str">
        <f aca="false">IF(INDEX(選手一覧!$E$5:$E$2736,$F864)="","",INDEX(選手一覧!$E$5:$E$2736,$F864))</f>
        <v/>
      </c>
      <c r="I864" s="11" t="str">
        <f aca="false">IF(INDEX(選手一覧!$F$5:$F$2736,$F864)="","",INDEX(選手一覧!$F$5:$F$2736,$F864))</f>
        <v/>
      </c>
      <c r="J864" s="12" t="str">
        <f aca="false">IF(INDEX(選手一覧!$G$5:$G$2736,$F864)="","",INDEX(選手一覧!$G$5:$G$2736,$F864))</f>
        <v/>
      </c>
    </row>
    <row r="865" customFormat="false" ht="15" hidden="false" customHeight="false" outlineLevel="0" collapsed="false">
      <c r="A865" s="12" t="n">
        <v>862</v>
      </c>
      <c r="B865" s="8" t="s">
        <v>974</v>
      </c>
      <c r="C865" s="8" t="s">
        <v>975</v>
      </c>
      <c r="D865" s="11" t="n">
        <v>0.00288969907407407</v>
      </c>
      <c r="E865" s="39" t="n">
        <f aca="false">ROUND((D865-$D$5)*86400,2)</f>
        <v>24.64</v>
      </c>
      <c r="F865" s="12" t="n">
        <v>563</v>
      </c>
      <c r="G865" s="11" t="n">
        <f aca="false">IF(INDEX(選手一覧!$D$5:$D$2736,$F865)="","",INDEX(選手一覧!$D$5:$D$2736,$F865))</f>
        <v>0.0106871527777778</v>
      </c>
      <c r="H865" s="12" t="n">
        <f aca="false">IF(INDEX(選手一覧!$E$5:$E$2736,$F865)="","",INDEX(選手一覧!$E$5:$E$2736,$F865))</f>
        <v>564</v>
      </c>
      <c r="I865" s="11" t="n">
        <f aca="false">IF(INDEX(選手一覧!$F$5:$F$2736,$F865)="","",INDEX(選手一覧!$F$5:$F$2736,$F865))</f>
        <v>0.00728587962962963</v>
      </c>
      <c r="J865" s="12" t="n">
        <f aca="false">IF(INDEX(選手一覧!$G$5:$G$2736,$F865)="","",INDEX(選手一覧!$G$5:$G$2736,$F865))</f>
        <v>628</v>
      </c>
    </row>
    <row r="866" customFormat="false" ht="15" hidden="false" customHeight="false" outlineLevel="0" collapsed="false">
      <c r="A866" s="12" t="n">
        <v>863</v>
      </c>
      <c r="B866" s="8" t="s">
        <v>3115</v>
      </c>
      <c r="C866" s="8" t="s">
        <v>266</v>
      </c>
      <c r="D866" s="11" t="n">
        <v>0.00288981481481482</v>
      </c>
      <c r="E866" s="39" t="n">
        <f aca="false">ROUND((D866-$D$5)*86400,2)</f>
        <v>24.65</v>
      </c>
      <c r="F866" s="12" t="n">
        <v>2015</v>
      </c>
      <c r="G866" s="11" t="str">
        <f aca="false">IF(INDEX(選手一覧!$D$5:$D$2736,$F866)="","",INDEX(選手一覧!$D$5:$D$2736,$F866))</f>
        <v/>
      </c>
      <c r="H866" s="12" t="str">
        <f aca="false">IF(INDEX(選手一覧!$E$5:$E$2736,$F866)="","",INDEX(選手一覧!$E$5:$E$2736,$F866))</f>
        <v/>
      </c>
      <c r="I866" s="11" t="str">
        <f aca="false">IF(INDEX(選手一覧!$F$5:$F$2736,$F866)="","",INDEX(選手一覧!$F$5:$F$2736,$F866))</f>
        <v/>
      </c>
      <c r="J866" s="12" t="str">
        <f aca="false">IF(INDEX(選手一覧!$G$5:$G$2736,$F866)="","",INDEX(選手一覧!$G$5:$G$2736,$F866))</f>
        <v/>
      </c>
    </row>
    <row r="867" customFormat="false" ht="15" hidden="false" customHeight="false" outlineLevel="0" collapsed="false">
      <c r="A867" s="12" t="n">
        <v>864</v>
      </c>
      <c r="B867" s="8" t="s">
        <v>1727</v>
      </c>
      <c r="C867" s="8" t="s">
        <v>58</v>
      </c>
      <c r="D867" s="11" t="n">
        <v>0.00288993055555556</v>
      </c>
      <c r="E867" s="39" t="n">
        <f aca="false">ROUND((D867-$D$5)*86400,2)</f>
        <v>24.66</v>
      </c>
      <c r="F867" s="12" t="n">
        <v>1072</v>
      </c>
      <c r="G867" s="11" t="n">
        <f aca="false">IF(INDEX(選手一覧!$D$5:$D$2736,$F867)="","",INDEX(選手一覧!$D$5:$D$2736,$F867))</f>
        <v>0.0109865740740741</v>
      </c>
      <c r="H867" s="12" t="n">
        <f aca="false">IF(INDEX(選手一覧!$E$5:$E$2736,$F867)="","",INDEX(選手一覧!$E$5:$E$2736,$F867))</f>
        <v>1073</v>
      </c>
      <c r="I867" s="11" t="n">
        <f aca="false">IF(INDEX(選手一覧!$F$5:$F$2736,$F867)="","",INDEX(選手一覧!$F$5:$F$2736,$F867))</f>
        <v>0.00661006944444444</v>
      </c>
      <c r="J867" s="12" t="n">
        <f aca="false">IF(INDEX(選手一覧!$G$5:$G$2736,$F867)="","",INDEX(選手一覧!$G$5:$G$2736,$F867))</f>
        <v>70</v>
      </c>
    </row>
    <row r="868" customFormat="false" ht="15" hidden="false" customHeight="false" outlineLevel="0" collapsed="false">
      <c r="A868" s="12" t="n">
        <v>865</v>
      </c>
      <c r="B868" s="8" t="s">
        <v>3118</v>
      </c>
      <c r="C868" s="8" t="s">
        <v>363</v>
      </c>
      <c r="D868" s="11" t="n">
        <v>0.00288993055555556</v>
      </c>
      <c r="E868" s="39" t="n">
        <f aca="false">ROUND((D868-$D$5)*86400,2)</f>
        <v>24.66</v>
      </c>
      <c r="F868" s="12" t="n">
        <v>2018</v>
      </c>
      <c r="G868" s="11" t="str">
        <f aca="false">IF(INDEX(選手一覧!$D$5:$D$2736,$F868)="","",INDEX(選手一覧!$D$5:$D$2736,$F868))</f>
        <v/>
      </c>
      <c r="H868" s="12" t="str">
        <f aca="false">IF(INDEX(選手一覧!$E$5:$E$2736,$F868)="","",INDEX(選手一覧!$E$5:$E$2736,$F868))</f>
        <v/>
      </c>
      <c r="I868" s="11" t="str">
        <f aca="false">IF(INDEX(選手一覧!$F$5:$F$2736,$F868)="","",INDEX(選手一覧!$F$5:$F$2736,$F868))</f>
        <v/>
      </c>
      <c r="J868" s="12" t="str">
        <f aca="false">IF(INDEX(選手一覧!$G$5:$G$2736,$F868)="","",INDEX(選手一覧!$G$5:$G$2736,$F868))</f>
        <v/>
      </c>
    </row>
    <row r="869" customFormat="false" ht="15" hidden="false" customHeight="false" outlineLevel="0" collapsed="false">
      <c r="A869" s="12" t="n">
        <v>866</v>
      </c>
      <c r="B869" s="8" t="s">
        <v>1407</v>
      </c>
      <c r="C869" s="8" t="s">
        <v>1408</v>
      </c>
      <c r="D869" s="11" t="n">
        <v>0.00289016203703704</v>
      </c>
      <c r="E869" s="39" t="n">
        <f aca="false">ROUND((D869-$D$5)*86400,2)</f>
        <v>24.68</v>
      </c>
      <c r="F869" s="12" t="n">
        <v>857</v>
      </c>
      <c r="G869" s="11" t="n">
        <f aca="false">IF(INDEX(選手一覧!$D$5:$D$2736,$F869)="","",INDEX(選手一覧!$D$5:$D$2736,$F869))</f>
        <v>0.0108633101851852</v>
      </c>
      <c r="H869" s="12" t="n">
        <f aca="false">IF(INDEX(選手一覧!$E$5:$E$2736,$F869)="","",INDEX(選手一覧!$E$5:$E$2736,$F869))</f>
        <v>858</v>
      </c>
      <c r="I869" s="11" t="str">
        <f aca="false">IF(INDEX(選手一覧!$F$5:$F$2736,$F869)="","",INDEX(選手一覧!$F$5:$F$2736,$F869))</f>
        <v/>
      </c>
      <c r="J869" s="12" t="str">
        <f aca="false">IF(INDEX(選手一覧!$G$5:$G$2736,$F869)="","",INDEX(選手一覧!$G$5:$G$2736,$F869))</f>
        <v/>
      </c>
    </row>
    <row r="870" customFormat="false" ht="15" hidden="false" customHeight="false" outlineLevel="0" collapsed="false">
      <c r="A870" s="12" t="n">
        <v>867</v>
      </c>
      <c r="B870" s="8" t="s">
        <v>3122</v>
      </c>
      <c r="C870" s="8" t="s">
        <v>973</v>
      </c>
      <c r="D870" s="11" t="n">
        <v>0.00289016203703704</v>
      </c>
      <c r="E870" s="39" t="n">
        <f aca="false">ROUND((D870-$D$5)*86400,2)</f>
        <v>24.68</v>
      </c>
      <c r="F870" s="12" t="n">
        <v>2021</v>
      </c>
      <c r="G870" s="11" t="str">
        <f aca="false">IF(INDEX(選手一覧!$D$5:$D$2736,$F870)="","",INDEX(選手一覧!$D$5:$D$2736,$F870))</f>
        <v/>
      </c>
      <c r="H870" s="12" t="str">
        <f aca="false">IF(INDEX(選手一覧!$E$5:$E$2736,$F870)="","",INDEX(選手一覧!$E$5:$E$2736,$F870))</f>
        <v/>
      </c>
      <c r="I870" s="11" t="str">
        <f aca="false">IF(INDEX(選手一覧!$F$5:$F$2736,$F870)="","",INDEX(選手一覧!$F$5:$F$2736,$F870))</f>
        <v/>
      </c>
      <c r="J870" s="12" t="str">
        <f aca="false">IF(INDEX(選手一覧!$G$5:$G$2736,$F870)="","",INDEX(選手一覧!$G$5:$G$2736,$F870))</f>
        <v/>
      </c>
    </row>
    <row r="871" customFormat="false" ht="15" hidden="false" customHeight="false" outlineLevel="0" collapsed="false">
      <c r="A871" s="12" t="n">
        <v>868</v>
      </c>
      <c r="B871" s="8" t="s">
        <v>907</v>
      </c>
      <c r="C871" s="8" t="s">
        <v>908</v>
      </c>
      <c r="D871" s="11" t="n">
        <v>0.00289027777777778</v>
      </c>
      <c r="E871" s="39" t="n">
        <f aca="false">ROUND((D871-$D$5)*86400,2)</f>
        <v>24.69</v>
      </c>
      <c r="F871" s="12" t="n">
        <v>520</v>
      </c>
      <c r="G871" s="11" t="n">
        <f aca="false">IF(INDEX(選手一覧!$D$5:$D$2736,$F871)="","",INDEX(選手一覧!$D$5:$D$2736,$F871))</f>
        <v>0.0106481481481482</v>
      </c>
      <c r="H871" s="12" t="n">
        <f aca="false">IF(INDEX(選手一覧!$E$5:$E$2736,$F871)="","",INDEX(選手一覧!$E$5:$E$2736,$F871))</f>
        <v>521</v>
      </c>
      <c r="I871" s="11" t="str">
        <f aca="false">IF(INDEX(選手一覧!$F$5:$F$2736,$F871)="","",INDEX(選手一覧!$F$5:$F$2736,$F871))</f>
        <v/>
      </c>
      <c r="J871" s="12" t="str">
        <f aca="false">IF(INDEX(選手一覧!$G$5:$G$2736,$F871)="","",INDEX(選手一覧!$G$5:$G$2736,$F871))</f>
        <v/>
      </c>
    </row>
    <row r="872" customFormat="false" ht="15" hidden="false" customHeight="false" outlineLevel="0" collapsed="false">
      <c r="A872" s="12" t="n">
        <v>869</v>
      </c>
      <c r="B872" s="8" t="s">
        <v>3126</v>
      </c>
      <c r="C872" s="8" t="s">
        <v>3127</v>
      </c>
      <c r="D872" s="11" t="n">
        <v>0.00289027777777778</v>
      </c>
      <c r="E872" s="39" t="n">
        <f aca="false">ROUND((D872-$D$5)*86400,2)</f>
        <v>24.69</v>
      </c>
      <c r="F872" s="12" t="n">
        <v>2023</v>
      </c>
      <c r="G872" s="11" t="str">
        <f aca="false">IF(INDEX(選手一覧!$D$5:$D$2736,$F872)="","",INDEX(選手一覧!$D$5:$D$2736,$F872))</f>
        <v/>
      </c>
      <c r="H872" s="12" t="str">
        <f aca="false">IF(INDEX(選手一覧!$E$5:$E$2736,$F872)="","",INDEX(選手一覧!$E$5:$E$2736,$F872))</f>
        <v/>
      </c>
      <c r="I872" s="11" t="str">
        <f aca="false">IF(INDEX(選手一覧!$F$5:$F$2736,$F872)="","",INDEX(選手一覧!$F$5:$F$2736,$F872))</f>
        <v/>
      </c>
      <c r="J872" s="12" t="str">
        <f aca="false">IF(INDEX(選手一覧!$G$5:$G$2736,$F872)="","",INDEX(選手一覧!$G$5:$G$2736,$F872))</f>
        <v/>
      </c>
    </row>
    <row r="873" customFormat="false" ht="15" hidden="false" customHeight="false" outlineLevel="0" collapsed="false">
      <c r="A873" s="12" t="n">
        <v>870</v>
      </c>
      <c r="B873" s="8" t="s">
        <v>3130</v>
      </c>
      <c r="C873" s="8" t="s">
        <v>1323</v>
      </c>
      <c r="D873" s="11" t="n">
        <v>0.00289039351851852</v>
      </c>
      <c r="E873" s="39" t="n">
        <f aca="false">ROUND((D873-$D$5)*86400,2)</f>
        <v>24.7</v>
      </c>
      <c r="F873" s="12" t="n">
        <v>2025</v>
      </c>
      <c r="G873" s="11" t="str">
        <f aca="false">IF(INDEX(選手一覧!$D$5:$D$2736,$F873)="","",INDEX(選手一覧!$D$5:$D$2736,$F873))</f>
        <v/>
      </c>
      <c r="H873" s="12" t="str">
        <f aca="false">IF(INDEX(選手一覧!$E$5:$E$2736,$F873)="","",INDEX(選手一覧!$E$5:$E$2736,$F873))</f>
        <v/>
      </c>
      <c r="I873" s="11" t="str">
        <f aca="false">IF(INDEX(選手一覧!$F$5:$F$2736,$F873)="","",INDEX(選手一覧!$F$5:$F$2736,$F873))</f>
        <v/>
      </c>
      <c r="J873" s="12" t="str">
        <f aca="false">IF(INDEX(選手一覧!$G$5:$G$2736,$F873)="","",INDEX(選手一覧!$G$5:$G$2736,$F873))</f>
        <v/>
      </c>
    </row>
    <row r="874" customFormat="false" ht="15" hidden="false" customHeight="false" outlineLevel="0" collapsed="false">
      <c r="A874" s="12" t="n">
        <v>871</v>
      </c>
      <c r="B874" s="8" t="s">
        <v>193</v>
      </c>
      <c r="C874" s="8" t="s">
        <v>148</v>
      </c>
      <c r="D874" s="11" t="n">
        <v>0.00289039351851852</v>
      </c>
      <c r="E874" s="39" t="n">
        <f aca="false">ROUND((D874-$D$5)*86400,2)</f>
        <v>24.7</v>
      </c>
      <c r="F874" s="12" t="n">
        <v>89</v>
      </c>
      <c r="G874" s="11" t="n">
        <f aca="false">IF(INDEX(選手一覧!$D$5:$D$2736,$F874)="","",INDEX(選手一覧!$D$5:$D$2736,$F874))</f>
        <v>0.0101877314814815</v>
      </c>
      <c r="H874" s="12" t="n">
        <f aca="false">IF(INDEX(選手一覧!$E$5:$E$2736,$F874)="","",INDEX(選手一覧!$E$5:$E$2736,$F874))</f>
        <v>90</v>
      </c>
      <c r="I874" s="11" t="str">
        <f aca="false">IF(INDEX(選手一覧!$F$5:$F$2736,$F874)="","",INDEX(選手一覧!$F$5:$F$2736,$F874))</f>
        <v/>
      </c>
      <c r="J874" s="12" t="str">
        <f aca="false">IF(INDEX(選手一覧!$G$5:$G$2736,$F874)="","",INDEX(選手一覧!$G$5:$G$2736,$F874))</f>
        <v/>
      </c>
    </row>
    <row r="875" customFormat="false" ht="15" hidden="false" customHeight="false" outlineLevel="0" collapsed="false">
      <c r="A875" s="12" t="n">
        <v>872</v>
      </c>
      <c r="B875" s="8" t="s">
        <v>2068</v>
      </c>
      <c r="C875" s="8" t="s">
        <v>2069</v>
      </c>
      <c r="D875" s="11" t="n">
        <v>0.00289074074074074</v>
      </c>
      <c r="E875" s="39" t="n">
        <f aca="false">ROUND((D875-$D$5)*86400,2)</f>
        <v>24.73</v>
      </c>
      <c r="F875" s="12" t="n">
        <v>1316</v>
      </c>
      <c r="G875" s="11" t="str">
        <f aca="false">IF(INDEX(選手一覧!$D$5:$D$2736,$F875)="","",INDEX(選手一覧!$D$5:$D$2736,$F875))</f>
        <v/>
      </c>
      <c r="H875" s="12" t="str">
        <f aca="false">IF(INDEX(選手一覧!$E$5:$E$2736,$F875)="","",INDEX(選手一覧!$E$5:$E$2736,$F875))</f>
        <v/>
      </c>
      <c r="I875" s="11" t="n">
        <f aca="false">IF(INDEX(選手一覧!$F$5:$F$2736,$F875)="","",INDEX(選手一覧!$F$5:$F$2736,$F875))</f>
        <v>0.00676597222222222</v>
      </c>
      <c r="J875" s="12" t="n">
        <f aca="false">IF(INDEX(選手一覧!$G$5:$G$2736,$F875)="","",INDEX(選手一覧!$G$5:$G$2736,$F875))</f>
        <v>143</v>
      </c>
    </row>
    <row r="876" customFormat="false" ht="15" hidden="false" customHeight="false" outlineLevel="0" collapsed="false">
      <c r="A876" s="12" t="n">
        <v>873</v>
      </c>
      <c r="B876" s="8" t="s">
        <v>3137</v>
      </c>
      <c r="C876" s="8" t="s">
        <v>1795</v>
      </c>
      <c r="D876" s="11" t="n">
        <v>0.00289085648148148</v>
      </c>
      <c r="E876" s="39" t="n">
        <f aca="false">ROUND((D876-$D$5)*86400,2)</f>
        <v>24.74</v>
      </c>
      <c r="F876" s="12" t="n">
        <v>2029</v>
      </c>
      <c r="G876" s="11" t="str">
        <f aca="false">IF(INDEX(選手一覧!$D$5:$D$2736,$F876)="","",INDEX(選手一覧!$D$5:$D$2736,$F876))</f>
        <v/>
      </c>
      <c r="H876" s="12" t="str">
        <f aca="false">IF(INDEX(選手一覧!$E$5:$E$2736,$F876)="","",INDEX(選手一覧!$E$5:$E$2736,$F876))</f>
        <v/>
      </c>
      <c r="I876" s="11" t="str">
        <f aca="false">IF(INDEX(選手一覧!$F$5:$F$2736,$F876)="","",INDEX(選手一覧!$F$5:$F$2736,$F876))</f>
        <v/>
      </c>
      <c r="J876" s="12" t="str">
        <f aca="false">IF(INDEX(選手一覧!$G$5:$G$2736,$F876)="","",INDEX(選手一覧!$G$5:$G$2736,$F876))</f>
        <v/>
      </c>
    </row>
    <row r="877" customFormat="false" ht="15" hidden="false" customHeight="false" outlineLevel="0" collapsed="false">
      <c r="A877" s="12" t="n">
        <v>874</v>
      </c>
      <c r="B877" s="8" t="s">
        <v>3141</v>
      </c>
      <c r="C877" s="8" t="s">
        <v>2106</v>
      </c>
      <c r="D877" s="11" t="n">
        <v>0.00289085648148148</v>
      </c>
      <c r="E877" s="39" t="n">
        <f aca="false">ROUND((D877-$D$5)*86400,2)</f>
        <v>24.74</v>
      </c>
      <c r="F877" s="12" t="n">
        <v>2031</v>
      </c>
      <c r="G877" s="11" t="str">
        <f aca="false">IF(INDEX(選手一覧!$D$5:$D$2736,$F877)="","",INDEX(選手一覧!$D$5:$D$2736,$F877))</f>
        <v/>
      </c>
      <c r="H877" s="12" t="str">
        <f aca="false">IF(INDEX(選手一覧!$E$5:$E$2736,$F877)="","",INDEX(選手一覧!$E$5:$E$2736,$F877))</f>
        <v/>
      </c>
      <c r="I877" s="11" t="str">
        <f aca="false">IF(INDEX(選手一覧!$F$5:$F$2736,$F877)="","",INDEX(選手一覧!$F$5:$F$2736,$F877))</f>
        <v/>
      </c>
      <c r="J877" s="12" t="str">
        <f aca="false">IF(INDEX(選手一覧!$G$5:$G$2736,$F877)="","",INDEX(選手一覧!$G$5:$G$2736,$F877))</f>
        <v/>
      </c>
    </row>
    <row r="878" customFormat="false" ht="15" hidden="false" customHeight="false" outlineLevel="0" collapsed="false">
      <c r="A878" s="12" t="n">
        <v>875</v>
      </c>
      <c r="B878" s="8" t="s">
        <v>913</v>
      </c>
      <c r="C878" s="8" t="s">
        <v>554</v>
      </c>
      <c r="D878" s="11" t="n">
        <v>0.00289097222222222</v>
      </c>
      <c r="E878" s="39" t="n">
        <f aca="false">ROUND((D878-$D$5)*86400,2)</f>
        <v>24.75</v>
      </c>
      <c r="F878" s="12" t="n">
        <v>524</v>
      </c>
      <c r="G878" s="11" t="n">
        <f aca="false">IF(INDEX(選手一覧!$D$5:$D$2736,$F878)="","",INDEX(選手一覧!$D$5:$D$2736,$F878))</f>
        <v>0.0106498842592593</v>
      </c>
      <c r="H878" s="12" t="n">
        <f aca="false">IF(INDEX(選手一覧!$E$5:$E$2736,$F878)="","",INDEX(選手一覧!$E$5:$E$2736,$F878))</f>
        <v>525</v>
      </c>
      <c r="I878" s="11" t="n">
        <f aca="false">IF(INDEX(選手一覧!$F$5:$F$2736,$F878)="","",INDEX(選手一覧!$F$5:$F$2736,$F878))</f>
        <v>0.006834375</v>
      </c>
      <c r="J878" s="12" t="n">
        <f aca="false">IF(INDEX(選手一覧!$G$5:$G$2736,$F878)="","",INDEX(選手一覧!$G$5:$G$2736,$F878))</f>
        <v>196</v>
      </c>
    </row>
    <row r="879" customFormat="false" ht="15" hidden="false" customHeight="false" outlineLevel="0" collapsed="false">
      <c r="A879" s="12" t="n">
        <v>876</v>
      </c>
      <c r="B879" s="8" t="s">
        <v>3147</v>
      </c>
      <c r="C879" s="8" t="s">
        <v>1989</v>
      </c>
      <c r="D879" s="11" t="n">
        <v>0.00289108796296296</v>
      </c>
      <c r="E879" s="39" t="n">
        <f aca="false">ROUND((D879-$D$5)*86400,2)</f>
        <v>24.76</v>
      </c>
      <c r="F879" s="12" t="n">
        <v>2034</v>
      </c>
      <c r="G879" s="11" t="str">
        <f aca="false">IF(INDEX(選手一覧!$D$5:$D$2736,$F879)="","",INDEX(選手一覧!$D$5:$D$2736,$F879))</f>
        <v/>
      </c>
      <c r="H879" s="12" t="str">
        <f aca="false">IF(INDEX(選手一覧!$E$5:$E$2736,$F879)="","",INDEX(選手一覧!$E$5:$E$2736,$F879))</f>
        <v/>
      </c>
      <c r="I879" s="11" t="str">
        <f aca="false">IF(INDEX(選手一覧!$F$5:$F$2736,$F879)="","",INDEX(選手一覧!$F$5:$F$2736,$F879))</f>
        <v/>
      </c>
      <c r="J879" s="12" t="str">
        <f aca="false">IF(INDEX(選手一覧!$G$5:$G$2736,$F879)="","",INDEX(選手一覧!$G$5:$G$2736,$F879))</f>
        <v/>
      </c>
    </row>
    <row r="880" customFormat="false" ht="15" hidden="false" customHeight="false" outlineLevel="0" collapsed="false">
      <c r="A880" s="12" t="n">
        <v>877</v>
      </c>
      <c r="B880" s="8" t="s">
        <v>3150</v>
      </c>
      <c r="C880" s="8" t="s">
        <v>3151</v>
      </c>
      <c r="D880" s="11" t="n">
        <v>0.00289108796296296</v>
      </c>
      <c r="E880" s="39" t="n">
        <f aca="false">ROUND((D880-$D$5)*86400,2)</f>
        <v>24.76</v>
      </c>
      <c r="F880" s="12" t="n">
        <v>2036</v>
      </c>
      <c r="G880" s="11" t="str">
        <f aca="false">IF(INDEX(選手一覧!$D$5:$D$2736,$F880)="","",INDEX(選手一覧!$D$5:$D$2736,$F880))</f>
        <v/>
      </c>
      <c r="H880" s="12" t="str">
        <f aca="false">IF(INDEX(選手一覧!$E$5:$E$2736,$F880)="","",INDEX(選手一覧!$E$5:$E$2736,$F880))</f>
        <v/>
      </c>
      <c r="I880" s="11" t="str">
        <f aca="false">IF(INDEX(選手一覧!$F$5:$F$2736,$F880)="","",INDEX(選手一覧!$F$5:$F$2736,$F880))</f>
        <v/>
      </c>
      <c r="J880" s="12" t="str">
        <f aca="false">IF(INDEX(選手一覧!$G$5:$G$2736,$F880)="","",INDEX(選手一覧!$G$5:$G$2736,$F880))</f>
        <v/>
      </c>
    </row>
    <row r="881" customFormat="false" ht="15" hidden="false" customHeight="false" outlineLevel="0" collapsed="false">
      <c r="A881" s="12" t="n">
        <v>878</v>
      </c>
      <c r="B881" s="8" t="s">
        <v>861</v>
      </c>
      <c r="C881" s="8" t="s">
        <v>862</v>
      </c>
      <c r="D881" s="11" t="n">
        <v>0.0028912037037037</v>
      </c>
      <c r="E881" s="39" t="n">
        <f aca="false">ROUND((D881-$D$5)*86400,2)</f>
        <v>24.77</v>
      </c>
      <c r="F881" s="12" t="n">
        <v>494</v>
      </c>
      <c r="G881" s="11" t="n">
        <f aca="false">IF(INDEX(選手一覧!$D$5:$D$2736,$F881)="","",INDEX(選手一覧!$D$5:$D$2736,$F881))</f>
        <v>0.0106184027777778</v>
      </c>
      <c r="H881" s="12" t="n">
        <f aca="false">IF(INDEX(選手一覧!$E$5:$E$2736,$F881)="","",INDEX(選手一覧!$E$5:$E$2736,$F881))</f>
        <v>495</v>
      </c>
      <c r="I881" s="11" t="n">
        <f aca="false">IF(INDEX(選手一覧!$F$5:$F$2736,$F881)="","",INDEX(選手一覧!$F$5:$F$2736,$F881))</f>
        <v>0.00649166666666667</v>
      </c>
      <c r="J881" s="12" t="n">
        <f aca="false">IF(INDEX(選手一覧!$G$5:$G$2736,$F881)="","",INDEX(選手一覧!$G$5:$G$2736,$F881))</f>
        <v>33</v>
      </c>
    </row>
    <row r="882" customFormat="false" ht="15" hidden="false" customHeight="false" outlineLevel="0" collapsed="false">
      <c r="A882" s="12" t="n">
        <v>879</v>
      </c>
      <c r="B882" s="8" t="s">
        <v>1133</v>
      </c>
      <c r="C882" s="8" t="s">
        <v>1134</v>
      </c>
      <c r="D882" s="11" t="n">
        <v>0.00289131944444445</v>
      </c>
      <c r="E882" s="39" t="n">
        <f aca="false">ROUND((D882-$D$5)*86400,2)</f>
        <v>24.78</v>
      </c>
      <c r="F882" s="12" t="n">
        <v>675</v>
      </c>
      <c r="G882" s="11" t="n">
        <f aca="false">IF(INDEX(選手一覧!$D$5:$D$2736,$F882)="","",INDEX(選手一覧!$D$5:$D$2736,$F882))</f>
        <v>0.0107561342592593</v>
      </c>
      <c r="H882" s="12" t="n">
        <f aca="false">IF(INDEX(選手一覧!$E$5:$E$2736,$F882)="","",INDEX(選手一覧!$E$5:$E$2736,$F882))</f>
        <v>676</v>
      </c>
      <c r="I882" s="11" t="str">
        <f aca="false">IF(INDEX(選手一覧!$F$5:$F$2736,$F882)="","",INDEX(選手一覧!$F$5:$F$2736,$F882))</f>
        <v/>
      </c>
      <c r="J882" s="12" t="str">
        <f aca="false">IF(INDEX(選手一覧!$G$5:$G$2736,$F882)="","",INDEX(選手一覧!$G$5:$G$2736,$F882))</f>
        <v/>
      </c>
    </row>
    <row r="883" customFormat="false" ht="15" hidden="false" customHeight="false" outlineLevel="0" collapsed="false">
      <c r="A883" s="12" t="n">
        <v>880</v>
      </c>
      <c r="B883" s="8" t="s">
        <v>1883</v>
      </c>
      <c r="C883" s="8" t="s">
        <v>1884</v>
      </c>
      <c r="D883" s="11" t="n">
        <v>0.00289143518518519</v>
      </c>
      <c r="E883" s="39" t="n">
        <f aca="false">ROUND((D883-$D$5)*86400,2)</f>
        <v>24.79</v>
      </c>
      <c r="F883" s="12" t="n">
        <v>1176</v>
      </c>
      <c r="G883" s="11" t="n">
        <f aca="false">IF(INDEX(選手一覧!$D$5:$D$2736,$F883)="","",INDEX(選手一覧!$D$5:$D$2736,$F883))</f>
        <v>0.0110396990740741</v>
      </c>
      <c r="H883" s="12" t="n">
        <f aca="false">IF(INDEX(選手一覧!$E$5:$E$2736,$F883)="","",INDEX(選手一覧!$E$5:$E$2736,$F883))</f>
        <v>1177</v>
      </c>
      <c r="I883" s="11" t="n">
        <f aca="false">IF(INDEX(選手一覧!$F$5:$F$2736,$F883)="","",INDEX(選手一覧!$F$5:$F$2736,$F883))</f>
        <v>0.00704016203703704</v>
      </c>
      <c r="J883" s="12" t="n">
        <f aca="false">IF(INDEX(選手一覧!$G$5:$G$2736,$F883)="","",INDEX(選手一覧!$G$5:$G$2736,$F883))</f>
        <v>375</v>
      </c>
    </row>
    <row r="884" customFormat="false" ht="15" hidden="false" customHeight="false" outlineLevel="0" collapsed="false">
      <c r="A884" s="12" t="n">
        <v>881</v>
      </c>
      <c r="B884" s="8" t="s">
        <v>575</v>
      </c>
      <c r="C884" s="8" t="s">
        <v>70</v>
      </c>
      <c r="D884" s="11" t="n">
        <v>0.00289143518518519</v>
      </c>
      <c r="E884" s="39" t="n">
        <f aca="false">ROUND((D884-$D$5)*86400,2)</f>
        <v>24.79</v>
      </c>
      <c r="F884" s="12" t="n">
        <v>311</v>
      </c>
      <c r="G884" s="11" t="n">
        <f aca="false">IF(INDEX(選手一覧!$D$5:$D$2736,$F884)="","",INDEX(選手一覧!$D$5:$D$2736,$F884))</f>
        <v>0.0104619212962963</v>
      </c>
      <c r="H884" s="12" t="n">
        <f aca="false">IF(INDEX(選手一覧!$E$5:$E$2736,$F884)="","",INDEX(選手一覧!$E$5:$E$2736,$F884))</f>
        <v>312</v>
      </c>
      <c r="I884" s="11" t="str">
        <f aca="false">IF(INDEX(選手一覧!$F$5:$F$2736,$F884)="","",INDEX(選手一覧!$F$5:$F$2736,$F884))</f>
        <v/>
      </c>
      <c r="J884" s="12" t="str">
        <f aca="false">IF(INDEX(選手一覧!$G$5:$G$2736,$F884)="","",INDEX(選手一覧!$G$5:$G$2736,$F884))</f>
        <v/>
      </c>
    </row>
    <row r="885" customFormat="false" ht="15" hidden="false" customHeight="false" outlineLevel="0" collapsed="false">
      <c r="A885" s="12" t="n">
        <v>882</v>
      </c>
      <c r="B885" s="8" t="s">
        <v>3160</v>
      </c>
      <c r="C885" s="8" t="s">
        <v>1926</v>
      </c>
      <c r="D885" s="11" t="n">
        <v>0.00289143518518519</v>
      </c>
      <c r="E885" s="39" t="n">
        <f aca="false">ROUND((D885-$D$5)*86400,2)</f>
        <v>24.79</v>
      </c>
      <c r="F885" s="12" t="n">
        <v>2042</v>
      </c>
      <c r="G885" s="11" t="str">
        <f aca="false">IF(INDEX(選手一覧!$D$5:$D$2736,$F885)="","",INDEX(選手一覧!$D$5:$D$2736,$F885))</f>
        <v/>
      </c>
      <c r="H885" s="12" t="str">
        <f aca="false">IF(INDEX(選手一覧!$E$5:$E$2736,$F885)="","",INDEX(選手一覧!$E$5:$E$2736,$F885))</f>
        <v/>
      </c>
      <c r="I885" s="11" t="str">
        <f aca="false">IF(INDEX(選手一覧!$F$5:$F$2736,$F885)="","",INDEX(選手一覧!$F$5:$F$2736,$F885))</f>
        <v/>
      </c>
      <c r="J885" s="12" t="str">
        <f aca="false">IF(INDEX(選手一覧!$G$5:$G$2736,$F885)="","",INDEX(選手一覧!$G$5:$G$2736,$F885))</f>
        <v/>
      </c>
    </row>
    <row r="886" customFormat="false" ht="15" hidden="false" customHeight="false" outlineLevel="0" collapsed="false">
      <c r="A886" s="12" t="n">
        <v>883</v>
      </c>
      <c r="B886" s="8" t="s">
        <v>980</v>
      </c>
      <c r="C886" s="8" t="s">
        <v>725</v>
      </c>
      <c r="D886" s="11" t="n">
        <v>0.00289143518518519</v>
      </c>
      <c r="E886" s="39" t="n">
        <f aca="false">ROUND((D886-$D$5)*86400,2)</f>
        <v>24.79</v>
      </c>
      <c r="F886" s="12" t="n">
        <v>567</v>
      </c>
      <c r="G886" s="11" t="n">
        <f aca="false">IF(INDEX(選手一覧!$D$5:$D$2736,$F886)="","",INDEX(選手一覧!$D$5:$D$2736,$F886))</f>
        <v>0.01069375</v>
      </c>
      <c r="H886" s="12" t="n">
        <f aca="false">IF(INDEX(選手一覧!$E$5:$E$2736,$F886)="","",INDEX(選手一覧!$E$5:$E$2736,$F886))</f>
        <v>568</v>
      </c>
      <c r="I886" s="11" t="str">
        <f aca="false">IF(INDEX(選手一覧!$F$5:$F$2736,$F886)="","",INDEX(選手一覧!$F$5:$F$2736,$F886))</f>
        <v/>
      </c>
      <c r="J886" s="12" t="str">
        <f aca="false">IF(INDEX(選手一覧!$G$5:$G$2736,$F886)="","",INDEX(選手一覧!$G$5:$G$2736,$F886))</f>
        <v/>
      </c>
    </row>
    <row r="887" customFormat="false" ht="15" hidden="false" customHeight="false" outlineLevel="0" collapsed="false">
      <c r="A887" s="12" t="n">
        <v>884</v>
      </c>
      <c r="B887" s="8" t="s">
        <v>1534</v>
      </c>
      <c r="C887" s="8" t="s">
        <v>471</v>
      </c>
      <c r="D887" s="11" t="n">
        <v>0.00289166666666667</v>
      </c>
      <c r="E887" s="39" t="n">
        <f aca="false">ROUND((D887-$D$5)*86400,2)</f>
        <v>24.81</v>
      </c>
      <c r="F887" s="12" t="n">
        <v>939</v>
      </c>
      <c r="G887" s="11" t="n">
        <f aca="false">IF(INDEX(選手一覧!$D$5:$D$2736,$F887)="","",INDEX(選手一覧!$D$5:$D$2736,$F887))</f>
        <v>0.0109114583333333</v>
      </c>
      <c r="H887" s="12" t="n">
        <f aca="false">IF(INDEX(選手一覧!$E$5:$E$2736,$F887)="","",INDEX(選手一覧!$E$5:$E$2736,$F887))</f>
        <v>940</v>
      </c>
      <c r="I887" s="11" t="n">
        <f aca="false">IF(INDEX(選手一覧!$F$5:$F$2736,$F887)="","",INDEX(選手一覧!$F$5:$F$2736,$F887))</f>
        <v>0.00692696759259259</v>
      </c>
      <c r="J887" s="12" t="n">
        <f aca="false">IF(INDEX(選手一覧!$G$5:$G$2736,$F887)="","",INDEX(選手一覧!$G$5:$G$2736,$F887))</f>
        <v>267</v>
      </c>
    </row>
    <row r="888" customFormat="false" ht="15" hidden="false" customHeight="false" outlineLevel="0" collapsed="false">
      <c r="A888" s="12" t="n">
        <v>885</v>
      </c>
      <c r="B888" s="8" t="s">
        <v>3165</v>
      </c>
      <c r="C888" s="8" t="s">
        <v>3166</v>
      </c>
      <c r="D888" s="11" t="n">
        <v>0.00289178240740741</v>
      </c>
      <c r="E888" s="39" t="n">
        <f aca="false">ROUND((D888-$D$5)*86400,2)</f>
        <v>24.82</v>
      </c>
      <c r="F888" s="12" t="n">
        <v>2046</v>
      </c>
      <c r="G888" s="11" t="str">
        <f aca="false">IF(INDEX(選手一覧!$D$5:$D$2736,$F888)="","",INDEX(選手一覧!$D$5:$D$2736,$F888))</f>
        <v/>
      </c>
      <c r="H888" s="12" t="str">
        <f aca="false">IF(INDEX(選手一覧!$E$5:$E$2736,$F888)="","",INDEX(選手一覧!$E$5:$E$2736,$F888))</f>
        <v/>
      </c>
      <c r="I888" s="11" t="str">
        <f aca="false">IF(INDEX(選手一覧!$F$5:$F$2736,$F888)="","",INDEX(選手一覧!$F$5:$F$2736,$F888))</f>
        <v/>
      </c>
      <c r="J888" s="12" t="str">
        <f aca="false">IF(INDEX(選手一覧!$G$5:$G$2736,$F888)="","",INDEX(選手一覧!$G$5:$G$2736,$F888))</f>
        <v/>
      </c>
    </row>
    <row r="889" customFormat="false" ht="15" hidden="false" customHeight="false" outlineLevel="0" collapsed="false">
      <c r="A889" s="12" t="n">
        <v>886</v>
      </c>
      <c r="B889" s="8" t="s">
        <v>1406</v>
      </c>
      <c r="C889" s="8" t="s">
        <v>1042</v>
      </c>
      <c r="D889" s="11" t="n">
        <v>0.00289189814814815</v>
      </c>
      <c r="E889" s="39" t="n">
        <f aca="false">ROUND((D889-$D$5)*86400,2)</f>
        <v>24.83</v>
      </c>
      <c r="F889" s="12" t="n">
        <v>856</v>
      </c>
      <c r="G889" s="11" t="n">
        <f aca="false">IF(INDEX(選手一覧!$D$5:$D$2736,$F889)="","",INDEX(選手一覧!$D$5:$D$2736,$F889))</f>
        <v>0.0108631944444444</v>
      </c>
      <c r="H889" s="12" t="n">
        <f aca="false">IF(INDEX(選手一覧!$E$5:$E$2736,$F889)="","",INDEX(選手一覧!$E$5:$E$2736,$F889))</f>
        <v>857</v>
      </c>
      <c r="I889" s="11" t="str">
        <f aca="false">IF(INDEX(選手一覧!$F$5:$F$2736,$F889)="","",INDEX(選手一覧!$F$5:$F$2736,$F889))</f>
        <v/>
      </c>
      <c r="J889" s="12" t="str">
        <f aca="false">IF(INDEX(選手一覧!$G$5:$G$2736,$F889)="","",INDEX(選手一覧!$G$5:$G$2736,$F889))</f>
        <v/>
      </c>
    </row>
    <row r="890" customFormat="false" ht="15" hidden="false" customHeight="false" outlineLevel="0" collapsed="false">
      <c r="A890" s="12" t="n">
        <v>887</v>
      </c>
      <c r="B890" s="8" t="s">
        <v>1490</v>
      </c>
      <c r="C890" s="8" t="s">
        <v>1087</v>
      </c>
      <c r="D890" s="11" t="n">
        <v>0.00289201388888889</v>
      </c>
      <c r="E890" s="39" t="n">
        <f aca="false">ROUND((D890-$D$5)*86400,2)</f>
        <v>24.84</v>
      </c>
      <c r="F890" s="12" t="n">
        <v>910</v>
      </c>
      <c r="G890" s="11" t="n">
        <f aca="false">IF(INDEX(選手一覧!$D$5:$D$2736,$F890)="","",INDEX(選手一覧!$D$5:$D$2736,$F890))</f>
        <v>0.0108950231481482</v>
      </c>
      <c r="H890" s="12" t="n">
        <f aca="false">IF(INDEX(選手一覧!$E$5:$E$2736,$F890)="","",INDEX(選手一覧!$E$5:$E$2736,$F890))</f>
        <v>911</v>
      </c>
      <c r="I890" s="11" t="str">
        <f aca="false">IF(INDEX(選手一覧!$F$5:$F$2736,$F890)="","",INDEX(選手一覧!$F$5:$F$2736,$F890))</f>
        <v/>
      </c>
      <c r="J890" s="12" t="str">
        <f aca="false">IF(INDEX(選手一覧!$G$5:$G$2736,$F890)="","",INDEX(選手一覧!$G$5:$G$2736,$F890))</f>
        <v/>
      </c>
    </row>
    <row r="891" customFormat="false" ht="15" hidden="false" customHeight="false" outlineLevel="0" collapsed="false">
      <c r="A891" s="12" t="n">
        <v>888</v>
      </c>
      <c r="B891" s="8" t="s">
        <v>3170</v>
      </c>
      <c r="C891" s="8" t="s">
        <v>2659</v>
      </c>
      <c r="D891" s="11" t="n">
        <v>0.00289201388888889</v>
      </c>
      <c r="E891" s="39" t="n">
        <f aca="false">ROUND((D891-$D$5)*86400,2)</f>
        <v>24.84</v>
      </c>
      <c r="F891" s="12" t="n">
        <v>2050</v>
      </c>
      <c r="G891" s="11" t="str">
        <f aca="false">IF(INDEX(選手一覧!$D$5:$D$2736,$F891)="","",INDEX(選手一覧!$D$5:$D$2736,$F891))</f>
        <v/>
      </c>
      <c r="H891" s="12" t="str">
        <f aca="false">IF(INDEX(選手一覧!$E$5:$E$2736,$F891)="","",INDEX(選手一覧!$E$5:$E$2736,$F891))</f>
        <v/>
      </c>
      <c r="I891" s="11" t="str">
        <f aca="false">IF(INDEX(選手一覧!$F$5:$F$2736,$F891)="","",INDEX(選手一覧!$F$5:$F$2736,$F891))</f>
        <v/>
      </c>
      <c r="J891" s="12" t="str">
        <f aca="false">IF(INDEX(選手一覧!$G$5:$G$2736,$F891)="","",INDEX(選手一覧!$G$5:$G$2736,$F891))</f>
        <v/>
      </c>
    </row>
    <row r="892" customFormat="false" ht="15" hidden="false" customHeight="false" outlineLevel="0" collapsed="false">
      <c r="A892" s="12" t="n">
        <v>889</v>
      </c>
      <c r="B892" s="8" t="s">
        <v>3172</v>
      </c>
      <c r="C892" s="8" t="s">
        <v>3173</v>
      </c>
      <c r="D892" s="11" t="n">
        <v>0.00289201388888889</v>
      </c>
      <c r="E892" s="39" t="n">
        <f aca="false">ROUND((D892-$D$5)*86400,2)</f>
        <v>24.84</v>
      </c>
      <c r="F892" s="12" t="n">
        <v>2052</v>
      </c>
      <c r="G892" s="11" t="str">
        <f aca="false">IF(INDEX(選手一覧!$D$5:$D$2736,$F892)="","",INDEX(選手一覧!$D$5:$D$2736,$F892))</f>
        <v/>
      </c>
      <c r="H892" s="12" t="str">
        <f aca="false">IF(INDEX(選手一覧!$E$5:$E$2736,$F892)="","",INDEX(選手一覧!$E$5:$E$2736,$F892))</f>
        <v/>
      </c>
      <c r="I892" s="11" t="str">
        <f aca="false">IF(INDEX(選手一覧!$F$5:$F$2736,$F892)="","",INDEX(選手一覧!$F$5:$F$2736,$F892))</f>
        <v/>
      </c>
      <c r="J892" s="12" t="str">
        <f aca="false">IF(INDEX(選手一覧!$G$5:$G$2736,$F892)="","",INDEX(選手一覧!$G$5:$G$2736,$F892))</f>
        <v/>
      </c>
    </row>
    <row r="893" customFormat="false" ht="15" hidden="false" customHeight="false" outlineLevel="0" collapsed="false">
      <c r="A893" s="12" t="n">
        <v>890</v>
      </c>
      <c r="B893" s="8" t="s">
        <v>1964</v>
      </c>
      <c r="C893" s="8" t="s">
        <v>1205</v>
      </c>
      <c r="D893" s="11" t="n">
        <v>0.00289212962962963</v>
      </c>
      <c r="E893" s="39" t="n">
        <f aca="false">ROUND((D893-$D$5)*86400,2)</f>
        <v>24.85</v>
      </c>
      <c r="F893" s="12" t="n">
        <v>1235</v>
      </c>
      <c r="G893" s="11" t="n">
        <f aca="false">IF(INDEX(選手一覧!$D$5:$D$2736,$F893)="","",INDEX(選手一覧!$D$5:$D$2736,$F893))</f>
        <v>0.0110709490740741</v>
      </c>
      <c r="H893" s="12" t="n">
        <f aca="false">IF(INDEX(選手一覧!$E$5:$E$2736,$F893)="","",INDEX(選手一覧!$E$5:$E$2736,$F893))</f>
        <v>1236</v>
      </c>
      <c r="I893" s="11" t="str">
        <f aca="false">IF(INDEX(選手一覧!$F$5:$F$2736,$F893)="","",INDEX(選手一覧!$F$5:$F$2736,$F893))</f>
        <v/>
      </c>
      <c r="J893" s="12" t="str">
        <f aca="false">IF(INDEX(選手一覧!$G$5:$G$2736,$F893)="","",INDEX(選手一覧!$G$5:$G$2736,$F893))</f>
        <v/>
      </c>
    </row>
    <row r="894" customFormat="false" ht="15" hidden="false" customHeight="false" outlineLevel="0" collapsed="false">
      <c r="A894" s="12" t="n">
        <v>891</v>
      </c>
      <c r="B894" s="8" t="s">
        <v>662</v>
      </c>
      <c r="C894" s="8" t="s">
        <v>160</v>
      </c>
      <c r="D894" s="11" t="n">
        <v>0.00289212962962963</v>
      </c>
      <c r="E894" s="39" t="n">
        <f aca="false">ROUND((D894-$D$5)*86400,2)</f>
        <v>24.85</v>
      </c>
      <c r="F894" s="12" t="n">
        <v>367</v>
      </c>
      <c r="G894" s="11" t="n">
        <f aca="false">IF(INDEX(選手一覧!$D$5:$D$2736,$F894)="","",INDEX(選手一覧!$D$5:$D$2736,$F894))</f>
        <v>0.0105259259259259</v>
      </c>
      <c r="H894" s="12" t="n">
        <f aca="false">IF(INDEX(選手一覧!$E$5:$E$2736,$F894)="","",INDEX(選手一覧!$E$5:$E$2736,$F894))</f>
        <v>368</v>
      </c>
      <c r="I894" s="11" t="str">
        <f aca="false">IF(INDEX(選手一覧!$F$5:$F$2736,$F894)="","",INDEX(選手一覧!$F$5:$F$2736,$F894))</f>
        <v/>
      </c>
      <c r="J894" s="12" t="str">
        <f aca="false">IF(INDEX(選手一覧!$G$5:$G$2736,$F894)="","",INDEX(選手一覧!$G$5:$G$2736,$F894))</f>
        <v/>
      </c>
    </row>
    <row r="895" customFormat="false" ht="15" hidden="false" customHeight="false" outlineLevel="0" collapsed="false">
      <c r="A895" s="12" t="n">
        <v>892</v>
      </c>
      <c r="B895" s="8" t="s">
        <v>1733</v>
      </c>
      <c r="C895" s="8" t="s">
        <v>138</v>
      </c>
      <c r="D895" s="11" t="n">
        <v>0.00289212962962963</v>
      </c>
      <c r="E895" s="39" t="n">
        <f aca="false">ROUND((D895-$D$5)*86400,2)</f>
        <v>24.85</v>
      </c>
      <c r="F895" s="12" t="n">
        <v>1075</v>
      </c>
      <c r="G895" s="11" t="n">
        <f aca="false">IF(INDEX(選手一覧!$D$5:$D$2736,$F895)="","",INDEX(選手一覧!$D$5:$D$2736,$F895))</f>
        <v>0.0109872685185185</v>
      </c>
      <c r="H895" s="12" t="n">
        <f aca="false">IF(INDEX(選手一覧!$E$5:$E$2736,$F895)="","",INDEX(選手一覧!$E$5:$E$2736,$F895))</f>
        <v>1076</v>
      </c>
      <c r="I895" s="11" t="n">
        <f aca="false">IF(INDEX(選手一覧!$F$5:$F$2736,$F895)="","",INDEX(選手一覧!$F$5:$F$2736,$F895))</f>
        <v>0.00740451388888889</v>
      </c>
      <c r="J895" s="12" t="n">
        <f aca="false">IF(INDEX(選手一覧!$G$5:$G$2736,$F895)="","",INDEX(選手一覧!$G$5:$G$2736,$F895))</f>
        <v>777</v>
      </c>
    </row>
    <row r="896" customFormat="false" ht="15" hidden="false" customHeight="false" outlineLevel="0" collapsed="false">
      <c r="A896" s="12" t="n">
        <v>893</v>
      </c>
      <c r="B896" s="8" t="s">
        <v>1745</v>
      </c>
      <c r="C896" s="8" t="s">
        <v>1042</v>
      </c>
      <c r="D896" s="11" t="n">
        <v>0.00289224537037037</v>
      </c>
      <c r="E896" s="39" t="n">
        <f aca="false">ROUND((D896-$D$5)*86400,2)</f>
        <v>24.86</v>
      </c>
      <c r="F896" s="12" t="n">
        <v>1083</v>
      </c>
      <c r="G896" s="11" t="n">
        <f aca="false">IF(INDEX(選手一覧!$D$5:$D$2736,$F896)="","",INDEX(選手一覧!$D$5:$D$2736,$F896))</f>
        <v>0.0109925925925926</v>
      </c>
      <c r="H896" s="12" t="n">
        <f aca="false">IF(INDEX(選手一覧!$E$5:$E$2736,$F896)="","",INDEX(選手一覧!$E$5:$E$2736,$F896))</f>
        <v>1084</v>
      </c>
      <c r="I896" s="11" t="n">
        <f aca="false">IF(INDEX(選手一覧!$F$5:$F$2736,$F896)="","",INDEX(選手一覧!$F$5:$F$2736,$F896))</f>
        <v>0.00699201388888889</v>
      </c>
      <c r="J896" s="12" t="n">
        <f aca="false">IF(INDEX(選手一覧!$G$5:$G$2736,$F896)="","",INDEX(選手一覧!$G$5:$G$2736,$F896))</f>
        <v>326</v>
      </c>
    </row>
    <row r="897" customFormat="false" ht="15" hidden="false" customHeight="false" outlineLevel="0" collapsed="false">
      <c r="A897" s="12" t="n">
        <v>894</v>
      </c>
      <c r="B897" s="8" t="s">
        <v>3181</v>
      </c>
      <c r="C897" s="8" t="s">
        <v>3182</v>
      </c>
      <c r="D897" s="11" t="n">
        <v>0.00289247685185185</v>
      </c>
      <c r="E897" s="39" t="n">
        <f aca="false">ROUND((D897-$D$5)*86400,2)</f>
        <v>24.88</v>
      </c>
      <c r="F897" s="12" t="n">
        <v>2058</v>
      </c>
      <c r="G897" s="11" t="str">
        <f aca="false">IF(INDEX(選手一覧!$D$5:$D$2736,$F897)="","",INDEX(選手一覧!$D$5:$D$2736,$F897))</f>
        <v/>
      </c>
      <c r="H897" s="12" t="str">
        <f aca="false">IF(INDEX(選手一覧!$E$5:$E$2736,$F897)="","",INDEX(選手一覧!$E$5:$E$2736,$F897))</f>
        <v/>
      </c>
      <c r="I897" s="11" t="str">
        <f aca="false">IF(INDEX(選手一覧!$F$5:$F$2736,$F897)="","",INDEX(選手一覧!$F$5:$F$2736,$F897))</f>
        <v/>
      </c>
      <c r="J897" s="12" t="str">
        <f aca="false">IF(INDEX(選手一覧!$G$5:$G$2736,$F897)="","",INDEX(選手一覧!$G$5:$G$2736,$F897))</f>
        <v/>
      </c>
    </row>
    <row r="898" customFormat="false" ht="15" hidden="false" customHeight="false" outlineLevel="0" collapsed="false">
      <c r="A898" s="12" t="n">
        <v>895</v>
      </c>
      <c r="B898" s="8" t="s">
        <v>1204</v>
      </c>
      <c r="C898" s="8" t="s">
        <v>1205</v>
      </c>
      <c r="D898" s="11" t="n">
        <v>0.00289259259259259</v>
      </c>
      <c r="E898" s="39" t="n">
        <f aca="false">ROUND((D898-$D$5)*86400,2)</f>
        <v>24.89</v>
      </c>
      <c r="F898" s="12" t="n">
        <v>720</v>
      </c>
      <c r="G898" s="11" t="n">
        <f aca="false">IF(INDEX(選手一覧!$D$5:$D$2736,$F898)="","",INDEX(選手一覧!$D$5:$D$2736,$F898))</f>
        <v>0.0107894675925926</v>
      </c>
      <c r="H898" s="12" t="n">
        <f aca="false">IF(INDEX(選手一覧!$E$5:$E$2736,$F898)="","",INDEX(選手一覧!$E$5:$E$2736,$F898))</f>
        <v>721</v>
      </c>
      <c r="I898" s="11" t="str">
        <f aca="false">IF(INDEX(選手一覧!$F$5:$F$2736,$F898)="","",INDEX(選手一覧!$F$5:$F$2736,$F898))</f>
        <v/>
      </c>
      <c r="J898" s="12" t="str">
        <f aca="false">IF(INDEX(選手一覧!$G$5:$G$2736,$F898)="","",INDEX(選手一覧!$G$5:$G$2736,$F898))</f>
        <v/>
      </c>
    </row>
    <row r="899" customFormat="false" ht="15" hidden="false" customHeight="false" outlineLevel="0" collapsed="false">
      <c r="A899" s="12" t="n">
        <v>896</v>
      </c>
      <c r="B899" s="8" t="s">
        <v>3187</v>
      </c>
      <c r="C899" s="8" t="s">
        <v>3188</v>
      </c>
      <c r="D899" s="11" t="n">
        <v>0.00289293981481482</v>
      </c>
      <c r="E899" s="39" t="n">
        <f aca="false">ROUND((D899-$D$5)*86400,2)</f>
        <v>24.92</v>
      </c>
      <c r="F899" s="12" t="n">
        <v>2061</v>
      </c>
      <c r="G899" s="11" t="str">
        <f aca="false">IF(INDEX(選手一覧!$D$5:$D$2736,$F899)="","",INDEX(選手一覧!$D$5:$D$2736,$F899))</f>
        <v/>
      </c>
      <c r="H899" s="12" t="str">
        <f aca="false">IF(INDEX(選手一覧!$E$5:$E$2736,$F899)="","",INDEX(選手一覧!$E$5:$E$2736,$F899))</f>
        <v/>
      </c>
      <c r="I899" s="11" t="str">
        <f aca="false">IF(INDEX(選手一覧!$F$5:$F$2736,$F899)="","",INDEX(選手一覧!$F$5:$F$2736,$F899))</f>
        <v/>
      </c>
      <c r="J899" s="12" t="str">
        <f aca="false">IF(INDEX(選手一覧!$G$5:$G$2736,$F899)="","",INDEX(選手一覧!$G$5:$G$2736,$F899))</f>
        <v/>
      </c>
    </row>
    <row r="900" customFormat="false" ht="15" hidden="false" customHeight="false" outlineLevel="0" collapsed="false">
      <c r="A900" s="12" t="n">
        <v>897</v>
      </c>
      <c r="B900" s="8" t="s">
        <v>3189</v>
      </c>
      <c r="C900" s="8" t="s">
        <v>2184</v>
      </c>
      <c r="D900" s="11" t="n">
        <v>0.00289293981481482</v>
      </c>
      <c r="E900" s="39" t="n">
        <f aca="false">ROUND((D900-$D$5)*86400,2)</f>
        <v>24.92</v>
      </c>
      <c r="F900" s="12" t="n">
        <v>2062</v>
      </c>
      <c r="G900" s="11" t="str">
        <f aca="false">IF(INDEX(選手一覧!$D$5:$D$2736,$F900)="","",INDEX(選手一覧!$D$5:$D$2736,$F900))</f>
        <v/>
      </c>
      <c r="H900" s="12" t="str">
        <f aca="false">IF(INDEX(選手一覧!$E$5:$E$2736,$F900)="","",INDEX(選手一覧!$E$5:$E$2736,$F900))</f>
        <v/>
      </c>
      <c r="I900" s="11" t="str">
        <f aca="false">IF(INDEX(選手一覧!$F$5:$F$2736,$F900)="","",INDEX(選手一覧!$F$5:$F$2736,$F900))</f>
        <v/>
      </c>
      <c r="J900" s="12" t="str">
        <f aca="false">IF(INDEX(選手一覧!$G$5:$G$2736,$F900)="","",INDEX(選手一覧!$G$5:$G$2736,$F900))</f>
        <v/>
      </c>
    </row>
    <row r="901" customFormat="false" ht="15" hidden="false" customHeight="false" outlineLevel="0" collapsed="false">
      <c r="A901" s="12" t="n">
        <v>898</v>
      </c>
      <c r="B901" s="8" t="s">
        <v>391</v>
      </c>
      <c r="C901" s="8" t="s">
        <v>249</v>
      </c>
      <c r="D901" s="11" t="n">
        <v>0.00289305555555556</v>
      </c>
      <c r="E901" s="39" t="n">
        <f aca="false">ROUND((D901-$D$5)*86400,2)</f>
        <v>24.93</v>
      </c>
      <c r="F901" s="12" t="n">
        <v>198</v>
      </c>
      <c r="G901" s="11" t="n">
        <f aca="false">IF(INDEX(選手一覧!$D$5:$D$2736,$F901)="","",INDEX(選手一覧!$D$5:$D$2736,$F901))</f>
        <v>0.010347337962963</v>
      </c>
      <c r="H901" s="12" t="n">
        <f aca="false">IF(INDEX(選手一覧!$E$5:$E$2736,$F901)="","",INDEX(選手一覧!$E$5:$E$2736,$F901))</f>
        <v>199</v>
      </c>
      <c r="I901" s="11" t="str">
        <f aca="false">IF(INDEX(選手一覧!$F$5:$F$2736,$F901)="","",INDEX(選手一覧!$F$5:$F$2736,$F901))</f>
        <v/>
      </c>
      <c r="J901" s="12" t="str">
        <f aca="false">IF(INDEX(選手一覧!$G$5:$G$2736,$F901)="","",INDEX(選手一覧!$G$5:$G$2736,$F901))</f>
        <v/>
      </c>
    </row>
    <row r="902" customFormat="false" ht="15" hidden="false" customHeight="false" outlineLevel="0" collapsed="false">
      <c r="A902" s="12" t="n">
        <v>899</v>
      </c>
      <c r="B902" s="8" t="s">
        <v>920</v>
      </c>
      <c r="C902" s="8" t="s">
        <v>52</v>
      </c>
      <c r="D902" s="11" t="n">
        <v>0.00289328703703704</v>
      </c>
      <c r="E902" s="39" t="n">
        <f aca="false">ROUND((D902-$D$5)*86400,2)</f>
        <v>24.95</v>
      </c>
      <c r="F902" s="12" t="n">
        <v>529</v>
      </c>
      <c r="G902" s="11" t="n">
        <f aca="false">IF(INDEX(選手一覧!$D$5:$D$2736,$F902)="","",INDEX(選手一覧!$D$5:$D$2736,$F902))</f>
        <v>0.010653125</v>
      </c>
      <c r="H902" s="12" t="n">
        <f aca="false">IF(INDEX(選手一覧!$E$5:$E$2736,$F902)="","",INDEX(選手一覧!$E$5:$E$2736,$F902))</f>
        <v>530</v>
      </c>
      <c r="I902" s="11" t="str">
        <f aca="false">IF(INDEX(選手一覧!$F$5:$F$2736,$F902)="","",INDEX(選手一覧!$F$5:$F$2736,$F902))</f>
        <v/>
      </c>
      <c r="J902" s="12" t="str">
        <f aca="false">IF(INDEX(選手一覧!$G$5:$G$2736,$F902)="","",INDEX(選手一覧!$G$5:$G$2736,$F902))</f>
        <v/>
      </c>
    </row>
    <row r="903" customFormat="false" ht="15" hidden="false" customHeight="false" outlineLevel="0" collapsed="false">
      <c r="A903" s="12" t="n">
        <v>900</v>
      </c>
      <c r="B903" s="8" t="s">
        <v>3195</v>
      </c>
      <c r="C903" s="8" t="s">
        <v>3196</v>
      </c>
      <c r="D903" s="11" t="n">
        <v>0.00289340277777778</v>
      </c>
      <c r="E903" s="39" t="n">
        <f aca="false">ROUND((D903-$D$5)*86400,2)</f>
        <v>24.96</v>
      </c>
      <c r="F903" s="12" t="n">
        <v>2066</v>
      </c>
      <c r="G903" s="11" t="str">
        <f aca="false">IF(INDEX(選手一覧!$D$5:$D$2736,$F903)="","",INDEX(選手一覧!$D$5:$D$2736,$F903))</f>
        <v/>
      </c>
      <c r="H903" s="12" t="str">
        <f aca="false">IF(INDEX(選手一覧!$E$5:$E$2736,$F903)="","",INDEX(選手一覧!$E$5:$E$2736,$F903))</f>
        <v/>
      </c>
      <c r="I903" s="11" t="str">
        <f aca="false">IF(INDEX(選手一覧!$F$5:$F$2736,$F903)="","",INDEX(選手一覧!$F$5:$F$2736,$F903))</f>
        <v/>
      </c>
      <c r="J903" s="12" t="str">
        <f aca="false">IF(INDEX(選手一覧!$G$5:$G$2736,$F903)="","",INDEX(選手一覧!$G$5:$G$2736,$F903))</f>
        <v/>
      </c>
    </row>
    <row r="904" customFormat="false" ht="15" hidden="false" customHeight="false" outlineLevel="0" collapsed="false">
      <c r="A904" s="12" t="n">
        <v>901</v>
      </c>
      <c r="B904" s="8" t="s">
        <v>1072</v>
      </c>
      <c r="C904" s="8" t="s">
        <v>92</v>
      </c>
      <c r="D904" s="11" t="n">
        <v>0.00289351851851852</v>
      </c>
      <c r="E904" s="39" t="n">
        <f aca="false">ROUND((D904-$D$5)*86400,2)</f>
        <v>24.97</v>
      </c>
      <c r="F904" s="12" t="n">
        <v>634</v>
      </c>
      <c r="G904" s="11" t="n">
        <f aca="false">IF(INDEX(選手一覧!$D$5:$D$2736,$F904)="","",INDEX(選手一覧!$D$5:$D$2736,$F904))</f>
        <v>0.010731712962963</v>
      </c>
      <c r="H904" s="12" t="n">
        <f aca="false">IF(INDEX(選手一覧!$E$5:$E$2736,$F904)="","",INDEX(選手一覧!$E$5:$E$2736,$F904))</f>
        <v>635</v>
      </c>
      <c r="I904" s="11" t="n">
        <f aca="false">IF(INDEX(選手一覧!$F$5:$F$2736,$F904)="","",INDEX(選手一覧!$F$5:$F$2736,$F904))</f>
        <v>0.00675474537037037</v>
      </c>
      <c r="J904" s="12" t="n">
        <f aca="false">IF(INDEX(選手一覧!$G$5:$G$2736,$F904)="","",INDEX(選手一覧!$G$5:$G$2736,$F904))</f>
        <v>132</v>
      </c>
    </row>
    <row r="905" customFormat="false" ht="15" hidden="false" customHeight="false" outlineLevel="0" collapsed="false">
      <c r="A905" s="12" t="n">
        <v>902</v>
      </c>
      <c r="B905" s="8" t="s">
        <v>3201</v>
      </c>
      <c r="C905" s="8" t="s">
        <v>3202</v>
      </c>
      <c r="D905" s="11" t="n">
        <v>0.00289351851851852</v>
      </c>
      <c r="E905" s="39" t="n">
        <f aca="false">ROUND((D905-$D$5)*86400,2)</f>
        <v>24.97</v>
      </c>
      <c r="F905" s="12" t="n">
        <v>2069</v>
      </c>
      <c r="G905" s="11" t="str">
        <f aca="false">IF(INDEX(選手一覧!$D$5:$D$2736,$F905)="","",INDEX(選手一覧!$D$5:$D$2736,$F905))</f>
        <v/>
      </c>
      <c r="H905" s="12" t="str">
        <f aca="false">IF(INDEX(選手一覧!$E$5:$E$2736,$F905)="","",INDEX(選手一覧!$E$5:$E$2736,$F905))</f>
        <v/>
      </c>
      <c r="I905" s="11" t="str">
        <f aca="false">IF(INDEX(選手一覧!$F$5:$F$2736,$F905)="","",INDEX(選手一覧!$F$5:$F$2736,$F905))</f>
        <v/>
      </c>
      <c r="J905" s="12" t="str">
        <f aca="false">IF(INDEX(選手一覧!$G$5:$G$2736,$F905)="","",INDEX(選手一覧!$G$5:$G$2736,$F905))</f>
        <v/>
      </c>
    </row>
    <row r="906" customFormat="false" ht="15" hidden="false" customHeight="false" outlineLevel="0" collapsed="false">
      <c r="A906" s="12" t="n">
        <v>903</v>
      </c>
      <c r="B906" s="8" t="s">
        <v>3205</v>
      </c>
      <c r="C906" s="8" t="s">
        <v>3206</v>
      </c>
      <c r="D906" s="11" t="n">
        <v>0.00289363425925926</v>
      </c>
      <c r="E906" s="39" t="n">
        <f aca="false">ROUND((D906-$D$5)*86400,2)</f>
        <v>24.98</v>
      </c>
      <c r="F906" s="12" t="n">
        <v>2071</v>
      </c>
      <c r="G906" s="11" t="str">
        <f aca="false">IF(INDEX(選手一覧!$D$5:$D$2736,$F906)="","",INDEX(選手一覧!$D$5:$D$2736,$F906))</f>
        <v/>
      </c>
      <c r="H906" s="12" t="str">
        <f aca="false">IF(INDEX(選手一覧!$E$5:$E$2736,$F906)="","",INDEX(選手一覧!$E$5:$E$2736,$F906))</f>
        <v/>
      </c>
      <c r="I906" s="11" t="str">
        <f aca="false">IF(INDEX(選手一覧!$F$5:$F$2736,$F906)="","",INDEX(選手一覧!$F$5:$F$2736,$F906))</f>
        <v/>
      </c>
      <c r="J906" s="12" t="str">
        <f aca="false">IF(INDEX(選手一覧!$G$5:$G$2736,$F906)="","",INDEX(選手一覧!$G$5:$G$2736,$F906))</f>
        <v/>
      </c>
    </row>
    <row r="907" customFormat="false" ht="15" hidden="false" customHeight="false" outlineLevel="0" collapsed="false">
      <c r="A907" s="12" t="n">
        <v>904</v>
      </c>
      <c r="B907" s="8" t="s">
        <v>1704</v>
      </c>
      <c r="C907" s="8" t="s">
        <v>399</v>
      </c>
      <c r="D907" s="11" t="n">
        <v>0.00289398148148148</v>
      </c>
      <c r="E907" s="39" t="n">
        <f aca="false">ROUND((D907-$D$5)*86400,2)</f>
        <v>25.01</v>
      </c>
      <c r="F907" s="12" t="n">
        <v>1056</v>
      </c>
      <c r="G907" s="11" t="n">
        <f aca="false">IF(INDEX(選手一覧!$D$5:$D$2736,$F907)="","",INDEX(選手一覧!$D$5:$D$2736,$F907))</f>
        <v>0.010980787037037</v>
      </c>
      <c r="H907" s="12" t="n">
        <f aca="false">IF(INDEX(選手一覧!$E$5:$E$2736,$F907)="","",INDEX(選手一覧!$E$5:$E$2736,$F907))</f>
        <v>1057</v>
      </c>
      <c r="I907" s="11" t="str">
        <f aca="false">IF(INDEX(選手一覧!$F$5:$F$2736,$F907)="","",INDEX(選手一覧!$F$5:$F$2736,$F907))</f>
        <v/>
      </c>
      <c r="J907" s="12" t="str">
        <f aca="false">IF(INDEX(選手一覧!$G$5:$G$2736,$F907)="","",INDEX(選手一覧!$G$5:$G$2736,$F907))</f>
        <v/>
      </c>
    </row>
    <row r="908" customFormat="false" ht="15" hidden="false" customHeight="false" outlineLevel="0" collapsed="false">
      <c r="A908" s="12" t="n">
        <v>905</v>
      </c>
      <c r="B908" s="8" t="s">
        <v>2911</v>
      </c>
      <c r="C908" s="8" t="s">
        <v>1767</v>
      </c>
      <c r="D908" s="11" t="n">
        <v>0.00289409722222222</v>
      </c>
      <c r="E908" s="39" t="n">
        <f aca="false">ROUND((D908-$D$5)*86400,2)</f>
        <v>25.02</v>
      </c>
      <c r="F908" s="12" t="n">
        <v>1871</v>
      </c>
      <c r="G908" s="11" t="str">
        <f aca="false">IF(INDEX(選手一覧!$D$5:$D$2736,$F908)="","",INDEX(選手一覧!$D$5:$D$2736,$F908))</f>
        <v/>
      </c>
      <c r="H908" s="12" t="str">
        <f aca="false">IF(INDEX(選手一覧!$E$5:$E$2736,$F908)="","",INDEX(選手一覧!$E$5:$E$2736,$F908))</f>
        <v/>
      </c>
      <c r="I908" s="11" t="n">
        <f aca="false">IF(INDEX(選手一覧!$F$5:$F$2736,$F908)="","",INDEX(選手一覧!$F$5:$F$2736,$F908))</f>
        <v>0.00738032407407407</v>
      </c>
      <c r="J908" s="12" t="n">
        <f aca="false">IF(INDEX(選手一覧!$G$5:$G$2736,$F908)="","",INDEX(選手一覧!$G$5:$G$2736,$F908))</f>
        <v>752</v>
      </c>
    </row>
    <row r="909" customFormat="false" ht="15" hidden="false" customHeight="false" outlineLevel="0" collapsed="false">
      <c r="A909" s="12" t="n">
        <v>906</v>
      </c>
      <c r="B909" s="8" t="s">
        <v>799</v>
      </c>
      <c r="C909" s="8" t="s">
        <v>56</v>
      </c>
      <c r="D909" s="11" t="n">
        <v>0.00289444444444445</v>
      </c>
      <c r="E909" s="39" t="n">
        <f aca="false">ROUND((D909-$D$5)*86400,2)</f>
        <v>25.05</v>
      </c>
      <c r="F909" s="12" t="n">
        <v>454</v>
      </c>
      <c r="G909" s="11" t="n">
        <f aca="false">IF(INDEX(選手一覧!$D$5:$D$2736,$F909)="","",INDEX(選手一覧!$D$5:$D$2736,$F909))</f>
        <v>0.010590625</v>
      </c>
      <c r="H909" s="12" t="n">
        <f aca="false">IF(INDEX(選手一覧!$E$5:$E$2736,$F909)="","",INDEX(選手一覧!$E$5:$E$2736,$F909))</f>
        <v>455</v>
      </c>
      <c r="I909" s="11" t="str">
        <f aca="false">IF(INDEX(選手一覧!$F$5:$F$2736,$F909)="","",INDEX(選手一覧!$F$5:$F$2736,$F909))</f>
        <v/>
      </c>
      <c r="J909" s="12" t="str">
        <f aca="false">IF(INDEX(選手一覧!$G$5:$G$2736,$F909)="","",INDEX(選手一覧!$G$5:$G$2736,$F909))</f>
        <v/>
      </c>
    </row>
    <row r="910" customFormat="false" ht="15" hidden="false" customHeight="false" outlineLevel="0" collapsed="false">
      <c r="A910" s="12" t="n">
        <v>907</v>
      </c>
      <c r="B910" s="8" t="s">
        <v>3213</v>
      </c>
      <c r="C910" s="8" t="s">
        <v>3214</v>
      </c>
      <c r="D910" s="11" t="n">
        <v>0.00289444444444445</v>
      </c>
      <c r="E910" s="39" t="n">
        <f aca="false">ROUND((D910-$D$5)*86400,2)</f>
        <v>25.05</v>
      </c>
      <c r="F910" s="12" t="n">
        <v>2076</v>
      </c>
      <c r="G910" s="11" t="str">
        <f aca="false">IF(INDEX(選手一覧!$D$5:$D$2736,$F910)="","",INDEX(選手一覧!$D$5:$D$2736,$F910))</f>
        <v/>
      </c>
      <c r="H910" s="12" t="str">
        <f aca="false">IF(INDEX(選手一覧!$E$5:$E$2736,$F910)="","",INDEX(選手一覧!$E$5:$E$2736,$F910))</f>
        <v/>
      </c>
      <c r="I910" s="11" t="str">
        <f aca="false">IF(INDEX(選手一覧!$F$5:$F$2736,$F910)="","",INDEX(選手一覧!$F$5:$F$2736,$F910))</f>
        <v/>
      </c>
      <c r="J910" s="12" t="str">
        <f aca="false">IF(INDEX(選手一覧!$G$5:$G$2736,$F910)="","",INDEX(選手一覧!$G$5:$G$2736,$F910))</f>
        <v/>
      </c>
    </row>
    <row r="911" customFormat="false" ht="15" hidden="false" customHeight="false" outlineLevel="0" collapsed="false">
      <c r="A911" s="12" t="n">
        <v>908</v>
      </c>
      <c r="B911" s="8" t="s">
        <v>1266</v>
      </c>
      <c r="C911" s="8" t="s">
        <v>1267</v>
      </c>
      <c r="D911" s="11" t="n">
        <v>0.00289467592592593</v>
      </c>
      <c r="E911" s="39" t="n">
        <f aca="false">ROUND((D911-$D$5)*86400,2)</f>
        <v>25.07</v>
      </c>
      <c r="F911" s="12" t="n">
        <v>760</v>
      </c>
      <c r="G911" s="11" t="n">
        <f aca="false">IF(INDEX(選手一覧!$D$5:$D$2736,$F911)="","",INDEX(選手一覧!$D$5:$D$2736,$F911))</f>
        <v>0.0108081018518519</v>
      </c>
      <c r="H911" s="12" t="n">
        <f aca="false">IF(INDEX(選手一覧!$E$5:$E$2736,$F911)="","",INDEX(選手一覧!$E$5:$E$2736,$F911))</f>
        <v>761</v>
      </c>
      <c r="I911" s="11" t="str">
        <f aca="false">IF(INDEX(選手一覧!$F$5:$F$2736,$F911)="","",INDEX(選手一覧!$F$5:$F$2736,$F911))</f>
        <v/>
      </c>
      <c r="J911" s="12" t="str">
        <f aca="false">IF(INDEX(選手一覧!$G$5:$G$2736,$F911)="","",INDEX(選手一覧!$G$5:$G$2736,$F911))</f>
        <v/>
      </c>
    </row>
    <row r="912" customFormat="false" ht="15" hidden="false" customHeight="false" outlineLevel="0" collapsed="false">
      <c r="A912" s="12" t="n">
        <v>909</v>
      </c>
      <c r="B912" s="8" t="s">
        <v>3219</v>
      </c>
      <c r="C912" s="8" t="s">
        <v>622</v>
      </c>
      <c r="D912" s="11" t="n">
        <v>0.00289467592592593</v>
      </c>
      <c r="E912" s="39" t="n">
        <f aca="false">ROUND((D912-$D$5)*86400,2)</f>
        <v>25.07</v>
      </c>
      <c r="F912" s="12" t="n">
        <v>2079</v>
      </c>
      <c r="G912" s="11" t="str">
        <f aca="false">IF(INDEX(選手一覧!$D$5:$D$2736,$F912)="","",INDEX(選手一覧!$D$5:$D$2736,$F912))</f>
        <v/>
      </c>
      <c r="H912" s="12" t="str">
        <f aca="false">IF(INDEX(選手一覧!$E$5:$E$2736,$F912)="","",INDEX(選手一覧!$E$5:$E$2736,$F912))</f>
        <v/>
      </c>
      <c r="I912" s="11" t="str">
        <f aca="false">IF(INDEX(選手一覧!$F$5:$F$2736,$F912)="","",INDEX(選手一覧!$F$5:$F$2736,$F912))</f>
        <v/>
      </c>
      <c r="J912" s="12" t="str">
        <f aca="false">IF(INDEX(選手一覧!$G$5:$G$2736,$F912)="","",INDEX(選手一覧!$G$5:$G$2736,$F912))</f>
        <v/>
      </c>
    </row>
    <row r="913" customFormat="false" ht="15" hidden="false" customHeight="false" outlineLevel="0" collapsed="false">
      <c r="A913" s="12" t="n">
        <v>910</v>
      </c>
      <c r="B913" s="8" t="s">
        <v>658</v>
      </c>
      <c r="C913" s="8" t="s">
        <v>537</v>
      </c>
      <c r="D913" s="11" t="n">
        <v>0.00289467592592593</v>
      </c>
      <c r="E913" s="39" t="n">
        <f aca="false">ROUND((D913-$D$5)*86400,2)</f>
        <v>25.07</v>
      </c>
      <c r="F913" s="12" t="n">
        <v>365</v>
      </c>
      <c r="G913" s="11" t="n">
        <f aca="false">IF(INDEX(選手一覧!$D$5:$D$2736,$F913)="","",INDEX(選手一覧!$D$5:$D$2736,$F913))</f>
        <v>0.0105252314814815</v>
      </c>
      <c r="H913" s="12" t="n">
        <f aca="false">IF(INDEX(選手一覧!$E$5:$E$2736,$F913)="","",INDEX(選手一覧!$E$5:$E$2736,$F913))</f>
        <v>366</v>
      </c>
      <c r="I913" s="11" t="n">
        <f aca="false">IF(INDEX(選手一覧!$F$5:$F$2736,$F913)="","",INDEX(選手一覧!$F$5:$F$2736,$F913))</f>
        <v>0.00732141203703704</v>
      </c>
      <c r="J913" s="12" t="n">
        <f aca="false">IF(INDEX(選手一覧!$G$5:$G$2736,$F913)="","",INDEX(選手一覧!$G$5:$G$2736,$F913))</f>
        <v>671</v>
      </c>
    </row>
    <row r="914" customFormat="false" ht="15" hidden="false" customHeight="false" outlineLevel="0" collapsed="false">
      <c r="A914" s="12" t="n">
        <v>911</v>
      </c>
      <c r="B914" s="8" t="s">
        <v>3222</v>
      </c>
      <c r="C914" s="8" t="s">
        <v>2249</v>
      </c>
      <c r="D914" s="11" t="n">
        <v>0.00289490740740741</v>
      </c>
      <c r="E914" s="39" t="n">
        <f aca="false">ROUND((D914-$D$5)*86400,2)</f>
        <v>25.09</v>
      </c>
      <c r="F914" s="12" t="n">
        <v>2082</v>
      </c>
      <c r="G914" s="11" t="str">
        <f aca="false">IF(INDEX(選手一覧!$D$5:$D$2736,$F914)="","",INDEX(選手一覧!$D$5:$D$2736,$F914))</f>
        <v/>
      </c>
      <c r="H914" s="12" t="str">
        <f aca="false">IF(INDEX(選手一覧!$E$5:$E$2736,$F914)="","",INDEX(選手一覧!$E$5:$E$2736,$F914))</f>
        <v/>
      </c>
      <c r="I914" s="11" t="str">
        <f aca="false">IF(INDEX(選手一覧!$F$5:$F$2736,$F914)="","",INDEX(選手一覧!$F$5:$F$2736,$F914))</f>
        <v/>
      </c>
      <c r="J914" s="12" t="str">
        <f aca="false">IF(INDEX(選手一覧!$G$5:$G$2736,$F914)="","",INDEX(選手一覧!$G$5:$G$2736,$F914))</f>
        <v/>
      </c>
    </row>
    <row r="915" customFormat="false" ht="15" hidden="false" customHeight="false" outlineLevel="0" collapsed="false">
      <c r="A915" s="12" t="n">
        <v>912</v>
      </c>
      <c r="B915" s="8" t="s">
        <v>1083</v>
      </c>
      <c r="C915" s="8" t="s">
        <v>113</v>
      </c>
      <c r="D915" s="11" t="n">
        <v>0.00289490740740741</v>
      </c>
      <c r="E915" s="39" t="n">
        <f aca="false">ROUND((D915-$D$5)*86400,2)</f>
        <v>25.09</v>
      </c>
      <c r="F915" s="12" t="n">
        <v>643</v>
      </c>
      <c r="G915" s="11" t="n">
        <f aca="false">IF(INDEX(選手一覧!$D$5:$D$2736,$F915)="","",INDEX(選手一覧!$D$5:$D$2736,$F915))</f>
        <v>0.0107358796296296</v>
      </c>
      <c r="H915" s="12" t="n">
        <f aca="false">IF(INDEX(選手一覧!$E$5:$E$2736,$F915)="","",INDEX(選手一覧!$E$5:$E$2736,$F915))</f>
        <v>644</v>
      </c>
      <c r="I915" s="11" t="str">
        <f aca="false">IF(INDEX(選手一覧!$F$5:$F$2736,$F915)="","",INDEX(選手一覧!$F$5:$F$2736,$F915))</f>
        <v/>
      </c>
      <c r="J915" s="12" t="str">
        <f aca="false">IF(INDEX(選手一覧!$G$5:$G$2736,$F915)="","",INDEX(選手一覧!$G$5:$G$2736,$F915))</f>
        <v/>
      </c>
    </row>
    <row r="916" customFormat="false" ht="15" hidden="false" customHeight="false" outlineLevel="0" collapsed="false">
      <c r="A916" s="12" t="n">
        <v>913</v>
      </c>
      <c r="B916" s="8" t="s">
        <v>250</v>
      </c>
      <c r="C916" s="8" t="s">
        <v>28</v>
      </c>
      <c r="D916" s="11" t="n">
        <v>0.00289537037037037</v>
      </c>
      <c r="E916" s="39" t="n">
        <f aca="false">ROUND((D916-$D$5)*86400,2)</f>
        <v>25.13</v>
      </c>
      <c r="F916" s="12" t="n">
        <v>121</v>
      </c>
      <c r="G916" s="11" t="n">
        <f aca="false">IF(INDEX(選手一覧!$D$5:$D$2736,$F916)="","",INDEX(選手一覧!$D$5:$D$2736,$F916))</f>
        <v>0.0102427083333333</v>
      </c>
      <c r="H916" s="12" t="n">
        <f aca="false">IF(INDEX(選手一覧!$E$5:$E$2736,$F916)="","",INDEX(選手一覧!$E$5:$E$2736,$F916))</f>
        <v>122</v>
      </c>
      <c r="I916" s="11" t="str">
        <f aca="false">IF(INDEX(選手一覧!$F$5:$F$2736,$F916)="","",INDEX(選手一覧!$F$5:$F$2736,$F916))</f>
        <v/>
      </c>
      <c r="J916" s="12" t="str">
        <f aca="false">IF(INDEX(選手一覧!$G$5:$G$2736,$F916)="","",INDEX(選手一覧!$G$5:$G$2736,$F916))</f>
        <v/>
      </c>
    </row>
    <row r="917" customFormat="false" ht="15" hidden="false" customHeight="false" outlineLevel="0" collapsed="false">
      <c r="A917" s="12" t="n">
        <v>914</v>
      </c>
      <c r="B917" s="8" t="s">
        <v>3228</v>
      </c>
      <c r="C917" s="8" t="s">
        <v>1545</v>
      </c>
      <c r="D917" s="11" t="n">
        <v>0.00289537037037037</v>
      </c>
      <c r="E917" s="39" t="n">
        <f aca="false">ROUND((D917-$D$5)*86400,2)</f>
        <v>25.13</v>
      </c>
      <c r="F917" s="12" t="n">
        <v>2086</v>
      </c>
      <c r="G917" s="11" t="str">
        <f aca="false">IF(INDEX(選手一覧!$D$5:$D$2736,$F917)="","",INDEX(選手一覧!$D$5:$D$2736,$F917))</f>
        <v/>
      </c>
      <c r="H917" s="12" t="str">
        <f aca="false">IF(INDEX(選手一覧!$E$5:$E$2736,$F917)="","",INDEX(選手一覧!$E$5:$E$2736,$F917))</f>
        <v/>
      </c>
      <c r="I917" s="11" t="str">
        <f aca="false">IF(INDEX(選手一覧!$F$5:$F$2736,$F917)="","",INDEX(選手一覧!$F$5:$F$2736,$F917))</f>
        <v/>
      </c>
      <c r="J917" s="12" t="str">
        <f aca="false">IF(INDEX(選手一覧!$G$5:$G$2736,$F917)="","",INDEX(選手一覧!$G$5:$G$2736,$F917))</f>
        <v/>
      </c>
    </row>
    <row r="918" customFormat="false" ht="15" hidden="false" customHeight="false" outlineLevel="0" collapsed="false">
      <c r="A918" s="12" t="n">
        <v>915</v>
      </c>
      <c r="B918" s="8" t="s">
        <v>3231</v>
      </c>
      <c r="C918" s="8" t="s">
        <v>868</v>
      </c>
      <c r="D918" s="11" t="n">
        <v>0.00289548611111111</v>
      </c>
      <c r="E918" s="39" t="n">
        <f aca="false">ROUND((D918-$D$5)*86400,2)</f>
        <v>25.14</v>
      </c>
      <c r="F918" s="12" t="n">
        <v>2088</v>
      </c>
      <c r="G918" s="11" t="str">
        <f aca="false">IF(INDEX(選手一覧!$D$5:$D$2736,$F918)="","",INDEX(選手一覧!$D$5:$D$2736,$F918))</f>
        <v/>
      </c>
      <c r="H918" s="12" t="str">
        <f aca="false">IF(INDEX(選手一覧!$E$5:$E$2736,$F918)="","",INDEX(選手一覧!$E$5:$E$2736,$F918))</f>
        <v/>
      </c>
      <c r="I918" s="11" t="str">
        <f aca="false">IF(INDEX(選手一覧!$F$5:$F$2736,$F918)="","",INDEX(選手一覧!$F$5:$F$2736,$F918))</f>
        <v/>
      </c>
      <c r="J918" s="12" t="str">
        <f aca="false">IF(INDEX(選手一覧!$G$5:$G$2736,$F918)="","",INDEX(選手一覧!$G$5:$G$2736,$F918))</f>
        <v/>
      </c>
    </row>
    <row r="919" customFormat="false" ht="15" hidden="false" customHeight="false" outlineLevel="0" collapsed="false">
      <c r="A919" s="12" t="n">
        <v>916</v>
      </c>
      <c r="B919" s="8" t="s">
        <v>2583</v>
      </c>
      <c r="C919" s="8" t="s">
        <v>1308</v>
      </c>
      <c r="D919" s="11" t="n">
        <v>0.00289560185185185</v>
      </c>
      <c r="E919" s="39" t="n">
        <f aca="false">ROUND((D919-$D$5)*86400,2)</f>
        <v>25.15</v>
      </c>
      <c r="F919" s="12" t="n">
        <v>1654</v>
      </c>
      <c r="G919" s="11" t="str">
        <f aca="false">IF(INDEX(選手一覧!$D$5:$D$2736,$F919)="","",INDEX(選手一覧!$D$5:$D$2736,$F919))</f>
        <v/>
      </c>
      <c r="H919" s="12" t="str">
        <f aca="false">IF(INDEX(選手一覧!$E$5:$E$2736,$F919)="","",INDEX(選手一覧!$E$5:$E$2736,$F919))</f>
        <v/>
      </c>
      <c r="I919" s="11" t="n">
        <f aca="false">IF(INDEX(選手一覧!$F$5:$F$2736,$F919)="","",INDEX(選手一覧!$F$5:$F$2736,$F919))</f>
        <v>0.00722106481481482</v>
      </c>
      <c r="J919" s="12" t="n">
        <f aca="false">IF(INDEX(選手一覧!$G$5:$G$2736,$F919)="","",INDEX(選手一覧!$G$5:$G$2736,$F919))</f>
        <v>561</v>
      </c>
    </row>
    <row r="920" customFormat="false" ht="15" hidden="false" customHeight="false" outlineLevel="0" collapsed="false">
      <c r="A920" s="12" t="n">
        <v>917</v>
      </c>
      <c r="B920" s="8" t="s">
        <v>3236</v>
      </c>
      <c r="C920" s="8" t="s">
        <v>1339</v>
      </c>
      <c r="D920" s="11" t="n">
        <v>0.00289571759259259</v>
      </c>
      <c r="E920" s="39" t="n">
        <f aca="false">ROUND((D920-$D$5)*86400,2)</f>
        <v>25.16</v>
      </c>
      <c r="F920" s="12" t="n">
        <v>2091</v>
      </c>
      <c r="G920" s="11" t="str">
        <f aca="false">IF(INDEX(選手一覧!$D$5:$D$2736,$F920)="","",INDEX(選手一覧!$D$5:$D$2736,$F920))</f>
        <v/>
      </c>
      <c r="H920" s="12" t="str">
        <f aca="false">IF(INDEX(選手一覧!$E$5:$E$2736,$F920)="","",INDEX(選手一覧!$E$5:$E$2736,$F920))</f>
        <v/>
      </c>
      <c r="I920" s="11" t="str">
        <f aca="false">IF(INDEX(選手一覧!$F$5:$F$2736,$F920)="","",INDEX(選手一覧!$F$5:$F$2736,$F920))</f>
        <v/>
      </c>
      <c r="J920" s="12" t="str">
        <f aca="false">IF(INDEX(選手一覧!$G$5:$G$2736,$F920)="","",INDEX(選手一覧!$G$5:$G$2736,$F920))</f>
        <v/>
      </c>
    </row>
    <row r="921" customFormat="false" ht="15" hidden="false" customHeight="false" outlineLevel="0" collapsed="false">
      <c r="A921" s="12" t="n">
        <v>918</v>
      </c>
      <c r="B921" s="8" t="s">
        <v>3238</v>
      </c>
      <c r="C921" s="8" t="s">
        <v>2214</v>
      </c>
      <c r="D921" s="11" t="n">
        <v>0.00289571759259259</v>
      </c>
      <c r="E921" s="39" t="n">
        <f aca="false">ROUND((D921-$D$5)*86400,2)</f>
        <v>25.16</v>
      </c>
      <c r="F921" s="12" t="n">
        <v>2093</v>
      </c>
      <c r="G921" s="11" t="str">
        <f aca="false">IF(INDEX(選手一覧!$D$5:$D$2736,$F921)="","",INDEX(選手一覧!$D$5:$D$2736,$F921))</f>
        <v/>
      </c>
      <c r="H921" s="12" t="str">
        <f aca="false">IF(INDEX(選手一覧!$E$5:$E$2736,$F921)="","",INDEX(選手一覧!$E$5:$E$2736,$F921))</f>
        <v/>
      </c>
      <c r="I921" s="11" t="str">
        <f aca="false">IF(INDEX(選手一覧!$F$5:$F$2736,$F921)="","",INDEX(選手一覧!$F$5:$F$2736,$F921))</f>
        <v/>
      </c>
      <c r="J921" s="12" t="str">
        <f aca="false">IF(INDEX(選手一覧!$G$5:$G$2736,$F921)="","",INDEX(選手一覧!$G$5:$G$2736,$F921))</f>
        <v/>
      </c>
    </row>
    <row r="922" customFormat="false" ht="15" hidden="false" customHeight="false" outlineLevel="0" collapsed="false">
      <c r="A922" s="12" t="n">
        <v>919</v>
      </c>
      <c r="B922" s="8" t="s">
        <v>3239</v>
      </c>
      <c r="C922" s="8" t="s">
        <v>2643</v>
      </c>
      <c r="D922" s="11" t="n">
        <v>0.00289583333333333</v>
      </c>
      <c r="E922" s="39" t="n">
        <f aca="false">ROUND((D922-$D$5)*86400,2)</f>
        <v>25.17</v>
      </c>
      <c r="F922" s="12" t="n">
        <v>2094</v>
      </c>
      <c r="G922" s="11" t="str">
        <f aca="false">IF(INDEX(選手一覧!$D$5:$D$2736,$F922)="","",INDEX(選手一覧!$D$5:$D$2736,$F922))</f>
        <v/>
      </c>
      <c r="H922" s="12" t="str">
        <f aca="false">IF(INDEX(選手一覧!$E$5:$E$2736,$F922)="","",INDEX(選手一覧!$E$5:$E$2736,$F922))</f>
        <v/>
      </c>
      <c r="I922" s="11" t="str">
        <f aca="false">IF(INDEX(選手一覧!$F$5:$F$2736,$F922)="","",INDEX(選手一覧!$F$5:$F$2736,$F922))</f>
        <v/>
      </c>
      <c r="J922" s="12" t="str">
        <f aca="false">IF(INDEX(選手一覧!$G$5:$G$2736,$F922)="","",INDEX(選手一覧!$G$5:$G$2736,$F922))</f>
        <v/>
      </c>
    </row>
    <row r="923" customFormat="false" ht="15" hidden="false" customHeight="false" outlineLevel="0" collapsed="false">
      <c r="A923" s="12" t="n">
        <v>920</v>
      </c>
      <c r="B923" s="8" t="s">
        <v>749</v>
      </c>
      <c r="C923" s="8" t="s">
        <v>750</v>
      </c>
      <c r="D923" s="11" t="n">
        <v>0.00289583333333333</v>
      </c>
      <c r="E923" s="39" t="n">
        <f aca="false">ROUND((D923-$D$5)*86400,2)</f>
        <v>25.17</v>
      </c>
      <c r="F923" s="12" t="n">
        <v>420</v>
      </c>
      <c r="G923" s="11" t="n">
        <f aca="false">IF(INDEX(選手一覧!$D$5:$D$2736,$F923)="","",INDEX(選手一覧!$D$5:$D$2736,$F923))</f>
        <v>0.0105694444444445</v>
      </c>
      <c r="H923" s="12" t="n">
        <f aca="false">IF(INDEX(選手一覧!$E$5:$E$2736,$F923)="","",INDEX(選手一覧!$E$5:$E$2736,$F923))</f>
        <v>421</v>
      </c>
      <c r="I923" s="11" t="str">
        <f aca="false">IF(INDEX(選手一覧!$F$5:$F$2736,$F923)="","",INDEX(選手一覧!$F$5:$F$2736,$F923))</f>
        <v/>
      </c>
      <c r="J923" s="12" t="str">
        <f aca="false">IF(INDEX(選手一覧!$G$5:$G$2736,$F923)="","",INDEX(選手一覧!$G$5:$G$2736,$F923))</f>
        <v/>
      </c>
    </row>
    <row r="924" customFormat="false" ht="15" hidden="false" customHeight="false" outlineLevel="0" collapsed="false">
      <c r="A924" s="12" t="n">
        <v>921</v>
      </c>
      <c r="B924" s="8" t="s">
        <v>758</v>
      </c>
      <c r="C924" s="8" t="s">
        <v>283</v>
      </c>
      <c r="D924" s="11" t="n">
        <v>0.00289594907407407</v>
      </c>
      <c r="E924" s="39" t="n">
        <f aca="false">ROUND((D924-$D$5)*86400,2)</f>
        <v>25.18</v>
      </c>
      <c r="F924" s="12" t="n">
        <v>426</v>
      </c>
      <c r="G924" s="11" t="n">
        <f aca="false">IF(INDEX(選手一覧!$D$5:$D$2736,$F924)="","",INDEX(選手一覧!$D$5:$D$2736,$F924))</f>
        <v>0.0105721064814815</v>
      </c>
      <c r="H924" s="12" t="n">
        <f aca="false">IF(INDEX(選手一覧!$E$5:$E$2736,$F924)="","",INDEX(選手一覧!$E$5:$E$2736,$F924))</f>
        <v>427</v>
      </c>
      <c r="I924" s="11" t="str">
        <f aca="false">IF(INDEX(選手一覧!$F$5:$F$2736,$F924)="","",INDEX(選手一覧!$F$5:$F$2736,$F924))</f>
        <v/>
      </c>
      <c r="J924" s="12" t="str">
        <f aca="false">IF(INDEX(選手一覧!$G$5:$G$2736,$F924)="","",INDEX(選手一覧!$G$5:$G$2736,$F924))</f>
        <v/>
      </c>
    </row>
    <row r="925" customFormat="false" ht="15" hidden="false" customHeight="false" outlineLevel="0" collapsed="false">
      <c r="A925" s="12" t="n">
        <v>922</v>
      </c>
      <c r="B925" s="8" t="s">
        <v>737</v>
      </c>
      <c r="C925" s="8" t="s">
        <v>241</v>
      </c>
      <c r="D925" s="11" t="n">
        <v>0.00289606481481482</v>
      </c>
      <c r="E925" s="39" t="n">
        <f aca="false">ROUND((D925-$D$5)*86400,2)</f>
        <v>25.19</v>
      </c>
      <c r="F925" s="12" t="n">
        <v>412</v>
      </c>
      <c r="G925" s="11" t="n">
        <f aca="false">IF(INDEX(選手一覧!$D$5:$D$2736,$F925)="","",INDEX(選手一覧!$D$5:$D$2736,$F925))</f>
        <v>0.0105621527777778</v>
      </c>
      <c r="H925" s="12" t="n">
        <f aca="false">IF(INDEX(選手一覧!$E$5:$E$2736,$F925)="","",INDEX(選手一覧!$E$5:$E$2736,$F925))</f>
        <v>413</v>
      </c>
      <c r="I925" s="11" t="str">
        <f aca="false">IF(INDEX(選手一覧!$F$5:$F$2736,$F925)="","",INDEX(選手一覧!$F$5:$F$2736,$F925))</f>
        <v/>
      </c>
      <c r="J925" s="12" t="str">
        <f aca="false">IF(INDEX(選手一覧!$G$5:$G$2736,$F925)="","",INDEX(選手一覧!$G$5:$G$2736,$F925))</f>
        <v/>
      </c>
    </row>
    <row r="926" customFormat="false" ht="15" hidden="false" customHeight="false" outlineLevel="0" collapsed="false">
      <c r="A926" s="12" t="n">
        <v>923</v>
      </c>
      <c r="B926" s="8" t="s">
        <v>3246</v>
      </c>
      <c r="C926" s="8" t="s">
        <v>1408</v>
      </c>
      <c r="D926" s="11" t="n">
        <v>0.00289618055555556</v>
      </c>
      <c r="E926" s="39" t="n">
        <f aca="false">ROUND((D926-$D$5)*86400,2)</f>
        <v>25.2</v>
      </c>
      <c r="F926" s="12" t="n">
        <v>2098</v>
      </c>
      <c r="G926" s="11" t="str">
        <f aca="false">IF(INDEX(選手一覧!$D$5:$D$2736,$F926)="","",INDEX(選手一覧!$D$5:$D$2736,$F926))</f>
        <v/>
      </c>
      <c r="H926" s="12" t="str">
        <f aca="false">IF(INDEX(選手一覧!$E$5:$E$2736,$F926)="","",INDEX(選手一覧!$E$5:$E$2736,$F926))</f>
        <v/>
      </c>
      <c r="I926" s="11" t="str">
        <f aca="false">IF(INDEX(選手一覧!$F$5:$F$2736,$F926)="","",INDEX(選手一覧!$F$5:$F$2736,$F926))</f>
        <v/>
      </c>
      <c r="J926" s="12" t="str">
        <f aca="false">IF(INDEX(選手一覧!$G$5:$G$2736,$F926)="","",INDEX(選手一覧!$G$5:$G$2736,$F926))</f>
        <v/>
      </c>
    </row>
    <row r="927" customFormat="false" ht="15" hidden="false" customHeight="false" outlineLevel="0" collapsed="false">
      <c r="A927" s="12" t="n">
        <v>924</v>
      </c>
      <c r="B927" s="8" t="s">
        <v>3250</v>
      </c>
      <c r="C927" s="8" t="s">
        <v>1308</v>
      </c>
      <c r="D927" s="11" t="n">
        <v>0.00289652777777778</v>
      </c>
      <c r="E927" s="39" t="n">
        <f aca="false">ROUND((D927-$D$5)*86400,2)</f>
        <v>25.23</v>
      </c>
      <c r="F927" s="12" t="n">
        <v>2100</v>
      </c>
      <c r="G927" s="11" t="str">
        <f aca="false">IF(INDEX(選手一覧!$D$5:$D$2736,$F927)="","",INDEX(選手一覧!$D$5:$D$2736,$F927))</f>
        <v/>
      </c>
      <c r="H927" s="12" t="str">
        <f aca="false">IF(INDEX(選手一覧!$E$5:$E$2736,$F927)="","",INDEX(選手一覧!$E$5:$E$2736,$F927))</f>
        <v/>
      </c>
      <c r="I927" s="11" t="str">
        <f aca="false">IF(INDEX(選手一覧!$F$5:$F$2736,$F927)="","",INDEX(選手一覧!$F$5:$F$2736,$F927))</f>
        <v/>
      </c>
      <c r="J927" s="12" t="str">
        <f aca="false">IF(INDEX(選手一覧!$G$5:$G$2736,$F927)="","",INDEX(選手一覧!$G$5:$G$2736,$F927))</f>
        <v/>
      </c>
    </row>
    <row r="928" customFormat="false" ht="15" hidden="false" customHeight="false" outlineLevel="0" collapsed="false">
      <c r="A928" s="12" t="n">
        <v>925</v>
      </c>
      <c r="B928" s="8" t="s">
        <v>3251</v>
      </c>
      <c r="C928" s="8" t="s">
        <v>1183</v>
      </c>
      <c r="D928" s="11" t="n">
        <v>0.00289722222222222</v>
      </c>
      <c r="E928" s="39" t="n">
        <f aca="false">ROUND((D928-$D$5)*86400,2)</f>
        <v>25.29</v>
      </c>
      <c r="F928" s="12" t="n">
        <v>2101</v>
      </c>
      <c r="G928" s="11" t="str">
        <f aca="false">IF(INDEX(選手一覧!$D$5:$D$2736,$F928)="","",INDEX(選手一覧!$D$5:$D$2736,$F928))</f>
        <v/>
      </c>
      <c r="H928" s="12" t="str">
        <f aca="false">IF(INDEX(選手一覧!$E$5:$E$2736,$F928)="","",INDEX(選手一覧!$E$5:$E$2736,$F928))</f>
        <v/>
      </c>
      <c r="I928" s="11" t="str">
        <f aca="false">IF(INDEX(選手一覧!$F$5:$F$2736,$F928)="","",INDEX(選手一覧!$F$5:$F$2736,$F928))</f>
        <v/>
      </c>
      <c r="J928" s="12" t="str">
        <f aca="false">IF(INDEX(選手一覧!$G$5:$G$2736,$F928)="","",INDEX(選手一覧!$G$5:$G$2736,$F928))</f>
        <v/>
      </c>
    </row>
    <row r="929" customFormat="false" ht="15" hidden="false" customHeight="false" outlineLevel="0" collapsed="false">
      <c r="A929" s="12" t="n">
        <v>926</v>
      </c>
      <c r="B929" s="8" t="s">
        <v>1566</v>
      </c>
      <c r="C929" s="8" t="s">
        <v>1567</v>
      </c>
      <c r="D929" s="11" t="n">
        <v>0.00289722222222222</v>
      </c>
      <c r="E929" s="39" t="n">
        <f aca="false">ROUND((D929-$D$5)*86400,2)</f>
        <v>25.29</v>
      </c>
      <c r="F929" s="12" t="n">
        <v>963</v>
      </c>
      <c r="G929" s="11" t="n">
        <f aca="false">IF(INDEX(選手一覧!$D$5:$D$2736,$F929)="","",INDEX(選手一覧!$D$5:$D$2736,$F929))</f>
        <v>0.0109287037037037</v>
      </c>
      <c r="H929" s="12" t="n">
        <f aca="false">IF(INDEX(選手一覧!$E$5:$E$2736,$F929)="","",INDEX(選手一覧!$E$5:$E$2736,$F929))</f>
        <v>964</v>
      </c>
      <c r="I929" s="11" t="str">
        <f aca="false">IF(INDEX(選手一覧!$F$5:$F$2736,$F929)="","",INDEX(選手一覧!$F$5:$F$2736,$F929))</f>
        <v/>
      </c>
      <c r="J929" s="12" t="str">
        <f aca="false">IF(INDEX(選手一覧!$G$5:$G$2736,$F929)="","",INDEX(選手一覧!$G$5:$G$2736,$F929))</f>
        <v/>
      </c>
    </row>
    <row r="930" customFormat="false" ht="15" hidden="false" customHeight="false" outlineLevel="0" collapsed="false">
      <c r="A930" s="12" t="n">
        <v>927</v>
      </c>
      <c r="B930" s="8" t="s">
        <v>1190</v>
      </c>
      <c r="C930" s="8" t="s">
        <v>70</v>
      </c>
      <c r="D930" s="11" t="n">
        <v>0.00289733796296296</v>
      </c>
      <c r="E930" s="39" t="n">
        <f aca="false">ROUND((D930-$D$5)*86400,2)</f>
        <v>25.3</v>
      </c>
      <c r="F930" s="12" t="n">
        <v>711</v>
      </c>
      <c r="G930" s="11" t="n">
        <f aca="false">IF(INDEX(選手一覧!$D$5:$D$2736,$F930)="","",INDEX(選手一覧!$D$5:$D$2736,$F930))</f>
        <v>0.0107847222222222</v>
      </c>
      <c r="H930" s="12" t="n">
        <f aca="false">IF(INDEX(選手一覧!$E$5:$E$2736,$F930)="","",INDEX(選手一覧!$E$5:$E$2736,$F930))</f>
        <v>712</v>
      </c>
      <c r="I930" s="11" t="n">
        <f aca="false">IF(INDEX(選手一覧!$F$5:$F$2736,$F930)="","",INDEX(選手一覧!$F$5:$F$2736,$F930))</f>
        <v>0.0072994212962963</v>
      </c>
      <c r="J930" s="12" t="n">
        <f aca="false">IF(INDEX(選手一覧!$G$5:$G$2736,$F930)="","",INDEX(選手一覧!$G$5:$G$2736,$F930))</f>
        <v>646</v>
      </c>
    </row>
    <row r="931" customFormat="false" ht="15" hidden="false" customHeight="false" outlineLevel="0" collapsed="false">
      <c r="A931" s="12" t="n">
        <v>928</v>
      </c>
      <c r="B931" s="8" t="s">
        <v>610</v>
      </c>
      <c r="C931" s="8" t="s">
        <v>592</v>
      </c>
      <c r="D931" s="11" t="n">
        <v>0.00289733796296296</v>
      </c>
      <c r="E931" s="39" t="n">
        <f aca="false">ROUND((D931-$D$5)*86400,2)</f>
        <v>25.3</v>
      </c>
      <c r="F931" s="12" t="n">
        <v>333</v>
      </c>
      <c r="G931" s="11" t="n">
        <f aca="false">IF(INDEX(選手一覧!$D$5:$D$2736,$F931)="","",INDEX(選手一覧!$D$5:$D$2736,$F931))</f>
        <v>0.0104907407407407</v>
      </c>
      <c r="H931" s="12" t="n">
        <f aca="false">IF(INDEX(選手一覧!$E$5:$E$2736,$F931)="","",INDEX(選手一覧!$E$5:$E$2736,$F931))</f>
        <v>334</v>
      </c>
      <c r="I931" s="11" t="n">
        <f aca="false">IF(INDEX(選手一覧!$F$5:$F$2736,$F931)="","",INDEX(選手一覧!$F$5:$F$2736,$F931))</f>
        <v>0.00690219907407407</v>
      </c>
      <c r="J931" s="12" t="n">
        <f aca="false">IF(INDEX(選手一覧!$G$5:$G$2736,$F931)="","",INDEX(選手一覧!$G$5:$G$2736,$F931))</f>
        <v>245</v>
      </c>
    </row>
    <row r="932" customFormat="false" ht="15" hidden="false" customHeight="false" outlineLevel="0" collapsed="false">
      <c r="A932" s="12" t="n">
        <v>929</v>
      </c>
      <c r="B932" s="8" t="s">
        <v>832</v>
      </c>
      <c r="C932" s="8" t="s">
        <v>44</v>
      </c>
      <c r="D932" s="11" t="n">
        <v>0.00289733796296296</v>
      </c>
      <c r="E932" s="39" t="n">
        <f aca="false">ROUND((D932-$D$5)*86400,2)</f>
        <v>25.3</v>
      </c>
      <c r="F932" s="12" t="n">
        <v>476</v>
      </c>
      <c r="G932" s="11" t="n">
        <f aca="false">IF(INDEX(選手一覧!$D$5:$D$2736,$F932)="","",INDEX(選手一覧!$D$5:$D$2736,$F932))</f>
        <v>0.0106108796296296</v>
      </c>
      <c r="H932" s="12" t="n">
        <f aca="false">IF(INDEX(選手一覧!$E$5:$E$2736,$F932)="","",INDEX(選手一覧!$E$5:$E$2736,$F932))</f>
        <v>477</v>
      </c>
      <c r="I932" s="11" t="n">
        <f aca="false">IF(INDEX(選手一覧!$F$5:$F$2736,$F932)="","",INDEX(選手一覧!$F$5:$F$2736,$F932))</f>
        <v>0.00667673611111111</v>
      </c>
      <c r="J932" s="12" t="n">
        <f aca="false">IF(INDEX(選手一覧!$G$5:$G$2736,$F932)="","",INDEX(選手一覧!$G$5:$G$2736,$F932))</f>
        <v>96</v>
      </c>
    </row>
    <row r="933" customFormat="false" ht="15" hidden="false" customHeight="false" outlineLevel="0" collapsed="false">
      <c r="A933" s="12" t="n">
        <v>930</v>
      </c>
      <c r="B933" s="8" t="s">
        <v>3257</v>
      </c>
      <c r="C933" s="8" t="s">
        <v>3258</v>
      </c>
      <c r="D933" s="11" t="n">
        <v>0.0028974537037037</v>
      </c>
      <c r="E933" s="39" t="n">
        <f aca="false">ROUND((D933-$D$5)*86400,2)</f>
        <v>25.31</v>
      </c>
      <c r="F933" s="12" t="n">
        <v>2106</v>
      </c>
      <c r="G933" s="11" t="str">
        <f aca="false">IF(INDEX(選手一覧!$D$5:$D$2736,$F933)="","",INDEX(選手一覧!$D$5:$D$2736,$F933))</f>
        <v/>
      </c>
      <c r="H933" s="12" t="str">
        <f aca="false">IF(INDEX(選手一覧!$E$5:$E$2736,$F933)="","",INDEX(選手一覧!$E$5:$E$2736,$F933))</f>
        <v/>
      </c>
      <c r="I933" s="11" t="str">
        <f aca="false">IF(INDEX(選手一覧!$F$5:$F$2736,$F933)="","",INDEX(選手一覧!$F$5:$F$2736,$F933))</f>
        <v/>
      </c>
      <c r="J933" s="12" t="str">
        <f aca="false">IF(INDEX(選手一覧!$G$5:$G$2736,$F933)="","",INDEX(選手一覧!$G$5:$G$2736,$F933))</f>
        <v/>
      </c>
    </row>
    <row r="934" customFormat="false" ht="15" hidden="false" customHeight="false" outlineLevel="0" collapsed="false">
      <c r="A934" s="12" t="n">
        <v>931</v>
      </c>
      <c r="B934" s="8" t="s">
        <v>1292</v>
      </c>
      <c r="C934" s="8" t="s">
        <v>25</v>
      </c>
      <c r="D934" s="11" t="n">
        <v>0.0028974537037037</v>
      </c>
      <c r="E934" s="39" t="n">
        <f aca="false">ROUND((D934-$D$5)*86400,2)</f>
        <v>25.31</v>
      </c>
      <c r="F934" s="12" t="n">
        <v>780</v>
      </c>
      <c r="G934" s="11" t="n">
        <f aca="false">IF(INDEX(選手一覧!$D$5:$D$2736,$F934)="","",INDEX(選手一覧!$D$5:$D$2736,$F934))</f>
        <v>0.0108229166666667</v>
      </c>
      <c r="H934" s="12" t="n">
        <f aca="false">IF(INDEX(選手一覧!$E$5:$E$2736,$F934)="","",INDEX(選手一覧!$E$5:$E$2736,$F934))</f>
        <v>781</v>
      </c>
      <c r="I934" s="11" t="str">
        <f aca="false">IF(INDEX(選手一覧!$F$5:$F$2736,$F934)="","",INDEX(選手一覧!$F$5:$F$2736,$F934))</f>
        <v/>
      </c>
      <c r="J934" s="12" t="str">
        <f aca="false">IF(INDEX(選手一覧!$G$5:$G$2736,$F934)="","",INDEX(選手一覧!$G$5:$G$2736,$F934))</f>
        <v/>
      </c>
    </row>
    <row r="935" customFormat="false" ht="15" hidden="false" customHeight="false" outlineLevel="0" collapsed="false">
      <c r="A935" s="12" t="n">
        <v>932</v>
      </c>
      <c r="B935" s="8" t="s">
        <v>511</v>
      </c>
      <c r="C935" s="8" t="s">
        <v>34</v>
      </c>
      <c r="D935" s="11" t="n">
        <v>0.0028974537037037</v>
      </c>
      <c r="E935" s="39" t="n">
        <f aca="false">ROUND((D935-$D$5)*86400,2)</f>
        <v>25.31</v>
      </c>
      <c r="F935" s="12" t="n">
        <v>273</v>
      </c>
      <c r="G935" s="11" t="n">
        <f aca="false">IF(INDEX(選手一覧!$D$5:$D$2736,$F935)="","",INDEX(選手一覧!$D$5:$D$2736,$F935))</f>
        <v>0.010409375</v>
      </c>
      <c r="H935" s="12" t="n">
        <f aca="false">IF(INDEX(選手一覧!$E$5:$E$2736,$F935)="","",INDEX(選手一覧!$E$5:$E$2736,$F935))</f>
        <v>274</v>
      </c>
      <c r="I935" s="11" t="str">
        <f aca="false">IF(INDEX(選手一覧!$F$5:$F$2736,$F935)="","",INDEX(選手一覧!$F$5:$F$2736,$F935))</f>
        <v/>
      </c>
      <c r="J935" s="12" t="str">
        <f aca="false">IF(INDEX(選手一覧!$G$5:$G$2736,$F935)="","",INDEX(選手一覧!$G$5:$G$2736,$F935))</f>
        <v/>
      </c>
    </row>
    <row r="936" customFormat="false" ht="15" hidden="false" customHeight="false" outlineLevel="0" collapsed="false">
      <c r="A936" s="12" t="n">
        <v>933</v>
      </c>
      <c r="B936" s="8" t="s">
        <v>3264</v>
      </c>
      <c r="C936" s="8" t="s">
        <v>3265</v>
      </c>
      <c r="D936" s="11" t="n">
        <v>0.00289814814814815</v>
      </c>
      <c r="E936" s="39" t="n">
        <f aca="false">ROUND((D936-$D$5)*86400,2)</f>
        <v>25.37</v>
      </c>
      <c r="F936" s="12" t="n">
        <v>2110</v>
      </c>
      <c r="G936" s="11" t="str">
        <f aca="false">IF(INDEX(選手一覧!$D$5:$D$2736,$F936)="","",INDEX(選手一覧!$D$5:$D$2736,$F936))</f>
        <v/>
      </c>
      <c r="H936" s="12" t="str">
        <f aca="false">IF(INDEX(選手一覧!$E$5:$E$2736,$F936)="","",INDEX(選手一覧!$E$5:$E$2736,$F936))</f>
        <v/>
      </c>
      <c r="I936" s="11" t="str">
        <f aca="false">IF(INDEX(選手一覧!$F$5:$F$2736,$F936)="","",INDEX(選手一覧!$F$5:$F$2736,$F936))</f>
        <v/>
      </c>
      <c r="J936" s="12" t="str">
        <f aca="false">IF(INDEX(選手一覧!$G$5:$G$2736,$F936)="","",INDEX(選手一覧!$G$5:$G$2736,$F936))</f>
        <v/>
      </c>
    </row>
    <row r="937" customFormat="false" ht="15" hidden="false" customHeight="false" outlineLevel="0" collapsed="false">
      <c r="A937" s="12" t="n">
        <v>934</v>
      </c>
      <c r="B937" s="8" t="s">
        <v>1004</v>
      </c>
      <c r="C937" s="8" t="s">
        <v>23</v>
      </c>
      <c r="D937" s="11" t="n">
        <v>0.00289814814814815</v>
      </c>
      <c r="E937" s="39" t="n">
        <f aca="false">ROUND((D937-$D$5)*86400,2)</f>
        <v>25.37</v>
      </c>
      <c r="F937" s="12" t="n">
        <v>583</v>
      </c>
      <c r="G937" s="11" t="n">
        <f aca="false">IF(INDEX(選手一覧!$D$5:$D$2736,$F937)="","",INDEX(選手一覧!$D$5:$D$2736,$F937))</f>
        <v>0.0107001157407407</v>
      </c>
      <c r="H937" s="12" t="n">
        <f aca="false">IF(INDEX(選手一覧!$E$5:$E$2736,$F937)="","",INDEX(選手一覧!$E$5:$E$2736,$F937))</f>
        <v>584</v>
      </c>
      <c r="I937" s="11" t="str">
        <f aca="false">IF(INDEX(選手一覧!$F$5:$F$2736,$F937)="","",INDEX(選手一覧!$F$5:$F$2736,$F937))</f>
        <v/>
      </c>
      <c r="J937" s="12" t="str">
        <f aca="false">IF(INDEX(選手一覧!$G$5:$G$2736,$F937)="","",INDEX(選手一覧!$G$5:$G$2736,$F937))</f>
        <v/>
      </c>
    </row>
    <row r="938" customFormat="false" ht="15" hidden="false" customHeight="false" outlineLevel="0" collapsed="false">
      <c r="A938" s="12" t="n">
        <v>935</v>
      </c>
      <c r="B938" s="8" t="s">
        <v>1784</v>
      </c>
      <c r="C938" s="8" t="s">
        <v>1443</v>
      </c>
      <c r="D938" s="11" t="n">
        <v>0.00289837962962963</v>
      </c>
      <c r="E938" s="39" t="n">
        <f aca="false">ROUND((D938-$D$5)*86400,2)</f>
        <v>25.39</v>
      </c>
      <c r="F938" s="12" t="n">
        <v>1111</v>
      </c>
      <c r="G938" s="11" t="n">
        <f aca="false">IF(INDEX(選手一覧!$D$5:$D$2736,$F938)="","",INDEX(選手一覧!$D$5:$D$2736,$F938))</f>
        <v>0.0110112268518519</v>
      </c>
      <c r="H938" s="12" t="n">
        <f aca="false">IF(INDEX(選手一覧!$E$5:$E$2736,$F938)="","",INDEX(選手一覧!$E$5:$E$2736,$F938))</f>
        <v>1112</v>
      </c>
      <c r="I938" s="11" t="n">
        <f aca="false">IF(INDEX(選手一覧!$F$5:$F$2736,$F938)="","",INDEX(選手一覧!$F$5:$F$2736,$F938))</f>
        <v>0.00706909722222222</v>
      </c>
      <c r="J938" s="12" t="n">
        <f aca="false">IF(INDEX(選手一覧!$G$5:$G$2736,$F938)="","",INDEX(選手一覧!$G$5:$G$2736,$F938))</f>
        <v>413</v>
      </c>
    </row>
    <row r="939" customFormat="false" ht="15" hidden="false" customHeight="false" outlineLevel="0" collapsed="false">
      <c r="A939" s="12" t="n">
        <v>936</v>
      </c>
      <c r="B939" s="8" t="s">
        <v>3271</v>
      </c>
      <c r="C939" s="8" t="s">
        <v>3272</v>
      </c>
      <c r="D939" s="11" t="n">
        <v>0.00289849537037037</v>
      </c>
      <c r="E939" s="39" t="n">
        <f aca="false">ROUND((D939-$D$5)*86400,2)</f>
        <v>25.4</v>
      </c>
      <c r="F939" s="12" t="n">
        <v>2114</v>
      </c>
      <c r="G939" s="11" t="str">
        <f aca="false">IF(INDEX(選手一覧!$D$5:$D$2736,$F939)="","",INDEX(選手一覧!$D$5:$D$2736,$F939))</f>
        <v/>
      </c>
      <c r="H939" s="12" t="str">
        <f aca="false">IF(INDEX(選手一覧!$E$5:$E$2736,$F939)="","",INDEX(選手一覧!$E$5:$E$2736,$F939))</f>
        <v/>
      </c>
      <c r="I939" s="11" t="str">
        <f aca="false">IF(INDEX(選手一覧!$F$5:$F$2736,$F939)="","",INDEX(選手一覧!$F$5:$F$2736,$F939))</f>
        <v/>
      </c>
      <c r="J939" s="12" t="str">
        <f aca="false">IF(INDEX(選手一覧!$G$5:$G$2736,$F939)="","",INDEX(選手一覧!$G$5:$G$2736,$F939))</f>
        <v/>
      </c>
    </row>
    <row r="940" customFormat="false" ht="15" hidden="false" customHeight="false" outlineLevel="0" collapsed="false">
      <c r="A940" s="12" t="n">
        <v>937</v>
      </c>
      <c r="B940" s="8" t="s">
        <v>3274</v>
      </c>
      <c r="C940" s="8" t="s">
        <v>363</v>
      </c>
      <c r="D940" s="11" t="n">
        <v>0.00289849537037037</v>
      </c>
      <c r="E940" s="39" t="n">
        <f aca="false">ROUND((D940-$D$5)*86400,2)</f>
        <v>25.4</v>
      </c>
      <c r="F940" s="12" t="n">
        <v>2116</v>
      </c>
      <c r="G940" s="11" t="str">
        <f aca="false">IF(INDEX(選手一覧!$D$5:$D$2736,$F940)="","",INDEX(選手一覧!$D$5:$D$2736,$F940))</f>
        <v/>
      </c>
      <c r="H940" s="12" t="str">
        <f aca="false">IF(INDEX(選手一覧!$E$5:$E$2736,$F940)="","",INDEX(選手一覧!$E$5:$E$2736,$F940))</f>
        <v/>
      </c>
      <c r="I940" s="11" t="str">
        <f aca="false">IF(INDEX(選手一覧!$F$5:$F$2736,$F940)="","",INDEX(選手一覧!$F$5:$F$2736,$F940))</f>
        <v/>
      </c>
      <c r="J940" s="12" t="str">
        <f aca="false">IF(INDEX(選手一覧!$G$5:$G$2736,$F940)="","",INDEX(選手一覧!$G$5:$G$2736,$F940))</f>
        <v/>
      </c>
    </row>
    <row r="941" customFormat="false" ht="15" hidden="false" customHeight="false" outlineLevel="0" collapsed="false">
      <c r="A941" s="12" t="n">
        <v>938</v>
      </c>
      <c r="B941" s="8" t="s">
        <v>1178</v>
      </c>
      <c r="C941" s="8" t="s">
        <v>622</v>
      </c>
      <c r="D941" s="11" t="n">
        <v>0.00289895833333333</v>
      </c>
      <c r="E941" s="39" t="n">
        <f aca="false">ROUND((D941-$D$5)*86400,2)</f>
        <v>25.44</v>
      </c>
      <c r="F941" s="12" t="n">
        <v>704</v>
      </c>
      <c r="G941" s="11" t="n">
        <f aca="false">IF(INDEX(選手一覧!$D$5:$D$2736,$F941)="","",INDEX(選手一覧!$D$5:$D$2736,$F941))</f>
        <v>0.0107778935185185</v>
      </c>
      <c r="H941" s="12" t="n">
        <f aca="false">IF(INDEX(選手一覧!$E$5:$E$2736,$F941)="","",INDEX(選手一覧!$E$5:$E$2736,$F941))</f>
        <v>705</v>
      </c>
      <c r="I941" s="11" t="n">
        <f aca="false">IF(INDEX(選手一覧!$F$5:$F$2736,$F941)="","",INDEX(選手一覧!$F$5:$F$2736,$F941))</f>
        <v>0.0066275462962963</v>
      </c>
      <c r="J941" s="12" t="n">
        <f aca="false">IF(INDEX(選手一覧!$G$5:$G$2736,$F941)="","",INDEX(選手一覧!$G$5:$G$2736,$F941))</f>
        <v>73</v>
      </c>
    </row>
    <row r="942" customFormat="false" ht="15" hidden="false" customHeight="false" outlineLevel="0" collapsed="false">
      <c r="A942" s="12" t="n">
        <v>939</v>
      </c>
      <c r="B942" s="8" t="s">
        <v>2105</v>
      </c>
      <c r="C942" s="8" t="s">
        <v>2106</v>
      </c>
      <c r="D942" s="11" t="n">
        <v>0.00289930555555556</v>
      </c>
      <c r="E942" s="39" t="n">
        <f aca="false">ROUND((D942-$D$5)*86400,2)</f>
        <v>25.47</v>
      </c>
      <c r="F942" s="12" t="n">
        <v>1342</v>
      </c>
      <c r="G942" s="11" t="str">
        <f aca="false">IF(INDEX(選手一覧!$D$5:$D$2736,$F942)="","",INDEX(選手一覧!$D$5:$D$2736,$F942))</f>
        <v/>
      </c>
      <c r="H942" s="12" t="str">
        <f aca="false">IF(INDEX(選手一覧!$E$5:$E$2736,$F942)="","",INDEX(選手一覧!$E$5:$E$2736,$F942))</f>
        <v/>
      </c>
      <c r="I942" s="11" t="n">
        <f aca="false">IF(INDEX(選手一覧!$F$5:$F$2736,$F942)="","",INDEX(選手一覧!$F$5:$F$2736,$F942))</f>
        <v>0.00682673611111111</v>
      </c>
      <c r="J942" s="12" t="n">
        <f aca="false">IF(INDEX(選手一覧!$G$5:$G$2736,$F942)="","",INDEX(選手一覧!$G$5:$G$2736,$F942))</f>
        <v>189</v>
      </c>
    </row>
    <row r="943" customFormat="false" ht="15" hidden="false" customHeight="false" outlineLevel="0" collapsed="false">
      <c r="A943" s="12" t="n">
        <v>940</v>
      </c>
      <c r="B943" s="8" t="s">
        <v>3278</v>
      </c>
      <c r="C943" s="8" t="s">
        <v>281</v>
      </c>
      <c r="D943" s="11" t="n">
        <v>0.00289953703703704</v>
      </c>
      <c r="E943" s="39" t="n">
        <f aca="false">ROUND((D943-$D$5)*86400,2)</f>
        <v>25.49</v>
      </c>
      <c r="F943" s="12" t="n">
        <v>2119</v>
      </c>
      <c r="G943" s="11" t="str">
        <f aca="false">IF(INDEX(選手一覧!$D$5:$D$2736,$F943)="","",INDEX(選手一覧!$D$5:$D$2736,$F943))</f>
        <v/>
      </c>
      <c r="H943" s="12" t="str">
        <f aca="false">IF(INDEX(選手一覧!$E$5:$E$2736,$F943)="","",INDEX(選手一覧!$E$5:$E$2736,$F943))</f>
        <v/>
      </c>
      <c r="I943" s="11" t="str">
        <f aca="false">IF(INDEX(選手一覧!$F$5:$F$2736,$F943)="","",INDEX(選手一覧!$F$5:$F$2736,$F943))</f>
        <v/>
      </c>
      <c r="J943" s="12" t="str">
        <f aca="false">IF(INDEX(選手一覧!$G$5:$G$2736,$F943)="","",INDEX(選手一覧!$G$5:$G$2736,$F943))</f>
        <v/>
      </c>
    </row>
    <row r="944" customFormat="false" ht="15" hidden="false" customHeight="false" outlineLevel="0" collapsed="false">
      <c r="A944" s="12" t="n">
        <v>941</v>
      </c>
      <c r="B944" s="8" t="s">
        <v>317</v>
      </c>
      <c r="C944" s="8" t="s">
        <v>313</v>
      </c>
      <c r="D944" s="11" t="n">
        <v>0.00289953703703704</v>
      </c>
      <c r="E944" s="39" t="n">
        <f aca="false">ROUND((D944-$D$5)*86400,2)</f>
        <v>25.49</v>
      </c>
      <c r="F944" s="12" t="n">
        <v>155</v>
      </c>
      <c r="G944" s="11" t="n">
        <f aca="false">IF(INDEX(選手一覧!$D$5:$D$2736,$F944)="","",INDEX(選手一覧!$D$5:$D$2736,$F944))</f>
        <v>0.0102929398148148</v>
      </c>
      <c r="H944" s="12" t="n">
        <f aca="false">IF(INDEX(選手一覧!$E$5:$E$2736,$F944)="","",INDEX(選手一覧!$E$5:$E$2736,$F944))</f>
        <v>156</v>
      </c>
      <c r="I944" s="11" t="n">
        <f aca="false">IF(INDEX(選手一覧!$F$5:$F$2736,$F944)="","",INDEX(選手一覧!$F$5:$F$2736,$F944))</f>
        <v>0.00667303240740741</v>
      </c>
      <c r="J944" s="12" t="n">
        <f aca="false">IF(INDEX(選手一覧!$G$5:$G$2736,$F944)="","",INDEX(選手一覧!$G$5:$G$2736,$F944))</f>
        <v>92</v>
      </c>
    </row>
    <row r="945" customFormat="false" ht="15" hidden="false" customHeight="false" outlineLevel="0" collapsed="false">
      <c r="A945" s="12" t="n">
        <v>942</v>
      </c>
      <c r="B945" s="8" t="s">
        <v>1965</v>
      </c>
      <c r="C945" s="8" t="s">
        <v>1966</v>
      </c>
      <c r="D945" s="11" t="n">
        <v>0.00289965277777778</v>
      </c>
      <c r="E945" s="39" t="n">
        <f aca="false">ROUND((D945-$D$5)*86400,2)</f>
        <v>25.5</v>
      </c>
      <c r="F945" s="12" t="n">
        <v>1236</v>
      </c>
      <c r="G945" s="11" t="n">
        <f aca="false">IF(INDEX(選手一覧!$D$5:$D$2736,$F945)="","",INDEX(選手一覧!$D$5:$D$2736,$F945))</f>
        <v>0.0110717592592593</v>
      </c>
      <c r="H945" s="12" t="n">
        <f aca="false">IF(INDEX(選手一覧!$E$5:$E$2736,$F945)="","",INDEX(選手一覧!$E$5:$E$2736,$F945))</f>
        <v>1237</v>
      </c>
      <c r="I945" s="11" t="str">
        <f aca="false">IF(INDEX(選手一覧!$F$5:$F$2736,$F945)="","",INDEX(選手一覧!$F$5:$F$2736,$F945))</f>
        <v/>
      </c>
      <c r="J945" s="12" t="str">
        <f aca="false">IF(INDEX(選手一覧!$G$5:$G$2736,$F945)="","",INDEX(選手一覧!$G$5:$G$2736,$F945))</f>
        <v/>
      </c>
    </row>
    <row r="946" customFormat="false" ht="15" hidden="false" customHeight="false" outlineLevel="0" collapsed="false">
      <c r="A946" s="12" t="n">
        <v>943</v>
      </c>
      <c r="B946" s="8" t="s">
        <v>3285</v>
      </c>
      <c r="C946" s="8" t="s">
        <v>3286</v>
      </c>
      <c r="D946" s="11" t="n">
        <v>0.00289976851851852</v>
      </c>
      <c r="E946" s="39" t="n">
        <f aca="false">ROUND((D946-$D$5)*86400,2)</f>
        <v>25.51</v>
      </c>
      <c r="F946" s="12" t="n">
        <v>2123</v>
      </c>
      <c r="G946" s="11" t="str">
        <f aca="false">IF(INDEX(選手一覧!$D$5:$D$2736,$F946)="","",INDEX(選手一覧!$D$5:$D$2736,$F946))</f>
        <v/>
      </c>
      <c r="H946" s="12" t="str">
        <f aca="false">IF(INDEX(選手一覧!$E$5:$E$2736,$F946)="","",INDEX(選手一覧!$E$5:$E$2736,$F946))</f>
        <v/>
      </c>
      <c r="I946" s="11" t="str">
        <f aca="false">IF(INDEX(選手一覧!$F$5:$F$2736,$F946)="","",INDEX(選手一覧!$F$5:$F$2736,$F946))</f>
        <v/>
      </c>
      <c r="J946" s="12" t="str">
        <f aca="false">IF(INDEX(選手一覧!$G$5:$G$2736,$F946)="","",INDEX(選手一覧!$G$5:$G$2736,$F946))</f>
        <v/>
      </c>
    </row>
    <row r="947" customFormat="false" ht="15" hidden="false" customHeight="false" outlineLevel="0" collapsed="false">
      <c r="A947" s="12" t="n">
        <v>944</v>
      </c>
      <c r="B947" s="8" t="s">
        <v>1027</v>
      </c>
      <c r="C947" s="8" t="s">
        <v>1028</v>
      </c>
      <c r="D947" s="11" t="n">
        <v>0.00289988425925926</v>
      </c>
      <c r="E947" s="39" t="n">
        <f aca="false">ROUND((D947-$D$5)*86400,2)</f>
        <v>25.52</v>
      </c>
      <c r="F947" s="12" t="n">
        <v>600</v>
      </c>
      <c r="G947" s="11" t="n">
        <f aca="false">IF(INDEX(選手一覧!$D$5:$D$2736,$F947)="","",INDEX(選手一覧!$D$5:$D$2736,$F947))</f>
        <v>0.0107128472222222</v>
      </c>
      <c r="H947" s="12" t="n">
        <f aca="false">IF(INDEX(選手一覧!$E$5:$E$2736,$F947)="","",INDEX(選手一覧!$E$5:$E$2736,$F947))</f>
        <v>601</v>
      </c>
      <c r="I947" s="11" t="str">
        <f aca="false">IF(INDEX(選手一覧!$F$5:$F$2736,$F947)="","",INDEX(選手一覧!$F$5:$F$2736,$F947))</f>
        <v/>
      </c>
      <c r="J947" s="12" t="str">
        <f aca="false">IF(INDEX(選手一覧!$G$5:$G$2736,$F947)="","",INDEX(選手一覧!$G$5:$G$2736,$F947))</f>
        <v/>
      </c>
    </row>
    <row r="948" customFormat="false" ht="15" hidden="false" customHeight="false" outlineLevel="0" collapsed="false">
      <c r="A948" s="12" t="n">
        <v>945</v>
      </c>
      <c r="B948" s="8" t="s">
        <v>3291</v>
      </c>
      <c r="C948" s="8" t="s">
        <v>1583</v>
      </c>
      <c r="D948" s="11" t="n">
        <v>0.00289988425925926</v>
      </c>
      <c r="E948" s="39" t="n">
        <f aca="false">ROUND((D948-$D$5)*86400,2)</f>
        <v>25.52</v>
      </c>
      <c r="F948" s="12" t="n">
        <v>2126</v>
      </c>
      <c r="G948" s="11" t="str">
        <f aca="false">IF(INDEX(選手一覧!$D$5:$D$2736,$F948)="","",INDEX(選手一覧!$D$5:$D$2736,$F948))</f>
        <v/>
      </c>
      <c r="H948" s="12" t="str">
        <f aca="false">IF(INDEX(選手一覧!$E$5:$E$2736,$F948)="","",INDEX(選手一覧!$E$5:$E$2736,$F948))</f>
        <v/>
      </c>
      <c r="I948" s="11" t="str">
        <f aca="false">IF(INDEX(選手一覧!$F$5:$F$2736,$F948)="","",INDEX(選手一覧!$F$5:$F$2736,$F948))</f>
        <v/>
      </c>
      <c r="J948" s="12" t="str">
        <f aca="false">IF(INDEX(選手一覧!$G$5:$G$2736,$F948)="","",INDEX(選手一覧!$G$5:$G$2736,$F948))</f>
        <v/>
      </c>
    </row>
    <row r="949" customFormat="false" ht="15" hidden="false" customHeight="false" outlineLevel="0" collapsed="false">
      <c r="A949" s="12" t="n">
        <v>946</v>
      </c>
      <c r="B949" s="8" t="s">
        <v>1008</v>
      </c>
      <c r="C949" s="8" t="s">
        <v>122</v>
      </c>
      <c r="D949" s="11" t="n">
        <v>0.00289988425925926</v>
      </c>
      <c r="E949" s="39" t="n">
        <f aca="false">ROUND((D949-$D$5)*86400,2)</f>
        <v>25.52</v>
      </c>
      <c r="F949" s="12" t="n">
        <v>586</v>
      </c>
      <c r="G949" s="11" t="n">
        <f aca="false">IF(INDEX(選手一覧!$D$5:$D$2736,$F949)="","",INDEX(選手一覧!$D$5:$D$2736,$F949))</f>
        <v>0.0107016203703704</v>
      </c>
      <c r="H949" s="12" t="n">
        <f aca="false">IF(INDEX(選手一覧!$E$5:$E$2736,$F949)="","",INDEX(選手一覧!$E$5:$E$2736,$F949))</f>
        <v>587</v>
      </c>
      <c r="I949" s="11" t="n">
        <f aca="false">IF(INDEX(選手一覧!$F$5:$F$2736,$F949)="","",INDEX(選手一覧!$F$5:$F$2736,$F949))</f>
        <v>0.00677569444444444</v>
      </c>
      <c r="J949" s="12" t="n">
        <f aca="false">IF(INDEX(選手一覧!$G$5:$G$2736,$F949)="","",INDEX(選手一覧!$G$5:$G$2736,$F949))</f>
        <v>152</v>
      </c>
    </row>
    <row r="950" customFormat="false" ht="15" hidden="false" customHeight="false" outlineLevel="0" collapsed="false">
      <c r="A950" s="12" t="n">
        <v>947</v>
      </c>
      <c r="B950" s="8" t="s">
        <v>1344</v>
      </c>
      <c r="C950" s="8" t="s">
        <v>554</v>
      </c>
      <c r="D950" s="11" t="n">
        <v>0.00289988425925926</v>
      </c>
      <c r="E950" s="39" t="n">
        <f aca="false">ROUND((D950-$D$5)*86400,2)</f>
        <v>25.52</v>
      </c>
      <c r="F950" s="12" t="n">
        <v>815</v>
      </c>
      <c r="G950" s="11" t="n">
        <f aca="false">IF(INDEX(選手一覧!$D$5:$D$2736,$F950)="","",INDEX(選手一覧!$D$5:$D$2736,$F950))</f>
        <v>0.0108416666666667</v>
      </c>
      <c r="H950" s="12" t="n">
        <f aca="false">IF(INDEX(選手一覧!$E$5:$E$2736,$F950)="","",INDEX(選手一覧!$E$5:$E$2736,$F950))</f>
        <v>816</v>
      </c>
      <c r="I950" s="11" t="str">
        <f aca="false">IF(INDEX(選手一覧!$F$5:$F$2736,$F950)="","",INDEX(選手一覧!$F$5:$F$2736,$F950))</f>
        <v/>
      </c>
      <c r="J950" s="12" t="str">
        <f aca="false">IF(INDEX(選手一覧!$G$5:$G$2736,$F950)="","",INDEX(選手一覧!$G$5:$G$2736,$F950))</f>
        <v/>
      </c>
    </row>
    <row r="951" customFormat="false" ht="15" hidden="false" customHeight="false" outlineLevel="0" collapsed="false">
      <c r="A951" s="12" t="n">
        <v>948</v>
      </c>
      <c r="B951" s="8" t="s">
        <v>2308</v>
      </c>
      <c r="C951" s="8" t="s">
        <v>61</v>
      </c>
      <c r="D951" s="11" t="n">
        <v>0.00290023148148148</v>
      </c>
      <c r="E951" s="39" t="n">
        <f aca="false">ROUND((D951-$D$5)*86400,2)</f>
        <v>25.55</v>
      </c>
      <c r="F951" s="12" t="n">
        <v>1471</v>
      </c>
      <c r="G951" s="11" t="str">
        <f aca="false">IF(INDEX(選手一覧!$D$5:$D$2736,$F951)="","",INDEX(選手一覧!$D$5:$D$2736,$F951))</f>
        <v/>
      </c>
      <c r="H951" s="12" t="str">
        <f aca="false">IF(INDEX(選手一覧!$E$5:$E$2736,$F951)="","",INDEX(選手一覧!$E$5:$E$2736,$F951))</f>
        <v/>
      </c>
      <c r="I951" s="11" t="n">
        <f aca="false">IF(INDEX(選手一覧!$F$5:$F$2736,$F951)="","",INDEX(選手一覧!$F$5:$F$2736,$F951))</f>
        <v>0.00703738425925926</v>
      </c>
      <c r="J951" s="12" t="n">
        <f aca="false">IF(INDEX(選手一覧!$G$5:$G$2736,$F951)="","",INDEX(選手一覧!$G$5:$G$2736,$F951))</f>
        <v>369</v>
      </c>
    </row>
    <row r="952" customFormat="false" ht="15" hidden="false" customHeight="false" outlineLevel="0" collapsed="false">
      <c r="A952" s="12" t="n">
        <v>949</v>
      </c>
      <c r="B952" s="8" t="s">
        <v>3299</v>
      </c>
      <c r="C952" s="8" t="s">
        <v>197</v>
      </c>
      <c r="D952" s="11" t="n">
        <v>0.00290023148148148</v>
      </c>
      <c r="E952" s="39" t="n">
        <f aca="false">ROUND((D952-$D$5)*86400,2)</f>
        <v>25.55</v>
      </c>
      <c r="F952" s="12" t="n">
        <v>2131</v>
      </c>
      <c r="G952" s="11" t="str">
        <f aca="false">IF(INDEX(選手一覧!$D$5:$D$2736,$F952)="","",INDEX(選手一覧!$D$5:$D$2736,$F952))</f>
        <v/>
      </c>
      <c r="H952" s="12" t="str">
        <f aca="false">IF(INDEX(選手一覧!$E$5:$E$2736,$F952)="","",INDEX(選手一覧!$E$5:$E$2736,$F952))</f>
        <v/>
      </c>
      <c r="I952" s="11" t="str">
        <f aca="false">IF(INDEX(選手一覧!$F$5:$F$2736,$F952)="","",INDEX(選手一覧!$F$5:$F$2736,$F952))</f>
        <v/>
      </c>
      <c r="J952" s="12" t="str">
        <f aca="false">IF(INDEX(選手一覧!$G$5:$G$2736,$F952)="","",INDEX(選手一覧!$G$5:$G$2736,$F952))</f>
        <v/>
      </c>
    </row>
    <row r="953" customFormat="false" ht="15" hidden="false" customHeight="false" outlineLevel="0" collapsed="false">
      <c r="A953" s="12" t="n">
        <v>950</v>
      </c>
      <c r="B953" s="8" t="s">
        <v>1423</v>
      </c>
      <c r="C953" s="8" t="s">
        <v>1424</v>
      </c>
      <c r="D953" s="11" t="n">
        <v>0.00290034722222222</v>
      </c>
      <c r="E953" s="39" t="n">
        <f aca="false">ROUND((D953-$D$5)*86400,2)</f>
        <v>25.56</v>
      </c>
      <c r="F953" s="12" t="n">
        <v>866</v>
      </c>
      <c r="G953" s="11" t="n">
        <f aca="false">IF(INDEX(選手一覧!$D$5:$D$2736,$F953)="","",INDEX(選手一覧!$D$5:$D$2736,$F953))</f>
        <v>0.0108677083333333</v>
      </c>
      <c r="H953" s="12" t="n">
        <f aca="false">IF(INDEX(選手一覧!$E$5:$E$2736,$F953)="","",INDEX(選手一覧!$E$5:$E$2736,$F953))</f>
        <v>867</v>
      </c>
      <c r="I953" s="11" t="n">
        <f aca="false">IF(INDEX(選手一覧!$F$5:$F$2736,$F953)="","",INDEX(選手一覧!$F$5:$F$2736,$F953))</f>
        <v>0.00735300925925926</v>
      </c>
      <c r="J953" s="12" t="n">
        <f aca="false">IF(INDEX(選手一覧!$G$5:$G$2736,$F953)="","",INDEX(選手一覧!$G$5:$G$2736,$F953))</f>
        <v>714</v>
      </c>
    </row>
    <row r="954" customFormat="false" ht="15" hidden="false" customHeight="false" outlineLevel="0" collapsed="false">
      <c r="A954" s="12" t="n">
        <v>951</v>
      </c>
      <c r="B954" s="8" t="s">
        <v>1626</v>
      </c>
      <c r="C954" s="8" t="s">
        <v>243</v>
      </c>
      <c r="D954" s="11" t="n">
        <v>0.0029005787037037</v>
      </c>
      <c r="E954" s="39" t="n">
        <f aca="false">ROUND((D954-$D$5)*86400,2)</f>
        <v>25.58</v>
      </c>
      <c r="F954" s="12" t="n">
        <v>1004</v>
      </c>
      <c r="G954" s="11" t="n">
        <f aca="false">IF(INDEX(選手一覧!$D$5:$D$2736,$F954)="","",INDEX(選手一覧!$D$5:$D$2736,$F954))</f>
        <v>0.0109524305555556</v>
      </c>
      <c r="H954" s="12" t="n">
        <f aca="false">IF(INDEX(選手一覧!$E$5:$E$2736,$F954)="","",INDEX(選手一覧!$E$5:$E$2736,$F954))</f>
        <v>1005</v>
      </c>
      <c r="I954" s="11" t="str">
        <f aca="false">IF(INDEX(選手一覧!$F$5:$F$2736,$F954)="","",INDEX(選手一覧!$F$5:$F$2736,$F954))</f>
        <v/>
      </c>
      <c r="J954" s="12" t="str">
        <f aca="false">IF(INDEX(選手一覧!$G$5:$G$2736,$F954)="","",INDEX(選手一覧!$G$5:$G$2736,$F954))</f>
        <v/>
      </c>
    </row>
    <row r="955" customFormat="false" ht="15" hidden="false" customHeight="false" outlineLevel="0" collapsed="false">
      <c r="A955" s="12" t="n">
        <v>952</v>
      </c>
      <c r="B955" s="8" t="s">
        <v>3304</v>
      </c>
      <c r="C955" s="8" t="s">
        <v>1424</v>
      </c>
      <c r="D955" s="11" t="n">
        <v>0.0029005787037037</v>
      </c>
      <c r="E955" s="39" t="n">
        <f aca="false">ROUND((D955-$D$5)*86400,2)</f>
        <v>25.58</v>
      </c>
      <c r="F955" s="12" t="n">
        <v>2135</v>
      </c>
      <c r="G955" s="11" t="str">
        <f aca="false">IF(INDEX(選手一覧!$D$5:$D$2736,$F955)="","",INDEX(選手一覧!$D$5:$D$2736,$F955))</f>
        <v/>
      </c>
      <c r="H955" s="12" t="str">
        <f aca="false">IF(INDEX(選手一覧!$E$5:$E$2736,$F955)="","",INDEX(選手一覧!$E$5:$E$2736,$F955))</f>
        <v/>
      </c>
      <c r="I955" s="11" t="str">
        <f aca="false">IF(INDEX(選手一覧!$F$5:$F$2736,$F955)="","",INDEX(選手一覧!$F$5:$F$2736,$F955))</f>
        <v/>
      </c>
      <c r="J955" s="12" t="str">
        <f aca="false">IF(INDEX(選手一覧!$G$5:$G$2736,$F955)="","",INDEX(選手一覧!$G$5:$G$2736,$F955))</f>
        <v/>
      </c>
    </row>
    <row r="956" customFormat="false" ht="15" hidden="false" customHeight="false" outlineLevel="0" collapsed="false">
      <c r="A956" s="12" t="n">
        <v>953</v>
      </c>
      <c r="B956" s="8" t="s">
        <v>1562</v>
      </c>
      <c r="C956" s="8" t="s">
        <v>1563</v>
      </c>
      <c r="D956" s="11" t="n">
        <v>0.00290069444444444</v>
      </c>
      <c r="E956" s="39" t="n">
        <f aca="false">ROUND((D956-$D$5)*86400,2)</f>
        <v>25.59</v>
      </c>
      <c r="F956" s="12" t="n">
        <v>960</v>
      </c>
      <c r="G956" s="11" t="n">
        <f aca="false">IF(INDEX(選手一覧!$D$5:$D$2736,$F956)="","",INDEX(選手一覧!$D$5:$D$2736,$F956))</f>
        <v>0.0109266203703704</v>
      </c>
      <c r="H956" s="12" t="n">
        <f aca="false">IF(INDEX(選手一覧!$E$5:$E$2736,$F956)="","",INDEX(選手一覧!$E$5:$E$2736,$F956))</f>
        <v>961</v>
      </c>
      <c r="I956" s="11" t="str">
        <f aca="false">IF(INDEX(選手一覧!$F$5:$F$2736,$F956)="","",INDEX(選手一覧!$F$5:$F$2736,$F956))</f>
        <v/>
      </c>
      <c r="J956" s="12" t="str">
        <f aca="false">IF(INDEX(選手一覧!$G$5:$G$2736,$F956)="","",INDEX(選手一覧!$G$5:$G$2736,$F956))</f>
        <v/>
      </c>
    </row>
    <row r="957" customFormat="false" ht="15" hidden="false" customHeight="false" outlineLevel="0" collapsed="false">
      <c r="A957" s="12" t="n">
        <v>954</v>
      </c>
      <c r="B957" s="8" t="s">
        <v>911</v>
      </c>
      <c r="C957" s="8" t="s">
        <v>249</v>
      </c>
      <c r="D957" s="11" t="n">
        <v>0.00290081018518519</v>
      </c>
      <c r="E957" s="39" t="n">
        <f aca="false">ROUND((D957-$D$5)*86400,2)</f>
        <v>25.6</v>
      </c>
      <c r="F957" s="12" t="n">
        <v>522</v>
      </c>
      <c r="G957" s="11" t="n">
        <f aca="false">IF(INDEX(選手一覧!$D$5:$D$2736,$F957)="","",INDEX(選手一覧!$D$5:$D$2736,$F957))</f>
        <v>0.0106486111111111</v>
      </c>
      <c r="H957" s="12" t="n">
        <f aca="false">IF(INDEX(選手一覧!$E$5:$E$2736,$F957)="","",INDEX(選手一覧!$E$5:$E$2736,$F957))</f>
        <v>523</v>
      </c>
      <c r="I957" s="11" t="str">
        <f aca="false">IF(INDEX(選手一覧!$F$5:$F$2736,$F957)="","",INDEX(選手一覧!$F$5:$F$2736,$F957))</f>
        <v/>
      </c>
      <c r="J957" s="12" t="str">
        <f aca="false">IF(INDEX(選手一覧!$G$5:$G$2736,$F957)="","",INDEX(選手一覧!$G$5:$G$2736,$F957))</f>
        <v/>
      </c>
    </row>
    <row r="958" customFormat="false" ht="15" hidden="false" customHeight="false" outlineLevel="0" collapsed="false">
      <c r="A958" s="12" t="n">
        <v>955</v>
      </c>
      <c r="B958" s="8" t="s">
        <v>3308</v>
      </c>
      <c r="C958" s="8" t="s">
        <v>3309</v>
      </c>
      <c r="D958" s="11" t="n">
        <v>0.00290104166666667</v>
      </c>
      <c r="E958" s="39" t="n">
        <f aca="false">ROUND((D958-$D$5)*86400,2)</f>
        <v>25.62</v>
      </c>
      <c r="F958" s="12" t="n">
        <v>2139</v>
      </c>
      <c r="G958" s="11" t="str">
        <f aca="false">IF(INDEX(選手一覧!$D$5:$D$2736,$F958)="","",INDEX(選手一覧!$D$5:$D$2736,$F958))</f>
        <v/>
      </c>
      <c r="H958" s="12" t="str">
        <f aca="false">IF(INDEX(選手一覧!$E$5:$E$2736,$F958)="","",INDEX(選手一覧!$E$5:$E$2736,$F958))</f>
        <v/>
      </c>
      <c r="I958" s="11" t="str">
        <f aca="false">IF(INDEX(選手一覧!$F$5:$F$2736,$F958)="","",INDEX(選手一覧!$F$5:$F$2736,$F958))</f>
        <v/>
      </c>
      <c r="J958" s="12" t="str">
        <f aca="false">IF(INDEX(選手一覧!$G$5:$G$2736,$F958)="","",INDEX(選手一覧!$G$5:$G$2736,$F958))</f>
        <v/>
      </c>
    </row>
    <row r="959" customFormat="false" ht="15" hidden="false" customHeight="false" outlineLevel="0" collapsed="false">
      <c r="A959" s="12" t="n">
        <v>956</v>
      </c>
      <c r="B959" s="8" t="s">
        <v>1226</v>
      </c>
      <c r="C959" s="8" t="s">
        <v>233</v>
      </c>
      <c r="D959" s="11" t="n">
        <v>0.00290115740740741</v>
      </c>
      <c r="E959" s="39" t="n">
        <f aca="false">ROUND((D959-$D$5)*86400,2)</f>
        <v>25.63</v>
      </c>
      <c r="F959" s="12" t="n">
        <v>734</v>
      </c>
      <c r="G959" s="11" t="n">
        <f aca="false">IF(INDEX(選手一覧!$D$5:$D$2736,$F959)="","",INDEX(選手一覧!$D$5:$D$2736,$F959))</f>
        <v>0.0107954861111111</v>
      </c>
      <c r="H959" s="12" t="n">
        <f aca="false">IF(INDEX(選手一覧!$E$5:$E$2736,$F959)="","",INDEX(選手一覧!$E$5:$E$2736,$F959))</f>
        <v>735</v>
      </c>
      <c r="I959" s="11" t="n">
        <f aca="false">IF(INDEX(選手一覧!$F$5:$F$2736,$F959)="","",INDEX(選手一覧!$F$5:$F$2736,$F959))</f>
        <v>0.00638576388888889</v>
      </c>
      <c r="J959" s="12" t="n">
        <f aca="false">IF(INDEX(選手一覧!$G$5:$G$2736,$F959)="","",INDEX(選手一覧!$G$5:$G$2736,$F959))</f>
        <v>13</v>
      </c>
    </row>
    <row r="960" customFormat="false" ht="15" hidden="false" customHeight="false" outlineLevel="0" collapsed="false">
      <c r="A960" s="12" t="n">
        <v>957</v>
      </c>
      <c r="B960" s="8" t="s">
        <v>3311</v>
      </c>
      <c r="C960" s="8" t="s">
        <v>313</v>
      </c>
      <c r="D960" s="11" t="n">
        <v>0.00290138888888889</v>
      </c>
      <c r="E960" s="39" t="n">
        <f aca="false">ROUND((D960-$D$5)*86400,2)</f>
        <v>25.65</v>
      </c>
      <c r="F960" s="12" t="n">
        <v>2141</v>
      </c>
      <c r="G960" s="11" t="str">
        <f aca="false">IF(INDEX(選手一覧!$D$5:$D$2736,$F960)="","",INDEX(選手一覧!$D$5:$D$2736,$F960))</f>
        <v/>
      </c>
      <c r="H960" s="12" t="str">
        <f aca="false">IF(INDEX(選手一覧!$E$5:$E$2736,$F960)="","",INDEX(選手一覧!$E$5:$E$2736,$F960))</f>
        <v/>
      </c>
      <c r="I960" s="11" t="str">
        <f aca="false">IF(INDEX(選手一覧!$F$5:$F$2736,$F960)="","",INDEX(選手一覧!$F$5:$F$2736,$F960))</f>
        <v/>
      </c>
      <c r="J960" s="12" t="str">
        <f aca="false">IF(INDEX(選手一覧!$G$5:$G$2736,$F960)="","",INDEX(選手一覧!$G$5:$G$2736,$F960))</f>
        <v/>
      </c>
    </row>
    <row r="961" customFormat="false" ht="15" hidden="false" customHeight="false" outlineLevel="0" collapsed="false">
      <c r="A961" s="12" t="n">
        <v>958</v>
      </c>
      <c r="B961" s="8" t="s">
        <v>1747</v>
      </c>
      <c r="C961" s="8" t="s">
        <v>1748</v>
      </c>
      <c r="D961" s="11" t="n">
        <v>0.00290150462962963</v>
      </c>
      <c r="E961" s="39" t="n">
        <f aca="false">ROUND((D961-$D$5)*86400,2)</f>
        <v>25.66</v>
      </c>
      <c r="F961" s="12" t="n">
        <v>1085</v>
      </c>
      <c r="G961" s="11" t="n">
        <f aca="false">IF(INDEX(選手一覧!$D$5:$D$2736,$F961)="","",INDEX(選手一覧!$D$5:$D$2736,$F961))</f>
        <v>0.0109936342592593</v>
      </c>
      <c r="H961" s="12" t="n">
        <f aca="false">IF(INDEX(選手一覧!$E$5:$E$2736,$F961)="","",INDEX(選手一覧!$E$5:$E$2736,$F961))</f>
        <v>1086</v>
      </c>
      <c r="I961" s="11" t="n">
        <f aca="false">IF(INDEX(選手一覧!$F$5:$F$2736,$F961)="","",INDEX(選手一覧!$F$5:$F$2736,$F961))</f>
        <v>0.00649803240740741</v>
      </c>
      <c r="J961" s="12" t="n">
        <f aca="false">IF(INDEX(選手一覧!$G$5:$G$2736,$F961)="","",INDEX(選手一覧!$G$5:$G$2736,$F961))</f>
        <v>35</v>
      </c>
    </row>
    <row r="962" customFormat="false" ht="15" hidden="false" customHeight="false" outlineLevel="0" collapsed="false">
      <c r="A962" s="12" t="n">
        <v>959</v>
      </c>
      <c r="B962" s="8" t="s">
        <v>3316</v>
      </c>
      <c r="C962" s="8" t="s">
        <v>3032</v>
      </c>
      <c r="D962" s="11" t="n">
        <v>0.00290162037037037</v>
      </c>
      <c r="E962" s="39" t="n">
        <f aca="false">ROUND((D962-$D$5)*86400,2)</f>
        <v>25.67</v>
      </c>
      <c r="F962" s="12" t="n">
        <v>2144</v>
      </c>
      <c r="G962" s="11" t="str">
        <f aca="false">IF(INDEX(選手一覧!$D$5:$D$2736,$F962)="","",INDEX(選手一覧!$D$5:$D$2736,$F962))</f>
        <v/>
      </c>
      <c r="H962" s="12" t="str">
        <f aca="false">IF(INDEX(選手一覧!$E$5:$E$2736,$F962)="","",INDEX(選手一覧!$E$5:$E$2736,$F962))</f>
        <v/>
      </c>
      <c r="I962" s="11" t="str">
        <f aca="false">IF(INDEX(選手一覧!$F$5:$F$2736,$F962)="","",INDEX(選手一覧!$F$5:$F$2736,$F962))</f>
        <v/>
      </c>
      <c r="J962" s="12" t="str">
        <f aca="false">IF(INDEX(選手一覧!$G$5:$G$2736,$F962)="","",INDEX(選手一覧!$G$5:$G$2736,$F962))</f>
        <v/>
      </c>
    </row>
    <row r="963" customFormat="false" ht="15" hidden="false" customHeight="false" outlineLevel="0" collapsed="false">
      <c r="A963" s="12" t="n">
        <v>960</v>
      </c>
      <c r="B963" s="8" t="s">
        <v>848</v>
      </c>
      <c r="C963" s="8" t="s">
        <v>704</v>
      </c>
      <c r="D963" s="11" t="n">
        <v>0.00290162037037037</v>
      </c>
      <c r="E963" s="39" t="n">
        <f aca="false">ROUND((D963-$D$5)*86400,2)</f>
        <v>25.67</v>
      </c>
      <c r="F963" s="12" t="n">
        <v>486</v>
      </c>
      <c r="G963" s="11" t="n">
        <f aca="false">IF(INDEX(選手一覧!$D$5:$D$2736,$F963)="","",INDEX(選手一覧!$D$5:$D$2736,$F963))</f>
        <v>0.0106157407407407</v>
      </c>
      <c r="H963" s="12" t="n">
        <f aca="false">IF(INDEX(選手一覧!$E$5:$E$2736,$F963)="","",INDEX(選手一覧!$E$5:$E$2736,$F963))</f>
        <v>487</v>
      </c>
      <c r="I963" s="11" t="n">
        <f aca="false">IF(INDEX(選手一覧!$F$5:$F$2736,$F963)="","",INDEX(選手一覧!$F$5:$F$2736,$F963))</f>
        <v>0.00645543981481482</v>
      </c>
      <c r="J963" s="12" t="n">
        <f aca="false">IF(INDEX(選手一覧!$G$5:$G$2736,$F963)="","",INDEX(選手一覧!$G$5:$G$2736,$F963))</f>
        <v>23</v>
      </c>
    </row>
    <row r="964" customFormat="false" ht="15" hidden="false" customHeight="false" outlineLevel="0" collapsed="false">
      <c r="A964" s="12" t="n">
        <v>961</v>
      </c>
      <c r="B964" s="8" t="s">
        <v>2639</v>
      </c>
      <c r="C964" s="8" t="s">
        <v>1689</v>
      </c>
      <c r="D964" s="11" t="n">
        <v>0.00290162037037037</v>
      </c>
      <c r="E964" s="39" t="n">
        <f aca="false">ROUND((D964-$D$5)*86400,2)</f>
        <v>25.67</v>
      </c>
      <c r="F964" s="12" t="n">
        <v>1692</v>
      </c>
      <c r="G964" s="11" t="str">
        <f aca="false">IF(INDEX(選手一覧!$D$5:$D$2736,$F964)="","",INDEX(選手一覧!$D$5:$D$2736,$F964))</f>
        <v/>
      </c>
      <c r="H964" s="12" t="str">
        <f aca="false">IF(INDEX(選手一覧!$E$5:$E$2736,$F964)="","",INDEX(選手一覧!$E$5:$E$2736,$F964))</f>
        <v/>
      </c>
      <c r="I964" s="11" t="n">
        <f aca="false">IF(INDEX(選手一覧!$F$5:$F$2736,$F964)="","",INDEX(選手一覧!$F$5:$F$2736,$F964))</f>
        <v>0.00724826388888889</v>
      </c>
      <c r="J964" s="12" t="n">
        <f aca="false">IF(INDEX(選手一覧!$G$5:$G$2736,$F964)="","",INDEX(選手一覧!$G$5:$G$2736,$F964))</f>
        <v>596</v>
      </c>
    </row>
    <row r="965" customFormat="false" ht="15" hidden="false" customHeight="false" outlineLevel="0" collapsed="false">
      <c r="A965" s="12" t="n">
        <v>962</v>
      </c>
      <c r="B965" s="8" t="s">
        <v>2741</v>
      </c>
      <c r="C965" s="8" t="s">
        <v>2718</v>
      </c>
      <c r="D965" s="11" t="n">
        <v>0.00290173611111111</v>
      </c>
      <c r="E965" s="39" t="n">
        <f aca="false">ROUND((D965-$D$5)*86400,2)</f>
        <v>25.68</v>
      </c>
      <c r="F965" s="12" t="n">
        <v>1761</v>
      </c>
      <c r="G965" s="11" t="str">
        <f aca="false">IF(INDEX(選手一覧!$D$5:$D$2736,$F965)="","",INDEX(選手一覧!$D$5:$D$2736,$F965))</f>
        <v/>
      </c>
      <c r="H965" s="12" t="str">
        <f aca="false">IF(INDEX(選手一覧!$E$5:$E$2736,$F965)="","",INDEX(選手一覧!$E$5:$E$2736,$F965))</f>
        <v/>
      </c>
      <c r="I965" s="11" t="n">
        <f aca="false">IF(INDEX(選手一覧!$F$5:$F$2736,$F965)="","",INDEX(選手一覧!$F$5:$F$2736,$F965))</f>
        <v>0.00731400462962963</v>
      </c>
      <c r="J965" s="12" t="n">
        <f aca="false">IF(INDEX(選手一覧!$G$5:$G$2736,$F965)="","",INDEX(選手一覧!$G$5:$G$2736,$F965))</f>
        <v>661</v>
      </c>
    </row>
    <row r="966" customFormat="false" ht="15" hidden="false" customHeight="false" outlineLevel="0" collapsed="false">
      <c r="A966" s="12" t="n">
        <v>963</v>
      </c>
      <c r="B966" s="8" t="s">
        <v>3323</v>
      </c>
      <c r="C966" s="8" t="s">
        <v>3324</v>
      </c>
      <c r="D966" s="11" t="n">
        <v>0.00290173611111111</v>
      </c>
      <c r="E966" s="39" t="n">
        <f aca="false">ROUND((D966-$D$5)*86400,2)</f>
        <v>25.68</v>
      </c>
      <c r="F966" s="12" t="n">
        <v>2149</v>
      </c>
      <c r="G966" s="11" t="str">
        <f aca="false">IF(INDEX(選手一覧!$D$5:$D$2736,$F966)="","",INDEX(選手一覧!$D$5:$D$2736,$F966))</f>
        <v/>
      </c>
      <c r="H966" s="12" t="str">
        <f aca="false">IF(INDEX(選手一覧!$E$5:$E$2736,$F966)="","",INDEX(選手一覧!$E$5:$E$2736,$F966))</f>
        <v/>
      </c>
      <c r="I966" s="11" t="str">
        <f aca="false">IF(INDEX(選手一覧!$F$5:$F$2736,$F966)="","",INDEX(選手一覧!$F$5:$F$2736,$F966))</f>
        <v/>
      </c>
      <c r="J966" s="12" t="str">
        <f aca="false">IF(INDEX(選手一覧!$G$5:$G$2736,$F966)="","",INDEX(選手一覧!$G$5:$G$2736,$F966))</f>
        <v/>
      </c>
    </row>
    <row r="967" customFormat="false" ht="15" hidden="false" customHeight="false" outlineLevel="0" collapsed="false">
      <c r="A967" s="12" t="n">
        <v>964</v>
      </c>
      <c r="B967" s="8" t="s">
        <v>372</v>
      </c>
      <c r="C967" s="8" t="s">
        <v>373</v>
      </c>
      <c r="D967" s="11" t="n">
        <v>0.00290196759259259</v>
      </c>
      <c r="E967" s="39" t="n">
        <f aca="false">ROUND((D967-$D$5)*86400,2)</f>
        <v>25.7</v>
      </c>
      <c r="F967" s="12" t="n">
        <v>186</v>
      </c>
      <c r="G967" s="11" t="n">
        <f aca="false">IF(INDEX(選手一覧!$D$5:$D$2736,$F967)="","",INDEX(選手一覧!$D$5:$D$2736,$F967))</f>
        <v>0.0103375</v>
      </c>
      <c r="H967" s="12" t="n">
        <f aca="false">IF(INDEX(選手一覧!$E$5:$E$2736,$F967)="","",INDEX(選手一覧!$E$5:$E$2736,$F967))</f>
        <v>187</v>
      </c>
      <c r="I967" s="11" t="n">
        <f aca="false">IF(INDEX(選手一覧!$F$5:$F$2736,$F967)="","",INDEX(選手一覧!$F$5:$F$2736,$F967))</f>
        <v>0.00693090277777778</v>
      </c>
      <c r="J967" s="12" t="n">
        <f aca="false">IF(INDEX(選手一覧!$G$5:$G$2736,$F967)="","",INDEX(選手一覧!$G$5:$G$2736,$F967))</f>
        <v>274</v>
      </c>
    </row>
    <row r="968" customFormat="false" ht="15" hidden="false" customHeight="false" outlineLevel="0" collapsed="false">
      <c r="A968" s="12" t="n">
        <v>965</v>
      </c>
      <c r="B968" s="8" t="s">
        <v>1349</v>
      </c>
      <c r="C968" s="8" t="s">
        <v>1350</v>
      </c>
      <c r="D968" s="11" t="n">
        <v>0.00290208333333333</v>
      </c>
      <c r="E968" s="39" t="n">
        <f aca="false">ROUND((D968-$D$5)*86400,2)</f>
        <v>25.71</v>
      </c>
      <c r="F968" s="12" t="n">
        <v>819</v>
      </c>
      <c r="G968" s="11" t="n">
        <f aca="false">IF(INDEX(選手一覧!$D$5:$D$2736,$F968)="","",INDEX(選手一覧!$D$5:$D$2736,$F968))</f>
        <v>0.0108435185185185</v>
      </c>
      <c r="H968" s="12" t="n">
        <f aca="false">IF(INDEX(選手一覧!$E$5:$E$2736,$F968)="","",INDEX(選手一覧!$E$5:$E$2736,$F968))</f>
        <v>820</v>
      </c>
      <c r="I968" s="11" t="str">
        <f aca="false">IF(INDEX(選手一覧!$F$5:$F$2736,$F968)="","",INDEX(選手一覧!$F$5:$F$2736,$F968))</f>
        <v/>
      </c>
      <c r="J968" s="12" t="str">
        <f aca="false">IF(INDEX(選手一覧!$G$5:$G$2736,$F968)="","",INDEX(選手一覧!$G$5:$G$2736,$F968))</f>
        <v/>
      </c>
    </row>
    <row r="969" customFormat="false" ht="15" hidden="false" customHeight="false" outlineLevel="0" collapsed="false">
      <c r="A969" s="12" t="n">
        <v>966</v>
      </c>
      <c r="B969" s="8" t="s">
        <v>3330</v>
      </c>
      <c r="C969" s="8" t="s">
        <v>1262</v>
      </c>
      <c r="D969" s="11" t="n">
        <v>0.00290231481481482</v>
      </c>
      <c r="E969" s="39" t="n">
        <f aca="false">ROUND((D969-$D$5)*86400,2)</f>
        <v>25.73</v>
      </c>
      <c r="F969" s="12" t="n">
        <v>2153</v>
      </c>
      <c r="G969" s="11" t="str">
        <f aca="false">IF(INDEX(選手一覧!$D$5:$D$2736,$F969)="","",INDEX(選手一覧!$D$5:$D$2736,$F969))</f>
        <v/>
      </c>
      <c r="H969" s="12" t="str">
        <f aca="false">IF(INDEX(選手一覧!$E$5:$E$2736,$F969)="","",INDEX(選手一覧!$E$5:$E$2736,$F969))</f>
        <v/>
      </c>
      <c r="I969" s="11" t="str">
        <f aca="false">IF(INDEX(選手一覧!$F$5:$F$2736,$F969)="","",INDEX(選手一覧!$F$5:$F$2736,$F969))</f>
        <v/>
      </c>
      <c r="J969" s="12" t="str">
        <f aca="false">IF(INDEX(選手一覧!$G$5:$G$2736,$F969)="","",INDEX(選手一覧!$G$5:$G$2736,$F969))</f>
        <v/>
      </c>
    </row>
    <row r="970" customFormat="false" ht="15" hidden="false" customHeight="false" outlineLevel="0" collapsed="false">
      <c r="A970" s="12" t="n">
        <v>967</v>
      </c>
      <c r="B970" s="8" t="s">
        <v>2087</v>
      </c>
      <c r="C970" s="8" t="s">
        <v>2088</v>
      </c>
      <c r="D970" s="11" t="n">
        <v>0.0029025462962963</v>
      </c>
      <c r="E970" s="39" t="n">
        <f aca="false">ROUND((D970-$D$5)*86400,2)</f>
        <v>25.75</v>
      </c>
      <c r="F970" s="12" t="n">
        <v>1331</v>
      </c>
      <c r="G970" s="11" t="str">
        <f aca="false">IF(INDEX(選手一覧!$D$5:$D$2736,$F970)="","",INDEX(選手一覧!$D$5:$D$2736,$F970))</f>
        <v/>
      </c>
      <c r="H970" s="12" t="str">
        <f aca="false">IF(INDEX(選手一覧!$E$5:$E$2736,$F970)="","",INDEX(選手一覧!$E$5:$E$2736,$F970))</f>
        <v/>
      </c>
      <c r="I970" s="11" t="n">
        <f aca="false">IF(INDEX(選手一覧!$F$5:$F$2736,$F970)="","",INDEX(選手一覧!$F$5:$F$2736,$F970))</f>
        <v>0.00680185185185185</v>
      </c>
      <c r="J970" s="12" t="n">
        <f aca="false">IF(INDEX(選手一覧!$G$5:$G$2736,$F970)="","",INDEX(選手一覧!$G$5:$G$2736,$F970))</f>
        <v>174</v>
      </c>
    </row>
    <row r="971" customFormat="false" ht="15" hidden="false" customHeight="false" outlineLevel="0" collapsed="false">
      <c r="A971" s="12" t="n">
        <v>968</v>
      </c>
      <c r="B971" s="8" t="s">
        <v>3335</v>
      </c>
      <c r="C971" s="8" t="s">
        <v>3202</v>
      </c>
      <c r="D971" s="11" t="n">
        <v>0.00290266203703704</v>
      </c>
      <c r="E971" s="39" t="n">
        <f aca="false">ROUND((D971-$D$5)*86400,2)</f>
        <v>25.76</v>
      </c>
      <c r="F971" s="12" t="n">
        <v>2156</v>
      </c>
      <c r="G971" s="11" t="str">
        <f aca="false">IF(INDEX(選手一覧!$D$5:$D$2736,$F971)="","",INDEX(選手一覧!$D$5:$D$2736,$F971))</f>
        <v/>
      </c>
      <c r="H971" s="12" t="str">
        <f aca="false">IF(INDEX(選手一覧!$E$5:$E$2736,$F971)="","",INDEX(選手一覧!$E$5:$E$2736,$F971))</f>
        <v/>
      </c>
      <c r="I971" s="11" t="str">
        <f aca="false">IF(INDEX(選手一覧!$F$5:$F$2736,$F971)="","",INDEX(選手一覧!$F$5:$F$2736,$F971))</f>
        <v/>
      </c>
      <c r="J971" s="12" t="str">
        <f aca="false">IF(INDEX(選手一覧!$G$5:$G$2736,$F971)="","",INDEX(選手一覧!$G$5:$G$2736,$F971))</f>
        <v/>
      </c>
    </row>
    <row r="972" customFormat="false" ht="15" hidden="false" customHeight="false" outlineLevel="0" collapsed="false">
      <c r="A972" s="12" t="n">
        <v>969</v>
      </c>
      <c r="B972" s="8" t="s">
        <v>3338</v>
      </c>
      <c r="C972" s="8" t="s">
        <v>3339</v>
      </c>
      <c r="D972" s="11" t="n">
        <v>0.00290277777777778</v>
      </c>
      <c r="E972" s="39" t="n">
        <f aca="false">ROUND((D972-$D$5)*86400,2)</f>
        <v>25.77</v>
      </c>
      <c r="F972" s="12" t="n">
        <v>2158</v>
      </c>
      <c r="G972" s="11" t="str">
        <f aca="false">IF(INDEX(選手一覧!$D$5:$D$2736,$F972)="","",INDEX(選手一覧!$D$5:$D$2736,$F972))</f>
        <v/>
      </c>
      <c r="H972" s="12" t="str">
        <f aca="false">IF(INDEX(選手一覧!$E$5:$E$2736,$F972)="","",INDEX(選手一覧!$E$5:$E$2736,$F972))</f>
        <v/>
      </c>
      <c r="I972" s="11" t="str">
        <f aca="false">IF(INDEX(選手一覧!$F$5:$F$2736,$F972)="","",INDEX(選手一覧!$F$5:$F$2736,$F972))</f>
        <v/>
      </c>
      <c r="J972" s="12" t="str">
        <f aca="false">IF(INDEX(選手一覧!$G$5:$G$2736,$F972)="","",INDEX(選手一覧!$G$5:$G$2736,$F972))</f>
        <v/>
      </c>
    </row>
    <row r="973" customFormat="false" ht="15" hidden="false" customHeight="false" outlineLevel="0" collapsed="false">
      <c r="A973" s="12" t="n">
        <v>970</v>
      </c>
      <c r="B973" s="8" t="s">
        <v>769</v>
      </c>
      <c r="C973" s="8" t="s">
        <v>399</v>
      </c>
      <c r="D973" s="11" t="n">
        <v>0.00290289351851852</v>
      </c>
      <c r="E973" s="39" t="n">
        <f aca="false">ROUND((D973-$D$5)*86400,2)</f>
        <v>25.78</v>
      </c>
      <c r="F973" s="12" t="n">
        <v>433</v>
      </c>
      <c r="G973" s="11" t="n">
        <f aca="false">IF(INDEX(選手一覧!$D$5:$D$2736,$F973)="","",INDEX(選手一覧!$D$5:$D$2736,$F973))</f>
        <v>0.010580787037037</v>
      </c>
      <c r="H973" s="12" t="n">
        <f aca="false">IF(INDEX(選手一覧!$E$5:$E$2736,$F973)="","",INDEX(選手一覧!$E$5:$E$2736,$F973))</f>
        <v>434</v>
      </c>
      <c r="I973" s="11" t="str">
        <f aca="false">IF(INDEX(選手一覧!$F$5:$F$2736,$F973)="","",INDEX(選手一覧!$F$5:$F$2736,$F973))</f>
        <v/>
      </c>
      <c r="J973" s="12" t="str">
        <f aca="false">IF(INDEX(選手一覧!$G$5:$G$2736,$F973)="","",INDEX(選手一覧!$G$5:$G$2736,$F973))</f>
        <v/>
      </c>
    </row>
    <row r="974" customFormat="false" ht="15" hidden="false" customHeight="false" outlineLevel="0" collapsed="false">
      <c r="A974" s="12" t="n">
        <v>971</v>
      </c>
      <c r="B974" s="8" t="s">
        <v>3342</v>
      </c>
      <c r="C974" s="8" t="s">
        <v>2052</v>
      </c>
      <c r="D974" s="11" t="n">
        <v>0.00290289351851852</v>
      </c>
      <c r="E974" s="39" t="n">
        <f aca="false">ROUND((D974-$D$5)*86400,2)</f>
        <v>25.78</v>
      </c>
      <c r="F974" s="12" t="n">
        <v>2160</v>
      </c>
      <c r="G974" s="11" t="str">
        <f aca="false">IF(INDEX(選手一覧!$D$5:$D$2736,$F974)="","",INDEX(選手一覧!$D$5:$D$2736,$F974))</f>
        <v/>
      </c>
      <c r="H974" s="12" t="str">
        <f aca="false">IF(INDEX(選手一覧!$E$5:$E$2736,$F974)="","",INDEX(選手一覧!$E$5:$E$2736,$F974))</f>
        <v/>
      </c>
      <c r="I974" s="11" t="str">
        <f aca="false">IF(INDEX(選手一覧!$F$5:$F$2736,$F974)="","",INDEX(選手一覧!$F$5:$F$2736,$F974))</f>
        <v/>
      </c>
      <c r="J974" s="12" t="str">
        <f aca="false">IF(INDEX(選手一覧!$G$5:$G$2736,$F974)="","",INDEX(選手一覧!$G$5:$G$2736,$F974))</f>
        <v/>
      </c>
    </row>
    <row r="975" customFormat="false" ht="15" hidden="false" customHeight="false" outlineLevel="0" collapsed="false">
      <c r="A975" s="12" t="n">
        <v>972</v>
      </c>
      <c r="B975" s="8" t="s">
        <v>3344</v>
      </c>
      <c r="C975" s="8" t="s">
        <v>592</v>
      </c>
      <c r="D975" s="11" t="n">
        <v>0.00290324074074074</v>
      </c>
      <c r="E975" s="39" t="n">
        <f aca="false">ROUND((D975-$D$5)*86400,2)</f>
        <v>25.81</v>
      </c>
      <c r="F975" s="12" t="n">
        <v>2162</v>
      </c>
      <c r="G975" s="11" t="str">
        <f aca="false">IF(INDEX(選手一覧!$D$5:$D$2736,$F975)="","",INDEX(選手一覧!$D$5:$D$2736,$F975))</f>
        <v/>
      </c>
      <c r="H975" s="12" t="str">
        <f aca="false">IF(INDEX(選手一覧!$E$5:$E$2736,$F975)="","",INDEX(選手一覧!$E$5:$E$2736,$F975))</f>
        <v/>
      </c>
      <c r="I975" s="11" t="str">
        <f aca="false">IF(INDEX(選手一覧!$F$5:$F$2736,$F975)="","",INDEX(選手一覧!$F$5:$F$2736,$F975))</f>
        <v/>
      </c>
      <c r="J975" s="12" t="str">
        <f aca="false">IF(INDEX(選手一覧!$G$5:$G$2736,$F975)="","",INDEX(選手一覧!$G$5:$G$2736,$F975))</f>
        <v/>
      </c>
    </row>
    <row r="976" customFormat="false" ht="15" hidden="false" customHeight="false" outlineLevel="0" collapsed="false">
      <c r="A976" s="12" t="n">
        <v>973</v>
      </c>
      <c r="B976" s="8" t="s">
        <v>3346</v>
      </c>
      <c r="C976" s="8" t="s">
        <v>566</v>
      </c>
      <c r="D976" s="11" t="n">
        <v>0.00290324074074074</v>
      </c>
      <c r="E976" s="39" t="n">
        <f aca="false">ROUND((D976-$D$5)*86400,2)</f>
        <v>25.81</v>
      </c>
      <c r="F976" s="12" t="n">
        <v>2164</v>
      </c>
      <c r="G976" s="11" t="str">
        <f aca="false">IF(INDEX(選手一覧!$D$5:$D$2736,$F976)="","",INDEX(選手一覧!$D$5:$D$2736,$F976))</f>
        <v/>
      </c>
      <c r="H976" s="12" t="str">
        <f aca="false">IF(INDEX(選手一覧!$E$5:$E$2736,$F976)="","",INDEX(選手一覧!$E$5:$E$2736,$F976))</f>
        <v/>
      </c>
      <c r="I976" s="11" t="str">
        <f aca="false">IF(INDEX(選手一覧!$F$5:$F$2736,$F976)="","",INDEX(選手一覧!$F$5:$F$2736,$F976))</f>
        <v/>
      </c>
      <c r="J976" s="12" t="str">
        <f aca="false">IF(INDEX(選手一覧!$G$5:$G$2736,$F976)="","",INDEX(選手一覧!$G$5:$G$2736,$F976))</f>
        <v/>
      </c>
    </row>
    <row r="977" customFormat="false" ht="15" hidden="false" customHeight="false" outlineLevel="0" collapsed="false">
      <c r="A977" s="12" t="n">
        <v>974</v>
      </c>
      <c r="B977" s="8" t="s">
        <v>3348</v>
      </c>
      <c r="C977" s="8" t="s">
        <v>857</v>
      </c>
      <c r="D977" s="11" t="n">
        <v>0.00290335648148148</v>
      </c>
      <c r="E977" s="39" t="n">
        <f aca="false">ROUND((D977-$D$5)*86400,2)</f>
        <v>25.82</v>
      </c>
      <c r="F977" s="12" t="n">
        <v>2166</v>
      </c>
      <c r="G977" s="11" t="str">
        <f aca="false">IF(INDEX(選手一覧!$D$5:$D$2736,$F977)="","",INDEX(選手一覧!$D$5:$D$2736,$F977))</f>
        <v/>
      </c>
      <c r="H977" s="12" t="str">
        <f aca="false">IF(INDEX(選手一覧!$E$5:$E$2736,$F977)="","",INDEX(選手一覧!$E$5:$E$2736,$F977))</f>
        <v/>
      </c>
      <c r="I977" s="11" t="str">
        <f aca="false">IF(INDEX(選手一覧!$F$5:$F$2736,$F977)="","",INDEX(選手一覧!$F$5:$F$2736,$F977))</f>
        <v/>
      </c>
      <c r="J977" s="12" t="str">
        <f aca="false">IF(INDEX(選手一覧!$G$5:$G$2736,$F977)="","",INDEX(選手一覧!$G$5:$G$2736,$F977))</f>
        <v/>
      </c>
    </row>
    <row r="978" customFormat="false" ht="15" hidden="false" customHeight="false" outlineLevel="0" collapsed="false">
      <c r="A978" s="12" t="n">
        <v>975</v>
      </c>
      <c r="B978" s="8" t="s">
        <v>1039</v>
      </c>
      <c r="C978" s="8" t="s">
        <v>1040</v>
      </c>
      <c r="D978" s="11" t="n">
        <v>0.00290347222222222</v>
      </c>
      <c r="E978" s="39" t="n">
        <f aca="false">ROUND((D978-$D$5)*86400,2)</f>
        <v>25.83</v>
      </c>
      <c r="F978" s="12" t="n">
        <v>611</v>
      </c>
      <c r="G978" s="11" t="n">
        <f aca="false">IF(INDEX(選手一覧!$D$5:$D$2736,$F978)="","",INDEX(選手一覧!$D$5:$D$2736,$F978))</f>
        <v>0.010719212962963</v>
      </c>
      <c r="H978" s="12" t="n">
        <f aca="false">IF(INDEX(選手一覧!$E$5:$E$2736,$F978)="","",INDEX(選手一覧!$E$5:$E$2736,$F978))</f>
        <v>612</v>
      </c>
      <c r="I978" s="11" t="str">
        <f aca="false">IF(INDEX(選手一覧!$F$5:$F$2736,$F978)="","",INDEX(選手一覧!$F$5:$F$2736,$F978))</f>
        <v/>
      </c>
      <c r="J978" s="12" t="str">
        <f aca="false">IF(INDEX(選手一覧!$G$5:$G$2736,$F978)="","",INDEX(選手一覧!$G$5:$G$2736,$F978))</f>
        <v/>
      </c>
    </row>
    <row r="979" customFormat="false" ht="15" hidden="false" customHeight="false" outlineLevel="0" collapsed="false">
      <c r="A979" s="12" t="n">
        <v>976</v>
      </c>
      <c r="B979" s="8" t="s">
        <v>1463</v>
      </c>
      <c r="C979" s="8" t="s">
        <v>58</v>
      </c>
      <c r="D979" s="11" t="n">
        <v>0.00290358796296296</v>
      </c>
      <c r="E979" s="39" t="n">
        <f aca="false">ROUND((D979-$D$5)*86400,2)</f>
        <v>25.84</v>
      </c>
      <c r="F979" s="12" t="n">
        <v>891</v>
      </c>
      <c r="G979" s="11" t="n">
        <f aca="false">IF(INDEX(選手一覧!$D$5:$D$2736,$F979)="","",INDEX(選手一覧!$D$5:$D$2736,$F979))</f>
        <v>0.01088125</v>
      </c>
      <c r="H979" s="12" t="n">
        <f aca="false">IF(INDEX(選手一覧!$E$5:$E$2736,$F979)="","",INDEX(選手一覧!$E$5:$E$2736,$F979))</f>
        <v>892</v>
      </c>
      <c r="I979" s="11" t="str">
        <f aca="false">IF(INDEX(選手一覧!$F$5:$F$2736,$F979)="","",INDEX(選手一覧!$F$5:$F$2736,$F979))</f>
        <v/>
      </c>
      <c r="J979" s="12" t="str">
        <f aca="false">IF(INDEX(選手一覧!$G$5:$G$2736,$F979)="","",INDEX(選手一覧!$G$5:$G$2736,$F979))</f>
        <v/>
      </c>
    </row>
    <row r="980" customFormat="false" ht="15" hidden="false" customHeight="false" outlineLevel="0" collapsed="false">
      <c r="A980" s="12" t="n">
        <v>977</v>
      </c>
      <c r="B980" s="8" t="s">
        <v>3353</v>
      </c>
      <c r="C980" s="8" t="s">
        <v>3354</v>
      </c>
      <c r="D980" s="11" t="n">
        <v>0.00290393518518519</v>
      </c>
      <c r="E980" s="39" t="n">
        <f aca="false">ROUND((D980-$D$5)*86400,2)</f>
        <v>25.87</v>
      </c>
      <c r="F980" s="12" t="n">
        <v>2170</v>
      </c>
      <c r="G980" s="11" t="str">
        <f aca="false">IF(INDEX(選手一覧!$D$5:$D$2736,$F980)="","",INDEX(選手一覧!$D$5:$D$2736,$F980))</f>
        <v/>
      </c>
      <c r="H980" s="12" t="str">
        <f aca="false">IF(INDEX(選手一覧!$E$5:$E$2736,$F980)="","",INDEX(選手一覧!$E$5:$E$2736,$F980))</f>
        <v/>
      </c>
      <c r="I980" s="11" t="str">
        <f aca="false">IF(INDEX(選手一覧!$F$5:$F$2736,$F980)="","",INDEX(選手一覧!$F$5:$F$2736,$F980))</f>
        <v/>
      </c>
      <c r="J980" s="12" t="str">
        <f aca="false">IF(INDEX(選手一覧!$G$5:$G$2736,$F980)="","",INDEX(選手一覧!$G$5:$G$2736,$F980))</f>
        <v/>
      </c>
    </row>
    <row r="981" customFormat="false" ht="15" hidden="false" customHeight="false" outlineLevel="0" collapsed="false">
      <c r="A981" s="12" t="n">
        <v>978</v>
      </c>
      <c r="B981" s="8" t="s">
        <v>3356</v>
      </c>
      <c r="C981" s="8" t="s">
        <v>294</v>
      </c>
      <c r="D981" s="11" t="n">
        <v>0.00290405092592593</v>
      </c>
      <c r="E981" s="39" t="n">
        <f aca="false">ROUND((D981-$D$5)*86400,2)</f>
        <v>25.88</v>
      </c>
      <c r="F981" s="12" t="n">
        <v>2172</v>
      </c>
      <c r="G981" s="11" t="str">
        <f aca="false">IF(INDEX(選手一覧!$D$5:$D$2736,$F981)="","",INDEX(選手一覧!$D$5:$D$2736,$F981))</f>
        <v/>
      </c>
      <c r="H981" s="12" t="str">
        <f aca="false">IF(INDEX(選手一覧!$E$5:$E$2736,$F981)="","",INDEX(選手一覧!$E$5:$E$2736,$F981))</f>
        <v/>
      </c>
      <c r="I981" s="11" t="str">
        <f aca="false">IF(INDEX(選手一覧!$F$5:$F$2736,$F981)="","",INDEX(選手一覧!$F$5:$F$2736,$F981))</f>
        <v/>
      </c>
      <c r="J981" s="12" t="str">
        <f aca="false">IF(INDEX(選手一覧!$G$5:$G$2736,$F981)="","",INDEX(選手一覧!$G$5:$G$2736,$F981))</f>
        <v/>
      </c>
    </row>
    <row r="982" customFormat="false" ht="15" hidden="false" customHeight="false" outlineLevel="0" collapsed="false">
      <c r="A982" s="12" t="n">
        <v>979</v>
      </c>
      <c r="B982" s="8" t="s">
        <v>3359</v>
      </c>
      <c r="C982" s="8" t="s">
        <v>3096</v>
      </c>
      <c r="D982" s="11" t="n">
        <v>0.00290405092592593</v>
      </c>
      <c r="E982" s="39" t="n">
        <f aca="false">ROUND((D982-$D$5)*86400,2)</f>
        <v>25.88</v>
      </c>
      <c r="F982" s="12" t="n">
        <v>2174</v>
      </c>
      <c r="G982" s="11" t="str">
        <f aca="false">IF(INDEX(選手一覧!$D$5:$D$2736,$F982)="","",INDEX(選手一覧!$D$5:$D$2736,$F982))</f>
        <v/>
      </c>
      <c r="H982" s="12" t="str">
        <f aca="false">IF(INDEX(選手一覧!$E$5:$E$2736,$F982)="","",INDEX(選手一覧!$E$5:$E$2736,$F982))</f>
        <v/>
      </c>
      <c r="I982" s="11" t="str">
        <f aca="false">IF(INDEX(選手一覧!$F$5:$F$2736,$F982)="","",INDEX(選手一覧!$F$5:$F$2736,$F982))</f>
        <v/>
      </c>
      <c r="J982" s="12" t="str">
        <f aca="false">IF(INDEX(選手一覧!$G$5:$G$2736,$F982)="","",INDEX(選手一覧!$G$5:$G$2736,$F982))</f>
        <v/>
      </c>
    </row>
    <row r="983" customFormat="false" ht="15" hidden="false" customHeight="false" outlineLevel="0" collapsed="false">
      <c r="A983" s="12" t="n">
        <v>980</v>
      </c>
      <c r="B983" s="8" t="s">
        <v>843</v>
      </c>
      <c r="C983" s="8" t="s">
        <v>373</v>
      </c>
      <c r="D983" s="11" t="n">
        <v>0.00290416666666667</v>
      </c>
      <c r="E983" s="39" t="n">
        <f aca="false">ROUND((D983-$D$5)*86400,2)</f>
        <v>25.89</v>
      </c>
      <c r="F983" s="12" t="n">
        <v>483</v>
      </c>
      <c r="G983" s="11" t="n">
        <f aca="false">IF(INDEX(選手一覧!$D$5:$D$2736,$F983)="","",INDEX(選手一覧!$D$5:$D$2736,$F983))</f>
        <v>0.0106134259259259</v>
      </c>
      <c r="H983" s="12" t="n">
        <f aca="false">IF(INDEX(選手一覧!$E$5:$E$2736,$F983)="","",INDEX(選手一覧!$E$5:$E$2736,$F983))</f>
        <v>484</v>
      </c>
      <c r="I983" s="11" t="str">
        <f aca="false">IF(INDEX(選手一覧!$F$5:$F$2736,$F983)="","",INDEX(選手一覧!$F$5:$F$2736,$F983))</f>
        <v/>
      </c>
      <c r="J983" s="12" t="str">
        <f aca="false">IF(INDEX(選手一覧!$G$5:$G$2736,$F983)="","",INDEX(選手一覧!$G$5:$G$2736,$F983))</f>
        <v/>
      </c>
    </row>
    <row r="984" customFormat="false" ht="15" hidden="false" customHeight="false" outlineLevel="0" collapsed="false">
      <c r="A984" s="12" t="n">
        <v>981</v>
      </c>
      <c r="B984" s="8" t="s">
        <v>1519</v>
      </c>
      <c r="C984" s="8" t="s">
        <v>1520</v>
      </c>
      <c r="D984" s="11" t="n">
        <v>0.00290416666666667</v>
      </c>
      <c r="E984" s="39" t="n">
        <f aca="false">ROUND((D984-$D$5)*86400,2)</f>
        <v>25.89</v>
      </c>
      <c r="F984" s="12" t="n">
        <v>928</v>
      </c>
      <c r="G984" s="11" t="n">
        <f aca="false">IF(INDEX(選手一覧!$D$5:$D$2736,$F984)="","",INDEX(選手一覧!$D$5:$D$2736,$F984))</f>
        <v>0.0109052083333333</v>
      </c>
      <c r="H984" s="12" t="n">
        <f aca="false">IF(INDEX(選手一覧!$E$5:$E$2736,$F984)="","",INDEX(選手一覧!$E$5:$E$2736,$F984))</f>
        <v>929</v>
      </c>
      <c r="I984" s="11" t="str">
        <f aca="false">IF(INDEX(選手一覧!$F$5:$F$2736,$F984)="","",INDEX(選手一覧!$F$5:$F$2736,$F984))</f>
        <v/>
      </c>
      <c r="J984" s="12" t="str">
        <f aca="false">IF(INDEX(選手一覧!$G$5:$G$2736,$F984)="","",INDEX(選手一覧!$G$5:$G$2736,$F984))</f>
        <v/>
      </c>
    </row>
    <row r="985" customFormat="false" ht="15" hidden="false" customHeight="false" outlineLevel="0" collapsed="false">
      <c r="A985" s="12" t="n">
        <v>982</v>
      </c>
      <c r="B985" s="8" t="s">
        <v>1420</v>
      </c>
      <c r="C985" s="8" t="s">
        <v>150</v>
      </c>
      <c r="D985" s="11" t="n">
        <v>0.00290486111111111</v>
      </c>
      <c r="E985" s="39" t="n">
        <f aca="false">ROUND((D985-$D$5)*86400,2)</f>
        <v>25.95</v>
      </c>
      <c r="F985" s="12" t="n">
        <v>864</v>
      </c>
      <c r="G985" s="11" t="n">
        <f aca="false">IF(INDEX(選手一覧!$D$5:$D$2736,$F985)="","",INDEX(選手一覧!$D$5:$D$2736,$F985))</f>
        <v>0.0108675925925926</v>
      </c>
      <c r="H985" s="12" t="n">
        <f aca="false">IF(INDEX(選手一覧!$E$5:$E$2736,$F985)="","",INDEX(選手一覧!$E$5:$E$2736,$F985))</f>
        <v>865</v>
      </c>
      <c r="I985" s="11" t="str">
        <f aca="false">IF(INDEX(選手一覧!$F$5:$F$2736,$F985)="","",INDEX(選手一覧!$F$5:$F$2736,$F985))</f>
        <v/>
      </c>
      <c r="J985" s="12" t="str">
        <f aca="false">IF(INDEX(選手一覧!$G$5:$G$2736,$F985)="","",INDEX(選手一覧!$G$5:$G$2736,$F985))</f>
        <v/>
      </c>
    </row>
    <row r="986" customFormat="false" ht="15" hidden="false" customHeight="false" outlineLevel="0" collapsed="false">
      <c r="A986" s="12" t="n">
        <v>983</v>
      </c>
      <c r="B986" s="8" t="s">
        <v>634</v>
      </c>
      <c r="C986" s="8" t="s">
        <v>568</v>
      </c>
      <c r="D986" s="11" t="n">
        <v>0.00290497685185185</v>
      </c>
      <c r="E986" s="39" t="n">
        <f aca="false">ROUND((D986-$D$5)*86400,2)</f>
        <v>25.96</v>
      </c>
      <c r="F986" s="12" t="n">
        <v>348</v>
      </c>
      <c r="G986" s="11" t="n">
        <f aca="false">IF(INDEX(選手一覧!$D$5:$D$2736,$F986)="","",INDEX(選手一覧!$D$5:$D$2736,$F986))</f>
        <v>0.0105109953703704</v>
      </c>
      <c r="H986" s="12" t="n">
        <f aca="false">IF(INDEX(選手一覧!$E$5:$E$2736,$F986)="","",INDEX(選手一覧!$E$5:$E$2736,$F986))</f>
        <v>349</v>
      </c>
      <c r="I986" s="11" t="str">
        <f aca="false">IF(INDEX(選手一覧!$F$5:$F$2736,$F986)="","",INDEX(選手一覧!$F$5:$F$2736,$F986))</f>
        <v/>
      </c>
      <c r="J986" s="12" t="str">
        <f aca="false">IF(INDEX(選手一覧!$G$5:$G$2736,$F986)="","",INDEX(選手一覧!$G$5:$G$2736,$F986))</f>
        <v/>
      </c>
    </row>
    <row r="987" customFormat="false" ht="15" hidden="false" customHeight="false" outlineLevel="0" collapsed="false">
      <c r="A987" s="12" t="n">
        <v>984</v>
      </c>
      <c r="B987" s="8" t="s">
        <v>2424</v>
      </c>
      <c r="C987" s="8" t="s">
        <v>1205</v>
      </c>
      <c r="D987" s="11" t="n">
        <v>0.00290520833333333</v>
      </c>
      <c r="E987" s="39" t="n">
        <f aca="false">ROUND((D987-$D$5)*86400,2)</f>
        <v>25.98</v>
      </c>
      <c r="F987" s="12" t="n">
        <v>1553</v>
      </c>
      <c r="G987" s="11" t="str">
        <f aca="false">IF(INDEX(選手一覧!$D$5:$D$2736,$F987)="","",INDEX(選手一覧!$D$5:$D$2736,$F987))</f>
        <v/>
      </c>
      <c r="H987" s="12" t="str">
        <f aca="false">IF(INDEX(選手一覧!$E$5:$E$2736,$F987)="","",INDEX(選手一覧!$E$5:$E$2736,$F987))</f>
        <v/>
      </c>
      <c r="I987" s="11" t="n">
        <f aca="false">IF(INDEX(選手一覧!$F$5:$F$2736,$F987)="","",INDEX(選手一覧!$F$5:$F$2736,$F987))</f>
        <v>0.00711643518518519</v>
      </c>
      <c r="J987" s="12" t="n">
        <f aca="false">IF(INDEX(選手一覧!$G$5:$G$2736,$F987)="","",INDEX(選手一覧!$G$5:$G$2736,$F987))</f>
        <v>461</v>
      </c>
    </row>
    <row r="988" customFormat="false" ht="15" hidden="false" customHeight="false" outlineLevel="0" collapsed="false">
      <c r="A988" s="12" t="n">
        <v>985</v>
      </c>
      <c r="B988" s="8" t="s">
        <v>1442</v>
      </c>
      <c r="C988" s="8" t="s">
        <v>1443</v>
      </c>
      <c r="D988" s="11" t="n">
        <v>0.00290520833333333</v>
      </c>
      <c r="E988" s="39" t="n">
        <f aca="false">ROUND((D988-$D$5)*86400,2)</f>
        <v>25.98</v>
      </c>
      <c r="F988" s="12" t="n">
        <v>879</v>
      </c>
      <c r="G988" s="11" t="n">
        <f aca="false">IF(INDEX(選手一覧!$D$5:$D$2736,$F988)="","",INDEX(選手一覧!$D$5:$D$2736,$F988))</f>
        <v>0.0108746527777778</v>
      </c>
      <c r="H988" s="12" t="n">
        <f aca="false">IF(INDEX(選手一覧!$E$5:$E$2736,$F988)="","",INDEX(選手一覧!$E$5:$E$2736,$F988))</f>
        <v>880</v>
      </c>
      <c r="I988" s="11" t="str">
        <f aca="false">IF(INDEX(選手一覧!$F$5:$F$2736,$F988)="","",INDEX(選手一覧!$F$5:$F$2736,$F988))</f>
        <v/>
      </c>
      <c r="J988" s="12" t="str">
        <f aca="false">IF(INDEX(選手一覧!$G$5:$G$2736,$F988)="","",INDEX(選手一覧!$G$5:$G$2736,$F988))</f>
        <v/>
      </c>
    </row>
    <row r="989" customFormat="false" ht="15" hidden="false" customHeight="false" outlineLevel="0" collapsed="false">
      <c r="A989" s="12" t="n">
        <v>986</v>
      </c>
      <c r="B989" s="8" t="s">
        <v>386</v>
      </c>
      <c r="C989" s="8" t="s">
        <v>120</v>
      </c>
      <c r="D989" s="11" t="n">
        <v>0.00290543981481482</v>
      </c>
      <c r="E989" s="39" t="n">
        <f aca="false">ROUND((D989-$D$5)*86400,2)</f>
        <v>26</v>
      </c>
      <c r="F989" s="12" t="n">
        <v>195</v>
      </c>
      <c r="G989" s="11" t="n">
        <f aca="false">IF(INDEX(選手一覧!$D$5:$D$2736,$F989)="","",INDEX(選手一覧!$D$5:$D$2736,$F989))</f>
        <v>0.0103417824074074</v>
      </c>
      <c r="H989" s="12" t="n">
        <f aca="false">IF(INDEX(選手一覧!$E$5:$E$2736,$F989)="","",INDEX(選手一覧!$E$5:$E$2736,$F989))</f>
        <v>196</v>
      </c>
      <c r="I989" s="11" t="str">
        <f aca="false">IF(INDEX(選手一覧!$F$5:$F$2736,$F989)="","",INDEX(選手一覧!$F$5:$F$2736,$F989))</f>
        <v/>
      </c>
      <c r="J989" s="12" t="str">
        <f aca="false">IF(INDEX(選手一覧!$G$5:$G$2736,$F989)="","",INDEX(選手一覧!$G$5:$G$2736,$F989))</f>
        <v/>
      </c>
    </row>
    <row r="990" customFormat="false" ht="15" hidden="false" customHeight="false" outlineLevel="0" collapsed="false">
      <c r="A990" s="12" t="n">
        <v>987</v>
      </c>
      <c r="B990" s="8" t="s">
        <v>3369</v>
      </c>
      <c r="C990" s="8" t="s">
        <v>2271</v>
      </c>
      <c r="D990" s="11" t="n">
        <v>0.00290543981481482</v>
      </c>
      <c r="E990" s="39" t="n">
        <f aca="false">ROUND((D990-$D$5)*86400,2)</f>
        <v>26</v>
      </c>
      <c r="F990" s="12" t="n">
        <v>2182</v>
      </c>
      <c r="G990" s="11" t="str">
        <f aca="false">IF(INDEX(選手一覧!$D$5:$D$2736,$F990)="","",INDEX(選手一覧!$D$5:$D$2736,$F990))</f>
        <v/>
      </c>
      <c r="H990" s="12" t="str">
        <f aca="false">IF(INDEX(選手一覧!$E$5:$E$2736,$F990)="","",INDEX(選手一覧!$E$5:$E$2736,$F990))</f>
        <v/>
      </c>
      <c r="I990" s="11" t="str">
        <f aca="false">IF(INDEX(選手一覧!$F$5:$F$2736,$F990)="","",INDEX(選手一覧!$F$5:$F$2736,$F990))</f>
        <v/>
      </c>
      <c r="J990" s="12" t="str">
        <f aca="false">IF(INDEX(選手一覧!$G$5:$G$2736,$F990)="","",INDEX(選手一覧!$G$5:$G$2736,$F990))</f>
        <v/>
      </c>
    </row>
    <row r="991" customFormat="false" ht="15" hidden="false" customHeight="false" outlineLevel="0" collapsed="false">
      <c r="A991" s="12" t="n">
        <v>988</v>
      </c>
      <c r="B991" s="8" t="s">
        <v>1207</v>
      </c>
      <c r="C991" s="8" t="s">
        <v>113</v>
      </c>
      <c r="D991" s="11" t="n">
        <v>0.00290555555555556</v>
      </c>
      <c r="E991" s="39" t="n">
        <f aca="false">ROUND((D991-$D$5)*86400,2)</f>
        <v>26.01</v>
      </c>
      <c r="F991" s="12" t="n">
        <v>722</v>
      </c>
      <c r="G991" s="11" t="n">
        <f aca="false">IF(INDEX(選手一覧!$D$5:$D$2736,$F991)="","",INDEX(選手一覧!$D$5:$D$2736,$F991))</f>
        <v>0.0107907407407407</v>
      </c>
      <c r="H991" s="12" t="n">
        <f aca="false">IF(INDEX(選手一覧!$E$5:$E$2736,$F991)="","",INDEX(選手一覧!$E$5:$E$2736,$F991))</f>
        <v>723</v>
      </c>
      <c r="I991" s="11" t="str">
        <f aca="false">IF(INDEX(選手一覧!$F$5:$F$2736,$F991)="","",INDEX(選手一覧!$F$5:$F$2736,$F991))</f>
        <v/>
      </c>
      <c r="J991" s="12" t="str">
        <f aca="false">IF(INDEX(選手一覧!$G$5:$G$2736,$F991)="","",INDEX(選手一覧!$G$5:$G$2736,$F991))</f>
        <v/>
      </c>
    </row>
    <row r="992" customFormat="false" ht="15" hidden="false" customHeight="false" outlineLevel="0" collapsed="false">
      <c r="A992" s="12" t="n">
        <v>989</v>
      </c>
      <c r="B992" s="8" t="s">
        <v>3374</v>
      </c>
      <c r="C992" s="8" t="s">
        <v>3375</v>
      </c>
      <c r="D992" s="11" t="n">
        <v>0.00290601851851852</v>
      </c>
      <c r="E992" s="39" t="n">
        <f aca="false">ROUND((D992-$D$5)*86400,2)</f>
        <v>26.05</v>
      </c>
      <c r="F992" s="12" t="n">
        <v>2185</v>
      </c>
      <c r="G992" s="11" t="str">
        <f aca="false">IF(INDEX(選手一覧!$D$5:$D$2736,$F992)="","",INDEX(選手一覧!$D$5:$D$2736,$F992))</f>
        <v/>
      </c>
      <c r="H992" s="12" t="str">
        <f aca="false">IF(INDEX(選手一覧!$E$5:$E$2736,$F992)="","",INDEX(選手一覧!$E$5:$E$2736,$F992))</f>
        <v/>
      </c>
      <c r="I992" s="11" t="str">
        <f aca="false">IF(INDEX(選手一覧!$F$5:$F$2736,$F992)="","",INDEX(選手一覧!$F$5:$F$2736,$F992))</f>
        <v/>
      </c>
      <c r="J992" s="12" t="str">
        <f aca="false">IF(INDEX(選手一覧!$G$5:$G$2736,$F992)="","",INDEX(選手一覧!$G$5:$G$2736,$F992))</f>
        <v/>
      </c>
    </row>
    <row r="993" customFormat="false" ht="15" hidden="false" customHeight="false" outlineLevel="0" collapsed="false">
      <c r="A993" s="12" t="n">
        <v>990</v>
      </c>
      <c r="B993" s="8" t="s">
        <v>1542</v>
      </c>
      <c r="C993" s="8" t="s">
        <v>1224</v>
      </c>
      <c r="D993" s="11" t="n">
        <v>0.00290625</v>
      </c>
      <c r="E993" s="39" t="n">
        <f aca="false">ROUND((D993-$D$5)*86400,2)</f>
        <v>26.07</v>
      </c>
      <c r="F993" s="12" t="n">
        <v>946</v>
      </c>
      <c r="G993" s="11" t="n">
        <f aca="false">IF(INDEX(選手一覧!$D$5:$D$2736,$F993)="","",INDEX(選手一覧!$D$5:$D$2736,$F993))</f>
        <v>0.0109165509259259</v>
      </c>
      <c r="H993" s="12" t="n">
        <f aca="false">IF(INDEX(選手一覧!$E$5:$E$2736,$F993)="","",INDEX(選手一覧!$E$5:$E$2736,$F993))</f>
        <v>947</v>
      </c>
      <c r="I993" s="11" t="n">
        <f aca="false">IF(INDEX(選手一覧!$F$5:$F$2736,$F993)="","",INDEX(選手一覧!$F$5:$F$2736,$F993))</f>
        <v>0.00716053240740741</v>
      </c>
      <c r="J993" s="12" t="n">
        <f aca="false">IF(INDEX(選手一覧!$G$5:$G$2736,$F993)="","",INDEX(選手一覧!$G$5:$G$2736,$F993))</f>
        <v>495</v>
      </c>
    </row>
    <row r="994" customFormat="false" ht="15" hidden="false" customHeight="false" outlineLevel="0" collapsed="false">
      <c r="A994" s="12" t="n">
        <v>991</v>
      </c>
      <c r="B994" s="8" t="s">
        <v>1428</v>
      </c>
      <c r="C994" s="8" t="s">
        <v>259</v>
      </c>
      <c r="D994" s="11" t="n">
        <v>0.00290625</v>
      </c>
      <c r="E994" s="39" t="n">
        <f aca="false">ROUND((D994-$D$5)*86400,2)</f>
        <v>26.07</v>
      </c>
      <c r="F994" s="12" t="n">
        <v>869</v>
      </c>
      <c r="G994" s="11" t="n">
        <f aca="false">IF(INDEX(選手一覧!$D$5:$D$2736,$F994)="","",INDEX(選手一覧!$D$5:$D$2736,$F994))</f>
        <v>0.0108693287037037</v>
      </c>
      <c r="H994" s="12" t="n">
        <f aca="false">IF(INDEX(選手一覧!$E$5:$E$2736,$F994)="","",INDEX(選手一覧!$E$5:$E$2736,$F994))</f>
        <v>870</v>
      </c>
      <c r="I994" s="11" t="str">
        <f aca="false">IF(INDEX(選手一覧!$F$5:$F$2736,$F994)="","",INDEX(選手一覧!$F$5:$F$2736,$F994))</f>
        <v/>
      </c>
      <c r="J994" s="12" t="str">
        <f aca="false">IF(INDEX(選手一覧!$G$5:$G$2736,$F994)="","",INDEX(選手一覧!$G$5:$G$2736,$F994))</f>
        <v/>
      </c>
    </row>
    <row r="995" customFormat="false" ht="15" hidden="false" customHeight="false" outlineLevel="0" collapsed="false">
      <c r="A995" s="12" t="n">
        <v>992</v>
      </c>
      <c r="B995" s="8" t="s">
        <v>804</v>
      </c>
      <c r="C995" s="8" t="s">
        <v>18</v>
      </c>
      <c r="D995" s="11" t="n">
        <v>0.00290636574074074</v>
      </c>
      <c r="E995" s="39" t="n">
        <f aca="false">ROUND((D995-$D$5)*86400,2)</f>
        <v>26.08</v>
      </c>
      <c r="F995" s="12" t="n">
        <v>458</v>
      </c>
      <c r="G995" s="11" t="n">
        <f aca="false">IF(INDEX(選手一覧!$D$5:$D$2736,$F995)="","",INDEX(選手一覧!$D$5:$D$2736,$F995))</f>
        <v>0.0105923611111111</v>
      </c>
      <c r="H995" s="12" t="n">
        <f aca="false">IF(INDEX(選手一覧!$E$5:$E$2736,$F995)="","",INDEX(選手一覧!$E$5:$E$2736,$F995))</f>
        <v>459</v>
      </c>
      <c r="I995" s="11" t="str">
        <f aca="false">IF(INDEX(選手一覧!$F$5:$F$2736,$F995)="","",INDEX(選手一覧!$F$5:$F$2736,$F995))</f>
        <v/>
      </c>
      <c r="J995" s="12" t="str">
        <f aca="false">IF(INDEX(選手一覧!$G$5:$G$2736,$F995)="","",INDEX(選手一覧!$G$5:$G$2736,$F995))</f>
        <v/>
      </c>
    </row>
    <row r="996" customFormat="false" ht="15" hidden="false" customHeight="false" outlineLevel="0" collapsed="false">
      <c r="A996" s="12" t="n">
        <v>993</v>
      </c>
      <c r="B996" s="8" t="s">
        <v>1990</v>
      </c>
      <c r="C996" s="8" t="s">
        <v>1327</v>
      </c>
      <c r="D996" s="11" t="n">
        <v>0.00290636574074074</v>
      </c>
      <c r="E996" s="39" t="n">
        <f aca="false">ROUND((D996-$D$5)*86400,2)</f>
        <v>26.08</v>
      </c>
      <c r="F996" s="12" t="n">
        <v>1254</v>
      </c>
      <c r="G996" s="11" t="n">
        <f aca="false">IF(INDEX(選手一覧!$D$5:$D$2736,$F996)="","",INDEX(選手一覧!$D$5:$D$2736,$F996))</f>
        <v>0.0110810185185185</v>
      </c>
      <c r="H996" s="12" t="n">
        <f aca="false">IF(INDEX(選手一覧!$E$5:$E$2736,$F996)="","",INDEX(選手一覧!$E$5:$E$2736,$F996))</f>
        <v>1255</v>
      </c>
      <c r="I996" s="11" t="n">
        <f aca="false">IF(INDEX(選手一覧!$F$5:$F$2736,$F996)="","",INDEX(選手一覧!$F$5:$F$2736,$F996))</f>
        <v>0.00678206018518519</v>
      </c>
      <c r="J996" s="12" t="n">
        <f aca="false">IF(INDEX(選手一覧!$G$5:$G$2736,$F996)="","",INDEX(選手一覧!$G$5:$G$2736,$F996))</f>
        <v>157</v>
      </c>
    </row>
    <row r="997" customFormat="false" ht="15" hidden="false" customHeight="false" outlineLevel="0" collapsed="false">
      <c r="A997" s="12" t="n">
        <v>994</v>
      </c>
      <c r="B997" s="8" t="s">
        <v>3386</v>
      </c>
      <c r="C997" s="8" t="s">
        <v>3387</v>
      </c>
      <c r="D997" s="11" t="n">
        <v>0.00290659722222222</v>
      </c>
      <c r="E997" s="39" t="n">
        <f aca="false">ROUND((D997-$D$5)*86400,2)</f>
        <v>26.1</v>
      </c>
      <c r="F997" s="12" t="n">
        <v>2191</v>
      </c>
      <c r="G997" s="11" t="str">
        <f aca="false">IF(INDEX(選手一覧!$D$5:$D$2736,$F997)="","",INDEX(選手一覧!$D$5:$D$2736,$F997))</f>
        <v/>
      </c>
      <c r="H997" s="12" t="str">
        <f aca="false">IF(INDEX(選手一覧!$E$5:$E$2736,$F997)="","",INDEX(選手一覧!$E$5:$E$2736,$F997))</f>
        <v/>
      </c>
      <c r="I997" s="11" t="str">
        <f aca="false">IF(INDEX(選手一覧!$F$5:$F$2736,$F997)="","",INDEX(選手一覧!$F$5:$F$2736,$F997))</f>
        <v/>
      </c>
      <c r="J997" s="12" t="str">
        <f aca="false">IF(INDEX(選手一覧!$G$5:$G$2736,$F997)="","",INDEX(選手一覧!$G$5:$G$2736,$F997))</f>
        <v/>
      </c>
    </row>
    <row r="998" customFormat="false" ht="15" hidden="false" customHeight="false" outlineLevel="0" collapsed="false">
      <c r="A998" s="12" t="n">
        <v>995</v>
      </c>
      <c r="B998" s="8" t="s">
        <v>2855</v>
      </c>
      <c r="C998" s="8" t="s">
        <v>1062</v>
      </c>
      <c r="D998" s="11" t="n">
        <v>0.00290729166666667</v>
      </c>
      <c r="E998" s="39" t="n">
        <f aca="false">ROUND((D998-$D$5)*86400,2)</f>
        <v>26.16</v>
      </c>
      <c r="F998" s="12" t="n">
        <v>1836</v>
      </c>
      <c r="G998" s="11" t="str">
        <f aca="false">IF(INDEX(選手一覧!$D$5:$D$2736,$F998)="","",INDEX(選手一覧!$D$5:$D$2736,$F998))</f>
        <v/>
      </c>
      <c r="H998" s="12" t="str">
        <f aca="false">IF(INDEX(選手一覧!$E$5:$E$2736,$F998)="","",INDEX(選手一覧!$E$5:$E$2736,$F998))</f>
        <v/>
      </c>
      <c r="I998" s="11" t="n">
        <f aca="false">IF(INDEX(選手一覧!$F$5:$F$2736,$F998)="","",INDEX(選手一覧!$F$5:$F$2736,$F998))</f>
        <v>0.00736446759259259</v>
      </c>
      <c r="J998" s="12" t="n">
        <f aca="false">IF(INDEX(選手一覧!$G$5:$G$2736,$F998)="","",INDEX(選手一覧!$G$5:$G$2736,$F998))</f>
        <v>727</v>
      </c>
    </row>
    <row r="999" customFormat="false" ht="15" hidden="false" customHeight="false" outlineLevel="0" collapsed="false">
      <c r="A999" s="12" t="n">
        <v>996</v>
      </c>
      <c r="B999" s="8" t="s">
        <v>1436</v>
      </c>
      <c r="C999" s="8" t="s">
        <v>238</v>
      </c>
      <c r="D999" s="11" t="n">
        <v>0.00290752314814815</v>
      </c>
      <c r="E999" s="39" t="n">
        <f aca="false">ROUND((D999-$D$5)*86400,2)</f>
        <v>26.18</v>
      </c>
      <c r="F999" s="12" t="n">
        <v>875</v>
      </c>
      <c r="G999" s="11" t="n">
        <f aca="false">IF(INDEX(選手一覧!$D$5:$D$2736,$F999)="","",INDEX(選手一覧!$D$5:$D$2736,$F999))</f>
        <v>0.0108732638888889</v>
      </c>
      <c r="H999" s="12" t="n">
        <f aca="false">IF(INDEX(選手一覧!$E$5:$E$2736,$F999)="","",INDEX(選手一覧!$E$5:$E$2736,$F999))</f>
        <v>876</v>
      </c>
      <c r="I999" s="11" t="str">
        <f aca="false">IF(INDEX(選手一覧!$F$5:$F$2736,$F999)="","",INDEX(選手一覧!$F$5:$F$2736,$F999))</f>
        <v/>
      </c>
      <c r="J999" s="12" t="str">
        <f aca="false">IF(INDEX(選手一覧!$G$5:$G$2736,$F999)="","",INDEX(選手一覧!$G$5:$G$2736,$F999))</f>
        <v/>
      </c>
    </row>
    <row r="1000" customFormat="false" ht="15" hidden="false" customHeight="false" outlineLevel="0" collapsed="false">
      <c r="A1000" s="12" t="n">
        <v>997</v>
      </c>
      <c r="B1000" s="8" t="s">
        <v>1361</v>
      </c>
      <c r="C1000" s="8" t="s">
        <v>940</v>
      </c>
      <c r="D1000" s="11" t="n">
        <v>0.00290763888888889</v>
      </c>
      <c r="E1000" s="39" t="n">
        <f aca="false">ROUND((D1000-$D$5)*86400,2)</f>
        <v>26.19</v>
      </c>
      <c r="F1000" s="12" t="n">
        <v>826</v>
      </c>
      <c r="G1000" s="11" t="n">
        <f aca="false">IF(INDEX(選手一覧!$D$5:$D$2736,$F1000)="","",INDEX(選手一覧!$D$5:$D$2736,$F1000))</f>
        <v>0.010846412037037</v>
      </c>
      <c r="H1000" s="12" t="n">
        <f aca="false">IF(INDEX(選手一覧!$E$5:$E$2736,$F1000)="","",INDEX(選手一覧!$E$5:$E$2736,$F1000))</f>
        <v>827</v>
      </c>
      <c r="I1000" s="11" t="n">
        <f aca="false">IF(INDEX(選手一覧!$F$5:$F$2736,$F1000)="","",INDEX(選手一覧!$F$5:$F$2736,$F1000))</f>
        <v>0.0066087962962963</v>
      </c>
      <c r="J1000" s="12" t="n">
        <f aca="false">IF(INDEX(選手一覧!$G$5:$G$2736,$F1000)="","",INDEX(選手一覧!$G$5:$G$2736,$F1000))</f>
        <v>69</v>
      </c>
    </row>
    <row r="1001" customFormat="false" ht="15" hidden="false" customHeight="false" outlineLevel="0" collapsed="false">
      <c r="A1001" s="12" t="n">
        <v>998</v>
      </c>
      <c r="B1001" s="8" t="s">
        <v>1631</v>
      </c>
      <c r="C1001" s="8" t="s">
        <v>1632</v>
      </c>
      <c r="D1001" s="11" t="n">
        <v>0.00290775462962963</v>
      </c>
      <c r="E1001" s="39" t="n">
        <f aca="false">ROUND((D1001-$D$5)*86400,2)</f>
        <v>26.2</v>
      </c>
      <c r="F1001" s="12" t="n">
        <v>1008</v>
      </c>
      <c r="G1001" s="11" t="n">
        <f aca="false">IF(INDEX(選手一覧!$D$5:$D$2736,$F1001)="","",INDEX(選手一覧!$D$5:$D$2736,$F1001))</f>
        <v>0.0109534722222222</v>
      </c>
      <c r="H1001" s="12" t="n">
        <f aca="false">IF(INDEX(選手一覧!$E$5:$E$2736,$F1001)="","",INDEX(選手一覧!$E$5:$E$2736,$F1001))</f>
        <v>1009</v>
      </c>
      <c r="I1001" s="11" t="str">
        <f aca="false">IF(INDEX(選手一覧!$F$5:$F$2736,$F1001)="","",INDEX(選手一覧!$F$5:$F$2736,$F1001))</f>
        <v/>
      </c>
      <c r="J1001" s="12" t="str">
        <f aca="false">IF(INDEX(選手一覧!$G$5:$G$2736,$F1001)="","",INDEX(選手一覧!$G$5:$G$2736,$F1001))</f>
        <v/>
      </c>
    </row>
    <row r="1002" customFormat="false" ht="15" hidden="false" customHeight="false" outlineLevel="0" collapsed="false">
      <c r="A1002" s="12" t="n">
        <v>999</v>
      </c>
      <c r="B1002" s="8" t="s">
        <v>732</v>
      </c>
      <c r="C1002" s="8" t="s">
        <v>120</v>
      </c>
      <c r="D1002" s="11" t="n">
        <v>0.00290775462962963</v>
      </c>
      <c r="E1002" s="39" t="n">
        <f aca="false">ROUND((D1002-$D$5)*86400,2)</f>
        <v>26.2</v>
      </c>
      <c r="F1002" s="12" t="n">
        <v>410</v>
      </c>
      <c r="G1002" s="11" t="n">
        <f aca="false">IF(INDEX(選手一覧!$D$5:$D$2736,$F1002)="","",INDEX(選手一覧!$D$5:$D$2736,$F1002))</f>
        <v>0.0105601851851852</v>
      </c>
      <c r="H1002" s="12" t="n">
        <f aca="false">IF(INDEX(選手一覧!$E$5:$E$2736,$F1002)="","",INDEX(選手一覧!$E$5:$E$2736,$F1002))</f>
        <v>411</v>
      </c>
      <c r="I1002" s="11" t="n">
        <f aca="false">IF(INDEX(選手一覧!$F$5:$F$2736,$F1002)="","",INDEX(選手一覧!$F$5:$F$2736,$F1002))</f>
        <v>0.00656631944444445</v>
      </c>
      <c r="J1002" s="12" t="n">
        <f aca="false">IF(INDEX(選手一覧!$G$5:$G$2736,$F1002)="","",INDEX(選手一覧!$G$5:$G$2736,$F1002))</f>
        <v>54</v>
      </c>
    </row>
    <row r="1003" customFormat="false" ht="15" hidden="false" customHeight="false" outlineLevel="0" collapsed="false">
      <c r="A1003" s="12" t="n">
        <v>1000</v>
      </c>
      <c r="B1003" s="8" t="s">
        <v>1095</v>
      </c>
      <c r="C1003" s="8" t="s">
        <v>296</v>
      </c>
      <c r="D1003" s="11" t="n">
        <v>0.00290787037037037</v>
      </c>
      <c r="E1003" s="39" t="n">
        <f aca="false">ROUND((D1003-$D$5)*86400,2)</f>
        <v>26.21</v>
      </c>
      <c r="F1003" s="12" t="n">
        <v>652</v>
      </c>
      <c r="G1003" s="11" t="n">
        <f aca="false">IF(INDEX(選手一覧!$D$5:$D$2736,$F1003)="","",INDEX(選手一覧!$D$5:$D$2736,$F1003))</f>
        <v>0.010740625</v>
      </c>
      <c r="H1003" s="12" t="n">
        <f aca="false">IF(INDEX(選手一覧!$E$5:$E$2736,$F1003)="","",INDEX(選手一覧!$E$5:$E$2736,$F1003))</f>
        <v>653</v>
      </c>
      <c r="I1003" s="11" t="str">
        <f aca="false">IF(INDEX(選手一覧!$F$5:$F$2736,$F1003)="","",INDEX(選手一覧!$F$5:$F$2736,$F1003))</f>
        <v/>
      </c>
      <c r="J1003" s="12" t="str">
        <f aca="false">IF(INDEX(選手一覧!$G$5:$G$2736,$F1003)="","",INDEX(選手一覧!$G$5:$G$2736,$F1003))</f>
        <v/>
      </c>
    </row>
    <row r="1004" customFormat="false" ht="15" hidden="false" customHeight="false" outlineLevel="0" collapsed="false">
      <c r="A1004" s="12" t="n">
        <v>1001</v>
      </c>
      <c r="B1004" s="8" t="s">
        <v>3396</v>
      </c>
      <c r="C1004" s="8" t="s">
        <v>3397</v>
      </c>
      <c r="D1004" s="11" t="n">
        <v>0.00290798611111111</v>
      </c>
      <c r="E1004" s="39" t="n">
        <f aca="false">ROUND((D1004-$D$5)*86400,2)</f>
        <v>26.22</v>
      </c>
      <c r="F1004" s="12" t="n">
        <v>2199</v>
      </c>
      <c r="G1004" s="11" t="str">
        <f aca="false">IF(INDEX(選手一覧!$D$5:$D$2736,$F1004)="","",INDEX(選手一覧!$D$5:$D$2736,$F1004))</f>
        <v/>
      </c>
      <c r="H1004" s="12" t="str">
        <f aca="false">IF(INDEX(選手一覧!$E$5:$E$2736,$F1004)="","",INDEX(選手一覧!$E$5:$E$2736,$F1004))</f>
        <v/>
      </c>
      <c r="I1004" s="11" t="str">
        <f aca="false">IF(INDEX(選手一覧!$F$5:$F$2736,$F1004)="","",INDEX(選手一覧!$F$5:$F$2736,$F1004))</f>
        <v/>
      </c>
      <c r="J1004" s="12" t="str">
        <f aca="false">IF(INDEX(選手一覧!$G$5:$G$2736,$F1004)="","",INDEX(選手一覧!$G$5:$G$2736,$F1004))</f>
        <v/>
      </c>
    </row>
    <row r="1005" customFormat="false" ht="15" hidden="false" customHeight="false" outlineLevel="0" collapsed="false">
      <c r="A1005" s="12" t="n">
        <v>1002</v>
      </c>
      <c r="B1005" s="8" t="s">
        <v>3399</v>
      </c>
      <c r="C1005" s="8" t="s">
        <v>932</v>
      </c>
      <c r="D1005" s="11" t="n">
        <v>0.00290821759259259</v>
      </c>
      <c r="E1005" s="39" t="n">
        <f aca="false">ROUND((D1005-$D$5)*86400,2)</f>
        <v>26.24</v>
      </c>
      <c r="F1005" s="12" t="n">
        <v>2201</v>
      </c>
      <c r="G1005" s="11" t="str">
        <f aca="false">IF(INDEX(選手一覧!$D$5:$D$2736,$F1005)="","",INDEX(選手一覧!$D$5:$D$2736,$F1005))</f>
        <v/>
      </c>
      <c r="H1005" s="12" t="str">
        <f aca="false">IF(INDEX(選手一覧!$E$5:$E$2736,$F1005)="","",INDEX(選手一覧!$E$5:$E$2736,$F1005))</f>
        <v/>
      </c>
      <c r="I1005" s="11" t="str">
        <f aca="false">IF(INDEX(選手一覧!$F$5:$F$2736,$F1005)="","",INDEX(選手一覧!$F$5:$F$2736,$F1005))</f>
        <v/>
      </c>
      <c r="J1005" s="12" t="str">
        <f aca="false">IF(INDEX(選手一覧!$G$5:$G$2736,$F1005)="","",INDEX(選手一覧!$G$5:$G$2736,$F1005))</f>
        <v/>
      </c>
    </row>
    <row r="1006" customFormat="false" ht="15" hidden="false" customHeight="false" outlineLevel="0" collapsed="false">
      <c r="A1006" s="12" t="n">
        <v>1003</v>
      </c>
      <c r="B1006" s="8" t="s">
        <v>875</v>
      </c>
      <c r="C1006" s="8" t="s">
        <v>246</v>
      </c>
      <c r="D1006" s="11" t="n">
        <v>0.00290821759259259</v>
      </c>
      <c r="E1006" s="39" t="n">
        <f aca="false">ROUND((D1006-$D$5)*86400,2)</f>
        <v>26.24</v>
      </c>
      <c r="F1006" s="12" t="n">
        <v>502</v>
      </c>
      <c r="G1006" s="11" t="n">
        <f aca="false">IF(INDEX(選手一覧!$D$5:$D$2736,$F1006)="","",INDEX(選手一覧!$D$5:$D$2736,$F1006))</f>
        <v>0.0106248842592593</v>
      </c>
      <c r="H1006" s="12" t="n">
        <f aca="false">IF(INDEX(選手一覧!$E$5:$E$2736,$F1006)="","",INDEX(選手一覧!$E$5:$E$2736,$F1006))</f>
        <v>503</v>
      </c>
      <c r="I1006" s="11" t="str">
        <f aca="false">IF(INDEX(選手一覧!$F$5:$F$2736,$F1006)="","",INDEX(選手一覧!$F$5:$F$2736,$F1006))</f>
        <v/>
      </c>
      <c r="J1006" s="12" t="str">
        <f aca="false">IF(INDEX(選手一覧!$G$5:$G$2736,$F1006)="","",INDEX(選手一覧!$G$5:$G$2736,$F1006))</f>
        <v/>
      </c>
    </row>
    <row r="1007" customFormat="false" ht="15" hidden="false" customHeight="false" outlineLevel="0" collapsed="false">
      <c r="A1007" s="12" t="n">
        <v>1004</v>
      </c>
      <c r="B1007" s="8" t="s">
        <v>3404</v>
      </c>
      <c r="C1007" s="8" t="s">
        <v>3405</v>
      </c>
      <c r="D1007" s="11" t="n">
        <v>0.00290833333333333</v>
      </c>
      <c r="E1007" s="39" t="n">
        <f aca="false">ROUND((D1007-$D$5)*86400,2)</f>
        <v>26.25</v>
      </c>
      <c r="F1007" s="12" t="n">
        <v>2204</v>
      </c>
      <c r="G1007" s="11" t="str">
        <f aca="false">IF(INDEX(選手一覧!$D$5:$D$2736,$F1007)="","",INDEX(選手一覧!$D$5:$D$2736,$F1007))</f>
        <v/>
      </c>
      <c r="H1007" s="12" t="str">
        <f aca="false">IF(INDEX(選手一覧!$E$5:$E$2736,$F1007)="","",INDEX(選手一覧!$E$5:$E$2736,$F1007))</f>
        <v/>
      </c>
      <c r="I1007" s="11" t="str">
        <f aca="false">IF(INDEX(選手一覧!$F$5:$F$2736,$F1007)="","",INDEX(選手一覧!$F$5:$F$2736,$F1007))</f>
        <v/>
      </c>
      <c r="J1007" s="12" t="str">
        <f aca="false">IF(INDEX(選手一覧!$G$5:$G$2736,$F1007)="","",INDEX(選手一覧!$G$5:$G$2736,$F1007))</f>
        <v/>
      </c>
    </row>
    <row r="1008" customFormat="false" ht="15" hidden="false" customHeight="false" outlineLevel="0" collapsed="false">
      <c r="A1008" s="12" t="n">
        <v>1005</v>
      </c>
      <c r="B1008" s="8" t="s">
        <v>3325</v>
      </c>
      <c r="C1008" s="8" t="s">
        <v>3326</v>
      </c>
      <c r="D1008" s="11" t="n">
        <v>0.00290856481481482</v>
      </c>
      <c r="E1008" s="39" t="n">
        <f aca="false">ROUND((D1008-$D$5)*86400,2)</f>
        <v>26.27</v>
      </c>
      <c r="F1008" s="12" t="n">
        <v>2150</v>
      </c>
      <c r="G1008" s="11" t="str">
        <f aca="false">IF(INDEX(選手一覧!$D$5:$D$2736,$F1008)="","",INDEX(選手一覧!$D$5:$D$2736,$F1008))</f>
        <v/>
      </c>
      <c r="H1008" s="12" t="str">
        <f aca="false">IF(INDEX(選手一覧!$E$5:$E$2736,$F1008)="","",INDEX(選手一覧!$E$5:$E$2736,$F1008))</f>
        <v/>
      </c>
      <c r="I1008" s="11" t="n">
        <f aca="false">IF(INDEX(選手一覧!$F$5:$F$2736,$F1008)="","",INDEX(選手一覧!$F$5:$F$2736,$F1008))</f>
        <v>0.00756030092592593</v>
      </c>
      <c r="J1008" s="12" t="n">
        <f aca="false">IF(INDEX(選手一覧!$G$5:$G$2736,$F1008)="","",INDEX(選手一覧!$G$5:$G$2736,$F1008))</f>
        <v>964</v>
      </c>
    </row>
    <row r="1009" customFormat="false" ht="15" hidden="false" customHeight="false" outlineLevel="0" collapsed="false">
      <c r="A1009" s="12" t="n">
        <v>1006</v>
      </c>
      <c r="B1009" s="8" t="s">
        <v>3408</v>
      </c>
      <c r="C1009" s="8" t="s">
        <v>1949</v>
      </c>
      <c r="D1009" s="11" t="n">
        <v>0.00290856481481482</v>
      </c>
      <c r="E1009" s="39" t="n">
        <f aca="false">ROUND((D1009-$D$5)*86400,2)</f>
        <v>26.27</v>
      </c>
      <c r="F1009" s="12" t="n">
        <v>2207</v>
      </c>
      <c r="G1009" s="11" t="str">
        <f aca="false">IF(INDEX(選手一覧!$D$5:$D$2736,$F1009)="","",INDEX(選手一覧!$D$5:$D$2736,$F1009))</f>
        <v/>
      </c>
      <c r="H1009" s="12" t="str">
        <f aca="false">IF(INDEX(選手一覧!$E$5:$E$2736,$F1009)="","",INDEX(選手一覧!$E$5:$E$2736,$F1009))</f>
        <v/>
      </c>
      <c r="I1009" s="11" t="str">
        <f aca="false">IF(INDEX(選手一覧!$F$5:$F$2736,$F1009)="","",INDEX(選手一覧!$F$5:$F$2736,$F1009))</f>
        <v/>
      </c>
      <c r="J1009" s="12" t="str">
        <f aca="false">IF(INDEX(選手一覧!$G$5:$G$2736,$F1009)="","",INDEX(選手一覧!$G$5:$G$2736,$F1009))</f>
        <v/>
      </c>
    </row>
    <row r="1010" customFormat="false" ht="15" hidden="false" customHeight="false" outlineLevel="0" collapsed="false">
      <c r="A1010" s="12" t="n">
        <v>1007</v>
      </c>
      <c r="B1010" s="8" t="s">
        <v>3410</v>
      </c>
      <c r="C1010" s="8" t="s">
        <v>160</v>
      </c>
      <c r="D1010" s="11" t="n">
        <v>0.00290868055555556</v>
      </c>
      <c r="E1010" s="39" t="n">
        <f aca="false">ROUND((D1010-$D$5)*86400,2)</f>
        <v>26.28</v>
      </c>
      <c r="F1010" s="12" t="n">
        <v>2209</v>
      </c>
      <c r="G1010" s="11" t="str">
        <f aca="false">IF(INDEX(選手一覧!$D$5:$D$2736,$F1010)="","",INDEX(選手一覧!$D$5:$D$2736,$F1010))</f>
        <v/>
      </c>
      <c r="H1010" s="12" t="str">
        <f aca="false">IF(INDEX(選手一覧!$E$5:$E$2736,$F1010)="","",INDEX(選手一覧!$E$5:$E$2736,$F1010))</f>
        <v/>
      </c>
      <c r="I1010" s="11" t="str">
        <f aca="false">IF(INDEX(選手一覧!$F$5:$F$2736,$F1010)="","",INDEX(選手一覧!$F$5:$F$2736,$F1010))</f>
        <v/>
      </c>
      <c r="J1010" s="12" t="str">
        <f aca="false">IF(INDEX(選手一覧!$G$5:$G$2736,$F1010)="","",INDEX(選手一覧!$G$5:$G$2736,$F1010))</f>
        <v/>
      </c>
    </row>
    <row r="1011" customFormat="false" ht="15" hidden="false" customHeight="false" outlineLevel="0" collapsed="false">
      <c r="A1011" s="12" t="n">
        <v>1008</v>
      </c>
      <c r="B1011" s="8" t="s">
        <v>3412</v>
      </c>
      <c r="C1011" s="8" t="s">
        <v>1563</v>
      </c>
      <c r="D1011" s="11" t="n">
        <v>0.0029087962962963</v>
      </c>
      <c r="E1011" s="39" t="n">
        <f aca="false">ROUND((D1011-$D$5)*86400,2)</f>
        <v>26.29</v>
      </c>
      <c r="F1011" s="12" t="n">
        <v>2211</v>
      </c>
      <c r="G1011" s="11" t="str">
        <f aca="false">IF(INDEX(選手一覧!$D$5:$D$2736,$F1011)="","",INDEX(選手一覧!$D$5:$D$2736,$F1011))</f>
        <v/>
      </c>
      <c r="H1011" s="12" t="str">
        <f aca="false">IF(INDEX(選手一覧!$E$5:$E$2736,$F1011)="","",INDEX(選手一覧!$E$5:$E$2736,$F1011))</f>
        <v/>
      </c>
      <c r="I1011" s="11" t="str">
        <f aca="false">IF(INDEX(選手一覧!$F$5:$F$2736,$F1011)="","",INDEX(選手一覧!$F$5:$F$2736,$F1011))</f>
        <v/>
      </c>
      <c r="J1011" s="12" t="str">
        <f aca="false">IF(INDEX(選手一覧!$G$5:$G$2736,$F1011)="","",INDEX(選手一覧!$G$5:$G$2736,$F1011))</f>
        <v/>
      </c>
    </row>
    <row r="1012" customFormat="false" ht="15" hidden="false" customHeight="false" outlineLevel="0" collapsed="false">
      <c r="A1012" s="12" t="n">
        <v>1009</v>
      </c>
      <c r="B1012" s="8" t="s">
        <v>349</v>
      </c>
      <c r="C1012" s="8" t="s">
        <v>172</v>
      </c>
      <c r="D1012" s="11" t="n">
        <v>0.00290902777777778</v>
      </c>
      <c r="E1012" s="39" t="n">
        <f aca="false">ROUND((D1012-$D$5)*86400,2)</f>
        <v>26.31</v>
      </c>
      <c r="F1012" s="12" t="n">
        <v>173</v>
      </c>
      <c r="G1012" s="11" t="n">
        <f aca="false">IF(INDEX(選手一覧!$D$5:$D$2736,$F1012)="","",INDEX(選手一覧!$D$5:$D$2736,$F1012))</f>
        <v>0.0103224537037037</v>
      </c>
      <c r="H1012" s="12" t="n">
        <f aca="false">IF(INDEX(選手一覧!$E$5:$E$2736,$F1012)="","",INDEX(選手一覧!$E$5:$E$2736,$F1012))</f>
        <v>174</v>
      </c>
      <c r="I1012" s="11" t="str">
        <f aca="false">IF(INDEX(選手一覧!$F$5:$F$2736,$F1012)="","",INDEX(選手一覧!$F$5:$F$2736,$F1012))</f>
        <v/>
      </c>
      <c r="J1012" s="12" t="str">
        <f aca="false">IF(INDEX(選手一覧!$G$5:$G$2736,$F1012)="","",INDEX(選手一覧!$G$5:$G$2736,$F1012))</f>
        <v/>
      </c>
    </row>
    <row r="1013" customFormat="false" ht="15" hidden="false" customHeight="false" outlineLevel="0" collapsed="false">
      <c r="A1013" s="12" t="n">
        <v>1010</v>
      </c>
      <c r="B1013" s="8" t="s">
        <v>3416</v>
      </c>
      <c r="C1013" s="8" t="s">
        <v>2214</v>
      </c>
      <c r="D1013" s="11" t="n">
        <v>0.00290902777777778</v>
      </c>
      <c r="E1013" s="39" t="n">
        <f aca="false">ROUND((D1013-$D$5)*86400,2)</f>
        <v>26.31</v>
      </c>
      <c r="F1013" s="12" t="n">
        <v>2214</v>
      </c>
      <c r="G1013" s="11" t="str">
        <f aca="false">IF(INDEX(選手一覧!$D$5:$D$2736,$F1013)="","",INDEX(選手一覧!$D$5:$D$2736,$F1013))</f>
        <v/>
      </c>
      <c r="H1013" s="12" t="str">
        <f aca="false">IF(INDEX(選手一覧!$E$5:$E$2736,$F1013)="","",INDEX(選手一覧!$E$5:$E$2736,$F1013))</f>
        <v/>
      </c>
      <c r="I1013" s="11" t="str">
        <f aca="false">IF(INDEX(選手一覧!$F$5:$F$2736,$F1013)="","",INDEX(選手一覧!$F$5:$F$2736,$F1013))</f>
        <v/>
      </c>
      <c r="J1013" s="12" t="str">
        <f aca="false">IF(INDEX(選手一覧!$G$5:$G$2736,$F1013)="","",INDEX(選手一覧!$G$5:$G$2736,$F1013))</f>
        <v/>
      </c>
    </row>
    <row r="1014" customFormat="false" ht="15" hidden="false" customHeight="false" outlineLevel="0" collapsed="false">
      <c r="A1014" s="12" t="n">
        <v>1011</v>
      </c>
      <c r="B1014" s="8" t="s">
        <v>3419</v>
      </c>
      <c r="C1014" s="8" t="s">
        <v>2188</v>
      </c>
      <c r="D1014" s="11" t="n">
        <v>0.00290914351851852</v>
      </c>
      <c r="E1014" s="39" t="n">
        <f aca="false">ROUND((D1014-$D$5)*86400,2)</f>
        <v>26.32</v>
      </c>
      <c r="F1014" s="12" t="n">
        <v>2216</v>
      </c>
      <c r="G1014" s="11" t="str">
        <f aca="false">IF(INDEX(選手一覧!$D$5:$D$2736,$F1014)="","",INDEX(選手一覧!$D$5:$D$2736,$F1014))</f>
        <v/>
      </c>
      <c r="H1014" s="12" t="str">
        <f aca="false">IF(INDEX(選手一覧!$E$5:$E$2736,$F1014)="","",INDEX(選手一覧!$E$5:$E$2736,$F1014))</f>
        <v/>
      </c>
      <c r="I1014" s="11" t="str">
        <f aca="false">IF(INDEX(選手一覧!$F$5:$F$2736,$F1014)="","",INDEX(選手一覧!$F$5:$F$2736,$F1014))</f>
        <v/>
      </c>
      <c r="J1014" s="12" t="str">
        <f aca="false">IF(INDEX(選手一覧!$G$5:$G$2736,$F1014)="","",INDEX(選手一覧!$G$5:$G$2736,$F1014))</f>
        <v/>
      </c>
    </row>
    <row r="1015" customFormat="false" ht="15" hidden="false" customHeight="false" outlineLevel="0" collapsed="false">
      <c r="A1015" s="12" t="n">
        <v>1012</v>
      </c>
      <c r="B1015" s="8" t="s">
        <v>2671</v>
      </c>
      <c r="C1015" s="8" t="s">
        <v>2672</v>
      </c>
      <c r="D1015" s="11" t="n">
        <v>0.002909375</v>
      </c>
      <c r="E1015" s="39" t="n">
        <f aca="false">ROUND((D1015-$D$5)*86400,2)</f>
        <v>26.34</v>
      </c>
      <c r="F1015" s="12" t="n">
        <v>1714</v>
      </c>
      <c r="G1015" s="11" t="str">
        <f aca="false">IF(INDEX(選手一覧!$D$5:$D$2736,$F1015)="","",INDEX(選手一覧!$D$5:$D$2736,$F1015))</f>
        <v/>
      </c>
      <c r="H1015" s="12" t="str">
        <f aca="false">IF(INDEX(選手一覧!$E$5:$E$2736,$F1015)="","",INDEX(選手一覧!$E$5:$E$2736,$F1015))</f>
        <v/>
      </c>
      <c r="I1015" s="11" t="n">
        <f aca="false">IF(INDEX(選手一覧!$F$5:$F$2736,$F1015)="","",INDEX(選手一覧!$F$5:$F$2736,$F1015))</f>
        <v>0.00727025462962963</v>
      </c>
      <c r="J1015" s="12" t="n">
        <f aca="false">IF(INDEX(選手一覧!$G$5:$G$2736,$F1015)="","",INDEX(選手一覧!$G$5:$G$2736,$F1015))</f>
        <v>617</v>
      </c>
    </row>
    <row r="1016" customFormat="false" ht="15" hidden="false" customHeight="false" outlineLevel="0" collapsed="false">
      <c r="A1016" s="12" t="n">
        <v>1013</v>
      </c>
      <c r="B1016" s="8" t="s">
        <v>1830</v>
      </c>
      <c r="C1016" s="8" t="s">
        <v>1831</v>
      </c>
      <c r="D1016" s="11" t="n">
        <v>0.00290949074074074</v>
      </c>
      <c r="E1016" s="39" t="n">
        <f aca="false">ROUND((D1016-$D$5)*86400,2)</f>
        <v>26.35</v>
      </c>
      <c r="F1016" s="12" t="n">
        <v>1141</v>
      </c>
      <c r="G1016" s="11" t="n">
        <f aca="false">IF(INDEX(選手一覧!$D$5:$D$2736,$F1016)="","",INDEX(選手一覧!$D$5:$D$2736,$F1016))</f>
        <v>0.0110261574074074</v>
      </c>
      <c r="H1016" s="12" t="n">
        <f aca="false">IF(INDEX(選手一覧!$E$5:$E$2736,$F1016)="","",INDEX(選手一覧!$E$5:$E$2736,$F1016))</f>
        <v>1142</v>
      </c>
      <c r="I1016" s="11" t="str">
        <f aca="false">IF(INDEX(選手一覧!$F$5:$F$2736,$F1016)="","",INDEX(選手一覧!$F$5:$F$2736,$F1016))</f>
        <v/>
      </c>
      <c r="J1016" s="12" t="str">
        <f aca="false">IF(INDEX(選手一覧!$G$5:$G$2736,$F1016)="","",INDEX(選手一覧!$G$5:$G$2736,$F1016))</f>
        <v/>
      </c>
    </row>
    <row r="1017" customFormat="false" ht="15" hidden="false" customHeight="false" outlineLevel="0" collapsed="false">
      <c r="A1017" s="12" t="n">
        <v>1014</v>
      </c>
      <c r="B1017" s="8" t="s">
        <v>3423</v>
      </c>
      <c r="C1017" s="8" t="s">
        <v>3424</v>
      </c>
      <c r="D1017" s="11" t="n">
        <v>0.00290960648148148</v>
      </c>
      <c r="E1017" s="39" t="n">
        <f aca="false">ROUND((D1017-$D$5)*86400,2)</f>
        <v>26.36</v>
      </c>
      <c r="F1017" s="12" t="n">
        <v>2220</v>
      </c>
      <c r="G1017" s="11" t="str">
        <f aca="false">IF(INDEX(選手一覧!$D$5:$D$2736,$F1017)="","",INDEX(選手一覧!$D$5:$D$2736,$F1017))</f>
        <v/>
      </c>
      <c r="H1017" s="12" t="str">
        <f aca="false">IF(INDEX(選手一覧!$E$5:$E$2736,$F1017)="","",INDEX(選手一覧!$E$5:$E$2736,$F1017))</f>
        <v/>
      </c>
      <c r="I1017" s="11" t="str">
        <f aca="false">IF(INDEX(選手一覧!$F$5:$F$2736,$F1017)="","",INDEX(選手一覧!$F$5:$F$2736,$F1017))</f>
        <v/>
      </c>
      <c r="J1017" s="12" t="str">
        <f aca="false">IF(INDEX(選手一覧!$G$5:$G$2736,$F1017)="","",INDEX(選手一覧!$G$5:$G$2736,$F1017))</f>
        <v/>
      </c>
    </row>
    <row r="1018" customFormat="false" ht="15" hidden="false" customHeight="false" outlineLevel="0" collapsed="false">
      <c r="A1018" s="12" t="n">
        <v>1015</v>
      </c>
      <c r="B1018" s="8" t="s">
        <v>1206</v>
      </c>
      <c r="C1018" s="8" t="s">
        <v>525</v>
      </c>
      <c r="D1018" s="11" t="n">
        <v>0.00290972222222222</v>
      </c>
      <c r="E1018" s="39" t="n">
        <f aca="false">ROUND((D1018-$D$5)*86400,2)</f>
        <v>26.37</v>
      </c>
      <c r="F1018" s="12" t="n">
        <v>721</v>
      </c>
      <c r="G1018" s="11" t="n">
        <f aca="false">IF(INDEX(選手一覧!$D$5:$D$2736,$F1018)="","",INDEX(選手一覧!$D$5:$D$2736,$F1018))</f>
        <v>0.0107895833333333</v>
      </c>
      <c r="H1018" s="12" t="n">
        <f aca="false">IF(INDEX(選手一覧!$E$5:$E$2736,$F1018)="","",INDEX(選手一覧!$E$5:$E$2736,$F1018))</f>
        <v>722</v>
      </c>
      <c r="I1018" s="11" t="str">
        <f aca="false">IF(INDEX(選手一覧!$F$5:$F$2736,$F1018)="","",INDEX(選手一覧!$F$5:$F$2736,$F1018))</f>
        <v/>
      </c>
      <c r="J1018" s="12" t="str">
        <f aca="false">IF(INDEX(選手一覧!$G$5:$G$2736,$F1018)="","",INDEX(選手一覧!$G$5:$G$2736,$F1018))</f>
        <v/>
      </c>
    </row>
    <row r="1019" customFormat="false" ht="15" hidden="false" customHeight="false" outlineLevel="0" collapsed="false">
      <c r="A1019" s="12" t="n">
        <v>1016</v>
      </c>
      <c r="B1019" s="8" t="s">
        <v>3428</v>
      </c>
      <c r="C1019" s="8" t="s">
        <v>3429</v>
      </c>
      <c r="D1019" s="11" t="n">
        <v>0.00290972222222222</v>
      </c>
      <c r="E1019" s="39" t="n">
        <f aca="false">ROUND((D1019-$D$5)*86400,2)</f>
        <v>26.37</v>
      </c>
      <c r="F1019" s="12" t="n">
        <v>2223</v>
      </c>
      <c r="G1019" s="11" t="str">
        <f aca="false">IF(INDEX(選手一覧!$D$5:$D$2736,$F1019)="","",INDEX(選手一覧!$D$5:$D$2736,$F1019))</f>
        <v/>
      </c>
      <c r="H1019" s="12" t="str">
        <f aca="false">IF(INDEX(選手一覧!$E$5:$E$2736,$F1019)="","",INDEX(選手一覧!$E$5:$E$2736,$F1019))</f>
        <v/>
      </c>
      <c r="I1019" s="11" t="str">
        <f aca="false">IF(INDEX(選手一覧!$F$5:$F$2736,$F1019)="","",INDEX(選手一覧!$F$5:$F$2736,$F1019))</f>
        <v/>
      </c>
      <c r="J1019" s="12" t="str">
        <f aca="false">IF(INDEX(選手一覧!$G$5:$G$2736,$F1019)="","",INDEX(選手一覧!$G$5:$G$2736,$F1019))</f>
        <v/>
      </c>
    </row>
    <row r="1020" customFormat="false" ht="15" hidden="false" customHeight="false" outlineLevel="0" collapsed="false">
      <c r="A1020" s="12" t="n">
        <v>1017</v>
      </c>
      <c r="B1020" s="8" t="s">
        <v>3432</v>
      </c>
      <c r="C1020" s="8" t="s">
        <v>304</v>
      </c>
      <c r="D1020" s="11" t="n">
        <v>0.00290972222222222</v>
      </c>
      <c r="E1020" s="39" t="n">
        <f aca="false">ROUND((D1020-$D$5)*86400,2)</f>
        <v>26.37</v>
      </c>
      <c r="F1020" s="12" t="n">
        <v>2225</v>
      </c>
      <c r="G1020" s="11" t="str">
        <f aca="false">IF(INDEX(選手一覧!$D$5:$D$2736,$F1020)="","",INDEX(選手一覧!$D$5:$D$2736,$F1020))</f>
        <v/>
      </c>
      <c r="H1020" s="12" t="str">
        <f aca="false">IF(INDEX(選手一覧!$E$5:$E$2736,$F1020)="","",INDEX(選手一覧!$E$5:$E$2736,$F1020))</f>
        <v/>
      </c>
      <c r="I1020" s="11" t="str">
        <f aca="false">IF(INDEX(選手一覧!$F$5:$F$2736,$F1020)="","",INDEX(選手一覧!$F$5:$F$2736,$F1020))</f>
        <v/>
      </c>
      <c r="J1020" s="12" t="str">
        <f aca="false">IF(INDEX(選手一覧!$G$5:$G$2736,$F1020)="","",INDEX(選手一覧!$G$5:$G$2736,$F1020))</f>
        <v/>
      </c>
    </row>
    <row r="1021" customFormat="false" ht="15" hidden="false" customHeight="false" outlineLevel="0" collapsed="false">
      <c r="A1021" s="12" t="n">
        <v>1018</v>
      </c>
      <c r="B1021" s="8" t="s">
        <v>2298</v>
      </c>
      <c r="C1021" s="8" t="s">
        <v>2299</v>
      </c>
      <c r="D1021" s="11" t="n">
        <v>0.00290983796296296</v>
      </c>
      <c r="E1021" s="39" t="n">
        <f aca="false">ROUND((D1021-$D$5)*86400,2)</f>
        <v>26.38</v>
      </c>
      <c r="F1021" s="12" t="n">
        <v>1465</v>
      </c>
      <c r="G1021" s="11" t="str">
        <f aca="false">IF(INDEX(選手一覧!$D$5:$D$2736,$F1021)="","",INDEX(選手一覧!$D$5:$D$2736,$F1021))</f>
        <v/>
      </c>
      <c r="H1021" s="12" t="str">
        <f aca="false">IF(INDEX(選手一覧!$E$5:$E$2736,$F1021)="","",INDEX(選手一覧!$E$5:$E$2736,$F1021))</f>
        <v/>
      </c>
      <c r="I1021" s="11" t="n">
        <f aca="false">IF(INDEX(選手一覧!$F$5:$F$2736,$F1021)="","",INDEX(選手一覧!$F$5:$F$2736,$F1021))</f>
        <v>0.00702708333333333</v>
      </c>
      <c r="J1021" s="12" t="n">
        <f aca="false">IF(INDEX(選手一覧!$G$5:$G$2736,$F1021)="","",INDEX(選手一覧!$G$5:$G$2736,$F1021))</f>
        <v>362</v>
      </c>
    </row>
    <row r="1022" customFormat="false" ht="15" hidden="false" customHeight="false" outlineLevel="0" collapsed="false">
      <c r="A1022" s="12" t="n">
        <v>1019</v>
      </c>
      <c r="B1022" s="8" t="s">
        <v>4692</v>
      </c>
      <c r="C1022" s="8" t="s">
        <v>1503</v>
      </c>
      <c r="D1022" s="11" t="n">
        <v>0.0029099537037037</v>
      </c>
      <c r="E1022" s="39" t="n">
        <f aca="false">ROUND((D1022-$D$5)*86400,2)</f>
        <v>26.39</v>
      </c>
      <c r="F1022" s="12" t="n">
        <v>1028</v>
      </c>
      <c r="G1022" s="11" t="n">
        <f aca="false">IF(INDEX(選手一覧!$D$5:$D$2736,$F1022)="","",INDEX(選手一覧!$D$5:$D$2736,$F1022))</f>
        <v>0.0109672453703704</v>
      </c>
      <c r="H1022" s="12" t="n">
        <f aca="false">IF(INDEX(選手一覧!$E$5:$E$2736,$F1022)="","",INDEX(選手一覧!$E$5:$E$2736,$F1022))</f>
        <v>1029</v>
      </c>
      <c r="I1022" s="11" t="n">
        <f aca="false">IF(INDEX(選手一覧!$F$5:$F$2736,$F1022)="","",INDEX(選手一覧!$F$5:$F$2736,$F1022))</f>
        <v>0.00675219907407407</v>
      </c>
      <c r="J1022" s="12" t="n">
        <f aca="false">IF(INDEX(選手一覧!$G$5:$G$2736,$F1022)="","",INDEX(選手一覧!$G$5:$G$2736,$F1022))</f>
        <v>130</v>
      </c>
    </row>
    <row r="1023" customFormat="false" ht="15" hidden="false" customHeight="false" outlineLevel="0" collapsed="false">
      <c r="A1023" s="12" t="n">
        <v>1020</v>
      </c>
      <c r="B1023" s="8" t="s">
        <v>3439</v>
      </c>
      <c r="C1023" s="8" t="s">
        <v>2111</v>
      </c>
      <c r="D1023" s="11" t="n">
        <v>0.00291006944444445</v>
      </c>
      <c r="E1023" s="39" t="n">
        <f aca="false">ROUND((D1023-$D$5)*86400,2)</f>
        <v>26.4</v>
      </c>
      <c r="F1023" s="12" t="n">
        <v>2229</v>
      </c>
      <c r="G1023" s="11" t="str">
        <f aca="false">IF(INDEX(選手一覧!$D$5:$D$2736,$F1023)="","",INDEX(選手一覧!$D$5:$D$2736,$F1023))</f>
        <v/>
      </c>
      <c r="H1023" s="12" t="str">
        <f aca="false">IF(INDEX(選手一覧!$E$5:$E$2736,$F1023)="","",INDEX(選手一覧!$E$5:$E$2736,$F1023))</f>
        <v/>
      </c>
      <c r="I1023" s="11" t="str">
        <f aca="false">IF(INDEX(選手一覧!$F$5:$F$2736,$F1023)="","",INDEX(選手一覧!$F$5:$F$2736,$F1023))</f>
        <v/>
      </c>
      <c r="J1023" s="12" t="str">
        <f aca="false">IF(INDEX(選手一覧!$G$5:$G$2736,$F1023)="","",INDEX(選手一覧!$G$5:$G$2736,$F1023))</f>
        <v/>
      </c>
    </row>
    <row r="1024" customFormat="false" ht="15" hidden="false" customHeight="false" outlineLevel="0" collapsed="false">
      <c r="A1024" s="12" t="n">
        <v>1021</v>
      </c>
      <c r="B1024" s="8" t="s">
        <v>3441</v>
      </c>
      <c r="C1024" s="8" t="s">
        <v>3442</v>
      </c>
      <c r="D1024" s="11" t="n">
        <v>0.00291006944444445</v>
      </c>
      <c r="E1024" s="39" t="n">
        <f aca="false">ROUND((D1024-$D$5)*86400,2)</f>
        <v>26.4</v>
      </c>
      <c r="F1024" s="12" t="n">
        <v>2231</v>
      </c>
      <c r="G1024" s="11" t="str">
        <f aca="false">IF(INDEX(選手一覧!$D$5:$D$2736,$F1024)="","",INDEX(選手一覧!$D$5:$D$2736,$F1024))</f>
        <v/>
      </c>
      <c r="H1024" s="12" t="str">
        <f aca="false">IF(INDEX(選手一覧!$E$5:$E$2736,$F1024)="","",INDEX(選手一覧!$E$5:$E$2736,$F1024))</f>
        <v/>
      </c>
      <c r="I1024" s="11" t="str">
        <f aca="false">IF(INDEX(選手一覧!$F$5:$F$2736,$F1024)="","",INDEX(選手一覧!$F$5:$F$2736,$F1024))</f>
        <v/>
      </c>
      <c r="J1024" s="12" t="str">
        <f aca="false">IF(INDEX(選手一覧!$G$5:$G$2736,$F1024)="","",INDEX(選手一覧!$G$5:$G$2736,$F1024))</f>
        <v/>
      </c>
    </row>
    <row r="1025" customFormat="false" ht="15" hidden="false" customHeight="false" outlineLevel="0" collapsed="false">
      <c r="A1025" s="12" t="n">
        <v>1022</v>
      </c>
      <c r="B1025" s="8" t="s">
        <v>3445</v>
      </c>
      <c r="C1025" s="8" t="s">
        <v>2891</v>
      </c>
      <c r="D1025" s="11" t="n">
        <v>0.00291030092592593</v>
      </c>
      <c r="E1025" s="39" t="n">
        <f aca="false">ROUND((D1025-$D$5)*86400,2)</f>
        <v>26.42</v>
      </c>
      <c r="F1025" s="12" t="n">
        <v>2233</v>
      </c>
      <c r="G1025" s="11" t="str">
        <f aca="false">IF(INDEX(選手一覧!$D$5:$D$2736,$F1025)="","",INDEX(選手一覧!$D$5:$D$2736,$F1025))</f>
        <v/>
      </c>
      <c r="H1025" s="12" t="str">
        <f aca="false">IF(INDEX(選手一覧!$E$5:$E$2736,$F1025)="","",INDEX(選手一覧!$E$5:$E$2736,$F1025))</f>
        <v/>
      </c>
      <c r="I1025" s="11" t="str">
        <f aca="false">IF(INDEX(選手一覧!$F$5:$F$2736,$F1025)="","",INDEX(選手一覧!$F$5:$F$2736,$F1025))</f>
        <v/>
      </c>
      <c r="J1025" s="12" t="str">
        <f aca="false">IF(INDEX(選手一覧!$G$5:$G$2736,$F1025)="","",INDEX(選手一覧!$G$5:$G$2736,$F1025))</f>
        <v/>
      </c>
    </row>
    <row r="1026" customFormat="false" ht="15" hidden="false" customHeight="false" outlineLevel="0" collapsed="false">
      <c r="A1026" s="12" t="n">
        <v>1023</v>
      </c>
      <c r="B1026" s="8" t="s">
        <v>3448</v>
      </c>
      <c r="C1026" s="8" t="s">
        <v>3449</v>
      </c>
      <c r="D1026" s="11" t="n">
        <v>0.00291030092592593</v>
      </c>
      <c r="E1026" s="39" t="n">
        <f aca="false">ROUND((D1026-$D$5)*86400,2)</f>
        <v>26.42</v>
      </c>
      <c r="F1026" s="12" t="n">
        <v>2235</v>
      </c>
      <c r="G1026" s="11" t="str">
        <f aca="false">IF(INDEX(選手一覧!$D$5:$D$2736,$F1026)="","",INDEX(選手一覧!$D$5:$D$2736,$F1026))</f>
        <v/>
      </c>
      <c r="H1026" s="12" t="str">
        <f aca="false">IF(INDEX(選手一覧!$E$5:$E$2736,$F1026)="","",INDEX(選手一覧!$E$5:$E$2736,$F1026))</f>
        <v/>
      </c>
      <c r="I1026" s="11" t="str">
        <f aca="false">IF(INDEX(選手一覧!$F$5:$F$2736,$F1026)="","",INDEX(選手一覧!$F$5:$F$2736,$F1026))</f>
        <v/>
      </c>
      <c r="J1026" s="12" t="str">
        <f aca="false">IF(INDEX(選手一覧!$G$5:$G$2736,$F1026)="","",INDEX(選手一覧!$G$5:$G$2736,$F1026))</f>
        <v/>
      </c>
    </row>
    <row r="1027" customFormat="false" ht="15" hidden="false" customHeight="false" outlineLevel="0" collapsed="false">
      <c r="A1027" s="12" t="n">
        <v>1024</v>
      </c>
      <c r="B1027" s="8" t="s">
        <v>1126</v>
      </c>
      <c r="C1027" s="8" t="s">
        <v>344</v>
      </c>
      <c r="D1027" s="11" t="n">
        <v>0.00291041666666667</v>
      </c>
      <c r="E1027" s="39" t="n">
        <f aca="false">ROUND((D1027-$D$5)*86400,2)</f>
        <v>26.43</v>
      </c>
      <c r="F1027" s="12" t="n">
        <v>671</v>
      </c>
      <c r="G1027" s="11" t="n">
        <f aca="false">IF(INDEX(選手一覧!$D$5:$D$2736,$F1027)="","",INDEX(選手一覧!$D$5:$D$2736,$F1027))</f>
        <v>0.010753125</v>
      </c>
      <c r="H1027" s="12" t="n">
        <f aca="false">IF(INDEX(選手一覧!$E$5:$E$2736,$F1027)="","",INDEX(選手一覧!$E$5:$E$2736,$F1027))</f>
        <v>672</v>
      </c>
      <c r="I1027" s="11" t="n">
        <f aca="false">IF(INDEX(選手一覧!$F$5:$F$2736,$F1027)="","",INDEX(選手一覧!$F$5:$F$2736,$F1027))</f>
        <v>0.00746712962962963</v>
      </c>
      <c r="J1027" s="12" t="n">
        <f aca="false">IF(INDEX(選手一覧!$G$5:$G$2736,$F1027)="","",INDEX(選手一覧!$G$5:$G$2736,$F1027))</f>
        <v>857</v>
      </c>
    </row>
    <row r="1028" customFormat="false" ht="15" hidden="false" customHeight="false" outlineLevel="0" collapsed="false">
      <c r="A1028" s="12" t="n">
        <v>1025</v>
      </c>
      <c r="B1028" s="8" t="s">
        <v>1237</v>
      </c>
      <c r="C1028" s="8" t="s">
        <v>1238</v>
      </c>
      <c r="D1028" s="11" t="n">
        <v>0.00291041666666667</v>
      </c>
      <c r="E1028" s="39" t="n">
        <f aca="false">ROUND((D1028-$D$5)*86400,2)</f>
        <v>26.43</v>
      </c>
      <c r="F1028" s="12" t="n">
        <v>742</v>
      </c>
      <c r="G1028" s="11" t="n">
        <f aca="false">IF(INDEX(選手一覧!$D$5:$D$2736,$F1028)="","",INDEX(選手一覧!$D$5:$D$2736,$F1028))</f>
        <v>0.0108010416666667</v>
      </c>
      <c r="H1028" s="12" t="n">
        <f aca="false">IF(INDEX(選手一覧!$E$5:$E$2736,$F1028)="","",INDEX(選手一覧!$E$5:$E$2736,$F1028))</f>
        <v>743</v>
      </c>
      <c r="I1028" s="11" t="str">
        <f aca="false">IF(INDEX(選手一覧!$F$5:$F$2736,$F1028)="","",INDEX(選手一覧!$F$5:$F$2736,$F1028))</f>
        <v/>
      </c>
      <c r="J1028" s="12" t="str">
        <f aca="false">IF(INDEX(選手一覧!$G$5:$G$2736,$F1028)="","",INDEX(選手一覧!$G$5:$G$2736,$F1028))</f>
        <v/>
      </c>
    </row>
    <row r="1029" customFormat="false" ht="15" hidden="false" customHeight="false" outlineLevel="0" collapsed="false">
      <c r="A1029" s="12" t="n">
        <v>1026</v>
      </c>
      <c r="B1029" s="8" t="s">
        <v>1766</v>
      </c>
      <c r="C1029" s="8" t="s">
        <v>1767</v>
      </c>
      <c r="D1029" s="11" t="n">
        <v>0.00291053240740741</v>
      </c>
      <c r="E1029" s="39" t="n">
        <f aca="false">ROUND((D1029-$D$5)*86400,2)</f>
        <v>26.44</v>
      </c>
      <c r="F1029" s="12" t="n">
        <v>1098</v>
      </c>
      <c r="G1029" s="11" t="n">
        <f aca="false">IF(INDEX(選手一覧!$D$5:$D$2736,$F1029)="","",INDEX(選手一覧!$D$5:$D$2736,$F1029))</f>
        <v>0.0110024305555556</v>
      </c>
      <c r="H1029" s="12" t="n">
        <f aca="false">IF(INDEX(選手一覧!$E$5:$E$2736,$F1029)="","",INDEX(選手一覧!$E$5:$E$2736,$F1029))</f>
        <v>1099</v>
      </c>
      <c r="I1029" s="11" t="str">
        <f aca="false">IF(INDEX(選手一覧!$F$5:$F$2736,$F1029)="","",INDEX(選手一覧!$F$5:$F$2736,$F1029))</f>
        <v/>
      </c>
      <c r="J1029" s="12" t="str">
        <f aca="false">IF(INDEX(選手一覧!$G$5:$G$2736,$F1029)="","",INDEX(選手一覧!$G$5:$G$2736,$F1029))</f>
        <v/>
      </c>
    </row>
    <row r="1030" customFormat="false" ht="15" hidden="false" customHeight="false" outlineLevel="0" collapsed="false">
      <c r="A1030" s="12" t="n">
        <v>1027</v>
      </c>
      <c r="B1030" s="8" t="s">
        <v>1155</v>
      </c>
      <c r="C1030" s="8" t="s">
        <v>41</v>
      </c>
      <c r="D1030" s="11" t="n">
        <v>0.00291087962962963</v>
      </c>
      <c r="E1030" s="39" t="n">
        <f aca="false">ROUND((D1030-$D$5)*86400,2)</f>
        <v>26.47</v>
      </c>
      <c r="F1030" s="12" t="n">
        <v>688</v>
      </c>
      <c r="G1030" s="11" t="n">
        <f aca="false">IF(INDEX(選手一覧!$D$5:$D$2736,$F1030)="","",INDEX(選手一覧!$D$5:$D$2736,$F1030))</f>
        <v>0.0107644675925926</v>
      </c>
      <c r="H1030" s="12" t="n">
        <f aca="false">IF(INDEX(選手一覧!$E$5:$E$2736,$F1030)="","",INDEX(選手一覧!$E$5:$E$2736,$F1030))</f>
        <v>689</v>
      </c>
      <c r="I1030" s="11" t="str">
        <f aca="false">IF(INDEX(選手一覧!$F$5:$F$2736,$F1030)="","",INDEX(選手一覧!$F$5:$F$2736,$F1030))</f>
        <v/>
      </c>
      <c r="J1030" s="12" t="str">
        <f aca="false">IF(INDEX(選手一覧!$G$5:$G$2736,$F1030)="","",INDEX(選手一覧!$G$5:$G$2736,$F1030))</f>
        <v/>
      </c>
    </row>
    <row r="1031" customFormat="false" ht="15" hidden="false" customHeight="false" outlineLevel="0" collapsed="false">
      <c r="A1031" s="12" t="n">
        <v>1028</v>
      </c>
      <c r="B1031" s="8" t="s">
        <v>276</v>
      </c>
      <c r="C1031" s="8" t="s">
        <v>128</v>
      </c>
      <c r="D1031" s="11" t="n">
        <v>0.00291087962962963</v>
      </c>
      <c r="E1031" s="39" t="n">
        <f aca="false">ROUND((D1031-$D$5)*86400,2)</f>
        <v>26.47</v>
      </c>
      <c r="F1031" s="12" t="n">
        <v>134</v>
      </c>
      <c r="G1031" s="11" t="n">
        <f aca="false">IF(INDEX(選手一覧!$D$5:$D$2736,$F1031)="","",INDEX(選手一覧!$D$5:$D$2736,$F1031))</f>
        <v>0.0102670138888889</v>
      </c>
      <c r="H1031" s="12" t="n">
        <f aca="false">IF(INDEX(選手一覧!$E$5:$E$2736,$F1031)="","",INDEX(選手一覧!$E$5:$E$2736,$F1031))</f>
        <v>135</v>
      </c>
      <c r="I1031" s="11" t="n">
        <f aca="false">IF(INDEX(選手一覧!$F$5:$F$2736,$F1031)="","",INDEX(選手一覧!$F$5:$F$2736,$F1031))</f>
        <v>0.00697407407407407</v>
      </c>
      <c r="J1031" s="12" t="n">
        <f aca="false">IF(INDEX(選手一覧!$G$5:$G$2736,$F1031)="","",INDEX(選手一覧!$G$5:$G$2736,$F1031))</f>
        <v>308</v>
      </c>
    </row>
    <row r="1032" customFormat="false" ht="15" hidden="false" customHeight="false" outlineLevel="0" collapsed="false">
      <c r="A1032" s="12" t="n">
        <v>1029</v>
      </c>
      <c r="B1032" s="8" t="s">
        <v>543</v>
      </c>
      <c r="C1032" s="8" t="s">
        <v>544</v>
      </c>
      <c r="D1032" s="11" t="n">
        <v>0.00291111111111111</v>
      </c>
      <c r="E1032" s="39" t="n">
        <f aca="false">ROUND((D1032-$D$5)*86400,2)</f>
        <v>26.49</v>
      </c>
      <c r="F1032" s="12" t="n">
        <v>292</v>
      </c>
      <c r="G1032" s="11" t="n">
        <f aca="false">IF(INDEX(選手一覧!$D$5:$D$2736,$F1032)="","",INDEX(選手一覧!$D$5:$D$2736,$F1032))</f>
        <v>0.0104300925925926</v>
      </c>
      <c r="H1032" s="12" t="n">
        <f aca="false">IF(INDEX(選手一覧!$E$5:$E$2736,$F1032)="","",INDEX(選手一覧!$E$5:$E$2736,$F1032))</f>
        <v>293</v>
      </c>
      <c r="I1032" s="11" t="str">
        <f aca="false">IF(INDEX(選手一覧!$F$5:$F$2736,$F1032)="","",INDEX(選手一覧!$F$5:$F$2736,$F1032))</f>
        <v/>
      </c>
      <c r="J1032" s="12" t="str">
        <f aca="false">IF(INDEX(選手一覧!$G$5:$G$2736,$F1032)="","",INDEX(選手一覧!$G$5:$G$2736,$F1032))</f>
        <v/>
      </c>
    </row>
    <row r="1033" customFormat="false" ht="15" hidden="false" customHeight="false" outlineLevel="0" collapsed="false">
      <c r="A1033" s="12" t="n">
        <v>1030</v>
      </c>
      <c r="B1033" s="8" t="s">
        <v>2692</v>
      </c>
      <c r="C1033" s="8" t="s">
        <v>2693</v>
      </c>
      <c r="D1033" s="11" t="n">
        <v>0.00291111111111111</v>
      </c>
      <c r="E1033" s="39" t="n">
        <f aca="false">ROUND((D1033-$D$5)*86400,2)</f>
        <v>26.49</v>
      </c>
      <c r="F1033" s="12" t="n">
        <v>1728</v>
      </c>
      <c r="G1033" s="11" t="str">
        <f aca="false">IF(INDEX(選手一覧!$D$5:$D$2736,$F1033)="","",INDEX(選手一覧!$D$5:$D$2736,$F1033))</f>
        <v/>
      </c>
      <c r="H1033" s="12" t="str">
        <f aca="false">IF(INDEX(選手一覧!$E$5:$E$2736,$F1033)="","",INDEX(選手一覧!$E$5:$E$2736,$F1033))</f>
        <v/>
      </c>
      <c r="I1033" s="11" t="n">
        <f aca="false">IF(INDEX(選手一覧!$F$5:$F$2736,$F1033)="","",INDEX(選手一覧!$F$5:$F$2736,$F1033))</f>
        <v>0.00729085648148148</v>
      </c>
      <c r="J1033" s="12" t="n">
        <f aca="false">IF(INDEX(選手一覧!$G$5:$G$2736,$F1033)="","",INDEX(選手一覧!$G$5:$G$2736,$F1033))</f>
        <v>631</v>
      </c>
    </row>
    <row r="1034" customFormat="false" ht="15" hidden="false" customHeight="false" outlineLevel="0" collapsed="false">
      <c r="A1034" s="12" t="n">
        <v>1031</v>
      </c>
      <c r="B1034" s="8" t="s">
        <v>3464</v>
      </c>
      <c r="C1034" s="8" t="s">
        <v>3465</v>
      </c>
      <c r="D1034" s="11" t="n">
        <v>0.00291134259259259</v>
      </c>
      <c r="E1034" s="39" t="n">
        <f aca="false">ROUND((D1034-$D$5)*86400,2)</f>
        <v>26.51</v>
      </c>
      <c r="F1034" s="12" t="n">
        <v>2244</v>
      </c>
      <c r="G1034" s="11" t="str">
        <f aca="false">IF(INDEX(選手一覧!$D$5:$D$2736,$F1034)="","",INDEX(選手一覧!$D$5:$D$2736,$F1034))</f>
        <v/>
      </c>
      <c r="H1034" s="12" t="str">
        <f aca="false">IF(INDEX(選手一覧!$E$5:$E$2736,$F1034)="","",INDEX(選手一覧!$E$5:$E$2736,$F1034))</f>
        <v/>
      </c>
      <c r="I1034" s="11" t="str">
        <f aca="false">IF(INDEX(選手一覧!$F$5:$F$2736,$F1034)="","",INDEX(選手一覧!$F$5:$F$2736,$F1034))</f>
        <v/>
      </c>
      <c r="J1034" s="12" t="str">
        <f aca="false">IF(INDEX(選手一覧!$G$5:$G$2736,$F1034)="","",INDEX(選手一覧!$G$5:$G$2736,$F1034))</f>
        <v/>
      </c>
    </row>
    <row r="1035" customFormat="false" ht="15" hidden="false" customHeight="false" outlineLevel="0" collapsed="false">
      <c r="A1035" s="12" t="n">
        <v>1032</v>
      </c>
      <c r="B1035" s="8" t="s">
        <v>1881</v>
      </c>
      <c r="C1035" s="8" t="s">
        <v>1882</v>
      </c>
      <c r="D1035" s="11" t="n">
        <v>0.00291145833333333</v>
      </c>
      <c r="E1035" s="39" t="n">
        <f aca="false">ROUND((D1035-$D$5)*86400,2)</f>
        <v>26.52</v>
      </c>
      <c r="F1035" s="12" t="n">
        <v>1175</v>
      </c>
      <c r="G1035" s="11" t="n">
        <f aca="false">IF(INDEX(選手一覧!$D$5:$D$2736,$F1035)="","",INDEX(選手一覧!$D$5:$D$2736,$F1035))</f>
        <v>0.0110391203703704</v>
      </c>
      <c r="H1035" s="12" t="n">
        <f aca="false">IF(INDEX(選手一覧!$E$5:$E$2736,$F1035)="","",INDEX(選手一覧!$E$5:$E$2736,$F1035))</f>
        <v>1176</v>
      </c>
      <c r="I1035" s="11" t="str">
        <f aca="false">IF(INDEX(選手一覧!$F$5:$F$2736,$F1035)="","",INDEX(選手一覧!$F$5:$F$2736,$F1035))</f>
        <v/>
      </c>
      <c r="J1035" s="12" t="str">
        <f aca="false">IF(INDEX(選手一覧!$G$5:$G$2736,$F1035)="","",INDEX(選手一覧!$G$5:$G$2736,$F1035))</f>
        <v/>
      </c>
    </row>
    <row r="1036" customFormat="false" ht="15" hidden="false" customHeight="false" outlineLevel="0" collapsed="false">
      <c r="A1036" s="12" t="n">
        <v>1033</v>
      </c>
      <c r="B1036" s="8" t="s">
        <v>1173</v>
      </c>
      <c r="C1036" s="8" t="s">
        <v>1174</v>
      </c>
      <c r="D1036" s="11" t="n">
        <v>0.00291145833333333</v>
      </c>
      <c r="E1036" s="39" t="n">
        <f aca="false">ROUND((D1036-$D$5)*86400,2)</f>
        <v>26.52</v>
      </c>
      <c r="F1036" s="12" t="n">
        <v>701</v>
      </c>
      <c r="G1036" s="11" t="n">
        <f aca="false">IF(INDEX(選手一覧!$D$5:$D$2736,$F1036)="","",INDEX(選手一覧!$D$5:$D$2736,$F1036))</f>
        <v>0.0107753472222222</v>
      </c>
      <c r="H1036" s="12" t="n">
        <f aca="false">IF(INDEX(選手一覧!$E$5:$E$2736,$F1036)="","",INDEX(選手一覧!$E$5:$E$2736,$F1036))</f>
        <v>702</v>
      </c>
      <c r="I1036" s="11" t="str">
        <f aca="false">IF(INDEX(選手一覧!$F$5:$F$2736,$F1036)="","",INDEX(選手一覧!$F$5:$F$2736,$F1036))</f>
        <v/>
      </c>
      <c r="J1036" s="12" t="str">
        <f aca="false">IF(INDEX(選手一覧!$G$5:$G$2736,$F1036)="","",INDEX(選手一覧!$G$5:$G$2736,$F1036))</f>
        <v/>
      </c>
    </row>
    <row r="1037" customFormat="false" ht="15" hidden="false" customHeight="false" outlineLevel="0" collapsed="false">
      <c r="A1037" s="12" t="n">
        <v>1034</v>
      </c>
      <c r="B1037" s="8" t="s">
        <v>3203</v>
      </c>
      <c r="C1037" s="8" t="s">
        <v>3471</v>
      </c>
      <c r="D1037" s="11" t="n">
        <v>0.00291157407407407</v>
      </c>
      <c r="E1037" s="39" t="n">
        <f aca="false">ROUND((D1037-$D$5)*86400,2)</f>
        <v>26.53</v>
      </c>
      <c r="F1037" s="12" t="n">
        <v>2248</v>
      </c>
      <c r="G1037" s="11" t="str">
        <f aca="false">IF(INDEX(選手一覧!$D$5:$D$2736,$F1037)="","",INDEX(選手一覧!$D$5:$D$2736,$F1037))</f>
        <v/>
      </c>
      <c r="H1037" s="12" t="str">
        <f aca="false">IF(INDEX(選手一覧!$E$5:$E$2736,$F1037)="","",INDEX(選手一覧!$E$5:$E$2736,$F1037))</f>
        <v/>
      </c>
      <c r="I1037" s="11" t="str">
        <f aca="false">IF(INDEX(選手一覧!$F$5:$F$2736,$F1037)="","",INDEX(選手一覧!$F$5:$F$2736,$F1037))</f>
        <v/>
      </c>
      <c r="J1037" s="12" t="str">
        <f aca="false">IF(INDEX(選手一覧!$G$5:$G$2736,$F1037)="","",INDEX(選手一覧!$G$5:$G$2736,$F1037))</f>
        <v/>
      </c>
    </row>
    <row r="1038" customFormat="false" ht="15" hidden="false" customHeight="false" outlineLevel="0" collapsed="false">
      <c r="A1038" s="12" t="n">
        <v>1035</v>
      </c>
      <c r="B1038" s="8" t="s">
        <v>3474</v>
      </c>
      <c r="C1038" s="8" t="s">
        <v>1308</v>
      </c>
      <c r="D1038" s="11" t="n">
        <v>0.00291157407407407</v>
      </c>
      <c r="E1038" s="39" t="n">
        <f aca="false">ROUND((D1038-$D$5)*86400,2)</f>
        <v>26.53</v>
      </c>
      <c r="F1038" s="12" t="n">
        <v>2250</v>
      </c>
      <c r="G1038" s="11" t="str">
        <f aca="false">IF(INDEX(選手一覧!$D$5:$D$2736,$F1038)="","",INDEX(選手一覧!$D$5:$D$2736,$F1038))</f>
        <v/>
      </c>
      <c r="H1038" s="12" t="str">
        <f aca="false">IF(INDEX(選手一覧!$E$5:$E$2736,$F1038)="","",INDEX(選手一覧!$E$5:$E$2736,$F1038))</f>
        <v/>
      </c>
      <c r="I1038" s="11" t="str">
        <f aca="false">IF(INDEX(選手一覧!$F$5:$F$2736,$F1038)="","",INDEX(選手一覧!$F$5:$F$2736,$F1038))</f>
        <v/>
      </c>
      <c r="J1038" s="12" t="str">
        <f aca="false">IF(INDEX(選手一覧!$G$5:$G$2736,$F1038)="","",INDEX(選手一覧!$G$5:$G$2736,$F1038))</f>
        <v/>
      </c>
    </row>
    <row r="1039" customFormat="false" ht="15" hidden="false" customHeight="false" outlineLevel="0" collapsed="false">
      <c r="A1039" s="12" t="n">
        <v>1036</v>
      </c>
      <c r="B1039" s="8" t="s">
        <v>3476</v>
      </c>
      <c r="C1039" s="8" t="s">
        <v>3477</v>
      </c>
      <c r="D1039" s="11" t="n">
        <v>0.00291180555555556</v>
      </c>
      <c r="E1039" s="39" t="n">
        <f aca="false">ROUND((D1039-$D$5)*86400,2)</f>
        <v>26.55</v>
      </c>
      <c r="F1039" s="12" t="n">
        <v>2252</v>
      </c>
      <c r="G1039" s="11" t="str">
        <f aca="false">IF(INDEX(選手一覧!$D$5:$D$2736,$F1039)="","",INDEX(選手一覧!$D$5:$D$2736,$F1039))</f>
        <v/>
      </c>
      <c r="H1039" s="12" t="str">
        <f aca="false">IF(INDEX(選手一覧!$E$5:$E$2736,$F1039)="","",INDEX(選手一覧!$E$5:$E$2736,$F1039))</f>
        <v/>
      </c>
      <c r="I1039" s="11" t="str">
        <f aca="false">IF(INDEX(選手一覧!$F$5:$F$2736,$F1039)="","",INDEX(選手一覧!$F$5:$F$2736,$F1039))</f>
        <v/>
      </c>
      <c r="J1039" s="12" t="str">
        <f aca="false">IF(INDEX(選手一覧!$G$5:$G$2736,$F1039)="","",INDEX(選手一覧!$G$5:$G$2736,$F1039))</f>
        <v/>
      </c>
    </row>
    <row r="1040" customFormat="false" ht="15" hidden="false" customHeight="false" outlineLevel="0" collapsed="false">
      <c r="A1040" s="12" t="n">
        <v>1037</v>
      </c>
      <c r="B1040" s="8" t="s">
        <v>3479</v>
      </c>
      <c r="C1040" s="8" t="s">
        <v>866</v>
      </c>
      <c r="D1040" s="11" t="n">
        <v>0.00291180555555556</v>
      </c>
      <c r="E1040" s="39" t="n">
        <f aca="false">ROUND((D1040-$D$5)*86400,2)</f>
        <v>26.55</v>
      </c>
      <c r="F1040" s="12" t="n">
        <v>2254</v>
      </c>
      <c r="G1040" s="11" t="str">
        <f aca="false">IF(INDEX(選手一覧!$D$5:$D$2736,$F1040)="","",INDEX(選手一覧!$D$5:$D$2736,$F1040))</f>
        <v/>
      </c>
      <c r="H1040" s="12" t="str">
        <f aca="false">IF(INDEX(選手一覧!$E$5:$E$2736,$F1040)="","",INDEX(選手一覧!$E$5:$E$2736,$F1040))</f>
        <v/>
      </c>
      <c r="I1040" s="11" t="str">
        <f aca="false">IF(INDEX(選手一覧!$F$5:$F$2736,$F1040)="","",INDEX(選手一覧!$F$5:$F$2736,$F1040))</f>
        <v/>
      </c>
      <c r="J1040" s="12" t="str">
        <f aca="false">IF(INDEX(選手一覧!$G$5:$G$2736,$F1040)="","",INDEX(選手一覧!$G$5:$G$2736,$F1040))</f>
        <v/>
      </c>
    </row>
    <row r="1041" customFormat="false" ht="15" hidden="false" customHeight="false" outlineLevel="0" collapsed="false">
      <c r="A1041" s="12" t="n">
        <v>1038</v>
      </c>
      <c r="B1041" s="8" t="s">
        <v>2152</v>
      </c>
      <c r="C1041" s="8" t="s">
        <v>2153</v>
      </c>
      <c r="D1041" s="11" t="n">
        <v>0.00291215277777778</v>
      </c>
      <c r="E1041" s="39" t="n">
        <f aca="false">ROUND((D1041-$D$5)*86400,2)</f>
        <v>26.58</v>
      </c>
      <c r="F1041" s="12" t="n">
        <v>1373</v>
      </c>
      <c r="G1041" s="11" t="str">
        <f aca="false">IF(INDEX(選手一覧!$D$5:$D$2736,$F1041)="","",INDEX(選手一覧!$D$5:$D$2736,$F1041))</f>
        <v/>
      </c>
      <c r="H1041" s="12" t="str">
        <f aca="false">IF(INDEX(選手一覧!$E$5:$E$2736,$F1041)="","",INDEX(選手一覧!$E$5:$E$2736,$F1041))</f>
        <v/>
      </c>
      <c r="I1041" s="11" t="n">
        <f aca="false">IF(INDEX(選手一覧!$F$5:$F$2736,$F1041)="","",INDEX(選手一覧!$F$5:$F$2736,$F1041))</f>
        <v>0.00689710648148148</v>
      </c>
      <c r="J1041" s="12" t="n">
        <f aca="false">IF(INDEX(選手一覧!$G$5:$G$2736,$F1041)="","",INDEX(選手一覧!$G$5:$G$2736,$F1041))</f>
        <v>238</v>
      </c>
    </row>
    <row r="1042" customFormat="false" ht="15" hidden="false" customHeight="false" outlineLevel="0" collapsed="false">
      <c r="A1042" s="12" t="n">
        <v>1039</v>
      </c>
      <c r="B1042" s="8" t="s">
        <v>3482</v>
      </c>
      <c r="C1042" s="8" t="s">
        <v>3483</v>
      </c>
      <c r="D1042" s="11" t="n">
        <v>0.00291226851851852</v>
      </c>
      <c r="E1042" s="39" t="n">
        <f aca="false">ROUND((D1042-$D$5)*86400,2)</f>
        <v>26.59</v>
      </c>
      <c r="F1042" s="12" t="n">
        <v>2257</v>
      </c>
      <c r="G1042" s="11" t="str">
        <f aca="false">IF(INDEX(選手一覧!$D$5:$D$2736,$F1042)="","",INDEX(選手一覧!$D$5:$D$2736,$F1042))</f>
        <v/>
      </c>
      <c r="H1042" s="12" t="str">
        <f aca="false">IF(INDEX(選手一覧!$E$5:$E$2736,$F1042)="","",INDEX(選手一覧!$E$5:$E$2736,$F1042))</f>
        <v/>
      </c>
      <c r="I1042" s="11" t="str">
        <f aca="false">IF(INDEX(選手一覧!$F$5:$F$2736,$F1042)="","",INDEX(選手一覧!$F$5:$F$2736,$F1042))</f>
        <v/>
      </c>
      <c r="J1042" s="12" t="str">
        <f aca="false">IF(INDEX(選手一覧!$G$5:$G$2736,$F1042)="","",INDEX(選手一覧!$G$5:$G$2736,$F1042))</f>
        <v/>
      </c>
    </row>
    <row r="1043" customFormat="false" ht="15" hidden="false" customHeight="false" outlineLevel="0" collapsed="false">
      <c r="A1043" s="12" t="n">
        <v>1040</v>
      </c>
      <c r="B1043" s="8" t="s">
        <v>1395</v>
      </c>
      <c r="C1043" s="8" t="s">
        <v>120</v>
      </c>
      <c r="D1043" s="11" t="n">
        <v>0.0029125</v>
      </c>
      <c r="E1043" s="39" t="n">
        <f aca="false">ROUND((D1043-$D$5)*86400,2)</f>
        <v>26.61</v>
      </c>
      <c r="F1043" s="12" t="n">
        <v>848</v>
      </c>
      <c r="G1043" s="11" t="n">
        <f aca="false">IF(INDEX(選手一覧!$D$5:$D$2736,$F1043)="","",INDEX(選手一覧!$D$5:$D$2736,$F1043))</f>
        <v>0.0108604166666667</v>
      </c>
      <c r="H1043" s="12" t="n">
        <f aca="false">IF(INDEX(選手一覧!$E$5:$E$2736,$F1043)="","",INDEX(選手一覧!$E$5:$E$2736,$F1043))</f>
        <v>849</v>
      </c>
      <c r="I1043" s="11" t="str">
        <f aca="false">IF(INDEX(選手一覧!$F$5:$F$2736,$F1043)="","",INDEX(選手一覧!$F$5:$F$2736,$F1043))</f>
        <v/>
      </c>
      <c r="J1043" s="12" t="str">
        <f aca="false">IF(INDEX(選手一覧!$G$5:$G$2736,$F1043)="","",INDEX(選手一覧!$G$5:$G$2736,$F1043))</f>
        <v/>
      </c>
    </row>
    <row r="1044" customFormat="false" ht="15" hidden="false" customHeight="false" outlineLevel="0" collapsed="false">
      <c r="A1044" s="12" t="n">
        <v>1041</v>
      </c>
      <c r="B1044" s="8" t="s">
        <v>3487</v>
      </c>
      <c r="C1044" s="8" t="s">
        <v>89</v>
      </c>
      <c r="D1044" s="11" t="n">
        <v>0.00291273148148148</v>
      </c>
      <c r="E1044" s="39" t="n">
        <f aca="false">ROUND((D1044-$D$5)*86400,2)</f>
        <v>26.63</v>
      </c>
      <c r="F1044" s="12" t="n">
        <v>2260</v>
      </c>
      <c r="G1044" s="11" t="str">
        <f aca="false">IF(INDEX(選手一覧!$D$5:$D$2736,$F1044)="","",INDEX(選手一覧!$D$5:$D$2736,$F1044))</f>
        <v/>
      </c>
      <c r="H1044" s="12" t="str">
        <f aca="false">IF(INDEX(選手一覧!$E$5:$E$2736,$F1044)="","",INDEX(選手一覧!$E$5:$E$2736,$F1044))</f>
        <v/>
      </c>
      <c r="I1044" s="11" t="str">
        <f aca="false">IF(INDEX(選手一覧!$F$5:$F$2736,$F1044)="","",INDEX(選手一覧!$F$5:$F$2736,$F1044))</f>
        <v/>
      </c>
      <c r="J1044" s="12" t="str">
        <f aca="false">IF(INDEX(選手一覧!$G$5:$G$2736,$F1044)="","",INDEX(選手一覧!$G$5:$G$2736,$F1044))</f>
        <v/>
      </c>
    </row>
    <row r="1045" customFormat="false" ht="15" hidden="false" customHeight="false" outlineLevel="0" collapsed="false">
      <c r="A1045" s="12" t="n">
        <v>1042</v>
      </c>
      <c r="B1045" s="8" t="s">
        <v>951</v>
      </c>
      <c r="C1045" s="8" t="s">
        <v>54</v>
      </c>
      <c r="D1045" s="11" t="n">
        <v>0.00291284722222222</v>
      </c>
      <c r="E1045" s="39" t="n">
        <f aca="false">ROUND((D1045-$D$5)*86400,2)</f>
        <v>26.64</v>
      </c>
      <c r="F1045" s="12" t="n">
        <v>548</v>
      </c>
      <c r="G1045" s="11" t="n">
        <f aca="false">IF(INDEX(選手一覧!$D$5:$D$2736,$F1045)="","",INDEX(選手一覧!$D$5:$D$2736,$F1045))</f>
        <v>0.0106704861111111</v>
      </c>
      <c r="H1045" s="12" t="n">
        <f aca="false">IF(INDEX(選手一覧!$E$5:$E$2736,$F1045)="","",INDEX(選手一覧!$E$5:$E$2736,$F1045))</f>
        <v>549</v>
      </c>
      <c r="I1045" s="11" t="n">
        <f aca="false">IF(INDEX(選手一覧!$F$5:$F$2736,$F1045)="","",INDEX(選手一覧!$F$5:$F$2736,$F1045))</f>
        <v>0.00736342592592593</v>
      </c>
      <c r="J1045" s="12" t="n">
        <f aca="false">IF(INDEX(選手一覧!$G$5:$G$2736,$F1045)="","",INDEX(選手一覧!$G$5:$G$2736,$F1045))</f>
        <v>725</v>
      </c>
    </row>
    <row r="1046" customFormat="false" ht="15" hidden="false" customHeight="false" outlineLevel="0" collapsed="false">
      <c r="A1046" s="12" t="n">
        <v>1043</v>
      </c>
      <c r="B1046" s="8" t="s">
        <v>970</v>
      </c>
      <c r="C1046" s="8" t="s">
        <v>971</v>
      </c>
      <c r="D1046" s="11" t="n">
        <v>0.00291319444444444</v>
      </c>
      <c r="E1046" s="39" t="n">
        <f aca="false">ROUND((D1046-$D$5)*86400,2)</f>
        <v>26.67</v>
      </c>
      <c r="F1046" s="12" t="n">
        <v>561</v>
      </c>
      <c r="G1046" s="11" t="n">
        <f aca="false">IF(INDEX(選手一覧!$D$5:$D$2736,$F1046)="","",INDEX(選手一覧!$D$5:$D$2736,$F1046))</f>
        <v>0.0106869212962963</v>
      </c>
      <c r="H1046" s="12" t="n">
        <f aca="false">IF(INDEX(選手一覧!$E$5:$E$2736,$F1046)="","",INDEX(選手一覧!$E$5:$E$2736,$F1046))</f>
        <v>562</v>
      </c>
      <c r="I1046" s="11" t="str">
        <f aca="false">IF(INDEX(選手一覧!$F$5:$F$2736,$F1046)="","",INDEX(選手一覧!$F$5:$F$2736,$F1046))</f>
        <v/>
      </c>
      <c r="J1046" s="12" t="str">
        <f aca="false">IF(INDEX(選手一覧!$G$5:$G$2736,$F1046)="","",INDEX(選手一覧!$G$5:$G$2736,$F1046))</f>
        <v/>
      </c>
    </row>
    <row r="1047" customFormat="false" ht="15" hidden="false" customHeight="false" outlineLevel="0" collapsed="false">
      <c r="A1047" s="12" t="n">
        <v>1044</v>
      </c>
      <c r="B1047" s="8" t="s">
        <v>3492</v>
      </c>
      <c r="C1047" s="8" t="s">
        <v>2277</v>
      </c>
      <c r="D1047" s="11" t="n">
        <v>0.00291331018518519</v>
      </c>
      <c r="E1047" s="39" t="n">
        <f aca="false">ROUND((D1047-$D$5)*86400,2)</f>
        <v>26.68</v>
      </c>
      <c r="F1047" s="12" t="n">
        <v>2264</v>
      </c>
      <c r="G1047" s="11" t="str">
        <f aca="false">IF(INDEX(選手一覧!$D$5:$D$2736,$F1047)="","",INDEX(選手一覧!$D$5:$D$2736,$F1047))</f>
        <v/>
      </c>
      <c r="H1047" s="12" t="str">
        <f aca="false">IF(INDEX(選手一覧!$E$5:$E$2736,$F1047)="","",INDEX(選手一覧!$E$5:$E$2736,$F1047))</f>
        <v/>
      </c>
      <c r="I1047" s="11" t="str">
        <f aca="false">IF(INDEX(選手一覧!$F$5:$F$2736,$F1047)="","",INDEX(選手一覧!$F$5:$F$2736,$F1047))</f>
        <v/>
      </c>
      <c r="J1047" s="12" t="str">
        <f aca="false">IF(INDEX(選手一覧!$G$5:$G$2736,$F1047)="","",INDEX(選手一覧!$G$5:$G$2736,$F1047))</f>
        <v/>
      </c>
    </row>
    <row r="1048" customFormat="false" ht="15" hidden="false" customHeight="false" outlineLevel="0" collapsed="false">
      <c r="A1048" s="12" t="n">
        <v>1045</v>
      </c>
      <c r="B1048" s="8" t="s">
        <v>3494</v>
      </c>
      <c r="C1048" s="8" t="s">
        <v>2910</v>
      </c>
      <c r="D1048" s="11" t="n">
        <v>0.00291331018518519</v>
      </c>
      <c r="E1048" s="39" t="n">
        <f aca="false">ROUND((D1048-$D$5)*86400,2)</f>
        <v>26.68</v>
      </c>
      <c r="F1048" s="12" t="n">
        <v>2266</v>
      </c>
      <c r="G1048" s="11" t="str">
        <f aca="false">IF(INDEX(選手一覧!$D$5:$D$2736,$F1048)="","",INDEX(選手一覧!$D$5:$D$2736,$F1048))</f>
        <v/>
      </c>
      <c r="H1048" s="12" t="str">
        <f aca="false">IF(INDEX(選手一覧!$E$5:$E$2736,$F1048)="","",INDEX(選手一覧!$E$5:$E$2736,$F1048))</f>
        <v/>
      </c>
      <c r="I1048" s="11" t="str">
        <f aca="false">IF(INDEX(選手一覧!$F$5:$F$2736,$F1048)="","",INDEX(選手一覧!$F$5:$F$2736,$F1048))</f>
        <v/>
      </c>
      <c r="J1048" s="12" t="str">
        <f aca="false">IF(INDEX(選手一覧!$G$5:$G$2736,$F1048)="","",INDEX(選手一覧!$G$5:$G$2736,$F1048))</f>
        <v/>
      </c>
    </row>
    <row r="1049" customFormat="false" ht="15" hidden="false" customHeight="false" outlineLevel="0" collapsed="false">
      <c r="A1049" s="12" t="n">
        <v>1046</v>
      </c>
      <c r="B1049" s="8" t="s">
        <v>1223</v>
      </c>
      <c r="C1049" s="8" t="s">
        <v>1224</v>
      </c>
      <c r="D1049" s="11" t="n">
        <v>0.00291354166666667</v>
      </c>
      <c r="E1049" s="39" t="n">
        <f aca="false">ROUND((D1049-$D$5)*86400,2)</f>
        <v>26.7</v>
      </c>
      <c r="F1049" s="12" t="n">
        <v>732</v>
      </c>
      <c r="G1049" s="11" t="n">
        <f aca="false">IF(INDEX(選手一覧!$D$5:$D$2736,$F1049)="","",INDEX(選手一覧!$D$5:$D$2736,$F1049))</f>
        <v>0.010794212962963</v>
      </c>
      <c r="H1049" s="12" t="n">
        <f aca="false">IF(INDEX(選手一覧!$E$5:$E$2736,$F1049)="","",INDEX(選手一覧!$E$5:$E$2736,$F1049))</f>
        <v>733</v>
      </c>
      <c r="I1049" s="11" t="n">
        <f aca="false">IF(INDEX(選手一覧!$F$5:$F$2736,$F1049)="","",INDEX(選手一覧!$F$5:$F$2736,$F1049))</f>
        <v>0.00658078703703704</v>
      </c>
      <c r="J1049" s="12" t="n">
        <f aca="false">IF(INDEX(選手一覧!$G$5:$G$2736,$F1049)="","",INDEX(選手一覧!$G$5:$G$2736,$F1049))</f>
        <v>62</v>
      </c>
    </row>
    <row r="1050" customFormat="false" ht="15" hidden="false" customHeight="false" outlineLevel="0" collapsed="false">
      <c r="A1050" s="12" t="n">
        <v>1047</v>
      </c>
      <c r="B1050" s="8" t="s">
        <v>3499</v>
      </c>
      <c r="C1050" s="8" t="s">
        <v>641</v>
      </c>
      <c r="D1050" s="11" t="n">
        <v>0.00291365740740741</v>
      </c>
      <c r="E1050" s="39" t="n">
        <f aca="false">ROUND((D1050-$D$5)*86400,2)</f>
        <v>26.71</v>
      </c>
      <c r="F1050" s="12" t="n">
        <v>2269</v>
      </c>
      <c r="G1050" s="11" t="str">
        <f aca="false">IF(INDEX(選手一覧!$D$5:$D$2736,$F1050)="","",INDEX(選手一覧!$D$5:$D$2736,$F1050))</f>
        <v/>
      </c>
      <c r="H1050" s="12" t="str">
        <f aca="false">IF(INDEX(選手一覧!$E$5:$E$2736,$F1050)="","",INDEX(選手一覧!$E$5:$E$2736,$F1050))</f>
        <v/>
      </c>
      <c r="I1050" s="11" t="str">
        <f aca="false">IF(INDEX(選手一覧!$F$5:$F$2736,$F1050)="","",INDEX(選手一覧!$F$5:$F$2736,$F1050))</f>
        <v/>
      </c>
      <c r="J1050" s="12" t="str">
        <f aca="false">IF(INDEX(選手一覧!$G$5:$G$2736,$F1050)="","",INDEX(選手一覧!$G$5:$G$2736,$F1050))</f>
        <v/>
      </c>
    </row>
    <row r="1051" customFormat="false" ht="15" hidden="false" customHeight="false" outlineLevel="0" collapsed="false">
      <c r="A1051" s="12" t="n">
        <v>1048</v>
      </c>
      <c r="B1051" s="8" t="s">
        <v>1750</v>
      </c>
      <c r="C1051" s="8" t="s">
        <v>1262</v>
      </c>
      <c r="D1051" s="11" t="n">
        <v>0.00291365740740741</v>
      </c>
      <c r="E1051" s="39" t="n">
        <f aca="false">ROUND((D1051-$D$5)*86400,2)</f>
        <v>26.71</v>
      </c>
      <c r="F1051" s="12" t="n">
        <v>1087</v>
      </c>
      <c r="G1051" s="11" t="n">
        <f aca="false">IF(INDEX(選手一覧!$D$5:$D$2736,$F1051)="","",INDEX(選手一覧!$D$5:$D$2736,$F1051))</f>
        <v>0.0109949074074074</v>
      </c>
      <c r="H1051" s="12" t="n">
        <f aca="false">IF(INDEX(選手一覧!$E$5:$E$2736,$F1051)="","",INDEX(選手一覧!$E$5:$E$2736,$F1051))</f>
        <v>1088</v>
      </c>
      <c r="I1051" s="11" t="n">
        <f aca="false">IF(INDEX(選手一覧!$F$5:$F$2736,$F1051)="","",INDEX(選手一覧!$F$5:$F$2736,$F1051))</f>
        <v>0.00703831018518519</v>
      </c>
      <c r="J1051" s="12" t="n">
        <f aca="false">IF(INDEX(選手一覧!$G$5:$G$2736,$F1051)="","",INDEX(選手一覧!$G$5:$G$2736,$F1051))</f>
        <v>370</v>
      </c>
    </row>
    <row r="1052" customFormat="false" ht="15" hidden="false" customHeight="false" outlineLevel="0" collapsed="false">
      <c r="A1052" s="12" t="n">
        <v>1049</v>
      </c>
      <c r="B1052" s="8" t="s">
        <v>1234</v>
      </c>
      <c r="C1052" s="8" t="s">
        <v>108</v>
      </c>
      <c r="D1052" s="11" t="n">
        <v>0.00291377314814815</v>
      </c>
      <c r="E1052" s="39" t="n">
        <f aca="false">ROUND((D1052-$D$5)*86400,2)</f>
        <v>26.72</v>
      </c>
      <c r="F1052" s="12" t="n">
        <v>740</v>
      </c>
      <c r="G1052" s="11" t="n">
        <f aca="false">IF(INDEX(選手一覧!$D$5:$D$2736,$F1052)="","",INDEX(選手一覧!$D$5:$D$2736,$F1052))</f>
        <v>0.0108009259259259</v>
      </c>
      <c r="H1052" s="12" t="n">
        <f aca="false">IF(INDEX(選手一覧!$E$5:$E$2736,$F1052)="","",INDEX(選手一覧!$E$5:$E$2736,$F1052))</f>
        <v>741</v>
      </c>
      <c r="I1052" s="11" t="str">
        <f aca="false">IF(INDEX(選手一覧!$F$5:$F$2736,$F1052)="","",INDEX(選手一覧!$F$5:$F$2736,$F1052))</f>
        <v/>
      </c>
      <c r="J1052" s="12" t="str">
        <f aca="false">IF(INDEX(選手一覧!$G$5:$G$2736,$F1052)="","",INDEX(選手一覧!$G$5:$G$2736,$F1052))</f>
        <v/>
      </c>
    </row>
    <row r="1053" customFormat="false" ht="15" hidden="false" customHeight="false" outlineLevel="0" collapsed="false">
      <c r="A1053" s="12" t="n">
        <v>1050</v>
      </c>
      <c r="B1053" s="8" t="s">
        <v>976</v>
      </c>
      <c r="C1053" s="8" t="s">
        <v>294</v>
      </c>
      <c r="D1053" s="11" t="n">
        <v>0.00291388888888889</v>
      </c>
      <c r="E1053" s="39" t="n">
        <f aca="false">ROUND((D1053-$D$5)*86400,2)</f>
        <v>26.73</v>
      </c>
      <c r="F1053" s="12" t="n">
        <v>564</v>
      </c>
      <c r="G1053" s="11" t="n">
        <f aca="false">IF(INDEX(選手一覧!$D$5:$D$2736,$F1053)="","",INDEX(選手一覧!$D$5:$D$2736,$F1053))</f>
        <v>0.0106880787037037</v>
      </c>
      <c r="H1053" s="12" t="n">
        <f aca="false">IF(INDEX(選手一覧!$E$5:$E$2736,$F1053)="","",INDEX(選手一覧!$E$5:$E$2736,$F1053))</f>
        <v>565</v>
      </c>
      <c r="I1053" s="11" t="n">
        <f aca="false">IF(INDEX(選手一覧!$F$5:$F$2736,$F1053)="","",INDEX(選手一覧!$F$5:$F$2736,$F1053))</f>
        <v>0.00703842592592593</v>
      </c>
      <c r="J1053" s="12" t="n">
        <f aca="false">IF(INDEX(選手一覧!$G$5:$G$2736,$F1053)="","",INDEX(選手一覧!$G$5:$G$2736,$F1053))</f>
        <v>371</v>
      </c>
    </row>
    <row r="1054" customFormat="false" ht="15" hidden="false" customHeight="false" outlineLevel="0" collapsed="false">
      <c r="A1054" s="12" t="n">
        <v>1051</v>
      </c>
      <c r="B1054" s="8" t="s">
        <v>2004</v>
      </c>
      <c r="C1054" s="8" t="s">
        <v>96</v>
      </c>
      <c r="D1054" s="11" t="n">
        <v>0.00291412037037037</v>
      </c>
      <c r="E1054" s="39" t="n">
        <f aca="false">ROUND((D1054-$D$5)*86400,2)</f>
        <v>26.75</v>
      </c>
      <c r="F1054" s="12" t="n">
        <v>1267</v>
      </c>
      <c r="G1054" s="11" t="n">
        <f aca="false">IF(INDEX(選手一覧!$D$5:$D$2736,$F1054)="","",INDEX(選手一覧!$D$5:$D$2736,$F1054))</f>
        <v>0.0110979166666667</v>
      </c>
      <c r="H1054" s="12" t="n">
        <f aca="false">IF(INDEX(選手一覧!$E$5:$E$2736,$F1054)="","",INDEX(選手一覧!$E$5:$E$2736,$F1054))</f>
        <v>1268</v>
      </c>
      <c r="I1054" s="11" t="n">
        <f aca="false">IF(INDEX(選手一覧!$F$5:$F$2736,$F1054)="","",INDEX(選手一覧!$F$5:$F$2736,$F1054))</f>
        <v>0.00742951388888889</v>
      </c>
      <c r="J1054" s="12" t="n">
        <f aca="false">IF(INDEX(選手一覧!$G$5:$G$2736,$F1054)="","",INDEX(選手一覧!$G$5:$G$2736,$F1054))</f>
        <v>804</v>
      </c>
    </row>
    <row r="1055" customFormat="false" ht="15" hidden="false" customHeight="false" outlineLevel="0" collapsed="false">
      <c r="A1055" s="12" t="n">
        <v>1052</v>
      </c>
      <c r="B1055" s="8" t="s">
        <v>3508</v>
      </c>
      <c r="C1055" s="8" t="s">
        <v>3509</v>
      </c>
      <c r="D1055" s="11" t="n">
        <v>0.00291435185185185</v>
      </c>
      <c r="E1055" s="39" t="n">
        <f aca="false">ROUND((D1055-$D$5)*86400,2)</f>
        <v>26.77</v>
      </c>
      <c r="F1055" s="12" t="n">
        <v>2275</v>
      </c>
      <c r="G1055" s="11" t="str">
        <f aca="false">IF(INDEX(選手一覧!$D$5:$D$2736,$F1055)="","",INDEX(選手一覧!$D$5:$D$2736,$F1055))</f>
        <v/>
      </c>
      <c r="H1055" s="12" t="str">
        <f aca="false">IF(INDEX(選手一覧!$E$5:$E$2736,$F1055)="","",INDEX(選手一覧!$E$5:$E$2736,$F1055))</f>
        <v/>
      </c>
      <c r="I1055" s="11" t="str">
        <f aca="false">IF(INDEX(選手一覧!$F$5:$F$2736,$F1055)="","",INDEX(選手一覧!$F$5:$F$2736,$F1055))</f>
        <v/>
      </c>
      <c r="J1055" s="12" t="str">
        <f aca="false">IF(INDEX(選手一覧!$G$5:$G$2736,$F1055)="","",INDEX(選手一覧!$G$5:$G$2736,$F1055))</f>
        <v/>
      </c>
    </row>
    <row r="1056" customFormat="false" ht="15" hidden="false" customHeight="false" outlineLevel="0" collapsed="false">
      <c r="A1056" s="12" t="n">
        <v>1053</v>
      </c>
      <c r="B1056" s="8" t="s">
        <v>1355</v>
      </c>
      <c r="C1056" s="8" t="s">
        <v>1356</v>
      </c>
      <c r="D1056" s="11" t="n">
        <v>0.00291481481481482</v>
      </c>
      <c r="E1056" s="39" t="n">
        <f aca="false">ROUND((D1056-$D$5)*86400,2)</f>
        <v>26.81</v>
      </c>
      <c r="F1056" s="12" t="n">
        <v>823</v>
      </c>
      <c r="G1056" s="11" t="n">
        <f aca="false">IF(INDEX(選手一覧!$D$5:$D$2736,$F1056)="","",INDEX(選手一覧!$D$5:$D$2736,$F1056))</f>
        <v>0.0108440972222222</v>
      </c>
      <c r="H1056" s="12" t="n">
        <f aca="false">IF(INDEX(選手一覧!$E$5:$E$2736,$F1056)="","",INDEX(選手一覧!$E$5:$E$2736,$F1056))</f>
        <v>824</v>
      </c>
      <c r="I1056" s="11" t="str">
        <f aca="false">IF(INDEX(選手一覧!$F$5:$F$2736,$F1056)="","",INDEX(選手一覧!$F$5:$F$2736,$F1056))</f>
        <v/>
      </c>
      <c r="J1056" s="12" t="str">
        <f aca="false">IF(INDEX(選手一覧!$G$5:$G$2736,$F1056)="","",INDEX(選手一覧!$G$5:$G$2736,$F1056))</f>
        <v/>
      </c>
    </row>
    <row r="1057" customFormat="false" ht="15" hidden="false" customHeight="false" outlineLevel="0" collapsed="false">
      <c r="A1057" s="12" t="n">
        <v>1054</v>
      </c>
      <c r="B1057" s="8" t="s">
        <v>3512</v>
      </c>
      <c r="C1057" s="8" t="s">
        <v>2799</v>
      </c>
      <c r="D1057" s="11" t="n">
        <v>0.00291493055555556</v>
      </c>
      <c r="E1057" s="39" t="n">
        <f aca="false">ROUND((D1057-$D$5)*86400,2)</f>
        <v>26.82</v>
      </c>
      <c r="F1057" s="12" t="n">
        <v>2278</v>
      </c>
      <c r="G1057" s="11" t="str">
        <f aca="false">IF(INDEX(選手一覧!$D$5:$D$2736,$F1057)="","",INDEX(選手一覧!$D$5:$D$2736,$F1057))</f>
        <v/>
      </c>
      <c r="H1057" s="12" t="str">
        <f aca="false">IF(INDEX(選手一覧!$E$5:$E$2736,$F1057)="","",INDEX(選手一覧!$E$5:$E$2736,$F1057))</f>
        <v/>
      </c>
      <c r="I1057" s="11" t="str">
        <f aca="false">IF(INDEX(選手一覧!$F$5:$F$2736,$F1057)="","",INDEX(選手一覧!$F$5:$F$2736,$F1057))</f>
        <v/>
      </c>
      <c r="J1057" s="12" t="str">
        <f aca="false">IF(INDEX(選手一覧!$G$5:$G$2736,$F1057)="","",INDEX(選手一覧!$G$5:$G$2736,$F1057))</f>
        <v/>
      </c>
    </row>
    <row r="1058" customFormat="false" ht="15" hidden="false" customHeight="false" outlineLevel="0" collapsed="false">
      <c r="A1058" s="12" t="n">
        <v>1055</v>
      </c>
      <c r="B1058" s="8" t="s">
        <v>1707</v>
      </c>
      <c r="C1058" s="8" t="s">
        <v>1708</v>
      </c>
      <c r="D1058" s="11" t="n">
        <v>0.00291550925925926</v>
      </c>
      <c r="E1058" s="39" t="n">
        <f aca="false">ROUND((D1058-$D$5)*86400,2)</f>
        <v>26.87</v>
      </c>
      <c r="F1058" s="12" t="n">
        <v>1059</v>
      </c>
      <c r="G1058" s="11" t="n">
        <f aca="false">IF(INDEX(選手一覧!$D$5:$D$2736,$F1058)="","",INDEX(選手一覧!$D$5:$D$2736,$F1058))</f>
        <v>0.01098125</v>
      </c>
      <c r="H1058" s="12" t="n">
        <f aca="false">IF(INDEX(選手一覧!$E$5:$E$2736,$F1058)="","",INDEX(選手一覧!$E$5:$E$2736,$F1058))</f>
        <v>1060</v>
      </c>
      <c r="I1058" s="11" t="n">
        <f aca="false">IF(INDEX(選手一覧!$F$5:$F$2736,$F1058)="","",INDEX(選手一覧!$F$5:$F$2736,$F1058))</f>
        <v>0.00697002314814815</v>
      </c>
      <c r="J1058" s="12" t="n">
        <f aca="false">IF(INDEX(選手一覧!$G$5:$G$2736,$F1058)="","",INDEX(選手一覧!$G$5:$G$2736,$F1058))</f>
        <v>305</v>
      </c>
    </row>
    <row r="1059" customFormat="false" ht="15" hidden="false" customHeight="false" outlineLevel="0" collapsed="false">
      <c r="A1059" s="12" t="n">
        <v>1056</v>
      </c>
      <c r="B1059" s="8" t="s">
        <v>741</v>
      </c>
      <c r="C1059" s="8" t="s">
        <v>742</v>
      </c>
      <c r="D1059" s="11" t="n">
        <v>0.00291550925925926</v>
      </c>
      <c r="E1059" s="39" t="n">
        <f aca="false">ROUND((D1059-$D$5)*86400,2)</f>
        <v>26.87</v>
      </c>
      <c r="F1059" s="12" t="n">
        <v>415</v>
      </c>
      <c r="G1059" s="11" t="n">
        <f aca="false">IF(INDEX(選手一覧!$D$5:$D$2736,$F1059)="","",INDEX(選手一覧!$D$5:$D$2736,$F1059))</f>
        <v>0.0105638888888889</v>
      </c>
      <c r="H1059" s="12" t="n">
        <f aca="false">IF(INDEX(選手一覧!$E$5:$E$2736,$F1059)="","",INDEX(選手一覧!$E$5:$E$2736,$F1059))</f>
        <v>416</v>
      </c>
      <c r="I1059" s="11" t="str">
        <f aca="false">IF(INDEX(選手一覧!$F$5:$F$2736,$F1059)="","",INDEX(選手一覧!$F$5:$F$2736,$F1059))</f>
        <v/>
      </c>
      <c r="J1059" s="12" t="str">
        <f aca="false">IF(INDEX(選手一覧!$G$5:$G$2736,$F1059)="","",INDEX(選手一覧!$G$5:$G$2736,$F1059))</f>
        <v/>
      </c>
    </row>
    <row r="1060" customFormat="false" ht="15" hidden="false" customHeight="false" outlineLevel="0" collapsed="false">
      <c r="A1060" s="12" t="n">
        <v>1057</v>
      </c>
      <c r="B1060" s="8" t="s">
        <v>1568</v>
      </c>
      <c r="C1060" s="8" t="s">
        <v>1569</v>
      </c>
      <c r="D1060" s="11" t="n">
        <v>0.002915625</v>
      </c>
      <c r="E1060" s="39" t="n">
        <f aca="false">ROUND((D1060-$D$5)*86400,2)</f>
        <v>26.88</v>
      </c>
      <c r="F1060" s="12" t="n">
        <v>964</v>
      </c>
      <c r="G1060" s="11" t="n">
        <f aca="false">IF(INDEX(選手一覧!$D$5:$D$2736,$F1060)="","",INDEX(選手一覧!$D$5:$D$2736,$F1060))</f>
        <v>0.0109290509259259</v>
      </c>
      <c r="H1060" s="12" t="n">
        <f aca="false">IF(INDEX(選手一覧!$E$5:$E$2736,$F1060)="","",INDEX(選手一覧!$E$5:$E$2736,$F1060))</f>
        <v>965</v>
      </c>
      <c r="I1060" s="11" t="str">
        <f aca="false">IF(INDEX(選手一覧!$F$5:$F$2736,$F1060)="","",INDEX(選手一覧!$F$5:$F$2736,$F1060))</f>
        <v/>
      </c>
      <c r="J1060" s="12" t="str">
        <f aca="false">IF(INDEX(選手一覧!$G$5:$G$2736,$F1060)="","",INDEX(選手一覧!$G$5:$G$2736,$F1060))</f>
        <v/>
      </c>
    </row>
    <row r="1061" customFormat="false" ht="15" hidden="false" customHeight="false" outlineLevel="0" collapsed="false">
      <c r="A1061" s="12" t="n">
        <v>1058</v>
      </c>
      <c r="B1061" s="8" t="s">
        <v>3516</v>
      </c>
      <c r="C1061" s="8" t="s">
        <v>530</v>
      </c>
      <c r="D1061" s="11" t="n">
        <v>0.00291597222222222</v>
      </c>
      <c r="E1061" s="39" t="n">
        <f aca="false">ROUND((D1061-$D$5)*86400,2)</f>
        <v>26.91</v>
      </c>
      <c r="F1061" s="12" t="n">
        <v>2282</v>
      </c>
      <c r="G1061" s="11" t="str">
        <f aca="false">IF(INDEX(選手一覧!$D$5:$D$2736,$F1061)="","",INDEX(選手一覧!$D$5:$D$2736,$F1061))</f>
        <v/>
      </c>
      <c r="H1061" s="12" t="str">
        <f aca="false">IF(INDEX(選手一覧!$E$5:$E$2736,$F1061)="","",INDEX(選手一覧!$E$5:$E$2736,$F1061))</f>
        <v/>
      </c>
      <c r="I1061" s="11" t="str">
        <f aca="false">IF(INDEX(選手一覧!$F$5:$F$2736,$F1061)="","",INDEX(選手一覧!$F$5:$F$2736,$F1061))</f>
        <v/>
      </c>
      <c r="J1061" s="12" t="str">
        <f aca="false">IF(INDEX(選手一覧!$G$5:$G$2736,$F1061)="","",INDEX(選手一覧!$G$5:$G$2736,$F1061))</f>
        <v/>
      </c>
    </row>
    <row r="1062" customFormat="false" ht="15" hidden="false" customHeight="false" outlineLevel="0" collapsed="false">
      <c r="A1062" s="12" t="n">
        <v>1059</v>
      </c>
      <c r="B1062" s="8" t="s">
        <v>1048</v>
      </c>
      <c r="C1062" s="8" t="s">
        <v>588</v>
      </c>
      <c r="D1062" s="11" t="n">
        <v>0.00291608796296296</v>
      </c>
      <c r="E1062" s="39" t="n">
        <f aca="false">ROUND((D1062-$D$5)*86400,2)</f>
        <v>26.92</v>
      </c>
      <c r="F1062" s="12" t="n">
        <v>616</v>
      </c>
      <c r="G1062" s="11" t="n">
        <f aca="false">IF(INDEX(選手一覧!$D$5:$D$2736,$F1062)="","",INDEX(選手一覧!$D$5:$D$2736,$F1062))</f>
        <v>0.0107229166666667</v>
      </c>
      <c r="H1062" s="12" t="n">
        <f aca="false">IF(INDEX(選手一覧!$E$5:$E$2736,$F1062)="","",INDEX(選手一覧!$E$5:$E$2736,$F1062))</f>
        <v>617</v>
      </c>
      <c r="I1062" s="11" t="n">
        <f aca="false">IF(INDEX(選手一覧!$F$5:$F$2736,$F1062)="","",INDEX(選手一覧!$F$5:$F$2736,$F1062))</f>
        <v>0.00666805555555556</v>
      </c>
      <c r="J1062" s="12" t="n">
        <f aca="false">IF(INDEX(選手一覧!$G$5:$G$2736,$F1062)="","",INDEX(選手一覧!$G$5:$G$2736,$F1062))</f>
        <v>91</v>
      </c>
    </row>
    <row r="1063" customFormat="false" ht="15" hidden="false" customHeight="false" outlineLevel="0" collapsed="false">
      <c r="A1063" s="12" t="n">
        <v>1060</v>
      </c>
      <c r="B1063" s="8" t="s">
        <v>1049</v>
      </c>
      <c r="C1063" s="8" t="s">
        <v>641</v>
      </c>
      <c r="D1063" s="11" t="n">
        <v>0.0029162037037037</v>
      </c>
      <c r="E1063" s="39" t="n">
        <f aca="false">ROUND((D1063-$D$5)*86400,2)</f>
        <v>26.93</v>
      </c>
      <c r="F1063" s="12" t="n">
        <v>617</v>
      </c>
      <c r="G1063" s="11" t="n">
        <f aca="false">IF(INDEX(選手一覧!$D$5:$D$2736,$F1063)="","",INDEX(選手一覧!$D$5:$D$2736,$F1063))</f>
        <v>0.0107231481481482</v>
      </c>
      <c r="H1063" s="12" t="n">
        <f aca="false">IF(INDEX(選手一覧!$E$5:$E$2736,$F1063)="","",INDEX(選手一覧!$E$5:$E$2736,$F1063))</f>
        <v>618</v>
      </c>
      <c r="I1063" s="11" t="n">
        <f aca="false">IF(INDEX(選手一覧!$F$5:$F$2736,$F1063)="","",INDEX(選手一覧!$F$5:$F$2736,$F1063))</f>
        <v>0.00752777777777778</v>
      </c>
      <c r="J1063" s="12" t="n">
        <f aca="false">IF(INDEX(選手一覧!$G$5:$G$2736,$F1063)="","",INDEX(選手一覧!$G$5:$G$2736,$F1063))</f>
        <v>928</v>
      </c>
    </row>
    <row r="1064" customFormat="false" ht="15" hidden="false" customHeight="false" outlineLevel="0" collapsed="false">
      <c r="A1064" s="12" t="n">
        <v>1061</v>
      </c>
      <c r="B1064" s="8" t="s">
        <v>3521</v>
      </c>
      <c r="C1064" s="8" t="s">
        <v>3522</v>
      </c>
      <c r="D1064" s="11" t="n">
        <v>0.00291631944444444</v>
      </c>
      <c r="E1064" s="39" t="n">
        <f aca="false">ROUND((D1064-$D$5)*86400,2)</f>
        <v>26.94</v>
      </c>
      <c r="F1064" s="12" t="n">
        <v>2286</v>
      </c>
      <c r="G1064" s="11" t="str">
        <f aca="false">IF(INDEX(選手一覧!$D$5:$D$2736,$F1064)="","",INDEX(選手一覧!$D$5:$D$2736,$F1064))</f>
        <v/>
      </c>
      <c r="H1064" s="12" t="str">
        <f aca="false">IF(INDEX(選手一覧!$E$5:$E$2736,$F1064)="","",INDEX(選手一覧!$E$5:$E$2736,$F1064))</f>
        <v/>
      </c>
      <c r="I1064" s="11" t="str">
        <f aca="false">IF(INDEX(選手一覧!$F$5:$F$2736,$F1064)="","",INDEX(選手一覧!$F$5:$F$2736,$F1064))</f>
        <v/>
      </c>
      <c r="J1064" s="12" t="str">
        <f aca="false">IF(INDEX(選手一覧!$G$5:$G$2736,$F1064)="","",INDEX(選手一覧!$G$5:$G$2736,$F1064))</f>
        <v/>
      </c>
    </row>
    <row r="1065" customFormat="false" ht="15" hidden="false" customHeight="false" outlineLevel="0" collapsed="false">
      <c r="A1065" s="12" t="n">
        <v>1062</v>
      </c>
      <c r="B1065" s="8" t="s">
        <v>3524</v>
      </c>
      <c r="C1065" s="8" t="s">
        <v>3449</v>
      </c>
      <c r="D1065" s="11" t="n">
        <v>0.00291631944444444</v>
      </c>
      <c r="E1065" s="39" t="n">
        <f aca="false">ROUND((D1065-$D$5)*86400,2)</f>
        <v>26.94</v>
      </c>
      <c r="F1065" s="12" t="n">
        <v>2288</v>
      </c>
      <c r="G1065" s="11" t="str">
        <f aca="false">IF(INDEX(選手一覧!$D$5:$D$2736,$F1065)="","",INDEX(選手一覧!$D$5:$D$2736,$F1065))</f>
        <v/>
      </c>
      <c r="H1065" s="12" t="str">
        <f aca="false">IF(INDEX(選手一覧!$E$5:$E$2736,$F1065)="","",INDEX(選手一覧!$E$5:$E$2736,$F1065))</f>
        <v/>
      </c>
      <c r="I1065" s="11" t="str">
        <f aca="false">IF(INDEX(選手一覧!$F$5:$F$2736,$F1065)="","",INDEX(選手一覧!$F$5:$F$2736,$F1065))</f>
        <v/>
      </c>
      <c r="J1065" s="12" t="str">
        <f aca="false">IF(INDEX(選手一覧!$G$5:$G$2736,$F1065)="","",INDEX(選手一覧!$G$5:$G$2736,$F1065))</f>
        <v/>
      </c>
    </row>
    <row r="1066" customFormat="false" ht="15" hidden="false" customHeight="false" outlineLevel="0" collapsed="false">
      <c r="A1066" s="12" t="n">
        <v>1063</v>
      </c>
      <c r="B1066" s="8" t="s">
        <v>494</v>
      </c>
      <c r="C1066" s="8" t="s">
        <v>136</v>
      </c>
      <c r="D1066" s="11" t="n">
        <v>0.00291655092592593</v>
      </c>
      <c r="E1066" s="39" t="n">
        <f aca="false">ROUND((D1066-$D$5)*86400,2)</f>
        <v>26.96</v>
      </c>
      <c r="F1066" s="12" t="n">
        <v>261</v>
      </c>
      <c r="G1066" s="11" t="n">
        <f aca="false">IF(INDEX(選手一覧!$D$5:$D$2736,$F1066)="","",INDEX(選手一覧!$D$5:$D$2736,$F1066))</f>
        <v>0.0103980324074074</v>
      </c>
      <c r="H1066" s="12" t="n">
        <f aca="false">IF(INDEX(選手一覧!$E$5:$E$2736,$F1066)="","",INDEX(選手一覧!$E$5:$E$2736,$F1066))</f>
        <v>262</v>
      </c>
      <c r="I1066" s="11" t="str">
        <f aca="false">IF(INDEX(選手一覧!$F$5:$F$2736,$F1066)="","",INDEX(選手一覧!$F$5:$F$2736,$F1066))</f>
        <v/>
      </c>
      <c r="J1066" s="12" t="str">
        <f aca="false">IF(INDEX(選手一覧!$G$5:$G$2736,$F1066)="","",INDEX(選手一覧!$G$5:$G$2736,$F1066))</f>
        <v/>
      </c>
    </row>
    <row r="1067" customFormat="false" ht="15" hidden="false" customHeight="false" outlineLevel="0" collapsed="false">
      <c r="A1067" s="12" t="n">
        <v>1064</v>
      </c>
      <c r="B1067" s="8" t="s">
        <v>852</v>
      </c>
      <c r="C1067" s="8" t="s">
        <v>853</v>
      </c>
      <c r="D1067" s="11" t="n">
        <v>0.00291678240740741</v>
      </c>
      <c r="E1067" s="39" t="n">
        <f aca="false">ROUND((D1067-$D$5)*86400,2)</f>
        <v>26.98</v>
      </c>
      <c r="F1067" s="12" t="n">
        <v>489</v>
      </c>
      <c r="G1067" s="11" t="n">
        <f aca="false">IF(INDEX(選手一覧!$D$5:$D$2736,$F1067)="","",INDEX(選手一覧!$D$5:$D$2736,$F1067))</f>
        <v>0.0106164351851852</v>
      </c>
      <c r="H1067" s="12" t="n">
        <f aca="false">IF(INDEX(選手一覧!$E$5:$E$2736,$F1067)="","",INDEX(選手一覧!$E$5:$E$2736,$F1067))</f>
        <v>490</v>
      </c>
      <c r="I1067" s="11" t="n">
        <f aca="false">IF(INDEX(選手一覧!$F$5:$F$2736,$F1067)="","",INDEX(選手一覧!$F$5:$F$2736,$F1067))</f>
        <v>0.00720949074074074</v>
      </c>
      <c r="J1067" s="12" t="n">
        <f aca="false">IF(INDEX(選手一覧!$G$5:$G$2736,$F1067)="","",INDEX(選手一覧!$G$5:$G$2736,$F1067))</f>
        <v>546</v>
      </c>
    </row>
    <row r="1068" customFormat="false" ht="15" hidden="false" customHeight="false" outlineLevel="0" collapsed="false">
      <c r="A1068" s="12" t="n">
        <v>1065</v>
      </c>
      <c r="B1068" s="8" t="s">
        <v>3528</v>
      </c>
      <c r="C1068" s="8" t="s">
        <v>2436</v>
      </c>
      <c r="D1068" s="11" t="n">
        <v>0.00291689814814815</v>
      </c>
      <c r="E1068" s="39" t="n">
        <f aca="false">ROUND((D1068-$D$5)*86400,2)</f>
        <v>26.99</v>
      </c>
      <c r="F1068" s="12" t="n">
        <v>2291</v>
      </c>
      <c r="G1068" s="11" t="str">
        <f aca="false">IF(INDEX(選手一覧!$D$5:$D$2736,$F1068)="","",INDEX(選手一覧!$D$5:$D$2736,$F1068))</f>
        <v/>
      </c>
      <c r="H1068" s="12" t="str">
        <f aca="false">IF(INDEX(選手一覧!$E$5:$E$2736,$F1068)="","",INDEX(選手一覧!$E$5:$E$2736,$F1068))</f>
        <v/>
      </c>
      <c r="I1068" s="11" t="str">
        <f aca="false">IF(INDEX(選手一覧!$F$5:$F$2736,$F1068)="","",INDEX(選手一覧!$F$5:$F$2736,$F1068))</f>
        <v/>
      </c>
      <c r="J1068" s="12" t="str">
        <f aca="false">IF(INDEX(選手一覧!$G$5:$G$2736,$F1068)="","",INDEX(選手一覧!$G$5:$G$2736,$F1068))</f>
        <v/>
      </c>
    </row>
    <row r="1069" customFormat="false" ht="15" hidden="false" customHeight="false" outlineLevel="0" collapsed="false">
      <c r="A1069" s="12" t="n">
        <v>1066</v>
      </c>
      <c r="B1069" s="8" t="s">
        <v>1195</v>
      </c>
      <c r="C1069" s="8" t="s">
        <v>296</v>
      </c>
      <c r="D1069" s="11" t="n">
        <v>0.00291689814814815</v>
      </c>
      <c r="E1069" s="39" t="n">
        <f aca="false">ROUND((D1069-$D$5)*86400,2)</f>
        <v>26.99</v>
      </c>
      <c r="F1069" s="12" t="n">
        <v>714</v>
      </c>
      <c r="G1069" s="11" t="n">
        <f aca="false">IF(INDEX(選手一覧!$D$5:$D$2736,$F1069)="","",INDEX(選手一覧!$D$5:$D$2736,$F1069))</f>
        <v>0.0107873842592593</v>
      </c>
      <c r="H1069" s="12" t="n">
        <f aca="false">IF(INDEX(選手一覧!$E$5:$E$2736,$F1069)="","",INDEX(選手一覧!$E$5:$E$2736,$F1069))</f>
        <v>715</v>
      </c>
      <c r="I1069" s="11" t="str">
        <f aca="false">IF(INDEX(選手一覧!$F$5:$F$2736,$F1069)="","",INDEX(選手一覧!$F$5:$F$2736,$F1069))</f>
        <v/>
      </c>
      <c r="J1069" s="12" t="str">
        <f aca="false">IF(INDEX(選手一覧!$G$5:$G$2736,$F1069)="","",INDEX(選手一覧!$G$5:$G$2736,$F1069))</f>
        <v/>
      </c>
    </row>
    <row r="1070" customFormat="false" ht="15" hidden="false" customHeight="false" outlineLevel="0" collapsed="false">
      <c r="A1070" s="12" t="n">
        <v>1067</v>
      </c>
      <c r="B1070" s="8" t="s">
        <v>1675</v>
      </c>
      <c r="C1070" s="8" t="s">
        <v>1676</v>
      </c>
      <c r="D1070" s="11" t="n">
        <v>0.00291712962962963</v>
      </c>
      <c r="E1070" s="39" t="n">
        <f aca="false">ROUND((D1070-$D$5)*86400,2)</f>
        <v>27.01</v>
      </c>
      <c r="F1070" s="12" t="n">
        <v>1038</v>
      </c>
      <c r="G1070" s="11" t="n">
        <f aca="false">IF(INDEX(選手一覧!$D$5:$D$2736,$F1070)="","",INDEX(選手一覧!$D$5:$D$2736,$F1070))</f>
        <v>0.0109696759259259</v>
      </c>
      <c r="H1070" s="12" t="n">
        <f aca="false">IF(INDEX(選手一覧!$E$5:$E$2736,$F1070)="","",INDEX(選手一覧!$E$5:$E$2736,$F1070))</f>
        <v>1039</v>
      </c>
      <c r="I1070" s="11" t="str">
        <f aca="false">IF(INDEX(選手一覧!$F$5:$F$2736,$F1070)="","",INDEX(選手一覧!$F$5:$F$2736,$F1070))</f>
        <v/>
      </c>
      <c r="J1070" s="12" t="str">
        <f aca="false">IF(INDEX(選手一覧!$G$5:$G$2736,$F1070)="","",INDEX(選手一覧!$G$5:$G$2736,$F1070))</f>
        <v/>
      </c>
    </row>
    <row r="1071" customFormat="false" ht="15" hidden="false" customHeight="false" outlineLevel="0" collapsed="false">
      <c r="A1071" s="12" t="n">
        <v>1068</v>
      </c>
      <c r="B1071" s="8" t="s">
        <v>1578</v>
      </c>
      <c r="C1071" s="8" t="s">
        <v>1579</v>
      </c>
      <c r="D1071" s="11" t="n">
        <v>0.00291712962962963</v>
      </c>
      <c r="E1071" s="39" t="n">
        <f aca="false">ROUND((D1071-$D$5)*86400,2)</f>
        <v>27.01</v>
      </c>
      <c r="F1071" s="12" t="n">
        <v>971</v>
      </c>
      <c r="G1071" s="11" t="n">
        <f aca="false">IF(INDEX(選手一覧!$D$5:$D$2736,$F1071)="","",INDEX(選手一覧!$D$5:$D$2736,$F1071))</f>
        <v>0.0109325231481482</v>
      </c>
      <c r="H1071" s="12" t="n">
        <f aca="false">IF(INDEX(選手一覧!$E$5:$E$2736,$F1071)="","",INDEX(選手一覧!$E$5:$E$2736,$F1071))</f>
        <v>972</v>
      </c>
      <c r="I1071" s="11" t="str">
        <f aca="false">IF(INDEX(選手一覧!$F$5:$F$2736,$F1071)="","",INDEX(選手一覧!$F$5:$F$2736,$F1071))</f>
        <v/>
      </c>
      <c r="J1071" s="12" t="str">
        <f aca="false">IF(INDEX(選手一覧!$G$5:$G$2736,$F1071)="","",INDEX(選手一覧!$G$5:$G$2736,$F1071))</f>
        <v/>
      </c>
    </row>
    <row r="1072" customFormat="false" ht="15" hidden="false" customHeight="false" outlineLevel="0" collapsed="false">
      <c r="A1072" s="12" t="n">
        <v>1069</v>
      </c>
      <c r="B1072" s="8" t="s">
        <v>3535</v>
      </c>
      <c r="C1072" s="8" t="s">
        <v>3536</v>
      </c>
      <c r="D1072" s="11" t="n">
        <v>0.00291724537037037</v>
      </c>
      <c r="E1072" s="39" t="n">
        <f aca="false">ROUND((D1072-$D$5)*86400,2)</f>
        <v>27.02</v>
      </c>
      <c r="F1072" s="12" t="n">
        <v>2295</v>
      </c>
      <c r="G1072" s="11" t="str">
        <f aca="false">IF(INDEX(選手一覧!$D$5:$D$2736,$F1072)="","",INDEX(選手一覧!$D$5:$D$2736,$F1072))</f>
        <v/>
      </c>
      <c r="H1072" s="12" t="str">
        <f aca="false">IF(INDEX(選手一覧!$E$5:$E$2736,$F1072)="","",INDEX(選手一覧!$E$5:$E$2736,$F1072))</f>
        <v/>
      </c>
      <c r="I1072" s="11" t="str">
        <f aca="false">IF(INDEX(選手一覧!$F$5:$F$2736,$F1072)="","",INDEX(選手一覧!$F$5:$F$2736,$F1072))</f>
        <v/>
      </c>
      <c r="J1072" s="12" t="str">
        <f aca="false">IF(INDEX(選手一覧!$G$5:$G$2736,$F1072)="","",INDEX(選手一覧!$G$5:$G$2736,$F1072))</f>
        <v/>
      </c>
    </row>
    <row r="1073" customFormat="false" ht="15" hidden="false" customHeight="false" outlineLevel="0" collapsed="false">
      <c r="A1073" s="12" t="n">
        <v>1070</v>
      </c>
      <c r="B1073" s="8" t="s">
        <v>2108</v>
      </c>
      <c r="C1073" s="8" t="s">
        <v>2109</v>
      </c>
      <c r="D1073" s="11" t="n">
        <v>0.00291747685185185</v>
      </c>
      <c r="E1073" s="39" t="n">
        <f aca="false">ROUND((D1073-$D$5)*86400,2)</f>
        <v>27.04</v>
      </c>
      <c r="F1073" s="12" t="n">
        <v>1344</v>
      </c>
      <c r="G1073" s="11" t="str">
        <f aca="false">IF(INDEX(選手一覧!$D$5:$D$2736,$F1073)="","",INDEX(選手一覧!$D$5:$D$2736,$F1073))</f>
        <v/>
      </c>
      <c r="H1073" s="12" t="str">
        <f aca="false">IF(INDEX(選手一覧!$E$5:$E$2736,$F1073)="","",INDEX(選手一覧!$E$5:$E$2736,$F1073))</f>
        <v/>
      </c>
      <c r="I1073" s="11" t="n">
        <f aca="false">IF(INDEX(選手一覧!$F$5:$F$2736,$F1073)="","",INDEX(選手一覧!$F$5:$F$2736,$F1073))</f>
        <v>0.00682905092592593</v>
      </c>
      <c r="J1073" s="12" t="n">
        <f aca="false">IF(INDEX(選手一覧!$G$5:$G$2736,$F1073)="","",INDEX(選手一覧!$G$5:$G$2736,$F1073))</f>
        <v>193</v>
      </c>
    </row>
    <row r="1074" customFormat="false" ht="15" hidden="false" customHeight="false" outlineLevel="0" collapsed="false">
      <c r="A1074" s="12" t="n">
        <v>1071</v>
      </c>
      <c r="B1074" s="8" t="s">
        <v>2090</v>
      </c>
      <c r="C1074" s="8" t="s">
        <v>2091</v>
      </c>
      <c r="D1074" s="11" t="n">
        <v>0.00291759259259259</v>
      </c>
      <c r="E1074" s="39" t="n">
        <f aca="false">ROUND((D1074-$D$5)*86400,2)</f>
        <v>27.05</v>
      </c>
      <c r="F1074" s="12" t="n">
        <v>1333</v>
      </c>
      <c r="G1074" s="11" t="str">
        <f aca="false">IF(INDEX(選手一覧!$D$5:$D$2736,$F1074)="","",INDEX(選手一覧!$D$5:$D$2736,$F1074))</f>
        <v/>
      </c>
      <c r="H1074" s="12" t="str">
        <f aca="false">IF(INDEX(選手一覧!$E$5:$E$2736,$F1074)="","",INDEX(選手一覧!$E$5:$E$2736,$F1074))</f>
        <v/>
      </c>
      <c r="I1074" s="11" t="n">
        <f aca="false">IF(INDEX(選手一覧!$F$5:$F$2736,$F1074)="","",INDEX(選手一覧!$F$5:$F$2736,$F1074))</f>
        <v>0.00680416666666667</v>
      </c>
      <c r="J1074" s="12" t="n">
        <f aca="false">IF(INDEX(選手一覧!$G$5:$G$2736,$F1074)="","",INDEX(選手一覧!$G$5:$G$2736,$F1074))</f>
        <v>175</v>
      </c>
    </row>
    <row r="1075" customFormat="false" ht="15" hidden="false" customHeight="false" outlineLevel="0" collapsed="false">
      <c r="A1075" s="12" t="n">
        <v>1072</v>
      </c>
      <c r="B1075" s="8" t="s">
        <v>3542</v>
      </c>
      <c r="C1075" s="8" t="s">
        <v>3018</v>
      </c>
      <c r="D1075" s="11" t="n">
        <v>0.00291759259259259</v>
      </c>
      <c r="E1075" s="39" t="n">
        <f aca="false">ROUND((D1075-$D$5)*86400,2)</f>
        <v>27.05</v>
      </c>
      <c r="F1075" s="12" t="n">
        <v>2299</v>
      </c>
      <c r="G1075" s="11" t="str">
        <f aca="false">IF(INDEX(選手一覧!$D$5:$D$2736,$F1075)="","",INDEX(選手一覧!$D$5:$D$2736,$F1075))</f>
        <v/>
      </c>
      <c r="H1075" s="12" t="str">
        <f aca="false">IF(INDEX(選手一覧!$E$5:$E$2736,$F1075)="","",INDEX(選手一覧!$E$5:$E$2736,$F1075))</f>
        <v/>
      </c>
      <c r="I1075" s="11" t="str">
        <f aca="false">IF(INDEX(選手一覧!$F$5:$F$2736,$F1075)="","",INDEX(選手一覧!$F$5:$F$2736,$F1075))</f>
        <v/>
      </c>
      <c r="J1075" s="12" t="str">
        <f aca="false">IF(INDEX(選手一覧!$G$5:$G$2736,$F1075)="","",INDEX(選手一覧!$G$5:$G$2736,$F1075))</f>
        <v/>
      </c>
    </row>
    <row r="1076" customFormat="false" ht="15" hidden="false" customHeight="false" outlineLevel="0" collapsed="false">
      <c r="A1076" s="12" t="n">
        <v>1073</v>
      </c>
      <c r="B1076" s="8" t="s">
        <v>3544</v>
      </c>
      <c r="C1076" s="8" t="s">
        <v>2620</v>
      </c>
      <c r="D1076" s="11" t="n">
        <v>0.00291782407407407</v>
      </c>
      <c r="E1076" s="39" t="n">
        <f aca="false">ROUND((D1076-$D$5)*86400,2)</f>
        <v>27.07</v>
      </c>
      <c r="F1076" s="12" t="n">
        <v>2301</v>
      </c>
      <c r="G1076" s="11" t="str">
        <f aca="false">IF(INDEX(選手一覧!$D$5:$D$2736,$F1076)="","",INDEX(選手一覧!$D$5:$D$2736,$F1076))</f>
        <v/>
      </c>
      <c r="H1076" s="12" t="str">
        <f aca="false">IF(INDEX(選手一覧!$E$5:$E$2736,$F1076)="","",INDEX(選手一覧!$E$5:$E$2736,$F1076))</f>
        <v/>
      </c>
      <c r="I1076" s="11" t="str">
        <f aca="false">IF(INDEX(選手一覧!$F$5:$F$2736,$F1076)="","",INDEX(選手一覧!$F$5:$F$2736,$F1076))</f>
        <v/>
      </c>
      <c r="J1076" s="12" t="str">
        <f aca="false">IF(INDEX(選手一覧!$G$5:$G$2736,$F1076)="","",INDEX(選手一覧!$G$5:$G$2736,$F1076))</f>
        <v/>
      </c>
    </row>
    <row r="1077" customFormat="false" ht="15" hidden="false" customHeight="false" outlineLevel="0" collapsed="false">
      <c r="A1077" s="12" t="n">
        <v>1074</v>
      </c>
      <c r="B1077" s="8" t="s">
        <v>3547</v>
      </c>
      <c r="C1077" s="8" t="s">
        <v>2364</v>
      </c>
      <c r="D1077" s="11" t="n">
        <v>0.00291793981481482</v>
      </c>
      <c r="E1077" s="39" t="n">
        <f aca="false">ROUND((D1077-$D$5)*86400,2)</f>
        <v>27.08</v>
      </c>
      <c r="F1077" s="12" t="n">
        <v>2303</v>
      </c>
      <c r="G1077" s="11" t="str">
        <f aca="false">IF(INDEX(選手一覧!$D$5:$D$2736,$F1077)="","",INDEX(選手一覧!$D$5:$D$2736,$F1077))</f>
        <v/>
      </c>
      <c r="H1077" s="12" t="str">
        <f aca="false">IF(INDEX(選手一覧!$E$5:$E$2736,$F1077)="","",INDEX(選手一覧!$E$5:$E$2736,$F1077))</f>
        <v/>
      </c>
      <c r="I1077" s="11" t="str">
        <f aca="false">IF(INDEX(選手一覧!$F$5:$F$2736,$F1077)="","",INDEX(選手一覧!$F$5:$F$2736,$F1077))</f>
        <v/>
      </c>
      <c r="J1077" s="12" t="str">
        <f aca="false">IF(INDEX(選手一覧!$G$5:$G$2736,$F1077)="","",INDEX(選手一覧!$G$5:$G$2736,$F1077))</f>
        <v/>
      </c>
    </row>
    <row r="1078" customFormat="false" ht="15" hidden="false" customHeight="false" outlineLevel="0" collapsed="false">
      <c r="A1078" s="12" t="n">
        <v>1075</v>
      </c>
      <c r="B1078" s="8" t="s">
        <v>3550</v>
      </c>
      <c r="C1078" s="8" t="s">
        <v>3551</v>
      </c>
      <c r="D1078" s="11" t="n">
        <v>0.00291805555555556</v>
      </c>
      <c r="E1078" s="39" t="n">
        <f aca="false">ROUND((D1078-$D$5)*86400,2)</f>
        <v>27.09</v>
      </c>
      <c r="F1078" s="12" t="n">
        <v>2305</v>
      </c>
      <c r="G1078" s="11" t="str">
        <f aca="false">IF(INDEX(選手一覧!$D$5:$D$2736,$F1078)="","",INDEX(選手一覧!$D$5:$D$2736,$F1078))</f>
        <v/>
      </c>
      <c r="H1078" s="12" t="str">
        <f aca="false">IF(INDEX(選手一覧!$E$5:$E$2736,$F1078)="","",INDEX(選手一覧!$E$5:$E$2736,$F1078))</f>
        <v/>
      </c>
      <c r="I1078" s="11" t="str">
        <f aca="false">IF(INDEX(選手一覧!$F$5:$F$2736,$F1078)="","",INDEX(選手一覧!$F$5:$F$2736,$F1078))</f>
        <v/>
      </c>
      <c r="J1078" s="12" t="str">
        <f aca="false">IF(INDEX(選手一覧!$G$5:$G$2736,$F1078)="","",INDEX(選手一覧!$G$5:$G$2736,$F1078))</f>
        <v/>
      </c>
    </row>
    <row r="1079" customFormat="false" ht="15" hidden="false" customHeight="false" outlineLevel="0" collapsed="false">
      <c r="A1079" s="12" t="n">
        <v>1076</v>
      </c>
      <c r="B1079" s="8" t="s">
        <v>2179</v>
      </c>
      <c r="C1079" s="8" t="s">
        <v>2180</v>
      </c>
      <c r="D1079" s="11" t="n">
        <v>0.00291805555555556</v>
      </c>
      <c r="E1079" s="39" t="n">
        <f aca="false">ROUND((D1079-$D$5)*86400,2)</f>
        <v>27.09</v>
      </c>
      <c r="F1079" s="12" t="n">
        <v>1392</v>
      </c>
      <c r="G1079" s="11" t="str">
        <f aca="false">IF(INDEX(選手一覧!$D$5:$D$2736,$F1079)="","",INDEX(選手一覧!$D$5:$D$2736,$F1079))</f>
        <v/>
      </c>
      <c r="H1079" s="12" t="str">
        <f aca="false">IF(INDEX(選手一覧!$E$5:$E$2736,$F1079)="","",INDEX(選手一覧!$E$5:$E$2736,$F1079))</f>
        <v/>
      </c>
      <c r="I1079" s="11" t="n">
        <f aca="false">IF(INDEX(選手一覧!$F$5:$F$2736,$F1079)="","",INDEX(選手一覧!$F$5:$F$2736,$F1079))</f>
        <v>0.00692268518518519</v>
      </c>
      <c r="J1079" s="12" t="n">
        <f aca="false">IF(INDEX(選手一覧!$G$5:$G$2736,$F1079)="","",INDEX(選手一覧!$G$5:$G$2736,$F1079))</f>
        <v>261</v>
      </c>
    </row>
    <row r="1080" customFormat="false" ht="15" hidden="false" customHeight="false" outlineLevel="0" collapsed="false">
      <c r="A1080" s="12" t="n">
        <v>1077</v>
      </c>
      <c r="B1080" s="8" t="s">
        <v>3554</v>
      </c>
      <c r="C1080" s="8" t="s">
        <v>3461</v>
      </c>
      <c r="D1080" s="11" t="n">
        <v>0.00291828703703704</v>
      </c>
      <c r="E1080" s="39" t="n">
        <f aca="false">ROUND((D1080-$D$5)*86400,2)</f>
        <v>27.11</v>
      </c>
      <c r="F1080" s="12" t="n">
        <v>2308</v>
      </c>
      <c r="G1080" s="11" t="str">
        <f aca="false">IF(INDEX(選手一覧!$D$5:$D$2736,$F1080)="","",INDEX(選手一覧!$D$5:$D$2736,$F1080))</f>
        <v/>
      </c>
      <c r="H1080" s="12" t="str">
        <f aca="false">IF(INDEX(選手一覧!$E$5:$E$2736,$F1080)="","",INDEX(選手一覧!$E$5:$E$2736,$F1080))</f>
        <v/>
      </c>
      <c r="I1080" s="11" t="str">
        <f aca="false">IF(INDEX(選手一覧!$F$5:$F$2736,$F1080)="","",INDEX(選手一覧!$F$5:$F$2736,$F1080))</f>
        <v/>
      </c>
      <c r="J1080" s="12" t="str">
        <f aca="false">IF(INDEX(選手一覧!$G$5:$G$2736,$F1080)="","",INDEX(選手一覧!$G$5:$G$2736,$F1080))</f>
        <v/>
      </c>
    </row>
    <row r="1081" customFormat="false" ht="15" hidden="false" customHeight="false" outlineLevel="0" collapsed="false">
      <c r="A1081" s="12" t="n">
        <v>1078</v>
      </c>
      <c r="B1081" s="8" t="s">
        <v>2312</v>
      </c>
      <c r="C1081" s="8" t="s">
        <v>1689</v>
      </c>
      <c r="D1081" s="11" t="n">
        <v>0.00291840277777778</v>
      </c>
      <c r="E1081" s="39" t="n">
        <f aca="false">ROUND((D1081-$D$5)*86400,2)</f>
        <v>27.12</v>
      </c>
      <c r="F1081" s="12" t="n">
        <v>1473</v>
      </c>
      <c r="G1081" s="11" t="str">
        <f aca="false">IF(INDEX(選手一覧!$D$5:$D$2736,$F1081)="","",INDEX(選手一覧!$D$5:$D$2736,$F1081))</f>
        <v/>
      </c>
      <c r="H1081" s="12" t="str">
        <f aca="false">IF(INDEX(選手一覧!$E$5:$E$2736,$F1081)="","",INDEX(選手一覧!$E$5:$E$2736,$F1081))</f>
        <v/>
      </c>
      <c r="I1081" s="11" t="n">
        <f aca="false">IF(INDEX(選手一覧!$F$5:$F$2736,$F1081)="","",INDEX(選手一覧!$F$5:$F$2736,$F1081))</f>
        <v>0.00703935185185185</v>
      </c>
      <c r="J1081" s="12" t="n">
        <f aca="false">IF(INDEX(選手一覧!$G$5:$G$2736,$F1081)="","",INDEX(選手一覧!$G$5:$G$2736,$F1081))</f>
        <v>373</v>
      </c>
    </row>
    <row r="1082" customFormat="false" ht="15" hidden="false" customHeight="false" outlineLevel="0" collapsed="false">
      <c r="A1082" s="12" t="n">
        <v>1079</v>
      </c>
      <c r="B1082" s="8" t="s">
        <v>3558</v>
      </c>
      <c r="C1082" s="8" t="s">
        <v>1177</v>
      </c>
      <c r="D1082" s="11" t="n">
        <v>0.00291851851851852</v>
      </c>
      <c r="E1082" s="39" t="n">
        <f aca="false">ROUND((D1082-$D$5)*86400,2)</f>
        <v>27.13</v>
      </c>
      <c r="F1082" s="12" t="n">
        <v>2311</v>
      </c>
      <c r="G1082" s="11" t="str">
        <f aca="false">IF(INDEX(選手一覧!$D$5:$D$2736,$F1082)="","",INDEX(選手一覧!$D$5:$D$2736,$F1082))</f>
        <v/>
      </c>
      <c r="H1082" s="12" t="str">
        <f aca="false">IF(INDEX(選手一覧!$E$5:$E$2736,$F1082)="","",INDEX(選手一覧!$E$5:$E$2736,$F1082))</f>
        <v/>
      </c>
      <c r="I1082" s="11" t="str">
        <f aca="false">IF(INDEX(選手一覧!$F$5:$F$2736,$F1082)="","",INDEX(選手一覧!$F$5:$F$2736,$F1082))</f>
        <v/>
      </c>
      <c r="J1082" s="12" t="str">
        <f aca="false">IF(INDEX(選手一覧!$G$5:$G$2736,$F1082)="","",INDEX(選手一覧!$G$5:$G$2736,$F1082))</f>
        <v/>
      </c>
    </row>
    <row r="1083" customFormat="false" ht="15" hidden="false" customHeight="false" outlineLevel="0" collapsed="false">
      <c r="A1083" s="12" t="n">
        <v>1080</v>
      </c>
      <c r="B1083" s="8" t="s">
        <v>506</v>
      </c>
      <c r="C1083" s="8" t="s">
        <v>16</v>
      </c>
      <c r="D1083" s="11" t="n">
        <v>0.00291875</v>
      </c>
      <c r="E1083" s="39" t="n">
        <f aca="false">ROUND((D1083-$D$5)*86400,2)</f>
        <v>27.15</v>
      </c>
      <c r="F1083" s="12" t="n">
        <v>269</v>
      </c>
      <c r="G1083" s="11" t="n">
        <f aca="false">IF(INDEX(選手一覧!$D$5:$D$2736,$F1083)="","",INDEX(選手一覧!$D$5:$D$2736,$F1083))</f>
        <v>0.01040625</v>
      </c>
      <c r="H1083" s="12" t="n">
        <f aca="false">IF(INDEX(選手一覧!$E$5:$E$2736,$F1083)="","",INDEX(選手一覧!$E$5:$E$2736,$F1083))</f>
        <v>270</v>
      </c>
      <c r="I1083" s="11" t="n">
        <f aca="false">IF(INDEX(選手一覧!$F$5:$F$2736,$F1083)="","",INDEX(選手一覧!$F$5:$F$2736,$F1083))</f>
        <v>0.00686087962962963</v>
      </c>
      <c r="J1083" s="12" t="n">
        <f aca="false">IF(INDEX(選手一覧!$G$5:$G$2736,$F1083)="","",INDEX(選手一覧!$G$5:$G$2736,$F1083))</f>
        <v>211</v>
      </c>
    </row>
    <row r="1084" customFormat="false" ht="15" hidden="false" customHeight="false" outlineLevel="0" collapsed="false">
      <c r="A1084" s="12" t="n">
        <v>1081</v>
      </c>
      <c r="B1084" s="8" t="s">
        <v>1609</v>
      </c>
      <c r="C1084" s="8" t="s">
        <v>641</v>
      </c>
      <c r="D1084" s="11" t="n">
        <v>0.00291875</v>
      </c>
      <c r="E1084" s="39" t="n">
        <f aca="false">ROUND((D1084-$D$5)*86400,2)</f>
        <v>27.15</v>
      </c>
      <c r="F1084" s="12" t="n">
        <v>992</v>
      </c>
      <c r="G1084" s="11" t="n">
        <f aca="false">IF(INDEX(選手一覧!$D$5:$D$2736,$F1084)="","",INDEX(選手一覧!$D$5:$D$2736,$F1084))</f>
        <v>0.0109480324074074</v>
      </c>
      <c r="H1084" s="12" t="n">
        <f aca="false">IF(INDEX(選手一覧!$E$5:$E$2736,$F1084)="","",INDEX(選手一覧!$E$5:$E$2736,$F1084))</f>
        <v>993</v>
      </c>
      <c r="I1084" s="11" t="n">
        <f aca="false">IF(INDEX(選手一覧!$F$5:$F$2736,$F1084)="","",INDEX(選手一覧!$F$5:$F$2736,$F1084))</f>
        <v>0.00679340277777778</v>
      </c>
      <c r="J1084" s="12" t="n">
        <f aca="false">IF(INDEX(選手一覧!$G$5:$G$2736,$F1084)="","",INDEX(選手一覧!$G$5:$G$2736,$F1084))</f>
        <v>165</v>
      </c>
    </row>
    <row r="1085" customFormat="false" ht="15" hidden="false" customHeight="false" outlineLevel="0" collapsed="false">
      <c r="A1085" s="12" t="n">
        <v>1082</v>
      </c>
      <c r="B1085" s="8" t="s">
        <v>1719</v>
      </c>
      <c r="C1085" s="8" t="s">
        <v>52</v>
      </c>
      <c r="D1085" s="11" t="n">
        <v>0.00291886574074074</v>
      </c>
      <c r="E1085" s="39" t="n">
        <f aca="false">ROUND((D1085-$D$5)*86400,2)</f>
        <v>27.16</v>
      </c>
      <c r="F1085" s="12" t="n">
        <v>1067</v>
      </c>
      <c r="G1085" s="11" t="n">
        <f aca="false">IF(INDEX(選手一覧!$D$5:$D$2736,$F1085)="","",INDEX(選手一覧!$D$5:$D$2736,$F1085))</f>
        <v>0.0109853009259259</v>
      </c>
      <c r="H1085" s="12" t="n">
        <f aca="false">IF(INDEX(選手一覧!$E$5:$E$2736,$F1085)="","",INDEX(選手一覧!$E$5:$E$2736,$F1085))</f>
        <v>1068</v>
      </c>
      <c r="I1085" s="11" t="str">
        <f aca="false">IF(INDEX(選手一覧!$F$5:$F$2736,$F1085)="","",INDEX(選手一覧!$F$5:$F$2736,$F1085))</f>
        <v/>
      </c>
      <c r="J1085" s="12" t="str">
        <f aca="false">IF(INDEX(選手一覧!$G$5:$G$2736,$F1085)="","",INDEX(選手一覧!$G$5:$G$2736,$F1085))</f>
        <v/>
      </c>
    </row>
    <row r="1086" customFormat="false" ht="15" hidden="false" customHeight="false" outlineLevel="0" collapsed="false">
      <c r="A1086" s="12" t="n">
        <v>1083</v>
      </c>
      <c r="B1086" s="8" t="s">
        <v>576</v>
      </c>
      <c r="C1086" s="8" t="s">
        <v>207</v>
      </c>
      <c r="D1086" s="11" t="n">
        <v>0.00291898148148148</v>
      </c>
      <c r="E1086" s="39" t="n">
        <f aca="false">ROUND((D1086-$D$5)*86400,2)</f>
        <v>27.17</v>
      </c>
      <c r="F1086" s="12" t="n">
        <v>312</v>
      </c>
      <c r="G1086" s="11" t="n">
        <f aca="false">IF(INDEX(選手一覧!$D$5:$D$2736,$F1086)="","",INDEX(選手一覧!$D$5:$D$2736,$F1086))</f>
        <v>0.010462962962963</v>
      </c>
      <c r="H1086" s="12" t="n">
        <f aca="false">IF(INDEX(選手一覧!$E$5:$E$2736,$F1086)="","",INDEX(選手一覧!$E$5:$E$2736,$F1086))</f>
        <v>313</v>
      </c>
      <c r="I1086" s="11" t="str">
        <f aca="false">IF(INDEX(選手一覧!$F$5:$F$2736,$F1086)="","",INDEX(選手一覧!$F$5:$F$2736,$F1086))</f>
        <v/>
      </c>
      <c r="J1086" s="12" t="str">
        <f aca="false">IF(INDEX(選手一覧!$G$5:$G$2736,$F1086)="","",INDEX(選手一覧!$G$5:$G$2736,$F1086))</f>
        <v/>
      </c>
    </row>
    <row r="1087" customFormat="false" ht="15" hidden="false" customHeight="false" outlineLevel="0" collapsed="false">
      <c r="A1087" s="12" t="n">
        <v>1084</v>
      </c>
      <c r="B1087" s="8" t="s">
        <v>3564</v>
      </c>
      <c r="C1087" s="8" t="s">
        <v>2188</v>
      </c>
      <c r="D1087" s="11" t="n">
        <v>0.00291898148148148</v>
      </c>
      <c r="E1087" s="39" t="n">
        <f aca="false">ROUND((D1087-$D$5)*86400,2)</f>
        <v>27.17</v>
      </c>
      <c r="F1087" s="12" t="n">
        <v>2316</v>
      </c>
      <c r="G1087" s="11" t="str">
        <f aca="false">IF(INDEX(選手一覧!$D$5:$D$2736,$F1087)="","",INDEX(選手一覧!$D$5:$D$2736,$F1087))</f>
        <v/>
      </c>
      <c r="H1087" s="12" t="str">
        <f aca="false">IF(INDEX(選手一覧!$E$5:$E$2736,$F1087)="","",INDEX(選手一覧!$E$5:$E$2736,$F1087))</f>
        <v/>
      </c>
      <c r="I1087" s="11" t="str">
        <f aca="false">IF(INDEX(選手一覧!$F$5:$F$2736,$F1087)="","",INDEX(選手一覧!$F$5:$F$2736,$F1087))</f>
        <v/>
      </c>
      <c r="J1087" s="12" t="str">
        <f aca="false">IF(INDEX(選手一覧!$G$5:$G$2736,$F1087)="","",INDEX(選手一覧!$G$5:$G$2736,$F1087))</f>
        <v/>
      </c>
    </row>
    <row r="1088" customFormat="false" ht="15" hidden="false" customHeight="false" outlineLevel="0" collapsed="false">
      <c r="A1088" s="12" t="n">
        <v>1085</v>
      </c>
      <c r="B1088" s="8" t="s">
        <v>675</v>
      </c>
      <c r="C1088" s="8" t="s">
        <v>525</v>
      </c>
      <c r="D1088" s="11" t="n">
        <v>0.00291921296296296</v>
      </c>
      <c r="E1088" s="39" t="n">
        <f aca="false">ROUND((D1088-$D$5)*86400,2)</f>
        <v>27.19</v>
      </c>
      <c r="F1088" s="12" t="n">
        <v>375</v>
      </c>
      <c r="G1088" s="11" t="n">
        <f aca="false">IF(INDEX(選手一覧!$D$5:$D$2736,$F1088)="","",INDEX(選手一覧!$D$5:$D$2736,$F1088))</f>
        <v>0.0105346064814815</v>
      </c>
      <c r="H1088" s="12" t="n">
        <f aca="false">IF(INDEX(選手一覧!$E$5:$E$2736,$F1088)="","",INDEX(選手一覧!$E$5:$E$2736,$F1088))</f>
        <v>376</v>
      </c>
      <c r="I1088" s="11" t="n">
        <f aca="false">IF(INDEX(選手一覧!$F$5:$F$2736,$F1088)="","",INDEX(選手一覧!$F$5:$F$2736,$F1088))</f>
        <v>0.00715509259259259</v>
      </c>
      <c r="J1088" s="12" t="n">
        <f aca="false">IF(INDEX(選手一覧!$G$5:$G$2736,$F1088)="","",INDEX(選手一覧!$G$5:$G$2736,$F1088))</f>
        <v>491</v>
      </c>
    </row>
    <row r="1089" customFormat="false" ht="15" hidden="false" customHeight="false" outlineLevel="0" collapsed="false">
      <c r="A1089" s="12" t="n">
        <v>1086</v>
      </c>
      <c r="B1089" s="8" t="s">
        <v>3567</v>
      </c>
      <c r="C1089" s="8" t="s">
        <v>3568</v>
      </c>
      <c r="D1089" s="11" t="n">
        <v>0.0029193287037037</v>
      </c>
      <c r="E1089" s="39" t="n">
        <f aca="false">ROUND((D1089-$D$5)*86400,2)</f>
        <v>27.2</v>
      </c>
      <c r="F1089" s="12" t="n">
        <v>2319</v>
      </c>
      <c r="G1089" s="11" t="str">
        <f aca="false">IF(INDEX(選手一覧!$D$5:$D$2736,$F1089)="","",INDEX(選手一覧!$D$5:$D$2736,$F1089))</f>
        <v/>
      </c>
      <c r="H1089" s="12" t="str">
        <f aca="false">IF(INDEX(選手一覧!$E$5:$E$2736,$F1089)="","",INDEX(選手一覧!$E$5:$E$2736,$F1089))</f>
        <v/>
      </c>
      <c r="I1089" s="11" t="str">
        <f aca="false">IF(INDEX(選手一覧!$F$5:$F$2736,$F1089)="","",INDEX(選手一覧!$F$5:$F$2736,$F1089))</f>
        <v/>
      </c>
      <c r="J1089" s="12" t="str">
        <f aca="false">IF(INDEX(選手一覧!$G$5:$G$2736,$F1089)="","",INDEX(選手一覧!$G$5:$G$2736,$F1089))</f>
        <v/>
      </c>
    </row>
    <row r="1090" customFormat="false" ht="15" hidden="false" customHeight="false" outlineLevel="0" collapsed="false">
      <c r="A1090" s="12" t="n">
        <v>1087</v>
      </c>
      <c r="B1090" s="8" t="s">
        <v>3571</v>
      </c>
      <c r="C1090" s="8" t="s">
        <v>3140</v>
      </c>
      <c r="D1090" s="11" t="n">
        <v>0.0029193287037037</v>
      </c>
      <c r="E1090" s="39" t="n">
        <f aca="false">ROUND((D1090-$D$5)*86400,2)</f>
        <v>27.2</v>
      </c>
      <c r="F1090" s="12" t="n">
        <v>2321</v>
      </c>
      <c r="G1090" s="11" t="str">
        <f aca="false">IF(INDEX(選手一覧!$D$5:$D$2736,$F1090)="","",INDEX(選手一覧!$D$5:$D$2736,$F1090))</f>
        <v/>
      </c>
      <c r="H1090" s="12" t="str">
        <f aca="false">IF(INDEX(選手一覧!$E$5:$E$2736,$F1090)="","",INDEX(選手一覧!$E$5:$E$2736,$F1090))</f>
        <v/>
      </c>
      <c r="I1090" s="11" t="str">
        <f aca="false">IF(INDEX(選手一覧!$F$5:$F$2736,$F1090)="","",INDEX(選手一覧!$F$5:$F$2736,$F1090))</f>
        <v/>
      </c>
      <c r="J1090" s="12" t="str">
        <f aca="false">IF(INDEX(選手一覧!$G$5:$G$2736,$F1090)="","",INDEX(選手一覧!$G$5:$G$2736,$F1090))</f>
        <v/>
      </c>
    </row>
    <row r="1091" customFormat="false" ht="15" hidden="false" customHeight="false" outlineLevel="0" collapsed="false">
      <c r="A1091" s="12" t="n">
        <v>1088</v>
      </c>
      <c r="B1091" s="8" t="s">
        <v>297</v>
      </c>
      <c r="C1091" s="8" t="s">
        <v>212</v>
      </c>
      <c r="D1091" s="11" t="n">
        <v>0.0029193287037037</v>
      </c>
      <c r="E1091" s="39" t="n">
        <f aca="false">ROUND((D1091-$D$5)*86400,2)</f>
        <v>27.2</v>
      </c>
      <c r="F1091" s="12" t="n">
        <v>145</v>
      </c>
      <c r="G1091" s="11" t="n">
        <f aca="false">IF(INDEX(選手一覧!$D$5:$D$2736,$F1091)="","",INDEX(選手一覧!$D$5:$D$2736,$F1091))</f>
        <v>0.0102784722222222</v>
      </c>
      <c r="H1091" s="12" t="n">
        <f aca="false">IF(INDEX(選手一覧!$E$5:$E$2736,$F1091)="","",INDEX(選手一覧!$E$5:$E$2736,$F1091))</f>
        <v>146</v>
      </c>
      <c r="I1091" s="11" t="n">
        <f aca="false">IF(INDEX(選手一覧!$F$5:$F$2736,$F1091)="","",INDEX(選手一覧!$F$5:$F$2736,$F1091))</f>
        <v>0.00627025462962963</v>
      </c>
      <c r="J1091" s="12" t="n">
        <f aca="false">IF(INDEX(選手一覧!$G$5:$G$2736,$F1091)="","",INDEX(選手一覧!$G$5:$G$2736,$F1091))</f>
        <v>3</v>
      </c>
    </row>
    <row r="1092" customFormat="false" ht="15" hidden="false" customHeight="false" outlineLevel="0" collapsed="false">
      <c r="A1092" s="12" t="n">
        <v>1089</v>
      </c>
      <c r="B1092" s="8" t="s">
        <v>3575</v>
      </c>
      <c r="C1092" s="8" t="s">
        <v>3576</v>
      </c>
      <c r="D1092" s="11" t="n">
        <v>0.00291944444444445</v>
      </c>
      <c r="E1092" s="39" t="n">
        <f aca="false">ROUND((D1092-$D$5)*86400,2)</f>
        <v>27.21</v>
      </c>
      <c r="F1092" s="12" t="n">
        <v>2324</v>
      </c>
      <c r="G1092" s="11" t="str">
        <f aca="false">IF(INDEX(選手一覧!$D$5:$D$2736,$F1092)="","",INDEX(選手一覧!$D$5:$D$2736,$F1092))</f>
        <v/>
      </c>
      <c r="H1092" s="12" t="str">
        <f aca="false">IF(INDEX(選手一覧!$E$5:$E$2736,$F1092)="","",INDEX(選手一覧!$E$5:$E$2736,$F1092))</f>
        <v/>
      </c>
      <c r="I1092" s="11" t="str">
        <f aca="false">IF(INDEX(選手一覧!$F$5:$F$2736,$F1092)="","",INDEX(選手一覧!$F$5:$F$2736,$F1092))</f>
        <v/>
      </c>
      <c r="J1092" s="12" t="str">
        <f aca="false">IF(INDEX(選手一覧!$G$5:$G$2736,$F1092)="","",INDEX(選手一覧!$G$5:$G$2736,$F1092))</f>
        <v/>
      </c>
    </row>
    <row r="1093" customFormat="false" ht="15" hidden="false" customHeight="false" outlineLevel="0" collapsed="false">
      <c r="A1093" s="12" t="n">
        <v>1090</v>
      </c>
      <c r="B1093" s="8" t="s">
        <v>1780</v>
      </c>
      <c r="C1093" s="8" t="s">
        <v>1147</v>
      </c>
      <c r="D1093" s="11" t="n">
        <v>0.00291956018518519</v>
      </c>
      <c r="E1093" s="39" t="n">
        <f aca="false">ROUND((D1093-$D$5)*86400,2)</f>
        <v>27.22</v>
      </c>
      <c r="F1093" s="12" t="n">
        <v>1107</v>
      </c>
      <c r="G1093" s="11" t="n">
        <f aca="false">IF(INDEX(選手一覧!$D$5:$D$2736,$F1093)="","",INDEX(選手一覧!$D$5:$D$2736,$F1093))</f>
        <v>0.0110085648148148</v>
      </c>
      <c r="H1093" s="12" t="n">
        <f aca="false">IF(INDEX(選手一覧!$E$5:$E$2736,$F1093)="","",INDEX(選手一覧!$E$5:$E$2736,$F1093))</f>
        <v>1108</v>
      </c>
      <c r="I1093" s="11" t="str">
        <f aca="false">IF(INDEX(選手一覧!$F$5:$F$2736,$F1093)="","",INDEX(選手一覧!$F$5:$F$2736,$F1093))</f>
        <v/>
      </c>
      <c r="J1093" s="12" t="str">
        <f aca="false">IF(INDEX(選手一覧!$G$5:$G$2736,$F1093)="","",INDEX(選手一覧!$G$5:$G$2736,$F1093))</f>
        <v/>
      </c>
    </row>
    <row r="1094" customFormat="false" ht="15" hidden="false" customHeight="false" outlineLevel="0" collapsed="false">
      <c r="A1094" s="12" t="n">
        <v>1091</v>
      </c>
      <c r="B1094" s="8" t="s">
        <v>1084</v>
      </c>
      <c r="C1094" s="8" t="s">
        <v>1085</v>
      </c>
      <c r="D1094" s="11" t="n">
        <v>0.00291956018518519</v>
      </c>
      <c r="E1094" s="39" t="n">
        <f aca="false">ROUND((D1094-$D$5)*86400,2)</f>
        <v>27.22</v>
      </c>
      <c r="F1094" s="12" t="n">
        <v>644</v>
      </c>
      <c r="G1094" s="11" t="n">
        <f aca="false">IF(INDEX(選手一覧!$D$5:$D$2736,$F1094)="","",INDEX(選手一覧!$D$5:$D$2736,$F1094))</f>
        <v>0.0107362268518519</v>
      </c>
      <c r="H1094" s="12" t="n">
        <f aca="false">IF(INDEX(選手一覧!$E$5:$E$2736,$F1094)="","",INDEX(選手一覧!$E$5:$E$2736,$F1094))</f>
        <v>645</v>
      </c>
      <c r="I1094" s="11" t="str">
        <f aca="false">IF(INDEX(選手一覧!$F$5:$F$2736,$F1094)="","",INDEX(選手一覧!$F$5:$F$2736,$F1094))</f>
        <v/>
      </c>
      <c r="J1094" s="12" t="str">
        <f aca="false">IF(INDEX(選手一覧!$G$5:$G$2736,$F1094)="","",INDEX(選手一覧!$G$5:$G$2736,$F1094))</f>
        <v/>
      </c>
    </row>
    <row r="1095" customFormat="false" ht="15" hidden="false" customHeight="false" outlineLevel="0" collapsed="false">
      <c r="A1095" s="12" t="n">
        <v>1092</v>
      </c>
      <c r="B1095" s="8" t="s">
        <v>3580</v>
      </c>
      <c r="C1095" s="8" t="s">
        <v>558</v>
      </c>
      <c r="D1095" s="11" t="n">
        <v>0.00291967592592593</v>
      </c>
      <c r="E1095" s="39" t="n">
        <f aca="false">ROUND((D1095-$D$5)*86400,2)</f>
        <v>27.23</v>
      </c>
      <c r="F1095" s="12" t="n">
        <v>2327</v>
      </c>
      <c r="G1095" s="11" t="str">
        <f aca="false">IF(INDEX(選手一覧!$D$5:$D$2736,$F1095)="","",INDEX(選手一覧!$D$5:$D$2736,$F1095))</f>
        <v/>
      </c>
      <c r="H1095" s="12" t="str">
        <f aca="false">IF(INDEX(選手一覧!$E$5:$E$2736,$F1095)="","",INDEX(選手一覧!$E$5:$E$2736,$F1095))</f>
        <v/>
      </c>
      <c r="I1095" s="11" t="str">
        <f aca="false">IF(INDEX(選手一覧!$F$5:$F$2736,$F1095)="","",INDEX(選手一覧!$F$5:$F$2736,$F1095))</f>
        <v/>
      </c>
      <c r="J1095" s="12" t="str">
        <f aca="false">IF(INDEX(選手一覧!$G$5:$G$2736,$F1095)="","",INDEX(選手一覧!$G$5:$G$2736,$F1095))</f>
        <v/>
      </c>
    </row>
    <row r="1096" customFormat="false" ht="15" hidden="false" customHeight="false" outlineLevel="0" collapsed="false">
      <c r="A1096" s="12" t="n">
        <v>1093</v>
      </c>
      <c r="B1096" s="8" t="s">
        <v>3583</v>
      </c>
      <c r="C1096" s="8" t="s">
        <v>3584</v>
      </c>
      <c r="D1096" s="11" t="n">
        <v>0.00291979166666667</v>
      </c>
      <c r="E1096" s="39" t="n">
        <f aca="false">ROUND((D1096-$D$5)*86400,2)</f>
        <v>27.24</v>
      </c>
      <c r="F1096" s="12" t="n">
        <v>2329</v>
      </c>
      <c r="G1096" s="11" t="str">
        <f aca="false">IF(INDEX(選手一覧!$D$5:$D$2736,$F1096)="","",INDEX(選手一覧!$D$5:$D$2736,$F1096))</f>
        <v/>
      </c>
      <c r="H1096" s="12" t="str">
        <f aca="false">IF(INDEX(選手一覧!$E$5:$E$2736,$F1096)="","",INDEX(選手一覧!$E$5:$E$2736,$F1096))</f>
        <v/>
      </c>
      <c r="I1096" s="11" t="str">
        <f aca="false">IF(INDEX(選手一覧!$F$5:$F$2736,$F1096)="","",INDEX(選手一覧!$F$5:$F$2736,$F1096))</f>
        <v/>
      </c>
      <c r="J1096" s="12" t="str">
        <f aca="false">IF(INDEX(選手一覧!$G$5:$G$2736,$F1096)="","",INDEX(選手一覧!$G$5:$G$2736,$F1096))</f>
        <v/>
      </c>
    </row>
    <row r="1097" customFormat="false" ht="15" hidden="false" customHeight="false" outlineLevel="0" collapsed="false">
      <c r="A1097" s="12" t="n">
        <v>1094</v>
      </c>
      <c r="B1097" s="8" t="s">
        <v>3585</v>
      </c>
      <c r="C1097" s="8" t="s">
        <v>3326</v>
      </c>
      <c r="D1097" s="11" t="n">
        <v>0.00291990740740741</v>
      </c>
      <c r="E1097" s="39" t="n">
        <f aca="false">ROUND((D1097-$D$5)*86400,2)</f>
        <v>27.25</v>
      </c>
      <c r="F1097" s="12" t="n">
        <v>2330</v>
      </c>
      <c r="G1097" s="11" t="str">
        <f aca="false">IF(INDEX(選手一覧!$D$5:$D$2736,$F1097)="","",INDEX(選手一覧!$D$5:$D$2736,$F1097))</f>
        <v/>
      </c>
      <c r="H1097" s="12" t="str">
        <f aca="false">IF(INDEX(選手一覧!$E$5:$E$2736,$F1097)="","",INDEX(選手一覧!$E$5:$E$2736,$F1097))</f>
        <v/>
      </c>
      <c r="I1097" s="11" t="str">
        <f aca="false">IF(INDEX(選手一覧!$F$5:$F$2736,$F1097)="","",INDEX(選手一覧!$F$5:$F$2736,$F1097))</f>
        <v/>
      </c>
      <c r="J1097" s="12" t="str">
        <f aca="false">IF(INDEX(選手一覧!$G$5:$G$2736,$F1097)="","",INDEX(選手一覧!$G$5:$G$2736,$F1097))</f>
        <v/>
      </c>
    </row>
    <row r="1098" customFormat="false" ht="15" hidden="false" customHeight="false" outlineLevel="0" collapsed="false">
      <c r="A1098" s="12" t="n">
        <v>1095</v>
      </c>
      <c r="B1098" s="8" t="s">
        <v>2145</v>
      </c>
      <c r="C1098" s="8" t="s">
        <v>2146</v>
      </c>
      <c r="D1098" s="11" t="n">
        <v>0.00291990740740741</v>
      </c>
      <c r="E1098" s="39" t="n">
        <f aca="false">ROUND((D1098-$D$5)*86400,2)</f>
        <v>27.25</v>
      </c>
      <c r="F1098" s="12" t="n">
        <v>1367</v>
      </c>
      <c r="G1098" s="11" t="str">
        <f aca="false">IF(INDEX(選手一覧!$D$5:$D$2736,$F1098)="","",INDEX(選手一覧!$D$5:$D$2736,$F1098))</f>
        <v/>
      </c>
      <c r="H1098" s="12" t="str">
        <f aca="false">IF(INDEX(選手一覧!$E$5:$E$2736,$F1098)="","",INDEX(選手一覧!$E$5:$E$2736,$F1098))</f>
        <v/>
      </c>
      <c r="I1098" s="11" t="n">
        <f aca="false">IF(INDEX(選手一覧!$F$5:$F$2736,$F1098)="","",INDEX(選手一覧!$F$5:$F$2736,$F1098))</f>
        <v>0.00689131944444444</v>
      </c>
      <c r="J1098" s="12" t="n">
        <f aca="false">IF(INDEX(選手一覧!$G$5:$G$2736,$F1098)="","",INDEX(選手一覧!$G$5:$G$2736,$F1098))</f>
        <v>231</v>
      </c>
    </row>
    <row r="1099" customFormat="false" ht="15" hidden="false" customHeight="false" outlineLevel="0" collapsed="false">
      <c r="A1099" s="12" t="n">
        <v>1096</v>
      </c>
      <c r="B1099" s="8" t="s">
        <v>3589</v>
      </c>
      <c r="C1099" s="8" t="s">
        <v>3590</v>
      </c>
      <c r="D1099" s="11" t="n">
        <v>0.00292002314814815</v>
      </c>
      <c r="E1099" s="39" t="n">
        <f aca="false">ROUND((D1099-$D$5)*86400,2)</f>
        <v>27.26</v>
      </c>
      <c r="F1099" s="12" t="n">
        <v>2333</v>
      </c>
      <c r="G1099" s="11" t="str">
        <f aca="false">IF(INDEX(選手一覧!$D$5:$D$2736,$F1099)="","",INDEX(選手一覧!$D$5:$D$2736,$F1099))</f>
        <v/>
      </c>
      <c r="H1099" s="12" t="str">
        <f aca="false">IF(INDEX(選手一覧!$E$5:$E$2736,$F1099)="","",INDEX(選手一覧!$E$5:$E$2736,$F1099))</f>
        <v/>
      </c>
      <c r="I1099" s="11" t="str">
        <f aca="false">IF(INDEX(選手一覧!$F$5:$F$2736,$F1099)="","",INDEX(選手一覧!$F$5:$F$2736,$F1099))</f>
        <v/>
      </c>
      <c r="J1099" s="12" t="str">
        <f aca="false">IF(INDEX(選手一覧!$G$5:$G$2736,$F1099)="","",INDEX(選手一覧!$G$5:$G$2736,$F1099))</f>
        <v/>
      </c>
    </row>
    <row r="1100" customFormat="false" ht="15" hidden="false" customHeight="false" outlineLevel="0" collapsed="false">
      <c r="A1100" s="12" t="n">
        <v>1097</v>
      </c>
      <c r="B1100" s="8" t="s">
        <v>3593</v>
      </c>
      <c r="C1100" s="8" t="s">
        <v>1738</v>
      </c>
      <c r="D1100" s="11" t="n">
        <v>0.00292002314814815</v>
      </c>
      <c r="E1100" s="39" t="n">
        <f aca="false">ROUND((D1100-$D$5)*86400,2)</f>
        <v>27.26</v>
      </c>
      <c r="F1100" s="12" t="n">
        <v>2335</v>
      </c>
      <c r="G1100" s="11" t="str">
        <f aca="false">IF(INDEX(選手一覧!$D$5:$D$2736,$F1100)="","",INDEX(選手一覧!$D$5:$D$2736,$F1100))</f>
        <v/>
      </c>
      <c r="H1100" s="12" t="str">
        <f aca="false">IF(INDEX(選手一覧!$E$5:$E$2736,$F1100)="","",INDEX(選手一覧!$E$5:$E$2736,$F1100))</f>
        <v/>
      </c>
      <c r="I1100" s="11" t="str">
        <f aca="false">IF(INDEX(選手一覧!$F$5:$F$2736,$F1100)="","",INDEX(選手一覧!$F$5:$F$2736,$F1100))</f>
        <v/>
      </c>
      <c r="J1100" s="12" t="str">
        <f aca="false">IF(INDEX(選手一覧!$G$5:$G$2736,$F1100)="","",INDEX(選手一覧!$G$5:$G$2736,$F1100))</f>
        <v/>
      </c>
    </row>
    <row r="1101" customFormat="false" ht="15" hidden="false" customHeight="false" outlineLevel="0" collapsed="false">
      <c r="A1101" s="12" t="n">
        <v>1098</v>
      </c>
      <c r="B1101" s="8" t="s">
        <v>1276</v>
      </c>
      <c r="C1101" s="8" t="s">
        <v>1277</v>
      </c>
      <c r="D1101" s="11" t="n">
        <v>0.00292013888888889</v>
      </c>
      <c r="E1101" s="39" t="n">
        <f aca="false">ROUND((D1101-$D$5)*86400,2)</f>
        <v>27.27</v>
      </c>
      <c r="F1101" s="12" t="n">
        <v>767</v>
      </c>
      <c r="G1101" s="11" t="n">
        <f aca="false">IF(INDEX(選手一覧!$D$5:$D$2736,$F1101)="","",INDEX(選手一覧!$D$5:$D$2736,$F1101))</f>
        <v>0.0108137731481482</v>
      </c>
      <c r="H1101" s="12" t="n">
        <f aca="false">IF(INDEX(選手一覧!$E$5:$E$2736,$F1101)="","",INDEX(選手一覧!$E$5:$E$2736,$F1101))</f>
        <v>768</v>
      </c>
      <c r="I1101" s="11" t="str">
        <f aca="false">IF(INDEX(選手一覧!$F$5:$F$2736,$F1101)="","",INDEX(選手一覧!$F$5:$F$2736,$F1101))</f>
        <v/>
      </c>
      <c r="J1101" s="12" t="str">
        <f aca="false">IF(INDEX(選手一覧!$G$5:$G$2736,$F1101)="","",INDEX(選手一覧!$G$5:$G$2736,$F1101))</f>
        <v/>
      </c>
    </row>
    <row r="1102" customFormat="false" ht="15" hidden="false" customHeight="false" outlineLevel="0" collapsed="false">
      <c r="A1102" s="12" t="n">
        <v>1099</v>
      </c>
      <c r="B1102" s="8" t="s">
        <v>3597</v>
      </c>
      <c r="C1102" s="8" t="s">
        <v>2611</v>
      </c>
      <c r="D1102" s="11" t="n">
        <v>0.00292025462962963</v>
      </c>
      <c r="E1102" s="39" t="n">
        <f aca="false">ROUND((D1102-$D$5)*86400,2)</f>
        <v>27.28</v>
      </c>
      <c r="F1102" s="12" t="n">
        <v>2338</v>
      </c>
      <c r="G1102" s="11" t="str">
        <f aca="false">IF(INDEX(選手一覧!$D$5:$D$2736,$F1102)="","",INDEX(選手一覧!$D$5:$D$2736,$F1102))</f>
        <v/>
      </c>
      <c r="H1102" s="12" t="str">
        <f aca="false">IF(INDEX(選手一覧!$E$5:$E$2736,$F1102)="","",INDEX(選手一覧!$E$5:$E$2736,$F1102))</f>
        <v/>
      </c>
      <c r="I1102" s="11" t="str">
        <f aca="false">IF(INDEX(選手一覧!$F$5:$F$2736,$F1102)="","",INDEX(選手一覧!$F$5:$F$2736,$F1102))</f>
        <v/>
      </c>
      <c r="J1102" s="12" t="str">
        <f aca="false">IF(INDEX(選手一覧!$G$5:$G$2736,$F1102)="","",INDEX(選手一覧!$G$5:$G$2736,$F1102))</f>
        <v/>
      </c>
    </row>
    <row r="1103" customFormat="false" ht="15" hidden="false" customHeight="false" outlineLevel="0" collapsed="false">
      <c r="A1103" s="12" t="n">
        <v>1100</v>
      </c>
      <c r="B1103" s="8" t="s">
        <v>1843</v>
      </c>
      <c r="C1103" s="8" t="s">
        <v>1844</v>
      </c>
      <c r="D1103" s="11" t="n">
        <v>0.00292025462962963</v>
      </c>
      <c r="E1103" s="39" t="n">
        <f aca="false">ROUND((D1103-$D$5)*86400,2)</f>
        <v>27.28</v>
      </c>
      <c r="F1103" s="12" t="n">
        <v>1150</v>
      </c>
      <c r="G1103" s="11" t="n">
        <f aca="false">IF(INDEX(選手一覧!$D$5:$D$2736,$F1103)="","",INDEX(選手一覧!$D$5:$D$2736,$F1103))</f>
        <v>0.0110297453703704</v>
      </c>
      <c r="H1103" s="12" t="n">
        <f aca="false">IF(INDEX(選手一覧!$E$5:$E$2736,$F1103)="","",INDEX(選手一覧!$E$5:$E$2736,$F1103))</f>
        <v>1151</v>
      </c>
      <c r="I1103" s="11" t="n">
        <f aca="false">IF(INDEX(選手一覧!$F$5:$F$2736,$F1103)="","",INDEX(選手一覧!$F$5:$F$2736,$F1103))</f>
        <v>0.00723888888888889</v>
      </c>
      <c r="J1103" s="12" t="n">
        <f aca="false">IF(INDEX(選手一覧!$G$5:$G$2736,$F1103)="","",INDEX(選手一覧!$G$5:$G$2736,$F1103))</f>
        <v>586</v>
      </c>
    </row>
    <row r="1104" customFormat="false" ht="15" hidden="false" customHeight="false" outlineLevel="0" collapsed="false">
      <c r="A1104" s="12" t="n">
        <v>1101</v>
      </c>
      <c r="B1104" s="8" t="s">
        <v>3600</v>
      </c>
      <c r="C1104" s="8" t="s">
        <v>1503</v>
      </c>
      <c r="D1104" s="11" t="n">
        <v>0.00292025462962963</v>
      </c>
      <c r="E1104" s="39" t="n">
        <f aca="false">ROUND((D1104-$D$5)*86400,2)</f>
        <v>27.28</v>
      </c>
      <c r="F1104" s="12" t="n">
        <v>2341</v>
      </c>
      <c r="G1104" s="11" t="str">
        <f aca="false">IF(INDEX(選手一覧!$D$5:$D$2736,$F1104)="","",INDEX(選手一覧!$D$5:$D$2736,$F1104))</f>
        <v/>
      </c>
      <c r="H1104" s="12" t="str">
        <f aca="false">IF(INDEX(選手一覧!$E$5:$E$2736,$F1104)="","",INDEX(選手一覧!$E$5:$E$2736,$F1104))</f>
        <v/>
      </c>
      <c r="I1104" s="11" t="str">
        <f aca="false">IF(INDEX(選手一覧!$F$5:$F$2736,$F1104)="","",INDEX(選手一覧!$F$5:$F$2736,$F1104))</f>
        <v/>
      </c>
      <c r="J1104" s="12" t="str">
        <f aca="false">IF(INDEX(選手一覧!$G$5:$G$2736,$F1104)="","",INDEX(選手一覧!$G$5:$G$2736,$F1104))</f>
        <v/>
      </c>
    </row>
    <row r="1105" customFormat="false" ht="15" hidden="false" customHeight="false" outlineLevel="0" collapsed="false">
      <c r="A1105" s="12" t="n">
        <v>1102</v>
      </c>
      <c r="B1105" s="8" t="s">
        <v>2058</v>
      </c>
      <c r="C1105" s="8" t="s">
        <v>2059</v>
      </c>
      <c r="D1105" s="11" t="n">
        <v>0.00292025462962963</v>
      </c>
      <c r="E1105" s="39" t="n">
        <f aca="false">ROUND((D1105-$D$5)*86400,2)</f>
        <v>27.28</v>
      </c>
      <c r="F1105" s="12" t="n">
        <v>1309</v>
      </c>
      <c r="G1105" s="11" t="str">
        <f aca="false">IF(INDEX(選手一覧!$D$5:$D$2736,$F1105)="","",INDEX(選手一覧!$D$5:$D$2736,$F1105))</f>
        <v/>
      </c>
      <c r="H1105" s="12" t="str">
        <f aca="false">IF(INDEX(選手一覧!$E$5:$E$2736,$F1105)="","",INDEX(選手一覧!$E$5:$E$2736,$F1105))</f>
        <v/>
      </c>
      <c r="I1105" s="11" t="n">
        <f aca="false">IF(INDEX(選手一覧!$F$5:$F$2736,$F1105)="","",INDEX(選手一覧!$F$5:$F$2736,$F1105))</f>
        <v>0.00670486111111111</v>
      </c>
      <c r="J1105" s="12" t="n">
        <f aca="false">IF(INDEX(選手一覧!$G$5:$G$2736,$F1105)="","",INDEX(選手一覧!$G$5:$G$2736,$F1105))</f>
        <v>110</v>
      </c>
    </row>
    <row r="1106" customFormat="false" ht="15" hidden="false" customHeight="false" outlineLevel="0" collapsed="false">
      <c r="A1106" s="12" t="n">
        <v>1103</v>
      </c>
      <c r="B1106" s="8" t="s">
        <v>3604</v>
      </c>
      <c r="C1106" s="8" t="s">
        <v>2042</v>
      </c>
      <c r="D1106" s="11" t="n">
        <v>0.00292025462962963</v>
      </c>
      <c r="E1106" s="39" t="n">
        <f aca="false">ROUND((D1106-$D$5)*86400,2)</f>
        <v>27.28</v>
      </c>
      <c r="F1106" s="12" t="n">
        <v>2344</v>
      </c>
      <c r="G1106" s="11" t="str">
        <f aca="false">IF(INDEX(選手一覧!$D$5:$D$2736,$F1106)="","",INDEX(選手一覧!$D$5:$D$2736,$F1106))</f>
        <v/>
      </c>
      <c r="H1106" s="12" t="str">
        <f aca="false">IF(INDEX(選手一覧!$E$5:$E$2736,$F1106)="","",INDEX(選手一覧!$E$5:$E$2736,$F1106))</f>
        <v/>
      </c>
      <c r="I1106" s="11" t="str">
        <f aca="false">IF(INDEX(選手一覧!$F$5:$F$2736,$F1106)="","",INDEX(選手一覧!$F$5:$F$2736,$F1106))</f>
        <v/>
      </c>
      <c r="J1106" s="12" t="str">
        <f aca="false">IF(INDEX(選手一覧!$G$5:$G$2736,$F1106)="","",INDEX(選手一覧!$G$5:$G$2736,$F1106))</f>
        <v/>
      </c>
    </row>
    <row r="1107" customFormat="false" ht="15" hidden="false" customHeight="false" outlineLevel="0" collapsed="false">
      <c r="A1107" s="12" t="n">
        <v>1104</v>
      </c>
      <c r="B1107" s="8" t="s">
        <v>3607</v>
      </c>
      <c r="C1107" s="8" t="s">
        <v>3073</v>
      </c>
      <c r="D1107" s="11" t="n">
        <v>0.00292037037037037</v>
      </c>
      <c r="E1107" s="39" t="n">
        <f aca="false">ROUND((D1107-$D$5)*86400,2)</f>
        <v>27.29</v>
      </c>
      <c r="F1107" s="12" t="n">
        <v>2346</v>
      </c>
      <c r="G1107" s="11" t="str">
        <f aca="false">IF(INDEX(選手一覧!$D$5:$D$2736,$F1107)="","",INDEX(選手一覧!$D$5:$D$2736,$F1107))</f>
        <v/>
      </c>
      <c r="H1107" s="12" t="str">
        <f aca="false">IF(INDEX(選手一覧!$E$5:$E$2736,$F1107)="","",INDEX(選手一覧!$E$5:$E$2736,$F1107))</f>
        <v/>
      </c>
      <c r="I1107" s="11" t="str">
        <f aca="false">IF(INDEX(選手一覧!$F$5:$F$2736,$F1107)="","",INDEX(選手一覧!$F$5:$F$2736,$F1107))</f>
        <v/>
      </c>
      <c r="J1107" s="12" t="str">
        <f aca="false">IF(INDEX(選手一覧!$G$5:$G$2736,$F1107)="","",INDEX(選手一覧!$G$5:$G$2736,$F1107))</f>
        <v/>
      </c>
    </row>
    <row r="1108" customFormat="false" ht="15" hidden="false" customHeight="false" outlineLevel="0" collapsed="false">
      <c r="A1108" s="12" t="n">
        <v>1105</v>
      </c>
      <c r="B1108" s="8" t="s">
        <v>723</v>
      </c>
      <c r="C1108" s="8" t="s">
        <v>23</v>
      </c>
      <c r="D1108" s="11" t="n">
        <v>0.00292060185185185</v>
      </c>
      <c r="E1108" s="39" t="n">
        <f aca="false">ROUND((D1108-$D$5)*86400,2)</f>
        <v>27.31</v>
      </c>
      <c r="F1108" s="12" t="n">
        <v>405</v>
      </c>
      <c r="G1108" s="11" t="n">
        <f aca="false">IF(INDEX(選手一覧!$D$5:$D$2736,$F1108)="","",INDEX(選手一覧!$D$5:$D$2736,$F1108))</f>
        <v>0.0105568287037037</v>
      </c>
      <c r="H1108" s="12" t="n">
        <f aca="false">IF(INDEX(選手一覧!$E$5:$E$2736,$F1108)="","",INDEX(選手一覧!$E$5:$E$2736,$F1108))</f>
        <v>406</v>
      </c>
      <c r="I1108" s="11" t="str">
        <f aca="false">IF(INDEX(選手一覧!$F$5:$F$2736,$F1108)="","",INDEX(選手一覧!$F$5:$F$2736,$F1108))</f>
        <v/>
      </c>
      <c r="J1108" s="12" t="str">
        <f aca="false">IF(INDEX(選手一覧!$G$5:$G$2736,$F1108)="","",INDEX(選手一覧!$G$5:$G$2736,$F1108))</f>
        <v/>
      </c>
    </row>
    <row r="1109" customFormat="false" ht="15" hidden="false" customHeight="false" outlineLevel="0" collapsed="false">
      <c r="A1109" s="12" t="n">
        <v>1106</v>
      </c>
      <c r="B1109" s="8" t="s">
        <v>1575</v>
      </c>
      <c r="C1109" s="8" t="s">
        <v>1576</v>
      </c>
      <c r="D1109" s="11" t="n">
        <v>0.00292060185185185</v>
      </c>
      <c r="E1109" s="39" t="n">
        <f aca="false">ROUND((D1109-$D$5)*86400,2)</f>
        <v>27.31</v>
      </c>
      <c r="F1109" s="12" t="n">
        <v>969</v>
      </c>
      <c r="G1109" s="11" t="n">
        <f aca="false">IF(INDEX(選手一覧!$D$5:$D$2736,$F1109)="","",INDEX(選手一覧!$D$5:$D$2736,$F1109))</f>
        <v>0.0109322916666667</v>
      </c>
      <c r="H1109" s="12" t="n">
        <f aca="false">IF(INDEX(選手一覧!$E$5:$E$2736,$F1109)="","",INDEX(選手一覧!$E$5:$E$2736,$F1109))</f>
        <v>970</v>
      </c>
      <c r="I1109" s="11" t="str">
        <f aca="false">IF(INDEX(選手一覧!$F$5:$F$2736,$F1109)="","",INDEX(選手一覧!$F$5:$F$2736,$F1109))</f>
        <v/>
      </c>
      <c r="J1109" s="12" t="str">
        <f aca="false">IF(INDEX(選手一覧!$G$5:$G$2736,$F1109)="","",INDEX(選手一覧!$G$5:$G$2736,$F1109))</f>
        <v/>
      </c>
    </row>
    <row r="1110" customFormat="false" ht="15" hidden="false" customHeight="false" outlineLevel="0" collapsed="false">
      <c r="A1110" s="12" t="n">
        <v>1107</v>
      </c>
      <c r="B1110" s="8" t="s">
        <v>1916</v>
      </c>
      <c r="C1110" s="8" t="s">
        <v>537</v>
      </c>
      <c r="D1110" s="11" t="n">
        <v>0.00292071759259259</v>
      </c>
      <c r="E1110" s="39" t="n">
        <f aca="false">ROUND((D1110-$D$5)*86400,2)</f>
        <v>27.32</v>
      </c>
      <c r="F1110" s="12" t="n">
        <v>1202</v>
      </c>
      <c r="G1110" s="11" t="n">
        <f aca="false">IF(INDEX(選手一覧!$D$5:$D$2736,$F1110)="","",INDEX(選手一覧!$D$5:$D$2736,$F1110))</f>
        <v>0.0110524305555556</v>
      </c>
      <c r="H1110" s="12" t="n">
        <f aca="false">IF(INDEX(選手一覧!$E$5:$E$2736,$F1110)="","",INDEX(選手一覧!$E$5:$E$2736,$F1110))</f>
        <v>1203</v>
      </c>
      <c r="I1110" s="11" t="n">
        <f aca="false">IF(INDEX(選手一覧!$F$5:$F$2736,$F1110)="","",INDEX(選手一覧!$F$5:$F$2736,$F1110))</f>
        <v>0.00715798611111111</v>
      </c>
      <c r="J1110" s="12" t="n">
        <f aca="false">IF(INDEX(選手一覧!$G$5:$G$2736,$F1110)="","",INDEX(選手一覧!$G$5:$G$2736,$F1110))</f>
        <v>494</v>
      </c>
    </row>
    <row r="1111" customFormat="false" ht="15" hidden="false" customHeight="false" outlineLevel="0" collapsed="false">
      <c r="A1111" s="12" t="n">
        <v>1108</v>
      </c>
      <c r="B1111" s="8" t="s">
        <v>3614</v>
      </c>
      <c r="C1111" s="8" t="s">
        <v>3615</v>
      </c>
      <c r="D1111" s="11" t="n">
        <v>0.00292106481481482</v>
      </c>
      <c r="E1111" s="39" t="n">
        <f aca="false">ROUND((D1111-$D$5)*86400,2)</f>
        <v>27.35</v>
      </c>
      <c r="F1111" s="12" t="n">
        <v>2351</v>
      </c>
      <c r="G1111" s="11" t="str">
        <f aca="false">IF(INDEX(選手一覧!$D$5:$D$2736,$F1111)="","",INDEX(選手一覧!$D$5:$D$2736,$F1111))</f>
        <v/>
      </c>
      <c r="H1111" s="12" t="str">
        <f aca="false">IF(INDEX(選手一覧!$E$5:$E$2736,$F1111)="","",INDEX(選手一覧!$E$5:$E$2736,$F1111))</f>
        <v/>
      </c>
      <c r="I1111" s="11" t="str">
        <f aca="false">IF(INDEX(選手一覧!$F$5:$F$2736,$F1111)="","",INDEX(選手一覧!$F$5:$F$2736,$F1111))</f>
        <v/>
      </c>
      <c r="J1111" s="12" t="str">
        <f aca="false">IF(INDEX(選手一覧!$G$5:$G$2736,$F1111)="","",INDEX(選手一覧!$G$5:$G$2736,$F1111))</f>
        <v/>
      </c>
    </row>
    <row r="1112" customFormat="false" ht="15" hidden="false" customHeight="false" outlineLevel="0" collapsed="false">
      <c r="A1112" s="12" t="n">
        <v>1109</v>
      </c>
      <c r="B1112" s="8" t="s">
        <v>3617</v>
      </c>
      <c r="C1112" s="8" t="s">
        <v>3618</v>
      </c>
      <c r="D1112" s="11" t="n">
        <v>0.00292118055555556</v>
      </c>
      <c r="E1112" s="39" t="n">
        <f aca="false">ROUND((D1112-$D$5)*86400,2)</f>
        <v>27.36</v>
      </c>
      <c r="F1112" s="12" t="n">
        <v>2353</v>
      </c>
      <c r="G1112" s="11" t="str">
        <f aca="false">IF(INDEX(選手一覧!$D$5:$D$2736,$F1112)="","",INDEX(選手一覧!$D$5:$D$2736,$F1112))</f>
        <v/>
      </c>
      <c r="H1112" s="12" t="str">
        <f aca="false">IF(INDEX(選手一覧!$E$5:$E$2736,$F1112)="","",INDEX(選手一覧!$E$5:$E$2736,$F1112))</f>
        <v/>
      </c>
      <c r="I1112" s="11" t="str">
        <f aca="false">IF(INDEX(選手一覧!$F$5:$F$2736,$F1112)="","",INDEX(選手一覧!$F$5:$F$2736,$F1112))</f>
        <v/>
      </c>
      <c r="J1112" s="12" t="str">
        <f aca="false">IF(INDEX(選手一覧!$G$5:$G$2736,$F1112)="","",INDEX(選手一覧!$G$5:$G$2736,$F1112))</f>
        <v/>
      </c>
    </row>
    <row r="1113" customFormat="false" ht="15" hidden="false" customHeight="false" outlineLevel="0" collapsed="false">
      <c r="A1113" s="12" t="n">
        <v>1110</v>
      </c>
      <c r="B1113" s="8" t="s">
        <v>3620</v>
      </c>
      <c r="C1113" s="8" t="s">
        <v>3032</v>
      </c>
      <c r="D1113" s="11" t="n">
        <v>0.00292141203703704</v>
      </c>
      <c r="E1113" s="39" t="n">
        <f aca="false">ROUND((D1113-$D$5)*86400,2)</f>
        <v>27.38</v>
      </c>
      <c r="F1113" s="12" t="n">
        <v>2355</v>
      </c>
      <c r="G1113" s="11" t="str">
        <f aca="false">IF(INDEX(選手一覧!$D$5:$D$2736,$F1113)="","",INDEX(選手一覧!$D$5:$D$2736,$F1113))</f>
        <v/>
      </c>
      <c r="H1113" s="12" t="str">
        <f aca="false">IF(INDEX(選手一覧!$E$5:$E$2736,$F1113)="","",INDEX(選手一覧!$E$5:$E$2736,$F1113))</f>
        <v/>
      </c>
      <c r="I1113" s="11" t="str">
        <f aca="false">IF(INDEX(選手一覧!$F$5:$F$2736,$F1113)="","",INDEX(選手一覧!$F$5:$F$2736,$F1113))</f>
        <v/>
      </c>
      <c r="J1113" s="12" t="str">
        <f aca="false">IF(INDEX(選手一覧!$G$5:$G$2736,$F1113)="","",INDEX(選手一覧!$G$5:$G$2736,$F1113))</f>
        <v/>
      </c>
    </row>
    <row r="1114" customFormat="false" ht="15" hidden="false" customHeight="false" outlineLevel="0" collapsed="false">
      <c r="A1114" s="12" t="n">
        <v>1111</v>
      </c>
      <c r="B1114" s="8" t="s">
        <v>1838</v>
      </c>
      <c r="C1114" s="8" t="s">
        <v>1839</v>
      </c>
      <c r="D1114" s="11" t="n">
        <v>0.00292141203703704</v>
      </c>
      <c r="E1114" s="39" t="n">
        <f aca="false">ROUND((D1114-$D$5)*86400,2)</f>
        <v>27.38</v>
      </c>
      <c r="F1114" s="12" t="n">
        <v>1146</v>
      </c>
      <c r="G1114" s="11" t="n">
        <f aca="false">IF(INDEX(選手一覧!$D$5:$D$2736,$F1114)="","",INDEX(選手一覧!$D$5:$D$2736,$F1114))</f>
        <v>0.0110283564814815</v>
      </c>
      <c r="H1114" s="12" t="n">
        <f aca="false">IF(INDEX(選手一覧!$E$5:$E$2736,$F1114)="","",INDEX(選手一覧!$E$5:$E$2736,$F1114))</f>
        <v>1147</v>
      </c>
      <c r="I1114" s="11" t="str">
        <f aca="false">IF(INDEX(選手一覧!$F$5:$F$2736,$F1114)="","",INDEX(選手一覧!$F$5:$F$2736,$F1114))</f>
        <v/>
      </c>
      <c r="J1114" s="12" t="str">
        <f aca="false">IF(INDEX(選手一覧!$G$5:$G$2736,$F1114)="","",INDEX(選手一覧!$G$5:$G$2736,$F1114))</f>
        <v/>
      </c>
    </row>
    <row r="1115" customFormat="false" ht="15" hidden="false" customHeight="false" outlineLevel="0" collapsed="false">
      <c r="A1115" s="12" t="n">
        <v>1112</v>
      </c>
      <c r="B1115" s="8" t="s">
        <v>1927</v>
      </c>
      <c r="C1115" s="8" t="s">
        <v>1844</v>
      </c>
      <c r="D1115" s="11" t="n">
        <v>0.00292199074074074</v>
      </c>
      <c r="E1115" s="39" t="n">
        <f aca="false">ROUND((D1115-$D$5)*86400,2)</f>
        <v>27.43</v>
      </c>
      <c r="F1115" s="12" t="n">
        <v>1209</v>
      </c>
      <c r="G1115" s="11" t="n">
        <f aca="false">IF(INDEX(選手一覧!$D$5:$D$2736,$F1115)="","",INDEX(選手一覧!$D$5:$D$2736,$F1115))</f>
        <v>0.0110561342592593</v>
      </c>
      <c r="H1115" s="12" t="n">
        <f aca="false">IF(INDEX(選手一覧!$E$5:$E$2736,$F1115)="","",INDEX(選手一覧!$E$5:$E$2736,$F1115))</f>
        <v>1210</v>
      </c>
      <c r="I1115" s="11" t="str">
        <f aca="false">IF(INDEX(選手一覧!$F$5:$F$2736,$F1115)="","",INDEX(選手一覧!$F$5:$F$2736,$F1115))</f>
        <v/>
      </c>
      <c r="J1115" s="12" t="str">
        <f aca="false">IF(INDEX(選手一覧!$G$5:$G$2736,$F1115)="","",INDEX(選手一覧!$G$5:$G$2736,$F1115))</f>
        <v/>
      </c>
    </row>
    <row r="1116" customFormat="false" ht="15" hidden="false" customHeight="false" outlineLevel="0" collapsed="false">
      <c r="A1116" s="12" t="n">
        <v>1113</v>
      </c>
      <c r="B1116" s="8" t="s">
        <v>2257</v>
      </c>
      <c r="C1116" s="8" t="s">
        <v>2258</v>
      </c>
      <c r="D1116" s="11" t="n">
        <v>0.00292199074074074</v>
      </c>
      <c r="E1116" s="39" t="n">
        <f aca="false">ROUND((D1116-$D$5)*86400,2)</f>
        <v>27.43</v>
      </c>
      <c r="F1116" s="12" t="n">
        <v>1441</v>
      </c>
      <c r="G1116" s="11" t="str">
        <f aca="false">IF(INDEX(選手一覧!$D$5:$D$2736,$F1116)="","",INDEX(選手一覧!$D$5:$D$2736,$F1116))</f>
        <v/>
      </c>
      <c r="H1116" s="12" t="str">
        <f aca="false">IF(INDEX(選手一覧!$E$5:$E$2736,$F1116)="","",INDEX(選手一覧!$E$5:$E$2736,$F1116))</f>
        <v/>
      </c>
      <c r="I1116" s="11" t="n">
        <f aca="false">IF(INDEX(選手一覧!$F$5:$F$2736,$F1116)="","",INDEX(選手一覧!$F$5:$F$2736,$F1116))</f>
        <v>0.00699722222222222</v>
      </c>
      <c r="J1116" s="12" t="n">
        <f aca="false">IF(INDEX(選手一覧!$G$5:$G$2736,$F1116)="","",INDEX(選手一覧!$G$5:$G$2736,$F1116))</f>
        <v>333</v>
      </c>
    </row>
    <row r="1117" customFormat="false" ht="15" hidden="false" customHeight="false" outlineLevel="0" collapsed="false">
      <c r="A1117" s="12" t="n">
        <v>1114</v>
      </c>
      <c r="B1117" s="8" t="s">
        <v>2550</v>
      </c>
      <c r="C1117" s="8" t="s">
        <v>1503</v>
      </c>
      <c r="D1117" s="11" t="n">
        <v>0.00292210648148148</v>
      </c>
      <c r="E1117" s="39" t="n">
        <f aca="false">ROUND((D1117-$D$5)*86400,2)</f>
        <v>27.44</v>
      </c>
      <c r="F1117" s="12" t="n">
        <v>1634</v>
      </c>
      <c r="G1117" s="11" t="str">
        <f aca="false">IF(INDEX(選手一覧!$D$5:$D$2736,$F1117)="","",INDEX(選手一覧!$D$5:$D$2736,$F1117))</f>
        <v/>
      </c>
      <c r="H1117" s="12" t="str">
        <f aca="false">IF(INDEX(選手一覧!$E$5:$E$2736,$F1117)="","",INDEX(選手一覧!$E$5:$E$2736,$F1117))</f>
        <v/>
      </c>
      <c r="I1117" s="11" t="n">
        <f aca="false">IF(INDEX(選手一覧!$F$5:$F$2736,$F1117)="","",INDEX(選手一覧!$F$5:$F$2736,$F1117))</f>
        <v>0.00720474537037037</v>
      </c>
      <c r="J1117" s="12" t="n">
        <f aca="false">IF(INDEX(選手一覧!$G$5:$G$2736,$F1117)="","",INDEX(選手一覧!$G$5:$G$2736,$F1117))</f>
        <v>542</v>
      </c>
    </row>
    <row r="1118" customFormat="false" ht="15" hidden="false" customHeight="false" outlineLevel="0" collapsed="false">
      <c r="A1118" s="12" t="n">
        <v>1115</v>
      </c>
      <c r="B1118" s="8" t="s">
        <v>1047</v>
      </c>
      <c r="C1118" s="8" t="s">
        <v>525</v>
      </c>
      <c r="D1118" s="11" t="n">
        <v>0.00292210648148148</v>
      </c>
      <c r="E1118" s="39" t="n">
        <f aca="false">ROUND((D1118-$D$5)*86400,2)</f>
        <v>27.44</v>
      </c>
      <c r="F1118" s="12" t="n">
        <v>615</v>
      </c>
      <c r="G1118" s="11" t="n">
        <f aca="false">IF(INDEX(選手一覧!$D$5:$D$2736,$F1118)="","",INDEX(選手一覧!$D$5:$D$2736,$F1118))</f>
        <v>0.0107228009259259</v>
      </c>
      <c r="H1118" s="12" t="n">
        <f aca="false">IF(INDEX(選手一覧!$E$5:$E$2736,$F1118)="","",INDEX(選手一覧!$E$5:$E$2736,$F1118))</f>
        <v>616</v>
      </c>
      <c r="I1118" s="11" t="n">
        <f aca="false">IF(INDEX(選手一覧!$F$5:$F$2736,$F1118)="","",INDEX(選手一覧!$F$5:$F$2736,$F1118))</f>
        <v>0.00680914351851852</v>
      </c>
      <c r="J1118" s="12" t="n">
        <f aca="false">IF(INDEX(選手一覧!$G$5:$G$2736,$F1118)="","",INDEX(選手一覧!$G$5:$G$2736,$F1118))</f>
        <v>179</v>
      </c>
    </row>
    <row r="1119" customFormat="false" ht="15" hidden="false" customHeight="false" outlineLevel="0" collapsed="false">
      <c r="A1119" s="12" t="n">
        <v>1116</v>
      </c>
      <c r="B1119" s="8" t="s">
        <v>796</v>
      </c>
      <c r="C1119" s="8" t="s">
        <v>64</v>
      </c>
      <c r="D1119" s="11" t="n">
        <v>0.00292222222222222</v>
      </c>
      <c r="E1119" s="39" t="n">
        <f aca="false">ROUND((D1119-$D$5)*86400,2)</f>
        <v>27.45</v>
      </c>
      <c r="F1119" s="12" t="n">
        <v>451</v>
      </c>
      <c r="G1119" s="11" t="n">
        <f aca="false">IF(INDEX(選手一覧!$D$5:$D$2736,$F1119)="","",INDEX(選手一覧!$D$5:$D$2736,$F1119))</f>
        <v>0.0105880787037037</v>
      </c>
      <c r="H1119" s="12" t="n">
        <f aca="false">IF(INDEX(選手一覧!$E$5:$E$2736,$F1119)="","",INDEX(選手一覧!$E$5:$E$2736,$F1119))</f>
        <v>452</v>
      </c>
      <c r="I1119" s="11" t="str">
        <f aca="false">IF(INDEX(選手一覧!$F$5:$F$2736,$F1119)="","",INDEX(選手一覧!$F$5:$F$2736,$F1119))</f>
        <v/>
      </c>
      <c r="J1119" s="12" t="str">
        <f aca="false">IF(INDEX(選手一覧!$G$5:$G$2736,$F1119)="","",INDEX(選手一覧!$G$5:$G$2736,$F1119))</f>
        <v/>
      </c>
    </row>
    <row r="1120" customFormat="false" ht="15" hidden="false" customHeight="false" outlineLevel="0" collapsed="false">
      <c r="A1120" s="12" t="n">
        <v>1117</v>
      </c>
      <c r="B1120" s="8" t="s">
        <v>3631</v>
      </c>
      <c r="C1120" s="8" t="s">
        <v>290</v>
      </c>
      <c r="D1120" s="11" t="n">
        <v>0.00292233796296296</v>
      </c>
      <c r="E1120" s="39" t="n">
        <f aca="false">ROUND((D1120-$D$5)*86400,2)</f>
        <v>27.46</v>
      </c>
      <c r="F1120" s="12" t="n">
        <v>2363</v>
      </c>
      <c r="G1120" s="11" t="str">
        <f aca="false">IF(INDEX(選手一覧!$D$5:$D$2736,$F1120)="","",INDEX(選手一覧!$D$5:$D$2736,$F1120))</f>
        <v/>
      </c>
      <c r="H1120" s="12" t="str">
        <f aca="false">IF(INDEX(選手一覧!$E$5:$E$2736,$F1120)="","",INDEX(選手一覧!$E$5:$E$2736,$F1120))</f>
        <v/>
      </c>
      <c r="I1120" s="11" t="str">
        <f aca="false">IF(INDEX(選手一覧!$F$5:$F$2736,$F1120)="","",INDEX(選手一覧!$F$5:$F$2736,$F1120))</f>
        <v/>
      </c>
      <c r="J1120" s="12" t="str">
        <f aca="false">IF(INDEX(選手一覧!$G$5:$G$2736,$F1120)="","",INDEX(選手一覧!$G$5:$G$2736,$F1120))</f>
        <v/>
      </c>
    </row>
    <row r="1121" customFormat="false" ht="15" hidden="false" customHeight="false" outlineLevel="0" collapsed="false">
      <c r="A1121" s="12" t="n">
        <v>1118</v>
      </c>
      <c r="B1121" s="8" t="s">
        <v>3633</v>
      </c>
      <c r="C1121" s="8" t="s">
        <v>3634</v>
      </c>
      <c r="D1121" s="11" t="n">
        <v>0.00292233796296296</v>
      </c>
      <c r="E1121" s="39" t="n">
        <f aca="false">ROUND((D1121-$D$5)*86400,2)</f>
        <v>27.46</v>
      </c>
      <c r="F1121" s="12" t="n">
        <v>2365</v>
      </c>
      <c r="G1121" s="11" t="str">
        <f aca="false">IF(INDEX(選手一覧!$D$5:$D$2736,$F1121)="","",INDEX(選手一覧!$D$5:$D$2736,$F1121))</f>
        <v/>
      </c>
      <c r="H1121" s="12" t="str">
        <f aca="false">IF(INDEX(選手一覧!$E$5:$E$2736,$F1121)="","",INDEX(選手一覧!$E$5:$E$2736,$F1121))</f>
        <v/>
      </c>
      <c r="I1121" s="11" t="str">
        <f aca="false">IF(INDEX(選手一覧!$F$5:$F$2736,$F1121)="","",INDEX(選手一覧!$F$5:$F$2736,$F1121))</f>
        <v/>
      </c>
      <c r="J1121" s="12" t="str">
        <f aca="false">IF(INDEX(選手一覧!$G$5:$G$2736,$F1121)="","",INDEX(選手一覧!$G$5:$G$2736,$F1121))</f>
        <v/>
      </c>
    </row>
    <row r="1122" customFormat="false" ht="15" hidden="false" customHeight="false" outlineLevel="0" collapsed="false">
      <c r="A1122" s="12" t="n">
        <v>1119</v>
      </c>
      <c r="B1122" s="8" t="s">
        <v>535</v>
      </c>
      <c r="C1122" s="8" t="s">
        <v>61</v>
      </c>
      <c r="D1122" s="11" t="n">
        <v>0.0029224537037037</v>
      </c>
      <c r="E1122" s="39" t="n">
        <f aca="false">ROUND((D1122-$D$5)*86400,2)</f>
        <v>27.47</v>
      </c>
      <c r="F1122" s="12" t="n">
        <v>288</v>
      </c>
      <c r="G1122" s="11" t="n">
        <f aca="false">IF(INDEX(選手一覧!$D$5:$D$2736,$F1122)="","",INDEX(選手一覧!$D$5:$D$2736,$F1122))</f>
        <v>0.0104248842592593</v>
      </c>
      <c r="H1122" s="12" t="n">
        <f aca="false">IF(INDEX(選手一覧!$E$5:$E$2736,$F1122)="","",INDEX(選手一覧!$E$5:$E$2736,$F1122))</f>
        <v>289</v>
      </c>
      <c r="I1122" s="11" t="str">
        <f aca="false">IF(INDEX(選手一覧!$F$5:$F$2736,$F1122)="","",INDEX(選手一覧!$F$5:$F$2736,$F1122))</f>
        <v/>
      </c>
      <c r="J1122" s="12" t="str">
        <f aca="false">IF(INDEX(選手一覧!$G$5:$G$2736,$F1122)="","",INDEX(選手一覧!$G$5:$G$2736,$F1122))</f>
        <v/>
      </c>
    </row>
    <row r="1123" customFormat="false" ht="15" hidden="false" customHeight="false" outlineLevel="0" collapsed="false">
      <c r="A1123" s="12" t="n">
        <v>1120</v>
      </c>
      <c r="B1123" s="8" t="s">
        <v>3639</v>
      </c>
      <c r="C1123" s="8" t="s">
        <v>3640</v>
      </c>
      <c r="D1123" s="11" t="n">
        <v>0.00292256944444444</v>
      </c>
      <c r="E1123" s="39" t="n">
        <f aca="false">ROUND((D1123-$D$5)*86400,2)</f>
        <v>27.48</v>
      </c>
      <c r="F1123" s="12" t="n">
        <v>2368</v>
      </c>
      <c r="G1123" s="11" t="str">
        <f aca="false">IF(INDEX(選手一覧!$D$5:$D$2736,$F1123)="","",INDEX(選手一覧!$D$5:$D$2736,$F1123))</f>
        <v/>
      </c>
      <c r="H1123" s="12" t="str">
        <f aca="false">IF(INDEX(選手一覧!$E$5:$E$2736,$F1123)="","",INDEX(選手一覧!$E$5:$E$2736,$F1123))</f>
        <v/>
      </c>
      <c r="I1123" s="11" t="str">
        <f aca="false">IF(INDEX(選手一覧!$F$5:$F$2736,$F1123)="","",INDEX(選手一覧!$F$5:$F$2736,$F1123))</f>
        <v/>
      </c>
      <c r="J1123" s="12" t="str">
        <f aca="false">IF(INDEX(選手一覧!$G$5:$G$2736,$F1123)="","",INDEX(選手一覧!$G$5:$G$2736,$F1123))</f>
        <v/>
      </c>
    </row>
    <row r="1124" customFormat="false" ht="15" hidden="false" customHeight="false" outlineLevel="0" collapsed="false">
      <c r="A1124" s="12" t="n">
        <v>1121</v>
      </c>
      <c r="B1124" s="8" t="s">
        <v>3643</v>
      </c>
      <c r="C1124" s="8" t="s">
        <v>3644</v>
      </c>
      <c r="D1124" s="11" t="n">
        <v>0.00292256944444444</v>
      </c>
      <c r="E1124" s="39" t="n">
        <f aca="false">ROUND((D1124-$D$5)*86400,2)</f>
        <v>27.48</v>
      </c>
      <c r="F1124" s="12" t="n">
        <v>2370</v>
      </c>
      <c r="G1124" s="11" t="str">
        <f aca="false">IF(INDEX(選手一覧!$D$5:$D$2736,$F1124)="","",INDEX(選手一覧!$D$5:$D$2736,$F1124))</f>
        <v/>
      </c>
      <c r="H1124" s="12" t="str">
        <f aca="false">IF(INDEX(選手一覧!$E$5:$E$2736,$F1124)="","",INDEX(選手一覧!$E$5:$E$2736,$F1124))</f>
        <v/>
      </c>
      <c r="I1124" s="11" t="str">
        <f aca="false">IF(INDEX(選手一覧!$F$5:$F$2736,$F1124)="","",INDEX(選手一覧!$F$5:$F$2736,$F1124))</f>
        <v/>
      </c>
      <c r="J1124" s="12" t="str">
        <f aca="false">IF(INDEX(選手一覧!$G$5:$G$2736,$F1124)="","",INDEX(選手一覧!$G$5:$G$2736,$F1124))</f>
        <v/>
      </c>
    </row>
    <row r="1125" customFormat="false" ht="15" hidden="false" customHeight="false" outlineLevel="0" collapsed="false">
      <c r="A1125" s="12" t="n">
        <v>1122</v>
      </c>
      <c r="B1125" s="8" t="s">
        <v>3646</v>
      </c>
      <c r="C1125" s="8" t="s">
        <v>3647</v>
      </c>
      <c r="D1125" s="11" t="n">
        <v>0.00292256944444444</v>
      </c>
      <c r="E1125" s="39" t="n">
        <f aca="false">ROUND((D1125-$D$5)*86400,2)</f>
        <v>27.48</v>
      </c>
      <c r="F1125" s="12" t="n">
        <v>2372</v>
      </c>
      <c r="G1125" s="11" t="str">
        <f aca="false">IF(INDEX(選手一覧!$D$5:$D$2736,$F1125)="","",INDEX(選手一覧!$D$5:$D$2736,$F1125))</f>
        <v/>
      </c>
      <c r="H1125" s="12" t="str">
        <f aca="false">IF(INDEX(選手一覧!$E$5:$E$2736,$F1125)="","",INDEX(選手一覧!$E$5:$E$2736,$F1125))</f>
        <v/>
      </c>
      <c r="I1125" s="11" t="str">
        <f aca="false">IF(INDEX(選手一覧!$F$5:$F$2736,$F1125)="","",INDEX(選手一覧!$F$5:$F$2736,$F1125))</f>
        <v/>
      </c>
      <c r="J1125" s="12" t="str">
        <f aca="false">IF(INDEX(選手一覧!$G$5:$G$2736,$F1125)="","",INDEX(選手一覧!$G$5:$G$2736,$F1125))</f>
        <v/>
      </c>
    </row>
    <row r="1126" customFormat="false" ht="15" hidden="false" customHeight="false" outlineLevel="0" collapsed="false">
      <c r="A1126" s="12" t="n">
        <v>1123</v>
      </c>
      <c r="B1126" s="8" t="s">
        <v>2007</v>
      </c>
      <c r="C1126" s="8" t="s">
        <v>1458</v>
      </c>
      <c r="D1126" s="11" t="n">
        <v>0.00292291666666667</v>
      </c>
      <c r="E1126" s="39" t="n">
        <f aca="false">ROUND((D1126-$D$5)*86400,2)</f>
        <v>27.51</v>
      </c>
      <c r="F1126" s="12" t="n">
        <v>1270</v>
      </c>
      <c r="G1126" s="11" t="n">
        <f aca="false">IF(INDEX(選手一覧!$D$5:$D$2736,$F1126)="","",INDEX(選手一覧!$D$5:$D$2736,$F1126))</f>
        <v>0.0111005787037037</v>
      </c>
      <c r="H1126" s="12" t="n">
        <f aca="false">IF(INDEX(選手一覧!$E$5:$E$2736,$F1126)="","",INDEX(選手一覧!$E$5:$E$2736,$F1126))</f>
        <v>1271</v>
      </c>
      <c r="I1126" s="11" t="str">
        <f aca="false">IF(INDEX(選手一覧!$F$5:$F$2736,$F1126)="","",INDEX(選手一覧!$F$5:$F$2736,$F1126))</f>
        <v/>
      </c>
      <c r="J1126" s="12" t="str">
        <f aca="false">IF(INDEX(選手一覧!$G$5:$G$2736,$F1126)="","",INDEX(選手一覧!$G$5:$G$2736,$F1126))</f>
        <v/>
      </c>
    </row>
    <row r="1127" customFormat="false" ht="15" hidden="false" customHeight="false" outlineLevel="0" collapsed="false">
      <c r="A1127" s="12" t="n">
        <v>1124</v>
      </c>
      <c r="B1127" s="8" t="s">
        <v>1057</v>
      </c>
      <c r="C1127" s="8" t="s">
        <v>152</v>
      </c>
      <c r="D1127" s="11" t="n">
        <v>0.00292291666666667</v>
      </c>
      <c r="E1127" s="39" t="n">
        <f aca="false">ROUND((D1127-$D$5)*86400,2)</f>
        <v>27.51</v>
      </c>
      <c r="F1127" s="12" t="n">
        <v>623</v>
      </c>
      <c r="G1127" s="11" t="n">
        <f aca="false">IF(INDEX(選手一覧!$D$5:$D$2736,$F1127)="","",INDEX(選手一覧!$D$5:$D$2736,$F1127))</f>
        <v>0.0107270833333333</v>
      </c>
      <c r="H1127" s="12" t="n">
        <f aca="false">IF(INDEX(選手一覧!$E$5:$E$2736,$F1127)="","",INDEX(選手一覧!$E$5:$E$2736,$F1127))</f>
        <v>624</v>
      </c>
      <c r="I1127" s="11" t="str">
        <f aca="false">IF(INDEX(選手一覧!$F$5:$F$2736,$F1127)="","",INDEX(選手一覧!$F$5:$F$2736,$F1127))</f>
        <v/>
      </c>
      <c r="J1127" s="12" t="str">
        <f aca="false">IF(INDEX(選手一覧!$G$5:$G$2736,$F1127)="","",INDEX(選手一覧!$G$5:$G$2736,$F1127))</f>
        <v/>
      </c>
    </row>
    <row r="1128" customFormat="false" ht="15" hidden="false" customHeight="false" outlineLevel="0" collapsed="false">
      <c r="A1128" s="12" t="n">
        <v>1125</v>
      </c>
      <c r="B1128" s="8" t="s">
        <v>3654</v>
      </c>
      <c r="C1128" s="8" t="s">
        <v>1684</v>
      </c>
      <c r="D1128" s="11" t="n">
        <v>0.00292303240740741</v>
      </c>
      <c r="E1128" s="39" t="n">
        <f aca="false">ROUND((D1128-$D$5)*86400,2)</f>
        <v>27.52</v>
      </c>
      <c r="F1128" s="12" t="n">
        <v>2376</v>
      </c>
      <c r="G1128" s="11" t="str">
        <f aca="false">IF(INDEX(選手一覧!$D$5:$D$2736,$F1128)="","",INDEX(選手一覧!$D$5:$D$2736,$F1128))</f>
        <v/>
      </c>
      <c r="H1128" s="12" t="str">
        <f aca="false">IF(INDEX(選手一覧!$E$5:$E$2736,$F1128)="","",INDEX(選手一覧!$E$5:$E$2736,$F1128))</f>
        <v/>
      </c>
      <c r="I1128" s="11" t="str">
        <f aca="false">IF(INDEX(選手一覧!$F$5:$F$2736,$F1128)="","",INDEX(選手一覧!$F$5:$F$2736,$F1128))</f>
        <v/>
      </c>
      <c r="J1128" s="12" t="str">
        <f aca="false">IF(INDEX(選手一覧!$G$5:$G$2736,$F1128)="","",INDEX(選手一覧!$G$5:$G$2736,$F1128))</f>
        <v/>
      </c>
    </row>
    <row r="1129" customFormat="false" ht="15" hidden="false" customHeight="false" outlineLevel="0" collapsed="false">
      <c r="A1129" s="12" t="n">
        <v>1126</v>
      </c>
      <c r="B1129" s="8" t="s">
        <v>1298</v>
      </c>
      <c r="C1129" s="8" t="s">
        <v>52</v>
      </c>
      <c r="D1129" s="11" t="n">
        <v>0.00292303240740741</v>
      </c>
      <c r="E1129" s="39" t="n">
        <f aca="false">ROUND((D1129-$D$5)*86400,2)</f>
        <v>27.52</v>
      </c>
      <c r="F1129" s="12" t="n">
        <v>784</v>
      </c>
      <c r="G1129" s="11" t="n">
        <f aca="false">IF(INDEX(選手一覧!$D$5:$D$2736,$F1129)="","",INDEX(選手一覧!$D$5:$D$2736,$F1129))</f>
        <v>0.0108256944444445</v>
      </c>
      <c r="H1129" s="12" t="n">
        <f aca="false">IF(INDEX(選手一覧!$E$5:$E$2736,$F1129)="","",INDEX(選手一覧!$E$5:$E$2736,$F1129))</f>
        <v>785</v>
      </c>
      <c r="I1129" s="11" t="str">
        <f aca="false">IF(INDEX(選手一覧!$F$5:$F$2736,$F1129)="","",INDEX(選手一覧!$F$5:$F$2736,$F1129))</f>
        <v/>
      </c>
      <c r="J1129" s="12" t="str">
        <f aca="false">IF(INDEX(選手一覧!$G$5:$G$2736,$F1129)="","",INDEX(選手一覧!$G$5:$G$2736,$F1129))</f>
        <v/>
      </c>
    </row>
    <row r="1130" customFormat="false" ht="15" hidden="false" customHeight="false" outlineLevel="0" collapsed="false">
      <c r="A1130" s="12" t="n">
        <v>1127</v>
      </c>
      <c r="B1130" s="8" t="s">
        <v>3656</v>
      </c>
      <c r="C1130" s="8" t="s">
        <v>612</v>
      </c>
      <c r="D1130" s="11" t="n">
        <v>0.00292314814814815</v>
      </c>
      <c r="E1130" s="39" t="n">
        <f aca="false">ROUND((D1130-$D$5)*86400,2)</f>
        <v>27.53</v>
      </c>
      <c r="F1130" s="12" t="n">
        <v>2378</v>
      </c>
      <c r="G1130" s="11" t="str">
        <f aca="false">IF(INDEX(選手一覧!$D$5:$D$2736,$F1130)="","",INDEX(選手一覧!$D$5:$D$2736,$F1130))</f>
        <v/>
      </c>
      <c r="H1130" s="12" t="str">
        <f aca="false">IF(INDEX(選手一覧!$E$5:$E$2736,$F1130)="","",INDEX(選手一覧!$E$5:$E$2736,$F1130))</f>
        <v/>
      </c>
      <c r="I1130" s="11" t="str">
        <f aca="false">IF(INDEX(選手一覧!$F$5:$F$2736,$F1130)="","",INDEX(選手一覧!$F$5:$F$2736,$F1130))</f>
        <v/>
      </c>
      <c r="J1130" s="12" t="str">
        <f aca="false">IF(INDEX(選手一覧!$G$5:$G$2736,$F1130)="","",INDEX(選手一覧!$G$5:$G$2736,$F1130))</f>
        <v/>
      </c>
    </row>
    <row r="1131" customFormat="false" ht="15" hidden="false" customHeight="false" outlineLevel="0" collapsed="false">
      <c r="A1131" s="12" t="n">
        <v>1128</v>
      </c>
      <c r="B1131" s="8" t="s">
        <v>3658</v>
      </c>
      <c r="C1131" s="8" t="s">
        <v>1064</v>
      </c>
      <c r="D1131" s="11" t="n">
        <v>0.00292326388888889</v>
      </c>
      <c r="E1131" s="39" t="n">
        <f aca="false">ROUND((D1131-$D$5)*86400,2)</f>
        <v>27.54</v>
      </c>
      <c r="F1131" s="12" t="n">
        <v>2380</v>
      </c>
      <c r="G1131" s="11" t="str">
        <f aca="false">IF(INDEX(選手一覧!$D$5:$D$2736,$F1131)="","",INDEX(選手一覧!$D$5:$D$2736,$F1131))</f>
        <v/>
      </c>
      <c r="H1131" s="12" t="str">
        <f aca="false">IF(INDEX(選手一覧!$E$5:$E$2736,$F1131)="","",INDEX(選手一覧!$E$5:$E$2736,$F1131))</f>
        <v/>
      </c>
      <c r="I1131" s="11" t="str">
        <f aca="false">IF(INDEX(選手一覧!$F$5:$F$2736,$F1131)="","",INDEX(選手一覧!$F$5:$F$2736,$F1131))</f>
        <v/>
      </c>
      <c r="J1131" s="12" t="str">
        <f aca="false">IF(INDEX(選手一覧!$G$5:$G$2736,$F1131)="","",INDEX(選手一覧!$G$5:$G$2736,$F1131))</f>
        <v/>
      </c>
    </row>
    <row r="1132" customFormat="false" ht="15" hidden="false" customHeight="false" outlineLevel="0" collapsed="false">
      <c r="A1132" s="12" t="n">
        <v>1129</v>
      </c>
      <c r="B1132" s="8" t="s">
        <v>472</v>
      </c>
      <c r="C1132" s="8" t="s">
        <v>154</v>
      </c>
      <c r="D1132" s="11" t="n">
        <v>0.00292326388888889</v>
      </c>
      <c r="E1132" s="39" t="n">
        <f aca="false">ROUND((D1132-$D$5)*86400,2)</f>
        <v>27.54</v>
      </c>
      <c r="F1132" s="12" t="n">
        <v>247</v>
      </c>
      <c r="G1132" s="11" t="n">
        <f aca="false">IF(INDEX(選手一覧!$D$5:$D$2736,$F1132)="","",INDEX(選手一覧!$D$5:$D$2736,$F1132))</f>
        <v>0.010387962962963</v>
      </c>
      <c r="H1132" s="12" t="n">
        <f aca="false">IF(INDEX(選手一覧!$E$5:$E$2736,$F1132)="","",INDEX(選手一覧!$E$5:$E$2736,$F1132))</f>
        <v>248</v>
      </c>
      <c r="I1132" s="11" t="n">
        <f aca="false">IF(INDEX(選手一覧!$F$5:$F$2736,$F1132)="","",INDEX(選手一覧!$F$5:$F$2736,$F1132))</f>
        <v>0.00696041666666667</v>
      </c>
      <c r="J1132" s="12" t="n">
        <f aca="false">IF(INDEX(選手一覧!$G$5:$G$2736,$F1132)="","",INDEX(選手一覧!$G$5:$G$2736,$F1132))</f>
        <v>294</v>
      </c>
    </row>
    <row r="1133" customFormat="false" ht="15" hidden="false" customHeight="false" outlineLevel="0" collapsed="false">
      <c r="A1133" s="12" t="n">
        <v>1130</v>
      </c>
      <c r="B1133" s="8" t="s">
        <v>3663</v>
      </c>
      <c r="C1133" s="8" t="s">
        <v>3664</v>
      </c>
      <c r="D1133" s="11" t="n">
        <v>0.00292326388888889</v>
      </c>
      <c r="E1133" s="39" t="n">
        <f aca="false">ROUND((D1133-$D$5)*86400,2)</f>
        <v>27.54</v>
      </c>
      <c r="F1133" s="12" t="n">
        <v>2383</v>
      </c>
      <c r="G1133" s="11" t="str">
        <f aca="false">IF(INDEX(選手一覧!$D$5:$D$2736,$F1133)="","",INDEX(選手一覧!$D$5:$D$2736,$F1133))</f>
        <v/>
      </c>
      <c r="H1133" s="12" t="str">
        <f aca="false">IF(INDEX(選手一覧!$E$5:$E$2736,$F1133)="","",INDEX(選手一覧!$E$5:$E$2736,$F1133))</f>
        <v/>
      </c>
      <c r="I1133" s="11" t="str">
        <f aca="false">IF(INDEX(選手一覧!$F$5:$F$2736,$F1133)="","",INDEX(選手一覧!$F$5:$F$2736,$F1133))</f>
        <v/>
      </c>
      <c r="J1133" s="12" t="str">
        <f aca="false">IF(INDEX(選手一覧!$G$5:$G$2736,$F1133)="","",INDEX(選手一覧!$G$5:$G$2736,$F1133))</f>
        <v/>
      </c>
    </row>
    <row r="1134" customFormat="false" ht="15" hidden="false" customHeight="false" outlineLevel="0" collapsed="false">
      <c r="A1134" s="12" t="n">
        <v>1131</v>
      </c>
      <c r="B1134" s="8" t="s">
        <v>3666</v>
      </c>
      <c r="C1134" s="8" t="s">
        <v>3667</v>
      </c>
      <c r="D1134" s="11" t="n">
        <v>0.00292326388888889</v>
      </c>
      <c r="E1134" s="39" t="n">
        <f aca="false">ROUND((D1134-$D$5)*86400,2)</f>
        <v>27.54</v>
      </c>
      <c r="F1134" s="12" t="n">
        <v>2385</v>
      </c>
      <c r="G1134" s="11" t="str">
        <f aca="false">IF(INDEX(選手一覧!$D$5:$D$2736,$F1134)="","",INDEX(選手一覧!$D$5:$D$2736,$F1134))</f>
        <v/>
      </c>
      <c r="H1134" s="12" t="str">
        <f aca="false">IF(INDEX(選手一覧!$E$5:$E$2736,$F1134)="","",INDEX(選手一覧!$E$5:$E$2736,$F1134))</f>
        <v/>
      </c>
      <c r="I1134" s="11" t="str">
        <f aca="false">IF(INDEX(選手一覧!$F$5:$F$2736,$F1134)="","",INDEX(選手一覧!$F$5:$F$2736,$F1134))</f>
        <v/>
      </c>
      <c r="J1134" s="12" t="str">
        <f aca="false">IF(INDEX(選手一覧!$G$5:$G$2736,$F1134)="","",INDEX(選手一覧!$G$5:$G$2736,$F1134))</f>
        <v/>
      </c>
    </row>
    <row r="1135" customFormat="false" ht="15" hidden="false" customHeight="false" outlineLevel="0" collapsed="false">
      <c r="A1135" s="12" t="n">
        <v>1132</v>
      </c>
      <c r="B1135" s="8" t="s">
        <v>3670</v>
      </c>
      <c r="C1135" s="8" t="s">
        <v>788</v>
      </c>
      <c r="D1135" s="11" t="n">
        <v>0.00292337962962963</v>
      </c>
      <c r="E1135" s="39" t="n">
        <f aca="false">ROUND((D1135-$D$5)*86400,2)</f>
        <v>27.55</v>
      </c>
      <c r="F1135" s="12" t="n">
        <v>2387</v>
      </c>
      <c r="G1135" s="11" t="str">
        <f aca="false">IF(INDEX(選手一覧!$D$5:$D$2736,$F1135)="","",INDEX(選手一覧!$D$5:$D$2736,$F1135))</f>
        <v/>
      </c>
      <c r="H1135" s="12" t="str">
        <f aca="false">IF(INDEX(選手一覧!$E$5:$E$2736,$F1135)="","",INDEX(選手一覧!$E$5:$E$2736,$F1135))</f>
        <v/>
      </c>
      <c r="I1135" s="11" t="str">
        <f aca="false">IF(INDEX(選手一覧!$F$5:$F$2736,$F1135)="","",INDEX(選手一覧!$F$5:$F$2736,$F1135))</f>
        <v/>
      </c>
      <c r="J1135" s="12" t="str">
        <f aca="false">IF(INDEX(選手一覧!$G$5:$G$2736,$F1135)="","",INDEX(選手一覧!$G$5:$G$2736,$F1135))</f>
        <v/>
      </c>
    </row>
    <row r="1136" customFormat="false" ht="15" hidden="false" customHeight="false" outlineLevel="0" collapsed="false">
      <c r="A1136" s="12" t="n">
        <v>1133</v>
      </c>
      <c r="B1136" s="8" t="s">
        <v>1794</v>
      </c>
      <c r="C1136" s="8" t="s">
        <v>1795</v>
      </c>
      <c r="D1136" s="11" t="n">
        <v>0.00292349537037037</v>
      </c>
      <c r="E1136" s="39" t="n">
        <f aca="false">ROUND((D1136-$D$5)*86400,2)</f>
        <v>27.56</v>
      </c>
      <c r="F1136" s="12" t="n">
        <v>1117</v>
      </c>
      <c r="G1136" s="11" t="n">
        <f aca="false">IF(INDEX(選手一覧!$D$5:$D$2736,$F1136)="","",INDEX(選手一覧!$D$5:$D$2736,$F1136))</f>
        <v>0.011015162037037</v>
      </c>
      <c r="H1136" s="12" t="n">
        <f aca="false">IF(INDEX(選手一覧!$E$5:$E$2736,$F1136)="","",INDEX(選手一覧!$E$5:$E$2736,$F1136))</f>
        <v>1118</v>
      </c>
      <c r="I1136" s="11" t="n">
        <f aca="false">IF(INDEX(選手一覧!$F$5:$F$2736,$F1136)="","",INDEX(選手一覧!$F$5:$F$2736,$F1136))</f>
        <v>0.00704675925925926</v>
      </c>
      <c r="J1136" s="12" t="n">
        <f aca="false">IF(INDEX(選手一覧!$G$5:$G$2736,$F1136)="","",INDEX(選手一覧!$G$5:$G$2736,$F1136))</f>
        <v>387</v>
      </c>
    </row>
    <row r="1137" customFormat="false" ht="15" hidden="false" customHeight="false" outlineLevel="0" collapsed="false">
      <c r="A1137" s="12" t="n">
        <v>1134</v>
      </c>
      <c r="B1137" s="8" t="s">
        <v>2407</v>
      </c>
      <c r="C1137" s="8" t="s">
        <v>52</v>
      </c>
      <c r="D1137" s="11" t="n">
        <v>0.00292361111111111</v>
      </c>
      <c r="E1137" s="39" t="n">
        <f aca="false">ROUND((D1137-$D$5)*86400,2)</f>
        <v>27.57</v>
      </c>
      <c r="F1137" s="12" t="n">
        <v>1541</v>
      </c>
      <c r="G1137" s="11" t="str">
        <f aca="false">IF(INDEX(選手一覧!$D$5:$D$2736,$F1137)="","",INDEX(選手一覧!$D$5:$D$2736,$F1137))</f>
        <v/>
      </c>
      <c r="H1137" s="12" t="str">
        <f aca="false">IF(INDEX(選手一覧!$E$5:$E$2736,$F1137)="","",INDEX(選手一覧!$E$5:$E$2736,$F1137))</f>
        <v/>
      </c>
      <c r="I1137" s="11" t="n">
        <f aca="false">IF(INDEX(選手一覧!$F$5:$F$2736,$F1137)="","",INDEX(選手一覧!$F$5:$F$2736,$F1137))</f>
        <v>0.00709722222222222</v>
      </c>
      <c r="J1137" s="12" t="n">
        <f aca="false">IF(INDEX(選手一覧!$G$5:$G$2736,$F1137)="","",INDEX(選手一覧!$G$5:$G$2736,$F1137))</f>
        <v>445</v>
      </c>
    </row>
    <row r="1138" customFormat="false" ht="15" hidden="false" customHeight="false" outlineLevel="0" collapsed="false">
      <c r="A1138" s="12" t="n">
        <v>1135</v>
      </c>
      <c r="B1138" s="8" t="s">
        <v>3676</v>
      </c>
      <c r="C1138" s="8" t="s">
        <v>3677</v>
      </c>
      <c r="D1138" s="11" t="n">
        <v>0.00292395833333333</v>
      </c>
      <c r="E1138" s="39" t="n">
        <f aca="false">ROUND((D1138-$D$5)*86400,2)</f>
        <v>27.6</v>
      </c>
      <c r="F1138" s="12" t="n">
        <v>2391</v>
      </c>
      <c r="G1138" s="11" t="str">
        <f aca="false">IF(INDEX(選手一覧!$D$5:$D$2736,$F1138)="","",INDEX(選手一覧!$D$5:$D$2736,$F1138))</f>
        <v/>
      </c>
      <c r="H1138" s="12" t="str">
        <f aca="false">IF(INDEX(選手一覧!$E$5:$E$2736,$F1138)="","",INDEX(選手一覧!$E$5:$E$2736,$F1138))</f>
        <v/>
      </c>
      <c r="I1138" s="11" t="str">
        <f aca="false">IF(INDEX(選手一覧!$F$5:$F$2736,$F1138)="","",INDEX(選手一覧!$F$5:$F$2736,$F1138))</f>
        <v/>
      </c>
      <c r="J1138" s="12" t="str">
        <f aca="false">IF(INDEX(選手一覧!$G$5:$G$2736,$F1138)="","",INDEX(選手一覧!$G$5:$G$2736,$F1138))</f>
        <v/>
      </c>
    </row>
    <row r="1139" customFormat="false" ht="15" hidden="false" customHeight="false" outlineLevel="0" collapsed="false">
      <c r="A1139" s="12" t="n">
        <v>1136</v>
      </c>
      <c r="B1139" s="8" t="s">
        <v>1338</v>
      </c>
      <c r="C1139" s="8" t="s">
        <v>1339</v>
      </c>
      <c r="D1139" s="11" t="n">
        <v>0.00292395833333333</v>
      </c>
      <c r="E1139" s="39" t="n">
        <f aca="false">ROUND((D1139-$D$5)*86400,2)</f>
        <v>27.6</v>
      </c>
      <c r="F1139" s="12" t="n">
        <v>811</v>
      </c>
      <c r="G1139" s="11" t="n">
        <f aca="false">IF(INDEX(選手一覧!$D$5:$D$2736,$F1139)="","",INDEX(選手一覧!$D$5:$D$2736,$F1139))</f>
        <v>0.0108391203703704</v>
      </c>
      <c r="H1139" s="12" t="n">
        <f aca="false">IF(INDEX(選手一覧!$E$5:$E$2736,$F1139)="","",INDEX(選手一覧!$E$5:$E$2736,$F1139))</f>
        <v>812</v>
      </c>
      <c r="I1139" s="11" t="n">
        <f aca="false">IF(INDEX(選手一覧!$F$5:$F$2736,$F1139)="","",INDEX(選手一覧!$F$5:$F$2736,$F1139))</f>
        <v>0.00707430555555556</v>
      </c>
      <c r="J1139" s="12" t="n">
        <f aca="false">IF(INDEX(選手一覧!$G$5:$G$2736,$F1139)="","",INDEX(選手一覧!$G$5:$G$2736,$F1139))</f>
        <v>420</v>
      </c>
    </row>
    <row r="1140" customFormat="false" ht="15" hidden="false" customHeight="false" outlineLevel="0" collapsed="false">
      <c r="A1140" s="12" t="n">
        <v>1137</v>
      </c>
      <c r="B1140" s="8" t="s">
        <v>3680</v>
      </c>
      <c r="C1140" s="8" t="s">
        <v>3681</v>
      </c>
      <c r="D1140" s="11" t="n">
        <v>0.00292395833333333</v>
      </c>
      <c r="E1140" s="39" t="n">
        <f aca="false">ROUND((D1140-$D$5)*86400,2)</f>
        <v>27.6</v>
      </c>
      <c r="F1140" s="12" t="n">
        <v>2393</v>
      </c>
      <c r="G1140" s="11" t="str">
        <f aca="false">IF(INDEX(選手一覧!$D$5:$D$2736,$F1140)="","",INDEX(選手一覧!$D$5:$D$2736,$F1140))</f>
        <v/>
      </c>
      <c r="H1140" s="12" t="str">
        <f aca="false">IF(INDEX(選手一覧!$E$5:$E$2736,$F1140)="","",INDEX(選手一覧!$E$5:$E$2736,$F1140))</f>
        <v/>
      </c>
      <c r="I1140" s="11" t="str">
        <f aca="false">IF(INDEX(選手一覧!$F$5:$F$2736,$F1140)="","",INDEX(選手一覧!$F$5:$F$2736,$F1140))</f>
        <v/>
      </c>
      <c r="J1140" s="12" t="str">
        <f aca="false">IF(INDEX(選手一覧!$G$5:$G$2736,$F1140)="","",INDEX(選手一覧!$G$5:$G$2736,$F1140))</f>
        <v/>
      </c>
    </row>
    <row r="1141" customFormat="false" ht="15" hidden="false" customHeight="false" outlineLevel="0" collapsed="false">
      <c r="A1141" s="12" t="n">
        <v>1138</v>
      </c>
      <c r="B1141" s="8" t="s">
        <v>534</v>
      </c>
      <c r="C1141" s="8" t="s">
        <v>54</v>
      </c>
      <c r="D1141" s="11" t="n">
        <v>0.00292418981481482</v>
      </c>
      <c r="E1141" s="39" t="n">
        <f aca="false">ROUND((D1141-$D$5)*86400,2)</f>
        <v>27.62</v>
      </c>
      <c r="F1141" s="12" t="n">
        <v>287</v>
      </c>
      <c r="G1141" s="11" t="n">
        <f aca="false">IF(INDEX(選手一覧!$D$5:$D$2736,$F1141)="","",INDEX(選手一覧!$D$5:$D$2736,$F1141))</f>
        <v>0.0104231481481482</v>
      </c>
      <c r="H1141" s="12" t="n">
        <f aca="false">IF(INDEX(選手一覧!$E$5:$E$2736,$F1141)="","",INDEX(選手一覧!$E$5:$E$2736,$F1141))</f>
        <v>288</v>
      </c>
      <c r="I1141" s="11" t="str">
        <f aca="false">IF(INDEX(選手一覧!$F$5:$F$2736,$F1141)="","",INDEX(選手一覧!$F$5:$F$2736,$F1141))</f>
        <v/>
      </c>
      <c r="J1141" s="12" t="str">
        <f aca="false">IF(INDEX(選手一覧!$G$5:$G$2736,$F1141)="","",INDEX(選手一覧!$G$5:$G$2736,$F1141))</f>
        <v/>
      </c>
    </row>
    <row r="1142" customFormat="false" ht="15" hidden="false" customHeight="false" outlineLevel="0" collapsed="false">
      <c r="A1142" s="12" t="n">
        <v>1139</v>
      </c>
      <c r="B1142" s="8" t="s">
        <v>3565</v>
      </c>
      <c r="C1142" s="8" t="s">
        <v>2166</v>
      </c>
      <c r="D1142" s="11" t="n">
        <v>0.00292418981481482</v>
      </c>
      <c r="E1142" s="39" t="n">
        <f aca="false">ROUND((D1142-$D$5)*86400,2)</f>
        <v>27.62</v>
      </c>
      <c r="F1142" s="12" t="n">
        <v>2317</v>
      </c>
      <c r="G1142" s="11" t="str">
        <f aca="false">IF(INDEX(選手一覧!$D$5:$D$2736,$F1142)="","",INDEX(選手一覧!$D$5:$D$2736,$F1142))</f>
        <v/>
      </c>
      <c r="H1142" s="12" t="str">
        <f aca="false">IF(INDEX(選手一覧!$E$5:$E$2736,$F1142)="","",INDEX(選手一覧!$E$5:$E$2736,$F1142))</f>
        <v/>
      </c>
      <c r="I1142" s="11" t="n">
        <f aca="false">IF(INDEX(選手一覧!$F$5:$F$2736,$F1142)="","",INDEX(選手一覧!$F$5:$F$2736,$F1142))</f>
        <v>0.0077193287037037</v>
      </c>
      <c r="J1142" s="12" t="n">
        <f aca="false">IF(INDEX(選手一覧!$G$5:$G$2736,$F1142)="","",INDEX(選手一覧!$G$5:$G$2736,$F1142))</f>
        <v>1085</v>
      </c>
    </row>
    <row r="1143" customFormat="false" ht="15" hidden="false" customHeight="false" outlineLevel="0" collapsed="false">
      <c r="A1143" s="12" t="n">
        <v>1140</v>
      </c>
      <c r="B1143" s="8" t="s">
        <v>1103</v>
      </c>
      <c r="C1143" s="8" t="s">
        <v>1104</v>
      </c>
      <c r="D1143" s="11" t="n">
        <v>0.00292465277777778</v>
      </c>
      <c r="E1143" s="39" t="n">
        <f aca="false">ROUND((D1143-$D$5)*86400,2)</f>
        <v>27.66</v>
      </c>
      <c r="F1143" s="12" t="n">
        <v>657</v>
      </c>
      <c r="G1143" s="11" t="n">
        <f aca="false">IF(INDEX(選手一覧!$D$5:$D$2736,$F1143)="","",INDEX(選手一覧!$D$5:$D$2736,$F1143))</f>
        <v>0.0107445601851852</v>
      </c>
      <c r="H1143" s="12" t="n">
        <f aca="false">IF(INDEX(選手一覧!$E$5:$E$2736,$F1143)="","",INDEX(選手一覧!$E$5:$E$2736,$F1143))</f>
        <v>658</v>
      </c>
      <c r="I1143" s="11" t="str">
        <f aca="false">IF(INDEX(選手一覧!$F$5:$F$2736,$F1143)="","",INDEX(選手一覧!$F$5:$F$2736,$F1143))</f>
        <v/>
      </c>
      <c r="J1143" s="12" t="str">
        <f aca="false">IF(INDEX(選手一覧!$G$5:$G$2736,$F1143)="","",INDEX(選手一覧!$G$5:$G$2736,$F1143))</f>
        <v/>
      </c>
    </row>
    <row r="1144" customFormat="false" ht="15" hidden="false" customHeight="false" outlineLevel="0" collapsed="false">
      <c r="A1144" s="12" t="n">
        <v>1141</v>
      </c>
      <c r="B1144" s="8" t="s">
        <v>3687</v>
      </c>
      <c r="C1144" s="8" t="s">
        <v>3688</v>
      </c>
      <c r="D1144" s="11" t="n">
        <v>0.00292465277777778</v>
      </c>
      <c r="E1144" s="39" t="n">
        <f aca="false">ROUND((D1144-$D$5)*86400,2)</f>
        <v>27.66</v>
      </c>
      <c r="F1144" s="12" t="n">
        <v>2398</v>
      </c>
      <c r="G1144" s="11" t="str">
        <f aca="false">IF(INDEX(選手一覧!$D$5:$D$2736,$F1144)="","",INDEX(選手一覧!$D$5:$D$2736,$F1144))</f>
        <v/>
      </c>
      <c r="H1144" s="12" t="str">
        <f aca="false">IF(INDEX(選手一覧!$E$5:$E$2736,$F1144)="","",INDEX(選手一覧!$E$5:$E$2736,$F1144))</f>
        <v/>
      </c>
      <c r="I1144" s="11" t="str">
        <f aca="false">IF(INDEX(選手一覧!$F$5:$F$2736,$F1144)="","",INDEX(選手一覧!$F$5:$F$2736,$F1144))</f>
        <v/>
      </c>
      <c r="J1144" s="12" t="str">
        <f aca="false">IF(INDEX(選手一覧!$G$5:$G$2736,$F1144)="","",INDEX(選手一覧!$G$5:$G$2736,$F1144))</f>
        <v/>
      </c>
    </row>
    <row r="1145" customFormat="false" ht="15" hidden="false" customHeight="false" outlineLevel="0" collapsed="false">
      <c r="A1145" s="12" t="n">
        <v>1142</v>
      </c>
      <c r="B1145" s="8" t="s">
        <v>185</v>
      </c>
      <c r="C1145" s="8" t="s">
        <v>186</v>
      </c>
      <c r="D1145" s="11" t="n">
        <v>0.00292476851851852</v>
      </c>
      <c r="E1145" s="39" t="n">
        <f aca="false">ROUND((D1145-$D$5)*86400,2)</f>
        <v>27.67</v>
      </c>
      <c r="F1145" s="12" t="n">
        <v>85</v>
      </c>
      <c r="G1145" s="11" t="n">
        <f aca="false">IF(INDEX(選手一覧!$D$5:$D$2736,$F1145)="","",INDEX(選手一覧!$D$5:$D$2736,$F1145))</f>
        <v>0.0101837962962963</v>
      </c>
      <c r="H1145" s="12" t="n">
        <f aca="false">IF(INDEX(選手一覧!$E$5:$E$2736,$F1145)="","",INDEX(選手一覧!$E$5:$E$2736,$F1145))</f>
        <v>86</v>
      </c>
      <c r="I1145" s="11" t="str">
        <f aca="false">IF(INDEX(選手一覧!$F$5:$F$2736,$F1145)="","",INDEX(選手一覧!$F$5:$F$2736,$F1145))</f>
        <v/>
      </c>
      <c r="J1145" s="12" t="str">
        <f aca="false">IF(INDEX(選手一覧!$G$5:$G$2736,$F1145)="","",INDEX(選手一覧!$G$5:$G$2736,$F1145))</f>
        <v/>
      </c>
    </row>
    <row r="1146" customFormat="false" ht="15" hidden="false" customHeight="false" outlineLevel="0" collapsed="false">
      <c r="A1146" s="12" t="n">
        <v>1143</v>
      </c>
      <c r="B1146" s="8" t="s">
        <v>790</v>
      </c>
      <c r="C1146" s="8" t="s">
        <v>249</v>
      </c>
      <c r="D1146" s="11" t="n">
        <v>0.00292476851851852</v>
      </c>
      <c r="E1146" s="39" t="n">
        <f aca="false">ROUND((D1146-$D$5)*86400,2)</f>
        <v>27.67</v>
      </c>
      <c r="F1146" s="12" t="n">
        <v>447</v>
      </c>
      <c r="G1146" s="11" t="n">
        <f aca="false">IF(INDEX(選手一覧!$D$5:$D$2736,$F1146)="","",INDEX(選手一覧!$D$5:$D$2736,$F1146))</f>
        <v>0.0105861111111111</v>
      </c>
      <c r="H1146" s="12" t="n">
        <f aca="false">IF(INDEX(選手一覧!$E$5:$E$2736,$F1146)="","",INDEX(選手一覧!$E$5:$E$2736,$F1146))</f>
        <v>448</v>
      </c>
      <c r="I1146" s="11" t="str">
        <f aca="false">IF(INDEX(選手一覧!$F$5:$F$2736,$F1146)="","",INDEX(選手一覧!$F$5:$F$2736,$F1146))</f>
        <v/>
      </c>
      <c r="J1146" s="12" t="str">
        <f aca="false">IF(INDEX(選手一覧!$G$5:$G$2736,$F1146)="","",INDEX(選手一覧!$G$5:$G$2736,$F1146))</f>
        <v/>
      </c>
    </row>
    <row r="1147" customFormat="false" ht="15" hidden="false" customHeight="false" outlineLevel="0" collapsed="false">
      <c r="A1147" s="12" t="n">
        <v>1144</v>
      </c>
      <c r="B1147" s="8" t="s">
        <v>1318</v>
      </c>
      <c r="C1147" s="8" t="s">
        <v>41</v>
      </c>
      <c r="D1147" s="11" t="n">
        <v>0.00292476851851852</v>
      </c>
      <c r="E1147" s="39" t="n">
        <f aca="false">ROUND((D1147-$D$5)*86400,2)</f>
        <v>27.67</v>
      </c>
      <c r="F1147" s="12" t="n">
        <v>800</v>
      </c>
      <c r="G1147" s="11" t="n">
        <f aca="false">IF(INDEX(選手一覧!$D$5:$D$2736,$F1147)="","",INDEX(選手一覧!$D$5:$D$2736,$F1147))</f>
        <v>0.0108334490740741</v>
      </c>
      <c r="H1147" s="12" t="n">
        <f aca="false">IF(INDEX(選手一覧!$E$5:$E$2736,$F1147)="","",INDEX(選手一覧!$E$5:$E$2736,$F1147))</f>
        <v>801</v>
      </c>
      <c r="I1147" s="11" t="str">
        <f aca="false">IF(INDEX(選手一覧!$F$5:$F$2736,$F1147)="","",INDEX(選手一覧!$F$5:$F$2736,$F1147))</f>
        <v/>
      </c>
      <c r="J1147" s="12" t="str">
        <f aca="false">IF(INDEX(選手一覧!$G$5:$G$2736,$F1147)="","",INDEX(選手一覧!$G$5:$G$2736,$F1147))</f>
        <v/>
      </c>
    </row>
    <row r="1148" customFormat="false" ht="15" hidden="false" customHeight="false" outlineLevel="0" collapsed="false">
      <c r="A1148" s="12" t="n">
        <v>1145</v>
      </c>
      <c r="B1148" s="8" t="s">
        <v>2517</v>
      </c>
      <c r="C1148" s="8" t="s">
        <v>2518</v>
      </c>
      <c r="D1148" s="11" t="n">
        <v>0.00292488425925926</v>
      </c>
      <c r="E1148" s="39" t="n">
        <f aca="false">ROUND((D1148-$D$5)*86400,2)</f>
        <v>27.68</v>
      </c>
      <c r="F1148" s="12" t="n">
        <v>1610</v>
      </c>
      <c r="G1148" s="11" t="str">
        <f aca="false">IF(INDEX(選手一覧!$D$5:$D$2736,$F1148)="","",INDEX(選手一覧!$D$5:$D$2736,$F1148))</f>
        <v/>
      </c>
      <c r="H1148" s="12" t="str">
        <f aca="false">IF(INDEX(選手一覧!$E$5:$E$2736,$F1148)="","",INDEX(選手一覧!$E$5:$E$2736,$F1148))</f>
        <v/>
      </c>
      <c r="I1148" s="11" t="n">
        <f aca="false">IF(INDEX(選手一覧!$F$5:$F$2736,$F1148)="","",INDEX(選手一覧!$F$5:$F$2736,$F1148))</f>
        <v>0.00718032407407407</v>
      </c>
      <c r="J1148" s="12" t="n">
        <f aca="false">IF(INDEX(選手一覧!$G$5:$G$2736,$F1148)="","",INDEX(選手一覧!$G$5:$G$2736,$F1148))</f>
        <v>519</v>
      </c>
    </row>
    <row r="1149" customFormat="false" ht="15" hidden="false" customHeight="false" outlineLevel="0" collapsed="false">
      <c r="A1149" s="12" t="n">
        <v>1146</v>
      </c>
      <c r="B1149" s="8" t="s">
        <v>2203</v>
      </c>
      <c r="C1149" s="8" t="s">
        <v>2204</v>
      </c>
      <c r="D1149" s="11" t="n">
        <v>0.00292488425925926</v>
      </c>
      <c r="E1149" s="39" t="n">
        <f aca="false">ROUND((D1149-$D$5)*86400,2)</f>
        <v>27.68</v>
      </c>
      <c r="F1149" s="12" t="n">
        <v>1409</v>
      </c>
      <c r="G1149" s="11" t="str">
        <f aca="false">IF(INDEX(選手一覧!$D$5:$D$2736,$F1149)="","",INDEX(選手一覧!$D$5:$D$2736,$F1149))</f>
        <v/>
      </c>
      <c r="H1149" s="12" t="str">
        <f aca="false">IF(INDEX(選手一覧!$E$5:$E$2736,$F1149)="","",INDEX(選手一覧!$E$5:$E$2736,$F1149))</f>
        <v/>
      </c>
      <c r="I1149" s="11" t="n">
        <f aca="false">IF(INDEX(選手一覧!$F$5:$F$2736,$F1149)="","",INDEX(選手一覧!$F$5:$F$2736,$F1149))</f>
        <v>0.00693888888888889</v>
      </c>
      <c r="J1149" s="12" t="n">
        <f aca="false">IF(INDEX(選手一覧!$G$5:$G$2736,$F1149)="","",INDEX(選手一覧!$G$5:$G$2736,$F1149))</f>
        <v>282</v>
      </c>
    </row>
    <row r="1150" customFormat="false" ht="15" hidden="false" customHeight="false" outlineLevel="0" collapsed="false">
      <c r="A1150" s="12" t="n">
        <v>1147</v>
      </c>
      <c r="B1150" s="8" t="s">
        <v>2022</v>
      </c>
      <c r="C1150" s="8" t="s">
        <v>900</v>
      </c>
      <c r="D1150" s="11" t="n">
        <v>0.00292488425925926</v>
      </c>
      <c r="E1150" s="39" t="n">
        <f aca="false">ROUND((D1150-$D$5)*86400,2)</f>
        <v>27.68</v>
      </c>
      <c r="F1150" s="12" t="n">
        <v>1282</v>
      </c>
      <c r="G1150" s="11" t="n">
        <f aca="false">IF(INDEX(選手一覧!$D$5:$D$2736,$F1150)="","",INDEX(選手一覧!$D$5:$D$2736,$F1150))</f>
        <v>0.0111163194444444</v>
      </c>
      <c r="H1150" s="12" t="n">
        <f aca="false">IF(INDEX(選手一覧!$E$5:$E$2736,$F1150)="","",INDEX(選手一覧!$E$5:$E$2736,$F1150))</f>
        <v>1283</v>
      </c>
      <c r="I1150" s="11" t="str">
        <f aca="false">IF(INDEX(選手一覧!$F$5:$F$2736,$F1150)="","",INDEX(選手一覧!$F$5:$F$2736,$F1150))</f>
        <v/>
      </c>
      <c r="J1150" s="12" t="str">
        <f aca="false">IF(INDEX(選手一覧!$G$5:$G$2736,$F1150)="","",INDEX(選手一覧!$G$5:$G$2736,$F1150))</f>
        <v/>
      </c>
    </row>
    <row r="1151" customFormat="false" ht="15" hidden="false" customHeight="false" outlineLevel="0" collapsed="false">
      <c r="A1151" s="12" t="n">
        <v>1148</v>
      </c>
      <c r="B1151" s="8" t="s">
        <v>3701</v>
      </c>
      <c r="C1151" s="8" t="s">
        <v>1089</v>
      </c>
      <c r="D1151" s="11" t="n">
        <v>0.00292488425925926</v>
      </c>
      <c r="E1151" s="39" t="n">
        <f aca="false">ROUND((D1151-$D$5)*86400,2)</f>
        <v>27.68</v>
      </c>
      <c r="F1151" s="12" t="n">
        <v>2406</v>
      </c>
      <c r="G1151" s="11" t="str">
        <f aca="false">IF(INDEX(選手一覧!$D$5:$D$2736,$F1151)="","",INDEX(選手一覧!$D$5:$D$2736,$F1151))</f>
        <v/>
      </c>
      <c r="H1151" s="12" t="str">
        <f aca="false">IF(INDEX(選手一覧!$E$5:$E$2736,$F1151)="","",INDEX(選手一覧!$E$5:$E$2736,$F1151))</f>
        <v/>
      </c>
      <c r="I1151" s="11" t="str">
        <f aca="false">IF(INDEX(選手一覧!$F$5:$F$2736,$F1151)="","",INDEX(選手一覧!$F$5:$F$2736,$F1151))</f>
        <v/>
      </c>
      <c r="J1151" s="12" t="str">
        <f aca="false">IF(INDEX(選手一覧!$G$5:$G$2736,$F1151)="","",INDEX(選手一覧!$G$5:$G$2736,$F1151))</f>
        <v/>
      </c>
    </row>
    <row r="1152" customFormat="false" ht="15" hidden="false" customHeight="false" outlineLevel="0" collapsed="false">
      <c r="A1152" s="12" t="n">
        <v>1149</v>
      </c>
      <c r="B1152" s="8" t="s">
        <v>1326</v>
      </c>
      <c r="C1152" s="8" t="s">
        <v>1327</v>
      </c>
      <c r="D1152" s="11" t="n">
        <v>0.002925</v>
      </c>
      <c r="E1152" s="39" t="n">
        <f aca="false">ROUND((D1152-$D$5)*86400,2)</f>
        <v>27.69</v>
      </c>
      <c r="F1152" s="12" t="n">
        <v>804</v>
      </c>
      <c r="G1152" s="11" t="n">
        <f aca="false">IF(INDEX(選手一覧!$D$5:$D$2736,$F1152)="","",INDEX(選手一覧!$D$5:$D$2736,$F1152))</f>
        <v>0.0108373842592593</v>
      </c>
      <c r="H1152" s="12" t="n">
        <f aca="false">IF(INDEX(選手一覧!$E$5:$E$2736,$F1152)="","",INDEX(選手一覧!$E$5:$E$2736,$F1152))</f>
        <v>805</v>
      </c>
      <c r="I1152" s="11" t="n">
        <f aca="false">IF(INDEX(選手一覧!$F$5:$F$2736,$F1152)="","",INDEX(選手一覧!$F$5:$F$2736,$F1152))</f>
        <v>0.00711782407407407</v>
      </c>
      <c r="J1152" s="12" t="n">
        <f aca="false">IF(INDEX(選手一覧!$G$5:$G$2736,$F1152)="","",INDEX(選手一覧!$G$5:$G$2736,$F1152))</f>
        <v>464</v>
      </c>
    </row>
    <row r="1153" customFormat="false" ht="15" hidden="false" customHeight="false" outlineLevel="0" collapsed="false">
      <c r="A1153" s="12" t="n">
        <v>1150</v>
      </c>
      <c r="B1153" s="8" t="s">
        <v>3705</v>
      </c>
      <c r="C1153" s="8" t="s">
        <v>3706</v>
      </c>
      <c r="D1153" s="11" t="n">
        <v>0.002925</v>
      </c>
      <c r="E1153" s="39" t="n">
        <f aca="false">ROUND((D1153-$D$5)*86400,2)</f>
        <v>27.69</v>
      </c>
      <c r="F1153" s="12" t="n">
        <v>2409</v>
      </c>
      <c r="G1153" s="11" t="str">
        <f aca="false">IF(INDEX(選手一覧!$D$5:$D$2736,$F1153)="","",INDEX(選手一覧!$D$5:$D$2736,$F1153))</f>
        <v/>
      </c>
      <c r="H1153" s="12" t="str">
        <f aca="false">IF(INDEX(選手一覧!$E$5:$E$2736,$F1153)="","",INDEX(選手一覧!$E$5:$E$2736,$F1153))</f>
        <v/>
      </c>
      <c r="I1153" s="11" t="str">
        <f aca="false">IF(INDEX(選手一覧!$F$5:$F$2736,$F1153)="","",INDEX(選手一覧!$F$5:$F$2736,$F1153))</f>
        <v/>
      </c>
      <c r="J1153" s="12" t="str">
        <f aca="false">IF(INDEX(選手一覧!$G$5:$G$2736,$F1153)="","",INDEX(選手一覧!$G$5:$G$2736,$F1153))</f>
        <v/>
      </c>
    </row>
    <row r="1154" customFormat="false" ht="15" hidden="false" customHeight="false" outlineLevel="0" collapsed="false">
      <c r="A1154" s="12" t="n">
        <v>1151</v>
      </c>
      <c r="B1154" s="8" t="s">
        <v>3708</v>
      </c>
      <c r="C1154" s="8" t="s">
        <v>1408</v>
      </c>
      <c r="D1154" s="11" t="n">
        <v>0.00292534722222222</v>
      </c>
      <c r="E1154" s="39" t="n">
        <f aca="false">ROUND((D1154-$D$5)*86400,2)</f>
        <v>27.72</v>
      </c>
      <c r="F1154" s="12" t="n">
        <v>2411</v>
      </c>
      <c r="G1154" s="11" t="str">
        <f aca="false">IF(INDEX(選手一覧!$D$5:$D$2736,$F1154)="","",INDEX(選手一覧!$D$5:$D$2736,$F1154))</f>
        <v/>
      </c>
      <c r="H1154" s="12" t="str">
        <f aca="false">IF(INDEX(選手一覧!$E$5:$E$2736,$F1154)="","",INDEX(選手一覧!$E$5:$E$2736,$F1154))</f>
        <v/>
      </c>
      <c r="I1154" s="11" t="str">
        <f aca="false">IF(INDEX(選手一覧!$F$5:$F$2736,$F1154)="","",INDEX(選手一覧!$F$5:$F$2736,$F1154))</f>
        <v/>
      </c>
      <c r="J1154" s="12" t="str">
        <f aca="false">IF(INDEX(選手一覧!$G$5:$G$2736,$F1154)="","",INDEX(選手一覧!$G$5:$G$2736,$F1154))</f>
        <v/>
      </c>
    </row>
    <row r="1155" customFormat="false" ht="15" hidden="false" customHeight="false" outlineLevel="0" collapsed="false">
      <c r="A1155" s="12" t="n">
        <v>1152</v>
      </c>
      <c r="B1155" s="8" t="s">
        <v>1924</v>
      </c>
      <c r="C1155" s="8" t="s">
        <v>130</v>
      </c>
      <c r="D1155" s="11" t="n">
        <v>0.00292546296296296</v>
      </c>
      <c r="E1155" s="39" t="n">
        <f aca="false">ROUND((D1155-$D$5)*86400,2)</f>
        <v>27.73</v>
      </c>
      <c r="F1155" s="12" t="n">
        <v>1207</v>
      </c>
      <c r="G1155" s="11" t="n">
        <f aca="false">IF(INDEX(選手一覧!$D$5:$D$2736,$F1155)="","",INDEX(選手一覧!$D$5:$D$2736,$F1155))</f>
        <v>0.0110539351851852</v>
      </c>
      <c r="H1155" s="12" t="n">
        <f aca="false">IF(INDEX(選手一覧!$E$5:$E$2736,$F1155)="","",INDEX(選手一覧!$E$5:$E$2736,$F1155))</f>
        <v>1208</v>
      </c>
      <c r="I1155" s="11" t="str">
        <f aca="false">IF(INDEX(選手一覧!$F$5:$F$2736,$F1155)="","",INDEX(選手一覧!$F$5:$F$2736,$F1155))</f>
        <v/>
      </c>
      <c r="J1155" s="12" t="str">
        <f aca="false">IF(INDEX(選手一覧!$G$5:$G$2736,$F1155)="","",INDEX(選手一覧!$G$5:$G$2736,$F1155))</f>
        <v/>
      </c>
    </row>
    <row r="1156" customFormat="false" ht="15" hidden="false" customHeight="false" outlineLevel="0" collapsed="false">
      <c r="A1156" s="12" t="n">
        <v>1153</v>
      </c>
      <c r="B1156" s="8" t="s">
        <v>1969</v>
      </c>
      <c r="C1156" s="8" t="s">
        <v>1618</v>
      </c>
      <c r="D1156" s="11" t="n">
        <v>0.00292546296296296</v>
      </c>
      <c r="E1156" s="39" t="n">
        <f aca="false">ROUND((D1156-$D$5)*86400,2)</f>
        <v>27.73</v>
      </c>
      <c r="F1156" s="12" t="n">
        <v>1239</v>
      </c>
      <c r="G1156" s="11" t="n">
        <f aca="false">IF(INDEX(選手一覧!$D$5:$D$2736,$F1156)="","",INDEX(選手一覧!$D$5:$D$2736,$F1156))</f>
        <v>0.011072337962963</v>
      </c>
      <c r="H1156" s="12" t="n">
        <f aca="false">IF(INDEX(選手一覧!$E$5:$E$2736,$F1156)="","",INDEX(選手一覧!$E$5:$E$2736,$F1156))</f>
        <v>1240</v>
      </c>
      <c r="I1156" s="11" t="str">
        <f aca="false">IF(INDEX(選手一覧!$F$5:$F$2736,$F1156)="","",INDEX(選手一覧!$F$5:$F$2736,$F1156))</f>
        <v/>
      </c>
      <c r="J1156" s="12" t="str">
        <f aca="false">IF(INDEX(選手一覧!$G$5:$G$2736,$F1156)="","",INDEX(選手一覧!$G$5:$G$2736,$F1156))</f>
        <v/>
      </c>
    </row>
    <row r="1157" customFormat="false" ht="15" hidden="false" customHeight="false" outlineLevel="0" collapsed="false">
      <c r="A1157" s="12" t="n">
        <v>1154</v>
      </c>
      <c r="B1157" s="8" t="s">
        <v>3714</v>
      </c>
      <c r="C1157" s="8" t="s">
        <v>2088</v>
      </c>
      <c r="D1157" s="11" t="n">
        <v>0.00292546296296296</v>
      </c>
      <c r="E1157" s="39" t="n">
        <f aca="false">ROUND((D1157-$D$5)*86400,2)</f>
        <v>27.73</v>
      </c>
      <c r="F1157" s="12" t="n">
        <v>2415</v>
      </c>
      <c r="G1157" s="11" t="str">
        <f aca="false">IF(INDEX(選手一覧!$D$5:$D$2736,$F1157)="","",INDEX(選手一覧!$D$5:$D$2736,$F1157))</f>
        <v/>
      </c>
      <c r="H1157" s="12" t="str">
        <f aca="false">IF(INDEX(選手一覧!$E$5:$E$2736,$F1157)="","",INDEX(選手一覧!$E$5:$E$2736,$F1157))</f>
        <v/>
      </c>
      <c r="I1157" s="11" t="str">
        <f aca="false">IF(INDEX(選手一覧!$F$5:$F$2736,$F1157)="","",INDEX(選手一覧!$F$5:$F$2736,$F1157))</f>
        <v/>
      </c>
      <c r="J1157" s="12" t="str">
        <f aca="false">IF(INDEX(選手一覧!$G$5:$G$2736,$F1157)="","",INDEX(選手一覧!$G$5:$G$2736,$F1157))</f>
        <v/>
      </c>
    </row>
    <row r="1158" customFormat="false" ht="15" hidden="false" customHeight="false" outlineLevel="0" collapsed="false">
      <c r="A1158" s="12" t="n">
        <v>1155</v>
      </c>
      <c r="B1158" s="8" t="s">
        <v>1832</v>
      </c>
      <c r="C1158" s="8" t="s">
        <v>471</v>
      </c>
      <c r="D1158" s="11" t="n">
        <v>0.00292569444444444</v>
      </c>
      <c r="E1158" s="39" t="n">
        <f aca="false">ROUND((D1158-$D$5)*86400,2)</f>
        <v>27.75</v>
      </c>
      <c r="F1158" s="12" t="n">
        <v>1142</v>
      </c>
      <c r="G1158" s="11" t="n">
        <f aca="false">IF(INDEX(選手一覧!$D$5:$D$2736,$F1158)="","",INDEX(選手一覧!$D$5:$D$2736,$F1158))</f>
        <v>0.0110262731481482</v>
      </c>
      <c r="H1158" s="12" t="n">
        <f aca="false">IF(INDEX(選手一覧!$E$5:$E$2736,$F1158)="","",INDEX(選手一覧!$E$5:$E$2736,$F1158))</f>
        <v>1143</v>
      </c>
      <c r="I1158" s="11" t="n">
        <f aca="false">IF(INDEX(選手一覧!$F$5:$F$2736,$F1158)="","",INDEX(選手一覧!$F$5:$F$2736,$F1158))</f>
        <v>0.00707962962962963</v>
      </c>
      <c r="J1158" s="12" t="n">
        <f aca="false">IF(INDEX(選手一覧!$G$5:$G$2736,$F1158)="","",INDEX(選手一覧!$G$5:$G$2736,$F1158))</f>
        <v>427</v>
      </c>
    </row>
    <row r="1159" customFormat="false" ht="15" hidden="false" customHeight="false" outlineLevel="0" collapsed="false">
      <c r="A1159" s="12" t="n">
        <v>1156</v>
      </c>
      <c r="B1159" s="8" t="s">
        <v>775</v>
      </c>
      <c r="C1159" s="8" t="s">
        <v>89</v>
      </c>
      <c r="D1159" s="11" t="n">
        <v>0.00292581018518519</v>
      </c>
      <c r="E1159" s="39" t="n">
        <f aca="false">ROUND((D1159-$D$5)*86400,2)</f>
        <v>27.76</v>
      </c>
      <c r="F1159" s="12" t="n">
        <v>437</v>
      </c>
      <c r="G1159" s="11" t="n">
        <f aca="false">IF(INDEX(選手一覧!$D$5:$D$2736,$F1159)="","",INDEX(選手一覧!$D$5:$D$2736,$F1159))</f>
        <v>0.0105828703703704</v>
      </c>
      <c r="H1159" s="12" t="n">
        <f aca="false">IF(INDEX(選手一覧!$E$5:$E$2736,$F1159)="","",INDEX(選手一覧!$E$5:$E$2736,$F1159))</f>
        <v>438</v>
      </c>
      <c r="I1159" s="11" t="str">
        <f aca="false">IF(INDEX(選手一覧!$F$5:$F$2736,$F1159)="","",INDEX(選手一覧!$F$5:$F$2736,$F1159))</f>
        <v/>
      </c>
      <c r="J1159" s="12" t="str">
        <f aca="false">IF(INDEX(選手一覧!$G$5:$G$2736,$F1159)="","",INDEX(選手一覧!$G$5:$G$2736,$F1159))</f>
        <v/>
      </c>
    </row>
    <row r="1160" customFormat="false" ht="15" hidden="false" customHeight="false" outlineLevel="0" collapsed="false">
      <c r="A1160" s="12" t="n">
        <v>1157</v>
      </c>
      <c r="B1160" s="8" t="s">
        <v>3719</v>
      </c>
      <c r="C1160" s="8" t="s">
        <v>3720</v>
      </c>
      <c r="D1160" s="11" t="n">
        <v>0.00292592592592593</v>
      </c>
      <c r="E1160" s="39" t="n">
        <f aca="false">ROUND((D1160-$D$5)*86400,2)</f>
        <v>27.77</v>
      </c>
      <c r="F1160" s="12" t="n">
        <v>2419</v>
      </c>
      <c r="G1160" s="11" t="str">
        <f aca="false">IF(INDEX(選手一覧!$D$5:$D$2736,$F1160)="","",INDEX(選手一覧!$D$5:$D$2736,$F1160))</f>
        <v/>
      </c>
      <c r="H1160" s="12" t="str">
        <f aca="false">IF(INDEX(選手一覧!$E$5:$E$2736,$F1160)="","",INDEX(選手一覧!$E$5:$E$2736,$F1160))</f>
        <v/>
      </c>
      <c r="I1160" s="11" t="str">
        <f aca="false">IF(INDEX(選手一覧!$F$5:$F$2736,$F1160)="","",INDEX(選手一覧!$F$5:$F$2736,$F1160))</f>
        <v/>
      </c>
      <c r="J1160" s="12" t="str">
        <f aca="false">IF(INDEX(選手一覧!$G$5:$G$2736,$F1160)="","",INDEX(選手一覧!$G$5:$G$2736,$F1160))</f>
        <v/>
      </c>
    </row>
    <row r="1161" customFormat="false" ht="15" hidden="false" customHeight="false" outlineLevel="0" collapsed="false">
      <c r="A1161" s="12" t="n">
        <v>1158</v>
      </c>
      <c r="B1161" s="8" t="s">
        <v>2759</v>
      </c>
      <c r="C1161" s="8" t="s">
        <v>2362</v>
      </c>
      <c r="D1161" s="11" t="n">
        <v>0.00292604166666667</v>
      </c>
      <c r="E1161" s="39" t="n">
        <f aca="false">ROUND((D1161-$D$5)*86400,2)</f>
        <v>27.78</v>
      </c>
      <c r="F1161" s="12" t="n">
        <v>1773</v>
      </c>
      <c r="G1161" s="11" t="str">
        <f aca="false">IF(INDEX(選手一覧!$D$5:$D$2736,$F1161)="","",INDEX(選手一覧!$D$5:$D$2736,$F1161))</f>
        <v/>
      </c>
      <c r="H1161" s="12" t="str">
        <f aca="false">IF(INDEX(選手一覧!$E$5:$E$2736,$F1161)="","",INDEX(選手一覧!$E$5:$E$2736,$F1161))</f>
        <v/>
      </c>
      <c r="I1161" s="11" t="n">
        <f aca="false">IF(INDEX(選手一覧!$F$5:$F$2736,$F1161)="","",INDEX(選手一覧!$F$5:$F$2736,$F1161))</f>
        <v>0.00732141203703704</v>
      </c>
      <c r="J1161" s="12" t="n">
        <f aca="false">IF(INDEX(選手一覧!$G$5:$G$2736,$F1161)="","",INDEX(選手一覧!$G$5:$G$2736,$F1161))</f>
        <v>672</v>
      </c>
    </row>
    <row r="1162" customFormat="false" ht="15" hidden="false" customHeight="false" outlineLevel="0" collapsed="false">
      <c r="A1162" s="12" t="n">
        <v>1159</v>
      </c>
      <c r="B1162" s="8" t="s">
        <v>3724</v>
      </c>
      <c r="C1162" s="8" t="s">
        <v>3725</v>
      </c>
      <c r="D1162" s="11" t="n">
        <v>0.00292615740740741</v>
      </c>
      <c r="E1162" s="39" t="n">
        <f aca="false">ROUND((D1162-$D$5)*86400,2)</f>
        <v>27.79</v>
      </c>
      <c r="F1162" s="12" t="n">
        <v>2422</v>
      </c>
      <c r="G1162" s="11" t="str">
        <f aca="false">IF(INDEX(選手一覧!$D$5:$D$2736,$F1162)="","",INDEX(選手一覧!$D$5:$D$2736,$F1162))</f>
        <v/>
      </c>
      <c r="H1162" s="12" t="str">
        <f aca="false">IF(INDEX(選手一覧!$E$5:$E$2736,$F1162)="","",INDEX(選手一覧!$E$5:$E$2736,$F1162))</f>
        <v/>
      </c>
      <c r="I1162" s="11" t="str">
        <f aca="false">IF(INDEX(選手一覧!$F$5:$F$2736,$F1162)="","",INDEX(選手一覧!$F$5:$F$2736,$F1162))</f>
        <v/>
      </c>
      <c r="J1162" s="12" t="str">
        <f aca="false">IF(INDEX(選手一覧!$G$5:$G$2736,$F1162)="","",INDEX(選手一覧!$G$5:$G$2736,$F1162))</f>
        <v/>
      </c>
    </row>
    <row r="1163" customFormat="false" ht="15" hidden="false" customHeight="false" outlineLevel="0" collapsed="false">
      <c r="A1163" s="12" t="n">
        <v>1160</v>
      </c>
      <c r="B1163" s="8" t="s">
        <v>3727</v>
      </c>
      <c r="C1163" s="8" t="s">
        <v>2019</v>
      </c>
      <c r="D1163" s="11" t="n">
        <v>0.00292627314814815</v>
      </c>
      <c r="E1163" s="39" t="n">
        <f aca="false">ROUND((D1163-$D$5)*86400,2)</f>
        <v>27.8</v>
      </c>
      <c r="F1163" s="12" t="n">
        <v>2424</v>
      </c>
      <c r="G1163" s="11" t="str">
        <f aca="false">IF(INDEX(選手一覧!$D$5:$D$2736,$F1163)="","",INDEX(選手一覧!$D$5:$D$2736,$F1163))</f>
        <v/>
      </c>
      <c r="H1163" s="12" t="str">
        <f aca="false">IF(INDEX(選手一覧!$E$5:$E$2736,$F1163)="","",INDEX(選手一覧!$E$5:$E$2736,$F1163))</f>
        <v/>
      </c>
      <c r="I1163" s="11" t="str">
        <f aca="false">IF(INDEX(選手一覧!$F$5:$F$2736,$F1163)="","",INDEX(選手一覧!$F$5:$F$2736,$F1163))</f>
        <v/>
      </c>
      <c r="J1163" s="12" t="str">
        <f aca="false">IF(INDEX(選手一覧!$G$5:$G$2736,$F1163)="","",INDEX(選手一覧!$G$5:$G$2736,$F1163))</f>
        <v/>
      </c>
    </row>
    <row r="1164" customFormat="false" ht="15" hidden="false" customHeight="false" outlineLevel="0" collapsed="false">
      <c r="A1164" s="12" t="n">
        <v>1161</v>
      </c>
      <c r="B1164" s="8" t="s">
        <v>3730</v>
      </c>
      <c r="C1164" s="8" t="s">
        <v>3731</v>
      </c>
      <c r="D1164" s="11" t="n">
        <v>0.00292627314814815</v>
      </c>
      <c r="E1164" s="39" t="n">
        <f aca="false">ROUND((D1164-$D$5)*86400,2)</f>
        <v>27.8</v>
      </c>
      <c r="F1164" s="12" t="n">
        <v>2426</v>
      </c>
      <c r="G1164" s="11" t="str">
        <f aca="false">IF(INDEX(選手一覧!$D$5:$D$2736,$F1164)="","",INDEX(選手一覧!$D$5:$D$2736,$F1164))</f>
        <v/>
      </c>
      <c r="H1164" s="12" t="str">
        <f aca="false">IF(INDEX(選手一覧!$E$5:$E$2736,$F1164)="","",INDEX(選手一覧!$E$5:$E$2736,$F1164))</f>
        <v/>
      </c>
      <c r="I1164" s="11" t="str">
        <f aca="false">IF(INDEX(選手一覧!$F$5:$F$2736,$F1164)="","",INDEX(選手一覧!$F$5:$F$2736,$F1164))</f>
        <v/>
      </c>
      <c r="J1164" s="12" t="str">
        <f aca="false">IF(INDEX(選手一覧!$G$5:$G$2736,$F1164)="","",INDEX(選手一覧!$G$5:$G$2736,$F1164))</f>
        <v/>
      </c>
    </row>
    <row r="1165" customFormat="false" ht="15" hidden="false" customHeight="false" outlineLevel="0" collapsed="false">
      <c r="A1165" s="12" t="n">
        <v>1162</v>
      </c>
      <c r="B1165" s="8" t="s">
        <v>1691</v>
      </c>
      <c r="C1165" s="8" t="s">
        <v>1692</v>
      </c>
      <c r="D1165" s="11" t="n">
        <v>0.00292638888888889</v>
      </c>
      <c r="E1165" s="39" t="n">
        <f aca="false">ROUND((D1165-$D$5)*86400,2)</f>
        <v>27.81</v>
      </c>
      <c r="F1165" s="12" t="n">
        <v>1048</v>
      </c>
      <c r="G1165" s="11" t="n">
        <f aca="false">IF(INDEX(選手一覧!$D$5:$D$2736,$F1165)="","",INDEX(選手一覧!$D$5:$D$2736,$F1165))</f>
        <v>0.0109747685185185</v>
      </c>
      <c r="H1165" s="12" t="n">
        <f aca="false">IF(INDEX(選手一覧!$E$5:$E$2736,$F1165)="","",INDEX(選手一覧!$E$5:$E$2736,$F1165))</f>
        <v>1049</v>
      </c>
      <c r="I1165" s="11" t="str">
        <f aca="false">IF(INDEX(選手一覧!$F$5:$F$2736,$F1165)="","",INDEX(選手一覧!$F$5:$F$2736,$F1165))</f>
        <v/>
      </c>
      <c r="J1165" s="12" t="str">
        <f aca="false">IF(INDEX(選手一覧!$G$5:$G$2736,$F1165)="","",INDEX(選手一覧!$G$5:$G$2736,$F1165))</f>
        <v/>
      </c>
    </row>
    <row r="1166" customFormat="false" ht="15" hidden="false" customHeight="false" outlineLevel="0" collapsed="false">
      <c r="A1166" s="12" t="n">
        <v>1163</v>
      </c>
      <c r="B1166" s="8" t="s">
        <v>3733</v>
      </c>
      <c r="C1166" s="8" t="s">
        <v>3734</v>
      </c>
      <c r="D1166" s="11" t="n">
        <v>0.00292673611111111</v>
      </c>
      <c r="E1166" s="39" t="n">
        <f aca="false">ROUND((D1166-$D$5)*86400,2)</f>
        <v>27.84</v>
      </c>
      <c r="F1166" s="12" t="n">
        <v>2428</v>
      </c>
      <c r="G1166" s="11" t="str">
        <f aca="false">IF(INDEX(選手一覧!$D$5:$D$2736,$F1166)="","",INDEX(選手一覧!$D$5:$D$2736,$F1166))</f>
        <v/>
      </c>
      <c r="H1166" s="12" t="str">
        <f aca="false">IF(INDEX(選手一覧!$E$5:$E$2736,$F1166)="","",INDEX(選手一覧!$E$5:$E$2736,$F1166))</f>
        <v/>
      </c>
      <c r="I1166" s="11" t="str">
        <f aca="false">IF(INDEX(選手一覧!$F$5:$F$2736,$F1166)="","",INDEX(選手一覧!$F$5:$F$2736,$F1166))</f>
        <v/>
      </c>
      <c r="J1166" s="12" t="str">
        <f aca="false">IF(INDEX(選手一覧!$G$5:$G$2736,$F1166)="","",INDEX(選手一覧!$G$5:$G$2736,$F1166))</f>
        <v/>
      </c>
    </row>
    <row r="1167" customFormat="false" ht="15" hidden="false" customHeight="false" outlineLevel="0" collapsed="false">
      <c r="A1167" s="12" t="n">
        <v>1164</v>
      </c>
      <c r="B1167" s="8" t="s">
        <v>3736</v>
      </c>
      <c r="C1167" s="8" t="s">
        <v>772</v>
      </c>
      <c r="D1167" s="11" t="n">
        <v>0.00292731481481482</v>
      </c>
      <c r="E1167" s="39" t="n">
        <f aca="false">ROUND((D1167-$D$5)*86400,2)</f>
        <v>27.89</v>
      </c>
      <c r="F1167" s="12" t="n">
        <v>2430</v>
      </c>
      <c r="G1167" s="11" t="str">
        <f aca="false">IF(INDEX(選手一覧!$D$5:$D$2736,$F1167)="","",INDEX(選手一覧!$D$5:$D$2736,$F1167))</f>
        <v/>
      </c>
      <c r="H1167" s="12" t="str">
        <f aca="false">IF(INDEX(選手一覧!$E$5:$E$2736,$F1167)="","",INDEX(選手一覧!$E$5:$E$2736,$F1167))</f>
        <v/>
      </c>
      <c r="I1167" s="11" t="str">
        <f aca="false">IF(INDEX(選手一覧!$F$5:$F$2736,$F1167)="","",INDEX(選手一覧!$F$5:$F$2736,$F1167))</f>
        <v/>
      </c>
      <c r="J1167" s="12" t="str">
        <f aca="false">IF(INDEX(選手一覧!$G$5:$G$2736,$F1167)="","",INDEX(選手一覧!$G$5:$G$2736,$F1167))</f>
        <v/>
      </c>
    </row>
    <row r="1168" customFormat="false" ht="15" hidden="false" customHeight="false" outlineLevel="0" collapsed="false">
      <c r="A1168" s="12" t="n">
        <v>1165</v>
      </c>
      <c r="B1168" s="8" t="s">
        <v>3738</v>
      </c>
      <c r="C1168" s="8" t="s">
        <v>3739</v>
      </c>
      <c r="D1168" s="11" t="n">
        <v>0.00292731481481482</v>
      </c>
      <c r="E1168" s="39" t="n">
        <f aca="false">ROUND((D1168-$D$5)*86400,2)</f>
        <v>27.89</v>
      </c>
      <c r="F1168" s="12" t="n">
        <v>2432</v>
      </c>
      <c r="G1168" s="11" t="str">
        <f aca="false">IF(INDEX(選手一覧!$D$5:$D$2736,$F1168)="","",INDEX(選手一覧!$D$5:$D$2736,$F1168))</f>
        <v/>
      </c>
      <c r="H1168" s="12" t="str">
        <f aca="false">IF(INDEX(選手一覧!$E$5:$E$2736,$F1168)="","",INDEX(選手一覧!$E$5:$E$2736,$F1168))</f>
        <v/>
      </c>
      <c r="I1168" s="11" t="str">
        <f aca="false">IF(INDEX(選手一覧!$F$5:$F$2736,$F1168)="","",INDEX(選手一覧!$F$5:$F$2736,$F1168))</f>
        <v/>
      </c>
      <c r="J1168" s="12" t="str">
        <f aca="false">IF(INDEX(選手一覧!$G$5:$G$2736,$F1168)="","",INDEX(選手一覧!$G$5:$G$2736,$F1168))</f>
        <v/>
      </c>
    </row>
    <row r="1169" customFormat="false" ht="15" hidden="false" customHeight="false" outlineLevel="0" collapsed="false">
      <c r="A1169" s="12" t="n">
        <v>1166</v>
      </c>
      <c r="B1169" s="8" t="s">
        <v>1397</v>
      </c>
      <c r="C1169" s="8" t="s">
        <v>274</v>
      </c>
      <c r="D1169" s="11" t="n">
        <v>0.0029275462962963</v>
      </c>
      <c r="E1169" s="39" t="n">
        <f aca="false">ROUND((D1169-$D$5)*86400,2)</f>
        <v>27.91</v>
      </c>
      <c r="F1169" s="12" t="n">
        <v>850</v>
      </c>
      <c r="G1169" s="11" t="n">
        <f aca="false">IF(INDEX(選手一覧!$D$5:$D$2736,$F1169)="","",INDEX(選手一覧!$D$5:$D$2736,$F1169))</f>
        <v>0.0108612268518519</v>
      </c>
      <c r="H1169" s="12" t="n">
        <f aca="false">IF(INDEX(選手一覧!$E$5:$E$2736,$F1169)="","",INDEX(選手一覧!$E$5:$E$2736,$F1169))</f>
        <v>851</v>
      </c>
      <c r="I1169" s="11" t="str">
        <f aca="false">IF(INDEX(選手一覧!$F$5:$F$2736,$F1169)="","",INDEX(選手一覧!$F$5:$F$2736,$F1169))</f>
        <v/>
      </c>
      <c r="J1169" s="12" t="str">
        <f aca="false">IF(INDEX(選手一覧!$G$5:$G$2736,$F1169)="","",INDEX(選手一覧!$G$5:$G$2736,$F1169))</f>
        <v/>
      </c>
    </row>
    <row r="1170" customFormat="false" ht="15" hidden="false" customHeight="false" outlineLevel="0" collapsed="false">
      <c r="A1170" s="12" t="n">
        <v>1167</v>
      </c>
      <c r="B1170" s="8" t="s">
        <v>3743</v>
      </c>
      <c r="C1170" s="8" t="s">
        <v>3744</v>
      </c>
      <c r="D1170" s="11" t="n">
        <v>0.00292766203703704</v>
      </c>
      <c r="E1170" s="39" t="n">
        <f aca="false">ROUND((D1170-$D$5)*86400,2)</f>
        <v>27.92</v>
      </c>
      <c r="F1170" s="12" t="n">
        <v>2435</v>
      </c>
      <c r="G1170" s="11" t="str">
        <f aca="false">IF(INDEX(選手一覧!$D$5:$D$2736,$F1170)="","",INDEX(選手一覧!$D$5:$D$2736,$F1170))</f>
        <v/>
      </c>
      <c r="H1170" s="12" t="str">
        <f aca="false">IF(INDEX(選手一覧!$E$5:$E$2736,$F1170)="","",INDEX(選手一覧!$E$5:$E$2736,$F1170))</f>
        <v/>
      </c>
      <c r="I1170" s="11" t="str">
        <f aca="false">IF(INDEX(選手一覧!$F$5:$F$2736,$F1170)="","",INDEX(選手一覧!$F$5:$F$2736,$F1170))</f>
        <v/>
      </c>
      <c r="J1170" s="12" t="str">
        <f aca="false">IF(INDEX(選手一覧!$G$5:$G$2736,$F1170)="","",INDEX(選手一覧!$G$5:$G$2736,$F1170))</f>
        <v/>
      </c>
    </row>
    <row r="1171" customFormat="false" ht="15" hidden="false" customHeight="false" outlineLevel="0" collapsed="false">
      <c r="A1171" s="12" t="n">
        <v>1168</v>
      </c>
      <c r="B1171" s="8" t="s">
        <v>2523</v>
      </c>
      <c r="C1171" s="8" t="s">
        <v>2524</v>
      </c>
      <c r="D1171" s="11" t="n">
        <v>0.00292824074074074</v>
      </c>
      <c r="E1171" s="39" t="n">
        <f aca="false">ROUND((D1171-$D$5)*86400,2)</f>
        <v>27.97</v>
      </c>
      <c r="F1171" s="12" t="n">
        <v>1614</v>
      </c>
      <c r="G1171" s="11" t="str">
        <f aca="false">IF(INDEX(選手一覧!$D$5:$D$2736,$F1171)="","",INDEX(選手一覧!$D$5:$D$2736,$F1171))</f>
        <v/>
      </c>
      <c r="H1171" s="12" t="str">
        <f aca="false">IF(INDEX(選手一覧!$E$5:$E$2736,$F1171)="","",INDEX(選手一覧!$E$5:$E$2736,$F1171))</f>
        <v/>
      </c>
      <c r="I1171" s="11" t="n">
        <f aca="false">IF(INDEX(選手一覧!$F$5:$F$2736,$F1171)="","",INDEX(選手一覧!$F$5:$F$2736,$F1171))</f>
        <v>0.00718472222222222</v>
      </c>
      <c r="J1171" s="12" t="n">
        <f aca="false">IF(INDEX(選手一覧!$G$5:$G$2736,$F1171)="","",INDEX(選手一覧!$G$5:$G$2736,$F1171))</f>
        <v>524</v>
      </c>
    </row>
    <row r="1172" customFormat="false" ht="15" hidden="false" customHeight="false" outlineLevel="0" collapsed="false">
      <c r="A1172" s="12" t="n">
        <v>1169</v>
      </c>
      <c r="B1172" s="8" t="s">
        <v>3749</v>
      </c>
      <c r="C1172" s="8" t="s">
        <v>2951</v>
      </c>
      <c r="D1172" s="11" t="n">
        <v>0.00292835648148148</v>
      </c>
      <c r="E1172" s="39" t="n">
        <f aca="false">ROUND((D1172-$D$5)*86400,2)</f>
        <v>27.98</v>
      </c>
      <c r="F1172" s="12" t="n">
        <v>2438</v>
      </c>
      <c r="G1172" s="11" t="str">
        <f aca="false">IF(INDEX(選手一覧!$D$5:$D$2736,$F1172)="","",INDEX(選手一覧!$D$5:$D$2736,$F1172))</f>
        <v/>
      </c>
      <c r="H1172" s="12" t="str">
        <f aca="false">IF(INDEX(選手一覧!$E$5:$E$2736,$F1172)="","",INDEX(選手一覧!$E$5:$E$2736,$F1172))</f>
        <v/>
      </c>
      <c r="I1172" s="11" t="str">
        <f aca="false">IF(INDEX(選手一覧!$F$5:$F$2736,$F1172)="","",INDEX(選手一覧!$F$5:$F$2736,$F1172))</f>
        <v/>
      </c>
      <c r="J1172" s="12" t="str">
        <f aca="false">IF(INDEX(選手一覧!$G$5:$G$2736,$F1172)="","",INDEX(選手一覧!$G$5:$G$2736,$F1172))</f>
        <v/>
      </c>
    </row>
    <row r="1173" customFormat="false" ht="15" hidden="false" customHeight="false" outlineLevel="0" collapsed="false">
      <c r="A1173" s="12" t="n">
        <v>1170</v>
      </c>
      <c r="B1173" s="8" t="s">
        <v>3108</v>
      </c>
      <c r="C1173" s="8" t="s">
        <v>2195</v>
      </c>
      <c r="D1173" s="11" t="n">
        <v>0.00292881944444444</v>
      </c>
      <c r="E1173" s="39" t="n">
        <f aca="false">ROUND((D1173-$D$5)*86400,2)</f>
        <v>28.02</v>
      </c>
      <c r="F1173" s="12" t="n">
        <v>2009</v>
      </c>
      <c r="G1173" s="11" t="str">
        <f aca="false">IF(INDEX(選手一覧!$D$5:$D$2736,$F1173)="","",INDEX(選手一覧!$D$5:$D$2736,$F1173))</f>
        <v/>
      </c>
      <c r="H1173" s="12" t="str">
        <f aca="false">IF(INDEX(選手一覧!$E$5:$E$2736,$F1173)="","",INDEX(選手一覧!$E$5:$E$2736,$F1173))</f>
        <v/>
      </c>
      <c r="I1173" s="11" t="n">
        <f aca="false">IF(INDEX(選手一覧!$F$5:$F$2736,$F1173)="","",INDEX(選手一覧!$F$5:$F$2736,$F1173))</f>
        <v>0.00747141203703704</v>
      </c>
      <c r="J1173" s="12" t="n">
        <f aca="false">IF(INDEX(選手一覧!$G$5:$G$2736,$F1173)="","",INDEX(選手一覧!$G$5:$G$2736,$F1173))</f>
        <v>860</v>
      </c>
    </row>
    <row r="1174" customFormat="false" ht="15" hidden="false" customHeight="false" outlineLevel="0" collapsed="false">
      <c r="A1174" s="12" t="n">
        <v>1171</v>
      </c>
      <c r="B1174" s="8" t="s">
        <v>488</v>
      </c>
      <c r="C1174" s="8" t="s">
        <v>54</v>
      </c>
      <c r="D1174" s="11" t="n">
        <v>0.00292951388888889</v>
      </c>
      <c r="E1174" s="39" t="n">
        <f aca="false">ROUND((D1174-$D$5)*86400,2)</f>
        <v>28.08</v>
      </c>
      <c r="F1174" s="12" t="n">
        <v>257</v>
      </c>
      <c r="G1174" s="11" t="n">
        <f aca="false">IF(INDEX(選手一覧!$D$5:$D$2736,$F1174)="","",INDEX(選手一覧!$D$5:$D$2736,$F1174))</f>
        <v>0.010396875</v>
      </c>
      <c r="H1174" s="12" t="n">
        <f aca="false">IF(INDEX(選手一覧!$E$5:$E$2736,$F1174)="","",INDEX(選手一覧!$E$5:$E$2736,$F1174))</f>
        <v>258</v>
      </c>
      <c r="I1174" s="11" t="str">
        <f aca="false">IF(INDEX(選手一覧!$F$5:$F$2736,$F1174)="","",INDEX(選手一覧!$F$5:$F$2736,$F1174))</f>
        <v/>
      </c>
      <c r="J1174" s="12" t="str">
        <f aca="false">IF(INDEX(選手一覧!$G$5:$G$2736,$F1174)="","",INDEX(選手一覧!$G$5:$G$2736,$F1174))</f>
        <v/>
      </c>
    </row>
    <row r="1175" customFormat="false" ht="15" hidden="false" customHeight="false" outlineLevel="0" collapsed="false">
      <c r="A1175" s="12" t="n">
        <v>1172</v>
      </c>
      <c r="B1175" s="8" t="s">
        <v>3754</v>
      </c>
      <c r="C1175" s="8" t="s">
        <v>946</v>
      </c>
      <c r="D1175" s="11" t="n">
        <v>0.00292951388888889</v>
      </c>
      <c r="E1175" s="39" t="n">
        <f aca="false">ROUND((D1175-$D$5)*86400,2)</f>
        <v>28.08</v>
      </c>
      <c r="F1175" s="12" t="n">
        <v>2442</v>
      </c>
      <c r="G1175" s="11" t="str">
        <f aca="false">IF(INDEX(選手一覧!$D$5:$D$2736,$F1175)="","",INDEX(選手一覧!$D$5:$D$2736,$F1175))</f>
        <v/>
      </c>
      <c r="H1175" s="12" t="str">
        <f aca="false">IF(INDEX(選手一覧!$E$5:$E$2736,$F1175)="","",INDEX(選手一覧!$E$5:$E$2736,$F1175))</f>
        <v/>
      </c>
      <c r="I1175" s="11" t="str">
        <f aca="false">IF(INDEX(選手一覧!$F$5:$F$2736,$F1175)="","",INDEX(選手一覧!$F$5:$F$2736,$F1175))</f>
        <v/>
      </c>
      <c r="J1175" s="12" t="str">
        <f aca="false">IF(INDEX(選手一覧!$G$5:$G$2736,$F1175)="","",INDEX(選手一覧!$G$5:$G$2736,$F1175))</f>
        <v/>
      </c>
    </row>
    <row r="1176" customFormat="false" ht="15" hidden="false" customHeight="false" outlineLevel="0" collapsed="false">
      <c r="A1176" s="12" t="n">
        <v>1173</v>
      </c>
      <c r="B1176" s="8" t="s">
        <v>292</v>
      </c>
      <c r="C1176" s="8" t="s">
        <v>44</v>
      </c>
      <c r="D1176" s="11" t="n">
        <v>0.00292951388888889</v>
      </c>
      <c r="E1176" s="39" t="n">
        <f aca="false">ROUND((D1176-$D$5)*86400,2)</f>
        <v>28.08</v>
      </c>
      <c r="F1176" s="12" t="n">
        <v>142</v>
      </c>
      <c r="G1176" s="11" t="n">
        <f aca="false">IF(INDEX(選手一覧!$D$5:$D$2736,$F1176)="","",INDEX(選手一覧!$D$5:$D$2736,$F1176))</f>
        <v>0.0102770833333333</v>
      </c>
      <c r="H1176" s="12" t="n">
        <f aca="false">IF(INDEX(選手一覧!$E$5:$E$2736,$F1176)="","",INDEX(選手一覧!$E$5:$E$2736,$F1176))</f>
        <v>143</v>
      </c>
      <c r="I1176" s="11" t="str">
        <f aca="false">IF(INDEX(選手一覧!$F$5:$F$2736,$F1176)="","",INDEX(選手一覧!$F$5:$F$2736,$F1176))</f>
        <v/>
      </c>
      <c r="J1176" s="12" t="str">
        <f aca="false">IF(INDEX(選手一覧!$G$5:$G$2736,$F1176)="","",INDEX(選手一覧!$G$5:$G$2736,$F1176))</f>
        <v/>
      </c>
    </row>
    <row r="1177" customFormat="false" ht="15" hidden="false" customHeight="false" outlineLevel="0" collapsed="false">
      <c r="A1177" s="12" t="n">
        <v>1174</v>
      </c>
      <c r="B1177" s="8" t="s">
        <v>1803</v>
      </c>
      <c r="C1177" s="8" t="s">
        <v>290</v>
      </c>
      <c r="D1177" s="11" t="n">
        <v>0.00293009259259259</v>
      </c>
      <c r="E1177" s="39" t="n">
        <f aca="false">ROUND((D1177-$D$5)*86400,2)</f>
        <v>28.13</v>
      </c>
      <c r="F1177" s="12" t="n">
        <v>1122</v>
      </c>
      <c r="G1177" s="11" t="n">
        <f aca="false">IF(INDEX(選手一覧!$D$5:$D$2736,$F1177)="","",INDEX(選手一覧!$D$5:$D$2736,$F1177))</f>
        <v>0.0110174768518519</v>
      </c>
      <c r="H1177" s="12" t="n">
        <f aca="false">IF(INDEX(選手一覧!$E$5:$E$2736,$F1177)="","",INDEX(選手一覧!$E$5:$E$2736,$F1177))</f>
        <v>1123</v>
      </c>
      <c r="I1177" s="11" t="str">
        <f aca="false">IF(INDEX(選手一覧!$F$5:$F$2736,$F1177)="","",INDEX(選手一覧!$F$5:$F$2736,$F1177))</f>
        <v/>
      </c>
      <c r="J1177" s="12" t="str">
        <f aca="false">IF(INDEX(選手一覧!$G$5:$G$2736,$F1177)="","",INDEX(選手一覧!$G$5:$G$2736,$F1177))</f>
        <v/>
      </c>
    </row>
    <row r="1178" customFormat="false" ht="15" hidden="false" customHeight="false" outlineLevel="0" collapsed="false">
      <c r="A1178" s="12" t="n">
        <v>1175</v>
      </c>
      <c r="B1178" s="8" t="s">
        <v>3758</v>
      </c>
      <c r="C1178" s="8" t="s">
        <v>1674</v>
      </c>
      <c r="D1178" s="11" t="n">
        <v>0.00293090277777778</v>
      </c>
      <c r="E1178" s="39" t="n">
        <f aca="false">ROUND((D1178-$D$5)*86400,2)</f>
        <v>28.2</v>
      </c>
      <c r="F1178" s="12" t="n">
        <v>2445</v>
      </c>
      <c r="G1178" s="11" t="str">
        <f aca="false">IF(INDEX(選手一覧!$D$5:$D$2736,$F1178)="","",INDEX(選手一覧!$D$5:$D$2736,$F1178))</f>
        <v/>
      </c>
      <c r="H1178" s="12" t="str">
        <f aca="false">IF(INDEX(選手一覧!$E$5:$E$2736,$F1178)="","",INDEX(選手一覧!$E$5:$E$2736,$F1178))</f>
        <v/>
      </c>
      <c r="I1178" s="11" t="str">
        <f aca="false">IF(INDEX(選手一覧!$F$5:$F$2736,$F1178)="","",INDEX(選手一覧!$F$5:$F$2736,$F1178))</f>
        <v/>
      </c>
      <c r="J1178" s="12" t="str">
        <f aca="false">IF(INDEX(選手一覧!$G$5:$G$2736,$F1178)="","",INDEX(選手一覧!$G$5:$G$2736,$F1178))</f>
        <v/>
      </c>
    </row>
    <row r="1179" customFormat="false" ht="15" hidden="false" customHeight="false" outlineLevel="0" collapsed="false">
      <c r="A1179" s="12" t="n">
        <v>1176</v>
      </c>
      <c r="B1179" s="8" t="s">
        <v>3760</v>
      </c>
      <c r="C1179" s="8" t="s">
        <v>1192</v>
      </c>
      <c r="D1179" s="11" t="n">
        <v>0.00293148148148148</v>
      </c>
      <c r="E1179" s="39" t="n">
        <f aca="false">ROUND((D1179-$D$5)*86400,2)</f>
        <v>28.25</v>
      </c>
      <c r="F1179" s="12" t="n">
        <v>2447</v>
      </c>
      <c r="G1179" s="11" t="str">
        <f aca="false">IF(INDEX(選手一覧!$D$5:$D$2736,$F1179)="","",INDEX(選手一覧!$D$5:$D$2736,$F1179))</f>
        <v/>
      </c>
      <c r="H1179" s="12" t="str">
        <f aca="false">IF(INDEX(選手一覧!$E$5:$E$2736,$F1179)="","",INDEX(選手一覧!$E$5:$E$2736,$F1179))</f>
        <v/>
      </c>
      <c r="I1179" s="11" t="str">
        <f aca="false">IF(INDEX(選手一覧!$F$5:$F$2736,$F1179)="","",INDEX(選手一覧!$F$5:$F$2736,$F1179))</f>
        <v/>
      </c>
      <c r="J1179" s="12" t="str">
        <f aca="false">IF(INDEX(選手一覧!$G$5:$G$2736,$F1179)="","",INDEX(選手一覧!$G$5:$G$2736,$F1179))</f>
        <v/>
      </c>
    </row>
    <row r="1180" customFormat="false" ht="15" hidden="false" customHeight="false" outlineLevel="0" collapsed="false">
      <c r="A1180" s="21" t="n">
        <v>1177</v>
      </c>
      <c r="B1180" s="17" t="s">
        <v>232</v>
      </c>
      <c r="C1180" s="17" t="s">
        <v>233</v>
      </c>
      <c r="D1180" s="20" t="n">
        <v>0.0029318287037037</v>
      </c>
      <c r="E1180" s="40" t="n">
        <f aca="false">ROUND((D1180-$D$5)*86400,2)</f>
        <v>28.28</v>
      </c>
      <c r="F1180" s="21" t="n">
        <v>114</v>
      </c>
      <c r="G1180" s="20" t="n">
        <f aca="false">IF(INDEX(選手一覧!$D$5:$D$2736,$F1180)="","",INDEX(選手一覧!$D$5:$D$2736,$F1180))</f>
        <v>0.0102358796296296</v>
      </c>
      <c r="H1180" s="21" t="n">
        <f aca="false">IF(INDEX(選手一覧!$E$5:$E$2736,$F1180)="","",INDEX(選手一覧!$E$5:$E$2736,$F1180))</f>
        <v>115</v>
      </c>
      <c r="I1180" s="20" t="str">
        <f aca="false">IF(INDEX(選手一覧!$F$5:$F$2736,$F1180)="","",INDEX(選手一覧!$F$5:$F$2736,$F1180))</f>
        <v/>
      </c>
      <c r="J1180" s="21" t="str">
        <f aca="false">IF(INDEX(選手一覧!$G$5:$G$2736,$F1180)="","",INDEX(選手一覧!$G$5:$G$2736,$F1180))</f>
        <v/>
      </c>
    </row>
    <row r="1181" customFormat="false" ht="15" hidden="false" customHeight="false" outlineLevel="0" collapsed="false">
      <c r="A1181" s="12" t="n">
        <v>1178</v>
      </c>
      <c r="B1181" s="8" t="s">
        <v>1467</v>
      </c>
      <c r="C1181" s="8" t="s">
        <v>1308</v>
      </c>
      <c r="D1181" s="11" t="n">
        <v>0.0029318287037037</v>
      </c>
      <c r="E1181" s="39" t="n">
        <f aca="false">ROUND((D1181-$D$5)*86400,2)</f>
        <v>28.28</v>
      </c>
      <c r="F1181" s="12" t="n">
        <v>895</v>
      </c>
      <c r="G1181" s="11" t="n">
        <f aca="false">IF(INDEX(選手一覧!$D$5:$D$2736,$F1181)="","",INDEX(選手一覧!$D$5:$D$2736,$F1181))</f>
        <v>0.0108831018518519</v>
      </c>
      <c r="H1181" s="12" t="n">
        <f aca="false">IF(INDEX(選手一覧!$E$5:$E$2736,$F1181)="","",INDEX(選手一覧!$E$5:$E$2736,$F1181))</f>
        <v>896</v>
      </c>
      <c r="I1181" s="11" t="str">
        <f aca="false">IF(INDEX(選手一覧!$F$5:$F$2736,$F1181)="","",INDEX(選手一覧!$F$5:$F$2736,$F1181))</f>
        <v/>
      </c>
      <c r="J1181" s="12" t="str">
        <f aca="false">IF(INDEX(選手一覧!$G$5:$G$2736,$F1181)="","",INDEX(選手一覧!$G$5:$G$2736,$F1181))</f>
        <v/>
      </c>
    </row>
    <row r="1182" customFormat="false" ht="15" hidden="false" customHeight="false" outlineLevel="0" collapsed="false">
      <c r="A1182" s="12" t="n">
        <v>1179</v>
      </c>
      <c r="B1182" s="8" t="s">
        <v>3763</v>
      </c>
      <c r="C1182" s="8" t="s">
        <v>2168</v>
      </c>
      <c r="D1182" s="11" t="n">
        <v>0.00293206018518519</v>
      </c>
      <c r="E1182" s="39" t="n">
        <f aca="false">ROUND((D1182-$D$5)*86400,2)</f>
        <v>28.3</v>
      </c>
      <c r="F1182" s="12" t="n">
        <v>2450</v>
      </c>
      <c r="G1182" s="11" t="str">
        <f aca="false">IF(INDEX(選手一覧!$D$5:$D$2736,$F1182)="","",INDEX(選手一覧!$D$5:$D$2736,$F1182))</f>
        <v/>
      </c>
      <c r="H1182" s="12" t="str">
        <f aca="false">IF(INDEX(選手一覧!$E$5:$E$2736,$F1182)="","",INDEX(選手一覧!$E$5:$E$2736,$F1182))</f>
        <v/>
      </c>
      <c r="I1182" s="11" t="str">
        <f aca="false">IF(INDEX(選手一覧!$F$5:$F$2736,$F1182)="","",INDEX(選手一覧!$F$5:$F$2736,$F1182))</f>
        <v/>
      </c>
      <c r="J1182" s="12" t="str">
        <f aca="false">IF(INDEX(選手一覧!$G$5:$G$2736,$F1182)="","",INDEX(選手一覧!$G$5:$G$2736,$F1182))</f>
        <v/>
      </c>
    </row>
    <row r="1183" customFormat="false" ht="15" hidden="false" customHeight="false" outlineLevel="0" collapsed="false">
      <c r="A1183" s="12" t="n">
        <v>1180</v>
      </c>
      <c r="B1183" s="8" t="s">
        <v>1988</v>
      </c>
      <c r="C1183" s="8" t="s">
        <v>1989</v>
      </c>
      <c r="D1183" s="11" t="n">
        <v>0.00293252314814815</v>
      </c>
      <c r="E1183" s="39" t="n">
        <f aca="false">ROUND((D1183-$D$5)*86400,2)</f>
        <v>28.34</v>
      </c>
      <c r="F1183" s="12" t="n">
        <v>1253</v>
      </c>
      <c r="G1183" s="11" t="n">
        <f aca="false">IF(INDEX(選手一覧!$D$5:$D$2736,$F1183)="","",INDEX(選手一覧!$D$5:$D$2736,$F1183))</f>
        <v>0.0110809027777778</v>
      </c>
      <c r="H1183" s="12" t="n">
        <f aca="false">IF(INDEX(選手一覧!$E$5:$E$2736,$F1183)="","",INDEX(選手一覧!$E$5:$E$2736,$F1183))</f>
        <v>1254</v>
      </c>
      <c r="I1183" s="11" t="str">
        <f aca="false">IF(INDEX(選手一覧!$F$5:$F$2736,$F1183)="","",INDEX(選手一覧!$F$5:$F$2736,$F1183))</f>
        <v/>
      </c>
      <c r="J1183" s="12" t="str">
        <f aca="false">IF(INDEX(選手一覧!$G$5:$G$2736,$F1183)="","",INDEX(選手一覧!$G$5:$G$2736,$F1183))</f>
        <v/>
      </c>
    </row>
    <row r="1184" customFormat="false" ht="15" hidden="false" customHeight="false" outlineLevel="0" collapsed="false">
      <c r="A1184" s="12" t="n">
        <v>1181</v>
      </c>
      <c r="B1184" s="8" t="s">
        <v>1709</v>
      </c>
      <c r="C1184" s="8" t="s">
        <v>233</v>
      </c>
      <c r="D1184" s="11" t="n">
        <v>0.00293321759259259</v>
      </c>
      <c r="E1184" s="39" t="n">
        <f aca="false">ROUND((D1184-$D$5)*86400,2)</f>
        <v>28.4</v>
      </c>
      <c r="F1184" s="12" t="n">
        <v>1060</v>
      </c>
      <c r="G1184" s="11" t="n">
        <f aca="false">IF(INDEX(選手一覧!$D$5:$D$2736,$F1184)="","",INDEX(選手一覧!$D$5:$D$2736,$F1184))</f>
        <v>0.0109813657407407</v>
      </c>
      <c r="H1184" s="12" t="n">
        <f aca="false">IF(INDEX(選手一覧!$E$5:$E$2736,$F1184)="","",INDEX(選手一覧!$E$5:$E$2736,$F1184))</f>
        <v>1061</v>
      </c>
      <c r="I1184" s="11" t="n">
        <f aca="false">IF(INDEX(選手一覧!$F$5:$F$2736,$F1184)="","",INDEX(選手一覧!$F$5:$F$2736,$F1184))</f>
        <v>0.00770127314814815</v>
      </c>
      <c r="J1184" s="12" t="n">
        <f aca="false">IF(INDEX(選手一覧!$G$5:$G$2736,$F1184)="","",INDEX(選手一覧!$G$5:$G$2736,$F1184))</f>
        <v>1068</v>
      </c>
    </row>
    <row r="1185" customFormat="false" ht="15" hidden="false" customHeight="false" outlineLevel="0" collapsed="false">
      <c r="A1185" s="12" t="n">
        <v>1182</v>
      </c>
      <c r="B1185" s="8" t="s">
        <v>636</v>
      </c>
      <c r="C1185" s="8" t="s">
        <v>70</v>
      </c>
      <c r="D1185" s="11" t="n">
        <v>0.00293391203703704</v>
      </c>
      <c r="E1185" s="39" t="n">
        <f aca="false">ROUND((D1185-$D$5)*86400,2)</f>
        <v>28.46</v>
      </c>
      <c r="F1185" s="12" t="n">
        <v>350</v>
      </c>
      <c r="G1185" s="11" t="n">
        <f aca="false">IF(INDEX(選手一覧!$D$5:$D$2736,$F1185)="","",INDEX(選手一覧!$D$5:$D$2736,$F1185))</f>
        <v>0.0105115740740741</v>
      </c>
      <c r="H1185" s="12" t="n">
        <f aca="false">IF(INDEX(選手一覧!$E$5:$E$2736,$F1185)="","",INDEX(選手一覧!$E$5:$E$2736,$F1185))</f>
        <v>351</v>
      </c>
      <c r="I1185" s="11" t="n">
        <f aca="false">IF(INDEX(選手一覧!$F$5:$F$2736,$F1185)="","",INDEX(選手一覧!$F$5:$F$2736,$F1185))</f>
        <v>0.006559375</v>
      </c>
      <c r="J1185" s="12" t="n">
        <f aca="false">IF(INDEX(選手一覧!$G$5:$G$2736,$F1185)="","",INDEX(選手一覧!$G$5:$G$2736,$F1185))</f>
        <v>47</v>
      </c>
    </row>
    <row r="1186" customFormat="false" ht="15" hidden="false" customHeight="false" outlineLevel="0" collapsed="false">
      <c r="A1186" s="12" t="n">
        <v>1183</v>
      </c>
      <c r="B1186" s="8" t="s">
        <v>710</v>
      </c>
      <c r="C1186" s="8" t="s">
        <v>316</v>
      </c>
      <c r="D1186" s="11" t="n">
        <v>0.00293402777777778</v>
      </c>
      <c r="E1186" s="39" t="n">
        <f aca="false">ROUND((D1186-$D$5)*86400,2)</f>
        <v>28.47</v>
      </c>
      <c r="F1186" s="12" t="n">
        <v>397</v>
      </c>
      <c r="G1186" s="11" t="n">
        <f aca="false">IF(INDEX(選手一覧!$D$5:$D$2736,$F1186)="","",INDEX(選手一覧!$D$5:$D$2736,$F1186))</f>
        <v>0.0105496527777778</v>
      </c>
      <c r="H1186" s="12" t="n">
        <f aca="false">IF(INDEX(選手一覧!$E$5:$E$2736,$F1186)="","",INDEX(選手一覧!$E$5:$E$2736,$F1186))</f>
        <v>398</v>
      </c>
      <c r="I1186" s="11" t="n">
        <f aca="false">IF(INDEX(選手一覧!$F$5:$F$2736,$F1186)="","",INDEX(選手一覧!$F$5:$F$2736,$F1186))</f>
        <v>0.00659895833333333</v>
      </c>
      <c r="J1186" s="12" t="n">
        <f aca="false">IF(INDEX(選手一覧!$G$5:$G$2736,$F1186)="","",INDEX(選手一覧!$G$5:$G$2736,$F1186))</f>
        <v>68</v>
      </c>
    </row>
    <row r="1187" customFormat="false" ht="15" hidden="false" customHeight="false" outlineLevel="0" collapsed="false">
      <c r="A1187" s="12" t="n">
        <v>1184</v>
      </c>
      <c r="B1187" s="8" t="s">
        <v>3773</v>
      </c>
      <c r="C1187" s="8" t="s">
        <v>954</v>
      </c>
      <c r="D1187" s="11" t="n">
        <v>0.00293472222222222</v>
      </c>
      <c r="E1187" s="39" t="n">
        <f aca="false">ROUND((D1187-$D$5)*86400,2)</f>
        <v>28.53</v>
      </c>
      <c r="F1187" s="12" t="n">
        <v>2456</v>
      </c>
      <c r="G1187" s="11" t="str">
        <f aca="false">IF(INDEX(選手一覧!$D$5:$D$2736,$F1187)="","",INDEX(選手一覧!$D$5:$D$2736,$F1187))</f>
        <v/>
      </c>
      <c r="H1187" s="12" t="str">
        <f aca="false">IF(INDEX(選手一覧!$E$5:$E$2736,$F1187)="","",INDEX(選手一覧!$E$5:$E$2736,$F1187))</f>
        <v/>
      </c>
      <c r="I1187" s="11" t="str">
        <f aca="false">IF(INDEX(選手一覧!$F$5:$F$2736,$F1187)="","",INDEX(選手一覧!$F$5:$F$2736,$F1187))</f>
        <v/>
      </c>
      <c r="J1187" s="12" t="str">
        <f aca="false">IF(INDEX(選手一覧!$G$5:$G$2736,$F1187)="","",INDEX(選手一覧!$G$5:$G$2736,$F1187))</f>
        <v/>
      </c>
    </row>
    <row r="1188" customFormat="false" ht="15" hidden="false" customHeight="false" outlineLevel="0" collapsed="false">
      <c r="A1188" s="12" t="n">
        <v>1185</v>
      </c>
      <c r="B1188" s="8" t="s">
        <v>1017</v>
      </c>
      <c r="C1188" s="8" t="s">
        <v>233</v>
      </c>
      <c r="D1188" s="11" t="n">
        <v>0.00293472222222222</v>
      </c>
      <c r="E1188" s="39" t="n">
        <f aca="false">ROUND((D1188-$D$5)*86400,2)</f>
        <v>28.53</v>
      </c>
      <c r="F1188" s="12" t="n">
        <v>593</v>
      </c>
      <c r="G1188" s="11" t="n">
        <f aca="false">IF(INDEX(選手一覧!$D$5:$D$2736,$F1188)="","",INDEX(選手一覧!$D$5:$D$2736,$F1188))</f>
        <v>0.0107076388888889</v>
      </c>
      <c r="H1188" s="12" t="n">
        <f aca="false">IF(INDEX(選手一覧!$E$5:$E$2736,$F1188)="","",INDEX(選手一覧!$E$5:$E$2736,$F1188))</f>
        <v>594</v>
      </c>
      <c r="I1188" s="11" t="n">
        <f aca="false">IF(INDEX(選手一覧!$F$5:$F$2736,$F1188)="","",INDEX(選手一覧!$F$5:$F$2736,$F1188))</f>
        <v>0.00700706018518519</v>
      </c>
      <c r="J1188" s="12" t="n">
        <f aca="false">IF(INDEX(選手一覧!$G$5:$G$2736,$F1188)="","",INDEX(選手一覧!$G$5:$G$2736,$F1188))</f>
        <v>345</v>
      </c>
    </row>
    <row r="1189" customFormat="false" ht="15" hidden="false" customHeight="false" outlineLevel="0" collapsed="false">
      <c r="A1189" s="12" t="n">
        <v>1186</v>
      </c>
      <c r="B1189" s="8" t="s">
        <v>3776</v>
      </c>
      <c r="C1189" s="8" t="s">
        <v>562</v>
      </c>
      <c r="D1189" s="11" t="n">
        <v>0.00293483796296296</v>
      </c>
      <c r="E1189" s="39" t="n">
        <f aca="false">ROUND((D1189-$D$5)*86400,2)</f>
        <v>28.54</v>
      </c>
      <c r="F1189" s="12" t="n">
        <v>2459</v>
      </c>
      <c r="G1189" s="11" t="str">
        <f aca="false">IF(INDEX(選手一覧!$D$5:$D$2736,$F1189)="","",INDEX(選手一覧!$D$5:$D$2736,$F1189))</f>
        <v/>
      </c>
      <c r="H1189" s="12" t="str">
        <f aca="false">IF(INDEX(選手一覧!$E$5:$E$2736,$F1189)="","",INDEX(選手一覧!$E$5:$E$2736,$F1189))</f>
        <v/>
      </c>
      <c r="I1189" s="11" t="str">
        <f aca="false">IF(INDEX(選手一覧!$F$5:$F$2736,$F1189)="","",INDEX(選手一覧!$F$5:$F$2736,$F1189))</f>
        <v/>
      </c>
      <c r="J1189" s="12" t="str">
        <f aca="false">IF(INDEX(選手一覧!$G$5:$G$2736,$F1189)="","",INDEX(選手一覧!$G$5:$G$2736,$F1189))</f>
        <v/>
      </c>
    </row>
    <row r="1190" customFormat="false" ht="15" hidden="false" customHeight="false" outlineLevel="0" collapsed="false">
      <c r="A1190" s="12" t="n">
        <v>1187</v>
      </c>
      <c r="B1190" s="8" t="s">
        <v>3779</v>
      </c>
      <c r="C1190" s="8" t="s">
        <v>3780</v>
      </c>
      <c r="D1190" s="11" t="n">
        <v>0.0029349537037037</v>
      </c>
      <c r="E1190" s="39" t="n">
        <f aca="false">ROUND((D1190-$D$5)*86400,2)</f>
        <v>28.55</v>
      </c>
      <c r="F1190" s="12" t="n">
        <v>2461</v>
      </c>
      <c r="G1190" s="11" t="str">
        <f aca="false">IF(INDEX(選手一覧!$D$5:$D$2736,$F1190)="","",INDEX(選手一覧!$D$5:$D$2736,$F1190))</f>
        <v/>
      </c>
      <c r="H1190" s="12" t="str">
        <f aca="false">IF(INDEX(選手一覧!$E$5:$E$2736,$F1190)="","",INDEX(選手一覧!$E$5:$E$2736,$F1190))</f>
        <v/>
      </c>
      <c r="I1190" s="11" t="str">
        <f aca="false">IF(INDEX(選手一覧!$F$5:$F$2736,$F1190)="","",INDEX(選手一覧!$F$5:$F$2736,$F1190))</f>
        <v/>
      </c>
      <c r="J1190" s="12" t="str">
        <f aca="false">IF(INDEX(選手一覧!$G$5:$G$2736,$F1190)="","",INDEX(選手一覧!$G$5:$G$2736,$F1190))</f>
        <v/>
      </c>
    </row>
    <row r="1191" customFormat="false" ht="15" hidden="false" customHeight="false" outlineLevel="0" collapsed="false">
      <c r="A1191" s="12" t="n">
        <v>1188</v>
      </c>
      <c r="B1191" s="8" t="s">
        <v>3783</v>
      </c>
      <c r="C1191" s="8" t="s">
        <v>3784</v>
      </c>
      <c r="D1191" s="11" t="n">
        <v>0.00293564814814815</v>
      </c>
      <c r="E1191" s="39" t="n">
        <f aca="false">ROUND((D1191-$D$5)*86400,2)</f>
        <v>28.61</v>
      </c>
      <c r="F1191" s="12" t="n">
        <v>2463</v>
      </c>
      <c r="G1191" s="11" t="str">
        <f aca="false">IF(INDEX(選手一覧!$D$5:$D$2736,$F1191)="","",INDEX(選手一覧!$D$5:$D$2736,$F1191))</f>
        <v/>
      </c>
      <c r="H1191" s="12" t="str">
        <f aca="false">IF(INDEX(選手一覧!$E$5:$E$2736,$F1191)="","",INDEX(選手一覧!$E$5:$E$2736,$F1191))</f>
        <v/>
      </c>
      <c r="I1191" s="11" t="str">
        <f aca="false">IF(INDEX(選手一覧!$F$5:$F$2736,$F1191)="","",INDEX(選手一覧!$F$5:$F$2736,$F1191))</f>
        <v/>
      </c>
      <c r="J1191" s="12" t="str">
        <f aca="false">IF(INDEX(選手一覧!$G$5:$G$2736,$F1191)="","",INDEX(選手一覧!$G$5:$G$2736,$F1191))</f>
        <v/>
      </c>
    </row>
    <row r="1192" customFormat="false" ht="15" hidden="false" customHeight="false" outlineLevel="0" collapsed="false">
      <c r="A1192" s="12" t="n">
        <v>1189</v>
      </c>
      <c r="B1192" s="8" t="s">
        <v>3786</v>
      </c>
      <c r="C1192" s="8" t="s">
        <v>2908</v>
      </c>
      <c r="D1192" s="11" t="n">
        <v>0.00293611111111111</v>
      </c>
      <c r="E1192" s="39" t="n">
        <f aca="false">ROUND((D1192-$D$5)*86400,2)</f>
        <v>28.65</v>
      </c>
      <c r="F1192" s="12" t="n">
        <v>2465</v>
      </c>
      <c r="G1192" s="11" t="str">
        <f aca="false">IF(INDEX(選手一覧!$D$5:$D$2736,$F1192)="","",INDEX(選手一覧!$D$5:$D$2736,$F1192))</f>
        <v/>
      </c>
      <c r="H1192" s="12" t="str">
        <f aca="false">IF(INDEX(選手一覧!$E$5:$E$2736,$F1192)="","",INDEX(選手一覧!$E$5:$E$2736,$F1192))</f>
        <v/>
      </c>
      <c r="I1192" s="11" t="str">
        <f aca="false">IF(INDEX(選手一覧!$F$5:$F$2736,$F1192)="","",INDEX(選手一覧!$F$5:$F$2736,$F1192))</f>
        <v/>
      </c>
      <c r="J1192" s="12" t="str">
        <f aca="false">IF(INDEX(選手一覧!$G$5:$G$2736,$F1192)="","",INDEX(選手一覧!$G$5:$G$2736,$F1192))</f>
        <v/>
      </c>
    </row>
    <row r="1193" customFormat="false" ht="15" hidden="false" customHeight="false" outlineLevel="0" collapsed="false">
      <c r="A1193" s="12" t="n">
        <v>1190</v>
      </c>
      <c r="B1193" s="8" t="s">
        <v>3788</v>
      </c>
      <c r="C1193" s="8" t="s">
        <v>3789</v>
      </c>
      <c r="D1193" s="11" t="n">
        <v>0.00293634259259259</v>
      </c>
      <c r="E1193" s="39" t="n">
        <f aca="false">ROUND((D1193-$D$5)*86400,2)</f>
        <v>28.67</v>
      </c>
      <c r="F1193" s="12" t="n">
        <v>2467</v>
      </c>
      <c r="G1193" s="11" t="str">
        <f aca="false">IF(INDEX(選手一覧!$D$5:$D$2736,$F1193)="","",INDEX(選手一覧!$D$5:$D$2736,$F1193))</f>
        <v/>
      </c>
      <c r="H1193" s="12" t="str">
        <f aca="false">IF(INDEX(選手一覧!$E$5:$E$2736,$F1193)="","",INDEX(選手一覧!$E$5:$E$2736,$F1193))</f>
        <v/>
      </c>
      <c r="I1193" s="11" t="str">
        <f aca="false">IF(INDEX(選手一覧!$F$5:$F$2736,$F1193)="","",INDEX(選手一覧!$F$5:$F$2736,$F1193))</f>
        <v/>
      </c>
      <c r="J1193" s="12" t="str">
        <f aca="false">IF(INDEX(選手一覧!$G$5:$G$2736,$F1193)="","",INDEX(選手一覧!$G$5:$G$2736,$F1193))</f>
        <v/>
      </c>
    </row>
    <row r="1194" customFormat="false" ht="15" hidden="false" customHeight="false" outlineLevel="0" collapsed="false">
      <c r="A1194" s="12" t="n">
        <v>1191</v>
      </c>
      <c r="B1194" s="8" t="s">
        <v>3791</v>
      </c>
      <c r="C1194" s="8" t="s">
        <v>866</v>
      </c>
      <c r="D1194" s="11" t="n">
        <v>0.00293680555555556</v>
      </c>
      <c r="E1194" s="39" t="n">
        <f aca="false">ROUND((D1194-$D$5)*86400,2)</f>
        <v>28.71</v>
      </c>
      <c r="F1194" s="12" t="n">
        <v>2469</v>
      </c>
      <c r="G1194" s="11" t="str">
        <f aca="false">IF(INDEX(選手一覧!$D$5:$D$2736,$F1194)="","",INDEX(選手一覧!$D$5:$D$2736,$F1194))</f>
        <v/>
      </c>
      <c r="H1194" s="12" t="str">
        <f aca="false">IF(INDEX(選手一覧!$E$5:$E$2736,$F1194)="","",INDEX(選手一覧!$E$5:$E$2736,$F1194))</f>
        <v/>
      </c>
      <c r="I1194" s="11" t="str">
        <f aca="false">IF(INDEX(選手一覧!$F$5:$F$2736,$F1194)="","",INDEX(選手一覧!$F$5:$F$2736,$F1194))</f>
        <v/>
      </c>
      <c r="J1194" s="12" t="str">
        <f aca="false">IF(INDEX(選手一覧!$G$5:$G$2736,$F1194)="","",INDEX(選手一覧!$G$5:$G$2736,$F1194))</f>
        <v/>
      </c>
    </row>
    <row r="1195" customFormat="false" ht="15" hidden="false" customHeight="false" outlineLevel="0" collapsed="false">
      <c r="A1195" s="12" t="n">
        <v>1192</v>
      </c>
      <c r="B1195" s="8" t="s">
        <v>3794</v>
      </c>
      <c r="C1195" s="8" t="s">
        <v>120</v>
      </c>
      <c r="D1195" s="11" t="n">
        <v>0.00293680555555556</v>
      </c>
      <c r="E1195" s="39" t="n">
        <f aca="false">ROUND((D1195-$D$5)*86400,2)</f>
        <v>28.71</v>
      </c>
      <c r="F1195" s="12" t="n">
        <v>2471</v>
      </c>
      <c r="G1195" s="11" t="str">
        <f aca="false">IF(INDEX(選手一覧!$D$5:$D$2736,$F1195)="","",INDEX(選手一覧!$D$5:$D$2736,$F1195))</f>
        <v/>
      </c>
      <c r="H1195" s="12" t="str">
        <f aca="false">IF(INDEX(選手一覧!$E$5:$E$2736,$F1195)="","",INDEX(選手一覧!$E$5:$E$2736,$F1195))</f>
        <v/>
      </c>
      <c r="I1195" s="11" t="str">
        <f aca="false">IF(INDEX(選手一覧!$F$5:$F$2736,$F1195)="","",INDEX(選手一覧!$F$5:$F$2736,$F1195))</f>
        <v/>
      </c>
      <c r="J1195" s="12" t="str">
        <f aca="false">IF(INDEX(選手一覧!$G$5:$G$2736,$F1195)="","",INDEX(選手一覧!$G$5:$G$2736,$F1195))</f>
        <v/>
      </c>
    </row>
    <row r="1196" customFormat="false" ht="15" hidden="false" customHeight="false" outlineLevel="0" collapsed="false">
      <c r="A1196" s="12" t="n">
        <v>1193</v>
      </c>
      <c r="B1196" s="8" t="s">
        <v>3797</v>
      </c>
      <c r="C1196" s="8" t="s">
        <v>233</v>
      </c>
      <c r="D1196" s="11" t="n">
        <v>0.00293680555555556</v>
      </c>
      <c r="E1196" s="39" t="n">
        <f aca="false">ROUND((D1196-$D$5)*86400,2)</f>
        <v>28.71</v>
      </c>
      <c r="F1196" s="12" t="n">
        <v>2473</v>
      </c>
      <c r="G1196" s="11" t="str">
        <f aca="false">IF(INDEX(選手一覧!$D$5:$D$2736,$F1196)="","",INDEX(選手一覧!$D$5:$D$2736,$F1196))</f>
        <v/>
      </c>
      <c r="H1196" s="12" t="str">
        <f aca="false">IF(INDEX(選手一覧!$E$5:$E$2736,$F1196)="","",INDEX(選手一覧!$E$5:$E$2736,$F1196))</f>
        <v/>
      </c>
      <c r="I1196" s="11" t="str">
        <f aca="false">IF(INDEX(選手一覧!$F$5:$F$2736,$F1196)="","",INDEX(選手一覧!$F$5:$F$2736,$F1196))</f>
        <v/>
      </c>
      <c r="J1196" s="12" t="str">
        <f aca="false">IF(INDEX(選手一覧!$G$5:$G$2736,$F1196)="","",INDEX(選手一覧!$G$5:$G$2736,$F1196))</f>
        <v/>
      </c>
    </row>
    <row r="1197" customFormat="false" ht="15" hidden="false" customHeight="false" outlineLevel="0" collapsed="false">
      <c r="A1197" s="12" t="n">
        <v>1194</v>
      </c>
      <c r="B1197" s="8" t="s">
        <v>3799</v>
      </c>
      <c r="C1197" s="8" t="s">
        <v>3800</v>
      </c>
      <c r="D1197" s="11" t="n">
        <v>0.00293715277777778</v>
      </c>
      <c r="E1197" s="39" t="n">
        <f aca="false">ROUND((D1197-$D$5)*86400,2)</f>
        <v>28.74</v>
      </c>
      <c r="F1197" s="12" t="n">
        <v>2475</v>
      </c>
      <c r="G1197" s="11" t="str">
        <f aca="false">IF(INDEX(選手一覧!$D$5:$D$2736,$F1197)="","",INDEX(選手一覧!$D$5:$D$2736,$F1197))</f>
        <v/>
      </c>
      <c r="H1197" s="12" t="str">
        <f aca="false">IF(INDEX(選手一覧!$E$5:$E$2736,$F1197)="","",INDEX(選手一覧!$E$5:$E$2736,$F1197))</f>
        <v/>
      </c>
      <c r="I1197" s="11" t="str">
        <f aca="false">IF(INDEX(選手一覧!$F$5:$F$2736,$F1197)="","",INDEX(選手一覧!$F$5:$F$2736,$F1197))</f>
        <v/>
      </c>
      <c r="J1197" s="12" t="str">
        <f aca="false">IF(INDEX(選手一覧!$G$5:$G$2736,$F1197)="","",INDEX(選手一覧!$G$5:$G$2736,$F1197))</f>
        <v/>
      </c>
    </row>
    <row r="1198" customFormat="false" ht="15" hidden="false" customHeight="false" outlineLevel="0" collapsed="false">
      <c r="A1198" s="12" t="n">
        <v>1195</v>
      </c>
      <c r="B1198" s="8" t="s">
        <v>1703</v>
      </c>
      <c r="C1198" s="8" t="s">
        <v>839</v>
      </c>
      <c r="D1198" s="11" t="n">
        <v>0.00293715277777778</v>
      </c>
      <c r="E1198" s="39" t="n">
        <f aca="false">ROUND((D1198-$D$5)*86400,2)</f>
        <v>28.74</v>
      </c>
      <c r="F1198" s="12" t="n">
        <v>1055</v>
      </c>
      <c r="G1198" s="11" t="n">
        <f aca="false">IF(INDEX(選手一覧!$D$5:$D$2736,$F1198)="","",INDEX(選手一覧!$D$5:$D$2736,$F1198))</f>
        <v>0.0109800925925926</v>
      </c>
      <c r="H1198" s="12" t="n">
        <f aca="false">IF(INDEX(選手一覧!$E$5:$E$2736,$F1198)="","",INDEX(選手一覧!$E$5:$E$2736,$F1198))</f>
        <v>1056</v>
      </c>
      <c r="I1198" s="11" t="str">
        <f aca="false">IF(INDEX(選手一覧!$F$5:$F$2736,$F1198)="","",INDEX(選手一覧!$F$5:$F$2736,$F1198))</f>
        <v/>
      </c>
      <c r="J1198" s="12" t="str">
        <f aca="false">IF(INDEX(選手一覧!$G$5:$G$2736,$F1198)="","",INDEX(選手一覧!$G$5:$G$2736,$F1198))</f>
        <v/>
      </c>
    </row>
    <row r="1199" customFormat="false" ht="15" hidden="false" customHeight="false" outlineLevel="0" collapsed="false">
      <c r="A1199" s="12" t="n">
        <v>1196</v>
      </c>
      <c r="B1199" s="8" t="s">
        <v>3803</v>
      </c>
      <c r="C1199" s="8" t="s">
        <v>3804</v>
      </c>
      <c r="D1199" s="11" t="n">
        <v>0.0029375</v>
      </c>
      <c r="E1199" s="39" t="n">
        <f aca="false">ROUND((D1199-$D$5)*86400,2)</f>
        <v>28.77</v>
      </c>
      <c r="F1199" s="12" t="n">
        <v>2477</v>
      </c>
      <c r="G1199" s="11" t="str">
        <f aca="false">IF(INDEX(選手一覧!$D$5:$D$2736,$F1199)="","",INDEX(選手一覧!$D$5:$D$2736,$F1199))</f>
        <v/>
      </c>
      <c r="H1199" s="12" t="str">
        <f aca="false">IF(INDEX(選手一覧!$E$5:$E$2736,$F1199)="","",INDEX(選手一覧!$E$5:$E$2736,$F1199))</f>
        <v/>
      </c>
      <c r="I1199" s="11" t="str">
        <f aca="false">IF(INDEX(選手一覧!$F$5:$F$2736,$F1199)="","",INDEX(選手一覧!$F$5:$F$2736,$F1199))</f>
        <v/>
      </c>
      <c r="J1199" s="12" t="str">
        <f aca="false">IF(INDEX(選手一覧!$G$5:$G$2736,$F1199)="","",INDEX(選手一覧!$G$5:$G$2736,$F1199))</f>
        <v/>
      </c>
    </row>
    <row r="1200" customFormat="false" ht="15" hidden="false" customHeight="false" outlineLevel="0" collapsed="false">
      <c r="A1200" s="21" t="n">
        <v>1197</v>
      </c>
      <c r="B1200" s="17" t="s">
        <v>63</v>
      </c>
      <c r="C1200" s="17" t="s">
        <v>64</v>
      </c>
      <c r="D1200" s="20" t="n">
        <v>0.00293900462962963</v>
      </c>
      <c r="E1200" s="40" t="n">
        <f aca="false">ROUND((D1200-$D$5)*86400,2)</f>
        <v>28.9</v>
      </c>
      <c r="F1200" s="21" t="n">
        <v>21</v>
      </c>
      <c r="G1200" s="20" t="n">
        <f aca="false">IF(INDEX(選手一覧!$D$5:$D$2736,$F1200)="","",INDEX(選手一覧!$D$5:$D$2736,$F1200))</f>
        <v>0.0100024305555556</v>
      </c>
      <c r="H1200" s="21" t="n">
        <f aca="false">IF(INDEX(選手一覧!$E$5:$E$2736,$F1200)="","",INDEX(選手一覧!$E$5:$E$2736,$F1200))</f>
        <v>22</v>
      </c>
      <c r="I1200" s="20" t="str">
        <f aca="false">IF(INDEX(選手一覧!$F$5:$F$2736,$F1200)="","",INDEX(選手一覧!$F$5:$F$2736,$F1200))</f>
        <v/>
      </c>
      <c r="J1200" s="21" t="str">
        <f aca="false">IF(INDEX(選手一覧!$G$5:$G$2736,$F1200)="","",INDEX(選手一覧!$G$5:$G$2736,$F1200))</f>
        <v/>
      </c>
    </row>
    <row r="1201" customFormat="false" ht="15" hidden="false" customHeight="false" outlineLevel="0" collapsed="false">
      <c r="A1201" s="12" t="n">
        <v>1198</v>
      </c>
      <c r="B1201" s="8" t="s">
        <v>1806</v>
      </c>
      <c r="C1201" s="8" t="s">
        <v>2260</v>
      </c>
      <c r="D1201" s="11" t="n">
        <v>0.00293923611111111</v>
      </c>
      <c r="E1201" s="39" t="n">
        <f aca="false">ROUND((D1201-$D$5)*86400,2)</f>
        <v>28.92</v>
      </c>
      <c r="F1201" s="12" t="n">
        <v>2480</v>
      </c>
      <c r="G1201" s="11" t="str">
        <f aca="false">IF(INDEX(選手一覧!$D$5:$D$2736,$F1201)="","",INDEX(選手一覧!$D$5:$D$2736,$F1201))</f>
        <v/>
      </c>
      <c r="H1201" s="12" t="str">
        <f aca="false">IF(INDEX(選手一覧!$E$5:$E$2736,$F1201)="","",INDEX(選手一覧!$E$5:$E$2736,$F1201))</f>
        <v/>
      </c>
      <c r="I1201" s="11" t="str">
        <f aca="false">IF(INDEX(選手一覧!$F$5:$F$2736,$F1201)="","",INDEX(選手一覧!$F$5:$F$2736,$F1201))</f>
        <v/>
      </c>
      <c r="J1201" s="12" t="str">
        <f aca="false">IF(INDEX(選手一覧!$G$5:$G$2736,$F1201)="","",INDEX(選手一覧!$G$5:$G$2736,$F1201))</f>
        <v/>
      </c>
    </row>
    <row r="1202" customFormat="false" ht="15" hidden="false" customHeight="false" outlineLevel="0" collapsed="false">
      <c r="A1202" s="12" t="n">
        <v>1199</v>
      </c>
      <c r="B1202" s="8" t="s">
        <v>1556</v>
      </c>
      <c r="C1202" s="8" t="s">
        <v>592</v>
      </c>
      <c r="D1202" s="11" t="n">
        <v>0.00293958333333333</v>
      </c>
      <c r="E1202" s="39" t="n">
        <f aca="false">ROUND((D1202-$D$5)*86400,2)</f>
        <v>28.95</v>
      </c>
      <c r="F1202" s="12" t="n">
        <v>956</v>
      </c>
      <c r="G1202" s="11" t="n">
        <f aca="false">IF(INDEX(選手一覧!$D$5:$D$2736,$F1202)="","",INDEX(選手一覧!$D$5:$D$2736,$F1202))</f>
        <v>0.0109230324074074</v>
      </c>
      <c r="H1202" s="12" t="n">
        <f aca="false">IF(INDEX(選手一覧!$E$5:$E$2736,$F1202)="","",INDEX(選手一覧!$E$5:$E$2736,$F1202))</f>
        <v>957</v>
      </c>
      <c r="I1202" s="11" t="str">
        <f aca="false">IF(INDEX(選手一覧!$F$5:$F$2736,$F1202)="","",INDEX(選手一覧!$F$5:$F$2736,$F1202))</f>
        <v/>
      </c>
      <c r="J1202" s="12" t="str">
        <f aca="false">IF(INDEX(選手一覧!$G$5:$G$2736,$F1202)="","",INDEX(選手一覧!$G$5:$G$2736,$F1202))</f>
        <v/>
      </c>
    </row>
    <row r="1203" customFormat="false" ht="15" hidden="false" customHeight="false" outlineLevel="0" collapsed="false">
      <c r="A1203" s="12" t="n">
        <v>1200</v>
      </c>
      <c r="B1203" s="8" t="s">
        <v>2318</v>
      </c>
      <c r="C1203" s="8" t="s">
        <v>2319</v>
      </c>
      <c r="D1203" s="11" t="n">
        <v>0.0029400462962963</v>
      </c>
      <c r="E1203" s="39" t="n">
        <f aca="false">ROUND((D1203-$D$5)*86400,2)</f>
        <v>28.99</v>
      </c>
      <c r="F1203" s="12" t="n">
        <v>1478</v>
      </c>
      <c r="G1203" s="11" t="str">
        <f aca="false">IF(INDEX(選手一覧!$D$5:$D$2736,$F1203)="","",INDEX(選手一覧!$D$5:$D$2736,$F1203))</f>
        <v/>
      </c>
      <c r="H1203" s="12" t="str">
        <f aca="false">IF(INDEX(選手一覧!$E$5:$E$2736,$F1203)="","",INDEX(選手一覧!$E$5:$E$2736,$F1203))</f>
        <v/>
      </c>
      <c r="I1203" s="11" t="n">
        <f aca="false">IF(INDEX(選手一覧!$F$5:$F$2736,$F1203)="","",INDEX(選手一覧!$F$5:$F$2736,$F1203))</f>
        <v>0.00704143518518519</v>
      </c>
      <c r="J1203" s="12" t="n">
        <f aca="false">IF(INDEX(選手一覧!$G$5:$G$2736,$F1203)="","",INDEX(選手一覧!$G$5:$G$2736,$F1203))</f>
        <v>379</v>
      </c>
    </row>
    <row r="1204" customFormat="false" ht="15" hidden="false" customHeight="false" outlineLevel="0" collapsed="false">
      <c r="A1204" s="12" t="n">
        <v>1201</v>
      </c>
      <c r="B1204" s="8" t="s">
        <v>630</v>
      </c>
      <c r="C1204" s="8" t="s">
        <v>594</v>
      </c>
      <c r="D1204" s="11" t="n">
        <v>0.002940625</v>
      </c>
      <c r="E1204" s="39" t="n">
        <f aca="false">ROUND((D1204-$D$5)*86400,2)</f>
        <v>29.04</v>
      </c>
      <c r="F1204" s="12" t="n">
        <v>344</v>
      </c>
      <c r="G1204" s="11" t="n">
        <f aca="false">IF(INDEX(選手一覧!$D$5:$D$2736,$F1204)="","",INDEX(選手一覧!$D$5:$D$2736,$F1204))</f>
        <v>0.0105046296296296</v>
      </c>
      <c r="H1204" s="12" t="n">
        <f aca="false">IF(INDEX(選手一覧!$E$5:$E$2736,$F1204)="","",INDEX(選手一覧!$E$5:$E$2736,$F1204))</f>
        <v>345</v>
      </c>
      <c r="I1204" s="11" t="str">
        <f aca="false">IF(INDEX(選手一覧!$F$5:$F$2736,$F1204)="","",INDEX(選手一覧!$F$5:$F$2736,$F1204))</f>
        <v/>
      </c>
      <c r="J1204" s="12" t="str">
        <f aca="false">IF(INDEX(選手一覧!$G$5:$G$2736,$F1204)="","",INDEX(選手一覧!$G$5:$G$2736,$F1204))</f>
        <v/>
      </c>
    </row>
    <row r="1205" customFormat="false" ht="15" hidden="false" customHeight="false" outlineLevel="0" collapsed="false">
      <c r="A1205" s="12" t="n">
        <v>1202</v>
      </c>
      <c r="B1205" s="8" t="s">
        <v>3811</v>
      </c>
      <c r="C1205" s="8" t="s">
        <v>437</v>
      </c>
      <c r="D1205" s="11" t="n">
        <v>0.00294097222222222</v>
      </c>
      <c r="E1205" s="39" t="n">
        <f aca="false">ROUND((D1205-$D$5)*86400,2)</f>
        <v>29.07</v>
      </c>
      <c r="F1205" s="12" t="n">
        <v>2484</v>
      </c>
      <c r="G1205" s="11" t="str">
        <f aca="false">IF(INDEX(選手一覧!$D$5:$D$2736,$F1205)="","",INDEX(選手一覧!$D$5:$D$2736,$F1205))</f>
        <v/>
      </c>
      <c r="H1205" s="12" t="str">
        <f aca="false">IF(INDEX(選手一覧!$E$5:$E$2736,$F1205)="","",INDEX(選手一覧!$E$5:$E$2736,$F1205))</f>
        <v/>
      </c>
      <c r="I1205" s="11" t="str">
        <f aca="false">IF(INDEX(選手一覧!$F$5:$F$2736,$F1205)="","",INDEX(選手一覧!$F$5:$F$2736,$F1205))</f>
        <v/>
      </c>
      <c r="J1205" s="12" t="str">
        <f aca="false">IF(INDEX(選手一覧!$G$5:$G$2736,$F1205)="","",INDEX(選手一覧!$G$5:$G$2736,$F1205))</f>
        <v/>
      </c>
    </row>
    <row r="1206" customFormat="false" ht="15" hidden="false" customHeight="false" outlineLevel="0" collapsed="false">
      <c r="A1206" s="12" t="n">
        <v>1203</v>
      </c>
      <c r="B1206" s="8" t="s">
        <v>1067</v>
      </c>
      <c r="C1206" s="8" t="s">
        <v>932</v>
      </c>
      <c r="D1206" s="11" t="n">
        <v>0.0029412037037037</v>
      </c>
      <c r="E1206" s="39" t="n">
        <f aca="false">ROUND((D1206-$D$5)*86400,2)</f>
        <v>29.09</v>
      </c>
      <c r="F1206" s="12" t="n">
        <v>630</v>
      </c>
      <c r="G1206" s="11" t="n">
        <f aca="false">IF(INDEX(選手一覧!$D$5:$D$2736,$F1206)="","",INDEX(選手一覧!$D$5:$D$2736,$F1206))</f>
        <v>0.0107291666666667</v>
      </c>
      <c r="H1206" s="12" t="n">
        <f aca="false">IF(INDEX(選手一覧!$E$5:$E$2736,$F1206)="","",INDEX(選手一覧!$E$5:$E$2736,$F1206))</f>
        <v>631</v>
      </c>
      <c r="I1206" s="11" t="str">
        <f aca="false">IF(INDEX(選手一覧!$F$5:$F$2736,$F1206)="","",INDEX(選手一覧!$F$5:$F$2736,$F1206))</f>
        <v/>
      </c>
      <c r="J1206" s="12" t="str">
        <f aca="false">IF(INDEX(選手一覧!$G$5:$G$2736,$F1206)="","",INDEX(選手一覧!$G$5:$G$2736,$F1206))</f>
        <v/>
      </c>
    </row>
    <row r="1207" customFormat="false" ht="15" hidden="false" customHeight="false" outlineLevel="0" collapsed="false">
      <c r="A1207" s="12" t="n">
        <v>1204</v>
      </c>
      <c r="B1207" s="8" t="s">
        <v>3327</v>
      </c>
      <c r="C1207" s="8" t="s">
        <v>427</v>
      </c>
      <c r="D1207" s="11" t="n">
        <v>0.00294131944444444</v>
      </c>
      <c r="E1207" s="39" t="n">
        <f aca="false">ROUND((D1207-$D$5)*86400,2)</f>
        <v>29.1</v>
      </c>
      <c r="F1207" s="12" t="n">
        <v>2151</v>
      </c>
      <c r="G1207" s="11" t="str">
        <f aca="false">IF(INDEX(選手一覧!$D$5:$D$2736,$F1207)="","",INDEX(選手一覧!$D$5:$D$2736,$F1207))</f>
        <v/>
      </c>
      <c r="H1207" s="12" t="str">
        <f aca="false">IF(INDEX(選手一覧!$E$5:$E$2736,$F1207)="","",INDEX(選手一覧!$E$5:$E$2736,$F1207))</f>
        <v/>
      </c>
      <c r="I1207" s="11" t="n">
        <f aca="false">IF(INDEX(選手一覧!$F$5:$F$2736,$F1207)="","",INDEX(選手一覧!$F$5:$F$2736,$F1207))</f>
        <v>0.00756261574074074</v>
      </c>
      <c r="J1207" s="12" t="n">
        <f aca="false">IF(INDEX(選手一覧!$G$5:$G$2736,$F1207)="","",INDEX(選手一覧!$G$5:$G$2736,$F1207))</f>
        <v>965</v>
      </c>
    </row>
    <row r="1208" customFormat="false" ht="15" hidden="false" customHeight="false" outlineLevel="0" collapsed="false">
      <c r="A1208" s="12" t="n">
        <v>1205</v>
      </c>
      <c r="B1208" s="8" t="s">
        <v>3817</v>
      </c>
      <c r="C1208" s="8" t="s">
        <v>3818</v>
      </c>
      <c r="D1208" s="11" t="n">
        <v>0.00294155092592593</v>
      </c>
      <c r="E1208" s="39" t="n">
        <f aca="false">ROUND((D1208-$D$5)*86400,2)</f>
        <v>29.12</v>
      </c>
      <c r="F1208" s="12" t="n">
        <v>2488</v>
      </c>
      <c r="G1208" s="11" t="str">
        <f aca="false">IF(INDEX(選手一覧!$D$5:$D$2736,$F1208)="","",INDEX(選手一覧!$D$5:$D$2736,$F1208))</f>
        <v/>
      </c>
      <c r="H1208" s="12" t="str">
        <f aca="false">IF(INDEX(選手一覧!$E$5:$E$2736,$F1208)="","",INDEX(選手一覧!$E$5:$E$2736,$F1208))</f>
        <v/>
      </c>
      <c r="I1208" s="11" t="str">
        <f aca="false">IF(INDEX(選手一覧!$F$5:$F$2736,$F1208)="","",INDEX(選手一覧!$F$5:$F$2736,$F1208))</f>
        <v/>
      </c>
      <c r="J1208" s="12" t="str">
        <f aca="false">IF(INDEX(選手一覧!$G$5:$G$2736,$F1208)="","",INDEX(選手一覧!$G$5:$G$2736,$F1208))</f>
        <v/>
      </c>
    </row>
    <row r="1209" customFormat="false" ht="15" hidden="false" customHeight="false" outlineLevel="0" collapsed="false">
      <c r="A1209" s="12" t="n">
        <v>1206</v>
      </c>
      <c r="B1209" s="8" t="s">
        <v>1874</v>
      </c>
      <c r="C1209" s="8" t="s">
        <v>1875</v>
      </c>
      <c r="D1209" s="11" t="n">
        <v>0.00294166666666667</v>
      </c>
      <c r="E1209" s="39" t="n">
        <f aca="false">ROUND((D1209-$D$5)*86400,2)</f>
        <v>29.13</v>
      </c>
      <c r="F1209" s="12" t="n">
        <v>1170</v>
      </c>
      <c r="G1209" s="11" t="n">
        <f aca="false">IF(INDEX(選手一覧!$D$5:$D$2736,$F1209)="","",INDEX(選手一覧!$D$5:$D$2736,$F1209))</f>
        <v>0.0110373842592593</v>
      </c>
      <c r="H1209" s="12" t="n">
        <f aca="false">IF(INDEX(選手一覧!$E$5:$E$2736,$F1209)="","",INDEX(選手一覧!$E$5:$E$2736,$F1209))</f>
        <v>1171</v>
      </c>
      <c r="I1209" s="11" t="n">
        <f aca="false">IF(INDEX(選手一覧!$F$5:$F$2736,$F1209)="","",INDEX(選手一覧!$F$5:$F$2736,$F1209))</f>
        <v>0.00721666666666667</v>
      </c>
      <c r="J1209" s="12" t="n">
        <f aca="false">IF(INDEX(選手一覧!$G$5:$G$2736,$F1209)="","",INDEX(選手一覧!$G$5:$G$2736,$F1209))</f>
        <v>557</v>
      </c>
    </row>
    <row r="1210" customFormat="false" ht="15" hidden="false" customHeight="false" outlineLevel="0" collapsed="false">
      <c r="A1210" s="12" t="n">
        <v>1207</v>
      </c>
      <c r="B1210" s="8" t="s">
        <v>2437</v>
      </c>
      <c r="C1210" s="8" t="s">
        <v>2438</v>
      </c>
      <c r="D1210" s="11" t="n">
        <v>0.00294166666666667</v>
      </c>
      <c r="E1210" s="39" t="n">
        <f aca="false">ROUND((D1210-$D$5)*86400,2)</f>
        <v>29.13</v>
      </c>
      <c r="F1210" s="12" t="n">
        <v>1560</v>
      </c>
      <c r="G1210" s="11" t="str">
        <f aca="false">IF(INDEX(選手一覧!$D$5:$D$2736,$F1210)="","",INDEX(選手一覧!$D$5:$D$2736,$F1210))</f>
        <v/>
      </c>
      <c r="H1210" s="12" t="str">
        <f aca="false">IF(INDEX(選手一覧!$E$5:$E$2736,$F1210)="","",INDEX(選手一覧!$E$5:$E$2736,$F1210))</f>
        <v/>
      </c>
      <c r="I1210" s="11" t="n">
        <f aca="false">IF(INDEX(選手一覧!$F$5:$F$2736,$F1210)="","",INDEX(選手一覧!$F$5:$F$2736,$F1210))</f>
        <v>0.007125</v>
      </c>
      <c r="J1210" s="12" t="n">
        <f aca="false">IF(INDEX(選手一覧!$G$5:$G$2736,$F1210)="","",INDEX(選手一覧!$G$5:$G$2736,$F1210))</f>
        <v>469</v>
      </c>
    </row>
    <row r="1211" customFormat="false" ht="15" hidden="false" customHeight="false" outlineLevel="0" collapsed="false">
      <c r="A1211" s="12" t="n">
        <v>1208</v>
      </c>
      <c r="B1211" s="8" t="s">
        <v>3824</v>
      </c>
      <c r="C1211" s="8" t="s">
        <v>2733</v>
      </c>
      <c r="D1211" s="11" t="n">
        <v>0.00294189814814815</v>
      </c>
      <c r="E1211" s="39" t="n">
        <f aca="false">ROUND((D1211-$D$5)*86400,2)</f>
        <v>29.15</v>
      </c>
      <c r="F1211" s="12" t="n">
        <v>2492</v>
      </c>
      <c r="G1211" s="11" t="str">
        <f aca="false">IF(INDEX(選手一覧!$D$5:$D$2736,$F1211)="","",INDEX(選手一覧!$D$5:$D$2736,$F1211))</f>
        <v/>
      </c>
      <c r="H1211" s="12" t="str">
        <f aca="false">IF(INDEX(選手一覧!$E$5:$E$2736,$F1211)="","",INDEX(選手一覧!$E$5:$E$2736,$F1211))</f>
        <v/>
      </c>
      <c r="I1211" s="11" t="str">
        <f aca="false">IF(INDEX(選手一覧!$F$5:$F$2736,$F1211)="","",INDEX(選手一覧!$F$5:$F$2736,$F1211))</f>
        <v/>
      </c>
      <c r="J1211" s="12" t="str">
        <f aca="false">IF(INDEX(選手一覧!$G$5:$G$2736,$F1211)="","",INDEX(選手一覧!$G$5:$G$2736,$F1211))</f>
        <v/>
      </c>
    </row>
    <row r="1212" customFormat="false" ht="15" hidden="false" customHeight="false" outlineLevel="0" collapsed="false">
      <c r="A1212" s="12" t="n">
        <v>1209</v>
      </c>
      <c r="B1212" s="8" t="s">
        <v>3826</v>
      </c>
      <c r="C1212" s="8" t="s">
        <v>3660</v>
      </c>
      <c r="D1212" s="11" t="n">
        <v>0.00294247685185185</v>
      </c>
      <c r="E1212" s="39" t="n">
        <f aca="false">ROUND((D1212-$D$5)*86400,2)</f>
        <v>29.2</v>
      </c>
      <c r="F1212" s="12" t="n">
        <v>2494</v>
      </c>
      <c r="G1212" s="11" t="str">
        <f aca="false">IF(INDEX(選手一覧!$D$5:$D$2736,$F1212)="","",INDEX(選手一覧!$D$5:$D$2736,$F1212))</f>
        <v/>
      </c>
      <c r="H1212" s="12" t="str">
        <f aca="false">IF(INDEX(選手一覧!$E$5:$E$2736,$F1212)="","",INDEX(選手一覧!$E$5:$E$2736,$F1212))</f>
        <v/>
      </c>
      <c r="I1212" s="11" t="str">
        <f aca="false">IF(INDEX(選手一覧!$F$5:$F$2736,$F1212)="","",INDEX(選手一覧!$F$5:$F$2736,$F1212))</f>
        <v/>
      </c>
      <c r="J1212" s="12" t="str">
        <f aca="false">IF(INDEX(選手一覧!$G$5:$G$2736,$F1212)="","",INDEX(選手一覧!$G$5:$G$2736,$F1212))</f>
        <v/>
      </c>
    </row>
    <row r="1213" customFormat="false" ht="15" hidden="false" customHeight="false" outlineLevel="0" collapsed="false">
      <c r="A1213" s="12" t="n">
        <v>1210</v>
      </c>
      <c r="B1213" s="8" t="s">
        <v>2256</v>
      </c>
      <c r="C1213" s="8" t="s">
        <v>375</v>
      </c>
      <c r="D1213" s="11" t="n">
        <v>0.00294293981481482</v>
      </c>
      <c r="E1213" s="39" t="n">
        <f aca="false">ROUND((D1213-$D$5)*86400,2)</f>
        <v>29.24</v>
      </c>
      <c r="F1213" s="12" t="n">
        <v>1440</v>
      </c>
      <c r="G1213" s="11" t="str">
        <f aca="false">IF(INDEX(選手一覧!$D$5:$D$2736,$F1213)="","",INDEX(選手一覧!$D$5:$D$2736,$F1213))</f>
        <v/>
      </c>
      <c r="H1213" s="12" t="str">
        <f aca="false">IF(INDEX(選手一覧!$E$5:$E$2736,$F1213)="","",INDEX(選手一覧!$E$5:$E$2736,$F1213))</f>
        <v/>
      </c>
      <c r="I1213" s="11" t="n">
        <f aca="false">IF(INDEX(選手一覧!$F$5:$F$2736,$F1213)="","",INDEX(選手一覧!$F$5:$F$2736,$F1213))</f>
        <v>0.00699675925925926</v>
      </c>
      <c r="J1213" s="12" t="n">
        <f aca="false">IF(INDEX(選手一覧!$G$5:$G$2736,$F1213)="","",INDEX(選手一覧!$G$5:$G$2736,$F1213))</f>
        <v>332</v>
      </c>
    </row>
    <row r="1214" customFormat="false" ht="15" hidden="false" customHeight="false" outlineLevel="0" collapsed="false">
      <c r="A1214" s="12" t="n">
        <v>1211</v>
      </c>
      <c r="B1214" s="8" t="s">
        <v>3830</v>
      </c>
      <c r="C1214" s="8" t="s">
        <v>3429</v>
      </c>
      <c r="D1214" s="11" t="n">
        <v>0.00294293981481482</v>
      </c>
      <c r="E1214" s="39" t="n">
        <f aca="false">ROUND((D1214-$D$5)*86400,2)</f>
        <v>29.24</v>
      </c>
      <c r="F1214" s="12" t="n">
        <v>2497</v>
      </c>
      <c r="G1214" s="11" t="str">
        <f aca="false">IF(INDEX(選手一覧!$D$5:$D$2736,$F1214)="","",INDEX(選手一覧!$D$5:$D$2736,$F1214))</f>
        <v/>
      </c>
      <c r="H1214" s="12" t="str">
        <f aca="false">IF(INDEX(選手一覧!$E$5:$E$2736,$F1214)="","",INDEX(選手一覧!$E$5:$E$2736,$F1214))</f>
        <v/>
      </c>
      <c r="I1214" s="11" t="str">
        <f aca="false">IF(INDEX(選手一覧!$F$5:$F$2736,$F1214)="","",INDEX(選手一覧!$F$5:$F$2736,$F1214))</f>
        <v/>
      </c>
      <c r="J1214" s="12" t="str">
        <f aca="false">IF(INDEX(選手一覧!$G$5:$G$2736,$F1214)="","",INDEX(選手一覧!$G$5:$G$2736,$F1214))</f>
        <v/>
      </c>
    </row>
    <row r="1215" customFormat="false" ht="15" hidden="false" customHeight="false" outlineLevel="0" collapsed="false">
      <c r="A1215" s="12" t="n">
        <v>1212</v>
      </c>
      <c r="B1215" s="8" t="s">
        <v>3832</v>
      </c>
      <c r="C1215" s="8" t="s">
        <v>128</v>
      </c>
      <c r="D1215" s="11" t="n">
        <v>0.0029431712962963</v>
      </c>
      <c r="E1215" s="39" t="n">
        <f aca="false">ROUND((D1215-$D$5)*86400,2)</f>
        <v>29.26</v>
      </c>
      <c r="F1215" s="12" t="n">
        <v>2499</v>
      </c>
      <c r="G1215" s="11" t="str">
        <f aca="false">IF(INDEX(選手一覧!$D$5:$D$2736,$F1215)="","",INDEX(選手一覧!$D$5:$D$2736,$F1215))</f>
        <v/>
      </c>
      <c r="H1215" s="12" t="str">
        <f aca="false">IF(INDEX(選手一覧!$E$5:$E$2736,$F1215)="","",INDEX(選手一覧!$E$5:$E$2736,$F1215))</f>
        <v/>
      </c>
      <c r="I1215" s="11" t="str">
        <f aca="false">IF(INDEX(選手一覧!$F$5:$F$2736,$F1215)="","",INDEX(選手一覧!$F$5:$F$2736,$F1215))</f>
        <v/>
      </c>
      <c r="J1215" s="12" t="str">
        <f aca="false">IF(INDEX(選手一覧!$G$5:$G$2736,$F1215)="","",INDEX(選手一覧!$G$5:$G$2736,$F1215))</f>
        <v/>
      </c>
    </row>
    <row r="1216" customFormat="false" ht="15" hidden="false" customHeight="false" outlineLevel="0" collapsed="false">
      <c r="A1216" s="12" t="n">
        <v>1213</v>
      </c>
      <c r="B1216" s="8" t="s">
        <v>1655</v>
      </c>
      <c r="C1216" s="8" t="s">
        <v>1120</v>
      </c>
      <c r="D1216" s="11" t="n">
        <v>0.00294328703703704</v>
      </c>
      <c r="E1216" s="39" t="n">
        <f aca="false">ROUND((D1216-$D$5)*86400,2)</f>
        <v>29.27</v>
      </c>
      <c r="F1216" s="12" t="n">
        <v>1023</v>
      </c>
      <c r="G1216" s="11" t="n">
        <f aca="false">IF(INDEX(選手一覧!$D$5:$D$2736,$F1216)="","",INDEX(選手一覧!$D$5:$D$2736,$F1216))</f>
        <v>0.0109635416666667</v>
      </c>
      <c r="H1216" s="12" t="n">
        <f aca="false">IF(INDEX(選手一覧!$E$5:$E$2736,$F1216)="","",INDEX(選手一覧!$E$5:$E$2736,$F1216))</f>
        <v>1024</v>
      </c>
      <c r="I1216" s="11" t="n">
        <f aca="false">IF(INDEX(選手一覧!$F$5:$F$2736,$F1216)="","",INDEX(選手一覧!$F$5:$F$2736,$F1216))</f>
        <v>0.00733854166666667</v>
      </c>
      <c r="J1216" s="12" t="n">
        <f aca="false">IF(INDEX(選手一覧!$G$5:$G$2736,$F1216)="","",INDEX(選手一覧!$G$5:$G$2736,$F1216))</f>
        <v>692</v>
      </c>
    </row>
    <row r="1217" customFormat="false" ht="15" hidden="false" customHeight="false" outlineLevel="0" collapsed="false">
      <c r="A1217" s="12" t="n">
        <v>1214</v>
      </c>
      <c r="B1217" s="8" t="s">
        <v>485</v>
      </c>
      <c r="C1217" s="8" t="s">
        <v>70</v>
      </c>
      <c r="D1217" s="11" t="n">
        <v>0.00294351851851852</v>
      </c>
      <c r="E1217" s="39" t="n">
        <f aca="false">ROUND((D1217-$D$5)*86400,2)</f>
        <v>29.29</v>
      </c>
      <c r="F1217" s="12" t="n">
        <v>254</v>
      </c>
      <c r="G1217" s="11" t="n">
        <f aca="false">IF(INDEX(選手一覧!$D$5:$D$2736,$F1217)="","",INDEX(選手一覧!$D$5:$D$2736,$F1217))</f>
        <v>0.0103954861111111</v>
      </c>
      <c r="H1217" s="12" t="n">
        <f aca="false">IF(INDEX(選手一覧!$E$5:$E$2736,$F1217)="","",INDEX(選手一覧!$E$5:$E$2736,$F1217))</f>
        <v>255</v>
      </c>
      <c r="I1217" s="11" t="str">
        <f aca="false">IF(INDEX(選手一覧!$F$5:$F$2736,$F1217)="","",INDEX(選手一覧!$F$5:$F$2736,$F1217))</f>
        <v/>
      </c>
      <c r="J1217" s="12" t="str">
        <f aca="false">IF(INDEX(選手一覧!$G$5:$G$2736,$F1217)="","",INDEX(選手一覧!$G$5:$G$2736,$F1217))</f>
        <v/>
      </c>
    </row>
    <row r="1218" customFormat="false" ht="15" hidden="false" customHeight="false" outlineLevel="0" collapsed="false">
      <c r="A1218" s="12" t="n">
        <v>1215</v>
      </c>
      <c r="B1218" s="8" t="s">
        <v>3837</v>
      </c>
      <c r="C1218" s="8" t="s">
        <v>2884</v>
      </c>
      <c r="D1218" s="11" t="n">
        <v>0.00294375</v>
      </c>
      <c r="E1218" s="39" t="n">
        <f aca="false">ROUND((D1218-$D$5)*86400,2)</f>
        <v>29.31</v>
      </c>
      <c r="F1218" s="12" t="n">
        <v>2503</v>
      </c>
      <c r="G1218" s="11" t="str">
        <f aca="false">IF(INDEX(選手一覧!$D$5:$D$2736,$F1218)="","",INDEX(選手一覧!$D$5:$D$2736,$F1218))</f>
        <v/>
      </c>
      <c r="H1218" s="12" t="str">
        <f aca="false">IF(INDEX(選手一覧!$E$5:$E$2736,$F1218)="","",INDEX(選手一覧!$E$5:$E$2736,$F1218))</f>
        <v/>
      </c>
      <c r="I1218" s="11" t="str">
        <f aca="false">IF(INDEX(選手一覧!$F$5:$F$2736,$F1218)="","",INDEX(選手一覧!$F$5:$F$2736,$F1218))</f>
        <v/>
      </c>
      <c r="J1218" s="12" t="str">
        <f aca="false">IF(INDEX(選手一覧!$G$5:$G$2736,$F1218)="","",INDEX(選手一覧!$G$5:$G$2736,$F1218))</f>
        <v/>
      </c>
    </row>
    <row r="1219" customFormat="false" ht="15" hidden="false" customHeight="false" outlineLevel="0" collapsed="false">
      <c r="A1219" s="12" t="n">
        <v>1216</v>
      </c>
      <c r="B1219" s="8" t="s">
        <v>1604</v>
      </c>
      <c r="C1219" s="8" t="s">
        <v>1147</v>
      </c>
      <c r="D1219" s="11" t="n">
        <v>0.00294479166666667</v>
      </c>
      <c r="E1219" s="39" t="n">
        <f aca="false">ROUND((D1219-$D$5)*86400,2)</f>
        <v>29.4</v>
      </c>
      <c r="F1219" s="12" t="n">
        <v>988</v>
      </c>
      <c r="G1219" s="11" t="n">
        <f aca="false">IF(INDEX(選手一覧!$D$5:$D$2736,$F1219)="","",INDEX(選手一覧!$D$5:$D$2736,$F1219))</f>
        <v>0.0109439814814815</v>
      </c>
      <c r="H1219" s="12" t="n">
        <f aca="false">IF(INDEX(選手一覧!$E$5:$E$2736,$F1219)="","",INDEX(選手一覧!$E$5:$E$2736,$F1219))</f>
        <v>989</v>
      </c>
      <c r="I1219" s="11" t="str">
        <f aca="false">IF(INDEX(選手一覧!$F$5:$F$2736,$F1219)="","",INDEX(選手一覧!$F$5:$F$2736,$F1219))</f>
        <v/>
      </c>
      <c r="J1219" s="12" t="str">
        <f aca="false">IF(INDEX(選手一覧!$G$5:$G$2736,$F1219)="","",INDEX(選手一覧!$G$5:$G$2736,$F1219))</f>
        <v/>
      </c>
    </row>
    <row r="1220" customFormat="false" ht="15" hidden="false" customHeight="false" outlineLevel="0" collapsed="false">
      <c r="A1220" s="12" t="n">
        <v>1217</v>
      </c>
      <c r="B1220" s="8" t="s">
        <v>3840</v>
      </c>
      <c r="C1220" s="8" t="s">
        <v>1697</v>
      </c>
      <c r="D1220" s="11" t="n">
        <v>0.00294502314814815</v>
      </c>
      <c r="E1220" s="39" t="n">
        <f aca="false">ROUND((D1220-$D$5)*86400,2)</f>
        <v>29.42</v>
      </c>
      <c r="F1220" s="12" t="n">
        <v>2506</v>
      </c>
      <c r="G1220" s="11" t="str">
        <f aca="false">IF(INDEX(選手一覧!$D$5:$D$2736,$F1220)="","",INDEX(選手一覧!$D$5:$D$2736,$F1220))</f>
        <v/>
      </c>
      <c r="H1220" s="12" t="str">
        <f aca="false">IF(INDEX(選手一覧!$E$5:$E$2736,$F1220)="","",INDEX(選手一覧!$E$5:$E$2736,$F1220))</f>
        <v/>
      </c>
      <c r="I1220" s="11" t="str">
        <f aca="false">IF(INDEX(選手一覧!$F$5:$F$2736,$F1220)="","",INDEX(選手一覧!$F$5:$F$2736,$F1220))</f>
        <v/>
      </c>
      <c r="J1220" s="12" t="str">
        <f aca="false">IF(INDEX(選手一覧!$G$5:$G$2736,$F1220)="","",INDEX(選手一覧!$G$5:$G$2736,$F1220))</f>
        <v/>
      </c>
    </row>
    <row r="1221" customFormat="false" ht="15" hidden="false" customHeight="false" outlineLevel="0" collapsed="false">
      <c r="A1221" s="12" t="n">
        <v>1218</v>
      </c>
      <c r="B1221" s="8" t="s">
        <v>499</v>
      </c>
      <c r="C1221" s="8" t="s">
        <v>500</v>
      </c>
      <c r="D1221" s="11" t="n">
        <v>0.00294560185185185</v>
      </c>
      <c r="E1221" s="39" t="n">
        <f aca="false">ROUND((D1221-$D$5)*86400,2)</f>
        <v>29.47</v>
      </c>
      <c r="F1221" s="12" t="n">
        <v>265</v>
      </c>
      <c r="G1221" s="11" t="n">
        <f aca="false">IF(INDEX(選手一覧!$D$5:$D$2736,$F1221)="","",INDEX(選手一覧!$D$5:$D$2736,$F1221))</f>
        <v>0.0104003472222222</v>
      </c>
      <c r="H1221" s="12" t="n">
        <f aca="false">IF(INDEX(選手一覧!$E$5:$E$2736,$F1221)="","",INDEX(選手一覧!$E$5:$E$2736,$F1221))</f>
        <v>266</v>
      </c>
      <c r="I1221" s="11" t="str">
        <f aca="false">IF(INDEX(選手一覧!$F$5:$F$2736,$F1221)="","",INDEX(選手一覧!$F$5:$F$2736,$F1221))</f>
        <v/>
      </c>
      <c r="J1221" s="12" t="str">
        <f aca="false">IF(INDEX(選手一覧!$G$5:$G$2736,$F1221)="","",INDEX(選手一覧!$G$5:$G$2736,$F1221))</f>
        <v/>
      </c>
    </row>
    <row r="1222" customFormat="false" ht="15" hidden="false" customHeight="false" outlineLevel="0" collapsed="false">
      <c r="A1222" s="12" t="n">
        <v>1219</v>
      </c>
      <c r="B1222" s="8" t="s">
        <v>2000</v>
      </c>
      <c r="C1222" s="8" t="s">
        <v>160</v>
      </c>
      <c r="D1222" s="11" t="n">
        <v>0.00294571759259259</v>
      </c>
      <c r="E1222" s="39" t="n">
        <f aca="false">ROUND((D1222-$D$5)*86400,2)</f>
        <v>29.48</v>
      </c>
      <c r="F1222" s="12" t="n">
        <v>1263</v>
      </c>
      <c r="G1222" s="11" t="n">
        <f aca="false">IF(INDEX(選手一覧!$D$5:$D$2736,$F1222)="","",INDEX(選手一覧!$D$5:$D$2736,$F1222))</f>
        <v>0.0110935185185185</v>
      </c>
      <c r="H1222" s="12" t="n">
        <f aca="false">IF(INDEX(選手一覧!$E$5:$E$2736,$F1222)="","",INDEX(選手一覧!$E$5:$E$2736,$F1222))</f>
        <v>1264</v>
      </c>
      <c r="I1222" s="11" t="str">
        <f aca="false">IF(INDEX(選手一覧!$F$5:$F$2736,$F1222)="","",INDEX(選手一覧!$F$5:$F$2736,$F1222))</f>
        <v/>
      </c>
      <c r="J1222" s="12" t="str">
        <f aca="false">IF(INDEX(選手一覧!$G$5:$G$2736,$F1222)="","",INDEX(選手一覧!$G$5:$G$2736,$F1222))</f>
        <v/>
      </c>
    </row>
    <row r="1223" customFormat="false" ht="15" hidden="false" customHeight="false" outlineLevel="0" collapsed="false">
      <c r="A1223" s="12" t="n">
        <v>1220</v>
      </c>
      <c r="B1223" s="8" t="s">
        <v>3843</v>
      </c>
      <c r="C1223" s="8" t="s">
        <v>3844</v>
      </c>
      <c r="D1223" s="11" t="n">
        <v>0.0029462962962963</v>
      </c>
      <c r="E1223" s="39" t="n">
        <f aca="false">ROUND((D1223-$D$5)*86400,2)</f>
        <v>29.53</v>
      </c>
      <c r="F1223" s="12" t="n">
        <v>2509</v>
      </c>
      <c r="G1223" s="11" t="str">
        <f aca="false">IF(INDEX(選手一覧!$D$5:$D$2736,$F1223)="","",INDEX(選手一覧!$D$5:$D$2736,$F1223))</f>
        <v/>
      </c>
      <c r="H1223" s="12" t="str">
        <f aca="false">IF(INDEX(選手一覧!$E$5:$E$2736,$F1223)="","",INDEX(選手一覧!$E$5:$E$2736,$F1223))</f>
        <v/>
      </c>
      <c r="I1223" s="11" t="str">
        <f aca="false">IF(INDEX(選手一覧!$F$5:$F$2736,$F1223)="","",INDEX(選手一覧!$F$5:$F$2736,$F1223))</f>
        <v/>
      </c>
      <c r="J1223" s="12" t="str">
        <f aca="false">IF(INDEX(選手一覧!$G$5:$G$2736,$F1223)="","",INDEX(選手一覧!$G$5:$G$2736,$F1223))</f>
        <v/>
      </c>
    </row>
    <row r="1224" customFormat="false" ht="15" hidden="false" customHeight="false" outlineLevel="0" collapsed="false">
      <c r="A1224" s="12" t="n">
        <v>1221</v>
      </c>
      <c r="B1224" s="8" t="s">
        <v>3846</v>
      </c>
      <c r="C1224" s="8" t="s">
        <v>788</v>
      </c>
      <c r="D1224" s="11" t="n">
        <v>0.002946875</v>
      </c>
      <c r="E1224" s="39" t="n">
        <f aca="false">ROUND((D1224-$D$5)*86400,2)</f>
        <v>29.58</v>
      </c>
      <c r="F1224" s="12" t="n">
        <v>2511</v>
      </c>
      <c r="G1224" s="11" t="str">
        <f aca="false">IF(INDEX(選手一覧!$D$5:$D$2736,$F1224)="","",INDEX(選手一覧!$D$5:$D$2736,$F1224))</f>
        <v/>
      </c>
      <c r="H1224" s="12" t="str">
        <f aca="false">IF(INDEX(選手一覧!$E$5:$E$2736,$F1224)="","",INDEX(選手一覧!$E$5:$E$2736,$F1224))</f>
        <v/>
      </c>
      <c r="I1224" s="11" t="str">
        <f aca="false">IF(INDEX(選手一覧!$F$5:$F$2736,$F1224)="","",INDEX(選手一覧!$F$5:$F$2736,$F1224))</f>
        <v/>
      </c>
      <c r="J1224" s="12" t="str">
        <f aca="false">IF(INDEX(選手一覧!$G$5:$G$2736,$F1224)="","",INDEX(選手一覧!$G$5:$G$2736,$F1224))</f>
        <v/>
      </c>
    </row>
    <row r="1225" customFormat="false" ht="15" hidden="false" customHeight="false" outlineLevel="0" collapsed="false">
      <c r="A1225" s="12" t="n">
        <v>1222</v>
      </c>
      <c r="B1225" s="8" t="s">
        <v>3849</v>
      </c>
      <c r="C1225" s="8" t="s">
        <v>3700</v>
      </c>
      <c r="D1225" s="11" t="n">
        <v>0.00294699074074074</v>
      </c>
      <c r="E1225" s="39" t="n">
        <f aca="false">ROUND((D1225-$D$5)*86400,2)</f>
        <v>29.59</v>
      </c>
      <c r="F1225" s="12" t="n">
        <v>2513</v>
      </c>
      <c r="G1225" s="11" t="str">
        <f aca="false">IF(INDEX(選手一覧!$D$5:$D$2736,$F1225)="","",INDEX(選手一覧!$D$5:$D$2736,$F1225))</f>
        <v/>
      </c>
      <c r="H1225" s="12" t="str">
        <f aca="false">IF(INDEX(選手一覧!$E$5:$E$2736,$F1225)="","",INDEX(選手一覧!$E$5:$E$2736,$F1225))</f>
        <v/>
      </c>
      <c r="I1225" s="11" t="str">
        <f aca="false">IF(INDEX(選手一覧!$F$5:$F$2736,$F1225)="","",INDEX(選手一覧!$F$5:$F$2736,$F1225))</f>
        <v/>
      </c>
      <c r="J1225" s="12" t="str">
        <f aca="false">IF(INDEX(選手一覧!$G$5:$G$2736,$F1225)="","",INDEX(選手一覧!$G$5:$G$2736,$F1225))</f>
        <v/>
      </c>
    </row>
    <row r="1226" customFormat="false" ht="15" hidden="false" customHeight="false" outlineLevel="0" collapsed="false">
      <c r="A1226" s="12" t="n">
        <v>1223</v>
      </c>
      <c r="B1226" s="8" t="s">
        <v>931</v>
      </c>
      <c r="C1226" s="8" t="s">
        <v>932</v>
      </c>
      <c r="D1226" s="11" t="n">
        <v>0.00294699074074074</v>
      </c>
      <c r="E1226" s="39" t="n">
        <f aca="false">ROUND((D1226-$D$5)*86400,2)</f>
        <v>29.59</v>
      </c>
      <c r="F1226" s="12" t="n">
        <v>535</v>
      </c>
      <c r="G1226" s="11" t="n">
        <f aca="false">IF(INDEX(選手一覧!$D$5:$D$2736,$F1226)="","",INDEX(選手一覧!$D$5:$D$2736,$F1226))</f>
        <v>0.0106615740740741</v>
      </c>
      <c r="H1226" s="12" t="n">
        <f aca="false">IF(INDEX(選手一覧!$E$5:$E$2736,$F1226)="","",INDEX(選手一覧!$E$5:$E$2736,$F1226))</f>
        <v>536</v>
      </c>
      <c r="I1226" s="11" t="str">
        <f aca="false">IF(INDEX(選手一覧!$F$5:$F$2736,$F1226)="","",INDEX(選手一覧!$F$5:$F$2736,$F1226))</f>
        <v/>
      </c>
      <c r="J1226" s="12" t="str">
        <f aca="false">IF(INDEX(選手一覧!$G$5:$G$2736,$F1226)="","",INDEX(選手一覧!$G$5:$G$2736,$F1226))</f>
        <v/>
      </c>
    </row>
    <row r="1227" customFormat="false" ht="15" hidden="false" customHeight="false" outlineLevel="0" collapsed="false">
      <c r="A1227" s="12" t="n">
        <v>1224</v>
      </c>
      <c r="B1227" s="8" t="s">
        <v>1032</v>
      </c>
      <c r="C1227" s="8" t="s">
        <v>394</v>
      </c>
      <c r="D1227" s="11" t="n">
        <v>0.00294710648148148</v>
      </c>
      <c r="E1227" s="39" t="n">
        <f aca="false">ROUND((D1227-$D$5)*86400,2)</f>
        <v>29.6</v>
      </c>
      <c r="F1227" s="12" t="n">
        <v>604</v>
      </c>
      <c r="G1227" s="11" t="n">
        <f aca="false">IF(INDEX(選手一覧!$D$5:$D$2736,$F1227)="","",INDEX(選手一覧!$D$5:$D$2736,$F1227))</f>
        <v>0.0107153935185185</v>
      </c>
      <c r="H1227" s="12" t="n">
        <f aca="false">IF(INDEX(選手一覧!$E$5:$E$2736,$F1227)="","",INDEX(選手一覧!$E$5:$E$2736,$F1227))</f>
        <v>605</v>
      </c>
      <c r="I1227" s="11" t="str">
        <f aca="false">IF(INDEX(選手一覧!$F$5:$F$2736,$F1227)="","",INDEX(選手一覧!$F$5:$F$2736,$F1227))</f>
        <v/>
      </c>
      <c r="J1227" s="12" t="str">
        <f aca="false">IF(INDEX(選手一覧!$G$5:$G$2736,$F1227)="","",INDEX(選手一覧!$G$5:$G$2736,$F1227))</f>
        <v/>
      </c>
    </row>
    <row r="1228" customFormat="false" ht="15" hidden="false" customHeight="false" outlineLevel="0" collapsed="false">
      <c r="A1228" s="12" t="n">
        <v>1225</v>
      </c>
      <c r="B1228" s="8" t="s">
        <v>718</v>
      </c>
      <c r="C1228" s="8" t="s">
        <v>31</v>
      </c>
      <c r="D1228" s="11" t="n">
        <v>0.00294768518518519</v>
      </c>
      <c r="E1228" s="39" t="n">
        <f aca="false">ROUND((D1228-$D$5)*86400,2)</f>
        <v>29.65</v>
      </c>
      <c r="F1228" s="12" t="n">
        <v>403</v>
      </c>
      <c r="G1228" s="11" t="n">
        <f aca="false">IF(INDEX(選手一覧!$D$5:$D$2736,$F1228)="","",INDEX(選手一覧!$D$5:$D$2736,$F1228))</f>
        <v>0.0105528935185185</v>
      </c>
      <c r="H1228" s="12" t="n">
        <f aca="false">IF(INDEX(選手一覧!$E$5:$E$2736,$F1228)="","",INDEX(選手一覧!$E$5:$E$2736,$F1228))</f>
        <v>404</v>
      </c>
      <c r="I1228" s="11" t="n">
        <f aca="false">IF(INDEX(選手一覧!$F$5:$F$2736,$F1228)="","",INDEX(選手一覧!$F$5:$F$2736,$F1228))</f>
        <v>0.00656655092592593</v>
      </c>
      <c r="J1228" s="12" t="n">
        <f aca="false">IF(INDEX(選手一覧!$G$5:$G$2736,$F1228)="","",INDEX(選手一覧!$G$5:$G$2736,$F1228))</f>
        <v>55</v>
      </c>
    </row>
    <row r="1229" customFormat="false" ht="15" hidden="false" customHeight="false" outlineLevel="0" collapsed="false">
      <c r="A1229" s="12" t="n">
        <v>1226</v>
      </c>
      <c r="B1229" s="8" t="s">
        <v>3853</v>
      </c>
      <c r="C1229" s="8" t="s">
        <v>582</v>
      </c>
      <c r="D1229" s="11" t="n">
        <v>0.00294780092592593</v>
      </c>
      <c r="E1229" s="39" t="n">
        <f aca="false">ROUND((D1229-$D$5)*86400,2)</f>
        <v>29.66</v>
      </c>
      <c r="F1229" s="12" t="n">
        <v>2517</v>
      </c>
      <c r="G1229" s="11" t="str">
        <f aca="false">IF(INDEX(選手一覧!$D$5:$D$2736,$F1229)="","",INDEX(選手一覧!$D$5:$D$2736,$F1229))</f>
        <v/>
      </c>
      <c r="H1229" s="12" t="str">
        <f aca="false">IF(INDEX(選手一覧!$E$5:$E$2736,$F1229)="","",INDEX(選手一覧!$E$5:$E$2736,$F1229))</f>
        <v/>
      </c>
      <c r="I1229" s="11" t="str">
        <f aca="false">IF(INDEX(選手一覧!$F$5:$F$2736,$F1229)="","",INDEX(選手一覧!$F$5:$F$2736,$F1229))</f>
        <v/>
      </c>
      <c r="J1229" s="12" t="str">
        <f aca="false">IF(INDEX(選手一覧!$G$5:$G$2736,$F1229)="","",INDEX(選手一覧!$G$5:$G$2736,$F1229))</f>
        <v/>
      </c>
    </row>
    <row r="1230" customFormat="false" ht="15" hidden="false" customHeight="false" outlineLevel="0" collapsed="false">
      <c r="A1230" s="12" t="n">
        <v>1227</v>
      </c>
      <c r="B1230" s="8" t="s">
        <v>3855</v>
      </c>
      <c r="C1230" s="8" t="s">
        <v>3856</v>
      </c>
      <c r="D1230" s="11" t="n">
        <v>0.00294791666666667</v>
      </c>
      <c r="E1230" s="39" t="n">
        <f aca="false">ROUND((D1230-$D$5)*86400,2)</f>
        <v>29.67</v>
      </c>
      <c r="F1230" s="12" t="n">
        <v>2519</v>
      </c>
      <c r="G1230" s="11" t="str">
        <f aca="false">IF(INDEX(選手一覧!$D$5:$D$2736,$F1230)="","",INDEX(選手一覧!$D$5:$D$2736,$F1230))</f>
        <v/>
      </c>
      <c r="H1230" s="12" t="str">
        <f aca="false">IF(INDEX(選手一覧!$E$5:$E$2736,$F1230)="","",INDEX(選手一覧!$E$5:$E$2736,$F1230))</f>
        <v/>
      </c>
      <c r="I1230" s="11" t="str">
        <f aca="false">IF(INDEX(選手一覧!$F$5:$F$2736,$F1230)="","",INDEX(選手一覧!$F$5:$F$2736,$F1230))</f>
        <v/>
      </c>
      <c r="J1230" s="12" t="str">
        <f aca="false">IF(INDEX(選手一覧!$G$5:$G$2736,$F1230)="","",INDEX(選手一覧!$G$5:$G$2736,$F1230))</f>
        <v/>
      </c>
    </row>
    <row r="1231" customFormat="false" ht="15" hidden="false" customHeight="false" outlineLevel="0" collapsed="false">
      <c r="A1231" s="12" t="n">
        <v>1228</v>
      </c>
      <c r="B1231" s="8" t="s">
        <v>1257</v>
      </c>
      <c r="C1231" s="8" t="s">
        <v>1258</v>
      </c>
      <c r="D1231" s="11" t="n">
        <v>0.00294814814814815</v>
      </c>
      <c r="E1231" s="39" t="n">
        <f aca="false">ROUND((D1231-$D$5)*86400,2)</f>
        <v>29.69</v>
      </c>
      <c r="F1231" s="12" t="n">
        <v>753</v>
      </c>
      <c r="G1231" s="11" t="n">
        <f aca="false">IF(INDEX(選手一覧!$D$5:$D$2736,$F1231)="","",INDEX(選手一覧!$D$5:$D$2736,$F1231))</f>
        <v>0.0108061342592593</v>
      </c>
      <c r="H1231" s="12" t="n">
        <f aca="false">IF(INDEX(選手一覧!$E$5:$E$2736,$F1231)="","",INDEX(選手一覧!$E$5:$E$2736,$F1231))</f>
        <v>754</v>
      </c>
      <c r="I1231" s="11" t="str">
        <f aca="false">IF(INDEX(選手一覧!$F$5:$F$2736,$F1231)="","",INDEX(選手一覧!$F$5:$F$2736,$F1231))</f>
        <v/>
      </c>
      <c r="J1231" s="12" t="str">
        <f aca="false">IF(INDEX(選手一覧!$G$5:$G$2736,$F1231)="","",INDEX(選手一覧!$G$5:$G$2736,$F1231))</f>
        <v/>
      </c>
    </row>
    <row r="1232" customFormat="false" ht="15" hidden="false" customHeight="false" outlineLevel="0" collapsed="false">
      <c r="A1232" s="12" t="n">
        <v>1229</v>
      </c>
      <c r="B1232" s="8" t="s">
        <v>3860</v>
      </c>
      <c r="C1232" s="8" t="s">
        <v>3861</v>
      </c>
      <c r="D1232" s="11" t="n">
        <v>0.00294826388888889</v>
      </c>
      <c r="E1232" s="39" t="n">
        <f aca="false">ROUND((D1232-$D$5)*86400,2)</f>
        <v>29.7</v>
      </c>
      <c r="F1232" s="12" t="n">
        <v>2522</v>
      </c>
      <c r="G1232" s="11" t="str">
        <f aca="false">IF(INDEX(選手一覧!$D$5:$D$2736,$F1232)="","",INDEX(選手一覧!$D$5:$D$2736,$F1232))</f>
        <v/>
      </c>
      <c r="H1232" s="12" t="str">
        <f aca="false">IF(INDEX(選手一覧!$E$5:$E$2736,$F1232)="","",INDEX(選手一覧!$E$5:$E$2736,$F1232))</f>
        <v/>
      </c>
      <c r="I1232" s="11" t="str">
        <f aca="false">IF(INDEX(選手一覧!$F$5:$F$2736,$F1232)="","",INDEX(選手一覧!$F$5:$F$2736,$F1232))</f>
        <v/>
      </c>
      <c r="J1232" s="12" t="str">
        <f aca="false">IF(INDEX(選手一覧!$G$5:$G$2736,$F1232)="","",INDEX(選手一覧!$G$5:$G$2736,$F1232))</f>
        <v/>
      </c>
    </row>
    <row r="1233" customFormat="false" ht="15" hidden="false" customHeight="false" outlineLevel="0" collapsed="false">
      <c r="A1233" s="12" t="n">
        <v>1230</v>
      </c>
      <c r="B1233" s="8" t="s">
        <v>3863</v>
      </c>
      <c r="C1233" s="8" t="s">
        <v>2218</v>
      </c>
      <c r="D1233" s="11" t="n">
        <v>0.00294849537037037</v>
      </c>
      <c r="E1233" s="39" t="n">
        <f aca="false">ROUND((D1233-$D$5)*86400,2)</f>
        <v>29.72</v>
      </c>
      <c r="F1233" s="12" t="n">
        <v>2524</v>
      </c>
      <c r="G1233" s="11" t="str">
        <f aca="false">IF(INDEX(選手一覧!$D$5:$D$2736,$F1233)="","",INDEX(選手一覧!$D$5:$D$2736,$F1233))</f>
        <v/>
      </c>
      <c r="H1233" s="12" t="str">
        <f aca="false">IF(INDEX(選手一覧!$E$5:$E$2736,$F1233)="","",INDEX(選手一覧!$E$5:$E$2736,$F1233))</f>
        <v/>
      </c>
      <c r="I1233" s="11" t="str">
        <f aca="false">IF(INDEX(選手一覧!$F$5:$F$2736,$F1233)="","",INDEX(選手一覧!$F$5:$F$2736,$F1233))</f>
        <v/>
      </c>
      <c r="J1233" s="12" t="str">
        <f aca="false">IF(INDEX(選手一覧!$G$5:$G$2736,$F1233)="","",INDEX(選手一覧!$G$5:$G$2736,$F1233))</f>
        <v/>
      </c>
    </row>
    <row r="1234" customFormat="false" ht="15" hidden="false" customHeight="false" outlineLevel="0" collapsed="false">
      <c r="A1234" s="12" t="n">
        <v>1231</v>
      </c>
      <c r="B1234" s="8" t="s">
        <v>3866</v>
      </c>
      <c r="C1234" s="8" t="s">
        <v>16</v>
      </c>
      <c r="D1234" s="11" t="n">
        <v>0.00294872685185185</v>
      </c>
      <c r="E1234" s="39" t="n">
        <f aca="false">ROUND((D1234-$D$5)*86400,2)</f>
        <v>29.74</v>
      </c>
      <c r="F1234" s="12" t="n">
        <v>2526</v>
      </c>
      <c r="G1234" s="11" t="str">
        <f aca="false">IF(INDEX(選手一覧!$D$5:$D$2736,$F1234)="","",INDEX(選手一覧!$D$5:$D$2736,$F1234))</f>
        <v/>
      </c>
      <c r="H1234" s="12" t="str">
        <f aca="false">IF(INDEX(選手一覧!$E$5:$E$2736,$F1234)="","",INDEX(選手一覧!$E$5:$E$2736,$F1234))</f>
        <v/>
      </c>
      <c r="I1234" s="11" t="str">
        <f aca="false">IF(INDEX(選手一覧!$F$5:$F$2736,$F1234)="","",INDEX(選手一覧!$F$5:$F$2736,$F1234))</f>
        <v/>
      </c>
      <c r="J1234" s="12" t="str">
        <f aca="false">IF(INDEX(選手一覧!$G$5:$G$2736,$F1234)="","",INDEX(選手一覧!$G$5:$G$2736,$F1234))</f>
        <v/>
      </c>
    </row>
    <row r="1235" customFormat="false" ht="15" hidden="false" customHeight="false" outlineLevel="0" collapsed="false">
      <c r="A1235" s="12" t="n">
        <v>1232</v>
      </c>
      <c r="B1235" s="8" t="s">
        <v>3869</v>
      </c>
      <c r="C1235" s="8" t="s">
        <v>3823</v>
      </c>
      <c r="D1235" s="11" t="n">
        <v>0.00294907407407407</v>
      </c>
      <c r="E1235" s="39" t="n">
        <f aca="false">ROUND((D1235-$D$5)*86400,2)</f>
        <v>29.77</v>
      </c>
      <c r="F1235" s="12" t="n">
        <v>2528</v>
      </c>
      <c r="G1235" s="11" t="str">
        <f aca="false">IF(INDEX(選手一覧!$D$5:$D$2736,$F1235)="","",INDEX(選手一覧!$D$5:$D$2736,$F1235))</f>
        <v/>
      </c>
      <c r="H1235" s="12" t="str">
        <f aca="false">IF(INDEX(選手一覧!$E$5:$E$2736,$F1235)="","",INDEX(選手一覧!$E$5:$E$2736,$F1235))</f>
        <v/>
      </c>
      <c r="I1235" s="11" t="str">
        <f aca="false">IF(INDEX(選手一覧!$F$5:$F$2736,$F1235)="","",INDEX(選手一覧!$F$5:$F$2736,$F1235))</f>
        <v/>
      </c>
      <c r="J1235" s="12" t="str">
        <f aca="false">IF(INDEX(選手一覧!$G$5:$G$2736,$F1235)="","",INDEX(選手一覧!$G$5:$G$2736,$F1235))</f>
        <v/>
      </c>
    </row>
    <row r="1236" customFormat="false" ht="15" hidden="false" customHeight="false" outlineLevel="0" collapsed="false">
      <c r="A1236" s="12" t="n">
        <v>1233</v>
      </c>
      <c r="B1236" s="8" t="s">
        <v>3871</v>
      </c>
      <c r="C1236" s="8" t="s">
        <v>1680</v>
      </c>
      <c r="D1236" s="11" t="n">
        <v>0.00294907407407407</v>
      </c>
      <c r="E1236" s="39" t="n">
        <f aca="false">ROUND((D1236-$D$5)*86400,2)</f>
        <v>29.77</v>
      </c>
      <c r="F1236" s="12" t="n">
        <v>2530</v>
      </c>
      <c r="G1236" s="11" t="str">
        <f aca="false">IF(INDEX(選手一覧!$D$5:$D$2736,$F1236)="","",INDEX(選手一覧!$D$5:$D$2736,$F1236))</f>
        <v/>
      </c>
      <c r="H1236" s="12" t="str">
        <f aca="false">IF(INDEX(選手一覧!$E$5:$E$2736,$F1236)="","",INDEX(選手一覧!$E$5:$E$2736,$F1236))</f>
        <v/>
      </c>
      <c r="I1236" s="11" t="str">
        <f aca="false">IF(INDEX(選手一覧!$F$5:$F$2736,$F1236)="","",INDEX(選手一覧!$F$5:$F$2736,$F1236))</f>
        <v/>
      </c>
      <c r="J1236" s="12" t="str">
        <f aca="false">IF(INDEX(選手一覧!$G$5:$G$2736,$F1236)="","",INDEX(選手一覧!$G$5:$G$2736,$F1236))</f>
        <v/>
      </c>
    </row>
    <row r="1237" customFormat="false" ht="15" hidden="false" customHeight="false" outlineLevel="0" collapsed="false">
      <c r="A1237" s="12" t="n">
        <v>1234</v>
      </c>
      <c r="B1237" s="8" t="s">
        <v>1786</v>
      </c>
      <c r="C1237" s="8" t="s">
        <v>96</v>
      </c>
      <c r="D1237" s="11" t="n">
        <v>0.00294918981481482</v>
      </c>
      <c r="E1237" s="39" t="n">
        <f aca="false">ROUND((D1237-$D$5)*86400,2)</f>
        <v>29.78</v>
      </c>
      <c r="F1237" s="12" t="n">
        <v>1112</v>
      </c>
      <c r="G1237" s="11" t="n">
        <f aca="false">IF(INDEX(選手一覧!$D$5:$D$2736,$F1237)="","",INDEX(選手一覧!$D$5:$D$2736,$F1237))</f>
        <v>0.0110116898148148</v>
      </c>
      <c r="H1237" s="12" t="n">
        <f aca="false">IF(INDEX(選手一覧!$E$5:$E$2736,$F1237)="","",INDEX(選手一覧!$E$5:$E$2736,$F1237))</f>
        <v>1113</v>
      </c>
      <c r="I1237" s="11" t="n">
        <f aca="false">IF(INDEX(選手一覧!$F$5:$F$2736,$F1237)="","",INDEX(選手一覧!$F$5:$F$2736,$F1237))</f>
        <v>0.0073724537037037</v>
      </c>
      <c r="J1237" s="12" t="n">
        <f aca="false">IF(INDEX(選手一覧!$G$5:$G$2736,$F1237)="","",INDEX(選手一覧!$G$5:$G$2736,$F1237))</f>
        <v>737</v>
      </c>
    </row>
    <row r="1238" customFormat="false" ht="15" hidden="false" customHeight="false" outlineLevel="0" collapsed="false">
      <c r="A1238" s="12" t="n">
        <v>1235</v>
      </c>
      <c r="B1238" s="8" t="s">
        <v>3876</v>
      </c>
      <c r="C1238" s="8" t="s">
        <v>3877</v>
      </c>
      <c r="D1238" s="11" t="n">
        <v>0.00294930555555556</v>
      </c>
      <c r="E1238" s="39" t="n">
        <f aca="false">ROUND((D1238-$D$5)*86400,2)</f>
        <v>29.79</v>
      </c>
      <c r="F1238" s="12" t="n">
        <v>2533</v>
      </c>
      <c r="G1238" s="11" t="str">
        <f aca="false">IF(INDEX(選手一覧!$D$5:$D$2736,$F1238)="","",INDEX(選手一覧!$D$5:$D$2736,$F1238))</f>
        <v/>
      </c>
      <c r="H1238" s="12" t="str">
        <f aca="false">IF(INDEX(選手一覧!$E$5:$E$2736,$F1238)="","",INDEX(選手一覧!$E$5:$E$2736,$F1238))</f>
        <v/>
      </c>
      <c r="I1238" s="11" t="str">
        <f aca="false">IF(INDEX(選手一覧!$F$5:$F$2736,$F1238)="","",INDEX(選手一覧!$F$5:$F$2736,$F1238))</f>
        <v/>
      </c>
      <c r="J1238" s="12" t="str">
        <f aca="false">IF(INDEX(選手一覧!$G$5:$G$2736,$F1238)="","",INDEX(選手一覧!$G$5:$G$2736,$F1238))</f>
        <v/>
      </c>
    </row>
    <row r="1239" customFormat="false" ht="15" hidden="false" customHeight="false" outlineLevel="0" collapsed="false">
      <c r="A1239" s="12" t="n">
        <v>1236</v>
      </c>
      <c r="B1239" s="8" t="s">
        <v>3880</v>
      </c>
      <c r="C1239" s="8" t="s">
        <v>3881</v>
      </c>
      <c r="D1239" s="11" t="n">
        <v>0.00294988425925926</v>
      </c>
      <c r="E1239" s="39" t="n">
        <f aca="false">ROUND((D1239-$D$5)*86400,2)</f>
        <v>29.84</v>
      </c>
      <c r="F1239" s="12" t="n">
        <v>2535</v>
      </c>
      <c r="G1239" s="11" t="str">
        <f aca="false">IF(INDEX(選手一覧!$D$5:$D$2736,$F1239)="","",INDEX(選手一覧!$D$5:$D$2736,$F1239))</f>
        <v/>
      </c>
      <c r="H1239" s="12" t="str">
        <f aca="false">IF(INDEX(選手一覧!$E$5:$E$2736,$F1239)="","",INDEX(選手一覧!$E$5:$E$2736,$F1239))</f>
        <v/>
      </c>
      <c r="I1239" s="11" t="str">
        <f aca="false">IF(INDEX(選手一覧!$F$5:$F$2736,$F1239)="","",INDEX(選手一覧!$F$5:$F$2736,$F1239))</f>
        <v/>
      </c>
      <c r="J1239" s="12" t="str">
        <f aca="false">IF(INDEX(選手一覧!$G$5:$G$2736,$F1239)="","",INDEX(選手一覧!$G$5:$G$2736,$F1239))</f>
        <v/>
      </c>
    </row>
    <row r="1240" customFormat="false" ht="15" hidden="false" customHeight="false" outlineLevel="0" collapsed="false">
      <c r="A1240" s="12" t="n">
        <v>1237</v>
      </c>
      <c r="B1240" s="8" t="s">
        <v>1552</v>
      </c>
      <c r="C1240" s="8" t="s">
        <v>1553</v>
      </c>
      <c r="D1240" s="11" t="n">
        <v>0.00295</v>
      </c>
      <c r="E1240" s="39" t="n">
        <f aca="false">ROUND((D1240-$D$5)*86400,2)</f>
        <v>29.85</v>
      </c>
      <c r="F1240" s="12" t="n">
        <v>953</v>
      </c>
      <c r="G1240" s="11" t="n">
        <f aca="false">IF(INDEX(選手一覧!$D$5:$D$2736,$F1240)="","",INDEX(選手一覧!$D$5:$D$2736,$F1240))</f>
        <v>0.0109225694444444</v>
      </c>
      <c r="H1240" s="12" t="n">
        <f aca="false">IF(INDEX(選手一覧!$E$5:$E$2736,$F1240)="","",INDEX(選手一覧!$E$5:$E$2736,$F1240))</f>
        <v>954</v>
      </c>
      <c r="I1240" s="11" t="n">
        <f aca="false">IF(INDEX(選手一覧!$F$5:$F$2736,$F1240)="","",INDEX(選手一覧!$F$5:$F$2736,$F1240))</f>
        <v>0.00734189814814815</v>
      </c>
      <c r="J1240" s="12" t="n">
        <f aca="false">IF(INDEX(選手一覧!$G$5:$G$2736,$F1240)="","",INDEX(選手一覧!$G$5:$G$2736,$F1240))</f>
        <v>699</v>
      </c>
    </row>
    <row r="1241" customFormat="false" ht="15" hidden="false" customHeight="false" outlineLevel="0" collapsed="false">
      <c r="A1241" s="12" t="n">
        <v>1238</v>
      </c>
      <c r="B1241" s="8" t="s">
        <v>3885</v>
      </c>
      <c r="C1241" s="8" t="s">
        <v>3823</v>
      </c>
      <c r="D1241" s="11" t="n">
        <v>0.00295011574074074</v>
      </c>
      <c r="E1241" s="39" t="n">
        <f aca="false">ROUND((D1241-$D$5)*86400,2)</f>
        <v>29.86</v>
      </c>
      <c r="F1241" s="12" t="n">
        <v>2538</v>
      </c>
      <c r="G1241" s="11" t="str">
        <f aca="false">IF(INDEX(選手一覧!$D$5:$D$2736,$F1241)="","",INDEX(選手一覧!$D$5:$D$2736,$F1241))</f>
        <v/>
      </c>
      <c r="H1241" s="12" t="str">
        <f aca="false">IF(INDEX(選手一覧!$E$5:$E$2736,$F1241)="","",INDEX(選手一覧!$E$5:$E$2736,$F1241))</f>
        <v/>
      </c>
      <c r="I1241" s="11" t="str">
        <f aca="false">IF(INDEX(選手一覧!$F$5:$F$2736,$F1241)="","",INDEX(選手一覧!$F$5:$F$2736,$F1241))</f>
        <v/>
      </c>
      <c r="J1241" s="12" t="str">
        <f aca="false">IF(INDEX(選手一覧!$G$5:$G$2736,$F1241)="","",INDEX(選手一覧!$G$5:$G$2736,$F1241))</f>
        <v/>
      </c>
    </row>
    <row r="1242" customFormat="false" ht="15" hidden="false" customHeight="false" outlineLevel="0" collapsed="false">
      <c r="A1242" s="12" t="n">
        <v>1239</v>
      </c>
      <c r="B1242" s="8" t="s">
        <v>1544</v>
      </c>
      <c r="C1242" s="8" t="s">
        <v>1545</v>
      </c>
      <c r="D1242" s="11" t="n">
        <v>0.00295023148148148</v>
      </c>
      <c r="E1242" s="39" t="n">
        <f aca="false">ROUND((D1242-$D$5)*86400,2)</f>
        <v>29.87</v>
      </c>
      <c r="F1242" s="12" t="n">
        <v>948</v>
      </c>
      <c r="G1242" s="11" t="n">
        <f aca="false">IF(INDEX(選手一覧!$D$5:$D$2736,$F1242)="","",INDEX(選手一覧!$D$5:$D$2736,$F1242))</f>
        <v>0.0109172453703704</v>
      </c>
      <c r="H1242" s="12" t="n">
        <f aca="false">IF(INDEX(選手一覧!$E$5:$E$2736,$F1242)="","",INDEX(選手一覧!$E$5:$E$2736,$F1242))</f>
        <v>949</v>
      </c>
      <c r="I1242" s="11" t="str">
        <f aca="false">IF(INDEX(選手一覧!$F$5:$F$2736,$F1242)="","",INDEX(選手一覧!$F$5:$F$2736,$F1242))</f>
        <v/>
      </c>
      <c r="J1242" s="12" t="str">
        <f aca="false">IF(INDEX(選手一覧!$G$5:$G$2736,$F1242)="","",INDEX(選手一覧!$G$5:$G$2736,$F1242))</f>
        <v/>
      </c>
    </row>
    <row r="1243" customFormat="false" ht="15" hidden="false" customHeight="false" outlineLevel="0" collapsed="false">
      <c r="A1243" s="12" t="n">
        <v>1240</v>
      </c>
      <c r="B1243" s="8" t="s">
        <v>3890</v>
      </c>
      <c r="C1243" s="8" t="s">
        <v>186</v>
      </c>
      <c r="D1243" s="11" t="n">
        <v>0.00295023148148148</v>
      </c>
      <c r="E1243" s="39" t="n">
        <f aca="false">ROUND((D1243-$D$5)*86400,2)</f>
        <v>29.87</v>
      </c>
      <c r="F1243" s="12" t="n">
        <v>2541</v>
      </c>
      <c r="G1243" s="11" t="str">
        <f aca="false">IF(INDEX(選手一覧!$D$5:$D$2736,$F1243)="","",INDEX(選手一覧!$D$5:$D$2736,$F1243))</f>
        <v/>
      </c>
      <c r="H1243" s="12" t="str">
        <f aca="false">IF(INDEX(選手一覧!$E$5:$E$2736,$F1243)="","",INDEX(選手一覧!$E$5:$E$2736,$F1243))</f>
        <v/>
      </c>
      <c r="I1243" s="11" t="str">
        <f aca="false">IF(INDEX(選手一覧!$F$5:$F$2736,$F1243)="","",INDEX(選手一覧!$F$5:$F$2736,$F1243))</f>
        <v/>
      </c>
      <c r="J1243" s="12" t="str">
        <f aca="false">IF(INDEX(選手一覧!$G$5:$G$2736,$F1243)="","",INDEX(選手一覧!$G$5:$G$2736,$F1243))</f>
        <v/>
      </c>
    </row>
    <row r="1244" customFormat="false" ht="15" hidden="false" customHeight="false" outlineLevel="0" collapsed="false">
      <c r="A1244" s="12" t="n">
        <v>1241</v>
      </c>
      <c r="B1244" s="8" t="s">
        <v>3893</v>
      </c>
      <c r="C1244" s="8" t="s">
        <v>76</v>
      </c>
      <c r="D1244" s="11" t="n">
        <v>0.00295034722222222</v>
      </c>
      <c r="E1244" s="39" t="n">
        <f aca="false">ROUND((D1244-$D$5)*86400,2)</f>
        <v>29.88</v>
      </c>
      <c r="F1244" s="12" t="n">
        <v>2543</v>
      </c>
      <c r="G1244" s="11" t="str">
        <f aca="false">IF(INDEX(選手一覧!$D$5:$D$2736,$F1244)="","",INDEX(選手一覧!$D$5:$D$2736,$F1244))</f>
        <v/>
      </c>
      <c r="H1244" s="12" t="str">
        <f aca="false">IF(INDEX(選手一覧!$E$5:$E$2736,$F1244)="","",INDEX(選手一覧!$E$5:$E$2736,$F1244))</f>
        <v/>
      </c>
      <c r="I1244" s="11" t="str">
        <f aca="false">IF(INDEX(選手一覧!$F$5:$F$2736,$F1244)="","",INDEX(選手一覧!$F$5:$F$2736,$F1244))</f>
        <v/>
      </c>
      <c r="J1244" s="12" t="str">
        <f aca="false">IF(INDEX(選手一覧!$G$5:$G$2736,$F1244)="","",INDEX(選手一覧!$G$5:$G$2736,$F1244))</f>
        <v/>
      </c>
    </row>
    <row r="1245" customFormat="false" ht="15" hidden="false" customHeight="false" outlineLevel="0" collapsed="false">
      <c r="A1245" s="12" t="n">
        <v>1242</v>
      </c>
      <c r="B1245" s="8" t="s">
        <v>3895</v>
      </c>
      <c r="C1245" s="8" t="s">
        <v>3896</v>
      </c>
      <c r="D1245" s="11" t="n">
        <v>0.0029505787037037</v>
      </c>
      <c r="E1245" s="39" t="n">
        <f aca="false">ROUND((D1245-$D$5)*86400,2)</f>
        <v>29.9</v>
      </c>
      <c r="F1245" s="12" t="n">
        <v>2545</v>
      </c>
      <c r="G1245" s="11" t="str">
        <f aca="false">IF(INDEX(選手一覧!$D$5:$D$2736,$F1245)="","",INDEX(選手一覧!$D$5:$D$2736,$F1245))</f>
        <v/>
      </c>
      <c r="H1245" s="12" t="str">
        <f aca="false">IF(INDEX(選手一覧!$E$5:$E$2736,$F1245)="","",INDEX(選手一覧!$E$5:$E$2736,$F1245))</f>
        <v/>
      </c>
      <c r="I1245" s="11" t="str">
        <f aca="false">IF(INDEX(選手一覧!$F$5:$F$2736,$F1245)="","",INDEX(選手一覧!$F$5:$F$2736,$F1245))</f>
        <v/>
      </c>
      <c r="J1245" s="12" t="str">
        <f aca="false">IF(INDEX(選手一覧!$G$5:$G$2736,$F1245)="","",INDEX(選手一覧!$G$5:$G$2736,$F1245))</f>
        <v/>
      </c>
    </row>
    <row r="1246" customFormat="false" ht="15" hidden="false" customHeight="false" outlineLevel="0" collapsed="false">
      <c r="A1246" s="12" t="n">
        <v>1243</v>
      </c>
      <c r="B1246" s="8" t="s">
        <v>3048</v>
      </c>
      <c r="C1246" s="8" t="s">
        <v>3049</v>
      </c>
      <c r="D1246" s="11" t="n">
        <v>0.00295092592592593</v>
      </c>
      <c r="E1246" s="39" t="n">
        <f aca="false">ROUND((D1246-$D$5)*86400,2)</f>
        <v>29.93</v>
      </c>
      <c r="F1246" s="12" t="n">
        <v>1969</v>
      </c>
      <c r="G1246" s="11" t="str">
        <f aca="false">IF(INDEX(選手一覧!$D$5:$D$2736,$F1246)="","",INDEX(選手一覧!$D$5:$D$2736,$F1246))</f>
        <v/>
      </c>
      <c r="H1246" s="12" t="str">
        <f aca="false">IF(INDEX(選手一覧!$E$5:$E$2736,$F1246)="","",INDEX(選手一覧!$E$5:$E$2736,$F1246))</f>
        <v/>
      </c>
      <c r="I1246" s="11" t="n">
        <f aca="false">IF(INDEX(選手一覧!$F$5:$F$2736,$F1246)="","",INDEX(選手一覧!$F$5:$F$2736,$F1246))</f>
        <v>0.00744872685185185</v>
      </c>
      <c r="J1246" s="12" t="n">
        <f aca="false">IF(INDEX(選手一覧!$G$5:$G$2736,$F1246)="","",INDEX(選手一覧!$G$5:$G$2736,$F1246))</f>
        <v>828</v>
      </c>
    </row>
    <row r="1247" customFormat="false" ht="15" hidden="false" customHeight="false" outlineLevel="0" collapsed="false">
      <c r="A1247" s="12" t="n">
        <v>1244</v>
      </c>
      <c r="B1247" s="8" t="s">
        <v>1863</v>
      </c>
      <c r="C1247" s="8" t="s">
        <v>56</v>
      </c>
      <c r="D1247" s="11" t="n">
        <v>0.00295104166666667</v>
      </c>
      <c r="E1247" s="39" t="n">
        <f aca="false">ROUND((D1247-$D$5)*86400,2)</f>
        <v>29.94</v>
      </c>
      <c r="F1247" s="12" t="n">
        <v>1162</v>
      </c>
      <c r="G1247" s="11" t="n">
        <f aca="false">IF(INDEX(選手一覧!$D$5:$D$2736,$F1247)="","",INDEX(選手一覧!$D$5:$D$2736,$F1247))</f>
        <v>0.0110351851851852</v>
      </c>
      <c r="H1247" s="12" t="n">
        <f aca="false">IF(INDEX(選手一覧!$E$5:$E$2736,$F1247)="","",INDEX(選手一覧!$E$5:$E$2736,$F1247))</f>
        <v>1163</v>
      </c>
      <c r="I1247" s="11" t="str">
        <f aca="false">IF(INDEX(選手一覧!$F$5:$F$2736,$F1247)="","",INDEX(選手一覧!$F$5:$F$2736,$F1247))</f>
        <v/>
      </c>
      <c r="J1247" s="12" t="str">
        <f aca="false">IF(INDEX(選手一覧!$G$5:$G$2736,$F1247)="","",INDEX(選手一覧!$G$5:$G$2736,$F1247))</f>
        <v/>
      </c>
    </row>
    <row r="1248" customFormat="false" ht="15" hidden="false" customHeight="false" outlineLevel="0" collapsed="false">
      <c r="A1248" s="12" t="n">
        <v>1245</v>
      </c>
      <c r="B1248" s="8" t="s">
        <v>3899</v>
      </c>
      <c r="C1248" s="8" t="s">
        <v>3900</v>
      </c>
      <c r="D1248" s="11" t="n">
        <v>0.00295185185185185</v>
      </c>
      <c r="E1248" s="39" t="n">
        <f aca="false">ROUND((D1248-$D$5)*86400,2)</f>
        <v>30.01</v>
      </c>
      <c r="F1248" s="12" t="n">
        <v>2548</v>
      </c>
      <c r="G1248" s="11" t="str">
        <f aca="false">IF(INDEX(選手一覧!$D$5:$D$2736,$F1248)="","",INDEX(選手一覧!$D$5:$D$2736,$F1248))</f>
        <v/>
      </c>
      <c r="H1248" s="12" t="str">
        <f aca="false">IF(INDEX(選手一覧!$E$5:$E$2736,$F1248)="","",INDEX(選手一覧!$E$5:$E$2736,$F1248))</f>
        <v/>
      </c>
      <c r="I1248" s="11" t="str">
        <f aca="false">IF(INDEX(選手一覧!$F$5:$F$2736,$F1248)="","",INDEX(選手一覧!$F$5:$F$2736,$F1248))</f>
        <v/>
      </c>
      <c r="J1248" s="12" t="str">
        <f aca="false">IF(INDEX(選手一覧!$G$5:$G$2736,$F1248)="","",INDEX(選手一覧!$G$5:$G$2736,$F1248))</f>
        <v/>
      </c>
    </row>
    <row r="1249" customFormat="false" ht="15" hidden="false" customHeight="false" outlineLevel="0" collapsed="false">
      <c r="A1249" s="12" t="n">
        <v>1246</v>
      </c>
      <c r="B1249" s="8" t="s">
        <v>3902</v>
      </c>
      <c r="C1249" s="8" t="s">
        <v>212</v>
      </c>
      <c r="D1249" s="11" t="n">
        <v>0.00295208333333333</v>
      </c>
      <c r="E1249" s="39" t="n">
        <f aca="false">ROUND((D1249-$D$5)*86400,2)</f>
        <v>30.03</v>
      </c>
      <c r="F1249" s="12" t="n">
        <v>2550</v>
      </c>
      <c r="G1249" s="11" t="str">
        <f aca="false">IF(INDEX(選手一覧!$D$5:$D$2736,$F1249)="","",INDEX(選手一覧!$D$5:$D$2736,$F1249))</f>
        <v/>
      </c>
      <c r="H1249" s="12" t="str">
        <f aca="false">IF(INDEX(選手一覧!$E$5:$E$2736,$F1249)="","",INDEX(選手一覧!$E$5:$E$2736,$F1249))</f>
        <v/>
      </c>
      <c r="I1249" s="11" t="str">
        <f aca="false">IF(INDEX(選手一覧!$F$5:$F$2736,$F1249)="","",INDEX(選手一覧!$F$5:$F$2736,$F1249))</f>
        <v/>
      </c>
      <c r="J1249" s="12" t="str">
        <f aca="false">IF(INDEX(選手一覧!$G$5:$G$2736,$F1249)="","",INDEX(選手一覧!$G$5:$G$2736,$F1249))</f>
        <v/>
      </c>
    </row>
    <row r="1250" customFormat="false" ht="15" hidden="false" customHeight="false" outlineLevel="0" collapsed="false">
      <c r="A1250" s="12" t="n">
        <v>1247</v>
      </c>
      <c r="B1250" s="8" t="s">
        <v>3905</v>
      </c>
      <c r="C1250" s="8" t="s">
        <v>136</v>
      </c>
      <c r="D1250" s="11" t="n">
        <v>0.00295231481481482</v>
      </c>
      <c r="E1250" s="39" t="n">
        <f aca="false">ROUND((D1250-$D$5)*86400,2)</f>
        <v>30.05</v>
      </c>
      <c r="F1250" s="12" t="n">
        <v>2552</v>
      </c>
      <c r="G1250" s="11" t="str">
        <f aca="false">IF(INDEX(選手一覧!$D$5:$D$2736,$F1250)="","",INDEX(選手一覧!$D$5:$D$2736,$F1250))</f>
        <v/>
      </c>
      <c r="H1250" s="12" t="str">
        <f aca="false">IF(INDEX(選手一覧!$E$5:$E$2736,$F1250)="","",INDEX(選手一覧!$E$5:$E$2736,$F1250))</f>
        <v/>
      </c>
      <c r="I1250" s="11" t="str">
        <f aca="false">IF(INDEX(選手一覧!$F$5:$F$2736,$F1250)="","",INDEX(選手一覧!$F$5:$F$2736,$F1250))</f>
        <v/>
      </c>
      <c r="J1250" s="12" t="str">
        <f aca="false">IF(INDEX(選手一覧!$G$5:$G$2736,$F1250)="","",INDEX(選手一覧!$G$5:$G$2736,$F1250))</f>
        <v/>
      </c>
    </row>
    <row r="1251" customFormat="false" ht="15" hidden="false" customHeight="false" outlineLevel="0" collapsed="false">
      <c r="A1251" s="12" t="n">
        <v>1248</v>
      </c>
      <c r="B1251" s="8" t="s">
        <v>2134</v>
      </c>
      <c r="C1251" s="8" t="s">
        <v>1451</v>
      </c>
      <c r="D1251" s="11" t="n">
        <v>0.00295289351851852</v>
      </c>
      <c r="E1251" s="39" t="n">
        <f aca="false">ROUND((D1251-$D$5)*86400,2)</f>
        <v>30.1</v>
      </c>
      <c r="F1251" s="12" t="n">
        <v>1359</v>
      </c>
      <c r="G1251" s="11" t="str">
        <f aca="false">IF(INDEX(選手一覧!$D$5:$D$2736,$F1251)="","",INDEX(選手一覧!$D$5:$D$2736,$F1251))</f>
        <v/>
      </c>
      <c r="H1251" s="12" t="str">
        <f aca="false">IF(INDEX(選手一覧!$E$5:$E$2736,$F1251)="","",INDEX(選手一覧!$E$5:$E$2736,$F1251))</f>
        <v/>
      </c>
      <c r="I1251" s="11" t="n">
        <f aca="false">IF(INDEX(選手一覧!$F$5:$F$2736,$F1251)="","",INDEX(選手一覧!$F$5:$F$2736,$F1251))</f>
        <v>0.00688032407407407</v>
      </c>
      <c r="J1251" s="12" t="n">
        <f aca="false">IF(INDEX(選手一覧!$G$5:$G$2736,$F1251)="","",INDEX(選手一覧!$G$5:$G$2736,$F1251))</f>
        <v>223</v>
      </c>
    </row>
    <row r="1252" customFormat="false" ht="15" hidden="false" customHeight="false" outlineLevel="0" collapsed="false">
      <c r="A1252" s="12" t="n">
        <v>1249</v>
      </c>
      <c r="B1252" s="8" t="s">
        <v>3908</v>
      </c>
      <c r="C1252" s="8" t="s">
        <v>294</v>
      </c>
      <c r="D1252" s="11" t="n">
        <v>0.00295347222222222</v>
      </c>
      <c r="E1252" s="39" t="n">
        <f aca="false">ROUND((D1252-$D$5)*86400,2)</f>
        <v>30.15</v>
      </c>
      <c r="F1252" s="12" t="n">
        <v>2555</v>
      </c>
      <c r="G1252" s="11" t="str">
        <f aca="false">IF(INDEX(選手一覧!$D$5:$D$2736,$F1252)="","",INDEX(選手一覧!$D$5:$D$2736,$F1252))</f>
        <v/>
      </c>
      <c r="H1252" s="12" t="str">
        <f aca="false">IF(INDEX(選手一覧!$E$5:$E$2736,$F1252)="","",INDEX(選手一覧!$E$5:$E$2736,$F1252))</f>
        <v/>
      </c>
      <c r="I1252" s="11" t="str">
        <f aca="false">IF(INDEX(選手一覧!$F$5:$F$2736,$F1252)="","",INDEX(選手一覧!$F$5:$F$2736,$F1252))</f>
        <v/>
      </c>
      <c r="J1252" s="12" t="str">
        <f aca="false">IF(INDEX(選手一覧!$G$5:$G$2736,$F1252)="","",INDEX(選手一覧!$G$5:$G$2736,$F1252))</f>
        <v/>
      </c>
    </row>
    <row r="1253" customFormat="false" ht="15" hidden="false" customHeight="false" outlineLevel="0" collapsed="false">
      <c r="A1253" s="12" t="n">
        <v>1250</v>
      </c>
      <c r="B1253" s="8" t="s">
        <v>3911</v>
      </c>
      <c r="C1253" s="8" t="s">
        <v>1697</v>
      </c>
      <c r="D1253" s="11" t="n">
        <v>0.0029537037037037</v>
      </c>
      <c r="E1253" s="39" t="n">
        <f aca="false">ROUND((D1253-$D$5)*86400,2)</f>
        <v>30.17</v>
      </c>
      <c r="F1253" s="12" t="n">
        <v>2557</v>
      </c>
      <c r="G1253" s="11" t="str">
        <f aca="false">IF(INDEX(選手一覧!$D$5:$D$2736,$F1253)="","",INDEX(選手一覧!$D$5:$D$2736,$F1253))</f>
        <v/>
      </c>
      <c r="H1253" s="12" t="str">
        <f aca="false">IF(INDEX(選手一覧!$E$5:$E$2736,$F1253)="","",INDEX(選手一覧!$E$5:$E$2736,$F1253))</f>
        <v/>
      </c>
      <c r="I1253" s="11" t="str">
        <f aca="false">IF(INDEX(選手一覧!$F$5:$F$2736,$F1253)="","",INDEX(選手一覧!$F$5:$F$2736,$F1253))</f>
        <v/>
      </c>
      <c r="J1253" s="12" t="str">
        <f aca="false">IF(INDEX(選手一覧!$G$5:$G$2736,$F1253)="","",INDEX(選手一覧!$G$5:$G$2736,$F1253))</f>
        <v/>
      </c>
    </row>
    <row r="1254" customFormat="false" ht="15" hidden="false" customHeight="false" outlineLevel="0" collapsed="false">
      <c r="A1254" s="12" t="n">
        <v>1251</v>
      </c>
      <c r="B1254" s="8" t="s">
        <v>2062</v>
      </c>
      <c r="C1254" s="8" t="s">
        <v>1337</v>
      </c>
      <c r="D1254" s="11" t="n">
        <v>0.00295428240740741</v>
      </c>
      <c r="E1254" s="39" t="n">
        <f aca="false">ROUND((D1254-$D$5)*86400,2)</f>
        <v>30.22</v>
      </c>
      <c r="F1254" s="12" t="n">
        <v>1312</v>
      </c>
      <c r="G1254" s="11" t="str">
        <f aca="false">IF(INDEX(選手一覧!$D$5:$D$2736,$F1254)="","",INDEX(選手一覧!$D$5:$D$2736,$F1254))</f>
        <v/>
      </c>
      <c r="H1254" s="12" t="str">
        <f aca="false">IF(INDEX(選手一覧!$E$5:$E$2736,$F1254)="","",INDEX(選手一覧!$E$5:$E$2736,$F1254))</f>
        <v/>
      </c>
      <c r="I1254" s="11" t="n">
        <f aca="false">IF(INDEX(選手一覧!$F$5:$F$2736,$F1254)="","",INDEX(選手一覧!$F$5:$F$2736,$F1254))</f>
        <v>0.00674641203703704</v>
      </c>
      <c r="J1254" s="12" t="n">
        <f aca="false">IF(INDEX(選手一覧!$G$5:$G$2736,$F1254)="","",INDEX(選手一覧!$G$5:$G$2736,$F1254))</f>
        <v>125</v>
      </c>
    </row>
    <row r="1255" customFormat="false" ht="15" hidden="false" customHeight="false" outlineLevel="0" collapsed="false">
      <c r="A1255" s="12" t="n">
        <v>1252</v>
      </c>
      <c r="B1255" s="8" t="s">
        <v>97</v>
      </c>
      <c r="C1255" s="8" t="s">
        <v>16</v>
      </c>
      <c r="D1255" s="11" t="n">
        <v>0.00295462962962963</v>
      </c>
      <c r="E1255" s="39" t="n">
        <f aca="false">ROUND((D1255-$D$5)*86400,2)</f>
        <v>30.25</v>
      </c>
      <c r="F1255" s="12" t="n">
        <v>38</v>
      </c>
      <c r="G1255" s="11" t="n">
        <f aca="false">IF(INDEX(選手一覧!$D$5:$D$2736,$F1255)="","",INDEX(選手一覧!$D$5:$D$2736,$F1255))</f>
        <v>0.010055787037037</v>
      </c>
      <c r="H1255" s="12" t="n">
        <f aca="false">IF(INDEX(選手一覧!$E$5:$E$2736,$F1255)="","",INDEX(選手一覧!$E$5:$E$2736,$F1255))</f>
        <v>39</v>
      </c>
      <c r="I1255" s="11" t="str">
        <f aca="false">IF(INDEX(選手一覧!$F$5:$F$2736,$F1255)="","",INDEX(選手一覧!$F$5:$F$2736,$F1255))</f>
        <v/>
      </c>
      <c r="J1255" s="12" t="str">
        <f aca="false">IF(INDEX(選手一覧!$G$5:$G$2736,$F1255)="","",INDEX(選手一覧!$G$5:$G$2736,$F1255))</f>
        <v/>
      </c>
    </row>
    <row r="1256" customFormat="false" ht="15" hidden="false" customHeight="false" outlineLevel="0" collapsed="false">
      <c r="A1256" s="12" t="n">
        <v>1253</v>
      </c>
      <c r="B1256" s="8" t="s">
        <v>3917</v>
      </c>
      <c r="C1256" s="8" t="s">
        <v>3918</v>
      </c>
      <c r="D1256" s="11" t="n">
        <v>0.00295532407407407</v>
      </c>
      <c r="E1256" s="39" t="n">
        <f aca="false">ROUND((D1256-$D$5)*86400,2)</f>
        <v>30.31</v>
      </c>
      <c r="F1256" s="12" t="n">
        <v>2561</v>
      </c>
      <c r="G1256" s="11" t="str">
        <f aca="false">IF(INDEX(選手一覧!$D$5:$D$2736,$F1256)="","",INDEX(選手一覧!$D$5:$D$2736,$F1256))</f>
        <v/>
      </c>
      <c r="H1256" s="12" t="str">
        <f aca="false">IF(INDEX(選手一覧!$E$5:$E$2736,$F1256)="","",INDEX(選手一覧!$E$5:$E$2736,$F1256))</f>
        <v/>
      </c>
      <c r="I1256" s="11" t="str">
        <f aca="false">IF(INDEX(選手一覧!$F$5:$F$2736,$F1256)="","",INDEX(選手一覧!$F$5:$F$2736,$F1256))</f>
        <v/>
      </c>
      <c r="J1256" s="12" t="str">
        <f aca="false">IF(INDEX(選手一覧!$G$5:$G$2736,$F1256)="","",INDEX(選手一覧!$G$5:$G$2736,$F1256))</f>
        <v/>
      </c>
    </row>
    <row r="1257" customFormat="false" ht="15" hidden="false" customHeight="false" outlineLevel="0" collapsed="false">
      <c r="A1257" s="12" t="n">
        <v>1254</v>
      </c>
      <c r="B1257" s="8" t="s">
        <v>2135</v>
      </c>
      <c r="C1257" s="8" t="s">
        <v>2136</v>
      </c>
      <c r="D1257" s="11" t="n">
        <v>0.00295532407407407</v>
      </c>
      <c r="E1257" s="39" t="n">
        <f aca="false">ROUND((D1257-$D$5)*86400,2)</f>
        <v>30.31</v>
      </c>
      <c r="F1257" s="12" t="n">
        <v>1360</v>
      </c>
      <c r="G1257" s="11" t="str">
        <f aca="false">IF(INDEX(選手一覧!$D$5:$D$2736,$F1257)="","",INDEX(選手一覧!$D$5:$D$2736,$F1257))</f>
        <v/>
      </c>
      <c r="H1257" s="12" t="str">
        <f aca="false">IF(INDEX(選手一覧!$E$5:$E$2736,$F1257)="","",INDEX(選手一覧!$E$5:$E$2736,$F1257))</f>
        <v/>
      </c>
      <c r="I1257" s="11" t="n">
        <f aca="false">IF(INDEX(選手一覧!$F$5:$F$2736,$F1257)="","",INDEX(選手一覧!$F$5:$F$2736,$F1257))</f>
        <v>0.00688159722222222</v>
      </c>
      <c r="J1257" s="12" t="n">
        <f aca="false">IF(INDEX(選手一覧!$G$5:$G$2736,$F1257)="","",INDEX(選手一覧!$G$5:$G$2736,$F1257))</f>
        <v>224</v>
      </c>
    </row>
    <row r="1258" customFormat="false" ht="15" hidden="false" customHeight="false" outlineLevel="0" collapsed="false">
      <c r="A1258" s="12" t="n">
        <v>1255</v>
      </c>
      <c r="B1258" s="8" t="s">
        <v>3922</v>
      </c>
      <c r="C1258" s="8" t="s">
        <v>817</v>
      </c>
      <c r="D1258" s="11" t="n">
        <v>0.00295555555555556</v>
      </c>
      <c r="E1258" s="39" t="n">
        <f aca="false">ROUND((D1258-$D$5)*86400,2)</f>
        <v>30.33</v>
      </c>
      <c r="F1258" s="12" t="n">
        <v>2564</v>
      </c>
      <c r="G1258" s="11" t="str">
        <f aca="false">IF(INDEX(選手一覧!$D$5:$D$2736,$F1258)="","",INDEX(選手一覧!$D$5:$D$2736,$F1258))</f>
        <v/>
      </c>
      <c r="H1258" s="12" t="str">
        <f aca="false">IF(INDEX(選手一覧!$E$5:$E$2736,$F1258)="","",INDEX(選手一覧!$E$5:$E$2736,$F1258))</f>
        <v/>
      </c>
      <c r="I1258" s="11" t="str">
        <f aca="false">IF(INDEX(選手一覧!$F$5:$F$2736,$F1258)="","",INDEX(選手一覧!$F$5:$F$2736,$F1258))</f>
        <v/>
      </c>
      <c r="J1258" s="12" t="str">
        <f aca="false">IF(INDEX(選手一覧!$G$5:$G$2736,$F1258)="","",INDEX(選手一覧!$G$5:$G$2736,$F1258))</f>
        <v/>
      </c>
    </row>
    <row r="1259" customFormat="false" ht="15" hidden="false" customHeight="false" outlineLevel="0" collapsed="false">
      <c r="A1259" s="12" t="n">
        <v>1256</v>
      </c>
      <c r="B1259" s="8" t="s">
        <v>3924</v>
      </c>
      <c r="C1259" s="8" t="s">
        <v>2779</v>
      </c>
      <c r="D1259" s="11" t="n">
        <v>0.0029556712962963</v>
      </c>
      <c r="E1259" s="39" t="n">
        <f aca="false">ROUND((D1259-$D$5)*86400,2)</f>
        <v>30.34</v>
      </c>
      <c r="F1259" s="12" t="n">
        <v>2566</v>
      </c>
      <c r="G1259" s="11" t="str">
        <f aca="false">IF(INDEX(選手一覧!$D$5:$D$2736,$F1259)="","",INDEX(選手一覧!$D$5:$D$2736,$F1259))</f>
        <v/>
      </c>
      <c r="H1259" s="12" t="str">
        <f aca="false">IF(INDEX(選手一覧!$E$5:$E$2736,$F1259)="","",INDEX(選手一覧!$E$5:$E$2736,$F1259))</f>
        <v/>
      </c>
      <c r="I1259" s="11" t="str">
        <f aca="false">IF(INDEX(選手一覧!$F$5:$F$2736,$F1259)="","",INDEX(選手一覧!$F$5:$F$2736,$F1259))</f>
        <v/>
      </c>
      <c r="J1259" s="12" t="str">
        <f aca="false">IF(INDEX(選手一覧!$G$5:$G$2736,$F1259)="","",INDEX(選手一覧!$G$5:$G$2736,$F1259))</f>
        <v/>
      </c>
    </row>
    <row r="1260" customFormat="false" ht="15" hidden="false" customHeight="false" outlineLevel="0" collapsed="false">
      <c r="A1260" s="12" t="n">
        <v>1257</v>
      </c>
      <c r="B1260" s="8" t="s">
        <v>3281</v>
      </c>
      <c r="C1260" s="8" t="s">
        <v>3282</v>
      </c>
      <c r="D1260" s="11" t="n">
        <v>0.00295590277777778</v>
      </c>
      <c r="E1260" s="39" t="n">
        <f aca="false">ROUND((D1260-$D$5)*86400,2)</f>
        <v>30.36</v>
      </c>
      <c r="F1260" s="12" t="n">
        <v>2121</v>
      </c>
      <c r="G1260" s="11" t="str">
        <f aca="false">IF(INDEX(選手一覧!$D$5:$D$2736,$F1260)="","",INDEX(選手一覧!$D$5:$D$2736,$F1260))</f>
        <v/>
      </c>
      <c r="H1260" s="12" t="str">
        <f aca="false">IF(INDEX(選手一覧!$E$5:$E$2736,$F1260)="","",INDEX(選手一覧!$E$5:$E$2736,$F1260))</f>
        <v/>
      </c>
      <c r="I1260" s="11" t="n">
        <f aca="false">IF(INDEX(選手一覧!$F$5:$F$2736,$F1260)="","",INDEX(選手一覧!$F$5:$F$2736,$F1260))</f>
        <v>0.00753773148148148</v>
      </c>
      <c r="J1260" s="12" t="n">
        <f aca="false">IF(INDEX(選手一覧!$G$5:$G$2736,$F1260)="","",INDEX(選手一覧!$G$5:$G$2736,$F1260))</f>
        <v>942</v>
      </c>
    </row>
    <row r="1261" customFormat="false" ht="15" hidden="false" customHeight="false" outlineLevel="0" collapsed="false">
      <c r="A1261" s="12" t="n">
        <v>1258</v>
      </c>
      <c r="B1261" s="8" t="s">
        <v>1602</v>
      </c>
      <c r="C1261" s="8" t="s">
        <v>721</v>
      </c>
      <c r="D1261" s="11" t="n">
        <v>0.00295613425925926</v>
      </c>
      <c r="E1261" s="39" t="n">
        <f aca="false">ROUND((D1261-$D$5)*86400,2)</f>
        <v>30.38</v>
      </c>
      <c r="F1261" s="12" t="n">
        <v>986</v>
      </c>
      <c r="G1261" s="11" t="n">
        <f aca="false">IF(INDEX(選手一覧!$D$5:$D$2736,$F1261)="","",INDEX(選手一覧!$D$5:$D$2736,$F1261))</f>
        <v>0.0109427083333333</v>
      </c>
      <c r="H1261" s="12" t="n">
        <f aca="false">IF(INDEX(選手一覧!$E$5:$E$2736,$F1261)="","",INDEX(選手一覧!$E$5:$E$2736,$F1261))</f>
        <v>987</v>
      </c>
      <c r="I1261" s="11" t="str">
        <f aca="false">IF(INDEX(選手一覧!$F$5:$F$2736,$F1261)="","",INDEX(選手一覧!$F$5:$F$2736,$F1261))</f>
        <v/>
      </c>
      <c r="J1261" s="12" t="str">
        <f aca="false">IF(INDEX(選手一覧!$G$5:$G$2736,$F1261)="","",INDEX(選手一覧!$G$5:$G$2736,$F1261))</f>
        <v/>
      </c>
    </row>
    <row r="1262" customFormat="false" ht="15" hidden="false" customHeight="false" outlineLevel="0" collapsed="false">
      <c r="A1262" s="12" t="n">
        <v>1259</v>
      </c>
      <c r="B1262" s="8" t="s">
        <v>2412</v>
      </c>
      <c r="C1262" s="8" t="s">
        <v>2111</v>
      </c>
      <c r="D1262" s="11" t="n">
        <v>0.00295694444444444</v>
      </c>
      <c r="E1262" s="39" t="n">
        <f aca="false">ROUND((D1262-$D$5)*86400,2)</f>
        <v>30.45</v>
      </c>
      <c r="F1262" s="12" t="n">
        <v>1545</v>
      </c>
      <c r="G1262" s="11" t="str">
        <f aca="false">IF(INDEX(選手一覧!$D$5:$D$2736,$F1262)="","",INDEX(選手一覧!$D$5:$D$2736,$F1262))</f>
        <v/>
      </c>
      <c r="H1262" s="12" t="str">
        <f aca="false">IF(INDEX(選手一覧!$E$5:$E$2736,$F1262)="","",INDEX(選手一覧!$E$5:$E$2736,$F1262))</f>
        <v/>
      </c>
      <c r="I1262" s="11" t="n">
        <f aca="false">IF(INDEX(選手一覧!$F$5:$F$2736,$F1262)="","",INDEX(選手一覧!$F$5:$F$2736,$F1262))</f>
        <v>0.00709849537037037</v>
      </c>
      <c r="J1262" s="12" t="n">
        <f aca="false">IF(INDEX(選手一覧!$G$5:$G$2736,$F1262)="","",INDEX(選手一覧!$G$5:$G$2736,$F1262))</f>
        <v>449</v>
      </c>
    </row>
    <row r="1263" customFormat="false" ht="15" hidden="false" customHeight="false" outlineLevel="0" collapsed="false">
      <c r="A1263" s="12" t="n">
        <v>1260</v>
      </c>
      <c r="B1263" s="8" t="s">
        <v>3930</v>
      </c>
      <c r="C1263" s="8" t="s">
        <v>1413</v>
      </c>
      <c r="D1263" s="11" t="n">
        <v>0.00295706018518519</v>
      </c>
      <c r="E1263" s="39" t="n">
        <f aca="false">ROUND((D1263-$D$5)*86400,2)</f>
        <v>30.46</v>
      </c>
      <c r="F1263" s="12" t="n">
        <v>2571</v>
      </c>
      <c r="G1263" s="11" t="str">
        <f aca="false">IF(INDEX(選手一覧!$D$5:$D$2736,$F1263)="","",INDEX(選手一覧!$D$5:$D$2736,$F1263))</f>
        <v/>
      </c>
      <c r="H1263" s="12" t="str">
        <f aca="false">IF(INDEX(選手一覧!$E$5:$E$2736,$F1263)="","",INDEX(選手一覧!$E$5:$E$2736,$F1263))</f>
        <v/>
      </c>
      <c r="I1263" s="11" t="str">
        <f aca="false">IF(INDEX(選手一覧!$F$5:$F$2736,$F1263)="","",INDEX(選手一覧!$F$5:$F$2736,$F1263))</f>
        <v/>
      </c>
      <c r="J1263" s="12" t="str">
        <f aca="false">IF(INDEX(選手一覧!$G$5:$G$2736,$F1263)="","",INDEX(選手一覧!$G$5:$G$2736,$F1263))</f>
        <v/>
      </c>
    </row>
    <row r="1264" customFormat="false" ht="15" hidden="false" customHeight="false" outlineLevel="0" collapsed="false">
      <c r="A1264" s="12" t="n">
        <v>1261</v>
      </c>
      <c r="B1264" s="8" t="s">
        <v>3932</v>
      </c>
      <c r="C1264" s="8" t="s">
        <v>530</v>
      </c>
      <c r="D1264" s="11" t="n">
        <v>0.00295787037037037</v>
      </c>
      <c r="E1264" s="39" t="n">
        <f aca="false">ROUND((D1264-$D$5)*86400,2)</f>
        <v>30.53</v>
      </c>
      <c r="F1264" s="12" t="n">
        <v>2573</v>
      </c>
      <c r="G1264" s="11" t="str">
        <f aca="false">IF(INDEX(選手一覧!$D$5:$D$2736,$F1264)="","",INDEX(選手一覧!$D$5:$D$2736,$F1264))</f>
        <v/>
      </c>
      <c r="H1264" s="12" t="str">
        <f aca="false">IF(INDEX(選手一覧!$E$5:$E$2736,$F1264)="","",INDEX(選手一覧!$E$5:$E$2736,$F1264))</f>
        <v/>
      </c>
      <c r="I1264" s="11" t="str">
        <f aca="false">IF(INDEX(選手一覧!$F$5:$F$2736,$F1264)="","",INDEX(選手一覧!$F$5:$F$2736,$F1264))</f>
        <v/>
      </c>
      <c r="J1264" s="12" t="str">
        <f aca="false">IF(INDEX(選手一覧!$G$5:$G$2736,$F1264)="","",INDEX(選手一覧!$G$5:$G$2736,$F1264))</f>
        <v/>
      </c>
    </row>
    <row r="1265" customFormat="false" ht="15" hidden="false" customHeight="false" outlineLevel="0" collapsed="false">
      <c r="A1265" s="12" t="n">
        <v>1262</v>
      </c>
      <c r="B1265" s="8" t="s">
        <v>364</v>
      </c>
      <c r="C1265" s="8" t="s">
        <v>136</v>
      </c>
      <c r="D1265" s="11" t="n">
        <v>0.00295821759259259</v>
      </c>
      <c r="E1265" s="39" t="n">
        <f aca="false">ROUND((D1265-$D$5)*86400,2)</f>
        <v>30.56</v>
      </c>
      <c r="F1265" s="12" t="n">
        <v>182</v>
      </c>
      <c r="G1265" s="11" t="n">
        <f aca="false">IF(INDEX(選手一覧!$D$5:$D$2736,$F1265)="","",INDEX(選手一覧!$D$5:$D$2736,$F1265))</f>
        <v>0.0103304398148148</v>
      </c>
      <c r="H1265" s="12" t="n">
        <f aca="false">IF(INDEX(選手一覧!$E$5:$E$2736,$F1265)="","",INDEX(選手一覧!$E$5:$E$2736,$F1265))</f>
        <v>183</v>
      </c>
      <c r="I1265" s="11" t="str">
        <f aca="false">IF(INDEX(選手一覧!$F$5:$F$2736,$F1265)="","",INDEX(選手一覧!$F$5:$F$2736,$F1265))</f>
        <v/>
      </c>
      <c r="J1265" s="12" t="str">
        <f aca="false">IF(INDEX(選手一覧!$G$5:$G$2736,$F1265)="","",INDEX(選手一覧!$G$5:$G$2736,$F1265))</f>
        <v/>
      </c>
    </row>
    <row r="1266" customFormat="false" ht="15" hidden="false" customHeight="false" outlineLevel="0" collapsed="false">
      <c r="A1266" s="12" t="n">
        <v>1263</v>
      </c>
      <c r="B1266" s="8" t="s">
        <v>1914</v>
      </c>
      <c r="C1266" s="8" t="s">
        <v>1884</v>
      </c>
      <c r="D1266" s="11" t="n">
        <v>0.00295844907407407</v>
      </c>
      <c r="E1266" s="39" t="n">
        <f aca="false">ROUND((D1266-$D$5)*86400,2)</f>
        <v>30.58</v>
      </c>
      <c r="F1266" s="12" t="n">
        <v>1200</v>
      </c>
      <c r="G1266" s="11" t="n">
        <f aca="false">IF(INDEX(選手一覧!$D$5:$D$2736,$F1266)="","",INDEX(選手一覧!$D$5:$D$2736,$F1266))</f>
        <v>0.0110520833333333</v>
      </c>
      <c r="H1266" s="12" t="n">
        <f aca="false">IF(INDEX(選手一覧!$E$5:$E$2736,$F1266)="","",INDEX(選手一覧!$E$5:$E$2736,$F1266))</f>
        <v>1201</v>
      </c>
      <c r="I1266" s="11" t="str">
        <f aca="false">IF(INDEX(選手一覧!$F$5:$F$2736,$F1266)="","",INDEX(選手一覧!$F$5:$F$2736,$F1266))</f>
        <v/>
      </c>
      <c r="J1266" s="12" t="str">
        <f aca="false">IF(INDEX(選手一覧!$G$5:$G$2736,$F1266)="","",INDEX(選手一覧!$G$5:$G$2736,$F1266))</f>
        <v/>
      </c>
    </row>
    <row r="1267" customFormat="false" ht="15" hidden="false" customHeight="false" outlineLevel="0" collapsed="false">
      <c r="A1267" s="12" t="n">
        <v>1264</v>
      </c>
      <c r="B1267" s="8" t="s">
        <v>3355</v>
      </c>
      <c r="C1267" s="8" t="s">
        <v>1042</v>
      </c>
      <c r="D1267" s="11" t="n">
        <v>0.00295902777777778</v>
      </c>
      <c r="E1267" s="39" t="n">
        <f aca="false">ROUND((D1267-$D$5)*86400,2)</f>
        <v>30.63</v>
      </c>
      <c r="F1267" s="12" t="n">
        <v>2171</v>
      </c>
      <c r="G1267" s="11" t="str">
        <f aca="false">IF(INDEX(選手一覧!$D$5:$D$2736,$F1267)="","",INDEX(選手一覧!$D$5:$D$2736,$F1267))</f>
        <v/>
      </c>
      <c r="H1267" s="12" t="str">
        <f aca="false">IF(INDEX(選手一覧!$E$5:$E$2736,$F1267)="","",INDEX(選手一覧!$E$5:$E$2736,$F1267))</f>
        <v/>
      </c>
      <c r="I1267" s="11" t="n">
        <f aca="false">IF(INDEX(選手一覧!$F$5:$F$2736,$F1267)="","",INDEX(選手一覧!$F$5:$F$2736,$F1267))</f>
        <v>0.00757627314814815</v>
      </c>
      <c r="J1267" s="12" t="n">
        <f aca="false">IF(INDEX(選手一覧!$G$5:$G$2736,$F1267)="","",INDEX(選手一覧!$G$5:$G$2736,$F1267))</f>
        <v>978</v>
      </c>
    </row>
    <row r="1268" customFormat="false" ht="15" hidden="false" customHeight="false" outlineLevel="0" collapsed="false">
      <c r="A1268" s="12" t="n">
        <v>1265</v>
      </c>
      <c r="B1268" s="8" t="s">
        <v>3939</v>
      </c>
      <c r="C1268" s="8" t="s">
        <v>76</v>
      </c>
      <c r="D1268" s="11" t="n">
        <v>0.00295914351851852</v>
      </c>
      <c r="E1268" s="39" t="n">
        <f aca="false">ROUND((D1268-$D$5)*86400,2)</f>
        <v>30.64</v>
      </c>
      <c r="F1268" s="12" t="n">
        <v>2578</v>
      </c>
      <c r="G1268" s="11" t="str">
        <f aca="false">IF(INDEX(選手一覧!$D$5:$D$2736,$F1268)="","",INDEX(選手一覧!$D$5:$D$2736,$F1268))</f>
        <v/>
      </c>
      <c r="H1268" s="12" t="str">
        <f aca="false">IF(INDEX(選手一覧!$E$5:$E$2736,$F1268)="","",INDEX(選手一覧!$E$5:$E$2736,$F1268))</f>
        <v/>
      </c>
      <c r="I1268" s="11" t="str">
        <f aca="false">IF(INDEX(選手一覧!$F$5:$F$2736,$F1268)="","",INDEX(選手一覧!$F$5:$F$2736,$F1268))</f>
        <v/>
      </c>
      <c r="J1268" s="12" t="str">
        <f aca="false">IF(INDEX(選手一覧!$G$5:$G$2736,$F1268)="","",INDEX(選手一覧!$G$5:$G$2736,$F1268))</f>
        <v/>
      </c>
    </row>
    <row r="1269" customFormat="false" ht="15" hidden="false" customHeight="false" outlineLevel="0" collapsed="false">
      <c r="A1269" s="12" t="n">
        <v>1266</v>
      </c>
      <c r="B1269" s="8" t="s">
        <v>2340</v>
      </c>
      <c r="C1269" s="8" t="s">
        <v>2341</v>
      </c>
      <c r="D1269" s="11" t="n">
        <v>0.00295925925925926</v>
      </c>
      <c r="E1269" s="39" t="n">
        <f aca="false">ROUND((D1269-$D$5)*86400,2)</f>
        <v>30.65</v>
      </c>
      <c r="F1269" s="12" t="n">
        <v>1494</v>
      </c>
      <c r="G1269" s="11" t="str">
        <f aca="false">IF(INDEX(選手一覧!$D$5:$D$2736,$F1269)="","",INDEX(選手一覧!$D$5:$D$2736,$F1269))</f>
        <v/>
      </c>
      <c r="H1269" s="12" t="str">
        <f aca="false">IF(INDEX(選手一覧!$E$5:$E$2736,$F1269)="","",INDEX(選手一覧!$E$5:$E$2736,$F1269))</f>
        <v/>
      </c>
      <c r="I1269" s="11" t="n">
        <f aca="false">IF(INDEX(選手一覧!$F$5:$F$2736,$F1269)="","",INDEX(選手一覧!$F$5:$F$2736,$F1269))</f>
        <v>0.00705416666666667</v>
      </c>
      <c r="J1269" s="12" t="n">
        <f aca="false">IF(INDEX(選手一覧!$G$5:$G$2736,$F1269)="","",INDEX(選手一覧!$G$5:$G$2736,$F1269))</f>
        <v>393</v>
      </c>
    </row>
    <row r="1270" customFormat="false" ht="15" hidden="false" customHeight="false" outlineLevel="0" collapsed="false">
      <c r="A1270" s="12" t="n">
        <v>1267</v>
      </c>
      <c r="B1270" s="8" t="s">
        <v>3944</v>
      </c>
      <c r="C1270" s="8" t="s">
        <v>2623</v>
      </c>
      <c r="D1270" s="11" t="n">
        <v>0.002959375</v>
      </c>
      <c r="E1270" s="39" t="n">
        <f aca="false">ROUND((D1270-$D$5)*86400,2)</f>
        <v>30.66</v>
      </c>
      <c r="F1270" s="12" t="n">
        <v>2581</v>
      </c>
      <c r="G1270" s="11" t="str">
        <f aca="false">IF(INDEX(選手一覧!$D$5:$D$2736,$F1270)="","",INDEX(選手一覧!$D$5:$D$2736,$F1270))</f>
        <v/>
      </c>
      <c r="H1270" s="12" t="str">
        <f aca="false">IF(INDEX(選手一覧!$E$5:$E$2736,$F1270)="","",INDEX(選手一覧!$E$5:$E$2736,$F1270))</f>
        <v/>
      </c>
      <c r="I1270" s="11" t="str">
        <f aca="false">IF(INDEX(選手一覧!$F$5:$F$2736,$F1270)="","",INDEX(選手一覧!$F$5:$F$2736,$F1270))</f>
        <v/>
      </c>
      <c r="J1270" s="12" t="str">
        <f aca="false">IF(INDEX(選手一覧!$G$5:$G$2736,$F1270)="","",INDEX(選手一覧!$G$5:$G$2736,$F1270))</f>
        <v/>
      </c>
    </row>
    <row r="1271" customFormat="false" ht="15" hidden="false" customHeight="false" outlineLevel="0" collapsed="false">
      <c r="A1271" s="12" t="n">
        <v>1268</v>
      </c>
      <c r="B1271" s="8" t="s">
        <v>3946</v>
      </c>
      <c r="C1271" s="8" t="s">
        <v>3947</v>
      </c>
      <c r="D1271" s="11" t="n">
        <v>0.00295949074074074</v>
      </c>
      <c r="E1271" s="39" t="n">
        <f aca="false">ROUND((D1271-$D$5)*86400,2)</f>
        <v>30.67</v>
      </c>
      <c r="F1271" s="12" t="n">
        <v>2583</v>
      </c>
      <c r="G1271" s="11" t="str">
        <f aca="false">IF(INDEX(選手一覧!$D$5:$D$2736,$F1271)="","",INDEX(選手一覧!$D$5:$D$2736,$F1271))</f>
        <v/>
      </c>
      <c r="H1271" s="12" t="str">
        <f aca="false">IF(INDEX(選手一覧!$E$5:$E$2736,$F1271)="","",INDEX(選手一覧!$E$5:$E$2736,$F1271))</f>
        <v/>
      </c>
      <c r="I1271" s="11" t="str">
        <f aca="false">IF(INDEX(選手一覧!$F$5:$F$2736,$F1271)="","",INDEX(選手一覧!$F$5:$F$2736,$F1271))</f>
        <v/>
      </c>
      <c r="J1271" s="12" t="str">
        <f aca="false">IF(INDEX(選手一覧!$G$5:$G$2736,$F1271)="","",INDEX(選手一覧!$G$5:$G$2736,$F1271))</f>
        <v/>
      </c>
    </row>
    <row r="1272" customFormat="false" ht="15" hidden="false" customHeight="false" outlineLevel="0" collapsed="false">
      <c r="A1272" s="12" t="n">
        <v>1269</v>
      </c>
      <c r="B1272" s="8" t="s">
        <v>3949</v>
      </c>
      <c r="C1272" s="8" t="s">
        <v>2818</v>
      </c>
      <c r="D1272" s="11" t="n">
        <v>0.00295972222222222</v>
      </c>
      <c r="E1272" s="39" t="n">
        <f aca="false">ROUND((D1272-$D$5)*86400,2)</f>
        <v>30.69</v>
      </c>
      <c r="F1272" s="12" t="n">
        <v>2585</v>
      </c>
      <c r="G1272" s="11" t="str">
        <f aca="false">IF(INDEX(選手一覧!$D$5:$D$2736,$F1272)="","",INDEX(選手一覧!$D$5:$D$2736,$F1272))</f>
        <v/>
      </c>
      <c r="H1272" s="12" t="str">
        <f aca="false">IF(INDEX(選手一覧!$E$5:$E$2736,$F1272)="","",INDEX(選手一覧!$E$5:$E$2736,$F1272))</f>
        <v/>
      </c>
      <c r="I1272" s="11" t="str">
        <f aca="false">IF(INDEX(選手一覧!$F$5:$F$2736,$F1272)="","",INDEX(選手一覧!$F$5:$F$2736,$F1272))</f>
        <v/>
      </c>
      <c r="J1272" s="12" t="str">
        <f aca="false">IF(INDEX(選手一覧!$G$5:$G$2736,$F1272)="","",INDEX(選手一覧!$G$5:$G$2736,$F1272))</f>
        <v/>
      </c>
    </row>
    <row r="1273" customFormat="false" ht="15" hidden="false" customHeight="false" outlineLevel="0" collapsed="false">
      <c r="A1273" s="12" t="n">
        <v>1270</v>
      </c>
      <c r="B1273" s="8" t="s">
        <v>1581</v>
      </c>
      <c r="C1273" s="8" t="s">
        <v>1258</v>
      </c>
      <c r="D1273" s="11" t="n">
        <v>0.00295972222222222</v>
      </c>
      <c r="E1273" s="39" t="n">
        <f aca="false">ROUND((D1273-$D$5)*86400,2)</f>
        <v>30.69</v>
      </c>
      <c r="F1273" s="12" t="n">
        <v>973</v>
      </c>
      <c r="G1273" s="11" t="n">
        <f aca="false">IF(INDEX(選手一覧!$D$5:$D$2736,$F1273)="","",INDEX(選手一覧!$D$5:$D$2736,$F1273))</f>
        <v>0.0109337962962963</v>
      </c>
      <c r="H1273" s="12" t="n">
        <f aca="false">IF(INDEX(選手一覧!$E$5:$E$2736,$F1273)="","",INDEX(選手一覧!$E$5:$E$2736,$F1273))</f>
        <v>974</v>
      </c>
      <c r="I1273" s="11" t="str">
        <f aca="false">IF(INDEX(選手一覧!$F$5:$F$2736,$F1273)="","",INDEX(選手一覧!$F$5:$F$2736,$F1273))</f>
        <v/>
      </c>
      <c r="J1273" s="12" t="str">
        <f aca="false">IF(INDEX(選手一覧!$G$5:$G$2736,$F1273)="","",INDEX(選手一覧!$G$5:$G$2736,$F1273))</f>
        <v/>
      </c>
    </row>
    <row r="1274" customFormat="false" ht="15" hidden="false" customHeight="false" outlineLevel="0" collapsed="false">
      <c r="A1274" s="12" t="n">
        <v>1271</v>
      </c>
      <c r="B1274" s="8" t="s">
        <v>1052</v>
      </c>
      <c r="C1274" s="8" t="s">
        <v>92</v>
      </c>
      <c r="D1274" s="11" t="n">
        <v>0.00295983796296296</v>
      </c>
      <c r="E1274" s="39" t="n">
        <f aca="false">ROUND((D1274-$D$5)*86400,2)</f>
        <v>30.7</v>
      </c>
      <c r="F1274" s="12" t="n">
        <v>619</v>
      </c>
      <c r="G1274" s="11" t="n">
        <f aca="false">IF(INDEX(選手一覧!$D$5:$D$2736,$F1274)="","",INDEX(選手一覧!$D$5:$D$2736,$F1274))</f>
        <v>0.0107236111111111</v>
      </c>
      <c r="H1274" s="12" t="n">
        <f aca="false">IF(INDEX(選手一覧!$E$5:$E$2736,$F1274)="","",INDEX(選手一覧!$E$5:$E$2736,$F1274))</f>
        <v>620</v>
      </c>
      <c r="I1274" s="11" t="n">
        <f aca="false">IF(INDEX(選手一覧!$F$5:$F$2736,$F1274)="","",INDEX(選手一覧!$F$5:$F$2736,$F1274))</f>
        <v>0.00674884259259259</v>
      </c>
      <c r="J1274" s="12" t="n">
        <f aca="false">IF(INDEX(選手一覧!$G$5:$G$2736,$F1274)="","",INDEX(選手一覧!$G$5:$G$2736,$F1274))</f>
        <v>127</v>
      </c>
    </row>
    <row r="1275" customFormat="false" ht="15" hidden="false" customHeight="false" outlineLevel="0" collapsed="false">
      <c r="A1275" s="12" t="n">
        <v>1272</v>
      </c>
      <c r="B1275" s="8" t="s">
        <v>3954</v>
      </c>
      <c r="C1275" s="8" t="s">
        <v>2733</v>
      </c>
      <c r="D1275" s="11" t="n">
        <v>0.00296006944444444</v>
      </c>
      <c r="E1275" s="39" t="n">
        <f aca="false">ROUND((D1275-$D$5)*86400,2)</f>
        <v>30.72</v>
      </c>
      <c r="F1275" s="12" t="n">
        <v>2589</v>
      </c>
      <c r="G1275" s="11" t="str">
        <f aca="false">IF(INDEX(選手一覧!$D$5:$D$2736,$F1275)="","",INDEX(選手一覧!$D$5:$D$2736,$F1275))</f>
        <v/>
      </c>
      <c r="H1275" s="12" t="str">
        <f aca="false">IF(INDEX(選手一覧!$E$5:$E$2736,$F1275)="","",INDEX(選手一覧!$E$5:$E$2736,$F1275))</f>
        <v/>
      </c>
      <c r="I1275" s="11" t="str">
        <f aca="false">IF(INDEX(選手一覧!$F$5:$F$2736,$F1275)="","",INDEX(選手一覧!$F$5:$F$2736,$F1275))</f>
        <v/>
      </c>
      <c r="J1275" s="12" t="str">
        <f aca="false">IF(INDEX(選手一覧!$G$5:$G$2736,$F1275)="","",INDEX(選手一覧!$G$5:$G$2736,$F1275))</f>
        <v/>
      </c>
    </row>
    <row r="1276" customFormat="false" ht="15" hidden="false" customHeight="false" outlineLevel="0" collapsed="false">
      <c r="A1276" s="12" t="n">
        <v>1273</v>
      </c>
      <c r="B1276" s="8" t="s">
        <v>355</v>
      </c>
      <c r="C1276" s="8" t="s">
        <v>304</v>
      </c>
      <c r="D1276" s="11" t="n">
        <v>0.00296030092592593</v>
      </c>
      <c r="E1276" s="39" t="n">
        <f aca="false">ROUND((D1276-$D$5)*86400,2)</f>
        <v>30.74</v>
      </c>
      <c r="F1276" s="12" t="n">
        <v>176</v>
      </c>
      <c r="G1276" s="11" t="n">
        <f aca="false">IF(INDEX(選手一覧!$D$5:$D$2736,$F1276)="","",INDEX(選手一覧!$D$5:$D$2736,$F1276))</f>
        <v>0.0103259259259259</v>
      </c>
      <c r="H1276" s="12" t="n">
        <f aca="false">IF(INDEX(選手一覧!$E$5:$E$2736,$F1276)="","",INDEX(選手一覧!$E$5:$E$2736,$F1276))</f>
        <v>177</v>
      </c>
      <c r="I1276" s="11" t="str">
        <f aca="false">IF(INDEX(選手一覧!$F$5:$F$2736,$F1276)="","",INDEX(選手一覧!$F$5:$F$2736,$F1276))</f>
        <v/>
      </c>
      <c r="J1276" s="12" t="str">
        <f aca="false">IF(INDEX(選手一覧!$G$5:$G$2736,$F1276)="","",INDEX(選手一覧!$G$5:$G$2736,$F1276))</f>
        <v/>
      </c>
    </row>
    <row r="1277" customFormat="false" ht="15" hidden="false" customHeight="false" outlineLevel="0" collapsed="false">
      <c r="A1277" s="12" t="n">
        <v>1274</v>
      </c>
      <c r="B1277" s="8" t="s">
        <v>1772</v>
      </c>
      <c r="C1277" s="8" t="s">
        <v>1773</v>
      </c>
      <c r="D1277" s="11" t="n">
        <v>0.00296041666666667</v>
      </c>
      <c r="E1277" s="39" t="n">
        <f aca="false">ROUND((D1277-$D$5)*86400,2)</f>
        <v>30.75</v>
      </c>
      <c r="F1277" s="12" t="n">
        <v>1101</v>
      </c>
      <c r="G1277" s="11" t="n">
        <f aca="false">IF(INDEX(選手一覧!$D$5:$D$2736,$F1277)="","",INDEX(選手一覧!$D$5:$D$2736,$F1277))</f>
        <v>0.0110052083333333</v>
      </c>
      <c r="H1277" s="12" t="n">
        <f aca="false">IF(INDEX(選手一覧!$E$5:$E$2736,$F1277)="","",INDEX(選手一覧!$E$5:$E$2736,$F1277))</f>
        <v>1102</v>
      </c>
      <c r="I1277" s="11" t="str">
        <f aca="false">IF(INDEX(選手一覧!$F$5:$F$2736,$F1277)="","",INDEX(選手一覧!$F$5:$F$2736,$F1277))</f>
        <v/>
      </c>
      <c r="J1277" s="12" t="str">
        <f aca="false">IF(INDEX(選手一覧!$G$5:$G$2736,$F1277)="","",INDEX(選手一覧!$G$5:$G$2736,$F1277))</f>
        <v/>
      </c>
    </row>
    <row r="1278" customFormat="false" ht="15" hidden="false" customHeight="false" outlineLevel="0" collapsed="false">
      <c r="A1278" s="12" t="n">
        <v>1275</v>
      </c>
      <c r="B1278" s="8" t="s">
        <v>3960</v>
      </c>
      <c r="C1278" s="8" t="s">
        <v>3202</v>
      </c>
      <c r="D1278" s="11" t="n">
        <v>0.00296053240740741</v>
      </c>
      <c r="E1278" s="39" t="n">
        <f aca="false">ROUND((D1278-$D$5)*86400,2)</f>
        <v>30.76</v>
      </c>
      <c r="F1278" s="12" t="n">
        <v>2593</v>
      </c>
      <c r="G1278" s="11" t="str">
        <f aca="false">IF(INDEX(選手一覧!$D$5:$D$2736,$F1278)="","",INDEX(選手一覧!$D$5:$D$2736,$F1278))</f>
        <v/>
      </c>
      <c r="H1278" s="12" t="str">
        <f aca="false">IF(INDEX(選手一覧!$E$5:$E$2736,$F1278)="","",INDEX(選手一覧!$E$5:$E$2736,$F1278))</f>
        <v/>
      </c>
      <c r="I1278" s="11" t="str">
        <f aca="false">IF(INDEX(選手一覧!$F$5:$F$2736,$F1278)="","",INDEX(選手一覧!$F$5:$F$2736,$F1278))</f>
        <v/>
      </c>
      <c r="J1278" s="12" t="str">
        <f aca="false">IF(INDEX(選手一覧!$G$5:$G$2736,$F1278)="","",INDEX(選手一覧!$G$5:$G$2736,$F1278))</f>
        <v/>
      </c>
    </row>
    <row r="1279" customFormat="false" ht="15" hidden="false" customHeight="false" outlineLevel="0" collapsed="false">
      <c r="A1279" s="12" t="n">
        <v>1276</v>
      </c>
      <c r="B1279" s="8" t="s">
        <v>3962</v>
      </c>
      <c r="C1279" s="8" t="s">
        <v>152</v>
      </c>
      <c r="D1279" s="11" t="n">
        <v>0.00296122685185185</v>
      </c>
      <c r="E1279" s="39" t="n">
        <f aca="false">ROUND((D1279-$D$5)*86400,2)</f>
        <v>30.82</v>
      </c>
      <c r="F1279" s="12" t="n">
        <v>2595</v>
      </c>
      <c r="G1279" s="11" t="str">
        <f aca="false">IF(INDEX(選手一覧!$D$5:$D$2736,$F1279)="","",INDEX(選手一覧!$D$5:$D$2736,$F1279))</f>
        <v/>
      </c>
      <c r="H1279" s="12" t="str">
        <f aca="false">IF(INDEX(選手一覧!$E$5:$E$2736,$F1279)="","",INDEX(選手一覧!$E$5:$E$2736,$F1279))</f>
        <v/>
      </c>
      <c r="I1279" s="11" t="str">
        <f aca="false">IF(INDEX(選手一覧!$F$5:$F$2736,$F1279)="","",INDEX(選手一覧!$F$5:$F$2736,$F1279))</f>
        <v/>
      </c>
      <c r="J1279" s="12" t="str">
        <f aca="false">IF(INDEX(選手一覧!$G$5:$G$2736,$F1279)="","",INDEX(選手一覧!$G$5:$G$2736,$F1279))</f>
        <v/>
      </c>
    </row>
    <row r="1280" customFormat="false" ht="15" hidden="false" customHeight="false" outlineLevel="0" collapsed="false">
      <c r="A1280" s="12" t="n">
        <v>1277</v>
      </c>
      <c r="B1280" s="8" t="s">
        <v>412</v>
      </c>
      <c r="C1280" s="8" t="s">
        <v>136</v>
      </c>
      <c r="D1280" s="11" t="n">
        <v>0.00296122685185185</v>
      </c>
      <c r="E1280" s="39" t="n">
        <f aca="false">ROUND((D1280-$D$5)*86400,2)</f>
        <v>30.82</v>
      </c>
      <c r="F1280" s="12" t="n">
        <v>211</v>
      </c>
      <c r="G1280" s="11" t="n">
        <f aca="false">IF(INDEX(選手一覧!$D$5:$D$2736,$F1280)="","",INDEX(選手一覧!$D$5:$D$2736,$F1280))</f>
        <v>0.0103578703703704</v>
      </c>
      <c r="H1280" s="12" t="n">
        <f aca="false">IF(INDEX(選手一覧!$E$5:$E$2736,$F1280)="","",INDEX(選手一覧!$E$5:$E$2736,$F1280))</f>
        <v>212</v>
      </c>
      <c r="I1280" s="11" t="str">
        <f aca="false">IF(INDEX(選手一覧!$F$5:$F$2736,$F1280)="","",INDEX(選手一覧!$F$5:$F$2736,$F1280))</f>
        <v/>
      </c>
      <c r="J1280" s="12" t="str">
        <f aca="false">IF(INDEX(選手一覧!$G$5:$G$2736,$F1280)="","",INDEX(選手一覧!$G$5:$G$2736,$F1280))</f>
        <v/>
      </c>
    </row>
    <row r="1281" customFormat="false" ht="15" hidden="false" customHeight="false" outlineLevel="0" collapsed="false">
      <c r="A1281" s="12" t="n">
        <v>1278</v>
      </c>
      <c r="B1281" s="8" t="s">
        <v>1146</v>
      </c>
      <c r="C1281" s="8" t="s">
        <v>1147</v>
      </c>
      <c r="D1281" s="11" t="n">
        <v>0.00296215277777778</v>
      </c>
      <c r="E1281" s="39" t="n">
        <f aca="false">ROUND((D1281-$D$5)*86400,2)</f>
        <v>30.9</v>
      </c>
      <c r="F1281" s="12" t="n">
        <v>683</v>
      </c>
      <c r="G1281" s="11" t="n">
        <f aca="false">IF(INDEX(選手一覧!$D$5:$D$2736,$F1281)="","",INDEX(選手一覧!$D$5:$D$2736,$F1281))</f>
        <v>0.0107622685185185</v>
      </c>
      <c r="H1281" s="12" t="n">
        <f aca="false">IF(INDEX(選手一覧!$E$5:$E$2736,$F1281)="","",INDEX(選手一覧!$E$5:$E$2736,$F1281))</f>
        <v>684</v>
      </c>
      <c r="I1281" s="11" t="n">
        <f aca="false">IF(INDEX(選手一覧!$F$5:$F$2736,$F1281)="","",INDEX(選手一覧!$F$5:$F$2736,$F1281))</f>
        <v>0.00711643518518519</v>
      </c>
      <c r="J1281" s="12" t="n">
        <f aca="false">IF(INDEX(選手一覧!$G$5:$G$2736,$F1281)="","",INDEX(選手一覧!$G$5:$G$2736,$F1281))</f>
        <v>460</v>
      </c>
    </row>
    <row r="1282" customFormat="false" ht="15" hidden="false" customHeight="false" outlineLevel="0" collapsed="false">
      <c r="A1282" s="12" t="n">
        <v>1279</v>
      </c>
      <c r="B1282" s="8" t="s">
        <v>3968</v>
      </c>
      <c r="C1282" s="8" t="s">
        <v>940</v>
      </c>
      <c r="D1282" s="11" t="n">
        <v>0.00296238425925926</v>
      </c>
      <c r="E1282" s="39" t="n">
        <f aca="false">ROUND((D1282-$D$5)*86400,2)</f>
        <v>30.92</v>
      </c>
      <c r="F1282" s="12" t="n">
        <v>2599</v>
      </c>
      <c r="G1282" s="11" t="str">
        <f aca="false">IF(INDEX(選手一覧!$D$5:$D$2736,$F1282)="","",INDEX(選手一覧!$D$5:$D$2736,$F1282))</f>
        <v/>
      </c>
      <c r="H1282" s="12" t="str">
        <f aca="false">IF(INDEX(選手一覧!$E$5:$E$2736,$F1282)="","",INDEX(選手一覧!$E$5:$E$2736,$F1282))</f>
        <v/>
      </c>
      <c r="I1282" s="11" t="str">
        <f aca="false">IF(INDEX(選手一覧!$F$5:$F$2736,$F1282)="","",INDEX(選手一覧!$F$5:$F$2736,$F1282))</f>
        <v/>
      </c>
      <c r="J1282" s="12" t="str">
        <f aca="false">IF(INDEX(選手一覧!$G$5:$G$2736,$F1282)="","",INDEX(選手一覧!$G$5:$G$2736,$F1282))</f>
        <v/>
      </c>
    </row>
    <row r="1283" customFormat="false" ht="15" hidden="false" customHeight="false" outlineLevel="0" collapsed="false">
      <c r="A1283" s="12" t="n">
        <v>1280</v>
      </c>
      <c r="B1283" s="8" t="s">
        <v>1904</v>
      </c>
      <c r="C1283" s="8" t="s">
        <v>1905</v>
      </c>
      <c r="D1283" s="11" t="n">
        <v>0.00296238425925926</v>
      </c>
      <c r="E1283" s="39" t="n">
        <f aca="false">ROUND((D1283-$D$5)*86400,2)</f>
        <v>30.92</v>
      </c>
      <c r="F1283" s="12" t="n">
        <v>1192</v>
      </c>
      <c r="G1283" s="11" t="n">
        <f aca="false">IF(INDEX(選手一覧!$D$5:$D$2736,$F1283)="","",INDEX(選手一覧!$D$5:$D$2736,$F1283))</f>
        <v>0.0110465277777778</v>
      </c>
      <c r="H1283" s="12" t="n">
        <f aca="false">IF(INDEX(選手一覧!$E$5:$E$2736,$F1283)="","",INDEX(選手一覧!$E$5:$E$2736,$F1283))</f>
        <v>1193</v>
      </c>
      <c r="I1283" s="11" t="str">
        <f aca="false">IF(INDEX(選手一覧!$F$5:$F$2736,$F1283)="","",INDEX(選手一覧!$F$5:$F$2736,$F1283))</f>
        <v/>
      </c>
      <c r="J1283" s="12" t="str">
        <f aca="false">IF(INDEX(選手一覧!$G$5:$G$2736,$F1283)="","",INDEX(選手一覧!$G$5:$G$2736,$F1283))</f>
        <v/>
      </c>
    </row>
    <row r="1284" customFormat="false" ht="15" hidden="false" customHeight="false" outlineLevel="0" collapsed="false">
      <c r="A1284" s="12" t="n">
        <v>1281</v>
      </c>
      <c r="B1284" s="8" t="s">
        <v>3973</v>
      </c>
      <c r="C1284" s="8" t="s">
        <v>704</v>
      </c>
      <c r="D1284" s="11" t="n">
        <v>0.0029625</v>
      </c>
      <c r="E1284" s="39" t="n">
        <f aca="false">ROUND((D1284-$D$5)*86400,2)</f>
        <v>30.93</v>
      </c>
      <c r="F1284" s="12" t="n">
        <v>2602</v>
      </c>
      <c r="G1284" s="11" t="str">
        <f aca="false">IF(INDEX(選手一覧!$D$5:$D$2736,$F1284)="","",INDEX(選手一覧!$D$5:$D$2736,$F1284))</f>
        <v/>
      </c>
      <c r="H1284" s="12" t="str">
        <f aca="false">IF(INDEX(選手一覧!$E$5:$E$2736,$F1284)="","",INDEX(選手一覧!$E$5:$E$2736,$F1284))</f>
        <v/>
      </c>
      <c r="I1284" s="11" t="str">
        <f aca="false">IF(INDEX(選手一覧!$F$5:$F$2736,$F1284)="","",INDEX(選手一覧!$F$5:$F$2736,$F1284))</f>
        <v/>
      </c>
      <c r="J1284" s="12" t="str">
        <f aca="false">IF(INDEX(選手一覧!$G$5:$G$2736,$F1284)="","",INDEX(選手一覧!$G$5:$G$2736,$F1284))</f>
        <v/>
      </c>
    </row>
    <row r="1285" customFormat="false" ht="15" hidden="false" customHeight="false" outlineLevel="0" collapsed="false">
      <c r="A1285" s="12" t="n">
        <v>1282</v>
      </c>
      <c r="B1285" s="8" t="s">
        <v>2780</v>
      </c>
      <c r="C1285" s="8" t="s">
        <v>2059</v>
      </c>
      <c r="D1285" s="11" t="n">
        <v>0.00296273148148148</v>
      </c>
      <c r="E1285" s="39" t="n">
        <f aca="false">ROUND((D1285-$D$5)*86400,2)</f>
        <v>30.95</v>
      </c>
      <c r="F1285" s="12" t="n">
        <v>1785</v>
      </c>
      <c r="G1285" s="11" t="str">
        <f aca="false">IF(INDEX(選手一覧!$D$5:$D$2736,$F1285)="","",INDEX(選手一覧!$D$5:$D$2736,$F1285))</f>
        <v/>
      </c>
      <c r="H1285" s="12" t="str">
        <f aca="false">IF(INDEX(選手一覧!$E$5:$E$2736,$F1285)="","",INDEX(選手一覧!$E$5:$E$2736,$F1285))</f>
        <v/>
      </c>
      <c r="I1285" s="11" t="n">
        <f aca="false">IF(INDEX(選手一覧!$F$5:$F$2736,$F1285)="","",INDEX(選手一覧!$F$5:$F$2736,$F1285))</f>
        <v>0.00732719907407408</v>
      </c>
      <c r="J1285" s="12" t="n">
        <f aca="false">IF(INDEX(選手一覧!$G$5:$G$2736,$F1285)="","",INDEX(選手一覧!$G$5:$G$2736,$F1285))</f>
        <v>679</v>
      </c>
    </row>
    <row r="1286" customFormat="false" ht="15" hidden="false" customHeight="false" outlineLevel="0" collapsed="false">
      <c r="A1286" s="12" t="n">
        <v>1283</v>
      </c>
      <c r="B1286" s="8" t="s">
        <v>1993</v>
      </c>
      <c r="C1286" s="8" t="s">
        <v>1042</v>
      </c>
      <c r="D1286" s="11" t="n">
        <v>0.00296331018518519</v>
      </c>
      <c r="E1286" s="39" t="n">
        <f aca="false">ROUND((D1286-$D$5)*86400,2)</f>
        <v>31</v>
      </c>
      <c r="F1286" s="12" t="n">
        <v>1257</v>
      </c>
      <c r="G1286" s="11" t="n">
        <f aca="false">IF(INDEX(選手一覧!$D$5:$D$2736,$F1286)="","",INDEX(選手一覧!$D$5:$D$2736,$F1286))</f>
        <v>0.0110859953703704</v>
      </c>
      <c r="H1286" s="12" t="n">
        <f aca="false">IF(INDEX(選手一覧!$E$5:$E$2736,$F1286)="","",INDEX(選手一覧!$E$5:$E$2736,$F1286))</f>
        <v>1258</v>
      </c>
      <c r="I1286" s="11" t="str">
        <f aca="false">IF(INDEX(選手一覧!$F$5:$F$2736,$F1286)="","",INDEX(選手一覧!$F$5:$F$2736,$F1286))</f>
        <v/>
      </c>
      <c r="J1286" s="12" t="str">
        <f aca="false">IF(INDEX(選手一覧!$G$5:$G$2736,$F1286)="","",INDEX(選手一覧!$G$5:$G$2736,$F1286))</f>
        <v/>
      </c>
    </row>
    <row r="1287" customFormat="false" ht="15" hidden="false" customHeight="false" outlineLevel="0" collapsed="false">
      <c r="A1287" s="12" t="n">
        <v>1284</v>
      </c>
      <c r="B1287" s="8" t="s">
        <v>2018</v>
      </c>
      <c r="C1287" s="8" t="s">
        <v>2019</v>
      </c>
      <c r="D1287" s="11" t="n">
        <v>0.00296331018518519</v>
      </c>
      <c r="E1287" s="39" t="n">
        <f aca="false">ROUND((D1287-$D$5)*86400,2)</f>
        <v>31</v>
      </c>
      <c r="F1287" s="12" t="n">
        <v>1280</v>
      </c>
      <c r="G1287" s="11" t="n">
        <f aca="false">IF(INDEX(選手一覧!$D$5:$D$2736,$F1287)="","",INDEX(選手一覧!$D$5:$D$2736,$F1287))</f>
        <v>0.0111152777777778</v>
      </c>
      <c r="H1287" s="12" t="n">
        <f aca="false">IF(INDEX(選手一覧!$E$5:$E$2736,$F1287)="","",INDEX(選手一覧!$E$5:$E$2736,$F1287))</f>
        <v>1281</v>
      </c>
      <c r="I1287" s="11" t="str">
        <f aca="false">IF(INDEX(選手一覧!$F$5:$F$2736,$F1287)="","",INDEX(選手一覧!$F$5:$F$2736,$F1287))</f>
        <v/>
      </c>
      <c r="J1287" s="12" t="str">
        <f aca="false">IF(INDEX(選手一覧!$G$5:$G$2736,$F1287)="","",INDEX(選手一覧!$G$5:$G$2736,$F1287))</f>
        <v/>
      </c>
    </row>
    <row r="1288" customFormat="false" ht="15" hidden="false" customHeight="false" outlineLevel="0" collapsed="false">
      <c r="A1288" s="12" t="n">
        <v>1285</v>
      </c>
      <c r="B1288" s="8" t="s">
        <v>3977</v>
      </c>
      <c r="C1288" s="8" t="s">
        <v>2056</v>
      </c>
      <c r="D1288" s="11" t="n">
        <v>0.00296342592592593</v>
      </c>
      <c r="E1288" s="39" t="n">
        <f aca="false">ROUND((D1288-$D$5)*86400,2)</f>
        <v>31.01</v>
      </c>
      <c r="F1288" s="12" t="n">
        <v>2606</v>
      </c>
      <c r="G1288" s="11" t="str">
        <f aca="false">IF(INDEX(選手一覧!$D$5:$D$2736,$F1288)="","",INDEX(選手一覧!$D$5:$D$2736,$F1288))</f>
        <v/>
      </c>
      <c r="H1288" s="12" t="str">
        <f aca="false">IF(INDEX(選手一覧!$E$5:$E$2736,$F1288)="","",INDEX(選手一覧!$E$5:$E$2736,$F1288))</f>
        <v/>
      </c>
      <c r="I1288" s="11" t="str">
        <f aca="false">IF(INDEX(選手一覧!$F$5:$F$2736,$F1288)="","",INDEX(選手一覧!$F$5:$F$2736,$F1288))</f>
        <v/>
      </c>
      <c r="J1288" s="12" t="str">
        <f aca="false">IF(INDEX(選手一覧!$G$5:$G$2736,$F1288)="","",INDEX(選手一覧!$G$5:$G$2736,$F1288))</f>
        <v/>
      </c>
    </row>
    <row r="1289" customFormat="false" ht="15" hidden="false" customHeight="false" outlineLevel="0" collapsed="false">
      <c r="A1289" s="12" t="n">
        <v>1286</v>
      </c>
      <c r="B1289" s="8" t="s">
        <v>416</v>
      </c>
      <c r="C1289" s="8" t="s">
        <v>52</v>
      </c>
      <c r="D1289" s="11" t="n">
        <v>0.00296354166666667</v>
      </c>
      <c r="E1289" s="39" t="n">
        <f aca="false">ROUND((D1289-$D$5)*86400,2)</f>
        <v>31.02</v>
      </c>
      <c r="F1289" s="12" t="n">
        <v>214</v>
      </c>
      <c r="G1289" s="11" t="n">
        <f aca="false">IF(INDEX(選手一覧!$D$5:$D$2736,$F1289)="","",INDEX(選手一覧!$D$5:$D$2736,$F1289))</f>
        <v>0.010359375</v>
      </c>
      <c r="H1289" s="12" t="n">
        <f aca="false">IF(INDEX(選手一覧!$E$5:$E$2736,$F1289)="","",INDEX(選手一覧!$E$5:$E$2736,$F1289))</f>
        <v>215</v>
      </c>
      <c r="I1289" s="11" t="str">
        <f aca="false">IF(INDEX(選手一覧!$F$5:$F$2736,$F1289)="","",INDEX(選手一覧!$F$5:$F$2736,$F1289))</f>
        <v/>
      </c>
      <c r="J1289" s="12" t="str">
        <f aca="false">IF(INDEX(選手一覧!$G$5:$G$2736,$F1289)="","",INDEX(選手一覧!$G$5:$G$2736,$F1289))</f>
        <v/>
      </c>
    </row>
    <row r="1290" customFormat="false" ht="15" hidden="false" customHeight="false" outlineLevel="0" collapsed="false">
      <c r="A1290" s="12" t="n">
        <v>1287</v>
      </c>
      <c r="B1290" s="8" t="s">
        <v>3981</v>
      </c>
      <c r="C1290" s="8" t="s">
        <v>857</v>
      </c>
      <c r="D1290" s="11" t="n">
        <v>0.00296388888888889</v>
      </c>
      <c r="E1290" s="39" t="n">
        <f aca="false">ROUND((D1290-$D$5)*86400,2)</f>
        <v>31.05</v>
      </c>
      <c r="F1290" s="12" t="n">
        <v>2609</v>
      </c>
      <c r="G1290" s="11" t="str">
        <f aca="false">IF(INDEX(選手一覧!$D$5:$D$2736,$F1290)="","",INDEX(選手一覧!$D$5:$D$2736,$F1290))</f>
        <v/>
      </c>
      <c r="H1290" s="12" t="str">
        <f aca="false">IF(INDEX(選手一覧!$E$5:$E$2736,$F1290)="","",INDEX(選手一覧!$E$5:$E$2736,$F1290))</f>
        <v/>
      </c>
      <c r="I1290" s="11" t="str">
        <f aca="false">IF(INDEX(選手一覧!$F$5:$F$2736,$F1290)="","",INDEX(選手一覧!$F$5:$F$2736,$F1290))</f>
        <v/>
      </c>
      <c r="J1290" s="12" t="str">
        <f aca="false">IF(INDEX(選手一覧!$G$5:$G$2736,$F1290)="","",INDEX(選手一覧!$G$5:$G$2736,$F1290))</f>
        <v/>
      </c>
    </row>
    <row r="1291" customFormat="false" ht="15" hidden="false" customHeight="false" outlineLevel="0" collapsed="false">
      <c r="A1291" s="12" t="n">
        <v>1288</v>
      </c>
      <c r="B1291" s="8" t="s">
        <v>3985</v>
      </c>
      <c r="C1291" s="8" t="s">
        <v>2696</v>
      </c>
      <c r="D1291" s="11" t="n">
        <v>0.00296435185185185</v>
      </c>
      <c r="E1291" s="39" t="n">
        <f aca="false">ROUND((D1291-$D$5)*86400,2)</f>
        <v>31.09</v>
      </c>
      <c r="F1291" s="12" t="n">
        <v>2611</v>
      </c>
      <c r="G1291" s="11" t="str">
        <f aca="false">IF(INDEX(選手一覧!$D$5:$D$2736,$F1291)="","",INDEX(選手一覧!$D$5:$D$2736,$F1291))</f>
        <v/>
      </c>
      <c r="H1291" s="12" t="str">
        <f aca="false">IF(INDEX(選手一覧!$E$5:$E$2736,$F1291)="","",INDEX(選手一覧!$E$5:$E$2736,$F1291))</f>
        <v/>
      </c>
      <c r="I1291" s="11" t="str">
        <f aca="false">IF(INDEX(選手一覧!$F$5:$F$2736,$F1291)="","",INDEX(選手一覧!$F$5:$F$2736,$F1291))</f>
        <v/>
      </c>
      <c r="J1291" s="12" t="str">
        <f aca="false">IF(INDEX(選手一覧!$G$5:$G$2736,$F1291)="","",INDEX(選手一覧!$G$5:$G$2736,$F1291))</f>
        <v/>
      </c>
    </row>
    <row r="1292" customFormat="false" ht="15" hidden="false" customHeight="false" outlineLevel="0" collapsed="false">
      <c r="A1292" s="12" t="n">
        <v>1289</v>
      </c>
      <c r="B1292" s="8" t="s">
        <v>838</v>
      </c>
      <c r="C1292" s="8" t="s">
        <v>839</v>
      </c>
      <c r="D1292" s="11" t="n">
        <v>0.00296493055555556</v>
      </c>
      <c r="E1292" s="39" t="n">
        <f aca="false">ROUND((D1292-$D$5)*86400,2)</f>
        <v>31.14</v>
      </c>
      <c r="F1292" s="12" t="n">
        <v>480</v>
      </c>
      <c r="G1292" s="11" t="n">
        <f aca="false">IF(INDEX(選手一覧!$D$5:$D$2736,$F1292)="","",INDEX(選手一覧!$D$5:$D$2736,$F1292))</f>
        <v>0.0106123842592593</v>
      </c>
      <c r="H1292" s="12" t="n">
        <f aca="false">IF(INDEX(選手一覧!$E$5:$E$2736,$F1292)="","",INDEX(選手一覧!$E$5:$E$2736,$F1292))</f>
        <v>481</v>
      </c>
      <c r="I1292" s="11" t="str">
        <f aca="false">IF(INDEX(選手一覧!$F$5:$F$2736,$F1292)="","",INDEX(選手一覧!$F$5:$F$2736,$F1292))</f>
        <v/>
      </c>
      <c r="J1292" s="12" t="str">
        <f aca="false">IF(INDEX(選手一覧!$G$5:$G$2736,$F1292)="","",INDEX(選手一覧!$G$5:$G$2736,$F1292))</f>
        <v/>
      </c>
    </row>
    <row r="1293" customFormat="false" ht="15" hidden="false" customHeight="false" outlineLevel="0" collapsed="false">
      <c r="A1293" s="12" t="n">
        <v>1290</v>
      </c>
      <c r="B1293" s="8" t="s">
        <v>1225</v>
      </c>
      <c r="C1293" s="8" t="s">
        <v>1042</v>
      </c>
      <c r="D1293" s="11" t="n">
        <v>0.00296493055555556</v>
      </c>
      <c r="E1293" s="39" t="n">
        <f aca="false">ROUND((D1293-$D$5)*86400,2)</f>
        <v>31.14</v>
      </c>
      <c r="F1293" s="12" t="n">
        <v>733</v>
      </c>
      <c r="G1293" s="11" t="n">
        <f aca="false">IF(INDEX(選手一覧!$D$5:$D$2736,$F1293)="","",INDEX(選手一覧!$D$5:$D$2736,$F1293))</f>
        <v>0.0107952546296296</v>
      </c>
      <c r="H1293" s="12" t="n">
        <f aca="false">IF(INDEX(選手一覧!$E$5:$E$2736,$F1293)="","",INDEX(選手一覧!$E$5:$E$2736,$F1293))</f>
        <v>734</v>
      </c>
      <c r="I1293" s="11" t="n">
        <f aca="false">IF(INDEX(選手一覧!$F$5:$F$2736,$F1293)="","",INDEX(選手一覧!$F$5:$F$2736,$F1293))</f>
        <v>0.00722488425925926</v>
      </c>
      <c r="J1293" s="12" t="n">
        <f aca="false">IF(INDEX(選手一覧!$G$5:$G$2736,$F1293)="","",INDEX(選手一覧!$G$5:$G$2736,$F1293))</f>
        <v>565</v>
      </c>
    </row>
    <row r="1294" customFormat="false" ht="15" hidden="false" customHeight="false" outlineLevel="0" collapsed="false">
      <c r="A1294" s="12" t="n">
        <v>1291</v>
      </c>
      <c r="B1294" s="8" t="s">
        <v>3990</v>
      </c>
      <c r="C1294" s="8" t="s">
        <v>148</v>
      </c>
      <c r="D1294" s="11" t="n">
        <v>0.00296527777777778</v>
      </c>
      <c r="E1294" s="39" t="n">
        <f aca="false">ROUND((D1294-$D$5)*86400,2)</f>
        <v>31.17</v>
      </c>
      <c r="F1294" s="12" t="n">
        <v>2615</v>
      </c>
      <c r="G1294" s="11" t="str">
        <f aca="false">IF(INDEX(選手一覧!$D$5:$D$2736,$F1294)="","",INDEX(選手一覧!$D$5:$D$2736,$F1294))</f>
        <v/>
      </c>
      <c r="H1294" s="12" t="str">
        <f aca="false">IF(INDEX(選手一覧!$E$5:$E$2736,$F1294)="","",INDEX(選手一覧!$E$5:$E$2736,$F1294))</f>
        <v/>
      </c>
      <c r="I1294" s="11" t="str">
        <f aca="false">IF(INDEX(選手一覧!$F$5:$F$2736,$F1294)="","",INDEX(選手一覧!$F$5:$F$2736,$F1294))</f>
        <v/>
      </c>
      <c r="J1294" s="12" t="str">
        <f aca="false">IF(INDEX(選手一覧!$G$5:$G$2736,$F1294)="","",INDEX(選手一覧!$G$5:$G$2736,$F1294))</f>
        <v/>
      </c>
    </row>
    <row r="1295" customFormat="false" ht="15" hidden="false" customHeight="false" outlineLevel="0" collapsed="false">
      <c r="A1295" s="12" t="n">
        <v>1292</v>
      </c>
      <c r="B1295" s="8" t="s">
        <v>3993</v>
      </c>
      <c r="C1295" s="8" t="s">
        <v>3444</v>
      </c>
      <c r="D1295" s="11" t="n">
        <v>0.00296550925925926</v>
      </c>
      <c r="E1295" s="39" t="n">
        <f aca="false">ROUND((D1295-$D$5)*86400,2)</f>
        <v>31.19</v>
      </c>
      <c r="F1295" s="12" t="n">
        <v>2617</v>
      </c>
      <c r="G1295" s="11" t="str">
        <f aca="false">IF(INDEX(選手一覧!$D$5:$D$2736,$F1295)="","",INDEX(選手一覧!$D$5:$D$2736,$F1295))</f>
        <v/>
      </c>
      <c r="H1295" s="12" t="str">
        <f aca="false">IF(INDEX(選手一覧!$E$5:$E$2736,$F1295)="","",INDEX(選手一覧!$E$5:$E$2736,$F1295))</f>
        <v/>
      </c>
      <c r="I1295" s="11" t="str">
        <f aca="false">IF(INDEX(選手一覧!$F$5:$F$2736,$F1295)="","",INDEX(選手一覧!$F$5:$F$2736,$F1295))</f>
        <v/>
      </c>
      <c r="J1295" s="12" t="str">
        <f aca="false">IF(INDEX(選手一覧!$G$5:$G$2736,$F1295)="","",INDEX(選手一覧!$G$5:$G$2736,$F1295))</f>
        <v/>
      </c>
    </row>
    <row r="1296" customFormat="false" ht="15" hidden="false" customHeight="false" outlineLevel="0" collapsed="false">
      <c r="A1296" s="12" t="n">
        <v>1293</v>
      </c>
      <c r="B1296" s="8" t="s">
        <v>3995</v>
      </c>
      <c r="C1296" s="8" t="s">
        <v>56</v>
      </c>
      <c r="D1296" s="11" t="n">
        <v>0.00296550925925926</v>
      </c>
      <c r="E1296" s="39" t="n">
        <f aca="false">ROUND((D1296-$D$5)*86400,2)</f>
        <v>31.19</v>
      </c>
      <c r="F1296" s="12" t="n">
        <v>2619</v>
      </c>
      <c r="G1296" s="11" t="str">
        <f aca="false">IF(INDEX(選手一覧!$D$5:$D$2736,$F1296)="","",INDEX(選手一覧!$D$5:$D$2736,$F1296))</f>
        <v/>
      </c>
      <c r="H1296" s="12" t="str">
        <f aca="false">IF(INDEX(選手一覧!$E$5:$E$2736,$F1296)="","",INDEX(選手一覧!$E$5:$E$2736,$F1296))</f>
        <v/>
      </c>
      <c r="I1296" s="11" t="str">
        <f aca="false">IF(INDEX(選手一覧!$F$5:$F$2736,$F1296)="","",INDEX(選手一覧!$F$5:$F$2736,$F1296))</f>
        <v/>
      </c>
      <c r="J1296" s="12" t="str">
        <f aca="false">IF(INDEX(選手一覧!$G$5:$G$2736,$F1296)="","",INDEX(選手一覧!$G$5:$G$2736,$F1296))</f>
        <v/>
      </c>
    </row>
    <row r="1297" customFormat="false" ht="15" hidden="false" customHeight="false" outlineLevel="0" collapsed="false">
      <c r="A1297" s="12" t="n">
        <v>1294</v>
      </c>
      <c r="B1297" s="8" t="s">
        <v>1897</v>
      </c>
      <c r="C1297" s="8" t="s">
        <v>73</v>
      </c>
      <c r="D1297" s="11" t="n">
        <v>0.00296585648148148</v>
      </c>
      <c r="E1297" s="39" t="n">
        <f aca="false">ROUND((D1297-$D$5)*86400,2)</f>
        <v>31.22</v>
      </c>
      <c r="F1297" s="12" t="n">
        <v>1187</v>
      </c>
      <c r="G1297" s="11" t="n">
        <f aca="false">IF(INDEX(選手一覧!$D$5:$D$2736,$F1297)="","",INDEX(選手一覧!$D$5:$D$2736,$F1297))</f>
        <v>0.0110440972222222</v>
      </c>
      <c r="H1297" s="12" t="n">
        <f aca="false">IF(INDEX(選手一覧!$E$5:$E$2736,$F1297)="","",INDEX(選手一覧!$E$5:$E$2736,$F1297))</f>
        <v>1188</v>
      </c>
      <c r="I1297" s="11" t="str">
        <f aca="false">IF(INDEX(選手一覧!$F$5:$F$2736,$F1297)="","",INDEX(選手一覧!$F$5:$F$2736,$F1297))</f>
        <v/>
      </c>
      <c r="J1297" s="12" t="str">
        <f aca="false">IF(INDEX(選手一覧!$G$5:$G$2736,$F1297)="","",INDEX(選手一覧!$G$5:$G$2736,$F1297))</f>
        <v/>
      </c>
    </row>
    <row r="1298" customFormat="false" ht="15" hidden="false" customHeight="false" outlineLevel="0" collapsed="false">
      <c r="A1298" s="12" t="n">
        <v>1295</v>
      </c>
      <c r="B1298" s="8" t="s">
        <v>2211</v>
      </c>
      <c r="C1298" s="8" t="s">
        <v>2212</v>
      </c>
      <c r="D1298" s="11" t="n">
        <v>0.00296608796296296</v>
      </c>
      <c r="E1298" s="39" t="n">
        <f aca="false">ROUND((D1298-$D$5)*86400,2)</f>
        <v>31.24</v>
      </c>
      <c r="F1298" s="12" t="n">
        <v>1414</v>
      </c>
      <c r="G1298" s="11" t="str">
        <f aca="false">IF(INDEX(選手一覧!$D$5:$D$2736,$F1298)="","",INDEX(選手一覧!$D$5:$D$2736,$F1298))</f>
        <v/>
      </c>
      <c r="H1298" s="12" t="str">
        <f aca="false">IF(INDEX(選手一覧!$E$5:$E$2736,$F1298)="","",INDEX(選手一覧!$E$5:$E$2736,$F1298))</f>
        <v/>
      </c>
      <c r="I1298" s="11" t="n">
        <f aca="false">IF(INDEX(選手一覧!$F$5:$F$2736,$F1298)="","",INDEX(選手一覧!$F$5:$F$2736,$F1298))</f>
        <v>0.00695752314814815</v>
      </c>
      <c r="J1298" s="12" t="n">
        <f aca="false">IF(INDEX(選手一覧!$G$5:$G$2736,$F1298)="","",INDEX(選手一覧!$G$5:$G$2736,$F1298))</f>
        <v>290</v>
      </c>
    </row>
    <row r="1299" customFormat="false" ht="15" hidden="false" customHeight="false" outlineLevel="0" collapsed="false">
      <c r="A1299" s="12" t="n">
        <v>1296</v>
      </c>
      <c r="B1299" s="8" t="s">
        <v>2674</v>
      </c>
      <c r="C1299" s="8" t="s">
        <v>3992</v>
      </c>
      <c r="D1299" s="11" t="n">
        <v>0.00296631944444445</v>
      </c>
      <c r="E1299" s="39" t="n">
        <f aca="false">ROUND((D1299-$D$5)*86400,2)</f>
        <v>31.26</v>
      </c>
      <c r="F1299" s="12" t="n">
        <v>1716</v>
      </c>
      <c r="G1299" s="11" t="str">
        <f aca="false">IF(INDEX(選手一覧!$D$5:$D$2736,$F1299)="","",INDEX(選手一覧!$D$5:$D$2736,$F1299))</f>
        <v/>
      </c>
      <c r="H1299" s="12" t="str">
        <f aca="false">IF(INDEX(選手一覧!$E$5:$E$2736,$F1299)="","",INDEX(選手一覧!$E$5:$E$2736,$F1299))</f>
        <v/>
      </c>
      <c r="I1299" s="11" t="n">
        <f aca="false">IF(INDEX(選手一覧!$F$5:$F$2736,$F1299)="","",INDEX(選手一覧!$F$5:$F$2736,$F1299))</f>
        <v>0.007278125</v>
      </c>
      <c r="J1299" s="12" t="n">
        <f aca="false">IF(INDEX(選手一覧!$G$5:$G$2736,$F1299)="","",INDEX(選手一覧!$G$5:$G$2736,$F1299))</f>
        <v>619</v>
      </c>
    </row>
    <row r="1300" customFormat="false" ht="15" hidden="false" customHeight="false" outlineLevel="0" collapsed="false">
      <c r="A1300" s="12" t="n">
        <v>1297</v>
      </c>
      <c r="B1300" s="8" t="s">
        <v>467</v>
      </c>
      <c r="C1300" s="8" t="s">
        <v>427</v>
      </c>
      <c r="D1300" s="11" t="n">
        <v>0.00296643518518519</v>
      </c>
      <c r="E1300" s="39" t="n">
        <f aca="false">ROUND((D1300-$D$5)*86400,2)</f>
        <v>31.27</v>
      </c>
      <c r="F1300" s="12" t="n">
        <v>244</v>
      </c>
      <c r="G1300" s="11" t="n">
        <f aca="false">IF(INDEX(選手一覧!$D$5:$D$2736,$F1300)="","",INDEX(選手一覧!$D$5:$D$2736,$F1300))</f>
        <v>0.0103844907407407</v>
      </c>
      <c r="H1300" s="12" t="n">
        <f aca="false">IF(INDEX(選手一覧!$E$5:$E$2736,$F1300)="","",INDEX(選手一覧!$E$5:$E$2736,$F1300))</f>
        <v>245</v>
      </c>
      <c r="I1300" s="11" t="n">
        <f aca="false">IF(INDEX(選手一覧!$F$5:$F$2736,$F1300)="","",INDEX(選手一覧!$F$5:$F$2736,$F1300))</f>
        <v>0.0072037037037037</v>
      </c>
      <c r="J1300" s="12" t="n">
        <f aca="false">IF(INDEX(選手一覧!$G$5:$G$2736,$F1300)="","",INDEX(選手一覧!$G$5:$G$2736,$F1300))</f>
        <v>541</v>
      </c>
    </row>
    <row r="1301" customFormat="false" ht="15" hidden="false" customHeight="false" outlineLevel="0" collapsed="false">
      <c r="A1301" s="12" t="n">
        <v>1298</v>
      </c>
      <c r="B1301" s="8" t="s">
        <v>1941</v>
      </c>
      <c r="C1301" s="8" t="s">
        <v>1942</v>
      </c>
      <c r="D1301" s="11" t="n">
        <v>0.00296643518518519</v>
      </c>
      <c r="E1301" s="39" t="n">
        <f aca="false">ROUND((D1301-$D$5)*86400,2)</f>
        <v>31.27</v>
      </c>
      <c r="F1301" s="12" t="n">
        <v>1219</v>
      </c>
      <c r="G1301" s="11" t="n">
        <f aca="false">IF(INDEX(選手一覧!$D$5:$D$2736,$F1301)="","",INDEX(選手一覧!$D$5:$D$2736,$F1301))</f>
        <v>0.0110612268518519</v>
      </c>
      <c r="H1301" s="12" t="n">
        <f aca="false">IF(INDEX(選手一覧!$E$5:$E$2736,$F1301)="","",INDEX(選手一覧!$E$5:$E$2736,$F1301))</f>
        <v>1220</v>
      </c>
      <c r="I1301" s="11" t="n">
        <f aca="false">IF(INDEX(選手一覧!$F$5:$F$2736,$F1301)="","",INDEX(選手一覧!$F$5:$F$2736,$F1301))</f>
        <v>0.00689340277777778</v>
      </c>
      <c r="J1301" s="12" t="n">
        <f aca="false">IF(INDEX(選手一覧!$G$5:$G$2736,$F1301)="","",INDEX(選手一覧!$G$5:$G$2736,$F1301))</f>
        <v>234</v>
      </c>
    </row>
    <row r="1302" customFormat="false" ht="15" hidden="false" customHeight="false" outlineLevel="0" collapsed="false">
      <c r="A1302" s="12" t="n">
        <v>1299</v>
      </c>
      <c r="B1302" s="8" t="s">
        <v>4003</v>
      </c>
      <c r="C1302" s="8" t="s">
        <v>207</v>
      </c>
      <c r="D1302" s="11" t="n">
        <v>0.00296701388888889</v>
      </c>
      <c r="E1302" s="39" t="n">
        <f aca="false">ROUND((D1302-$D$5)*86400,2)</f>
        <v>31.32</v>
      </c>
      <c r="F1302" s="12" t="n">
        <v>2626</v>
      </c>
      <c r="G1302" s="11" t="str">
        <f aca="false">IF(INDEX(選手一覧!$D$5:$D$2736,$F1302)="","",INDEX(選手一覧!$D$5:$D$2736,$F1302))</f>
        <v/>
      </c>
      <c r="H1302" s="12" t="str">
        <f aca="false">IF(INDEX(選手一覧!$E$5:$E$2736,$F1302)="","",INDEX(選手一覧!$E$5:$E$2736,$F1302))</f>
        <v/>
      </c>
      <c r="I1302" s="11" t="str">
        <f aca="false">IF(INDEX(選手一覧!$F$5:$F$2736,$F1302)="","",INDEX(選手一覧!$F$5:$F$2736,$F1302))</f>
        <v/>
      </c>
      <c r="J1302" s="12" t="str">
        <f aca="false">IF(INDEX(選手一覧!$G$5:$G$2736,$F1302)="","",INDEX(選手一覧!$G$5:$G$2736,$F1302))</f>
        <v/>
      </c>
    </row>
    <row r="1303" customFormat="false" ht="15" hidden="false" customHeight="false" outlineLevel="0" collapsed="false">
      <c r="A1303" s="12" t="n">
        <v>1300</v>
      </c>
      <c r="B1303" s="8" t="s">
        <v>458</v>
      </c>
      <c r="C1303" s="8" t="s">
        <v>120</v>
      </c>
      <c r="D1303" s="11" t="n">
        <v>0.00296747685185185</v>
      </c>
      <c r="E1303" s="39" t="n">
        <f aca="false">ROUND((D1303-$D$5)*86400,2)</f>
        <v>31.36</v>
      </c>
      <c r="F1303" s="12" t="n">
        <v>237</v>
      </c>
      <c r="G1303" s="11" t="n">
        <f aca="false">IF(INDEX(選手一覧!$D$5:$D$2736,$F1303)="","",INDEX(選手一覧!$D$5:$D$2736,$F1303))</f>
        <v>0.0103774305555556</v>
      </c>
      <c r="H1303" s="12" t="n">
        <f aca="false">IF(INDEX(選手一覧!$E$5:$E$2736,$F1303)="","",INDEX(選手一覧!$E$5:$E$2736,$F1303))</f>
        <v>238</v>
      </c>
      <c r="I1303" s="11" t="n">
        <f aca="false">IF(INDEX(選手一覧!$F$5:$F$2736,$F1303)="","",INDEX(選手一覧!$F$5:$F$2736,$F1303))</f>
        <v>0.006659375</v>
      </c>
      <c r="J1303" s="12" t="n">
        <f aca="false">IF(INDEX(選手一覧!$G$5:$G$2736,$F1303)="","",INDEX(選手一覧!$G$5:$G$2736,$F1303))</f>
        <v>88</v>
      </c>
    </row>
    <row r="1304" customFormat="false" ht="15" hidden="false" customHeight="false" outlineLevel="0" collapsed="false">
      <c r="A1304" s="12" t="n">
        <v>1301</v>
      </c>
      <c r="B1304" s="8" t="s">
        <v>4008</v>
      </c>
      <c r="C1304" s="8" t="s">
        <v>2262</v>
      </c>
      <c r="D1304" s="11" t="n">
        <v>0.00296759259259259</v>
      </c>
      <c r="E1304" s="39" t="n">
        <f aca="false">ROUND((D1304-$D$5)*86400,2)</f>
        <v>31.37</v>
      </c>
      <c r="F1304" s="12" t="n">
        <v>2629</v>
      </c>
      <c r="G1304" s="11" t="str">
        <f aca="false">IF(INDEX(選手一覧!$D$5:$D$2736,$F1304)="","",INDEX(選手一覧!$D$5:$D$2736,$F1304))</f>
        <v/>
      </c>
      <c r="H1304" s="12" t="str">
        <f aca="false">IF(INDEX(選手一覧!$E$5:$E$2736,$F1304)="","",INDEX(選手一覧!$E$5:$E$2736,$F1304))</f>
        <v/>
      </c>
      <c r="I1304" s="11" t="str">
        <f aca="false">IF(INDEX(選手一覧!$F$5:$F$2736,$F1304)="","",INDEX(選手一覧!$F$5:$F$2736,$F1304))</f>
        <v/>
      </c>
      <c r="J1304" s="12" t="str">
        <f aca="false">IF(INDEX(選手一覧!$G$5:$G$2736,$F1304)="","",INDEX(選手一覧!$G$5:$G$2736,$F1304))</f>
        <v/>
      </c>
    </row>
    <row r="1305" customFormat="false" ht="15" hidden="false" customHeight="false" outlineLevel="0" collapsed="false">
      <c r="A1305" s="12" t="n">
        <v>1302</v>
      </c>
      <c r="B1305" s="8" t="s">
        <v>4011</v>
      </c>
      <c r="C1305" s="8" t="s">
        <v>2364</v>
      </c>
      <c r="D1305" s="11" t="n">
        <v>0.00296782407407407</v>
      </c>
      <c r="E1305" s="39" t="n">
        <f aca="false">ROUND((D1305-$D$5)*86400,2)</f>
        <v>31.39</v>
      </c>
      <c r="F1305" s="12" t="n">
        <v>2631</v>
      </c>
      <c r="G1305" s="11" t="str">
        <f aca="false">IF(INDEX(選手一覧!$D$5:$D$2736,$F1305)="","",INDEX(選手一覧!$D$5:$D$2736,$F1305))</f>
        <v/>
      </c>
      <c r="H1305" s="12" t="str">
        <f aca="false">IF(INDEX(選手一覧!$E$5:$E$2736,$F1305)="","",INDEX(選手一覧!$E$5:$E$2736,$F1305))</f>
        <v/>
      </c>
      <c r="I1305" s="11" t="str">
        <f aca="false">IF(INDEX(選手一覧!$F$5:$F$2736,$F1305)="","",INDEX(選手一覧!$F$5:$F$2736,$F1305))</f>
        <v/>
      </c>
      <c r="J1305" s="12" t="str">
        <f aca="false">IF(INDEX(選手一覧!$G$5:$G$2736,$F1305)="","",INDEX(選手一覧!$G$5:$G$2736,$F1305))</f>
        <v/>
      </c>
    </row>
    <row r="1306" customFormat="false" ht="15" hidden="false" customHeight="false" outlineLevel="0" collapsed="false">
      <c r="A1306" s="12" t="n">
        <v>1303</v>
      </c>
      <c r="B1306" s="8" t="s">
        <v>4014</v>
      </c>
      <c r="C1306" s="8" t="s">
        <v>4015</v>
      </c>
      <c r="D1306" s="11" t="n">
        <v>0.00296863425925926</v>
      </c>
      <c r="E1306" s="39" t="n">
        <f aca="false">ROUND((D1306-$D$5)*86400,2)</f>
        <v>31.46</v>
      </c>
      <c r="F1306" s="12" t="n">
        <v>2633</v>
      </c>
      <c r="G1306" s="11" t="str">
        <f aca="false">IF(INDEX(選手一覧!$D$5:$D$2736,$F1306)="","",INDEX(選手一覧!$D$5:$D$2736,$F1306))</f>
        <v/>
      </c>
      <c r="H1306" s="12" t="str">
        <f aca="false">IF(INDEX(選手一覧!$E$5:$E$2736,$F1306)="","",INDEX(選手一覧!$E$5:$E$2736,$F1306))</f>
        <v/>
      </c>
      <c r="I1306" s="11" t="str">
        <f aca="false">IF(INDEX(選手一覧!$F$5:$F$2736,$F1306)="","",INDEX(選手一覧!$F$5:$F$2736,$F1306))</f>
        <v/>
      </c>
      <c r="J1306" s="12" t="str">
        <f aca="false">IF(INDEX(選手一覧!$G$5:$G$2736,$F1306)="","",INDEX(選手一覧!$G$5:$G$2736,$F1306))</f>
        <v/>
      </c>
    </row>
    <row r="1307" customFormat="false" ht="15" hidden="false" customHeight="false" outlineLevel="0" collapsed="false">
      <c r="A1307" s="12" t="n">
        <v>1304</v>
      </c>
      <c r="B1307" s="8" t="s">
        <v>4018</v>
      </c>
      <c r="C1307" s="8" t="s">
        <v>4019</v>
      </c>
      <c r="D1307" s="11" t="n">
        <v>0.00296875</v>
      </c>
      <c r="E1307" s="39" t="n">
        <f aca="false">ROUND((D1307-$D$5)*86400,2)</f>
        <v>31.47</v>
      </c>
      <c r="F1307" s="12" t="n">
        <v>2635</v>
      </c>
      <c r="G1307" s="11" t="str">
        <f aca="false">IF(INDEX(選手一覧!$D$5:$D$2736,$F1307)="","",INDEX(選手一覧!$D$5:$D$2736,$F1307))</f>
        <v/>
      </c>
      <c r="H1307" s="12" t="str">
        <f aca="false">IF(INDEX(選手一覧!$E$5:$E$2736,$F1307)="","",INDEX(選手一覧!$E$5:$E$2736,$F1307))</f>
        <v/>
      </c>
      <c r="I1307" s="11" t="str">
        <f aca="false">IF(INDEX(選手一覧!$F$5:$F$2736,$F1307)="","",INDEX(選手一覧!$F$5:$F$2736,$F1307))</f>
        <v/>
      </c>
      <c r="J1307" s="12" t="str">
        <f aca="false">IF(INDEX(選手一覧!$G$5:$G$2736,$F1307)="","",INDEX(選手一覧!$G$5:$G$2736,$F1307))</f>
        <v/>
      </c>
    </row>
    <row r="1308" customFormat="false" ht="15" hidden="false" customHeight="false" outlineLevel="0" collapsed="false">
      <c r="A1308" s="12" t="n">
        <v>1305</v>
      </c>
      <c r="B1308" s="8" t="s">
        <v>436</v>
      </c>
      <c r="C1308" s="8" t="s">
        <v>437</v>
      </c>
      <c r="D1308" s="11" t="n">
        <v>0.00296898148148148</v>
      </c>
      <c r="E1308" s="39" t="n">
        <f aca="false">ROUND((D1308-$D$5)*86400,2)</f>
        <v>31.49</v>
      </c>
      <c r="F1308" s="12" t="n">
        <v>227</v>
      </c>
      <c r="G1308" s="11" t="n">
        <f aca="false">IF(INDEX(選手一覧!$D$5:$D$2736,$F1308)="","",INDEX(選手一覧!$D$5:$D$2736,$F1308))</f>
        <v>0.0103738425925926</v>
      </c>
      <c r="H1308" s="12" t="n">
        <f aca="false">IF(INDEX(選手一覧!$E$5:$E$2736,$F1308)="","",INDEX(選手一覧!$E$5:$E$2736,$F1308))</f>
        <v>228</v>
      </c>
      <c r="I1308" s="11" t="str">
        <f aca="false">IF(INDEX(選手一覧!$F$5:$F$2736,$F1308)="","",INDEX(選手一覧!$F$5:$F$2736,$F1308))</f>
        <v/>
      </c>
      <c r="J1308" s="12" t="str">
        <f aca="false">IF(INDEX(選手一覧!$G$5:$G$2736,$F1308)="","",INDEX(選手一覧!$G$5:$G$2736,$F1308))</f>
        <v/>
      </c>
    </row>
    <row r="1309" customFormat="false" ht="15" hidden="false" customHeight="false" outlineLevel="0" collapsed="false">
      <c r="A1309" s="12" t="n">
        <v>1306</v>
      </c>
      <c r="B1309" s="8" t="s">
        <v>4023</v>
      </c>
      <c r="C1309" s="8" t="s">
        <v>4024</v>
      </c>
      <c r="D1309" s="11" t="n">
        <v>0.00296921296296296</v>
      </c>
      <c r="E1309" s="39" t="n">
        <f aca="false">ROUND((D1309-$D$5)*86400,2)</f>
        <v>31.51</v>
      </c>
      <c r="F1309" s="12" t="n">
        <v>2638</v>
      </c>
      <c r="G1309" s="11" t="str">
        <f aca="false">IF(INDEX(選手一覧!$D$5:$D$2736,$F1309)="","",INDEX(選手一覧!$D$5:$D$2736,$F1309))</f>
        <v/>
      </c>
      <c r="H1309" s="12" t="str">
        <f aca="false">IF(INDEX(選手一覧!$E$5:$E$2736,$F1309)="","",INDEX(選手一覧!$E$5:$E$2736,$F1309))</f>
        <v/>
      </c>
      <c r="I1309" s="11" t="str">
        <f aca="false">IF(INDEX(選手一覧!$F$5:$F$2736,$F1309)="","",INDEX(選手一覧!$F$5:$F$2736,$F1309))</f>
        <v/>
      </c>
      <c r="J1309" s="12" t="str">
        <f aca="false">IF(INDEX(選手一覧!$G$5:$G$2736,$F1309)="","",INDEX(選手一覧!$G$5:$G$2736,$F1309))</f>
        <v/>
      </c>
    </row>
    <row r="1310" customFormat="false" ht="15" hidden="false" customHeight="false" outlineLevel="0" collapsed="false">
      <c r="A1310" s="12" t="n">
        <v>1307</v>
      </c>
      <c r="B1310" s="8" t="s">
        <v>2148</v>
      </c>
      <c r="C1310" s="8" t="s">
        <v>730</v>
      </c>
      <c r="D1310" s="11" t="n">
        <v>0.0029693287037037</v>
      </c>
      <c r="E1310" s="39" t="n">
        <f aca="false">ROUND((D1310-$D$5)*86400,2)</f>
        <v>31.52</v>
      </c>
      <c r="F1310" s="12" t="n">
        <v>1369</v>
      </c>
      <c r="G1310" s="11" t="str">
        <f aca="false">IF(INDEX(選手一覧!$D$5:$D$2736,$F1310)="","",INDEX(選手一覧!$D$5:$D$2736,$F1310))</f>
        <v/>
      </c>
      <c r="H1310" s="12" t="str">
        <f aca="false">IF(INDEX(選手一覧!$E$5:$E$2736,$F1310)="","",INDEX(選手一覧!$E$5:$E$2736,$F1310))</f>
        <v/>
      </c>
      <c r="I1310" s="11" t="n">
        <f aca="false">IF(INDEX(選手一覧!$F$5:$F$2736,$F1310)="","",INDEX(選手一覧!$F$5:$F$2736,$F1310))</f>
        <v>0.00689236111111111</v>
      </c>
      <c r="J1310" s="12" t="n">
        <f aca="false">IF(INDEX(選手一覧!$G$5:$G$2736,$F1310)="","",INDEX(選手一覧!$G$5:$G$2736,$F1310))</f>
        <v>233</v>
      </c>
    </row>
    <row r="1311" customFormat="false" ht="15" hidden="false" customHeight="false" outlineLevel="0" collapsed="false">
      <c r="A1311" s="12" t="n">
        <v>1308</v>
      </c>
      <c r="B1311" s="8" t="s">
        <v>4029</v>
      </c>
      <c r="C1311" s="8" t="s">
        <v>2915</v>
      </c>
      <c r="D1311" s="11" t="n">
        <v>0.00296944444444444</v>
      </c>
      <c r="E1311" s="39" t="n">
        <f aca="false">ROUND((D1311-$D$5)*86400,2)</f>
        <v>31.53</v>
      </c>
      <c r="F1311" s="12" t="n">
        <v>2641</v>
      </c>
      <c r="G1311" s="11" t="str">
        <f aca="false">IF(INDEX(選手一覧!$D$5:$D$2736,$F1311)="","",INDEX(選手一覧!$D$5:$D$2736,$F1311))</f>
        <v/>
      </c>
      <c r="H1311" s="12" t="str">
        <f aca="false">IF(INDEX(選手一覧!$E$5:$E$2736,$F1311)="","",INDEX(選手一覧!$E$5:$E$2736,$F1311))</f>
        <v/>
      </c>
      <c r="I1311" s="11" t="str">
        <f aca="false">IF(INDEX(選手一覧!$F$5:$F$2736,$F1311)="","",INDEX(選手一覧!$F$5:$F$2736,$F1311))</f>
        <v/>
      </c>
      <c r="J1311" s="12" t="str">
        <f aca="false">IF(INDEX(選手一覧!$G$5:$G$2736,$F1311)="","",INDEX(選手一覧!$G$5:$G$2736,$F1311))</f>
        <v/>
      </c>
    </row>
    <row r="1312" customFormat="false" ht="15" hidden="false" customHeight="false" outlineLevel="0" collapsed="false">
      <c r="A1312" s="12" t="n">
        <v>1309</v>
      </c>
      <c r="B1312" s="8" t="s">
        <v>4032</v>
      </c>
      <c r="C1312" s="8" t="s">
        <v>4033</v>
      </c>
      <c r="D1312" s="11" t="n">
        <v>0.00296956018518519</v>
      </c>
      <c r="E1312" s="39" t="n">
        <f aca="false">ROUND((D1312-$D$5)*86400,2)</f>
        <v>31.54</v>
      </c>
      <c r="F1312" s="12" t="n">
        <v>2643</v>
      </c>
      <c r="G1312" s="11" t="str">
        <f aca="false">IF(INDEX(選手一覧!$D$5:$D$2736,$F1312)="","",INDEX(選手一覧!$D$5:$D$2736,$F1312))</f>
        <v/>
      </c>
      <c r="H1312" s="12" t="str">
        <f aca="false">IF(INDEX(選手一覧!$E$5:$E$2736,$F1312)="","",INDEX(選手一覧!$E$5:$E$2736,$F1312))</f>
        <v/>
      </c>
      <c r="I1312" s="11" t="str">
        <f aca="false">IF(INDEX(選手一覧!$F$5:$F$2736,$F1312)="","",INDEX(選手一覧!$F$5:$F$2736,$F1312))</f>
        <v/>
      </c>
      <c r="J1312" s="12" t="str">
        <f aca="false">IF(INDEX(選手一覧!$G$5:$G$2736,$F1312)="","",INDEX(選手一覧!$G$5:$G$2736,$F1312))</f>
        <v/>
      </c>
    </row>
    <row r="1313" customFormat="false" ht="15" hidden="false" customHeight="false" outlineLevel="0" collapsed="false">
      <c r="A1313" s="12" t="n">
        <v>1310</v>
      </c>
      <c r="B1313" s="8" t="s">
        <v>168</v>
      </c>
      <c r="C1313" s="8" t="s">
        <v>16</v>
      </c>
      <c r="D1313" s="11" t="n">
        <v>0.00296979166666667</v>
      </c>
      <c r="E1313" s="39" t="n">
        <f aca="false">ROUND((D1313-$D$5)*86400,2)</f>
        <v>31.56</v>
      </c>
      <c r="F1313" s="12" t="n">
        <v>76</v>
      </c>
      <c r="G1313" s="11" t="n">
        <f aca="false">IF(INDEX(選手一覧!$D$5:$D$2736,$F1313)="","",INDEX(選手一覧!$D$5:$D$2736,$F1313))</f>
        <v>0.0101636574074074</v>
      </c>
      <c r="H1313" s="12" t="n">
        <f aca="false">IF(INDEX(選手一覧!$E$5:$E$2736,$F1313)="","",INDEX(選手一覧!$E$5:$E$2736,$F1313))</f>
        <v>77</v>
      </c>
      <c r="I1313" s="11" t="n">
        <f aca="false">IF(INDEX(選手一覧!$F$5:$F$2736,$F1313)="","",INDEX(選手一覧!$F$5:$F$2736,$F1313))</f>
        <v>0.00668576388888889</v>
      </c>
      <c r="J1313" s="12" t="n">
        <f aca="false">IF(INDEX(選手一覧!$G$5:$G$2736,$F1313)="","",INDEX(選手一覧!$G$5:$G$2736,$F1313))</f>
        <v>103</v>
      </c>
    </row>
    <row r="1314" customFormat="false" ht="15" hidden="false" customHeight="false" outlineLevel="0" collapsed="false">
      <c r="A1314" s="12" t="n">
        <v>1311</v>
      </c>
      <c r="B1314" s="8" t="s">
        <v>1915</v>
      </c>
      <c r="C1314" s="8" t="s">
        <v>730</v>
      </c>
      <c r="D1314" s="11" t="n">
        <v>0.00297037037037037</v>
      </c>
      <c r="E1314" s="39" t="n">
        <f aca="false">ROUND((D1314-$D$5)*86400,2)</f>
        <v>31.61</v>
      </c>
      <c r="F1314" s="12" t="n">
        <v>1201</v>
      </c>
      <c r="G1314" s="11" t="n">
        <f aca="false">IF(INDEX(選手一覧!$D$5:$D$2736,$F1314)="","",INDEX(選手一覧!$D$5:$D$2736,$F1314))</f>
        <v>0.0110524305555556</v>
      </c>
      <c r="H1314" s="12" t="n">
        <f aca="false">IF(INDEX(選手一覧!$E$5:$E$2736,$F1314)="","",INDEX(選手一覧!$E$5:$E$2736,$F1314))</f>
        <v>1202</v>
      </c>
      <c r="I1314" s="11" t="n">
        <f aca="false">IF(INDEX(選手一覧!$F$5:$F$2736,$F1314)="","",INDEX(選手一覧!$F$5:$F$2736,$F1314))</f>
        <v>0.00676064814814815</v>
      </c>
      <c r="J1314" s="12" t="n">
        <f aca="false">IF(INDEX(選手一覧!$G$5:$G$2736,$F1314)="","",INDEX(選手一覧!$G$5:$G$2736,$F1314))</f>
        <v>136</v>
      </c>
    </row>
    <row r="1315" customFormat="false" ht="15" hidden="false" customHeight="false" outlineLevel="0" collapsed="false">
      <c r="A1315" s="12" t="n">
        <v>1312</v>
      </c>
      <c r="B1315" s="8" t="s">
        <v>4039</v>
      </c>
      <c r="C1315" s="8" t="s">
        <v>4040</v>
      </c>
      <c r="D1315" s="11" t="n">
        <v>0.00297060185185185</v>
      </c>
      <c r="E1315" s="39" t="n">
        <f aca="false">ROUND((D1315-$D$5)*86400,2)</f>
        <v>31.63</v>
      </c>
      <c r="F1315" s="12" t="n">
        <v>2647</v>
      </c>
      <c r="G1315" s="11" t="str">
        <f aca="false">IF(INDEX(選手一覧!$D$5:$D$2736,$F1315)="","",INDEX(選手一覧!$D$5:$D$2736,$F1315))</f>
        <v/>
      </c>
      <c r="H1315" s="12" t="str">
        <f aca="false">IF(INDEX(選手一覧!$E$5:$E$2736,$F1315)="","",INDEX(選手一覧!$E$5:$E$2736,$F1315))</f>
        <v/>
      </c>
      <c r="I1315" s="11" t="str">
        <f aca="false">IF(INDEX(選手一覧!$F$5:$F$2736,$F1315)="","",INDEX(選手一覧!$F$5:$F$2736,$F1315))</f>
        <v/>
      </c>
      <c r="J1315" s="12" t="str">
        <f aca="false">IF(INDEX(選手一覧!$G$5:$G$2736,$F1315)="","",INDEX(選手一覧!$G$5:$G$2736,$F1315))</f>
        <v/>
      </c>
    </row>
    <row r="1316" customFormat="false" ht="15" hidden="false" customHeight="false" outlineLevel="0" collapsed="false">
      <c r="A1316" s="12" t="n">
        <v>1313</v>
      </c>
      <c r="B1316" s="8" t="s">
        <v>1696</v>
      </c>
      <c r="C1316" s="8" t="s">
        <v>1697</v>
      </c>
      <c r="D1316" s="11" t="n">
        <v>0.00297152777777778</v>
      </c>
      <c r="E1316" s="39" t="n">
        <f aca="false">ROUND((D1316-$D$5)*86400,2)</f>
        <v>31.71</v>
      </c>
      <c r="F1316" s="12" t="n">
        <v>1051</v>
      </c>
      <c r="G1316" s="11" t="n">
        <f aca="false">IF(INDEX(選手一覧!$D$5:$D$2736,$F1316)="","",INDEX(選手一覧!$D$5:$D$2736,$F1316))</f>
        <v>0.0109778935185185</v>
      </c>
      <c r="H1316" s="12" t="n">
        <f aca="false">IF(INDEX(選手一覧!$E$5:$E$2736,$F1316)="","",INDEX(選手一覧!$E$5:$E$2736,$F1316))</f>
        <v>1052</v>
      </c>
      <c r="I1316" s="11" t="str">
        <f aca="false">IF(INDEX(選手一覧!$F$5:$F$2736,$F1316)="","",INDEX(選手一覧!$F$5:$F$2736,$F1316))</f>
        <v/>
      </c>
      <c r="J1316" s="12" t="str">
        <f aca="false">IF(INDEX(選手一覧!$G$5:$G$2736,$F1316)="","",INDEX(選手一覧!$G$5:$G$2736,$F1316))</f>
        <v/>
      </c>
    </row>
    <row r="1317" customFormat="false" ht="15" hidden="false" customHeight="false" outlineLevel="0" collapsed="false">
      <c r="A1317" s="12" t="n">
        <v>1314</v>
      </c>
      <c r="B1317" s="8" t="s">
        <v>4044</v>
      </c>
      <c r="C1317" s="8" t="s">
        <v>4045</v>
      </c>
      <c r="D1317" s="11" t="n">
        <v>0.00297152777777778</v>
      </c>
      <c r="E1317" s="39" t="n">
        <f aca="false">ROUND((D1317-$D$5)*86400,2)</f>
        <v>31.71</v>
      </c>
      <c r="F1317" s="12" t="n">
        <v>2650</v>
      </c>
      <c r="G1317" s="11" t="str">
        <f aca="false">IF(INDEX(選手一覧!$D$5:$D$2736,$F1317)="","",INDEX(選手一覧!$D$5:$D$2736,$F1317))</f>
        <v/>
      </c>
      <c r="H1317" s="12" t="str">
        <f aca="false">IF(INDEX(選手一覧!$E$5:$E$2736,$F1317)="","",INDEX(選手一覧!$E$5:$E$2736,$F1317))</f>
        <v/>
      </c>
      <c r="I1317" s="11" t="str">
        <f aca="false">IF(INDEX(選手一覧!$F$5:$F$2736,$F1317)="","",INDEX(選手一覧!$F$5:$F$2736,$F1317))</f>
        <v/>
      </c>
      <c r="J1317" s="12" t="str">
        <f aca="false">IF(INDEX(選手一覧!$G$5:$G$2736,$F1317)="","",INDEX(選手一覧!$G$5:$G$2736,$F1317))</f>
        <v/>
      </c>
    </row>
    <row r="1318" customFormat="false" ht="15" hidden="false" customHeight="false" outlineLevel="0" collapsed="false">
      <c r="A1318" s="12" t="n">
        <v>1315</v>
      </c>
      <c r="B1318" s="8" t="s">
        <v>1802</v>
      </c>
      <c r="C1318" s="8" t="s">
        <v>56</v>
      </c>
      <c r="D1318" s="11" t="n">
        <v>0.00297152777777778</v>
      </c>
      <c r="E1318" s="39" t="n">
        <f aca="false">ROUND((D1318-$D$5)*86400,2)</f>
        <v>31.71</v>
      </c>
      <c r="F1318" s="12" t="n">
        <v>1121</v>
      </c>
      <c r="G1318" s="11" t="n">
        <f aca="false">IF(INDEX(選手一覧!$D$5:$D$2736,$F1318)="","",INDEX(選手一覧!$D$5:$D$2736,$F1318))</f>
        <v>0.0110171296296296</v>
      </c>
      <c r="H1318" s="12" t="n">
        <f aca="false">IF(INDEX(選手一覧!$E$5:$E$2736,$F1318)="","",INDEX(選手一覧!$E$5:$E$2736,$F1318))</f>
        <v>1122</v>
      </c>
      <c r="I1318" s="11" t="n">
        <f aca="false">IF(INDEX(選手一覧!$F$5:$F$2736,$F1318)="","",INDEX(選手一覧!$F$5:$F$2736,$F1318))</f>
        <v>0.00709490740740741</v>
      </c>
      <c r="J1318" s="12" t="n">
        <f aca="false">IF(INDEX(選手一覧!$G$5:$G$2736,$F1318)="","",INDEX(選手一覧!$G$5:$G$2736,$F1318))</f>
        <v>442</v>
      </c>
    </row>
    <row r="1319" customFormat="false" ht="15" hidden="false" customHeight="false" outlineLevel="0" collapsed="false">
      <c r="A1319" s="12" t="n">
        <v>1316</v>
      </c>
      <c r="B1319" s="8" t="s">
        <v>1530</v>
      </c>
      <c r="C1319" s="8" t="s">
        <v>1531</v>
      </c>
      <c r="D1319" s="11" t="n">
        <v>0.00297164351851852</v>
      </c>
      <c r="E1319" s="39" t="n">
        <f aca="false">ROUND((D1319-$D$5)*86400,2)</f>
        <v>31.72</v>
      </c>
      <c r="F1319" s="12" t="n">
        <v>937</v>
      </c>
      <c r="G1319" s="11" t="n">
        <f aca="false">IF(INDEX(選手一覧!$D$5:$D$2736,$F1319)="","",INDEX(選手一覧!$D$5:$D$2736,$F1319))</f>
        <v>0.0109100694444444</v>
      </c>
      <c r="H1319" s="12" t="n">
        <f aca="false">IF(INDEX(選手一覧!$E$5:$E$2736,$F1319)="","",INDEX(選手一覧!$E$5:$E$2736,$F1319))</f>
        <v>938</v>
      </c>
      <c r="I1319" s="11" t="n">
        <f aca="false">IF(INDEX(選手一覧!$F$5:$F$2736,$F1319)="","",INDEX(選手一覧!$F$5:$F$2736,$F1319))</f>
        <v>0.00687256944444444</v>
      </c>
      <c r="J1319" s="12" t="n">
        <f aca="false">IF(INDEX(選手一覧!$G$5:$G$2736,$F1319)="","",INDEX(選手一覧!$G$5:$G$2736,$F1319))</f>
        <v>220</v>
      </c>
    </row>
    <row r="1320" customFormat="false" ht="15" hidden="false" customHeight="false" outlineLevel="0" collapsed="false">
      <c r="A1320" s="12" t="n">
        <v>1317</v>
      </c>
      <c r="B1320" s="8" t="s">
        <v>4049</v>
      </c>
      <c r="C1320" s="8" t="s">
        <v>2302</v>
      </c>
      <c r="D1320" s="11" t="n">
        <v>0.00297175925925926</v>
      </c>
      <c r="E1320" s="39" t="n">
        <f aca="false">ROUND((D1320-$D$5)*86400,2)</f>
        <v>31.73</v>
      </c>
      <c r="F1320" s="12" t="n">
        <v>2654</v>
      </c>
      <c r="G1320" s="11" t="str">
        <f aca="false">IF(INDEX(選手一覧!$D$5:$D$2736,$F1320)="","",INDEX(選手一覧!$D$5:$D$2736,$F1320))</f>
        <v/>
      </c>
      <c r="H1320" s="12" t="str">
        <f aca="false">IF(INDEX(選手一覧!$E$5:$E$2736,$F1320)="","",INDEX(選手一覧!$E$5:$E$2736,$F1320))</f>
        <v/>
      </c>
      <c r="I1320" s="11" t="str">
        <f aca="false">IF(INDEX(選手一覧!$F$5:$F$2736,$F1320)="","",INDEX(選手一覧!$F$5:$F$2736,$F1320))</f>
        <v/>
      </c>
      <c r="J1320" s="12" t="str">
        <f aca="false">IF(INDEX(選手一覧!$G$5:$G$2736,$F1320)="","",INDEX(選手一覧!$G$5:$G$2736,$F1320))</f>
        <v/>
      </c>
    </row>
    <row r="1321" customFormat="false" ht="15" hidden="false" customHeight="false" outlineLevel="0" collapsed="false">
      <c r="A1321" s="12" t="n">
        <v>1318</v>
      </c>
      <c r="B1321" s="8" t="s">
        <v>4051</v>
      </c>
      <c r="C1321" s="8" t="s">
        <v>290</v>
      </c>
      <c r="D1321" s="11" t="n">
        <v>0.00297222222222222</v>
      </c>
      <c r="E1321" s="39" t="n">
        <f aca="false">ROUND((D1321-$D$5)*86400,2)</f>
        <v>31.77</v>
      </c>
      <c r="F1321" s="12" t="n">
        <v>2656</v>
      </c>
      <c r="G1321" s="11" t="str">
        <f aca="false">IF(INDEX(選手一覧!$D$5:$D$2736,$F1321)="","",INDEX(選手一覧!$D$5:$D$2736,$F1321))</f>
        <v/>
      </c>
      <c r="H1321" s="12" t="str">
        <f aca="false">IF(INDEX(選手一覧!$E$5:$E$2736,$F1321)="","",INDEX(選手一覧!$E$5:$E$2736,$F1321))</f>
        <v/>
      </c>
      <c r="I1321" s="11" t="str">
        <f aca="false">IF(INDEX(選手一覧!$F$5:$F$2736,$F1321)="","",INDEX(選手一覧!$F$5:$F$2736,$F1321))</f>
        <v/>
      </c>
      <c r="J1321" s="12" t="str">
        <f aca="false">IF(INDEX(選手一覧!$G$5:$G$2736,$F1321)="","",INDEX(選手一覧!$G$5:$G$2736,$F1321))</f>
        <v/>
      </c>
    </row>
    <row r="1322" customFormat="false" ht="15" hidden="false" customHeight="false" outlineLevel="0" collapsed="false">
      <c r="A1322" s="12" t="n">
        <v>1319</v>
      </c>
      <c r="B1322" s="8" t="s">
        <v>1580</v>
      </c>
      <c r="C1322" s="8" t="s">
        <v>515</v>
      </c>
      <c r="D1322" s="11" t="n">
        <v>0.00297222222222222</v>
      </c>
      <c r="E1322" s="39" t="n">
        <f aca="false">ROUND((D1322-$D$5)*86400,2)</f>
        <v>31.77</v>
      </c>
      <c r="F1322" s="12" t="n">
        <v>972</v>
      </c>
      <c r="G1322" s="11" t="n">
        <f aca="false">IF(INDEX(選手一覧!$D$5:$D$2736,$F1322)="","",INDEX(選手一覧!$D$5:$D$2736,$F1322))</f>
        <v>0.0109334490740741</v>
      </c>
      <c r="H1322" s="12" t="n">
        <f aca="false">IF(INDEX(選手一覧!$E$5:$E$2736,$F1322)="","",INDEX(選手一覧!$E$5:$E$2736,$F1322))</f>
        <v>973</v>
      </c>
      <c r="I1322" s="11" t="str">
        <f aca="false">IF(INDEX(選手一覧!$F$5:$F$2736,$F1322)="","",INDEX(選手一覧!$F$5:$F$2736,$F1322))</f>
        <v/>
      </c>
      <c r="J1322" s="12" t="str">
        <f aca="false">IF(INDEX(選手一覧!$G$5:$G$2736,$F1322)="","",INDEX(選手一覧!$G$5:$G$2736,$F1322))</f>
        <v/>
      </c>
    </row>
    <row r="1323" customFormat="false" ht="15" hidden="false" customHeight="false" outlineLevel="0" collapsed="false">
      <c r="A1323" s="12" t="n">
        <v>1320</v>
      </c>
      <c r="B1323" s="8" t="s">
        <v>1523</v>
      </c>
      <c r="C1323" s="8" t="s">
        <v>1104</v>
      </c>
      <c r="D1323" s="11" t="n">
        <v>0.00297268518518519</v>
      </c>
      <c r="E1323" s="39" t="n">
        <f aca="false">ROUND((D1323-$D$5)*86400,2)</f>
        <v>31.81</v>
      </c>
      <c r="F1323" s="12" t="n">
        <v>931</v>
      </c>
      <c r="G1323" s="11" t="n">
        <f aca="false">IF(INDEX(選手一覧!$D$5:$D$2736,$F1323)="","",INDEX(選手一覧!$D$5:$D$2736,$F1323))</f>
        <v>0.0109074074074074</v>
      </c>
      <c r="H1323" s="12" t="n">
        <f aca="false">IF(INDEX(選手一覧!$E$5:$E$2736,$F1323)="","",INDEX(選手一覧!$E$5:$E$2736,$F1323))</f>
        <v>932</v>
      </c>
      <c r="I1323" s="11" t="n">
        <f aca="false">IF(INDEX(選手一覧!$F$5:$F$2736,$F1323)="","",INDEX(選手一覧!$F$5:$F$2736,$F1323))</f>
        <v>0.0076775462962963</v>
      </c>
      <c r="J1323" s="12" t="n">
        <f aca="false">IF(INDEX(選手一覧!$G$5:$G$2736,$F1323)="","",INDEX(選手一覧!$G$5:$G$2736,$F1323))</f>
        <v>1056</v>
      </c>
    </row>
    <row r="1324" customFormat="false" ht="15" hidden="false" customHeight="false" outlineLevel="0" collapsed="false">
      <c r="A1324" s="12" t="n">
        <v>1321</v>
      </c>
      <c r="B1324" s="8" t="s">
        <v>4057</v>
      </c>
      <c r="C1324" s="8" t="s">
        <v>4058</v>
      </c>
      <c r="D1324" s="11" t="n">
        <v>0.00297337962962963</v>
      </c>
      <c r="E1324" s="39" t="n">
        <f aca="false">ROUND((D1324-$D$5)*86400,2)</f>
        <v>31.87</v>
      </c>
      <c r="F1324" s="12" t="n">
        <v>2660</v>
      </c>
      <c r="G1324" s="11" t="str">
        <f aca="false">IF(INDEX(選手一覧!$D$5:$D$2736,$F1324)="","",INDEX(選手一覧!$D$5:$D$2736,$F1324))</f>
        <v/>
      </c>
      <c r="H1324" s="12" t="str">
        <f aca="false">IF(INDEX(選手一覧!$E$5:$E$2736,$F1324)="","",INDEX(選手一覧!$E$5:$E$2736,$F1324))</f>
        <v/>
      </c>
      <c r="I1324" s="11" t="str">
        <f aca="false">IF(INDEX(選手一覧!$F$5:$F$2736,$F1324)="","",INDEX(選手一覧!$F$5:$F$2736,$F1324))</f>
        <v/>
      </c>
      <c r="J1324" s="12" t="str">
        <f aca="false">IF(INDEX(選手一覧!$G$5:$G$2736,$F1324)="","",INDEX(選手一覧!$G$5:$G$2736,$F1324))</f>
        <v/>
      </c>
    </row>
    <row r="1325" customFormat="false" ht="15" hidden="false" customHeight="false" outlineLevel="0" collapsed="false">
      <c r="A1325" s="12" t="n">
        <v>1322</v>
      </c>
      <c r="B1325" s="8" t="s">
        <v>4060</v>
      </c>
      <c r="C1325" s="8" t="s">
        <v>2292</v>
      </c>
      <c r="D1325" s="11" t="n">
        <v>0.00297372685185185</v>
      </c>
      <c r="E1325" s="39" t="n">
        <f aca="false">ROUND((D1325-$D$5)*86400,2)</f>
        <v>31.9</v>
      </c>
      <c r="F1325" s="12" t="n">
        <v>2662</v>
      </c>
      <c r="G1325" s="11" t="str">
        <f aca="false">IF(INDEX(選手一覧!$D$5:$D$2736,$F1325)="","",INDEX(選手一覧!$D$5:$D$2736,$F1325))</f>
        <v/>
      </c>
      <c r="H1325" s="12" t="str">
        <f aca="false">IF(INDEX(選手一覧!$E$5:$E$2736,$F1325)="","",INDEX(選手一覧!$E$5:$E$2736,$F1325))</f>
        <v/>
      </c>
      <c r="I1325" s="11" t="str">
        <f aca="false">IF(INDEX(選手一覧!$F$5:$F$2736,$F1325)="","",INDEX(選手一覧!$F$5:$F$2736,$F1325))</f>
        <v/>
      </c>
      <c r="J1325" s="12" t="str">
        <f aca="false">IF(INDEX(選手一覧!$G$5:$G$2736,$F1325)="","",INDEX(選手一覧!$G$5:$G$2736,$F1325))</f>
        <v/>
      </c>
    </row>
    <row r="1326" customFormat="false" ht="15" hidden="false" customHeight="false" outlineLevel="0" collapsed="false">
      <c r="A1326" s="12" t="n">
        <v>1323</v>
      </c>
      <c r="B1326" s="8" t="s">
        <v>1557</v>
      </c>
      <c r="C1326" s="8" t="s">
        <v>942</v>
      </c>
      <c r="D1326" s="11" t="n">
        <v>0.00297407407407407</v>
      </c>
      <c r="E1326" s="39" t="n">
        <f aca="false">ROUND((D1326-$D$5)*86400,2)</f>
        <v>31.93</v>
      </c>
      <c r="F1326" s="12" t="n">
        <v>957</v>
      </c>
      <c r="G1326" s="11" t="n">
        <f aca="false">IF(INDEX(選手一覧!$D$5:$D$2736,$F1326)="","",INDEX(選手一覧!$D$5:$D$2736,$F1326))</f>
        <v>0.0109230324074074</v>
      </c>
      <c r="H1326" s="12" t="n">
        <f aca="false">IF(INDEX(選手一覧!$E$5:$E$2736,$F1326)="","",INDEX(選手一覧!$E$5:$E$2736,$F1326))</f>
        <v>958</v>
      </c>
      <c r="I1326" s="11" t="str">
        <f aca="false">IF(INDEX(選手一覧!$F$5:$F$2736,$F1326)="","",INDEX(選手一覧!$F$5:$F$2736,$F1326))</f>
        <v/>
      </c>
      <c r="J1326" s="12" t="str">
        <f aca="false">IF(INDEX(選手一覧!$G$5:$G$2736,$F1326)="","",INDEX(選手一覧!$G$5:$G$2736,$F1326))</f>
        <v/>
      </c>
    </row>
    <row r="1327" customFormat="false" ht="15" hidden="false" customHeight="false" outlineLevel="0" collapsed="false">
      <c r="A1327" s="12" t="n">
        <v>1324</v>
      </c>
      <c r="B1327" s="8" t="s">
        <v>1911</v>
      </c>
      <c r="C1327" s="8" t="s">
        <v>410</v>
      </c>
      <c r="D1327" s="11" t="n">
        <v>0.00297430555555556</v>
      </c>
      <c r="E1327" s="39" t="n">
        <f aca="false">ROUND((D1327-$D$5)*86400,2)</f>
        <v>31.95</v>
      </c>
      <c r="F1327" s="12" t="n">
        <v>1197</v>
      </c>
      <c r="G1327" s="11" t="n">
        <f aca="false">IF(INDEX(選手一覧!$D$5:$D$2736,$F1327)="","",INDEX(選手一覧!$D$5:$D$2736,$F1327))</f>
        <v>0.011050462962963</v>
      </c>
      <c r="H1327" s="12" t="n">
        <f aca="false">IF(INDEX(選手一覧!$E$5:$E$2736,$F1327)="","",INDEX(選手一覧!$E$5:$E$2736,$F1327))</f>
        <v>1198</v>
      </c>
      <c r="I1327" s="11" t="str">
        <f aca="false">IF(INDEX(選手一覧!$F$5:$F$2736,$F1327)="","",INDEX(選手一覧!$F$5:$F$2736,$F1327))</f>
        <v/>
      </c>
      <c r="J1327" s="12" t="str">
        <f aca="false">IF(INDEX(選手一覧!$G$5:$G$2736,$F1327)="","",INDEX(選手一覧!$G$5:$G$2736,$F1327))</f>
        <v/>
      </c>
    </row>
    <row r="1328" customFormat="false" ht="15" hidden="false" customHeight="false" outlineLevel="0" collapsed="false">
      <c r="A1328" s="12" t="n">
        <v>1325</v>
      </c>
      <c r="B1328" s="8" t="s">
        <v>4065</v>
      </c>
      <c r="C1328" s="8" t="s">
        <v>3269</v>
      </c>
      <c r="D1328" s="11" t="n">
        <v>0.00297465277777778</v>
      </c>
      <c r="E1328" s="39" t="n">
        <f aca="false">ROUND((D1328-$D$5)*86400,2)</f>
        <v>31.98</v>
      </c>
      <c r="F1328" s="12" t="n">
        <v>2666</v>
      </c>
      <c r="G1328" s="11" t="str">
        <f aca="false">IF(INDEX(選手一覧!$D$5:$D$2736,$F1328)="","",INDEX(選手一覧!$D$5:$D$2736,$F1328))</f>
        <v/>
      </c>
      <c r="H1328" s="12" t="str">
        <f aca="false">IF(INDEX(選手一覧!$E$5:$E$2736,$F1328)="","",INDEX(選手一覧!$E$5:$E$2736,$F1328))</f>
        <v/>
      </c>
      <c r="I1328" s="11" t="str">
        <f aca="false">IF(INDEX(選手一覧!$F$5:$F$2736,$F1328)="","",INDEX(選手一覧!$F$5:$F$2736,$F1328))</f>
        <v/>
      </c>
      <c r="J1328" s="12" t="str">
        <f aca="false">IF(INDEX(選手一覧!$G$5:$G$2736,$F1328)="","",INDEX(選手一覧!$G$5:$G$2736,$F1328))</f>
        <v/>
      </c>
    </row>
    <row r="1329" customFormat="false" ht="15" hidden="false" customHeight="false" outlineLevel="0" collapsed="false">
      <c r="A1329" s="12" t="n">
        <v>1326</v>
      </c>
      <c r="B1329" s="8" t="s">
        <v>2553</v>
      </c>
      <c r="C1329" s="8" t="s">
        <v>2554</v>
      </c>
      <c r="D1329" s="11" t="n">
        <v>0.00297523148148148</v>
      </c>
      <c r="E1329" s="39" t="n">
        <f aca="false">ROUND((D1329-$D$5)*86400,2)</f>
        <v>32.03</v>
      </c>
      <c r="F1329" s="12" t="n">
        <v>1636</v>
      </c>
      <c r="G1329" s="11" t="str">
        <f aca="false">IF(INDEX(選手一覧!$D$5:$D$2736,$F1329)="","",INDEX(選手一覧!$D$5:$D$2736,$F1329))</f>
        <v/>
      </c>
      <c r="H1329" s="12" t="str">
        <f aca="false">IF(INDEX(選手一覧!$E$5:$E$2736,$F1329)="","",INDEX(選手一覧!$E$5:$E$2736,$F1329))</f>
        <v/>
      </c>
      <c r="I1329" s="11" t="n">
        <f aca="false">IF(INDEX(選手一覧!$F$5:$F$2736,$F1329)="","",INDEX(選手一覧!$F$5:$F$2736,$F1329))</f>
        <v>0.00720856481481482</v>
      </c>
      <c r="J1329" s="12" t="n">
        <f aca="false">IF(INDEX(選手一覧!$G$5:$G$2736,$F1329)="","",INDEX(選手一覧!$G$5:$G$2736,$F1329))</f>
        <v>544</v>
      </c>
    </row>
    <row r="1330" customFormat="false" ht="15" hidden="false" customHeight="false" outlineLevel="0" collapsed="false">
      <c r="A1330" s="12" t="n">
        <v>1327</v>
      </c>
      <c r="B1330" s="8" t="s">
        <v>4069</v>
      </c>
      <c r="C1330" s="8" t="s">
        <v>212</v>
      </c>
      <c r="D1330" s="11" t="n">
        <v>0.00297523148148148</v>
      </c>
      <c r="E1330" s="39" t="n">
        <f aca="false">ROUND((D1330-$D$5)*86400,2)</f>
        <v>32.03</v>
      </c>
      <c r="F1330" s="12" t="n">
        <v>2669</v>
      </c>
      <c r="G1330" s="11" t="str">
        <f aca="false">IF(INDEX(選手一覧!$D$5:$D$2736,$F1330)="","",INDEX(選手一覧!$D$5:$D$2736,$F1330))</f>
        <v/>
      </c>
      <c r="H1330" s="12" t="str">
        <f aca="false">IF(INDEX(選手一覧!$E$5:$E$2736,$F1330)="","",INDEX(選手一覧!$E$5:$E$2736,$F1330))</f>
        <v/>
      </c>
      <c r="I1330" s="11" t="str">
        <f aca="false">IF(INDEX(選手一覧!$F$5:$F$2736,$F1330)="","",INDEX(選手一覧!$F$5:$F$2736,$F1330))</f>
        <v/>
      </c>
      <c r="J1330" s="12" t="str">
        <f aca="false">IF(INDEX(選手一覧!$G$5:$G$2736,$F1330)="","",INDEX(選手一覧!$G$5:$G$2736,$F1330))</f>
        <v/>
      </c>
    </row>
    <row r="1331" customFormat="false" ht="15" hidden="false" customHeight="false" outlineLevel="0" collapsed="false">
      <c r="A1331" s="12" t="n">
        <v>1328</v>
      </c>
      <c r="B1331" s="8" t="s">
        <v>1383</v>
      </c>
      <c r="C1331" s="8" t="s">
        <v>437</v>
      </c>
      <c r="D1331" s="11" t="n">
        <v>0.00297523148148148</v>
      </c>
      <c r="E1331" s="39" t="n">
        <f aca="false">ROUND((D1331-$D$5)*86400,2)</f>
        <v>32.03</v>
      </c>
      <c r="F1331" s="12" t="n">
        <v>842</v>
      </c>
      <c r="G1331" s="11" t="n">
        <f aca="false">IF(INDEX(選手一覧!$D$5:$D$2736,$F1331)="","",INDEX(選手一覧!$D$5:$D$2736,$F1331))</f>
        <v>0.0108545138888889</v>
      </c>
      <c r="H1331" s="12" t="n">
        <f aca="false">IF(INDEX(選手一覧!$E$5:$E$2736,$F1331)="","",INDEX(選手一覧!$E$5:$E$2736,$F1331))</f>
        <v>843</v>
      </c>
      <c r="I1331" s="11" t="str">
        <f aca="false">IF(INDEX(選手一覧!$F$5:$F$2736,$F1331)="","",INDEX(選手一覧!$F$5:$F$2736,$F1331))</f>
        <v/>
      </c>
      <c r="J1331" s="12" t="str">
        <f aca="false">IF(INDEX(選手一覧!$G$5:$G$2736,$F1331)="","",INDEX(選手一覧!$G$5:$G$2736,$F1331))</f>
        <v/>
      </c>
    </row>
    <row r="1332" customFormat="false" ht="15" hidden="false" customHeight="false" outlineLevel="0" collapsed="false">
      <c r="A1332" s="12" t="n">
        <v>1329</v>
      </c>
      <c r="B1332" s="8" t="s">
        <v>2542</v>
      </c>
      <c r="C1332" s="8" t="s">
        <v>554</v>
      </c>
      <c r="D1332" s="11" t="n">
        <v>0.0029755787037037</v>
      </c>
      <c r="E1332" s="39" t="n">
        <f aca="false">ROUND((D1332-$D$5)*86400,2)</f>
        <v>32.06</v>
      </c>
      <c r="F1332" s="12" t="n">
        <v>1629</v>
      </c>
      <c r="G1332" s="11" t="str">
        <f aca="false">IF(INDEX(選手一覧!$D$5:$D$2736,$F1332)="","",INDEX(選手一覧!$D$5:$D$2736,$F1332))</f>
        <v/>
      </c>
      <c r="H1332" s="12" t="str">
        <f aca="false">IF(INDEX(選手一覧!$E$5:$E$2736,$F1332)="","",INDEX(選手一覧!$E$5:$E$2736,$F1332))</f>
        <v/>
      </c>
      <c r="I1332" s="11" t="n">
        <f aca="false">IF(INDEX(選手一覧!$F$5:$F$2736,$F1332)="","",INDEX(選手一覧!$F$5:$F$2736,$F1332))</f>
        <v>0.00720127314814815</v>
      </c>
      <c r="J1332" s="12" t="n">
        <f aca="false">IF(INDEX(選手一覧!$G$5:$G$2736,$F1332)="","",INDEX(選手一覧!$G$5:$G$2736,$F1332))</f>
        <v>538</v>
      </c>
    </row>
    <row r="1333" customFormat="false" ht="15" hidden="false" customHeight="false" outlineLevel="0" collapsed="false">
      <c r="A1333" s="12" t="n">
        <v>1330</v>
      </c>
      <c r="B1333" s="8" t="s">
        <v>1121</v>
      </c>
      <c r="C1333" s="8" t="s">
        <v>16</v>
      </c>
      <c r="D1333" s="11" t="n">
        <v>0.00297569444444445</v>
      </c>
      <c r="E1333" s="39" t="n">
        <f aca="false">ROUND((D1333-$D$5)*86400,2)</f>
        <v>32.07</v>
      </c>
      <c r="F1333" s="12" t="n">
        <v>668</v>
      </c>
      <c r="G1333" s="11" t="n">
        <f aca="false">IF(INDEX(選手一覧!$D$5:$D$2736,$F1333)="","",INDEX(選手一覧!$D$5:$D$2736,$F1333))</f>
        <v>0.0107510416666667</v>
      </c>
      <c r="H1333" s="12" t="n">
        <f aca="false">IF(INDEX(選手一覧!$E$5:$E$2736,$F1333)="","",INDEX(選手一覧!$E$5:$E$2736,$F1333))</f>
        <v>669</v>
      </c>
      <c r="I1333" s="11" t="str">
        <f aca="false">IF(INDEX(選手一覧!$F$5:$F$2736,$F1333)="","",INDEX(選手一覧!$F$5:$F$2736,$F1333))</f>
        <v/>
      </c>
      <c r="J1333" s="12" t="str">
        <f aca="false">IF(INDEX(選手一覧!$G$5:$G$2736,$F1333)="","",INDEX(選手一覧!$G$5:$G$2736,$F1333))</f>
        <v/>
      </c>
    </row>
    <row r="1334" customFormat="false" ht="15" hidden="false" customHeight="false" outlineLevel="0" collapsed="false">
      <c r="A1334" s="12" t="n">
        <v>1331</v>
      </c>
      <c r="B1334" s="8" t="s">
        <v>4077</v>
      </c>
      <c r="C1334" s="8" t="s">
        <v>1531</v>
      </c>
      <c r="D1334" s="11" t="n">
        <v>0.00297569444444445</v>
      </c>
      <c r="E1334" s="39" t="n">
        <f aca="false">ROUND((D1334-$D$5)*86400,2)</f>
        <v>32.07</v>
      </c>
      <c r="F1334" s="12" t="n">
        <v>2674</v>
      </c>
      <c r="G1334" s="11" t="str">
        <f aca="false">IF(INDEX(選手一覧!$D$5:$D$2736,$F1334)="","",INDEX(選手一覧!$D$5:$D$2736,$F1334))</f>
        <v/>
      </c>
      <c r="H1334" s="12" t="str">
        <f aca="false">IF(INDEX(選手一覧!$E$5:$E$2736,$F1334)="","",INDEX(選手一覧!$E$5:$E$2736,$F1334))</f>
        <v/>
      </c>
      <c r="I1334" s="11" t="str">
        <f aca="false">IF(INDEX(選手一覧!$F$5:$F$2736,$F1334)="","",INDEX(選手一覧!$F$5:$F$2736,$F1334))</f>
        <v/>
      </c>
      <c r="J1334" s="12" t="str">
        <f aca="false">IF(INDEX(選手一覧!$G$5:$G$2736,$F1334)="","",INDEX(選手一覧!$G$5:$G$2736,$F1334))</f>
        <v/>
      </c>
    </row>
    <row r="1335" customFormat="false" ht="15" hidden="false" customHeight="false" outlineLevel="0" collapsed="false">
      <c r="A1335" s="12" t="n">
        <v>1332</v>
      </c>
      <c r="B1335" s="8" t="s">
        <v>1480</v>
      </c>
      <c r="C1335" s="8" t="s">
        <v>148</v>
      </c>
      <c r="D1335" s="11" t="n">
        <v>0.00297569444444445</v>
      </c>
      <c r="E1335" s="39" t="n">
        <f aca="false">ROUND((D1335-$D$5)*86400,2)</f>
        <v>32.07</v>
      </c>
      <c r="F1335" s="12" t="n">
        <v>904</v>
      </c>
      <c r="G1335" s="11" t="n">
        <f aca="false">IF(INDEX(選手一覧!$D$5:$D$2736,$F1335)="","",INDEX(選手一覧!$D$5:$D$2736,$F1335))</f>
        <v>0.0108908564814815</v>
      </c>
      <c r="H1335" s="12" t="n">
        <f aca="false">IF(INDEX(選手一覧!$E$5:$E$2736,$F1335)="","",INDEX(選手一覧!$E$5:$E$2736,$F1335))</f>
        <v>905</v>
      </c>
      <c r="I1335" s="11" t="str">
        <f aca="false">IF(INDEX(選手一覧!$F$5:$F$2736,$F1335)="","",INDEX(選手一覧!$F$5:$F$2736,$F1335))</f>
        <v/>
      </c>
      <c r="J1335" s="12" t="str">
        <f aca="false">IF(INDEX(選手一覧!$G$5:$G$2736,$F1335)="","",INDEX(選手一覧!$G$5:$G$2736,$F1335))</f>
        <v/>
      </c>
    </row>
    <row r="1336" customFormat="false" ht="15" hidden="false" customHeight="false" outlineLevel="0" collapsed="false">
      <c r="A1336" s="12" t="n">
        <v>1333</v>
      </c>
      <c r="B1336" s="8" t="s">
        <v>2934</v>
      </c>
      <c r="C1336" s="8" t="s">
        <v>479</v>
      </c>
      <c r="D1336" s="11" t="n">
        <v>0.00297581018518519</v>
      </c>
      <c r="E1336" s="39" t="n">
        <f aca="false">ROUND((D1336-$D$5)*86400,2)</f>
        <v>32.08</v>
      </c>
      <c r="F1336" s="12" t="n">
        <v>1884</v>
      </c>
      <c r="G1336" s="11" t="str">
        <f aca="false">IF(INDEX(選手一覧!$D$5:$D$2736,$F1336)="","",INDEX(選手一覧!$D$5:$D$2736,$F1336))</f>
        <v/>
      </c>
      <c r="H1336" s="12" t="str">
        <f aca="false">IF(INDEX(選手一覧!$E$5:$E$2736,$F1336)="","",INDEX(選手一覧!$E$5:$E$2736,$F1336))</f>
        <v/>
      </c>
      <c r="I1336" s="11" t="n">
        <f aca="false">IF(INDEX(選手一覧!$F$5:$F$2736,$F1336)="","",INDEX(選手一覧!$F$5:$F$2736,$F1336))</f>
        <v>0.00738969907407408</v>
      </c>
      <c r="J1336" s="12" t="n">
        <f aca="false">IF(INDEX(選手一覧!$G$5:$G$2736,$F1336)="","",INDEX(選手一覧!$G$5:$G$2736,$F1336))</f>
        <v>762</v>
      </c>
    </row>
    <row r="1337" customFormat="false" ht="15" hidden="false" customHeight="false" outlineLevel="0" collapsed="false">
      <c r="A1337" s="12" t="n">
        <v>1334</v>
      </c>
      <c r="B1337" s="8" t="s">
        <v>4083</v>
      </c>
      <c r="C1337" s="8" t="s">
        <v>700</v>
      </c>
      <c r="D1337" s="11" t="n">
        <v>0.00297604166666667</v>
      </c>
      <c r="E1337" s="39" t="n">
        <f aca="false">ROUND((D1337-$D$5)*86400,2)</f>
        <v>32.1</v>
      </c>
      <c r="F1337" s="12" t="n">
        <v>2678</v>
      </c>
      <c r="G1337" s="11" t="str">
        <f aca="false">IF(INDEX(選手一覧!$D$5:$D$2736,$F1337)="","",INDEX(選手一覧!$D$5:$D$2736,$F1337))</f>
        <v/>
      </c>
      <c r="H1337" s="12" t="str">
        <f aca="false">IF(INDEX(選手一覧!$E$5:$E$2736,$F1337)="","",INDEX(選手一覧!$E$5:$E$2736,$F1337))</f>
        <v/>
      </c>
      <c r="I1337" s="11" t="str">
        <f aca="false">IF(INDEX(選手一覧!$F$5:$F$2736,$F1337)="","",INDEX(選手一覧!$F$5:$F$2736,$F1337))</f>
        <v/>
      </c>
      <c r="J1337" s="12" t="str">
        <f aca="false">IF(INDEX(選手一覧!$G$5:$G$2736,$F1337)="","",INDEX(選手一覧!$G$5:$G$2736,$F1337))</f>
        <v/>
      </c>
    </row>
    <row r="1338" customFormat="false" ht="15" hidden="false" customHeight="false" outlineLevel="0" collapsed="false">
      <c r="A1338" s="12" t="n">
        <v>1335</v>
      </c>
      <c r="B1338" s="8" t="s">
        <v>784</v>
      </c>
      <c r="C1338" s="8" t="s">
        <v>578</v>
      </c>
      <c r="D1338" s="11" t="n">
        <v>0.00297615740740741</v>
      </c>
      <c r="E1338" s="39" t="n">
        <f aca="false">ROUND((D1338-$D$5)*86400,2)</f>
        <v>32.11</v>
      </c>
      <c r="F1338" s="12" t="n">
        <v>442</v>
      </c>
      <c r="G1338" s="11" t="n">
        <f aca="false">IF(INDEX(選手一覧!$D$5:$D$2736,$F1338)="","",INDEX(選手一覧!$D$5:$D$2736,$F1338))</f>
        <v>0.0105847222222222</v>
      </c>
      <c r="H1338" s="12" t="n">
        <f aca="false">IF(INDEX(選手一覧!$E$5:$E$2736,$F1338)="","",INDEX(選手一覧!$E$5:$E$2736,$F1338))</f>
        <v>443</v>
      </c>
      <c r="I1338" s="11" t="n">
        <f aca="false">IF(INDEX(選手一覧!$F$5:$F$2736,$F1338)="","",INDEX(選手一覧!$F$5:$F$2736,$F1338))</f>
        <v>0.00725046296296296</v>
      </c>
      <c r="J1338" s="12" t="n">
        <f aca="false">IF(INDEX(選手一覧!$G$5:$G$2736,$F1338)="","",INDEX(選手一覧!$G$5:$G$2736,$F1338))</f>
        <v>597</v>
      </c>
    </row>
    <row r="1339" customFormat="false" ht="15" hidden="false" customHeight="false" outlineLevel="0" collapsed="false">
      <c r="A1339" s="12" t="n">
        <v>1336</v>
      </c>
      <c r="B1339" s="8" t="s">
        <v>4088</v>
      </c>
      <c r="C1339" s="8" t="s">
        <v>363</v>
      </c>
      <c r="D1339" s="11" t="n">
        <v>0.00297627314814815</v>
      </c>
      <c r="E1339" s="39" t="n">
        <f aca="false">ROUND((D1339-$D$5)*86400,2)</f>
        <v>32.12</v>
      </c>
      <c r="F1339" s="12" t="n">
        <v>2681</v>
      </c>
      <c r="G1339" s="11" t="str">
        <f aca="false">IF(INDEX(選手一覧!$D$5:$D$2736,$F1339)="","",INDEX(選手一覧!$D$5:$D$2736,$F1339))</f>
        <v/>
      </c>
      <c r="H1339" s="12" t="str">
        <f aca="false">IF(INDEX(選手一覧!$E$5:$E$2736,$F1339)="","",INDEX(選手一覧!$E$5:$E$2736,$F1339))</f>
        <v/>
      </c>
      <c r="I1339" s="11" t="str">
        <f aca="false">IF(INDEX(選手一覧!$F$5:$F$2736,$F1339)="","",INDEX(選手一覧!$F$5:$F$2736,$F1339))</f>
        <v/>
      </c>
      <c r="J1339" s="12" t="str">
        <f aca="false">IF(INDEX(選手一覧!$G$5:$G$2736,$F1339)="","",INDEX(選手一覧!$G$5:$G$2736,$F1339))</f>
        <v/>
      </c>
    </row>
    <row r="1340" customFormat="false" ht="15" hidden="false" customHeight="false" outlineLevel="0" collapsed="false">
      <c r="A1340" s="12" t="n">
        <v>1337</v>
      </c>
      <c r="B1340" s="8" t="s">
        <v>1570</v>
      </c>
      <c r="C1340" s="8" t="s">
        <v>508</v>
      </c>
      <c r="D1340" s="11" t="n">
        <v>0.00297673611111111</v>
      </c>
      <c r="E1340" s="39" t="n">
        <f aca="false">ROUND((D1340-$D$5)*86400,2)</f>
        <v>32.16</v>
      </c>
      <c r="F1340" s="12" t="n">
        <v>965</v>
      </c>
      <c r="G1340" s="11" t="n">
        <f aca="false">IF(INDEX(選手一覧!$D$5:$D$2736,$F1340)="","",INDEX(選手一覧!$D$5:$D$2736,$F1340))</f>
        <v>0.0109295138888889</v>
      </c>
      <c r="H1340" s="12" t="n">
        <f aca="false">IF(INDEX(選手一覧!$E$5:$E$2736,$F1340)="","",INDEX(選手一覧!$E$5:$E$2736,$F1340))</f>
        <v>966</v>
      </c>
      <c r="I1340" s="11" t="n">
        <f aca="false">IF(INDEX(選手一覧!$F$5:$F$2736,$F1340)="","",INDEX(選手一覧!$F$5:$F$2736,$F1340))</f>
        <v>0.00689884259259259</v>
      </c>
      <c r="J1340" s="12" t="n">
        <f aca="false">IF(INDEX(選手一覧!$G$5:$G$2736,$F1340)="","",INDEX(選手一覧!$G$5:$G$2736,$F1340))</f>
        <v>239</v>
      </c>
    </row>
    <row r="1341" customFormat="false" ht="15" hidden="false" customHeight="false" outlineLevel="0" collapsed="false">
      <c r="A1341" s="12" t="n">
        <v>1338</v>
      </c>
      <c r="B1341" s="8" t="s">
        <v>4092</v>
      </c>
      <c r="C1341" s="8" t="s">
        <v>2214</v>
      </c>
      <c r="D1341" s="11" t="n">
        <v>0.00297673611111111</v>
      </c>
      <c r="E1341" s="39" t="n">
        <f aca="false">ROUND((D1341-$D$5)*86400,2)</f>
        <v>32.16</v>
      </c>
      <c r="F1341" s="12" t="n">
        <v>2684</v>
      </c>
      <c r="G1341" s="11" t="str">
        <f aca="false">IF(INDEX(選手一覧!$D$5:$D$2736,$F1341)="","",INDEX(選手一覧!$D$5:$D$2736,$F1341))</f>
        <v/>
      </c>
      <c r="H1341" s="12" t="str">
        <f aca="false">IF(INDEX(選手一覧!$E$5:$E$2736,$F1341)="","",INDEX(選手一覧!$E$5:$E$2736,$F1341))</f>
        <v/>
      </c>
      <c r="I1341" s="11" t="str">
        <f aca="false">IF(INDEX(選手一覧!$F$5:$F$2736,$F1341)="","",INDEX(選手一覧!$F$5:$F$2736,$F1341))</f>
        <v/>
      </c>
      <c r="J1341" s="12" t="str">
        <f aca="false">IF(INDEX(選手一覧!$G$5:$G$2736,$F1341)="","",INDEX(選手一覧!$G$5:$G$2736,$F1341))</f>
        <v/>
      </c>
    </row>
    <row r="1342" customFormat="false" ht="15" hidden="false" customHeight="false" outlineLevel="0" collapsed="false">
      <c r="A1342" s="12" t="n">
        <v>1339</v>
      </c>
      <c r="B1342" s="8" t="s">
        <v>1054</v>
      </c>
      <c r="C1342" s="8" t="s">
        <v>236</v>
      </c>
      <c r="D1342" s="11" t="n">
        <v>0.00297673611111111</v>
      </c>
      <c r="E1342" s="39" t="n">
        <f aca="false">ROUND((D1342-$D$5)*86400,2)</f>
        <v>32.16</v>
      </c>
      <c r="F1342" s="12" t="n">
        <v>621</v>
      </c>
      <c r="G1342" s="11" t="n">
        <f aca="false">IF(INDEX(選手一覧!$D$5:$D$2736,$F1342)="","",INDEX(選手一覧!$D$5:$D$2736,$F1342))</f>
        <v>0.0107248842592593</v>
      </c>
      <c r="H1342" s="12" t="n">
        <f aca="false">IF(INDEX(選手一覧!$E$5:$E$2736,$F1342)="","",INDEX(選手一覧!$E$5:$E$2736,$F1342))</f>
        <v>622</v>
      </c>
      <c r="I1342" s="11" t="str">
        <f aca="false">IF(INDEX(選手一覧!$F$5:$F$2736,$F1342)="","",INDEX(選手一覧!$F$5:$F$2736,$F1342))</f>
        <v/>
      </c>
      <c r="J1342" s="12" t="str">
        <f aca="false">IF(INDEX(選手一覧!$G$5:$G$2736,$F1342)="","",INDEX(選手一覧!$G$5:$G$2736,$F1342))</f>
        <v/>
      </c>
    </row>
    <row r="1343" customFormat="false" ht="15" hidden="false" customHeight="false" outlineLevel="0" collapsed="false">
      <c r="A1343" s="12" t="n">
        <v>1340</v>
      </c>
      <c r="B1343" s="8" t="s">
        <v>1328</v>
      </c>
      <c r="C1343" s="8" t="s">
        <v>390</v>
      </c>
      <c r="D1343" s="11" t="n">
        <v>0.00297685185185185</v>
      </c>
      <c r="E1343" s="39" t="n">
        <f aca="false">ROUND((D1343-$D$5)*86400,2)</f>
        <v>32.17</v>
      </c>
      <c r="F1343" s="12" t="n">
        <v>805</v>
      </c>
      <c r="G1343" s="11" t="n">
        <f aca="false">IF(INDEX(選手一覧!$D$5:$D$2736,$F1343)="","",INDEX(選手一覧!$D$5:$D$2736,$F1343))</f>
        <v>0.0108377314814815</v>
      </c>
      <c r="H1343" s="12" t="n">
        <f aca="false">IF(INDEX(選手一覧!$E$5:$E$2736,$F1343)="","",INDEX(選手一覧!$E$5:$E$2736,$F1343))</f>
        <v>806</v>
      </c>
      <c r="I1343" s="11" t="str">
        <f aca="false">IF(INDEX(選手一覧!$F$5:$F$2736,$F1343)="","",INDEX(選手一覧!$F$5:$F$2736,$F1343))</f>
        <v/>
      </c>
      <c r="J1343" s="12" t="str">
        <f aca="false">IF(INDEX(選手一覧!$G$5:$G$2736,$F1343)="","",INDEX(選手一覧!$G$5:$G$2736,$F1343))</f>
        <v/>
      </c>
    </row>
    <row r="1344" customFormat="false" ht="15" hidden="false" customHeight="false" outlineLevel="0" collapsed="false">
      <c r="A1344" s="12" t="n">
        <v>1341</v>
      </c>
      <c r="B1344" s="8" t="s">
        <v>4096</v>
      </c>
      <c r="C1344" s="8" t="s">
        <v>1002</v>
      </c>
      <c r="D1344" s="11" t="n">
        <v>0.00297719907407407</v>
      </c>
      <c r="E1344" s="39" t="n">
        <f aca="false">ROUND((D1344-$D$5)*86400,2)</f>
        <v>32.2</v>
      </c>
      <c r="F1344" s="12" t="n">
        <v>2688</v>
      </c>
      <c r="G1344" s="11" t="str">
        <f aca="false">IF(INDEX(選手一覧!$D$5:$D$2736,$F1344)="","",INDEX(選手一覧!$D$5:$D$2736,$F1344))</f>
        <v/>
      </c>
      <c r="H1344" s="12" t="str">
        <f aca="false">IF(INDEX(選手一覧!$E$5:$E$2736,$F1344)="","",INDEX(選手一覧!$E$5:$E$2736,$F1344))</f>
        <v/>
      </c>
      <c r="I1344" s="11" t="str">
        <f aca="false">IF(INDEX(選手一覧!$F$5:$F$2736,$F1344)="","",INDEX(選手一覧!$F$5:$F$2736,$F1344))</f>
        <v/>
      </c>
      <c r="J1344" s="12" t="str">
        <f aca="false">IF(INDEX(選手一覧!$G$5:$G$2736,$F1344)="","",INDEX(選手一覧!$G$5:$G$2736,$F1344))</f>
        <v/>
      </c>
    </row>
    <row r="1345" customFormat="false" ht="15" hidden="false" customHeight="false" outlineLevel="0" collapsed="false">
      <c r="A1345" s="12" t="n">
        <v>1342</v>
      </c>
      <c r="B1345" s="8" t="s">
        <v>4098</v>
      </c>
      <c r="C1345" s="8" t="s">
        <v>2304</v>
      </c>
      <c r="D1345" s="11" t="n">
        <v>0.00297731481481482</v>
      </c>
      <c r="E1345" s="39" t="n">
        <f aca="false">ROUND((D1345-$D$5)*86400,2)</f>
        <v>32.21</v>
      </c>
      <c r="F1345" s="12" t="n">
        <v>2690</v>
      </c>
      <c r="G1345" s="11" t="str">
        <f aca="false">IF(INDEX(選手一覧!$D$5:$D$2736,$F1345)="","",INDEX(選手一覧!$D$5:$D$2736,$F1345))</f>
        <v/>
      </c>
      <c r="H1345" s="12" t="str">
        <f aca="false">IF(INDEX(選手一覧!$E$5:$E$2736,$F1345)="","",INDEX(選手一覧!$E$5:$E$2736,$F1345))</f>
        <v/>
      </c>
      <c r="I1345" s="11" t="str">
        <f aca="false">IF(INDEX(選手一覧!$F$5:$F$2736,$F1345)="","",INDEX(選手一覧!$F$5:$F$2736,$F1345))</f>
        <v/>
      </c>
      <c r="J1345" s="12" t="str">
        <f aca="false">IF(INDEX(選手一覧!$G$5:$G$2736,$F1345)="","",INDEX(選手一覧!$G$5:$G$2736,$F1345))</f>
        <v/>
      </c>
    </row>
    <row r="1346" customFormat="false" ht="15" hidden="false" customHeight="false" outlineLevel="0" collapsed="false">
      <c r="A1346" s="12" t="n">
        <v>1343</v>
      </c>
      <c r="B1346" s="8" t="s">
        <v>1984</v>
      </c>
      <c r="C1346" s="8" t="s">
        <v>1985</v>
      </c>
      <c r="D1346" s="11" t="n">
        <v>0.00297743055555556</v>
      </c>
      <c r="E1346" s="39" t="n">
        <f aca="false">ROUND((D1346-$D$5)*86400,2)</f>
        <v>32.22</v>
      </c>
      <c r="F1346" s="12" t="n">
        <v>1250</v>
      </c>
      <c r="G1346" s="11" t="n">
        <f aca="false">IF(INDEX(選手一覧!$D$5:$D$2736,$F1346)="","",INDEX(選手一覧!$D$5:$D$2736,$F1346))</f>
        <v>0.0110798611111111</v>
      </c>
      <c r="H1346" s="12" t="n">
        <f aca="false">IF(INDEX(選手一覧!$E$5:$E$2736,$F1346)="","",INDEX(選手一覧!$E$5:$E$2736,$F1346))</f>
        <v>1251</v>
      </c>
      <c r="I1346" s="11" t="n">
        <f aca="false">IF(INDEX(選手一覧!$F$5:$F$2736,$F1346)="","",INDEX(選手一覧!$F$5:$F$2736,$F1346))</f>
        <v>0.00696331018518519</v>
      </c>
      <c r="J1346" s="12" t="n">
        <f aca="false">IF(INDEX(選手一覧!$G$5:$G$2736,$F1346)="","",INDEX(選手一覧!$G$5:$G$2736,$F1346))</f>
        <v>297</v>
      </c>
    </row>
    <row r="1347" customFormat="false" ht="15" hidden="false" customHeight="false" outlineLevel="0" collapsed="false">
      <c r="A1347" s="12" t="n">
        <v>1344</v>
      </c>
      <c r="B1347" s="8" t="s">
        <v>1272</v>
      </c>
      <c r="C1347" s="8" t="s">
        <v>344</v>
      </c>
      <c r="D1347" s="11" t="n">
        <v>0.0029775462962963</v>
      </c>
      <c r="E1347" s="39" t="n">
        <f aca="false">ROUND((D1347-$D$5)*86400,2)</f>
        <v>32.23</v>
      </c>
      <c r="F1347" s="12" t="n">
        <v>764</v>
      </c>
      <c r="G1347" s="11" t="n">
        <f aca="false">IF(INDEX(選手一覧!$D$5:$D$2736,$F1347)="","",INDEX(選手一覧!$D$5:$D$2736,$F1347))</f>
        <v>0.0108108796296296</v>
      </c>
      <c r="H1347" s="12" t="n">
        <f aca="false">IF(INDEX(選手一覧!$E$5:$E$2736,$F1347)="","",INDEX(選手一覧!$E$5:$E$2736,$F1347))</f>
        <v>765</v>
      </c>
      <c r="I1347" s="11" t="str">
        <f aca="false">IF(INDEX(選手一覧!$F$5:$F$2736,$F1347)="","",INDEX(選手一覧!$F$5:$F$2736,$F1347))</f>
        <v/>
      </c>
      <c r="J1347" s="12" t="str">
        <f aca="false">IF(INDEX(選手一覧!$G$5:$G$2736,$F1347)="","",INDEX(選手一覧!$G$5:$G$2736,$F1347))</f>
        <v/>
      </c>
    </row>
    <row r="1348" customFormat="false" ht="15" hidden="false" customHeight="false" outlineLevel="0" collapsed="false">
      <c r="A1348" s="12" t="n">
        <v>1345</v>
      </c>
      <c r="B1348" s="8" t="s">
        <v>4103</v>
      </c>
      <c r="C1348" s="8" t="s">
        <v>4104</v>
      </c>
      <c r="D1348" s="11" t="n">
        <v>0.002978125</v>
      </c>
      <c r="E1348" s="39" t="n">
        <f aca="false">ROUND((D1348-$D$5)*86400,2)</f>
        <v>32.28</v>
      </c>
      <c r="F1348" s="12" t="n">
        <v>2694</v>
      </c>
      <c r="G1348" s="11" t="str">
        <f aca="false">IF(INDEX(選手一覧!$D$5:$D$2736,$F1348)="","",INDEX(選手一覧!$D$5:$D$2736,$F1348))</f>
        <v/>
      </c>
      <c r="H1348" s="12" t="str">
        <f aca="false">IF(INDEX(選手一覧!$E$5:$E$2736,$F1348)="","",INDEX(選手一覧!$E$5:$E$2736,$F1348))</f>
        <v/>
      </c>
      <c r="I1348" s="11" t="str">
        <f aca="false">IF(INDEX(選手一覧!$F$5:$F$2736,$F1348)="","",INDEX(選手一覧!$F$5:$F$2736,$F1348))</f>
        <v/>
      </c>
      <c r="J1348" s="12" t="str">
        <f aca="false">IF(INDEX(選手一覧!$G$5:$G$2736,$F1348)="","",INDEX(選手一覧!$G$5:$G$2736,$F1348))</f>
        <v/>
      </c>
    </row>
    <row r="1349" customFormat="false" ht="15" hidden="false" customHeight="false" outlineLevel="0" collapsed="false">
      <c r="A1349" s="12" t="n">
        <v>1346</v>
      </c>
      <c r="B1349" s="8" t="s">
        <v>593</v>
      </c>
      <c r="C1349" s="8" t="s">
        <v>594</v>
      </c>
      <c r="D1349" s="11" t="n">
        <v>0.00297835648148148</v>
      </c>
      <c r="E1349" s="39" t="n">
        <f aca="false">ROUND((D1349-$D$5)*86400,2)</f>
        <v>32.3</v>
      </c>
      <c r="F1349" s="12" t="n">
        <v>321</v>
      </c>
      <c r="G1349" s="11" t="n">
        <f aca="false">IF(INDEX(選手一覧!$D$5:$D$2736,$F1349)="","",INDEX(選手一覧!$D$5:$D$2736,$F1349))</f>
        <v>0.0104766203703704</v>
      </c>
      <c r="H1349" s="12" t="n">
        <f aca="false">IF(INDEX(選手一覧!$E$5:$E$2736,$F1349)="","",INDEX(選手一覧!$E$5:$E$2736,$F1349))</f>
        <v>322</v>
      </c>
      <c r="I1349" s="11" t="str">
        <f aca="false">IF(INDEX(選手一覧!$F$5:$F$2736,$F1349)="","",INDEX(選手一覧!$F$5:$F$2736,$F1349))</f>
        <v/>
      </c>
      <c r="J1349" s="12" t="str">
        <f aca="false">IF(INDEX(選手一覧!$G$5:$G$2736,$F1349)="","",INDEX(選手一覧!$G$5:$G$2736,$F1349))</f>
        <v/>
      </c>
    </row>
    <row r="1350" customFormat="false" ht="15" hidden="false" customHeight="false" outlineLevel="0" collapsed="false">
      <c r="A1350" s="12" t="n">
        <v>1347</v>
      </c>
      <c r="B1350" s="8" t="s">
        <v>4107</v>
      </c>
      <c r="C1350" s="8" t="s">
        <v>375</v>
      </c>
      <c r="D1350" s="11" t="n">
        <v>0.00297847222222222</v>
      </c>
      <c r="E1350" s="39" t="n">
        <f aca="false">ROUND((D1350-$D$5)*86400,2)</f>
        <v>32.31</v>
      </c>
      <c r="F1350" s="12" t="n">
        <v>2697</v>
      </c>
      <c r="G1350" s="11" t="str">
        <f aca="false">IF(INDEX(選手一覧!$D$5:$D$2736,$F1350)="","",INDEX(選手一覧!$D$5:$D$2736,$F1350))</f>
        <v/>
      </c>
      <c r="H1350" s="12" t="str">
        <f aca="false">IF(INDEX(選手一覧!$E$5:$E$2736,$F1350)="","",INDEX(選手一覧!$E$5:$E$2736,$F1350))</f>
        <v/>
      </c>
      <c r="I1350" s="11" t="str">
        <f aca="false">IF(INDEX(選手一覧!$F$5:$F$2736,$F1350)="","",INDEX(選手一覧!$F$5:$F$2736,$F1350))</f>
        <v/>
      </c>
      <c r="J1350" s="12" t="str">
        <f aca="false">IF(INDEX(選手一覧!$G$5:$G$2736,$F1350)="","",INDEX(選手一覧!$G$5:$G$2736,$F1350))</f>
        <v/>
      </c>
    </row>
    <row r="1351" customFormat="false" ht="15" hidden="false" customHeight="false" outlineLevel="0" collapsed="false">
      <c r="A1351" s="12" t="n">
        <v>1348</v>
      </c>
      <c r="B1351" s="8" t="s">
        <v>4110</v>
      </c>
      <c r="C1351" s="8" t="s">
        <v>1563</v>
      </c>
      <c r="D1351" s="11" t="n">
        <v>0.00297893518518519</v>
      </c>
      <c r="E1351" s="39" t="n">
        <f aca="false">ROUND((D1351-$D$5)*86400,2)</f>
        <v>32.35</v>
      </c>
      <c r="F1351" s="12" t="n">
        <v>2699</v>
      </c>
      <c r="G1351" s="11" t="str">
        <f aca="false">IF(INDEX(選手一覧!$D$5:$D$2736,$F1351)="","",INDEX(選手一覧!$D$5:$D$2736,$F1351))</f>
        <v/>
      </c>
      <c r="H1351" s="12" t="str">
        <f aca="false">IF(INDEX(選手一覧!$E$5:$E$2736,$F1351)="","",INDEX(選手一覧!$E$5:$E$2736,$F1351))</f>
        <v/>
      </c>
      <c r="I1351" s="11" t="str">
        <f aca="false">IF(INDEX(選手一覧!$F$5:$F$2736,$F1351)="","",INDEX(選手一覧!$F$5:$F$2736,$F1351))</f>
        <v/>
      </c>
      <c r="J1351" s="12" t="str">
        <f aca="false">IF(INDEX(選手一覧!$G$5:$G$2736,$F1351)="","",INDEX(選手一覧!$G$5:$G$2736,$F1351))</f>
        <v/>
      </c>
    </row>
    <row r="1352" customFormat="false" ht="15" hidden="false" customHeight="false" outlineLevel="0" collapsed="false">
      <c r="A1352" s="12" t="n">
        <v>1349</v>
      </c>
      <c r="B1352" s="8" t="s">
        <v>1637</v>
      </c>
      <c r="C1352" s="8" t="s">
        <v>1159</v>
      </c>
      <c r="D1352" s="11" t="n">
        <v>0.00297916666666667</v>
      </c>
      <c r="E1352" s="39" t="n">
        <f aca="false">ROUND((D1352-$D$5)*86400,2)</f>
        <v>32.37</v>
      </c>
      <c r="F1352" s="12" t="n">
        <v>1012</v>
      </c>
      <c r="G1352" s="11" t="n">
        <f aca="false">IF(INDEX(選手一覧!$D$5:$D$2736,$F1352)="","",INDEX(選手一覧!$D$5:$D$2736,$F1352))</f>
        <v>0.0109548611111111</v>
      </c>
      <c r="H1352" s="12" t="n">
        <f aca="false">IF(INDEX(選手一覧!$E$5:$E$2736,$F1352)="","",INDEX(選手一覧!$E$5:$E$2736,$F1352))</f>
        <v>1013</v>
      </c>
      <c r="I1352" s="11" t="str">
        <f aca="false">IF(INDEX(選手一覧!$F$5:$F$2736,$F1352)="","",INDEX(選手一覧!$F$5:$F$2736,$F1352))</f>
        <v/>
      </c>
      <c r="J1352" s="12" t="str">
        <f aca="false">IF(INDEX(選手一覧!$G$5:$G$2736,$F1352)="","",INDEX(選手一覧!$G$5:$G$2736,$F1352))</f>
        <v/>
      </c>
    </row>
    <row r="1353" customFormat="false" ht="15" hidden="false" customHeight="false" outlineLevel="0" collapsed="false">
      <c r="A1353" s="12" t="n">
        <v>1350</v>
      </c>
      <c r="B1353" s="8" t="s">
        <v>574</v>
      </c>
      <c r="C1353" s="8" t="s">
        <v>64</v>
      </c>
      <c r="D1353" s="11" t="n">
        <v>0.00297962962962963</v>
      </c>
      <c r="E1353" s="39" t="n">
        <f aca="false">ROUND((D1353-$D$5)*86400,2)</f>
        <v>32.41</v>
      </c>
      <c r="F1353" s="12" t="n">
        <v>310</v>
      </c>
      <c r="G1353" s="11" t="n">
        <f aca="false">IF(INDEX(選手一覧!$D$5:$D$2736,$F1353)="","",INDEX(選手一覧!$D$5:$D$2736,$F1353))</f>
        <v>0.0104604166666667</v>
      </c>
      <c r="H1353" s="12" t="n">
        <f aca="false">IF(INDEX(選手一覧!$E$5:$E$2736,$F1353)="","",INDEX(選手一覧!$E$5:$E$2736,$F1353))</f>
        <v>311</v>
      </c>
      <c r="I1353" s="11" t="str">
        <f aca="false">IF(INDEX(選手一覧!$F$5:$F$2736,$F1353)="","",INDEX(選手一覧!$F$5:$F$2736,$F1353))</f>
        <v/>
      </c>
      <c r="J1353" s="12" t="str">
        <f aca="false">IF(INDEX(選手一覧!$G$5:$G$2736,$F1353)="","",INDEX(選手一覧!$G$5:$G$2736,$F1353))</f>
        <v/>
      </c>
    </row>
    <row r="1354" customFormat="false" ht="15" hidden="false" customHeight="false" outlineLevel="0" collapsed="false">
      <c r="A1354" s="12" t="n">
        <v>1351</v>
      </c>
      <c r="B1354" s="8" t="s">
        <v>873</v>
      </c>
      <c r="C1354" s="8" t="s">
        <v>368</v>
      </c>
      <c r="D1354" s="11" t="n">
        <v>0.00297962962962963</v>
      </c>
      <c r="E1354" s="39" t="n">
        <f aca="false">ROUND((D1354-$D$5)*86400,2)</f>
        <v>32.41</v>
      </c>
      <c r="F1354" s="12" t="n">
        <v>500</v>
      </c>
      <c r="G1354" s="11" t="n">
        <f aca="false">IF(INDEX(選手一覧!$D$5:$D$2736,$F1354)="","",INDEX(選手一覧!$D$5:$D$2736,$F1354))</f>
        <v>0.0106230324074074</v>
      </c>
      <c r="H1354" s="12" t="n">
        <f aca="false">IF(INDEX(選手一覧!$E$5:$E$2736,$F1354)="","",INDEX(選手一覧!$E$5:$E$2736,$F1354))</f>
        <v>501</v>
      </c>
      <c r="I1354" s="11" t="str">
        <f aca="false">IF(INDEX(選手一覧!$F$5:$F$2736,$F1354)="","",INDEX(選手一覧!$F$5:$F$2736,$F1354))</f>
        <v/>
      </c>
      <c r="J1354" s="12" t="str">
        <f aca="false">IF(INDEX(選手一覧!$G$5:$G$2736,$F1354)="","",INDEX(選手一覧!$G$5:$G$2736,$F1354))</f>
        <v/>
      </c>
    </row>
    <row r="1355" customFormat="false" ht="15" hidden="false" customHeight="false" outlineLevel="0" collapsed="false">
      <c r="A1355" s="12" t="n">
        <v>1352</v>
      </c>
      <c r="B1355" s="8" t="s">
        <v>4118</v>
      </c>
      <c r="C1355" s="8" t="s">
        <v>2065</v>
      </c>
      <c r="D1355" s="11" t="n">
        <v>0.00297997685185185</v>
      </c>
      <c r="E1355" s="39" t="n">
        <f aca="false">ROUND((D1355-$D$5)*86400,2)</f>
        <v>32.44</v>
      </c>
      <c r="F1355" s="12" t="n">
        <v>2704</v>
      </c>
      <c r="G1355" s="11" t="str">
        <f aca="false">IF(INDEX(選手一覧!$D$5:$D$2736,$F1355)="","",INDEX(選手一覧!$D$5:$D$2736,$F1355))</f>
        <v/>
      </c>
      <c r="H1355" s="12" t="str">
        <f aca="false">IF(INDEX(選手一覧!$E$5:$E$2736,$F1355)="","",INDEX(選手一覧!$E$5:$E$2736,$F1355))</f>
        <v/>
      </c>
      <c r="I1355" s="11" t="str">
        <f aca="false">IF(INDEX(選手一覧!$F$5:$F$2736,$F1355)="","",INDEX(選手一覧!$F$5:$F$2736,$F1355))</f>
        <v/>
      </c>
      <c r="J1355" s="12" t="str">
        <f aca="false">IF(INDEX(選手一覧!$G$5:$G$2736,$F1355)="","",INDEX(選手一覧!$G$5:$G$2736,$F1355))</f>
        <v/>
      </c>
    </row>
    <row r="1356" customFormat="false" ht="15" hidden="false" customHeight="false" outlineLevel="0" collapsed="false">
      <c r="A1356" s="12" t="n">
        <v>1353</v>
      </c>
      <c r="B1356" s="8" t="s">
        <v>4120</v>
      </c>
      <c r="C1356" s="8" t="s">
        <v>3459</v>
      </c>
      <c r="D1356" s="11" t="n">
        <v>0.00297997685185185</v>
      </c>
      <c r="E1356" s="39" t="n">
        <f aca="false">ROUND((D1356-$D$5)*86400,2)</f>
        <v>32.44</v>
      </c>
      <c r="F1356" s="12" t="n">
        <v>2706</v>
      </c>
      <c r="G1356" s="11" t="str">
        <f aca="false">IF(INDEX(選手一覧!$D$5:$D$2736,$F1356)="","",INDEX(選手一覧!$D$5:$D$2736,$F1356))</f>
        <v/>
      </c>
      <c r="H1356" s="12" t="str">
        <f aca="false">IF(INDEX(選手一覧!$E$5:$E$2736,$F1356)="","",INDEX(選手一覧!$E$5:$E$2736,$F1356))</f>
        <v/>
      </c>
      <c r="I1356" s="11" t="str">
        <f aca="false">IF(INDEX(選手一覧!$F$5:$F$2736,$F1356)="","",INDEX(選手一覧!$F$5:$F$2736,$F1356))</f>
        <v/>
      </c>
      <c r="J1356" s="12" t="str">
        <f aca="false">IF(INDEX(選手一覧!$G$5:$G$2736,$F1356)="","",INDEX(選手一覧!$G$5:$G$2736,$F1356))</f>
        <v/>
      </c>
    </row>
    <row r="1357" customFormat="false" ht="15" hidden="false" customHeight="false" outlineLevel="0" collapsed="false">
      <c r="A1357" s="12" t="n">
        <v>1354</v>
      </c>
      <c r="B1357" s="8" t="s">
        <v>4122</v>
      </c>
      <c r="C1357" s="8" t="s">
        <v>4123</v>
      </c>
      <c r="D1357" s="11" t="n">
        <v>0.00297997685185185</v>
      </c>
      <c r="E1357" s="39" t="n">
        <f aca="false">ROUND((D1357-$D$5)*86400,2)</f>
        <v>32.44</v>
      </c>
      <c r="F1357" s="12" t="n">
        <v>2708</v>
      </c>
      <c r="G1357" s="11" t="str">
        <f aca="false">IF(INDEX(選手一覧!$D$5:$D$2736,$F1357)="","",INDEX(選手一覧!$D$5:$D$2736,$F1357))</f>
        <v/>
      </c>
      <c r="H1357" s="12" t="str">
        <f aca="false">IF(INDEX(選手一覧!$E$5:$E$2736,$F1357)="","",INDEX(選手一覧!$E$5:$E$2736,$F1357))</f>
        <v/>
      </c>
      <c r="I1357" s="11" t="str">
        <f aca="false">IF(INDEX(選手一覧!$F$5:$F$2736,$F1357)="","",INDEX(選手一覧!$F$5:$F$2736,$F1357))</f>
        <v/>
      </c>
      <c r="J1357" s="12" t="str">
        <f aca="false">IF(INDEX(選手一覧!$G$5:$G$2736,$F1357)="","",INDEX(選手一覧!$G$5:$G$2736,$F1357))</f>
        <v/>
      </c>
    </row>
    <row r="1358" customFormat="false" ht="15" hidden="false" customHeight="false" outlineLevel="0" collapsed="false">
      <c r="A1358" s="12" t="n">
        <v>1355</v>
      </c>
      <c r="B1358" s="8" t="s">
        <v>392</v>
      </c>
      <c r="C1358" s="8" t="s">
        <v>207</v>
      </c>
      <c r="D1358" s="11" t="n">
        <v>0.00298055555555556</v>
      </c>
      <c r="E1358" s="39" t="n">
        <f aca="false">ROUND((D1358-$D$5)*86400,2)</f>
        <v>32.49</v>
      </c>
      <c r="F1358" s="12" t="n">
        <v>199</v>
      </c>
      <c r="G1358" s="11" t="n">
        <f aca="false">IF(INDEX(選手一覧!$D$5:$D$2736,$F1358)="","",INDEX(選手一覧!$D$5:$D$2736,$F1358))</f>
        <v>0.0103476851851852</v>
      </c>
      <c r="H1358" s="12" t="n">
        <f aca="false">IF(INDEX(選手一覧!$E$5:$E$2736,$F1358)="","",INDEX(選手一覧!$E$5:$E$2736,$F1358))</f>
        <v>200</v>
      </c>
      <c r="I1358" s="11" t="str">
        <f aca="false">IF(INDEX(選手一覧!$F$5:$F$2736,$F1358)="","",INDEX(選手一覧!$F$5:$F$2736,$F1358))</f>
        <v/>
      </c>
      <c r="J1358" s="12" t="str">
        <f aca="false">IF(INDEX(選手一覧!$G$5:$G$2736,$F1358)="","",INDEX(選手一覧!$G$5:$G$2736,$F1358))</f>
        <v/>
      </c>
    </row>
    <row r="1359" customFormat="false" ht="15" hidden="false" customHeight="false" outlineLevel="0" collapsed="false">
      <c r="A1359" s="12" t="n">
        <v>1356</v>
      </c>
      <c r="B1359" s="8" t="s">
        <v>1715</v>
      </c>
      <c r="C1359" s="8" t="s">
        <v>1716</v>
      </c>
      <c r="D1359" s="11" t="n">
        <v>0.00298101851851852</v>
      </c>
      <c r="E1359" s="39" t="n">
        <f aca="false">ROUND((D1359-$D$5)*86400,2)</f>
        <v>32.53</v>
      </c>
      <c r="F1359" s="12" t="n">
        <v>1064</v>
      </c>
      <c r="G1359" s="11" t="n">
        <f aca="false">IF(INDEX(選手一覧!$D$5:$D$2736,$F1359)="","",INDEX(選手一覧!$D$5:$D$2736,$F1359))</f>
        <v>0.0109840277777778</v>
      </c>
      <c r="H1359" s="12" t="n">
        <f aca="false">IF(INDEX(選手一覧!$E$5:$E$2736,$F1359)="","",INDEX(選手一覧!$E$5:$E$2736,$F1359))</f>
        <v>1065</v>
      </c>
      <c r="I1359" s="11" t="n">
        <f aca="false">IF(INDEX(選手一覧!$F$5:$F$2736,$F1359)="","",INDEX(選手一覧!$F$5:$F$2736,$F1359))</f>
        <v>0.00675092592592593</v>
      </c>
      <c r="J1359" s="12" t="n">
        <f aca="false">IF(INDEX(選手一覧!$G$5:$G$2736,$F1359)="","",INDEX(選手一覧!$G$5:$G$2736,$F1359))</f>
        <v>129</v>
      </c>
    </row>
    <row r="1360" customFormat="false" ht="15" hidden="false" customHeight="false" outlineLevel="0" collapsed="false">
      <c r="A1360" s="12" t="n">
        <v>1357</v>
      </c>
      <c r="B1360" s="8" t="s">
        <v>4127</v>
      </c>
      <c r="C1360" s="8" t="s">
        <v>1458</v>
      </c>
      <c r="D1360" s="11" t="n">
        <v>0.00298101851851852</v>
      </c>
      <c r="E1360" s="39" t="n">
        <f aca="false">ROUND((D1360-$D$5)*86400,2)</f>
        <v>32.53</v>
      </c>
      <c r="F1360" s="12" t="n">
        <v>2712</v>
      </c>
      <c r="G1360" s="11" t="str">
        <f aca="false">IF(INDEX(選手一覧!$D$5:$D$2736,$F1360)="","",INDEX(選手一覧!$D$5:$D$2736,$F1360))</f>
        <v/>
      </c>
      <c r="H1360" s="12" t="str">
        <f aca="false">IF(INDEX(選手一覧!$E$5:$E$2736,$F1360)="","",INDEX(選手一覧!$E$5:$E$2736,$F1360))</f>
        <v/>
      </c>
      <c r="I1360" s="11" t="str">
        <f aca="false">IF(INDEX(選手一覧!$F$5:$F$2736,$F1360)="","",INDEX(選手一覧!$F$5:$F$2736,$F1360))</f>
        <v/>
      </c>
      <c r="J1360" s="12" t="str">
        <f aca="false">IF(INDEX(選手一覧!$G$5:$G$2736,$F1360)="","",INDEX(選手一覧!$G$5:$G$2736,$F1360))</f>
        <v/>
      </c>
    </row>
  </sheetData>
  <autoFilter ref="A4:J1360"/>
  <conditionalFormatting sqref="A5:A1360">
    <cfRule type="expression" priority="2" aboveAverage="0" equalAverage="0" bottom="0" percent="0" rank="0" text="" dxfId="9">
      <formula>AND(ISNUMBER(A5),A5&lt;=10)</formula>
    </cfRule>
    <cfRule type="expression" priority="3" aboveAverage="0" equalAverage="0" bottom="0" percent="0" rank="0" text="" dxfId="10">
      <formula>AND(ISNUMBER(A5),A5&lt;=50)</formula>
    </cfRule>
    <cfRule type="expression" priority="4" aboveAverage="0" equalAverage="0" bottom="0" percent="0" rank="0" text="" dxfId="11">
      <formula>AND(ISNUMBER(A5),A5&lt;=100)</formula>
    </cfRule>
  </conditionalFormatting>
  <conditionalFormatting sqref="H5:H1360">
    <cfRule type="expression" priority="5" aboveAverage="0" equalAverage="0" bottom="0" percent="0" rank="0" text="" dxfId="9">
      <formula>AND(ISNUMBER(H5),H5&lt;=10)</formula>
    </cfRule>
    <cfRule type="expression" priority="6" aboveAverage="0" equalAverage="0" bottom="0" percent="0" rank="0" text="" dxfId="10">
      <formula>AND(ISNUMBER(H5),H5&lt;=50)</formula>
    </cfRule>
    <cfRule type="expression" priority="7" aboveAverage="0" equalAverage="0" bottom="0" percent="0" rank="0" text="" dxfId="11">
      <formula>AND(ISNUMBER(H5),H5&lt;=100)</formula>
    </cfRule>
  </conditionalFormatting>
  <conditionalFormatting sqref="J5:J1360">
    <cfRule type="expression" priority="8" aboveAverage="0" equalAverage="0" bottom="0" percent="0" rank="0" text="" dxfId="9">
      <formula>AND(ISNUMBER(J5),J5&lt;=10)</formula>
    </cfRule>
    <cfRule type="expression" priority="9" aboveAverage="0" equalAverage="0" bottom="0" percent="0" rank="0" text="" dxfId="10">
      <formula>AND(ISNUMBER(J5),J5&lt;=50)</formula>
    </cfRule>
    <cfRule type="expression" priority="10" aboveAverage="0" equalAverage="0" bottom="0" percent="0" rank="0" text="" dxfId="11">
      <formula>AND(ISNUMBER(J5),J5&lt;=100)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2026-10-18T20:51:42Z</dcterms:created>
  <dc:creator>openpyxl</dc:creator>
  <dc:description/>
  <dc:language>en-US</dc:language>
  <cp:lastModifiedBy/>
  <dcterms:modified xsi:type="dcterms:W3CDTF">2026-10-18T20:51:45Z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